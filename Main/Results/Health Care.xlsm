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PROJECTS\Undervalued Stock Scanner\Main\Results\"/>
    </mc:Choice>
  </mc:AlternateContent>
  <xr:revisionPtr revIDLastSave="0" documentId="13_ncr:1_{919E7D34-F51C-4CD1-9B17-007ED0FCC4E6}" xr6:coauthVersionLast="47" xr6:coauthVersionMax="47" xr10:uidLastSave="{00000000-0000-0000-0000-000000000000}"/>
  <bookViews>
    <workbookView xWindow="-120" yWindow="-120" windowWidth="29040" windowHeight="15720" firstSheet="5" activeTab="8" xr2:uid="{4DD57E3E-5037-436A-BD0D-C524F435A914}"/>
  </bookViews>
  <sheets>
    <sheet name="Dynamic Path" sheetId="15" state="hidden" r:id="rId1"/>
    <sheet name="Main_L" sheetId="2" state="hidden" r:id="rId2"/>
    <sheet name="Main_M" sheetId="3" state="hidden" r:id="rId3"/>
    <sheet name="Main_S" sheetId="4" state="hidden" r:id="rId4"/>
    <sheet name="Quartile Tables" sheetId="1" state="hidden" r:id="rId5"/>
    <sheet name="Mean_L" sheetId="7" r:id="rId6"/>
    <sheet name="Mean_M" sheetId="14" r:id="rId7"/>
    <sheet name="Mean_S" sheetId="13" r:id="rId8"/>
    <sheet name="Result_L" sheetId="9" r:id="rId9"/>
    <sheet name="Result_M" sheetId="11" r:id="rId10"/>
    <sheet name="Result_S" sheetId="12" r:id="rId11"/>
  </sheets>
  <definedNames>
    <definedName name="_xlnm._FilterDatabase" localSheetId="8" hidden="1">Result_L!$A$8:$T$8</definedName>
    <definedName name="_xlnm._FilterDatabase" localSheetId="9" hidden="1">Result_M!$A$8:$T$8</definedName>
    <definedName name="_xlnm._FilterDatabase" localSheetId="10" hidden="1">Result_S!$A$8:$T$8</definedName>
    <definedName name="_xleta.LARGE" hidden="1" xlm="1">#NAME?</definedName>
    <definedName name="_xleta.LEFT" hidden="1" xlm="1">#NAME?</definedName>
    <definedName name="_xleta.MID" hidden="1" xlm="1">#NAME?</definedName>
    <definedName name="ExternalData_1" localSheetId="1" hidden="1">Main_L!$A$1:$M$94</definedName>
    <definedName name="ExternalData_1" localSheetId="2" hidden="1">Main_M!$A$1:$M$111</definedName>
    <definedName name="ExternalData_1" localSheetId="3" hidden="1">Main_S!$A$1:$M$279</definedName>
    <definedName name="ExternalData_5" localSheetId="4" hidden="1">'Quartile Tables'!$A$2:$Y$8</definedName>
    <definedName name="ExternalData_6" localSheetId="4" hidden="1">'Quartile Tables'!$A$12:$Y$18</definedName>
    <definedName name="ExternalData_7" localSheetId="4" hidden="1">'Quartile Tables'!$A$22:$Y$28</definedName>
    <definedName name="Mean_AE_L">Mean_L!$E$24:$G$38</definedName>
    <definedName name="Mean_AE_M">Mean_M!$E$24:$G$38</definedName>
    <definedName name="Mean_AE_S">Mean_S!$E$24:$G$38</definedName>
    <definedName name="Mean_PB_L">Mean_L!$E$4:$G$18</definedName>
    <definedName name="Mean_PB_M">Mean_M!$E$4:$G$18</definedName>
    <definedName name="Mean_PB_S">Mean_S!$E$4:$G$18</definedName>
    <definedName name="Mean_PE_L">Mean_L!$I$24:$K$38</definedName>
    <definedName name="Mean_PE_M">Mean_M!$I$24:$K$38</definedName>
    <definedName name="Mean_PE_S">Mean_S!$I$24:$K$38</definedName>
    <definedName name="Mean_PFCF_L">Mean_L!$A$4:$C$18</definedName>
    <definedName name="Mean_PFCF_M">Mean_M!$A$4:$C$18</definedName>
    <definedName name="Mean_PFCF_S">Mean_S!$A$4:$C$18</definedName>
    <definedName name="Mean_ROA_L">Mean_L!$A$24:$C$38</definedName>
    <definedName name="Mean_ROA_M">Mean_M!$A$24:$C$38</definedName>
    <definedName name="Mean_ROA_S">Mean_S!$A$24:$C$38</definedName>
    <definedName name="Mean_ROE_L">Mean_L!$I$4:$K$18</definedName>
    <definedName name="Mean_ROE_M">Mean_M!$I$4:$K$18</definedName>
    <definedName name="Mean_ROE_S">Mean_S!$I$4:$K$18</definedName>
  </definedNames>
  <calcPr calcId="191029"/>
  <pivotCaches>
    <pivotCache cacheId="92" r:id="rId12"/>
    <pivotCache cacheId="152" r:id="rId13"/>
    <pivotCache cacheId="212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8" i="1" l="1"/>
  <c r="Y27" i="1"/>
  <c r="Y26" i="1"/>
  <c r="Y25" i="1"/>
  <c r="Y24" i="1"/>
  <c r="Y23" i="1"/>
  <c r="X28" i="1"/>
  <c r="X27" i="1"/>
  <c r="X26" i="1"/>
  <c r="X25" i="1"/>
  <c r="X24" i="1"/>
  <c r="X23" i="1"/>
  <c r="W28" i="1" a="1"/>
  <c r="W28" i="1" s="1"/>
  <c r="W27" i="1" a="1"/>
  <c r="W27" i="1" s="1"/>
  <c r="W26" i="1" a="1"/>
  <c r="W26" i="1" s="1"/>
  <c r="W25" i="1" a="1"/>
  <c r="W25" i="1" s="1"/>
  <c r="W24" i="1" a="1"/>
  <c r="W24" i="1" s="1"/>
  <c r="W23" i="1" a="1"/>
  <c r="W23" i="1" s="1"/>
  <c r="V28" i="1" a="1"/>
  <c r="V28" i="1" s="1"/>
  <c r="V27" i="1" a="1"/>
  <c r="V27" i="1" s="1"/>
  <c r="V26" i="1" a="1"/>
  <c r="V26" i="1" s="1"/>
  <c r="V25" i="1" a="1"/>
  <c r="V25" i="1" s="1"/>
  <c r="V24" i="1" a="1"/>
  <c r="V24" i="1" s="1"/>
  <c r="V23" i="1" a="1"/>
  <c r="V23" i="1" s="1"/>
  <c r="Q28" i="1"/>
  <c r="Q27" i="1"/>
  <c r="Q26" i="1"/>
  <c r="Q25" i="1"/>
  <c r="Q24" i="1"/>
  <c r="Q23" i="1"/>
  <c r="P28" i="1"/>
  <c r="P27" i="1"/>
  <c r="P26" i="1"/>
  <c r="P25" i="1"/>
  <c r="P24" i="1"/>
  <c r="P23" i="1"/>
  <c r="O28" i="1" a="1"/>
  <c r="O28" i="1" s="1"/>
  <c r="O27" i="1" a="1"/>
  <c r="O27" i="1" s="1"/>
  <c r="O26" i="1" a="1"/>
  <c r="O26" i="1" s="1"/>
  <c r="O25" i="1" a="1"/>
  <c r="O25" i="1" s="1"/>
  <c r="O24" i="1" a="1"/>
  <c r="O24" i="1" s="1"/>
  <c r="O23" i="1" a="1"/>
  <c r="O23" i="1" s="1"/>
  <c r="N28" i="1" a="1"/>
  <c r="N28" i="1" s="1"/>
  <c r="N27" i="1" a="1"/>
  <c r="N27" i="1" s="1"/>
  <c r="N26" i="1" a="1"/>
  <c r="N26" i="1" s="1"/>
  <c r="N25" i="1" a="1"/>
  <c r="N25" i="1"/>
  <c r="N24" i="1" a="1"/>
  <c r="N24" i="1" s="1"/>
  <c r="N23" i="1" a="1"/>
  <c r="N23" i="1" s="1"/>
  <c r="M28" i="1"/>
  <c r="M27" i="1"/>
  <c r="M26" i="1"/>
  <c r="M25" i="1"/>
  <c r="M24" i="1"/>
  <c r="M23" i="1"/>
  <c r="L28" i="1"/>
  <c r="L27" i="1"/>
  <c r="W231" i="4" s="1"/>
  <c r="L26" i="1"/>
  <c r="L25" i="1"/>
  <c r="L24" i="1"/>
  <c r="W183" i="4" s="1"/>
  <c r="L23" i="1"/>
  <c r="K28" i="1" a="1"/>
  <c r="K28" i="1" s="1"/>
  <c r="K27" i="1" a="1"/>
  <c r="K27" i="1" s="1"/>
  <c r="K26" i="1" a="1"/>
  <c r="K26" i="1" s="1"/>
  <c r="K25" i="1" a="1"/>
  <c r="K25" i="1" s="1"/>
  <c r="K24" i="1" a="1"/>
  <c r="K24" i="1" s="1"/>
  <c r="K23" i="1" a="1"/>
  <c r="K23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Y18" i="1"/>
  <c r="Y17" i="1"/>
  <c r="Y16" i="1"/>
  <c r="Y18" i="3" s="1"/>
  <c r="Y15" i="1"/>
  <c r="Y14" i="1"/>
  <c r="Y13" i="1"/>
  <c r="Y69" i="3" s="1"/>
  <c r="X18" i="1"/>
  <c r="X17" i="1"/>
  <c r="X16" i="1"/>
  <c r="X15" i="1"/>
  <c r="X14" i="1"/>
  <c r="X13" i="1"/>
  <c r="W18" i="1" a="1"/>
  <c r="W18" i="1" s="1"/>
  <c r="W17" i="1" a="1"/>
  <c r="W17" i="1" s="1"/>
  <c r="W16" i="1" a="1"/>
  <c r="W16" i="1" s="1"/>
  <c r="W15" i="1" a="1"/>
  <c r="W15" i="1" s="1"/>
  <c r="W14" i="1" a="1"/>
  <c r="W14" i="1" s="1"/>
  <c r="W13" i="1" a="1"/>
  <c r="W13" i="1" s="1"/>
  <c r="V18" i="1" a="1"/>
  <c r="V18" i="1" s="1"/>
  <c r="V17" i="1" a="1"/>
  <c r="V17" i="1" s="1"/>
  <c r="V16" i="1" a="1"/>
  <c r="V16" i="1" s="1"/>
  <c r="V15" i="1" a="1"/>
  <c r="V15" i="1" s="1"/>
  <c r="V14" i="1" a="1"/>
  <c r="V14" i="1" s="1"/>
  <c r="V13" i="1" a="1"/>
  <c r="V13" i="1" s="1"/>
  <c r="Q18" i="1"/>
  <c r="Q17" i="1"/>
  <c r="Q16" i="1"/>
  <c r="Q15" i="1"/>
  <c r="Q14" i="1"/>
  <c r="Q13" i="1"/>
  <c r="W53" i="3" s="1"/>
  <c r="P18" i="1"/>
  <c r="P17" i="1"/>
  <c r="P16" i="1"/>
  <c r="P15" i="1"/>
  <c r="P14" i="1"/>
  <c r="P13" i="1"/>
  <c r="O18" i="1" a="1"/>
  <c r="O18" i="1" s="1"/>
  <c r="O17" i="1" a="1"/>
  <c r="O17" i="1"/>
  <c r="O16" i="1" a="1"/>
  <c r="O16" i="1"/>
  <c r="O15" i="1" a="1"/>
  <c r="O15" i="1"/>
  <c r="O14" i="1" a="1"/>
  <c r="O14" i="1" s="1"/>
  <c r="O13" i="1" a="1"/>
  <c r="O13" i="1"/>
  <c r="N18" i="1" a="1"/>
  <c r="N18" i="1"/>
  <c r="N17" i="1" a="1"/>
  <c r="N17" i="1" s="1"/>
  <c r="N16" i="1" a="1"/>
  <c r="N16" i="1" s="1"/>
  <c r="N15" i="1" a="1"/>
  <c r="N15" i="1" s="1"/>
  <c r="N14" i="1" a="1"/>
  <c r="N14" i="1" s="1"/>
  <c r="N13" i="1" a="1"/>
  <c r="N13" i="1" s="1"/>
  <c r="M18" i="1"/>
  <c r="M17" i="1"/>
  <c r="M16" i="1"/>
  <c r="M15" i="1"/>
  <c r="M14" i="1"/>
  <c r="M13" i="1"/>
  <c r="L18" i="1"/>
  <c r="L17" i="1"/>
  <c r="L16" i="1"/>
  <c r="L15" i="1"/>
  <c r="L14" i="1"/>
  <c r="L13" i="1"/>
  <c r="K18" i="1" a="1"/>
  <c r="K18" i="1" s="1"/>
  <c r="K17" i="1" a="1"/>
  <c r="K17" i="1" s="1"/>
  <c r="K16" i="1" a="1"/>
  <c r="K16" i="1" s="1"/>
  <c r="K15" i="1" a="1"/>
  <c r="K15" i="1" s="1"/>
  <c r="K14" i="1" a="1"/>
  <c r="K14" i="1" s="1"/>
  <c r="K13" i="1" a="1"/>
  <c r="K13" i="1" s="1"/>
  <c r="J18" i="1" a="1"/>
  <c r="J18" i="1" s="1"/>
  <c r="J17" i="1" a="1"/>
  <c r="J17" i="1"/>
  <c r="J16" i="1" a="1"/>
  <c r="J16" i="1" s="1"/>
  <c r="J15" i="1" a="1"/>
  <c r="J15" i="1" s="1"/>
  <c r="J14" i="1" a="1"/>
  <c r="J14" i="1" s="1"/>
  <c r="J13" i="1" a="1"/>
  <c r="J13" i="1" s="1"/>
  <c r="Y8" i="1"/>
  <c r="Y7" i="1"/>
  <c r="Y6" i="1"/>
  <c r="Y5" i="1"/>
  <c r="Y4" i="1"/>
  <c r="Y3" i="1"/>
  <c r="X8" i="1"/>
  <c r="X7" i="1"/>
  <c r="X6" i="1"/>
  <c r="X5" i="1"/>
  <c r="X4" i="1"/>
  <c r="X3" i="1"/>
  <c r="W8" i="1" a="1"/>
  <c r="W8" i="1" s="1"/>
  <c r="W7" i="1" a="1"/>
  <c r="W7" i="1" s="1"/>
  <c r="W6" i="1" a="1"/>
  <c r="W6" i="1" s="1"/>
  <c r="W5" i="1" a="1"/>
  <c r="W5" i="1" s="1"/>
  <c r="W4" i="1" a="1"/>
  <c r="W4" i="1" s="1"/>
  <c r="W3" i="1" a="1"/>
  <c r="W3" i="1" s="1"/>
  <c r="V8" i="1" a="1"/>
  <c r="V8" i="1" s="1"/>
  <c r="V7" i="1" a="1"/>
  <c r="V7" i="1" s="1"/>
  <c r="V6" i="1" a="1"/>
  <c r="V6" i="1" s="1"/>
  <c r="V5" i="1" a="1"/>
  <c r="V5" i="1" s="1"/>
  <c r="V4" i="1" a="1"/>
  <c r="V4" i="1" s="1"/>
  <c r="V3" i="1" a="1"/>
  <c r="V3" i="1" s="1"/>
  <c r="Q8" i="1"/>
  <c r="Q7" i="1"/>
  <c r="Q6" i="1"/>
  <c r="Q5" i="1"/>
  <c r="Q4" i="1"/>
  <c r="Q3" i="1"/>
  <c r="P8" i="1"/>
  <c r="P7" i="1"/>
  <c r="P6" i="1"/>
  <c r="P5" i="1"/>
  <c r="X64" i="2" s="1"/>
  <c r="P4" i="1"/>
  <c r="P3" i="1"/>
  <c r="O8" i="1" a="1"/>
  <c r="O8" i="1" s="1"/>
  <c r="O7" i="1" a="1"/>
  <c r="O7" i="1" s="1"/>
  <c r="O6" i="1" a="1"/>
  <c r="O6" i="1"/>
  <c r="O5" i="1" a="1"/>
  <c r="O5" i="1" s="1"/>
  <c r="O4" i="1" a="1"/>
  <c r="O4" i="1" s="1"/>
  <c r="O3" i="1" a="1"/>
  <c r="O3" i="1" s="1"/>
  <c r="N8" i="1" a="1"/>
  <c r="N8" i="1" s="1"/>
  <c r="N7" i="1" a="1"/>
  <c r="N7" i="1" s="1"/>
  <c r="N6" i="1" a="1"/>
  <c r="N6" i="1" s="1"/>
  <c r="N5" i="1" a="1"/>
  <c r="N5" i="1" s="1"/>
  <c r="N4" i="1" a="1"/>
  <c r="N4" i="1" s="1"/>
  <c r="N3" i="1" a="1"/>
  <c r="N3" i="1" s="1"/>
  <c r="M8" i="1"/>
  <c r="M7" i="1"/>
  <c r="M6" i="1"/>
  <c r="M5" i="1"/>
  <c r="M4" i="1"/>
  <c r="M3" i="1"/>
  <c r="L8" i="1"/>
  <c r="L7" i="1"/>
  <c r="L6" i="1"/>
  <c r="L5" i="1"/>
  <c r="L4" i="1"/>
  <c r="L3" i="1"/>
  <c r="K8" i="1" a="1"/>
  <c r="K8" i="1" s="1"/>
  <c r="K7" i="1" a="1"/>
  <c r="K7" i="1" s="1"/>
  <c r="K6" i="1" a="1"/>
  <c r="K6" i="1" s="1"/>
  <c r="K5" i="1" a="1"/>
  <c r="K5" i="1" s="1"/>
  <c r="K4" i="1" a="1"/>
  <c r="K4" i="1" s="1"/>
  <c r="K3" i="1" a="1"/>
  <c r="K3" i="1" s="1"/>
  <c r="J8" i="1" a="1"/>
  <c r="J8" i="1"/>
  <c r="J7" i="1" a="1"/>
  <c r="J7" i="1" s="1"/>
  <c r="J6" i="1" a="1"/>
  <c r="J6" i="1" s="1"/>
  <c r="J5" i="1" a="1"/>
  <c r="J5" i="1" s="1"/>
  <c r="J4" i="1" a="1"/>
  <c r="J4" i="1" s="1"/>
  <c r="J3" i="1" a="1"/>
  <c r="J3" i="1" s="1"/>
  <c r="M279" i="4"/>
  <c r="M278" i="4"/>
  <c r="M276" i="4"/>
  <c r="M274" i="4"/>
  <c r="M273" i="4"/>
  <c r="M272" i="4"/>
  <c r="M269" i="4"/>
  <c r="M261" i="4"/>
  <c r="M260" i="4"/>
  <c r="T260" i="4" s="1"/>
  <c r="M259" i="4"/>
  <c r="M258" i="4"/>
  <c r="M257" i="4"/>
  <c r="M256" i="4"/>
  <c r="M252" i="4"/>
  <c r="M241" i="4"/>
  <c r="M240" i="4"/>
  <c r="M238" i="4"/>
  <c r="T238" i="4" s="1"/>
  <c r="M236" i="4"/>
  <c r="M235" i="4"/>
  <c r="T235" i="4" s="1"/>
  <c r="M234" i="4"/>
  <c r="T234" i="4" s="1"/>
  <c r="M221" i="4"/>
  <c r="T221" i="4" s="1"/>
  <c r="M220" i="4"/>
  <c r="M218" i="4"/>
  <c r="M216" i="4"/>
  <c r="M214" i="4"/>
  <c r="M213" i="4"/>
  <c r="M212" i="4"/>
  <c r="M209" i="4"/>
  <c r="M208" i="4"/>
  <c r="T208" i="4" s="1"/>
  <c r="M201" i="4"/>
  <c r="M200" i="4"/>
  <c r="M198" i="4"/>
  <c r="M196" i="4"/>
  <c r="M194" i="4"/>
  <c r="T194" i="4" s="1"/>
  <c r="M193" i="4"/>
  <c r="M192" i="4"/>
  <c r="M189" i="4"/>
  <c r="M181" i="4"/>
  <c r="M180" i="4"/>
  <c r="M179" i="4"/>
  <c r="M178" i="4"/>
  <c r="M176" i="4"/>
  <c r="M172" i="4"/>
  <c r="M161" i="4"/>
  <c r="M160" i="4"/>
  <c r="M158" i="4"/>
  <c r="M156" i="4"/>
  <c r="M154" i="4"/>
  <c r="M141" i="4"/>
  <c r="M140" i="4"/>
  <c r="M138" i="4"/>
  <c r="M136" i="4"/>
  <c r="M134" i="4"/>
  <c r="M133" i="4"/>
  <c r="M132" i="4"/>
  <c r="M131" i="4"/>
  <c r="M129" i="4"/>
  <c r="M128" i="4"/>
  <c r="M121" i="4"/>
  <c r="M120" i="4"/>
  <c r="M118" i="4"/>
  <c r="M116" i="4"/>
  <c r="M114" i="4"/>
  <c r="M113" i="4"/>
  <c r="T113" i="4" s="1"/>
  <c r="M112" i="4"/>
  <c r="M109" i="4"/>
  <c r="M101" i="4"/>
  <c r="T101" i="4" s="1"/>
  <c r="M100" i="4"/>
  <c r="M99" i="4"/>
  <c r="T99" i="4" s="1"/>
  <c r="M98" i="4"/>
  <c r="M96" i="4"/>
  <c r="M92" i="4"/>
  <c r="M81" i="4"/>
  <c r="M80" i="4"/>
  <c r="M78" i="4"/>
  <c r="M76" i="4"/>
  <c r="M74" i="4"/>
  <c r="M73" i="4"/>
  <c r="M61" i="4"/>
  <c r="M60" i="4"/>
  <c r="M59" i="4"/>
  <c r="M58" i="4"/>
  <c r="M56" i="4"/>
  <c r="M54" i="4"/>
  <c r="M53" i="4"/>
  <c r="M52" i="4"/>
  <c r="M49" i="4"/>
  <c r="M48" i="4"/>
  <c r="M41" i="4"/>
  <c r="M40" i="4"/>
  <c r="M38" i="4"/>
  <c r="M36" i="4"/>
  <c r="M34" i="4"/>
  <c r="M33" i="4"/>
  <c r="M32" i="4"/>
  <c r="M29" i="4"/>
  <c r="M21" i="4"/>
  <c r="M20" i="4"/>
  <c r="T20" i="4" s="1"/>
  <c r="M19" i="4"/>
  <c r="T19" i="4" s="1"/>
  <c r="M18" i="4"/>
  <c r="M16" i="4"/>
  <c r="M12" i="4"/>
  <c r="I279" i="4"/>
  <c r="I278" i="4"/>
  <c r="I276" i="4"/>
  <c r="I274" i="4"/>
  <c r="I273" i="4"/>
  <c r="N273" i="4" s="1"/>
  <c r="I272" i="4"/>
  <c r="I261" i="4"/>
  <c r="I258" i="4"/>
  <c r="I257" i="4"/>
  <c r="I256" i="4"/>
  <c r="I254" i="4"/>
  <c r="I253" i="4"/>
  <c r="I252" i="4"/>
  <c r="P252" i="4" s="1"/>
  <c r="I251" i="4"/>
  <c r="I249" i="4"/>
  <c r="I247" i="4"/>
  <c r="I246" i="4"/>
  <c r="I241" i="4"/>
  <c r="P241" i="4" s="1"/>
  <c r="I238" i="4"/>
  <c r="I236" i="4"/>
  <c r="I234" i="4"/>
  <c r="I233" i="4"/>
  <c r="I232" i="4"/>
  <c r="I229" i="4"/>
  <c r="I221" i="4"/>
  <c r="I218" i="4"/>
  <c r="N218" i="4" s="1"/>
  <c r="I217" i="4"/>
  <c r="I216" i="4"/>
  <c r="I213" i="4"/>
  <c r="I212" i="4"/>
  <c r="I201" i="4"/>
  <c r="I198" i="4"/>
  <c r="I196" i="4"/>
  <c r="P196" i="4" s="1"/>
  <c r="I194" i="4"/>
  <c r="I193" i="4"/>
  <c r="I192" i="4"/>
  <c r="N192" i="4" s="1"/>
  <c r="I181" i="4"/>
  <c r="I178" i="4"/>
  <c r="I176" i="4"/>
  <c r="I174" i="4"/>
  <c r="I173" i="4"/>
  <c r="I172" i="4"/>
  <c r="I169" i="4"/>
  <c r="I167" i="4"/>
  <c r="I166" i="4"/>
  <c r="P166" i="4" s="1"/>
  <c r="I161" i="4"/>
  <c r="I158" i="4"/>
  <c r="I156" i="4"/>
  <c r="I154" i="4"/>
  <c r="I153" i="4"/>
  <c r="I152" i="4"/>
  <c r="I149" i="4"/>
  <c r="I141" i="4"/>
  <c r="I138" i="4"/>
  <c r="I137" i="4"/>
  <c r="I136" i="4"/>
  <c r="I133" i="4"/>
  <c r="I132" i="4"/>
  <c r="I131" i="4"/>
  <c r="I121" i="4"/>
  <c r="I118" i="4"/>
  <c r="I116" i="4"/>
  <c r="I114" i="4"/>
  <c r="I113" i="4"/>
  <c r="P113" i="4" s="1"/>
  <c r="I112" i="4"/>
  <c r="I101" i="4"/>
  <c r="P101" i="4" s="1"/>
  <c r="I99" i="4"/>
  <c r="I98" i="4"/>
  <c r="I96" i="4"/>
  <c r="I94" i="4"/>
  <c r="I93" i="4"/>
  <c r="I92" i="4"/>
  <c r="I89" i="4"/>
  <c r="I87" i="4"/>
  <c r="I86" i="4"/>
  <c r="P86" i="4" s="1"/>
  <c r="I81" i="4"/>
  <c r="I78" i="4"/>
  <c r="I76" i="4"/>
  <c r="I74" i="4"/>
  <c r="I73" i="4"/>
  <c r="I72" i="4"/>
  <c r="I69" i="4"/>
  <c r="I61" i="4"/>
  <c r="I59" i="4"/>
  <c r="I58" i="4"/>
  <c r="P58" i="4" s="1"/>
  <c r="I57" i="4"/>
  <c r="P57" i="4" s="1"/>
  <c r="I56" i="4"/>
  <c r="I53" i="4"/>
  <c r="I52" i="4"/>
  <c r="I41" i="4"/>
  <c r="I38" i="4"/>
  <c r="I36" i="4"/>
  <c r="P36" i="4" s="1"/>
  <c r="I34" i="4"/>
  <c r="I33" i="4"/>
  <c r="P33" i="4" s="1"/>
  <c r="I32" i="4"/>
  <c r="I21" i="4"/>
  <c r="I18" i="4"/>
  <c r="I16" i="4"/>
  <c r="I14" i="4"/>
  <c r="P14" i="4" s="1"/>
  <c r="I13" i="4"/>
  <c r="I12" i="4"/>
  <c r="I9" i="4"/>
  <c r="I7" i="4"/>
  <c r="I6" i="4"/>
  <c r="H279" i="4"/>
  <c r="H278" i="4"/>
  <c r="H276" i="4"/>
  <c r="H274" i="4"/>
  <c r="H273" i="4"/>
  <c r="O273" i="4" s="1"/>
  <c r="H272" i="4"/>
  <c r="H269" i="4"/>
  <c r="H268" i="4"/>
  <c r="H267" i="4"/>
  <c r="H264" i="4"/>
  <c r="O264" i="4" s="1"/>
  <c r="H261" i="4"/>
  <c r="H258" i="4"/>
  <c r="H257" i="4"/>
  <c r="O257" i="4" s="1"/>
  <c r="H256" i="4"/>
  <c r="H253" i="4"/>
  <c r="H252" i="4"/>
  <c r="H249" i="4"/>
  <c r="H244" i="4"/>
  <c r="H241" i="4"/>
  <c r="O241" i="4" s="1"/>
  <c r="H238" i="4"/>
  <c r="H237" i="4"/>
  <c r="H236" i="4"/>
  <c r="H234" i="4"/>
  <c r="O234" i="4" s="1"/>
  <c r="H233" i="4"/>
  <c r="H229" i="4"/>
  <c r="H224" i="4"/>
  <c r="H221" i="4"/>
  <c r="H218" i="4"/>
  <c r="H216" i="4"/>
  <c r="H214" i="4"/>
  <c r="H213" i="4"/>
  <c r="N213" i="4" s="1"/>
  <c r="H212" i="4"/>
  <c r="H210" i="4"/>
  <c r="H209" i="4"/>
  <c r="N209" i="4" s="1"/>
  <c r="H204" i="4"/>
  <c r="H201" i="4"/>
  <c r="H196" i="4"/>
  <c r="H194" i="4"/>
  <c r="H193" i="4"/>
  <c r="H192" i="4"/>
  <c r="H189" i="4"/>
  <c r="H188" i="4"/>
  <c r="N188" i="4" s="1"/>
  <c r="H184" i="4"/>
  <c r="N184" i="4" s="1"/>
  <c r="H181" i="4"/>
  <c r="H176" i="4"/>
  <c r="H174" i="4"/>
  <c r="H172" i="4"/>
  <c r="H169" i="4"/>
  <c r="H167" i="4"/>
  <c r="O167" i="4" s="1"/>
  <c r="H165" i="4"/>
  <c r="O165" i="4" s="1"/>
  <c r="H164" i="4"/>
  <c r="H161" i="4"/>
  <c r="H156" i="4"/>
  <c r="H155" i="4"/>
  <c r="H154" i="4"/>
  <c r="H149" i="4"/>
  <c r="H144" i="4"/>
  <c r="O144" i="4" s="1"/>
  <c r="H141" i="4"/>
  <c r="H136" i="4"/>
  <c r="N136" i="4" s="1"/>
  <c r="H134" i="4"/>
  <c r="H133" i="4"/>
  <c r="H132" i="4"/>
  <c r="H131" i="4"/>
  <c r="H130" i="4"/>
  <c r="O130" i="4" s="1"/>
  <c r="H129" i="4"/>
  <c r="O129" i="4" s="1"/>
  <c r="H124" i="4"/>
  <c r="H121" i="4"/>
  <c r="H116" i="4"/>
  <c r="H114" i="4"/>
  <c r="N114" i="4" s="1"/>
  <c r="H113" i="4"/>
  <c r="H112" i="4"/>
  <c r="H111" i="4"/>
  <c r="O111" i="4" s="1"/>
  <c r="H109" i="4"/>
  <c r="H108" i="4"/>
  <c r="O108" i="4" s="1"/>
  <c r="H104" i="4"/>
  <c r="H101" i="4"/>
  <c r="H99" i="4"/>
  <c r="H96" i="4"/>
  <c r="H94" i="4"/>
  <c r="O94" i="4" s="1"/>
  <c r="H92" i="4"/>
  <c r="H89" i="4"/>
  <c r="N89" i="4" s="1"/>
  <c r="H87" i="4"/>
  <c r="H85" i="4"/>
  <c r="H84" i="4"/>
  <c r="H82" i="4"/>
  <c r="H81" i="4"/>
  <c r="N81" i="4" s="1"/>
  <c r="H76" i="4"/>
  <c r="O76" i="4" s="1"/>
  <c r="H73" i="4"/>
  <c r="O73" i="4" s="1"/>
  <c r="H64" i="4"/>
  <c r="H61" i="4"/>
  <c r="H59" i="4"/>
  <c r="H57" i="4"/>
  <c r="H56" i="4"/>
  <c r="H54" i="4"/>
  <c r="H53" i="4"/>
  <c r="H52" i="4"/>
  <c r="H51" i="4"/>
  <c r="H50" i="4"/>
  <c r="H44" i="4"/>
  <c r="H41" i="4"/>
  <c r="O41" i="4" s="1"/>
  <c r="H36" i="4"/>
  <c r="H34" i="4"/>
  <c r="H33" i="4"/>
  <c r="H32" i="4"/>
  <c r="H29" i="4"/>
  <c r="H24" i="4"/>
  <c r="N24" i="4" s="1"/>
  <c r="H21" i="4"/>
  <c r="H16" i="4"/>
  <c r="H13" i="4"/>
  <c r="H12" i="4"/>
  <c r="H9" i="4"/>
  <c r="H7" i="4"/>
  <c r="H4" i="4"/>
  <c r="D279" i="4"/>
  <c r="D278" i="4"/>
  <c r="D277" i="4"/>
  <c r="H277" i="4" s="1"/>
  <c r="D276" i="4"/>
  <c r="D275" i="4"/>
  <c r="D274" i="4"/>
  <c r="D273" i="4"/>
  <c r="D272" i="4"/>
  <c r="D271" i="4"/>
  <c r="I271" i="4" s="1"/>
  <c r="D270" i="4"/>
  <c r="M270" i="4" s="1"/>
  <c r="D269" i="4"/>
  <c r="I269" i="4" s="1"/>
  <c r="D268" i="4"/>
  <c r="I268" i="4" s="1"/>
  <c r="D267" i="4"/>
  <c r="M267" i="4" s="1"/>
  <c r="D266" i="4"/>
  <c r="D265" i="4"/>
  <c r="I265" i="4" s="1"/>
  <c r="D264" i="4"/>
  <c r="I264" i="4" s="1"/>
  <c r="P264" i="4" s="1"/>
  <c r="D263" i="4"/>
  <c r="H263" i="4" s="1"/>
  <c r="D262" i="4"/>
  <c r="D261" i="4"/>
  <c r="D260" i="4"/>
  <c r="H260" i="4" s="1"/>
  <c r="D259" i="4"/>
  <c r="D258" i="4"/>
  <c r="D257" i="4"/>
  <c r="D256" i="4"/>
  <c r="D255" i="4"/>
  <c r="D254" i="4"/>
  <c r="H254" i="4" s="1"/>
  <c r="O254" i="4" s="1"/>
  <c r="D253" i="4"/>
  <c r="M253" i="4" s="1"/>
  <c r="T253" i="4" s="1"/>
  <c r="D252" i="4"/>
  <c r="D251" i="4"/>
  <c r="H251" i="4" s="1"/>
  <c r="N251" i="4" s="1"/>
  <c r="D250" i="4"/>
  <c r="M250" i="4" s="1"/>
  <c r="D249" i="4"/>
  <c r="M249" i="4" s="1"/>
  <c r="D248" i="4"/>
  <c r="I248" i="4" s="1"/>
  <c r="D247" i="4"/>
  <c r="M247" i="4" s="1"/>
  <c r="D246" i="4"/>
  <c r="D245" i="4"/>
  <c r="I245" i="4" s="1"/>
  <c r="D244" i="4"/>
  <c r="I244" i="4" s="1"/>
  <c r="D243" i="4"/>
  <c r="H243" i="4" s="1"/>
  <c r="D242" i="4"/>
  <c r="D241" i="4"/>
  <c r="D240" i="4"/>
  <c r="H240" i="4" s="1"/>
  <c r="D239" i="4"/>
  <c r="D238" i="4"/>
  <c r="D237" i="4"/>
  <c r="I237" i="4" s="1"/>
  <c r="P237" i="4" s="1"/>
  <c r="D236" i="4"/>
  <c r="D235" i="4"/>
  <c r="D234" i="4"/>
  <c r="D233" i="4"/>
  <c r="M233" i="4" s="1"/>
  <c r="T233" i="4" s="1"/>
  <c r="D232" i="4"/>
  <c r="H232" i="4" s="1"/>
  <c r="O232" i="4" s="1"/>
  <c r="D231" i="4"/>
  <c r="H231" i="4" s="1"/>
  <c r="O231" i="4" s="1"/>
  <c r="D230" i="4"/>
  <c r="M230" i="4" s="1"/>
  <c r="D229" i="4"/>
  <c r="M229" i="4" s="1"/>
  <c r="T229" i="4" s="1"/>
  <c r="D228" i="4"/>
  <c r="I228" i="4" s="1"/>
  <c r="D227" i="4"/>
  <c r="M227" i="4" s="1"/>
  <c r="D226" i="4"/>
  <c r="I226" i="4" s="1"/>
  <c r="D225" i="4"/>
  <c r="I225" i="4" s="1"/>
  <c r="D224" i="4"/>
  <c r="I224" i="4" s="1"/>
  <c r="D223" i="4"/>
  <c r="H223" i="4" s="1"/>
  <c r="D222" i="4"/>
  <c r="D221" i="4"/>
  <c r="D220" i="4"/>
  <c r="H220" i="4" s="1"/>
  <c r="D219" i="4"/>
  <c r="D218" i="4"/>
  <c r="D217" i="4"/>
  <c r="M217" i="4" s="1"/>
  <c r="D216" i="4"/>
  <c r="D215" i="4"/>
  <c r="D214" i="4"/>
  <c r="I214" i="4" s="1"/>
  <c r="P214" i="4" s="1"/>
  <c r="D213" i="4"/>
  <c r="D212" i="4"/>
  <c r="D211" i="4"/>
  <c r="I211" i="4" s="1"/>
  <c r="D210" i="4"/>
  <c r="M210" i="4" s="1"/>
  <c r="D209" i="4"/>
  <c r="I209" i="4" s="1"/>
  <c r="D208" i="4"/>
  <c r="I208" i="4" s="1"/>
  <c r="D207" i="4"/>
  <c r="M207" i="4" s="1"/>
  <c r="D206" i="4"/>
  <c r="I206" i="4" s="1"/>
  <c r="D205" i="4"/>
  <c r="I205" i="4" s="1"/>
  <c r="D204" i="4"/>
  <c r="I204" i="4" s="1"/>
  <c r="N204" i="4" s="1"/>
  <c r="D203" i="4"/>
  <c r="H203" i="4" s="1"/>
  <c r="D202" i="4"/>
  <c r="D201" i="4"/>
  <c r="D200" i="4"/>
  <c r="H200" i="4" s="1"/>
  <c r="D199" i="4"/>
  <c r="D198" i="4"/>
  <c r="H198" i="4" s="1"/>
  <c r="D197" i="4"/>
  <c r="M197" i="4" s="1"/>
  <c r="D196" i="4"/>
  <c r="D195" i="4"/>
  <c r="D194" i="4"/>
  <c r="D193" i="4"/>
  <c r="D192" i="4"/>
  <c r="D191" i="4"/>
  <c r="I191" i="4" s="1"/>
  <c r="P191" i="4" s="1"/>
  <c r="D190" i="4"/>
  <c r="M190" i="4" s="1"/>
  <c r="D189" i="4"/>
  <c r="I189" i="4" s="1"/>
  <c r="D188" i="4"/>
  <c r="I188" i="4" s="1"/>
  <c r="D187" i="4"/>
  <c r="M187" i="4" s="1"/>
  <c r="D186" i="4"/>
  <c r="D185" i="4"/>
  <c r="I185" i="4" s="1"/>
  <c r="D184" i="4"/>
  <c r="I184" i="4" s="1"/>
  <c r="D183" i="4"/>
  <c r="H183" i="4" s="1"/>
  <c r="D182" i="4"/>
  <c r="D181" i="4"/>
  <c r="D180" i="4"/>
  <c r="H180" i="4" s="1"/>
  <c r="D179" i="4"/>
  <c r="D178" i="4"/>
  <c r="H178" i="4" s="1"/>
  <c r="D177" i="4"/>
  <c r="M177" i="4" s="1"/>
  <c r="D176" i="4"/>
  <c r="D175" i="4"/>
  <c r="D174" i="4"/>
  <c r="M174" i="4" s="1"/>
  <c r="D173" i="4"/>
  <c r="M173" i="4" s="1"/>
  <c r="D172" i="4"/>
  <c r="D171" i="4"/>
  <c r="M171" i="4" s="1"/>
  <c r="D170" i="4"/>
  <c r="M170" i="4" s="1"/>
  <c r="D169" i="4"/>
  <c r="M169" i="4" s="1"/>
  <c r="D168" i="4"/>
  <c r="I168" i="4" s="1"/>
  <c r="D167" i="4"/>
  <c r="M167" i="4" s="1"/>
  <c r="D166" i="4"/>
  <c r="D165" i="4"/>
  <c r="I165" i="4" s="1"/>
  <c r="P165" i="4" s="1"/>
  <c r="D164" i="4"/>
  <c r="I164" i="4" s="1"/>
  <c r="D163" i="4"/>
  <c r="H163" i="4" s="1"/>
  <c r="D162" i="4"/>
  <c r="D161" i="4"/>
  <c r="D160" i="4"/>
  <c r="H160" i="4" s="1"/>
  <c r="D159" i="4"/>
  <c r="D158" i="4"/>
  <c r="H158" i="4" s="1"/>
  <c r="D157" i="4"/>
  <c r="I157" i="4" s="1"/>
  <c r="D156" i="4"/>
  <c r="D155" i="4"/>
  <c r="I155" i="4" s="1"/>
  <c r="D154" i="4"/>
  <c r="D153" i="4"/>
  <c r="M153" i="4" s="1"/>
  <c r="D152" i="4"/>
  <c r="M152" i="4" s="1"/>
  <c r="T152" i="4" s="1"/>
  <c r="D151" i="4"/>
  <c r="M151" i="4" s="1"/>
  <c r="D150" i="4"/>
  <c r="M150" i="4" s="1"/>
  <c r="T150" i="4" s="1"/>
  <c r="D149" i="4"/>
  <c r="M149" i="4" s="1"/>
  <c r="D148" i="4"/>
  <c r="I148" i="4" s="1"/>
  <c r="D147" i="4"/>
  <c r="M147" i="4" s="1"/>
  <c r="D146" i="4"/>
  <c r="I146" i="4" s="1"/>
  <c r="D145" i="4"/>
  <c r="I145" i="4" s="1"/>
  <c r="P145" i="4" s="1"/>
  <c r="D144" i="4"/>
  <c r="I144" i="4" s="1"/>
  <c r="D143" i="4"/>
  <c r="H143" i="4" s="1"/>
  <c r="O143" i="4" s="1"/>
  <c r="D142" i="4"/>
  <c r="D141" i="4"/>
  <c r="D140" i="4"/>
  <c r="H140" i="4" s="1"/>
  <c r="O140" i="4" s="1"/>
  <c r="D139" i="4"/>
  <c r="D138" i="4"/>
  <c r="H138" i="4" s="1"/>
  <c r="D137" i="4"/>
  <c r="M137" i="4" s="1"/>
  <c r="T137" i="4" s="1"/>
  <c r="D136" i="4"/>
  <c r="D135" i="4"/>
  <c r="D134" i="4"/>
  <c r="I134" i="4" s="1"/>
  <c r="N134" i="4" s="1"/>
  <c r="D133" i="4"/>
  <c r="D132" i="4"/>
  <c r="D131" i="4"/>
  <c r="D130" i="4"/>
  <c r="M130" i="4" s="1"/>
  <c r="D129" i="4"/>
  <c r="I129" i="4" s="1"/>
  <c r="P129" i="4" s="1"/>
  <c r="D128" i="4"/>
  <c r="I128" i="4" s="1"/>
  <c r="D127" i="4"/>
  <c r="M127" i="4" s="1"/>
  <c r="D126" i="4"/>
  <c r="I126" i="4" s="1"/>
  <c r="P126" i="4" s="1"/>
  <c r="D125" i="4"/>
  <c r="I125" i="4" s="1"/>
  <c r="D124" i="4"/>
  <c r="I124" i="4" s="1"/>
  <c r="D123" i="4"/>
  <c r="H123" i="4" s="1"/>
  <c r="D122" i="4"/>
  <c r="D121" i="4"/>
  <c r="D120" i="4"/>
  <c r="H120" i="4" s="1"/>
  <c r="D119" i="4"/>
  <c r="D118" i="4"/>
  <c r="H118" i="4" s="1"/>
  <c r="D117" i="4"/>
  <c r="M117" i="4" s="1"/>
  <c r="D116" i="4"/>
  <c r="D115" i="4"/>
  <c r="D114" i="4"/>
  <c r="D113" i="4"/>
  <c r="D112" i="4"/>
  <c r="D111" i="4"/>
  <c r="I111" i="4" s="1"/>
  <c r="D110" i="4"/>
  <c r="M110" i="4" s="1"/>
  <c r="D109" i="4"/>
  <c r="I109" i="4" s="1"/>
  <c r="D108" i="4"/>
  <c r="I108" i="4" s="1"/>
  <c r="D107" i="4"/>
  <c r="M107" i="4" s="1"/>
  <c r="D106" i="4"/>
  <c r="D105" i="4"/>
  <c r="I105" i="4" s="1"/>
  <c r="D104" i="4"/>
  <c r="I104" i="4" s="1"/>
  <c r="D103" i="4"/>
  <c r="H103" i="4" s="1"/>
  <c r="D102" i="4"/>
  <c r="D101" i="4"/>
  <c r="D100" i="4"/>
  <c r="H100" i="4" s="1"/>
  <c r="D99" i="4"/>
  <c r="D98" i="4"/>
  <c r="H98" i="4" s="1"/>
  <c r="D97" i="4"/>
  <c r="M97" i="4" s="1"/>
  <c r="D96" i="4"/>
  <c r="D95" i="4"/>
  <c r="D94" i="4"/>
  <c r="M94" i="4" s="1"/>
  <c r="D93" i="4"/>
  <c r="M93" i="4" s="1"/>
  <c r="D92" i="4"/>
  <c r="D91" i="4"/>
  <c r="M91" i="4" s="1"/>
  <c r="D90" i="4"/>
  <c r="M90" i="4" s="1"/>
  <c r="D89" i="4"/>
  <c r="M89" i="4" s="1"/>
  <c r="T89" i="4" s="1"/>
  <c r="D88" i="4"/>
  <c r="I88" i="4" s="1"/>
  <c r="D87" i="4"/>
  <c r="M87" i="4" s="1"/>
  <c r="D86" i="4"/>
  <c r="D85" i="4"/>
  <c r="I85" i="4" s="1"/>
  <c r="D84" i="4"/>
  <c r="I84" i="4" s="1"/>
  <c r="D83" i="4"/>
  <c r="H83" i="4" s="1"/>
  <c r="O83" i="4" s="1"/>
  <c r="D82" i="4"/>
  <c r="D81" i="4"/>
  <c r="D80" i="4"/>
  <c r="H80" i="4" s="1"/>
  <c r="D79" i="4"/>
  <c r="D78" i="4"/>
  <c r="H78" i="4" s="1"/>
  <c r="N78" i="4" s="1"/>
  <c r="D77" i="4"/>
  <c r="I77" i="4" s="1"/>
  <c r="D76" i="4"/>
  <c r="D75" i="4"/>
  <c r="I75" i="4" s="1"/>
  <c r="D74" i="4"/>
  <c r="H74" i="4" s="1"/>
  <c r="D73" i="4"/>
  <c r="D72" i="4"/>
  <c r="M72" i="4" s="1"/>
  <c r="D71" i="4"/>
  <c r="M71" i="4" s="1"/>
  <c r="D70" i="4"/>
  <c r="M70" i="4" s="1"/>
  <c r="D69" i="4"/>
  <c r="M69" i="4" s="1"/>
  <c r="D68" i="4"/>
  <c r="I68" i="4" s="1"/>
  <c r="D67" i="4"/>
  <c r="M67" i="4" s="1"/>
  <c r="D66" i="4"/>
  <c r="I66" i="4" s="1"/>
  <c r="D65" i="4"/>
  <c r="I65" i="4" s="1"/>
  <c r="P65" i="4" s="1"/>
  <c r="D64" i="4"/>
  <c r="I64" i="4" s="1"/>
  <c r="D63" i="4"/>
  <c r="H63" i="4" s="1"/>
  <c r="D62" i="4"/>
  <c r="D61" i="4"/>
  <c r="D60" i="4"/>
  <c r="H60" i="4" s="1"/>
  <c r="D59" i="4"/>
  <c r="D58" i="4"/>
  <c r="H58" i="4" s="1"/>
  <c r="D57" i="4"/>
  <c r="M57" i="4" s="1"/>
  <c r="T57" i="4" s="1"/>
  <c r="D56" i="4"/>
  <c r="D55" i="4"/>
  <c r="D54" i="4"/>
  <c r="I54" i="4" s="1"/>
  <c r="N54" i="4" s="1"/>
  <c r="D53" i="4"/>
  <c r="D52" i="4"/>
  <c r="D51" i="4"/>
  <c r="I51" i="4" s="1"/>
  <c r="D50" i="4"/>
  <c r="M50" i="4" s="1"/>
  <c r="D49" i="4"/>
  <c r="H49" i="4" s="1"/>
  <c r="D48" i="4"/>
  <c r="I48" i="4" s="1"/>
  <c r="D47" i="4"/>
  <c r="M47" i="4" s="1"/>
  <c r="D46" i="4"/>
  <c r="I46" i="4" s="1"/>
  <c r="D45" i="4"/>
  <c r="I45" i="4" s="1"/>
  <c r="P45" i="4" s="1"/>
  <c r="D44" i="4"/>
  <c r="I44" i="4" s="1"/>
  <c r="D43" i="4"/>
  <c r="D42" i="4"/>
  <c r="D41" i="4"/>
  <c r="D40" i="4"/>
  <c r="H40" i="4" s="1"/>
  <c r="O40" i="4" s="1"/>
  <c r="D39" i="4"/>
  <c r="D38" i="4"/>
  <c r="H38" i="4" s="1"/>
  <c r="D37" i="4"/>
  <c r="M37" i="4" s="1"/>
  <c r="D36" i="4"/>
  <c r="D35" i="4"/>
  <c r="D34" i="4"/>
  <c r="D33" i="4"/>
  <c r="D32" i="4"/>
  <c r="D31" i="4"/>
  <c r="I31" i="4" s="1"/>
  <c r="D30" i="4"/>
  <c r="M30" i="4" s="1"/>
  <c r="D29" i="4"/>
  <c r="I29" i="4" s="1"/>
  <c r="D28" i="4"/>
  <c r="I28" i="4" s="1"/>
  <c r="D27" i="4"/>
  <c r="M27" i="4" s="1"/>
  <c r="D26" i="4"/>
  <c r="D25" i="4"/>
  <c r="D24" i="4"/>
  <c r="I24" i="4" s="1"/>
  <c r="D23" i="4"/>
  <c r="D22" i="4"/>
  <c r="D21" i="4"/>
  <c r="D20" i="4"/>
  <c r="H20" i="4" s="1"/>
  <c r="D19" i="4"/>
  <c r="D18" i="4"/>
  <c r="H18" i="4" s="1"/>
  <c r="N18" i="4" s="1"/>
  <c r="D17" i="4"/>
  <c r="M17" i="4" s="1"/>
  <c r="T17" i="4" s="1"/>
  <c r="D16" i="4"/>
  <c r="D15" i="4"/>
  <c r="D14" i="4"/>
  <c r="M14" i="4" s="1"/>
  <c r="D13" i="4"/>
  <c r="M13" i="4" s="1"/>
  <c r="D12" i="4"/>
  <c r="D11" i="4"/>
  <c r="M11" i="4" s="1"/>
  <c r="D10" i="4"/>
  <c r="M10" i="4" s="1"/>
  <c r="D9" i="4"/>
  <c r="M9" i="4" s="1"/>
  <c r="D8" i="4"/>
  <c r="I8" i="4" s="1"/>
  <c r="D7" i="4"/>
  <c r="M7" i="4" s="1"/>
  <c r="D6" i="4"/>
  <c r="D5" i="4"/>
  <c r="D4" i="4"/>
  <c r="I4" i="4" s="1"/>
  <c r="D3" i="4"/>
  <c r="D2" i="4"/>
  <c r="M107" i="3"/>
  <c r="M105" i="3"/>
  <c r="M104" i="3"/>
  <c r="M102" i="3"/>
  <c r="M101" i="3"/>
  <c r="M100" i="3"/>
  <c r="M98" i="3"/>
  <c r="M96" i="3"/>
  <c r="M92" i="3"/>
  <c r="M87" i="3"/>
  <c r="M84" i="3"/>
  <c r="M81" i="3"/>
  <c r="M80" i="3"/>
  <c r="M78" i="3"/>
  <c r="T78" i="3" s="1"/>
  <c r="M76" i="3"/>
  <c r="M67" i="3"/>
  <c r="M64" i="3"/>
  <c r="M61" i="3"/>
  <c r="M60" i="3"/>
  <c r="M59" i="3"/>
  <c r="M58" i="3"/>
  <c r="M56" i="3"/>
  <c r="M55" i="3"/>
  <c r="M52" i="3"/>
  <c r="T52" i="3" s="1"/>
  <c r="M47" i="3"/>
  <c r="M44" i="3"/>
  <c r="T44" i="3" s="1"/>
  <c r="M40" i="3"/>
  <c r="M39" i="3"/>
  <c r="M38" i="3"/>
  <c r="M36" i="3"/>
  <c r="M33" i="3"/>
  <c r="T33" i="3" s="1"/>
  <c r="M32" i="3"/>
  <c r="M31" i="3"/>
  <c r="M27" i="3"/>
  <c r="M24" i="3"/>
  <c r="M22" i="3"/>
  <c r="M20" i="3"/>
  <c r="M18" i="3"/>
  <c r="M16" i="3"/>
  <c r="T16" i="3" s="1"/>
  <c r="M12" i="3"/>
  <c r="M7" i="3"/>
  <c r="M5" i="3"/>
  <c r="M4" i="3"/>
  <c r="M2" i="3"/>
  <c r="I111" i="3"/>
  <c r="P111" i="3" s="1"/>
  <c r="I110" i="3"/>
  <c r="I107" i="3"/>
  <c r="I102" i="3"/>
  <c r="I99" i="3"/>
  <c r="I92" i="3"/>
  <c r="I91" i="3"/>
  <c r="I90" i="3"/>
  <c r="I89" i="3"/>
  <c r="I87" i="3"/>
  <c r="I86" i="3"/>
  <c r="I82" i="3"/>
  <c r="I79" i="3"/>
  <c r="I72" i="3"/>
  <c r="I70" i="3"/>
  <c r="I67" i="3"/>
  <c r="I65" i="3"/>
  <c r="I53" i="3"/>
  <c r="I52" i="3"/>
  <c r="I50" i="3"/>
  <c r="I47" i="3"/>
  <c r="I45" i="3"/>
  <c r="I39" i="3"/>
  <c r="I35" i="3"/>
  <c r="P35" i="3" s="1"/>
  <c r="I34" i="3"/>
  <c r="P34" i="3" s="1"/>
  <c r="I32" i="3"/>
  <c r="I31" i="3"/>
  <c r="N31" i="3" s="1"/>
  <c r="I30" i="3"/>
  <c r="I27" i="3"/>
  <c r="I19" i="3"/>
  <c r="I12" i="3"/>
  <c r="I11" i="3"/>
  <c r="P11" i="3" s="1"/>
  <c r="I10" i="3"/>
  <c r="I7" i="3"/>
  <c r="I6" i="3"/>
  <c r="I2" i="3"/>
  <c r="H109" i="3"/>
  <c r="H104" i="3"/>
  <c r="H102" i="3"/>
  <c r="H101" i="3"/>
  <c r="H100" i="3"/>
  <c r="H99" i="3"/>
  <c r="H98" i="3"/>
  <c r="H97" i="3"/>
  <c r="H96" i="3"/>
  <c r="H95" i="3"/>
  <c r="H93" i="3"/>
  <c r="H92" i="3"/>
  <c r="H87" i="3"/>
  <c r="H84" i="3"/>
  <c r="H82" i="3"/>
  <c r="H81" i="3"/>
  <c r="H80" i="3"/>
  <c r="H78" i="3"/>
  <c r="H76" i="3"/>
  <c r="H72" i="3"/>
  <c r="H69" i="3"/>
  <c r="H67" i="3"/>
  <c r="H65" i="3"/>
  <c r="H64" i="3"/>
  <c r="H61" i="3"/>
  <c r="N61" i="3" s="1"/>
  <c r="H60" i="3"/>
  <c r="H59" i="3"/>
  <c r="H58" i="3"/>
  <c r="O58" i="3" s="1"/>
  <c r="H57" i="3"/>
  <c r="O57" i="3" s="1"/>
  <c r="H56" i="3"/>
  <c r="H52" i="3"/>
  <c r="N52" i="3" s="1"/>
  <c r="H45" i="3"/>
  <c r="H44" i="3"/>
  <c r="H42" i="3"/>
  <c r="H40" i="3"/>
  <c r="H39" i="3"/>
  <c r="H38" i="3"/>
  <c r="H36" i="3"/>
  <c r="H32" i="3"/>
  <c r="H31" i="3"/>
  <c r="O31" i="3" s="1"/>
  <c r="H24" i="3"/>
  <c r="H20" i="3"/>
  <c r="H18" i="3"/>
  <c r="O18" i="3" s="1"/>
  <c r="H16" i="3"/>
  <c r="H15" i="3"/>
  <c r="H12" i="3"/>
  <c r="H9" i="3"/>
  <c r="H7" i="3"/>
  <c r="H4" i="3"/>
  <c r="H2" i="3"/>
  <c r="D111" i="3"/>
  <c r="D110" i="3"/>
  <c r="D109" i="3"/>
  <c r="M109" i="3" s="1"/>
  <c r="D108" i="3"/>
  <c r="I108" i="3" s="1"/>
  <c r="D107" i="3"/>
  <c r="H107" i="3" s="1"/>
  <c r="D106" i="3"/>
  <c r="D105" i="3"/>
  <c r="I105" i="3" s="1"/>
  <c r="D104" i="3"/>
  <c r="I104" i="3" s="1"/>
  <c r="D103" i="3"/>
  <c r="D102" i="3"/>
  <c r="D101" i="3"/>
  <c r="I101" i="3" s="1"/>
  <c r="D100" i="3"/>
  <c r="I100" i="3" s="1"/>
  <c r="P100" i="3" s="1"/>
  <c r="D99" i="3"/>
  <c r="M99" i="3" s="1"/>
  <c r="D98" i="3"/>
  <c r="I98" i="3" s="1"/>
  <c r="D97" i="3"/>
  <c r="D96" i="3"/>
  <c r="I96" i="3" s="1"/>
  <c r="D95" i="3"/>
  <c r="M95" i="3" s="1"/>
  <c r="D94" i="3"/>
  <c r="D93" i="3"/>
  <c r="D92" i="3"/>
  <c r="D91" i="3"/>
  <c r="D90" i="3"/>
  <c r="D89" i="3"/>
  <c r="M89" i="3" s="1"/>
  <c r="D88" i="3"/>
  <c r="D87" i="3"/>
  <c r="D86" i="3"/>
  <c r="D85" i="3"/>
  <c r="M85" i="3" s="1"/>
  <c r="D84" i="3"/>
  <c r="I84" i="3" s="1"/>
  <c r="D83" i="3"/>
  <c r="D82" i="3"/>
  <c r="M82" i="3" s="1"/>
  <c r="D81" i="3"/>
  <c r="I81" i="3" s="1"/>
  <c r="D80" i="3"/>
  <c r="I80" i="3" s="1"/>
  <c r="D79" i="3"/>
  <c r="H79" i="3" s="1"/>
  <c r="D78" i="3"/>
  <c r="I78" i="3" s="1"/>
  <c r="P78" i="3" s="1"/>
  <c r="D77" i="3"/>
  <c r="D76" i="3"/>
  <c r="I76" i="3" s="1"/>
  <c r="D75" i="3"/>
  <c r="M75" i="3" s="1"/>
  <c r="D74" i="3"/>
  <c r="D73" i="3"/>
  <c r="D72" i="3"/>
  <c r="M72" i="3" s="1"/>
  <c r="D71" i="3"/>
  <c r="I71" i="3" s="1"/>
  <c r="D70" i="3"/>
  <c r="D69" i="3"/>
  <c r="M69" i="3" s="1"/>
  <c r="D68" i="3"/>
  <c r="D67" i="3"/>
  <c r="D66" i="3"/>
  <c r="I66" i="3" s="1"/>
  <c r="D65" i="3"/>
  <c r="M65" i="3" s="1"/>
  <c r="D64" i="3"/>
  <c r="I64" i="3" s="1"/>
  <c r="D63" i="3"/>
  <c r="I63" i="3" s="1"/>
  <c r="P63" i="3" s="1"/>
  <c r="D62" i="3"/>
  <c r="M62" i="3" s="1"/>
  <c r="D61" i="3"/>
  <c r="I61" i="3" s="1"/>
  <c r="D60" i="3"/>
  <c r="I60" i="3" s="1"/>
  <c r="P60" i="3" s="1"/>
  <c r="D59" i="3"/>
  <c r="I59" i="3" s="1"/>
  <c r="D58" i="3"/>
  <c r="I58" i="3" s="1"/>
  <c r="D57" i="3"/>
  <c r="D56" i="3"/>
  <c r="I56" i="3" s="1"/>
  <c r="D55" i="3"/>
  <c r="H55" i="3" s="1"/>
  <c r="D54" i="3"/>
  <c r="D53" i="3"/>
  <c r="D52" i="3"/>
  <c r="D51" i="3"/>
  <c r="D50" i="3"/>
  <c r="D49" i="3"/>
  <c r="D48" i="3"/>
  <c r="D47" i="3"/>
  <c r="H47" i="3" s="1"/>
  <c r="D46" i="3"/>
  <c r="D45" i="3"/>
  <c r="M45" i="3" s="1"/>
  <c r="T45" i="3" s="1"/>
  <c r="D44" i="3"/>
  <c r="I44" i="3" s="1"/>
  <c r="D43" i="3"/>
  <c r="D42" i="3"/>
  <c r="M42" i="3" s="1"/>
  <c r="D41" i="3"/>
  <c r="D40" i="3"/>
  <c r="I40" i="3" s="1"/>
  <c r="P40" i="3" s="1"/>
  <c r="D39" i="3"/>
  <c r="D38" i="3"/>
  <c r="I38" i="3" s="1"/>
  <c r="D37" i="3"/>
  <c r="D36" i="3"/>
  <c r="I36" i="3" s="1"/>
  <c r="D35" i="3"/>
  <c r="M35" i="3" s="1"/>
  <c r="D34" i="3"/>
  <c r="D33" i="3"/>
  <c r="D32" i="3"/>
  <c r="D31" i="3"/>
  <c r="D30" i="3"/>
  <c r="D29" i="3"/>
  <c r="D28" i="3"/>
  <c r="D27" i="3"/>
  <c r="H27" i="3" s="1"/>
  <c r="D26" i="3"/>
  <c r="D25" i="3"/>
  <c r="I25" i="3" s="1"/>
  <c r="D24" i="3"/>
  <c r="I24" i="3" s="1"/>
  <c r="D23" i="3"/>
  <c r="D22" i="3"/>
  <c r="I22" i="3" s="1"/>
  <c r="D21" i="3"/>
  <c r="D20" i="3"/>
  <c r="I20" i="3" s="1"/>
  <c r="D19" i="3"/>
  <c r="M19" i="3" s="1"/>
  <c r="D18" i="3"/>
  <c r="I18" i="3" s="1"/>
  <c r="D17" i="3"/>
  <c r="D16" i="3"/>
  <c r="I16" i="3" s="1"/>
  <c r="D15" i="3"/>
  <c r="M15" i="3" s="1"/>
  <c r="D14" i="3"/>
  <c r="D13" i="3"/>
  <c r="D12" i="3"/>
  <c r="D11" i="3"/>
  <c r="D10" i="3"/>
  <c r="D9" i="3"/>
  <c r="D8" i="3"/>
  <c r="D7" i="3"/>
  <c r="D6" i="3"/>
  <c r="D5" i="3"/>
  <c r="I5" i="3" s="1"/>
  <c r="D4" i="3"/>
  <c r="I4" i="3" s="1"/>
  <c r="D3" i="3"/>
  <c r="D2" i="3"/>
  <c r="M94" i="2"/>
  <c r="M92" i="2"/>
  <c r="M90" i="2"/>
  <c r="M87" i="2"/>
  <c r="M83" i="2"/>
  <c r="M73" i="2"/>
  <c r="M72" i="2"/>
  <c r="M70" i="2"/>
  <c r="M67" i="2"/>
  <c r="M60" i="2"/>
  <c r="M54" i="2"/>
  <c r="M52" i="2"/>
  <c r="M50" i="2"/>
  <c r="M43" i="2"/>
  <c r="M40" i="2"/>
  <c r="M36" i="2"/>
  <c r="T36" i="2" s="1"/>
  <c r="M27" i="2"/>
  <c r="M20" i="2"/>
  <c r="M19" i="2"/>
  <c r="M16" i="2"/>
  <c r="M12" i="2"/>
  <c r="M8" i="2"/>
  <c r="M3" i="2"/>
  <c r="T3" i="2" s="1"/>
  <c r="I94" i="2"/>
  <c r="I92" i="2"/>
  <c r="I91" i="2"/>
  <c r="I87" i="2"/>
  <c r="I81" i="2"/>
  <c r="I73" i="2"/>
  <c r="I72" i="2"/>
  <c r="I67" i="2"/>
  <c r="I65" i="2"/>
  <c r="I60" i="2"/>
  <c r="N60" i="2" s="1"/>
  <c r="I54" i="2"/>
  <c r="I43" i="2"/>
  <c r="P43" i="2" s="1"/>
  <c r="I39" i="2"/>
  <c r="I33" i="2"/>
  <c r="I32" i="2"/>
  <c r="I31" i="2"/>
  <c r="I16" i="2"/>
  <c r="I15" i="2"/>
  <c r="N15" i="2" s="1"/>
  <c r="I12" i="2"/>
  <c r="I11" i="2"/>
  <c r="I7" i="2"/>
  <c r="I3" i="2"/>
  <c r="P3" i="2" s="1"/>
  <c r="H94" i="2"/>
  <c r="H92" i="2"/>
  <c r="H90" i="2"/>
  <c r="O90" i="2" s="1"/>
  <c r="H89" i="2"/>
  <c r="O89" i="2" s="1"/>
  <c r="H87" i="2"/>
  <c r="H81" i="2"/>
  <c r="H76" i="2"/>
  <c r="H73" i="2"/>
  <c r="H72" i="2"/>
  <c r="H71" i="2"/>
  <c r="H70" i="2"/>
  <c r="H62" i="2"/>
  <c r="H56" i="2"/>
  <c r="H55" i="2"/>
  <c r="N55" i="2" s="1"/>
  <c r="H54" i="2"/>
  <c r="H52" i="2"/>
  <c r="H51" i="2"/>
  <c r="O51" i="2" s="1"/>
  <c r="H50" i="2"/>
  <c r="H49" i="2"/>
  <c r="O49" i="2" s="1"/>
  <c r="H41" i="2"/>
  <c r="H36" i="2"/>
  <c r="O36" i="2" s="1"/>
  <c r="H34" i="2"/>
  <c r="H33" i="2"/>
  <c r="H32" i="2"/>
  <c r="H31" i="2"/>
  <c r="H30" i="2"/>
  <c r="O30" i="2" s="1"/>
  <c r="H27" i="2"/>
  <c r="H18" i="2"/>
  <c r="H16" i="2"/>
  <c r="N16" i="2" s="1"/>
  <c r="H14" i="2"/>
  <c r="H12" i="2"/>
  <c r="H11" i="2"/>
  <c r="H7" i="2"/>
  <c r="H6" i="2"/>
  <c r="H5" i="2"/>
  <c r="H2" i="2"/>
  <c r="D94" i="2"/>
  <c r="D93" i="2"/>
  <c r="D92" i="2"/>
  <c r="D91" i="2"/>
  <c r="M91" i="2" s="1"/>
  <c r="D90" i="2"/>
  <c r="I90" i="2" s="1"/>
  <c r="D89" i="2"/>
  <c r="D88" i="2"/>
  <c r="I88" i="2" s="1"/>
  <c r="D87" i="2"/>
  <c r="D86" i="2"/>
  <c r="D85" i="2"/>
  <c r="H85" i="2" s="1"/>
  <c r="D84" i="2"/>
  <c r="M84" i="2" s="1"/>
  <c r="D83" i="2"/>
  <c r="D82" i="2"/>
  <c r="D81" i="2"/>
  <c r="M81" i="2" s="1"/>
  <c r="D80" i="2"/>
  <c r="D79" i="2"/>
  <c r="H79" i="2" s="1"/>
  <c r="O79" i="2" s="1"/>
  <c r="D78" i="2"/>
  <c r="H78" i="2" s="1"/>
  <c r="O78" i="2" s="1"/>
  <c r="D77" i="2"/>
  <c r="D76" i="2"/>
  <c r="I76" i="2" s="1"/>
  <c r="D75" i="2"/>
  <c r="D74" i="2"/>
  <c r="D73" i="2"/>
  <c r="D72" i="2"/>
  <c r="D71" i="2"/>
  <c r="M71" i="2" s="1"/>
  <c r="D70" i="2"/>
  <c r="I70" i="2" s="1"/>
  <c r="D69" i="2"/>
  <c r="D68" i="2"/>
  <c r="D67" i="2"/>
  <c r="H67" i="2" s="1"/>
  <c r="D66" i="2"/>
  <c r="D65" i="2"/>
  <c r="D64" i="2"/>
  <c r="D63" i="2"/>
  <c r="D62" i="2"/>
  <c r="D61" i="2"/>
  <c r="H61" i="2" s="1"/>
  <c r="D60" i="2"/>
  <c r="H60" i="2" s="1"/>
  <c r="D59" i="2"/>
  <c r="D58" i="2"/>
  <c r="D57" i="2"/>
  <c r="D56" i="2"/>
  <c r="M56" i="2" s="1"/>
  <c r="D55" i="2"/>
  <c r="I55" i="2" s="1"/>
  <c r="D54" i="2"/>
  <c r="D53" i="2"/>
  <c r="I53" i="2" s="1"/>
  <c r="P53" i="2" s="1"/>
  <c r="D52" i="2"/>
  <c r="I52" i="2" s="1"/>
  <c r="D51" i="2"/>
  <c r="M51" i="2" s="1"/>
  <c r="D50" i="2"/>
  <c r="I50" i="2" s="1"/>
  <c r="D49" i="2"/>
  <c r="D48" i="2"/>
  <c r="I48" i="2" s="1"/>
  <c r="P48" i="2" s="1"/>
  <c r="D47" i="2"/>
  <c r="I47" i="2" s="1"/>
  <c r="P47" i="2" s="1"/>
  <c r="D46" i="2"/>
  <c r="M46" i="2" s="1"/>
  <c r="T46" i="2" s="1"/>
  <c r="D45" i="2"/>
  <c r="D44" i="2"/>
  <c r="M44" i="2" s="1"/>
  <c r="T44" i="2" s="1"/>
  <c r="D43" i="2"/>
  <c r="H43" i="2" s="1"/>
  <c r="D42" i="2"/>
  <c r="H42" i="2" s="1"/>
  <c r="D41" i="2"/>
  <c r="D40" i="2"/>
  <c r="D39" i="2"/>
  <c r="D38" i="2"/>
  <c r="D37" i="2"/>
  <c r="D36" i="2"/>
  <c r="I36" i="2" s="1"/>
  <c r="D35" i="2"/>
  <c r="D34" i="2"/>
  <c r="D33" i="2"/>
  <c r="M33" i="2" s="1"/>
  <c r="D32" i="2"/>
  <c r="M32" i="2" s="1"/>
  <c r="D31" i="2"/>
  <c r="M31" i="2" s="1"/>
  <c r="D30" i="2"/>
  <c r="I30" i="2" s="1"/>
  <c r="D29" i="2"/>
  <c r="D28" i="2"/>
  <c r="D27" i="2"/>
  <c r="I27" i="2" s="1"/>
  <c r="N27" i="2" s="1"/>
  <c r="D26" i="2"/>
  <c r="D25" i="2"/>
  <c r="D24" i="2"/>
  <c r="D23" i="2"/>
  <c r="D22" i="2"/>
  <c r="M22" i="2" s="1"/>
  <c r="D21" i="2"/>
  <c r="I21" i="2" s="1"/>
  <c r="P21" i="2" s="1"/>
  <c r="D20" i="2"/>
  <c r="H20" i="2" s="1"/>
  <c r="D19" i="2"/>
  <c r="D18" i="2"/>
  <c r="D17" i="2"/>
  <c r="D16" i="2"/>
  <c r="D15" i="2"/>
  <c r="H15" i="2" s="1"/>
  <c r="D14" i="2"/>
  <c r="D13" i="2"/>
  <c r="D12" i="2"/>
  <c r="D11" i="2"/>
  <c r="M11" i="2" s="1"/>
  <c r="D10" i="2"/>
  <c r="I10" i="2" s="1"/>
  <c r="P10" i="2" s="1"/>
  <c r="D9" i="2"/>
  <c r="D8" i="2"/>
  <c r="H8" i="2" s="1"/>
  <c r="D7" i="2"/>
  <c r="M7" i="2" s="1"/>
  <c r="D6" i="2"/>
  <c r="D5" i="2"/>
  <c r="D4" i="2"/>
  <c r="D3" i="2"/>
  <c r="H3" i="2" s="1"/>
  <c r="D2" i="2"/>
  <c r="N129" i="4"/>
  <c r="N131" i="4"/>
  <c r="N132" i="4"/>
  <c r="N133" i="4"/>
  <c r="N138" i="4"/>
  <c r="N141" i="4"/>
  <c r="N144" i="4"/>
  <c r="N149" i="4"/>
  <c r="N154" i="4"/>
  <c r="N156" i="4"/>
  <c r="N158" i="4"/>
  <c r="N161" i="4"/>
  <c r="N164" i="4"/>
  <c r="N167" i="4"/>
  <c r="N169" i="4"/>
  <c r="N172" i="4"/>
  <c r="N174" i="4"/>
  <c r="N176" i="4"/>
  <c r="N178" i="4"/>
  <c r="N181" i="4"/>
  <c r="N189" i="4"/>
  <c r="N193" i="4"/>
  <c r="N194" i="4"/>
  <c r="N196" i="4"/>
  <c r="N198" i="4"/>
  <c r="N201" i="4"/>
  <c r="N7" i="4"/>
  <c r="N9" i="4"/>
  <c r="N12" i="4"/>
  <c r="N13" i="4"/>
  <c r="N16" i="4"/>
  <c r="N21" i="4"/>
  <c r="N32" i="4"/>
  <c r="N33" i="4"/>
  <c r="N34" i="4"/>
  <c r="N38" i="4"/>
  <c r="N41" i="4"/>
  <c r="N44" i="4"/>
  <c r="N51" i="4"/>
  <c r="N52" i="4"/>
  <c r="N53" i="4"/>
  <c r="N56" i="4"/>
  <c r="N59" i="4"/>
  <c r="N61" i="4"/>
  <c r="N64" i="4"/>
  <c r="N73" i="4"/>
  <c r="N74" i="4"/>
  <c r="N76" i="4"/>
  <c r="N84" i="4"/>
  <c r="N85" i="4"/>
  <c r="N87" i="4"/>
  <c r="N92" i="4"/>
  <c r="N94" i="4"/>
  <c r="N96" i="4"/>
  <c r="N98" i="4"/>
  <c r="N99" i="4"/>
  <c r="N101" i="4"/>
  <c r="N104" i="4"/>
  <c r="N116" i="4"/>
  <c r="N118" i="4"/>
  <c r="N121" i="4"/>
  <c r="N232" i="4"/>
  <c r="N233" i="4"/>
  <c r="N234" i="4"/>
  <c r="N236" i="4"/>
  <c r="N237" i="4"/>
  <c r="N238" i="4"/>
  <c r="N244" i="4"/>
  <c r="N249" i="4"/>
  <c r="N252" i="4"/>
  <c r="N253" i="4"/>
  <c r="N254" i="4"/>
  <c r="N256" i="4"/>
  <c r="N258" i="4"/>
  <c r="N261" i="4"/>
  <c r="N269" i="4"/>
  <c r="N272" i="4"/>
  <c r="N274" i="4"/>
  <c r="N276" i="4"/>
  <c r="N278" i="4"/>
  <c r="N279" i="4"/>
  <c r="N212" i="4"/>
  <c r="N216" i="4"/>
  <c r="N221" i="4"/>
  <c r="N229" i="4"/>
  <c r="O131" i="4"/>
  <c r="O133" i="4"/>
  <c r="O134" i="4"/>
  <c r="O136" i="4"/>
  <c r="O138" i="4"/>
  <c r="O141" i="4"/>
  <c r="O149" i="4"/>
  <c r="O154" i="4"/>
  <c r="O155" i="4"/>
  <c r="O156" i="4"/>
  <c r="O158" i="4"/>
  <c r="O160" i="4"/>
  <c r="O161" i="4"/>
  <c r="O164" i="4"/>
  <c r="O169" i="4"/>
  <c r="O172" i="4"/>
  <c r="O174" i="4"/>
  <c r="O176" i="4"/>
  <c r="O178" i="4"/>
  <c r="O180" i="4"/>
  <c r="O181" i="4"/>
  <c r="O183" i="4"/>
  <c r="O188" i="4"/>
  <c r="O189" i="4"/>
  <c r="O192" i="4"/>
  <c r="O193" i="4"/>
  <c r="O194" i="4"/>
  <c r="O196" i="4"/>
  <c r="O198" i="4"/>
  <c r="O200" i="4"/>
  <c r="O201" i="4"/>
  <c r="O203" i="4"/>
  <c r="O204" i="4"/>
  <c r="O4" i="4"/>
  <c r="O7" i="4"/>
  <c r="O9" i="4"/>
  <c r="O12" i="4"/>
  <c r="O13" i="4"/>
  <c r="O16" i="4"/>
  <c r="O18" i="4"/>
  <c r="O20" i="4"/>
  <c r="O21" i="4"/>
  <c r="O24" i="4"/>
  <c r="O32" i="4"/>
  <c r="O33" i="4"/>
  <c r="O34" i="4"/>
  <c r="O36" i="4"/>
  <c r="O38" i="4"/>
  <c r="O44" i="4"/>
  <c r="O49" i="4"/>
  <c r="O50" i="4"/>
  <c r="O51" i="4"/>
  <c r="O52" i="4"/>
  <c r="O53" i="4"/>
  <c r="O54" i="4"/>
  <c r="O56" i="4"/>
  <c r="O57" i="4"/>
  <c r="O58" i="4"/>
  <c r="O59" i="4"/>
  <c r="O60" i="4"/>
  <c r="O61" i="4"/>
  <c r="O63" i="4"/>
  <c r="O64" i="4"/>
  <c r="O78" i="4"/>
  <c r="O80" i="4"/>
  <c r="O82" i="4"/>
  <c r="O84" i="4"/>
  <c r="O85" i="4"/>
  <c r="O87" i="4"/>
  <c r="O89" i="4"/>
  <c r="O92" i="4"/>
  <c r="O96" i="4"/>
  <c r="O98" i="4"/>
  <c r="O99" i="4"/>
  <c r="O100" i="4"/>
  <c r="O101" i="4"/>
  <c r="O103" i="4"/>
  <c r="O104" i="4"/>
  <c r="O109" i="4"/>
  <c r="O112" i="4"/>
  <c r="O113" i="4"/>
  <c r="O114" i="4"/>
  <c r="O116" i="4"/>
  <c r="O118" i="4"/>
  <c r="O120" i="4"/>
  <c r="O121" i="4"/>
  <c r="O123" i="4"/>
  <c r="O124" i="4"/>
  <c r="O236" i="4"/>
  <c r="O237" i="4"/>
  <c r="O238" i="4"/>
  <c r="O240" i="4"/>
  <c r="O243" i="4"/>
  <c r="O244" i="4"/>
  <c r="O249" i="4"/>
  <c r="O251" i="4"/>
  <c r="O252" i="4"/>
  <c r="O253" i="4"/>
  <c r="O256" i="4"/>
  <c r="O258" i="4"/>
  <c r="O260" i="4"/>
  <c r="O261" i="4"/>
  <c r="O263" i="4"/>
  <c r="O267" i="4"/>
  <c r="O268" i="4"/>
  <c r="O269" i="4"/>
  <c r="O272" i="4"/>
  <c r="O274" i="4"/>
  <c r="O276" i="4"/>
  <c r="O277" i="4"/>
  <c r="O278" i="4"/>
  <c r="O279" i="4"/>
  <c r="O212" i="4"/>
  <c r="O213" i="4"/>
  <c r="O214" i="4"/>
  <c r="O216" i="4"/>
  <c r="O218" i="4"/>
  <c r="O220" i="4"/>
  <c r="O221" i="4"/>
  <c r="O223" i="4"/>
  <c r="O224" i="4"/>
  <c r="O229" i="4"/>
  <c r="P128" i="4"/>
  <c r="P131" i="4"/>
  <c r="P132" i="4"/>
  <c r="P133" i="4"/>
  <c r="P134" i="4"/>
  <c r="P136" i="4"/>
  <c r="P137" i="4"/>
  <c r="P138" i="4"/>
  <c r="P141" i="4"/>
  <c r="P144" i="4"/>
  <c r="P146" i="4"/>
  <c r="P148" i="4"/>
  <c r="P149" i="4"/>
  <c r="P152" i="4"/>
  <c r="P153" i="4"/>
  <c r="P154" i="4"/>
  <c r="P156" i="4"/>
  <c r="P157" i="4"/>
  <c r="P158" i="4"/>
  <c r="P161" i="4"/>
  <c r="P164" i="4"/>
  <c r="P167" i="4"/>
  <c r="P168" i="4"/>
  <c r="P169" i="4"/>
  <c r="P172" i="4"/>
  <c r="P173" i="4"/>
  <c r="P174" i="4"/>
  <c r="P176" i="4"/>
  <c r="P178" i="4"/>
  <c r="P181" i="4"/>
  <c r="P184" i="4"/>
  <c r="P185" i="4"/>
  <c r="P188" i="4"/>
  <c r="P189" i="4"/>
  <c r="P192" i="4"/>
  <c r="P194" i="4"/>
  <c r="P198" i="4"/>
  <c r="P201" i="4"/>
  <c r="P204" i="4"/>
  <c r="P205" i="4"/>
  <c r="P206" i="4"/>
  <c r="P208" i="4"/>
  <c r="P211" i="4"/>
  <c r="P4" i="4"/>
  <c r="P6" i="4"/>
  <c r="P7" i="4"/>
  <c r="P8" i="4"/>
  <c r="P9" i="4"/>
  <c r="P12" i="4"/>
  <c r="P13" i="4"/>
  <c r="P16" i="4"/>
  <c r="P18" i="4"/>
  <c r="P21" i="4"/>
  <c r="P24" i="4"/>
  <c r="P28" i="4"/>
  <c r="P29" i="4"/>
  <c r="P31" i="4"/>
  <c r="P32" i="4"/>
  <c r="P34" i="4"/>
  <c r="P38" i="4"/>
  <c r="P41" i="4"/>
  <c r="P44" i="4"/>
  <c r="P46" i="4"/>
  <c r="P48" i="4"/>
  <c r="P51" i="4"/>
  <c r="P52" i="4"/>
  <c r="P53" i="4"/>
  <c r="P56" i="4"/>
  <c r="P59" i="4"/>
  <c r="P61" i="4"/>
  <c r="P64" i="4"/>
  <c r="P66" i="4"/>
  <c r="P68" i="4"/>
  <c r="P69" i="4"/>
  <c r="P72" i="4"/>
  <c r="P73" i="4"/>
  <c r="P74" i="4"/>
  <c r="P75" i="4"/>
  <c r="P76" i="4"/>
  <c r="P77" i="4"/>
  <c r="P78" i="4"/>
  <c r="P81" i="4"/>
  <c r="P84" i="4"/>
  <c r="P85" i="4"/>
  <c r="P87" i="4"/>
  <c r="P88" i="4"/>
  <c r="P89" i="4"/>
  <c r="P92" i="4"/>
  <c r="P93" i="4"/>
  <c r="P94" i="4"/>
  <c r="P96" i="4"/>
  <c r="P98" i="4"/>
  <c r="P99" i="4"/>
  <c r="P104" i="4"/>
  <c r="P105" i="4"/>
  <c r="P108" i="4"/>
  <c r="P111" i="4"/>
  <c r="P114" i="4"/>
  <c r="P116" i="4"/>
  <c r="P118" i="4"/>
  <c r="P121" i="4"/>
  <c r="P124" i="4"/>
  <c r="P125" i="4"/>
  <c r="P232" i="4"/>
  <c r="P233" i="4"/>
  <c r="P234" i="4"/>
  <c r="P236" i="4"/>
  <c r="P238" i="4"/>
  <c r="P244" i="4"/>
  <c r="P245" i="4"/>
  <c r="P246" i="4"/>
  <c r="P247" i="4"/>
  <c r="P248" i="4"/>
  <c r="P249" i="4"/>
  <c r="P251" i="4"/>
  <c r="P253" i="4"/>
  <c r="P254" i="4"/>
  <c r="P256" i="4"/>
  <c r="P257" i="4"/>
  <c r="P258" i="4"/>
  <c r="P261" i="4"/>
  <c r="P265" i="4"/>
  <c r="P269" i="4"/>
  <c r="P271" i="4"/>
  <c r="P272" i="4"/>
  <c r="P273" i="4"/>
  <c r="P274" i="4"/>
  <c r="P276" i="4"/>
  <c r="P278" i="4"/>
  <c r="P279" i="4"/>
  <c r="P212" i="4"/>
  <c r="P213" i="4"/>
  <c r="P216" i="4"/>
  <c r="P217" i="4"/>
  <c r="P218" i="4"/>
  <c r="P221" i="4"/>
  <c r="P224" i="4"/>
  <c r="P225" i="4"/>
  <c r="P226" i="4"/>
  <c r="P228" i="4"/>
  <c r="P229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" i="4"/>
  <c r="Q3" i="4"/>
  <c r="Q4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R126" i="4"/>
  <c r="R127" i="4"/>
  <c r="R128" i="4"/>
  <c r="R129" i="4"/>
  <c r="R130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6" i="4"/>
  <c r="R147" i="4"/>
  <c r="R148" i="4"/>
  <c r="R149" i="4"/>
  <c r="R150" i="4"/>
  <c r="R151" i="4"/>
  <c r="R152" i="4"/>
  <c r="R153" i="4"/>
  <c r="R154" i="4"/>
  <c r="R155" i="4"/>
  <c r="R156" i="4"/>
  <c r="R157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2" i="4"/>
  <c r="R173" i="4"/>
  <c r="R174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" i="4"/>
  <c r="R3" i="4"/>
  <c r="R4" i="4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4" i="4"/>
  <c r="R125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49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" i="4"/>
  <c r="S3" i="4"/>
  <c r="S4" i="4"/>
  <c r="S5" i="4"/>
  <c r="S6" i="4"/>
  <c r="S7" i="4"/>
  <c r="S8" i="4"/>
  <c r="S9" i="4"/>
  <c r="S10" i="4"/>
  <c r="S11" i="4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1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2" i="4"/>
  <c r="S123" i="4"/>
  <c r="S124" i="4"/>
  <c r="S125" i="4"/>
  <c r="S230" i="4"/>
  <c r="S231" i="4"/>
  <c r="S232" i="4"/>
  <c r="S233" i="4"/>
  <c r="S234" i="4"/>
  <c r="S235" i="4"/>
  <c r="S236" i="4"/>
  <c r="S237" i="4"/>
  <c r="S238" i="4"/>
  <c r="S239" i="4"/>
  <c r="S240" i="4"/>
  <c r="S241" i="4"/>
  <c r="S242" i="4"/>
  <c r="S243" i="4"/>
  <c r="S244" i="4"/>
  <c r="S245" i="4"/>
  <c r="S246" i="4"/>
  <c r="S247" i="4"/>
  <c r="S248" i="4"/>
  <c r="S249" i="4"/>
  <c r="S250" i="4"/>
  <c r="S251" i="4"/>
  <c r="S252" i="4"/>
  <c r="S253" i="4"/>
  <c r="S254" i="4"/>
  <c r="S255" i="4"/>
  <c r="S256" i="4"/>
  <c r="S257" i="4"/>
  <c r="S258" i="4"/>
  <c r="S259" i="4"/>
  <c r="S260" i="4"/>
  <c r="S261" i="4"/>
  <c r="S262" i="4"/>
  <c r="S263" i="4"/>
  <c r="S264" i="4"/>
  <c r="S265" i="4"/>
  <c r="S266" i="4"/>
  <c r="S267" i="4"/>
  <c r="S268" i="4"/>
  <c r="S269" i="4"/>
  <c r="S270" i="4"/>
  <c r="S271" i="4"/>
  <c r="S272" i="4"/>
  <c r="S273" i="4"/>
  <c r="S274" i="4"/>
  <c r="S275" i="4"/>
  <c r="S276" i="4"/>
  <c r="S277" i="4"/>
  <c r="S278" i="4"/>
  <c r="S279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S225" i="4"/>
  <c r="S226" i="4"/>
  <c r="S227" i="4"/>
  <c r="S228" i="4"/>
  <c r="S229" i="4"/>
  <c r="T127" i="4"/>
  <c r="T128" i="4"/>
  <c r="T129" i="4"/>
  <c r="T130" i="4"/>
  <c r="T131" i="4"/>
  <c r="T132" i="4"/>
  <c r="T133" i="4"/>
  <c r="T134" i="4"/>
  <c r="T136" i="4"/>
  <c r="T138" i="4"/>
  <c r="T140" i="4"/>
  <c r="T141" i="4"/>
  <c r="T147" i="4"/>
  <c r="T149" i="4"/>
  <c r="T151" i="4"/>
  <c r="T153" i="4"/>
  <c r="T154" i="4"/>
  <c r="T156" i="4"/>
  <c r="T158" i="4"/>
  <c r="T160" i="4"/>
  <c r="T161" i="4"/>
  <c r="T167" i="4"/>
  <c r="T169" i="4"/>
  <c r="T170" i="4"/>
  <c r="T171" i="4"/>
  <c r="T172" i="4"/>
  <c r="T173" i="4"/>
  <c r="T174" i="4"/>
  <c r="T176" i="4"/>
  <c r="T177" i="4"/>
  <c r="T178" i="4"/>
  <c r="T179" i="4"/>
  <c r="T181" i="4"/>
  <c r="T187" i="4"/>
  <c r="T189" i="4"/>
  <c r="T190" i="4"/>
  <c r="T192" i="4"/>
  <c r="T193" i="4"/>
  <c r="T196" i="4"/>
  <c r="T197" i="4"/>
  <c r="T198" i="4"/>
  <c r="T200" i="4"/>
  <c r="T201" i="4"/>
  <c r="T207" i="4"/>
  <c r="T209" i="4"/>
  <c r="T210" i="4"/>
  <c r="T7" i="4"/>
  <c r="T9" i="4"/>
  <c r="T10" i="4"/>
  <c r="T11" i="4"/>
  <c r="T12" i="4"/>
  <c r="T13" i="4"/>
  <c r="T14" i="4"/>
  <c r="T16" i="4"/>
  <c r="T18" i="4"/>
  <c r="T21" i="4"/>
  <c r="T27" i="4"/>
  <c r="T29" i="4"/>
  <c r="T30" i="4"/>
  <c r="T32" i="4"/>
  <c r="T33" i="4"/>
  <c r="T34" i="4"/>
  <c r="T36" i="4"/>
  <c r="T37" i="4"/>
  <c r="T38" i="4"/>
  <c r="T40" i="4"/>
  <c r="T41" i="4"/>
  <c r="T47" i="4"/>
  <c r="T48" i="4"/>
  <c r="T49" i="4"/>
  <c r="T50" i="4"/>
  <c r="T52" i="4"/>
  <c r="T53" i="4"/>
  <c r="T54" i="4"/>
  <c r="T56" i="4"/>
  <c r="T58" i="4"/>
  <c r="T59" i="4"/>
  <c r="T60" i="4"/>
  <c r="T61" i="4"/>
  <c r="T67" i="4"/>
  <c r="T69" i="4"/>
  <c r="T70" i="4"/>
  <c r="T71" i="4"/>
  <c r="T72" i="4"/>
  <c r="T73" i="4"/>
  <c r="T74" i="4"/>
  <c r="T76" i="4"/>
  <c r="T78" i="4"/>
  <c r="T80" i="4"/>
  <c r="T81" i="4"/>
  <c r="T87" i="4"/>
  <c r="T90" i="4"/>
  <c r="T91" i="4"/>
  <c r="T92" i="4"/>
  <c r="T93" i="4"/>
  <c r="T94" i="4"/>
  <c r="T96" i="4"/>
  <c r="T97" i="4"/>
  <c r="T98" i="4"/>
  <c r="T100" i="4"/>
  <c r="T107" i="4"/>
  <c r="T109" i="4"/>
  <c r="T110" i="4"/>
  <c r="T112" i="4"/>
  <c r="T114" i="4"/>
  <c r="T116" i="4"/>
  <c r="T117" i="4"/>
  <c r="T118" i="4"/>
  <c r="T120" i="4"/>
  <c r="T121" i="4"/>
  <c r="T230" i="4"/>
  <c r="T236" i="4"/>
  <c r="T240" i="4"/>
  <c r="T241" i="4"/>
  <c r="T247" i="4"/>
  <c r="T249" i="4"/>
  <c r="T250" i="4"/>
  <c r="T252" i="4"/>
  <c r="T256" i="4"/>
  <c r="T257" i="4"/>
  <c r="T258" i="4"/>
  <c r="T259" i="4"/>
  <c r="T261" i="4"/>
  <c r="T267" i="4"/>
  <c r="T269" i="4"/>
  <c r="T270" i="4"/>
  <c r="T272" i="4"/>
  <c r="T273" i="4"/>
  <c r="T274" i="4"/>
  <c r="T276" i="4"/>
  <c r="T278" i="4"/>
  <c r="T279" i="4"/>
  <c r="T212" i="4"/>
  <c r="T213" i="4"/>
  <c r="T214" i="4"/>
  <c r="T216" i="4"/>
  <c r="T217" i="4"/>
  <c r="T218" i="4"/>
  <c r="T220" i="4"/>
  <c r="T227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0" i="4"/>
  <c r="W211" i="4"/>
  <c r="W2" i="4"/>
  <c r="W3" i="4"/>
  <c r="W4" i="4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230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2" i="4"/>
  <c r="W273" i="4"/>
  <c r="W274" i="4"/>
  <c r="W275" i="4"/>
  <c r="W276" i="4"/>
  <c r="W277" i="4"/>
  <c r="W278" i="4"/>
  <c r="W279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X126" i="4"/>
  <c r="X127" i="4"/>
  <c r="X128" i="4"/>
  <c r="X129" i="4"/>
  <c r="X130" i="4"/>
  <c r="X131" i="4"/>
  <c r="X132" i="4"/>
  <c r="X133" i="4"/>
  <c r="X134" i="4"/>
  <c r="X135" i="4"/>
  <c r="X136" i="4"/>
  <c r="X137" i="4"/>
  <c r="X138" i="4"/>
  <c r="X139" i="4"/>
  <c r="X140" i="4"/>
  <c r="X141" i="4"/>
  <c r="X142" i="4"/>
  <c r="X143" i="4"/>
  <c r="X144" i="4"/>
  <c r="X145" i="4"/>
  <c r="X146" i="4"/>
  <c r="X147" i="4"/>
  <c r="X148" i="4"/>
  <c r="X149" i="4"/>
  <c r="X150" i="4"/>
  <c r="X151" i="4"/>
  <c r="X152" i="4"/>
  <c r="X153" i="4"/>
  <c r="X154" i="4"/>
  <c r="X155" i="4"/>
  <c r="X156" i="4"/>
  <c r="X157" i="4"/>
  <c r="X158" i="4"/>
  <c r="X159" i="4"/>
  <c r="X160" i="4"/>
  <c r="X161" i="4"/>
  <c r="X162" i="4"/>
  <c r="X163" i="4"/>
  <c r="X164" i="4"/>
  <c r="X165" i="4"/>
  <c r="X166" i="4"/>
  <c r="X167" i="4"/>
  <c r="X168" i="4"/>
  <c r="X169" i="4"/>
  <c r="X170" i="4"/>
  <c r="X171" i="4"/>
  <c r="X172" i="4"/>
  <c r="X173" i="4"/>
  <c r="X174" i="4"/>
  <c r="X175" i="4"/>
  <c r="X176" i="4"/>
  <c r="X177" i="4"/>
  <c r="X178" i="4"/>
  <c r="X179" i="4"/>
  <c r="X180" i="4"/>
  <c r="X181" i="4"/>
  <c r="X182" i="4"/>
  <c r="X183" i="4"/>
  <c r="X184" i="4"/>
  <c r="X185" i="4"/>
  <c r="X186" i="4"/>
  <c r="X187" i="4"/>
  <c r="X188" i="4"/>
  <c r="X189" i="4"/>
  <c r="X190" i="4"/>
  <c r="X191" i="4"/>
  <c r="X192" i="4"/>
  <c r="X193" i="4"/>
  <c r="X194" i="4"/>
  <c r="X195" i="4"/>
  <c r="X196" i="4"/>
  <c r="X197" i="4"/>
  <c r="X198" i="4"/>
  <c r="X199" i="4"/>
  <c r="X200" i="4"/>
  <c r="X201" i="4"/>
  <c r="X202" i="4"/>
  <c r="X203" i="4"/>
  <c r="X204" i="4"/>
  <c r="X205" i="4"/>
  <c r="X206" i="4"/>
  <c r="X207" i="4"/>
  <c r="X208" i="4"/>
  <c r="X209" i="4"/>
  <c r="X210" i="4"/>
  <c r="X211" i="4"/>
  <c r="X2" i="4"/>
  <c r="X3" i="4"/>
  <c r="X4" i="4"/>
  <c r="X5" i="4"/>
  <c r="X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51" i="4"/>
  <c r="X52" i="4"/>
  <c r="X53" i="4"/>
  <c r="X54" i="4"/>
  <c r="X55" i="4"/>
  <c r="X56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74" i="4"/>
  <c r="X75" i="4"/>
  <c r="X76" i="4"/>
  <c r="X77" i="4"/>
  <c r="X78" i="4"/>
  <c r="X79" i="4"/>
  <c r="X80" i="4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111" i="4"/>
  <c r="X112" i="4"/>
  <c r="X113" i="4"/>
  <c r="X114" i="4"/>
  <c r="X115" i="4"/>
  <c r="X116" i="4"/>
  <c r="X117" i="4"/>
  <c r="X118" i="4"/>
  <c r="X119" i="4"/>
  <c r="X120" i="4"/>
  <c r="X121" i="4"/>
  <c r="X122" i="4"/>
  <c r="X123" i="4"/>
  <c r="X124" i="4"/>
  <c r="X125" i="4"/>
  <c r="X230" i="4"/>
  <c r="X231" i="4"/>
  <c r="X232" i="4"/>
  <c r="X233" i="4"/>
  <c r="X234" i="4"/>
  <c r="X235" i="4"/>
  <c r="X236" i="4"/>
  <c r="X237" i="4"/>
  <c r="X238" i="4"/>
  <c r="X239" i="4"/>
  <c r="X240" i="4"/>
  <c r="X241" i="4"/>
  <c r="X242" i="4"/>
  <c r="X243" i="4"/>
  <c r="X244" i="4"/>
  <c r="X245" i="4"/>
  <c r="X246" i="4"/>
  <c r="X247" i="4"/>
  <c r="X248" i="4"/>
  <c r="X249" i="4"/>
  <c r="X250" i="4"/>
  <c r="X251" i="4"/>
  <c r="X252" i="4"/>
  <c r="X253" i="4"/>
  <c r="X254" i="4"/>
  <c r="X255" i="4"/>
  <c r="X256" i="4"/>
  <c r="X257" i="4"/>
  <c r="X258" i="4"/>
  <c r="X259" i="4"/>
  <c r="X260" i="4"/>
  <c r="X261" i="4"/>
  <c r="X262" i="4"/>
  <c r="X263" i="4"/>
  <c r="X264" i="4"/>
  <c r="X265" i="4"/>
  <c r="X266" i="4"/>
  <c r="X267" i="4"/>
  <c r="X268" i="4"/>
  <c r="X269" i="4"/>
  <c r="X270" i="4"/>
  <c r="X271" i="4"/>
  <c r="X272" i="4"/>
  <c r="X273" i="4"/>
  <c r="X274" i="4"/>
  <c r="X275" i="4"/>
  <c r="X276" i="4"/>
  <c r="X277" i="4"/>
  <c r="X278" i="4"/>
  <c r="X279" i="4"/>
  <c r="X212" i="4"/>
  <c r="X213" i="4"/>
  <c r="X214" i="4"/>
  <c r="X215" i="4"/>
  <c r="X216" i="4"/>
  <c r="X217" i="4"/>
  <c r="X218" i="4"/>
  <c r="X219" i="4"/>
  <c r="X220" i="4"/>
  <c r="X221" i="4"/>
  <c r="X222" i="4"/>
  <c r="X223" i="4"/>
  <c r="X224" i="4"/>
  <c r="X225" i="4"/>
  <c r="X226" i="4"/>
  <c r="X227" i="4"/>
  <c r="X228" i="4"/>
  <c r="X229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Y206" i="4"/>
  <c r="Y207" i="4"/>
  <c r="Y208" i="4"/>
  <c r="Y209" i="4"/>
  <c r="Y210" i="4"/>
  <c r="Y211" i="4"/>
  <c r="Y2" i="4"/>
  <c r="Y3" i="4"/>
  <c r="Y4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230" i="4"/>
  <c r="Y231" i="4"/>
  <c r="Y232" i="4"/>
  <c r="Y233" i="4"/>
  <c r="Y234" i="4"/>
  <c r="Y235" i="4"/>
  <c r="Y236" i="4"/>
  <c r="Y237" i="4"/>
  <c r="Y238" i="4"/>
  <c r="Y239" i="4"/>
  <c r="Y240" i="4"/>
  <c r="Y241" i="4"/>
  <c r="Y242" i="4"/>
  <c r="Y243" i="4"/>
  <c r="Y244" i="4"/>
  <c r="Y245" i="4"/>
  <c r="Y246" i="4"/>
  <c r="Y247" i="4"/>
  <c r="Y248" i="4"/>
  <c r="Y249" i="4"/>
  <c r="Y250" i="4"/>
  <c r="Y251" i="4"/>
  <c r="Y252" i="4"/>
  <c r="Y253" i="4"/>
  <c r="Y254" i="4"/>
  <c r="Y255" i="4"/>
  <c r="Y256" i="4"/>
  <c r="Y257" i="4"/>
  <c r="Y258" i="4"/>
  <c r="Y259" i="4"/>
  <c r="Y260" i="4"/>
  <c r="Y261" i="4"/>
  <c r="Y262" i="4"/>
  <c r="Y263" i="4"/>
  <c r="Y264" i="4"/>
  <c r="Y265" i="4"/>
  <c r="Y266" i="4"/>
  <c r="Y267" i="4"/>
  <c r="Y268" i="4"/>
  <c r="Y269" i="4"/>
  <c r="Y270" i="4"/>
  <c r="Y271" i="4"/>
  <c r="Y272" i="4"/>
  <c r="Y273" i="4"/>
  <c r="Y274" i="4"/>
  <c r="Y275" i="4"/>
  <c r="Y276" i="4"/>
  <c r="Y277" i="4"/>
  <c r="Y278" i="4"/>
  <c r="Y279" i="4"/>
  <c r="Y212" i="4"/>
  <c r="Y213" i="4"/>
  <c r="Y214" i="4"/>
  <c r="Y215" i="4"/>
  <c r="Y216" i="4"/>
  <c r="Y217" i="4"/>
  <c r="Y218" i="4"/>
  <c r="Y219" i="4"/>
  <c r="Y220" i="4"/>
  <c r="Y221" i="4"/>
  <c r="Y222" i="4"/>
  <c r="Y223" i="4"/>
  <c r="Y224" i="4"/>
  <c r="Y225" i="4"/>
  <c r="Y226" i="4"/>
  <c r="Y227" i="4"/>
  <c r="Y228" i="4"/>
  <c r="Y229" i="4"/>
  <c r="N56" i="3"/>
  <c r="N58" i="3"/>
  <c r="N60" i="3"/>
  <c r="N64" i="3"/>
  <c r="N65" i="3"/>
  <c r="N67" i="3"/>
  <c r="N72" i="3"/>
  <c r="N76" i="3"/>
  <c r="N78" i="3"/>
  <c r="N79" i="3"/>
  <c r="N80" i="3"/>
  <c r="N81" i="3"/>
  <c r="N82" i="3"/>
  <c r="N84" i="3"/>
  <c r="N87" i="3"/>
  <c r="N2" i="3"/>
  <c r="N4" i="3"/>
  <c r="N7" i="3"/>
  <c r="N12" i="3"/>
  <c r="N20" i="3"/>
  <c r="N24" i="3"/>
  <c r="N27" i="3"/>
  <c r="N32" i="3"/>
  <c r="N36" i="3"/>
  <c r="N38" i="3"/>
  <c r="N39" i="3"/>
  <c r="N40" i="3"/>
  <c r="N44" i="3"/>
  <c r="N45" i="3"/>
  <c r="N47" i="3"/>
  <c r="N101" i="3"/>
  <c r="N107" i="3"/>
  <c r="N92" i="3"/>
  <c r="N96" i="3"/>
  <c r="N98" i="3"/>
  <c r="N99" i="3"/>
  <c r="N100" i="3"/>
  <c r="O55" i="3"/>
  <c r="O56" i="3"/>
  <c r="O59" i="3"/>
  <c r="O60" i="3"/>
  <c r="O61" i="3"/>
  <c r="O64" i="3"/>
  <c r="O65" i="3"/>
  <c r="O67" i="3"/>
  <c r="O69" i="3"/>
  <c r="O72" i="3"/>
  <c r="O76" i="3"/>
  <c r="O78" i="3"/>
  <c r="O80" i="3"/>
  <c r="O81" i="3"/>
  <c r="O82" i="3"/>
  <c r="O84" i="3"/>
  <c r="O87" i="3"/>
  <c r="O2" i="3"/>
  <c r="O4" i="3"/>
  <c r="O7" i="3"/>
  <c r="O9" i="3"/>
  <c r="O12" i="3"/>
  <c r="O15" i="3"/>
  <c r="O16" i="3"/>
  <c r="O20" i="3"/>
  <c r="O24" i="3"/>
  <c r="O27" i="3"/>
  <c r="O32" i="3"/>
  <c r="O36" i="3"/>
  <c r="O38" i="3"/>
  <c r="O39" i="3"/>
  <c r="O40" i="3"/>
  <c r="O42" i="3"/>
  <c r="O44" i="3"/>
  <c r="O45" i="3"/>
  <c r="O47" i="3"/>
  <c r="O101" i="3"/>
  <c r="O107" i="3"/>
  <c r="O109" i="3"/>
  <c r="O92" i="3"/>
  <c r="O93" i="3"/>
  <c r="O95" i="3"/>
  <c r="O96" i="3"/>
  <c r="O97" i="3"/>
  <c r="O98" i="3"/>
  <c r="O99" i="3"/>
  <c r="O100" i="3"/>
  <c r="P53" i="3"/>
  <c r="P56" i="3"/>
  <c r="P58" i="3"/>
  <c r="P61" i="3"/>
  <c r="P64" i="3"/>
  <c r="P65" i="3"/>
  <c r="P66" i="3"/>
  <c r="P67" i="3"/>
  <c r="P70" i="3"/>
  <c r="P71" i="3"/>
  <c r="P72" i="3"/>
  <c r="P76" i="3"/>
  <c r="P79" i="3"/>
  <c r="P80" i="3"/>
  <c r="P81" i="3"/>
  <c r="P82" i="3"/>
  <c r="P84" i="3"/>
  <c r="P86" i="3"/>
  <c r="P87" i="3"/>
  <c r="P89" i="3"/>
  <c r="P90" i="3"/>
  <c r="P2" i="3"/>
  <c r="P4" i="3"/>
  <c r="P5" i="3"/>
  <c r="P6" i="3"/>
  <c r="P7" i="3"/>
  <c r="P10" i="3"/>
  <c r="P12" i="3"/>
  <c r="P16" i="3"/>
  <c r="P18" i="3"/>
  <c r="P19" i="3"/>
  <c r="P20" i="3"/>
  <c r="P22" i="3"/>
  <c r="P24" i="3"/>
  <c r="P25" i="3"/>
  <c r="P27" i="3"/>
  <c r="P30" i="3"/>
  <c r="P31" i="3"/>
  <c r="P32" i="3"/>
  <c r="P36" i="3"/>
  <c r="P38" i="3"/>
  <c r="P39" i="3"/>
  <c r="P44" i="3"/>
  <c r="P45" i="3"/>
  <c r="P47" i="3"/>
  <c r="P50" i="3"/>
  <c r="P52" i="3"/>
  <c r="P101" i="3"/>
  <c r="P102" i="3"/>
  <c r="P104" i="3"/>
  <c r="P105" i="3"/>
  <c r="P107" i="3"/>
  <c r="P108" i="3"/>
  <c r="P110" i="3"/>
  <c r="P91" i="3"/>
  <c r="P92" i="3"/>
  <c r="P96" i="3"/>
  <c r="P98" i="3"/>
  <c r="P99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101" i="3"/>
  <c r="Q102" i="3"/>
  <c r="Q103" i="3"/>
  <c r="Q104" i="3"/>
  <c r="Q105" i="3"/>
  <c r="Q106" i="3"/>
  <c r="Q107" i="3"/>
  <c r="Q108" i="3"/>
  <c r="Q109" i="3"/>
  <c r="Q110" i="3"/>
  <c r="Q111" i="3"/>
  <c r="Q91" i="3"/>
  <c r="Q92" i="3"/>
  <c r="Q93" i="3"/>
  <c r="Q94" i="3"/>
  <c r="Q95" i="3"/>
  <c r="Q96" i="3"/>
  <c r="Q97" i="3"/>
  <c r="Q98" i="3"/>
  <c r="Q99" i="3"/>
  <c r="Q100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101" i="3"/>
  <c r="R102" i="3"/>
  <c r="R103" i="3"/>
  <c r="R104" i="3"/>
  <c r="R105" i="3"/>
  <c r="R106" i="3"/>
  <c r="R107" i="3"/>
  <c r="R108" i="3"/>
  <c r="R109" i="3"/>
  <c r="R110" i="3"/>
  <c r="R111" i="3"/>
  <c r="R91" i="3"/>
  <c r="R92" i="3"/>
  <c r="R93" i="3"/>
  <c r="R94" i="3"/>
  <c r="R95" i="3"/>
  <c r="R96" i="3"/>
  <c r="R97" i="3"/>
  <c r="R98" i="3"/>
  <c r="R99" i="3"/>
  <c r="R100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2" i="3"/>
  <c r="S3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101" i="3"/>
  <c r="S102" i="3"/>
  <c r="S103" i="3"/>
  <c r="S104" i="3"/>
  <c r="S105" i="3"/>
  <c r="S106" i="3"/>
  <c r="S107" i="3"/>
  <c r="S108" i="3"/>
  <c r="S109" i="3"/>
  <c r="S110" i="3"/>
  <c r="S111" i="3"/>
  <c r="S91" i="3"/>
  <c r="S92" i="3"/>
  <c r="S93" i="3"/>
  <c r="S94" i="3"/>
  <c r="S95" i="3"/>
  <c r="S96" i="3"/>
  <c r="S97" i="3"/>
  <c r="S98" i="3"/>
  <c r="S99" i="3"/>
  <c r="S100" i="3"/>
  <c r="T55" i="3"/>
  <c r="T56" i="3"/>
  <c r="T58" i="3"/>
  <c r="T59" i="3"/>
  <c r="T60" i="3"/>
  <c r="T61" i="3"/>
  <c r="T62" i="3"/>
  <c r="T64" i="3"/>
  <c r="T65" i="3"/>
  <c r="T67" i="3"/>
  <c r="T69" i="3"/>
  <c r="T72" i="3"/>
  <c r="T75" i="3"/>
  <c r="T76" i="3"/>
  <c r="T80" i="3"/>
  <c r="T81" i="3"/>
  <c r="T82" i="3"/>
  <c r="T84" i="3"/>
  <c r="T85" i="3"/>
  <c r="T87" i="3"/>
  <c r="T89" i="3"/>
  <c r="T4" i="3"/>
  <c r="T5" i="3"/>
  <c r="T7" i="3"/>
  <c r="T12" i="3"/>
  <c r="T15" i="3"/>
  <c r="T18" i="3"/>
  <c r="T19" i="3"/>
  <c r="T20" i="3"/>
  <c r="T22" i="3"/>
  <c r="T24" i="3"/>
  <c r="T27" i="3"/>
  <c r="T31" i="3"/>
  <c r="T32" i="3"/>
  <c r="T35" i="3"/>
  <c r="T36" i="3"/>
  <c r="T38" i="3"/>
  <c r="T39" i="3"/>
  <c r="T40" i="3"/>
  <c r="T42" i="3"/>
  <c r="T101" i="3"/>
  <c r="T102" i="3"/>
  <c r="T104" i="3"/>
  <c r="T105" i="3"/>
  <c r="T107" i="3"/>
  <c r="T109" i="3"/>
  <c r="T92" i="3"/>
  <c r="T95" i="3"/>
  <c r="T98" i="3"/>
  <c r="T99" i="3"/>
  <c r="T100" i="3"/>
  <c r="W54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101" i="3"/>
  <c r="W102" i="3"/>
  <c r="W103" i="3"/>
  <c r="W104" i="3"/>
  <c r="W105" i="3"/>
  <c r="W106" i="3"/>
  <c r="W107" i="3"/>
  <c r="W108" i="3"/>
  <c r="W109" i="3"/>
  <c r="W110" i="3"/>
  <c r="W111" i="3"/>
  <c r="W91" i="3"/>
  <c r="W92" i="3"/>
  <c r="W93" i="3"/>
  <c r="W94" i="3"/>
  <c r="W95" i="3"/>
  <c r="W96" i="3"/>
  <c r="W97" i="3"/>
  <c r="W98" i="3"/>
  <c r="W99" i="3"/>
  <c r="W100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101" i="3"/>
  <c r="X102" i="3"/>
  <c r="X103" i="3"/>
  <c r="X104" i="3"/>
  <c r="X105" i="3"/>
  <c r="X106" i="3"/>
  <c r="X107" i="3"/>
  <c r="X108" i="3"/>
  <c r="X109" i="3"/>
  <c r="X110" i="3"/>
  <c r="X111" i="3"/>
  <c r="X91" i="3"/>
  <c r="X92" i="3"/>
  <c r="X93" i="3"/>
  <c r="X94" i="3"/>
  <c r="X95" i="3"/>
  <c r="X96" i="3"/>
  <c r="X97" i="3"/>
  <c r="X98" i="3"/>
  <c r="X99" i="3"/>
  <c r="X100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7" i="3"/>
  <c r="Y8" i="3"/>
  <c r="Y9" i="3"/>
  <c r="Y10" i="3"/>
  <c r="Y11" i="3"/>
  <c r="Y12" i="3"/>
  <c r="Y13" i="3"/>
  <c r="Y14" i="3"/>
  <c r="Y15" i="3"/>
  <c r="Y16" i="3"/>
  <c r="Y17" i="3"/>
  <c r="Y27" i="3"/>
  <c r="Y28" i="3"/>
  <c r="Y29" i="3"/>
  <c r="Y30" i="3"/>
  <c r="Y31" i="3"/>
  <c r="Y32" i="3"/>
  <c r="Y33" i="3"/>
  <c r="Y34" i="3"/>
  <c r="Y35" i="3"/>
  <c r="Y36" i="3"/>
  <c r="Y37" i="3"/>
  <c r="Y47" i="3"/>
  <c r="Y48" i="3"/>
  <c r="Y49" i="3"/>
  <c r="Y50" i="3"/>
  <c r="Y51" i="3"/>
  <c r="Y52" i="3"/>
  <c r="Y101" i="3"/>
  <c r="Y102" i="3"/>
  <c r="Y103" i="3"/>
  <c r="Y104" i="3"/>
  <c r="Y105" i="3"/>
  <c r="Y106" i="3"/>
  <c r="Y107" i="3"/>
  <c r="Y108" i="3"/>
  <c r="Y109" i="3"/>
  <c r="Y110" i="3"/>
  <c r="Y111" i="3"/>
  <c r="Y91" i="3"/>
  <c r="Y92" i="3"/>
  <c r="Y93" i="3"/>
  <c r="Y94" i="3"/>
  <c r="Y95" i="3"/>
  <c r="Y96" i="3"/>
  <c r="Y97" i="3"/>
  <c r="Y98" i="3"/>
  <c r="Y99" i="3"/>
  <c r="Y100" i="3"/>
  <c r="N30" i="2"/>
  <c r="N31" i="2"/>
  <c r="N32" i="2"/>
  <c r="N33" i="2"/>
  <c r="N43" i="2"/>
  <c r="N50" i="2"/>
  <c r="N52" i="2"/>
  <c r="N54" i="2"/>
  <c r="N11" i="2"/>
  <c r="N12" i="2"/>
  <c r="N81" i="2"/>
  <c r="N87" i="2"/>
  <c r="N90" i="2"/>
  <c r="N94" i="2"/>
  <c r="N67" i="2"/>
  <c r="N70" i="2"/>
  <c r="N72" i="2"/>
  <c r="N73" i="2"/>
  <c r="N76" i="2"/>
  <c r="O27" i="2"/>
  <c r="O31" i="2"/>
  <c r="O32" i="2"/>
  <c r="O33" i="2"/>
  <c r="O34" i="2"/>
  <c r="O41" i="2"/>
  <c r="O42" i="2"/>
  <c r="O43" i="2"/>
  <c r="O50" i="2"/>
  <c r="O52" i="2"/>
  <c r="O54" i="2"/>
  <c r="O55" i="2"/>
  <c r="O56" i="2"/>
  <c r="O60" i="2"/>
  <c r="O61" i="2"/>
  <c r="O62" i="2"/>
  <c r="O2" i="2"/>
  <c r="O3" i="2"/>
  <c r="O5" i="2"/>
  <c r="O6" i="2"/>
  <c r="O8" i="2"/>
  <c r="O11" i="2"/>
  <c r="O12" i="2"/>
  <c r="O14" i="2"/>
  <c r="O15" i="2"/>
  <c r="O16" i="2"/>
  <c r="O18" i="2"/>
  <c r="O20" i="2"/>
  <c r="O81" i="2"/>
  <c r="O85" i="2"/>
  <c r="O87" i="2"/>
  <c r="O92" i="2"/>
  <c r="O94" i="2"/>
  <c r="O67" i="2"/>
  <c r="O70" i="2"/>
  <c r="O71" i="2"/>
  <c r="O72" i="2"/>
  <c r="O73" i="2"/>
  <c r="O76" i="2"/>
  <c r="P30" i="2"/>
  <c r="P31" i="2"/>
  <c r="P32" i="2"/>
  <c r="P33" i="2"/>
  <c r="P39" i="2"/>
  <c r="P50" i="2"/>
  <c r="P52" i="2"/>
  <c r="P54" i="2"/>
  <c r="P55" i="2"/>
  <c r="P60" i="2"/>
  <c r="P65" i="2"/>
  <c r="P7" i="2"/>
  <c r="P11" i="2"/>
  <c r="P12" i="2"/>
  <c r="P15" i="2"/>
  <c r="P16" i="2"/>
  <c r="P81" i="2"/>
  <c r="P87" i="2"/>
  <c r="P88" i="2"/>
  <c r="P90" i="2"/>
  <c r="P91" i="2"/>
  <c r="P92" i="2"/>
  <c r="P94" i="2"/>
  <c r="P67" i="2"/>
  <c r="P70" i="2"/>
  <c r="P72" i="2"/>
  <c r="P73" i="2"/>
  <c r="P76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66" i="2"/>
  <c r="Q67" i="2"/>
  <c r="Q68" i="2"/>
  <c r="Q69" i="2"/>
  <c r="Q70" i="2"/>
  <c r="Q71" i="2"/>
  <c r="Q72" i="2"/>
  <c r="Q73" i="2"/>
  <c r="Q74" i="2"/>
  <c r="Q75" i="2"/>
  <c r="Q76" i="2"/>
  <c r="Q77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66" i="2"/>
  <c r="R67" i="2"/>
  <c r="R68" i="2"/>
  <c r="R69" i="2"/>
  <c r="R70" i="2"/>
  <c r="R71" i="2"/>
  <c r="R72" i="2"/>
  <c r="R73" i="2"/>
  <c r="R74" i="2"/>
  <c r="R75" i="2"/>
  <c r="R76" i="2"/>
  <c r="R77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66" i="2"/>
  <c r="S67" i="2"/>
  <c r="S68" i="2"/>
  <c r="S69" i="2"/>
  <c r="S70" i="2"/>
  <c r="S71" i="2"/>
  <c r="S72" i="2"/>
  <c r="S73" i="2"/>
  <c r="S74" i="2"/>
  <c r="S75" i="2"/>
  <c r="S76" i="2"/>
  <c r="S77" i="2"/>
  <c r="T22" i="2"/>
  <c r="T27" i="2"/>
  <c r="T31" i="2"/>
  <c r="T32" i="2"/>
  <c r="T33" i="2"/>
  <c r="T40" i="2"/>
  <c r="T43" i="2"/>
  <c r="T50" i="2"/>
  <c r="T51" i="2"/>
  <c r="T52" i="2"/>
  <c r="T54" i="2"/>
  <c r="T56" i="2"/>
  <c r="T60" i="2"/>
  <c r="T7" i="2"/>
  <c r="T8" i="2"/>
  <c r="T11" i="2"/>
  <c r="T12" i="2"/>
  <c r="T16" i="2"/>
  <c r="T19" i="2"/>
  <c r="T20" i="2"/>
  <c r="T81" i="2"/>
  <c r="T83" i="2"/>
  <c r="T84" i="2"/>
  <c r="T87" i="2"/>
  <c r="T90" i="2"/>
  <c r="T91" i="2"/>
  <c r="T92" i="2"/>
  <c r="T94" i="2"/>
  <c r="T67" i="2"/>
  <c r="T70" i="2"/>
  <c r="T71" i="2"/>
  <c r="T72" i="2"/>
  <c r="T73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2" i="2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66" i="2"/>
  <c r="W67" i="2"/>
  <c r="W68" i="2"/>
  <c r="W69" i="2"/>
  <c r="W70" i="2"/>
  <c r="W71" i="2"/>
  <c r="W72" i="2"/>
  <c r="W73" i="2"/>
  <c r="W74" i="2"/>
  <c r="W75" i="2"/>
  <c r="W76" i="2"/>
  <c r="W77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66" i="2"/>
  <c r="X67" i="2"/>
  <c r="X68" i="2"/>
  <c r="X69" i="2"/>
  <c r="X70" i="2"/>
  <c r="X71" i="2"/>
  <c r="X72" i="2"/>
  <c r="X73" i="2"/>
  <c r="X74" i="2"/>
  <c r="X75" i="2"/>
  <c r="X76" i="2"/>
  <c r="X77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2" i="2"/>
  <c r="Y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66" i="2"/>
  <c r="Y67" i="2"/>
  <c r="Y68" i="2"/>
  <c r="Y69" i="2"/>
  <c r="Y70" i="2"/>
  <c r="Y71" i="2"/>
  <c r="Y72" i="2"/>
  <c r="Y73" i="2"/>
  <c r="Y74" i="2"/>
  <c r="Y75" i="2"/>
  <c r="Y76" i="2"/>
  <c r="Y77" i="2"/>
  <c r="C1" i="12" a="1"/>
  <c r="C1" i="12" s="1"/>
  <c r="C1" i="11" a="1"/>
  <c r="C1" i="11" s="1"/>
  <c r="C1" i="9" a="1"/>
  <c r="C1" i="9" s="1"/>
  <c r="N36" i="2" l="1"/>
  <c r="P36" i="2"/>
  <c r="I61" i="2"/>
  <c r="P61" i="2" s="1"/>
  <c r="H10" i="2"/>
  <c r="M10" i="2"/>
  <c r="T10" i="2" s="1"/>
  <c r="H47" i="2"/>
  <c r="N47" i="2" s="1"/>
  <c r="M47" i="2"/>
  <c r="T47" i="2" s="1"/>
  <c r="M61" i="2"/>
  <c r="T61" i="2" s="1"/>
  <c r="O52" i="3"/>
  <c r="H191" i="4"/>
  <c r="M79" i="2"/>
  <c r="T79" i="2" s="1"/>
  <c r="I4" i="2"/>
  <c r="H4" i="2"/>
  <c r="M4" i="2"/>
  <c r="I24" i="2"/>
  <c r="M24" i="2"/>
  <c r="H24" i="2"/>
  <c r="P59" i="3"/>
  <c r="N59" i="3"/>
  <c r="O79" i="3"/>
  <c r="N102" i="3"/>
  <c r="O102" i="3"/>
  <c r="M3" i="3"/>
  <c r="T3" i="3" s="1"/>
  <c r="I3" i="3"/>
  <c r="H3" i="3"/>
  <c r="I23" i="3"/>
  <c r="H23" i="3"/>
  <c r="M23" i="3"/>
  <c r="M43" i="3"/>
  <c r="I43" i="3"/>
  <c r="H43" i="3"/>
  <c r="O74" i="4"/>
  <c r="M17" i="2"/>
  <c r="H17" i="2"/>
  <c r="I17" i="2"/>
  <c r="M37" i="2"/>
  <c r="H37" i="2"/>
  <c r="M57" i="2"/>
  <c r="H57" i="2"/>
  <c r="I57" i="2"/>
  <c r="M77" i="2"/>
  <c r="H77" i="2"/>
  <c r="I77" i="2"/>
  <c r="M17" i="3"/>
  <c r="I17" i="3"/>
  <c r="H17" i="3"/>
  <c r="M37" i="3"/>
  <c r="T37" i="3" s="1"/>
  <c r="I37" i="3"/>
  <c r="H37" i="3"/>
  <c r="M57" i="3"/>
  <c r="I57" i="3"/>
  <c r="I77" i="3"/>
  <c r="H77" i="3"/>
  <c r="M77" i="3"/>
  <c r="M97" i="3"/>
  <c r="T97" i="3" s="1"/>
  <c r="I97" i="3"/>
  <c r="M18" i="2"/>
  <c r="I18" i="2"/>
  <c r="I38" i="2"/>
  <c r="M38" i="2"/>
  <c r="H38" i="2"/>
  <c r="M58" i="2"/>
  <c r="I58" i="2"/>
  <c r="I8" i="2"/>
  <c r="I21" i="3"/>
  <c r="M21" i="3"/>
  <c r="H21" i="3"/>
  <c r="M63" i="3"/>
  <c r="H63" i="3"/>
  <c r="I83" i="3"/>
  <c r="H83" i="3"/>
  <c r="M83" i="3"/>
  <c r="I103" i="3"/>
  <c r="H103" i="3"/>
  <c r="M103" i="3"/>
  <c r="I44" i="2"/>
  <c r="H44" i="2"/>
  <c r="I64" i="2"/>
  <c r="H64" i="2"/>
  <c r="I84" i="2"/>
  <c r="H84" i="2"/>
  <c r="H2" i="4"/>
  <c r="I2" i="4"/>
  <c r="M2" i="4"/>
  <c r="H22" i="4"/>
  <c r="I22" i="4"/>
  <c r="M22" i="4"/>
  <c r="H42" i="4"/>
  <c r="I42" i="4"/>
  <c r="M42" i="4"/>
  <c r="H62" i="4"/>
  <c r="I62" i="4"/>
  <c r="M62" i="4"/>
  <c r="I82" i="4"/>
  <c r="M82" i="4"/>
  <c r="H102" i="4"/>
  <c r="I102" i="4"/>
  <c r="M102" i="4"/>
  <c r="H122" i="4"/>
  <c r="I122" i="4"/>
  <c r="M122" i="4"/>
  <c r="H142" i="4"/>
  <c r="I142" i="4"/>
  <c r="M142" i="4"/>
  <c r="H162" i="4"/>
  <c r="I162" i="4"/>
  <c r="P162" i="4" s="1"/>
  <c r="M162" i="4"/>
  <c r="H182" i="4"/>
  <c r="I182" i="4"/>
  <c r="M182" i="4"/>
  <c r="H202" i="4"/>
  <c r="I202" i="4"/>
  <c r="M202" i="4"/>
  <c r="H222" i="4"/>
  <c r="I222" i="4"/>
  <c r="M222" i="4"/>
  <c r="H242" i="4"/>
  <c r="I242" i="4"/>
  <c r="M242" i="4"/>
  <c r="T180" i="4"/>
  <c r="M5" i="2"/>
  <c r="I5" i="2"/>
  <c r="I25" i="2"/>
  <c r="M25" i="2"/>
  <c r="T25" i="2" s="1"/>
  <c r="H45" i="2"/>
  <c r="I45" i="2"/>
  <c r="M45" i="2"/>
  <c r="M65" i="2"/>
  <c r="H65" i="2"/>
  <c r="O209" i="4"/>
  <c r="I6" i="2"/>
  <c r="M6" i="2"/>
  <c r="I26" i="2"/>
  <c r="M26" i="2"/>
  <c r="I46" i="2"/>
  <c r="H46" i="2"/>
  <c r="I66" i="2"/>
  <c r="M66" i="2"/>
  <c r="T66" i="2" s="1"/>
  <c r="H66" i="2"/>
  <c r="I86" i="2"/>
  <c r="H86" i="2"/>
  <c r="M86" i="2"/>
  <c r="H25" i="2"/>
  <c r="H58" i="2"/>
  <c r="P193" i="4"/>
  <c r="H26" i="2"/>
  <c r="I5" i="4"/>
  <c r="M5" i="4"/>
  <c r="H5" i="4"/>
  <c r="I25" i="4"/>
  <c r="M25" i="4"/>
  <c r="M28" i="2"/>
  <c r="I28" i="2"/>
  <c r="M48" i="2"/>
  <c r="H48" i="2"/>
  <c r="H68" i="2"/>
  <c r="I68" i="2"/>
  <c r="M68" i="2"/>
  <c r="H88" i="2"/>
  <c r="O88" i="2" s="1"/>
  <c r="M88" i="2"/>
  <c r="M8" i="3"/>
  <c r="T8" i="3" s="1"/>
  <c r="H8" i="3"/>
  <c r="I8" i="3"/>
  <c r="M28" i="3"/>
  <c r="H28" i="3"/>
  <c r="P54" i="4"/>
  <c r="M9" i="2"/>
  <c r="I9" i="2"/>
  <c r="H9" i="2"/>
  <c r="M29" i="2"/>
  <c r="I29" i="2"/>
  <c r="M49" i="2"/>
  <c r="I49" i="2"/>
  <c r="M69" i="2"/>
  <c r="H69" i="2"/>
  <c r="I69" i="2"/>
  <c r="M89" i="2"/>
  <c r="I89" i="2"/>
  <c r="H28" i="2"/>
  <c r="M9" i="3"/>
  <c r="I9" i="3"/>
  <c r="H29" i="3"/>
  <c r="M29" i="3"/>
  <c r="I29" i="3"/>
  <c r="I49" i="3"/>
  <c r="H49" i="3"/>
  <c r="O49" i="3" s="1"/>
  <c r="M49" i="3"/>
  <c r="H29" i="2"/>
  <c r="M64" i="2"/>
  <c r="I28" i="3"/>
  <c r="P28" i="3" s="1"/>
  <c r="H25" i="4"/>
  <c r="I37" i="2"/>
  <c r="N109" i="4"/>
  <c r="P109" i="4"/>
  <c r="P209" i="4"/>
  <c r="H3" i="4"/>
  <c r="I3" i="4"/>
  <c r="M3" i="4"/>
  <c r="H23" i="4"/>
  <c r="I23" i="4"/>
  <c r="M23" i="4"/>
  <c r="H43" i="4"/>
  <c r="M43" i="4"/>
  <c r="I43" i="4"/>
  <c r="I41" i="3"/>
  <c r="M41" i="3"/>
  <c r="H41" i="3"/>
  <c r="M75" i="4"/>
  <c r="H75" i="4"/>
  <c r="N29" i="4"/>
  <c r="M13" i="2"/>
  <c r="H13" i="2"/>
  <c r="M53" i="2"/>
  <c r="H53" i="2"/>
  <c r="M93" i="2"/>
  <c r="H93" i="2"/>
  <c r="I93" i="2"/>
  <c r="M55" i="2"/>
  <c r="N257" i="4"/>
  <c r="I14" i="2"/>
  <c r="M14" i="2"/>
  <c r="M34" i="2"/>
  <c r="I34" i="2"/>
  <c r="I74" i="2"/>
  <c r="M74" i="2"/>
  <c r="N214" i="4"/>
  <c r="H35" i="2"/>
  <c r="I35" i="2"/>
  <c r="H75" i="2"/>
  <c r="I75" i="2"/>
  <c r="M75" i="2"/>
  <c r="I13" i="2"/>
  <c r="M15" i="2"/>
  <c r="O233" i="4"/>
  <c r="M48" i="3"/>
  <c r="H48" i="3"/>
  <c r="I48" i="3"/>
  <c r="M68" i="3"/>
  <c r="H68" i="3"/>
  <c r="I68" i="3"/>
  <c r="M88" i="3"/>
  <c r="H88" i="3"/>
  <c r="I88" i="3"/>
  <c r="M108" i="3"/>
  <c r="H108" i="3"/>
  <c r="M15" i="4"/>
  <c r="H15" i="4"/>
  <c r="I15" i="4"/>
  <c r="M35" i="4"/>
  <c r="H35" i="4"/>
  <c r="I35" i="4"/>
  <c r="I55" i="4"/>
  <c r="M55" i="4"/>
  <c r="H55" i="4"/>
  <c r="M95" i="4"/>
  <c r="H95" i="4"/>
  <c r="I95" i="4"/>
  <c r="M115" i="4"/>
  <c r="H115" i="4"/>
  <c r="I115" i="4"/>
  <c r="I135" i="4"/>
  <c r="M135" i="4"/>
  <c r="H135" i="4"/>
  <c r="M175" i="4"/>
  <c r="H175" i="4"/>
  <c r="I175" i="4"/>
  <c r="M195" i="4"/>
  <c r="H195" i="4"/>
  <c r="I195" i="4"/>
  <c r="I215" i="4"/>
  <c r="M215" i="4"/>
  <c r="H215" i="4"/>
  <c r="I235" i="4"/>
  <c r="H235" i="4"/>
  <c r="H255" i="4"/>
  <c r="M255" i="4"/>
  <c r="I255" i="4"/>
  <c r="H275" i="4"/>
  <c r="M275" i="4"/>
  <c r="I275" i="4"/>
  <c r="P112" i="4"/>
  <c r="N112" i="4"/>
  <c r="O29" i="4"/>
  <c r="N58" i="4"/>
  <c r="H19" i="2"/>
  <c r="I19" i="2"/>
  <c r="H39" i="2"/>
  <c r="M39" i="2"/>
  <c r="H59" i="2"/>
  <c r="M59" i="2"/>
  <c r="I59" i="2"/>
  <c r="H74" i="2"/>
  <c r="I20" i="2"/>
  <c r="M155" i="4"/>
  <c r="N57" i="4"/>
  <c r="H40" i="2"/>
  <c r="I40" i="2"/>
  <c r="M80" i="2"/>
  <c r="I80" i="2"/>
  <c r="O184" i="4"/>
  <c r="H21" i="2"/>
  <c r="M21" i="2"/>
  <c r="I41" i="2"/>
  <c r="M41" i="2"/>
  <c r="H80" i="2"/>
  <c r="M13" i="3"/>
  <c r="I13" i="3"/>
  <c r="H13" i="3"/>
  <c r="I33" i="3"/>
  <c r="G17" i="1" s="1" a="1"/>
  <c r="G17" i="1" s="1"/>
  <c r="H33" i="3"/>
  <c r="H53" i="3"/>
  <c r="M53" i="3"/>
  <c r="M73" i="3"/>
  <c r="I73" i="3"/>
  <c r="P73" i="3" s="1"/>
  <c r="H73" i="3"/>
  <c r="M93" i="3"/>
  <c r="I93" i="3"/>
  <c r="I2" i="2"/>
  <c r="N2" i="2" s="1"/>
  <c r="M2" i="2"/>
  <c r="I22" i="2"/>
  <c r="H22" i="2"/>
  <c r="I42" i="2"/>
  <c r="M42" i="2"/>
  <c r="I62" i="2"/>
  <c r="M62" i="2"/>
  <c r="I82" i="2"/>
  <c r="M82" i="2"/>
  <c r="H82" i="2"/>
  <c r="M78" i="2"/>
  <c r="M14" i="3"/>
  <c r="T14" i="3" s="1"/>
  <c r="H14" i="3"/>
  <c r="I14" i="3"/>
  <c r="M34" i="3"/>
  <c r="H34" i="3"/>
  <c r="M54" i="3"/>
  <c r="H54" i="3"/>
  <c r="I54" i="3"/>
  <c r="M74" i="3"/>
  <c r="H74" i="3"/>
  <c r="I74" i="3"/>
  <c r="M94" i="3"/>
  <c r="H94" i="3"/>
  <c r="I94" i="3"/>
  <c r="H19" i="4"/>
  <c r="I19" i="4"/>
  <c r="M39" i="4"/>
  <c r="H39" i="4"/>
  <c r="I39" i="4"/>
  <c r="I79" i="4"/>
  <c r="M79" i="4"/>
  <c r="H79" i="4"/>
  <c r="M119" i="4"/>
  <c r="H119" i="4"/>
  <c r="I119" i="4"/>
  <c r="M139" i="4"/>
  <c r="H139" i="4"/>
  <c r="I139" i="4"/>
  <c r="P139" i="4" s="1"/>
  <c r="I159" i="4"/>
  <c r="M159" i="4"/>
  <c r="H159" i="4"/>
  <c r="H179" i="4"/>
  <c r="I179" i="4"/>
  <c r="M199" i="4"/>
  <c r="H199" i="4"/>
  <c r="I199" i="4"/>
  <c r="M219" i="4"/>
  <c r="H219" i="4"/>
  <c r="I219" i="4"/>
  <c r="I239" i="4"/>
  <c r="H239" i="4"/>
  <c r="M239" i="4"/>
  <c r="I259" i="4"/>
  <c r="H259" i="4"/>
  <c r="O210" i="4"/>
  <c r="N3" i="2"/>
  <c r="H23" i="2"/>
  <c r="I23" i="2"/>
  <c r="M23" i="2"/>
  <c r="H63" i="2"/>
  <c r="I63" i="2"/>
  <c r="M63" i="2"/>
  <c r="H83" i="2"/>
  <c r="I83" i="2"/>
  <c r="I78" i="2"/>
  <c r="M35" i="2"/>
  <c r="I79" i="2"/>
  <c r="M85" i="2"/>
  <c r="H5" i="3"/>
  <c r="C16" i="1" s="1" a="1"/>
  <c r="C16" i="1" s="1"/>
  <c r="I109" i="3"/>
  <c r="H27" i="4"/>
  <c r="H77" i="4"/>
  <c r="H105" i="4"/>
  <c r="H185" i="4"/>
  <c r="H211" i="4"/>
  <c r="M51" i="4"/>
  <c r="M211" i="4"/>
  <c r="N7" i="2"/>
  <c r="I56" i="2"/>
  <c r="N16" i="3"/>
  <c r="H35" i="3"/>
  <c r="H85" i="3"/>
  <c r="I55" i="3"/>
  <c r="I85" i="3"/>
  <c r="M25" i="3"/>
  <c r="M79" i="3"/>
  <c r="H28" i="4"/>
  <c r="H107" i="4"/>
  <c r="H157" i="4"/>
  <c r="H187" i="4"/>
  <c r="I10" i="4"/>
  <c r="I90" i="4"/>
  <c r="I170" i="4"/>
  <c r="I250" i="4"/>
  <c r="M77" i="4"/>
  <c r="M103" i="4"/>
  <c r="M157" i="4"/>
  <c r="M183" i="4"/>
  <c r="M237" i="4"/>
  <c r="M263" i="4"/>
  <c r="I11" i="4"/>
  <c r="I63" i="4"/>
  <c r="I91" i="4"/>
  <c r="I143" i="4"/>
  <c r="N143" i="4" s="1"/>
  <c r="I171" i="4"/>
  <c r="I223" i="4"/>
  <c r="M105" i="4"/>
  <c r="M185" i="4"/>
  <c r="T185" i="4" s="1"/>
  <c r="M265" i="4"/>
  <c r="N18" i="3"/>
  <c r="H62" i="3"/>
  <c r="H89" i="3"/>
  <c r="T2" i="3"/>
  <c r="N80" i="4"/>
  <c r="N4" i="4"/>
  <c r="H30" i="4"/>
  <c r="H265" i="4"/>
  <c r="I37" i="4"/>
  <c r="I117" i="4"/>
  <c r="I197" i="4"/>
  <c r="I277" i="4"/>
  <c r="M28" i="4"/>
  <c r="M108" i="4"/>
  <c r="M188" i="4"/>
  <c r="M268" i="4"/>
  <c r="I85" i="2"/>
  <c r="I62" i="3"/>
  <c r="H31" i="4"/>
  <c r="H110" i="4"/>
  <c r="H190" i="4"/>
  <c r="I67" i="4"/>
  <c r="I147" i="4"/>
  <c r="I227" i="4"/>
  <c r="H262" i="4"/>
  <c r="I262" i="4"/>
  <c r="M262" i="4"/>
  <c r="M31" i="4"/>
  <c r="M111" i="4"/>
  <c r="M191" i="4"/>
  <c r="M271" i="4"/>
  <c r="H8" i="4"/>
  <c r="H137" i="4"/>
  <c r="H217" i="4"/>
  <c r="I70" i="4"/>
  <c r="I150" i="4"/>
  <c r="I230" i="4"/>
  <c r="M83" i="4"/>
  <c r="M163" i="4"/>
  <c r="M243" i="4"/>
  <c r="H88" i="4"/>
  <c r="N113" i="4"/>
  <c r="H168" i="4"/>
  <c r="H245" i="4"/>
  <c r="H270" i="4"/>
  <c r="I71" i="4"/>
  <c r="I123" i="4"/>
  <c r="I151" i="4"/>
  <c r="I203" i="4"/>
  <c r="I231" i="4"/>
  <c r="M85" i="4"/>
  <c r="M165" i="4"/>
  <c r="M245" i="4"/>
  <c r="H10" i="4"/>
  <c r="H247" i="4"/>
  <c r="H271" i="4"/>
  <c r="I17" i="4"/>
  <c r="I97" i="4"/>
  <c r="I177" i="4"/>
  <c r="M8" i="4"/>
  <c r="M88" i="4"/>
  <c r="M168" i="4"/>
  <c r="M248" i="4"/>
  <c r="H19" i="3"/>
  <c r="I42" i="3"/>
  <c r="H6" i="4"/>
  <c r="M6" i="4"/>
  <c r="H26" i="4"/>
  <c r="M26" i="4"/>
  <c r="H46" i="4"/>
  <c r="M46" i="4"/>
  <c r="H66" i="4"/>
  <c r="M66" i="4"/>
  <c r="H86" i="4"/>
  <c r="M86" i="4"/>
  <c r="H106" i="4"/>
  <c r="M106" i="4"/>
  <c r="H126" i="4"/>
  <c r="M126" i="4"/>
  <c r="H146" i="4"/>
  <c r="M146" i="4"/>
  <c r="H166" i="4"/>
  <c r="M166" i="4"/>
  <c r="H186" i="4"/>
  <c r="M186" i="4"/>
  <c r="H206" i="4"/>
  <c r="M206" i="4"/>
  <c r="H226" i="4"/>
  <c r="M226" i="4"/>
  <c r="H246" i="4"/>
  <c r="M246" i="4"/>
  <c r="H266" i="4"/>
  <c r="M266" i="4"/>
  <c r="H11" i="4"/>
  <c r="N36" i="4"/>
  <c r="H65" i="4"/>
  <c r="H90" i="4"/>
  <c r="H170" i="4"/>
  <c r="H248" i="4"/>
  <c r="I47" i="4"/>
  <c r="I127" i="4"/>
  <c r="I207" i="4"/>
  <c r="I69" i="3"/>
  <c r="N69" i="3" s="1"/>
  <c r="H37" i="4"/>
  <c r="H67" i="4"/>
  <c r="H91" i="4"/>
  <c r="H145" i="4"/>
  <c r="H171" i="4"/>
  <c r="N224" i="4"/>
  <c r="I49" i="4"/>
  <c r="M251" i="4"/>
  <c r="M6" i="3"/>
  <c r="S18" i="1" s="1" a="1"/>
  <c r="S18" i="1" s="1"/>
  <c r="U18" i="1" s="1"/>
  <c r="H6" i="3"/>
  <c r="B15" i="1" s="1" a="1"/>
  <c r="B15" i="1" s="1"/>
  <c r="M26" i="3"/>
  <c r="H26" i="3"/>
  <c r="M46" i="3"/>
  <c r="H46" i="3"/>
  <c r="M66" i="3"/>
  <c r="H66" i="3"/>
  <c r="M86" i="3"/>
  <c r="H86" i="3"/>
  <c r="M106" i="3"/>
  <c r="H106" i="3"/>
  <c r="H75" i="3"/>
  <c r="N75" i="3" s="1"/>
  <c r="I15" i="3"/>
  <c r="I95" i="3"/>
  <c r="H68" i="4"/>
  <c r="H117" i="4"/>
  <c r="H147" i="4"/>
  <c r="H197" i="4"/>
  <c r="H225" i="4"/>
  <c r="H250" i="4"/>
  <c r="I50" i="4"/>
  <c r="I130" i="4"/>
  <c r="I210" i="4"/>
  <c r="M63" i="4"/>
  <c r="M143" i="4"/>
  <c r="M223" i="4"/>
  <c r="M277" i="4"/>
  <c r="I71" i="2"/>
  <c r="M76" i="2"/>
  <c r="H22" i="3"/>
  <c r="I46" i="3"/>
  <c r="H14" i="4"/>
  <c r="H69" i="4"/>
  <c r="H93" i="4"/>
  <c r="H148" i="4"/>
  <c r="H173" i="4"/>
  <c r="H227" i="4"/>
  <c r="I103" i="4"/>
  <c r="I183" i="4"/>
  <c r="I263" i="4"/>
  <c r="M65" i="4"/>
  <c r="M145" i="4"/>
  <c r="M225" i="4"/>
  <c r="H70" i="4"/>
  <c r="H228" i="4"/>
  <c r="I26" i="4"/>
  <c r="I106" i="4"/>
  <c r="I186" i="4"/>
  <c r="I266" i="4"/>
  <c r="M68" i="4"/>
  <c r="M148" i="4"/>
  <c r="M228" i="4"/>
  <c r="M254" i="4"/>
  <c r="H45" i="4"/>
  <c r="H71" i="4"/>
  <c r="N124" i="4"/>
  <c r="H150" i="4"/>
  <c r="I27" i="4"/>
  <c r="I107" i="4"/>
  <c r="I187" i="4"/>
  <c r="I267" i="4"/>
  <c r="N165" i="4"/>
  <c r="H91" i="2"/>
  <c r="M30" i="2"/>
  <c r="M10" i="3"/>
  <c r="T10" i="3" s="1"/>
  <c r="H10" i="3"/>
  <c r="B18" i="1" s="1" a="1"/>
  <c r="B18" i="1" s="1"/>
  <c r="M30" i="3"/>
  <c r="H30" i="3"/>
  <c r="M50" i="3"/>
  <c r="H50" i="3"/>
  <c r="M70" i="3"/>
  <c r="H70" i="3"/>
  <c r="M90" i="3"/>
  <c r="H90" i="3"/>
  <c r="M110" i="3"/>
  <c r="H110" i="3"/>
  <c r="H25" i="3"/>
  <c r="N104" i="3"/>
  <c r="H17" i="4"/>
  <c r="H47" i="4"/>
  <c r="H72" i="4"/>
  <c r="H125" i="4"/>
  <c r="H151" i="4"/>
  <c r="H205" i="4"/>
  <c r="H230" i="4"/>
  <c r="M231" i="4"/>
  <c r="N92" i="2"/>
  <c r="I51" i="2"/>
  <c r="M11" i="3"/>
  <c r="H11" i="3"/>
  <c r="M51" i="3"/>
  <c r="H51" i="3"/>
  <c r="M71" i="3"/>
  <c r="R18" i="1" s="1" a="1"/>
  <c r="R18" i="1" s="1"/>
  <c r="H71" i="3"/>
  <c r="M91" i="3"/>
  <c r="H91" i="3"/>
  <c r="M111" i="3"/>
  <c r="H111" i="3"/>
  <c r="H105" i="3"/>
  <c r="I75" i="3"/>
  <c r="H48" i="4"/>
  <c r="H97" i="4"/>
  <c r="H127" i="4"/>
  <c r="H152" i="4"/>
  <c r="N152" i="4" s="1"/>
  <c r="H177" i="4"/>
  <c r="H207" i="4"/>
  <c r="I30" i="4"/>
  <c r="I110" i="4"/>
  <c r="I190" i="4"/>
  <c r="I270" i="4"/>
  <c r="M123" i="4"/>
  <c r="M203" i="4"/>
  <c r="M232" i="4"/>
  <c r="O81" i="4"/>
  <c r="O163" i="4"/>
  <c r="N264" i="4"/>
  <c r="N241" i="4"/>
  <c r="N111" i="4"/>
  <c r="B13" i="1" a="1"/>
  <c r="B13" i="1" s="1"/>
  <c r="I26" i="3"/>
  <c r="G15" i="1" s="1" a="1"/>
  <c r="G15" i="1" s="1"/>
  <c r="I51" i="3"/>
  <c r="I106" i="3"/>
  <c r="H128" i="4"/>
  <c r="H153" i="4"/>
  <c r="H208" i="4"/>
  <c r="I83" i="4"/>
  <c r="I163" i="4"/>
  <c r="N163" i="4" s="1"/>
  <c r="I243" i="4"/>
  <c r="M45" i="4"/>
  <c r="M125" i="4"/>
  <c r="M205" i="4"/>
  <c r="I20" i="4"/>
  <c r="I40" i="4"/>
  <c r="I60" i="4"/>
  <c r="I80" i="4"/>
  <c r="I100" i="4"/>
  <c r="I120" i="4"/>
  <c r="I140" i="4"/>
  <c r="I160" i="4"/>
  <c r="I180" i="4"/>
  <c r="I200" i="4"/>
  <c r="I220" i="4"/>
  <c r="I240" i="4"/>
  <c r="I260" i="4"/>
  <c r="M4" i="4"/>
  <c r="M24" i="4"/>
  <c r="M44" i="4"/>
  <c r="M64" i="4"/>
  <c r="M84" i="4"/>
  <c r="M104" i="4"/>
  <c r="M124" i="4"/>
  <c r="M144" i="4"/>
  <c r="M164" i="4"/>
  <c r="M184" i="4"/>
  <c r="M204" i="4"/>
  <c r="M224" i="4"/>
  <c r="M244" i="4"/>
  <c r="M264" i="4"/>
  <c r="W271" i="4"/>
  <c r="W251" i="4"/>
  <c r="W184" i="4"/>
  <c r="Y46" i="3"/>
  <c r="Y25" i="3"/>
  <c r="Y44" i="3"/>
  <c r="Y24" i="3"/>
  <c r="Y4" i="3"/>
  <c r="Y6" i="3"/>
  <c r="Y43" i="3"/>
  <c r="Y23" i="3"/>
  <c r="Y3" i="3"/>
  <c r="Y42" i="3"/>
  <c r="Y22" i="3"/>
  <c r="Y2" i="3"/>
  <c r="Y5" i="3"/>
  <c r="Y45" i="3"/>
  <c r="Y21" i="3"/>
  <c r="Y40" i="3"/>
  <c r="Y39" i="3"/>
  <c r="Y19" i="3"/>
  <c r="Y26" i="3"/>
  <c r="Y41" i="3"/>
  <c r="Y20" i="3"/>
  <c r="Y38" i="3"/>
  <c r="W55" i="3"/>
  <c r="X65" i="2"/>
  <c r="P268" i="4"/>
  <c r="N268" i="4"/>
  <c r="P195" i="4"/>
  <c r="P155" i="4"/>
  <c r="N155" i="4"/>
  <c r="N35" i="4"/>
  <c r="N142" i="4"/>
  <c r="O139" i="4"/>
  <c r="O132" i="4"/>
  <c r="N108" i="4"/>
  <c r="T96" i="3"/>
  <c r="T47" i="3"/>
  <c r="T34" i="3"/>
  <c r="N77" i="3"/>
  <c r="O104" i="3"/>
  <c r="N83" i="3"/>
  <c r="O70" i="3"/>
  <c r="O33" i="3"/>
  <c r="P27" i="2"/>
  <c r="N93" i="2"/>
  <c r="O7" i="2"/>
  <c r="A2" i="15" a="1"/>
  <c r="A2" i="15" s="1"/>
  <c r="N61" i="2" l="1"/>
  <c r="N17" i="2"/>
  <c r="N10" i="2"/>
  <c r="O10" i="2"/>
  <c r="O47" i="2"/>
  <c r="O191" i="4"/>
  <c r="N191" i="4"/>
  <c r="C4" i="1" a="1"/>
  <c r="C4" i="1" s="1"/>
  <c r="T18" i="1"/>
  <c r="T164" i="4"/>
  <c r="P187" i="4"/>
  <c r="T85" i="4"/>
  <c r="T79" i="3"/>
  <c r="T124" i="4"/>
  <c r="R13" i="1" a="1"/>
  <c r="R13" i="1" s="1"/>
  <c r="T143" i="4"/>
  <c r="O66" i="3"/>
  <c r="N19" i="3"/>
  <c r="O19" i="3"/>
  <c r="N203" i="4"/>
  <c r="P203" i="4"/>
  <c r="O8" i="4"/>
  <c r="N8" i="4"/>
  <c r="P62" i="3"/>
  <c r="P63" i="4"/>
  <c r="N63" i="4"/>
  <c r="P85" i="3"/>
  <c r="P78" i="2"/>
  <c r="N78" i="2"/>
  <c r="P199" i="4"/>
  <c r="P19" i="4"/>
  <c r="P82" i="2"/>
  <c r="T13" i="3"/>
  <c r="T39" i="2"/>
  <c r="N195" i="4"/>
  <c r="T35" i="4"/>
  <c r="G14" i="1" a="1"/>
  <c r="G14" i="1" s="1"/>
  <c r="T93" i="2"/>
  <c r="P23" i="4"/>
  <c r="T49" i="3"/>
  <c r="T9" i="2"/>
  <c r="T25" i="4"/>
  <c r="T26" i="2"/>
  <c r="P222" i="4"/>
  <c r="T82" i="4"/>
  <c r="T103" i="3"/>
  <c r="T18" i="2"/>
  <c r="N37" i="2"/>
  <c r="O37" i="2"/>
  <c r="N79" i="2"/>
  <c r="P79" i="2"/>
  <c r="T205" i="4"/>
  <c r="T91" i="3"/>
  <c r="Z91" i="3"/>
  <c r="N25" i="3"/>
  <c r="O25" i="3"/>
  <c r="P107" i="4"/>
  <c r="C15" i="1" a="1"/>
  <c r="C15" i="1" s="1"/>
  <c r="E15" i="1" s="1"/>
  <c r="T166" i="4"/>
  <c r="R16" i="1" a="1"/>
  <c r="R16" i="1" s="1"/>
  <c r="T104" i="4"/>
  <c r="T125" i="4"/>
  <c r="S17" i="1" a="1"/>
  <c r="S17" i="1" s="1"/>
  <c r="N71" i="3"/>
  <c r="O71" i="3"/>
  <c r="O110" i="3"/>
  <c r="N110" i="3"/>
  <c r="T225" i="4"/>
  <c r="T63" i="4"/>
  <c r="T66" i="3"/>
  <c r="P207" i="4"/>
  <c r="O166" i="4"/>
  <c r="N166" i="4"/>
  <c r="P151" i="4"/>
  <c r="P85" i="2"/>
  <c r="N85" i="2"/>
  <c r="R17" i="1" a="1"/>
  <c r="R17" i="1" s="1"/>
  <c r="P11" i="4"/>
  <c r="N55" i="3"/>
  <c r="P55" i="3"/>
  <c r="P83" i="2"/>
  <c r="O199" i="4"/>
  <c r="N199" i="4"/>
  <c r="O19" i="4"/>
  <c r="N19" i="4"/>
  <c r="T62" i="2"/>
  <c r="O80" i="2"/>
  <c r="N80" i="2"/>
  <c r="N39" i="2"/>
  <c r="O39" i="2"/>
  <c r="O195" i="4"/>
  <c r="P15" i="4"/>
  <c r="G16" i="1" a="1"/>
  <c r="G16" i="1" s="1"/>
  <c r="O53" i="2"/>
  <c r="N53" i="2"/>
  <c r="N23" i="4"/>
  <c r="O23" i="4"/>
  <c r="P25" i="4"/>
  <c r="P26" i="2"/>
  <c r="N222" i="4"/>
  <c r="O222" i="4"/>
  <c r="P82" i="4"/>
  <c r="N82" i="4"/>
  <c r="N103" i="3"/>
  <c r="O103" i="3"/>
  <c r="P97" i="3"/>
  <c r="N97" i="3"/>
  <c r="T37" i="2"/>
  <c r="N88" i="2"/>
  <c r="P60" i="4"/>
  <c r="N60" i="4"/>
  <c r="P27" i="4"/>
  <c r="T6" i="2"/>
  <c r="T202" i="4"/>
  <c r="T62" i="4"/>
  <c r="P103" i="3"/>
  <c r="P17" i="2"/>
  <c r="N47" i="4"/>
  <c r="O47" i="4"/>
  <c r="T78" i="2"/>
  <c r="N86" i="3"/>
  <c r="O86" i="3"/>
  <c r="N110" i="4"/>
  <c r="O110" i="4"/>
  <c r="T84" i="4"/>
  <c r="N46" i="3"/>
  <c r="O46" i="3"/>
  <c r="N85" i="3"/>
  <c r="O85" i="3"/>
  <c r="T199" i="4"/>
  <c r="T41" i="2"/>
  <c r="T195" i="4"/>
  <c r="T3" i="4"/>
  <c r="T64" i="4"/>
  <c r="T203" i="4"/>
  <c r="P130" i="4"/>
  <c r="N130" i="4"/>
  <c r="T46" i="3"/>
  <c r="P47" i="4"/>
  <c r="O146" i="4"/>
  <c r="N146" i="4"/>
  <c r="C14" i="1" a="1"/>
  <c r="C14" i="1" s="1"/>
  <c r="P71" i="4"/>
  <c r="B17" i="1" a="1"/>
  <c r="B17" i="1" s="1"/>
  <c r="S13" i="1" a="1"/>
  <c r="S13" i="1" s="1"/>
  <c r="T237" i="4"/>
  <c r="O35" i="3"/>
  <c r="N35" i="3"/>
  <c r="T63" i="2"/>
  <c r="P179" i="4"/>
  <c r="P94" i="3"/>
  <c r="T42" i="2"/>
  <c r="P41" i="2"/>
  <c r="N41" i="2"/>
  <c r="O19" i="2"/>
  <c r="P175" i="4"/>
  <c r="T15" i="4"/>
  <c r="F14" i="1" a="1"/>
  <c r="F14" i="1" s="1"/>
  <c r="H14" i="1" s="1"/>
  <c r="P75" i="2"/>
  <c r="N13" i="2"/>
  <c r="O13" i="2"/>
  <c r="P3" i="4"/>
  <c r="P29" i="3"/>
  <c r="T5" i="4"/>
  <c r="P6" i="2"/>
  <c r="N6" i="2"/>
  <c r="P202" i="4"/>
  <c r="P62" i="4"/>
  <c r="T83" i="3"/>
  <c r="T77" i="3"/>
  <c r="O17" i="2"/>
  <c r="T85" i="2"/>
  <c r="O83" i="2"/>
  <c r="N83" i="2"/>
  <c r="P62" i="2"/>
  <c r="N62" i="2"/>
  <c r="N15" i="4"/>
  <c r="O15" i="4"/>
  <c r="T45" i="4"/>
  <c r="N49" i="3"/>
  <c r="T90" i="3"/>
  <c r="N150" i="4"/>
  <c r="O150" i="4"/>
  <c r="N263" i="4"/>
  <c r="P263" i="4"/>
  <c r="N26" i="3"/>
  <c r="O26" i="3"/>
  <c r="N248" i="4"/>
  <c r="O248" i="4"/>
  <c r="T126" i="4"/>
  <c r="T248" i="4"/>
  <c r="N270" i="4"/>
  <c r="O270" i="4"/>
  <c r="T271" i="4"/>
  <c r="T268" i="4"/>
  <c r="S14" i="1" a="1"/>
  <c r="S14" i="1" s="1"/>
  <c r="T183" i="4"/>
  <c r="P63" i="2"/>
  <c r="N179" i="4"/>
  <c r="O179" i="4"/>
  <c r="O94" i="3"/>
  <c r="N94" i="3"/>
  <c r="P42" i="2"/>
  <c r="N42" i="2"/>
  <c r="T21" i="2"/>
  <c r="O175" i="4"/>
  <c r="N175" i="4"/>
  <c r="O108" i="3"/>
  <c r="N108" i="3"/>
  <c r="F18" i="1" a="1"/>
  <c r="F18" i="1" s="1"/>
  <c r="O75" i="2"/>
  <c r="N75" i="2"/>
  <c r="T13" i="2"/>
  <c r="O3" i="4"/>
  <c r="N3" i="4"/>
  <c r="T29" i="3"/>
  <c r="O28" i="3"/>
  <c r="N28" i="3"/>
  <c r="P5" i="4"/>
  <c r="O202" i="4"/>
  <c r="N202" i="4"/>
  <c r="O62" i="4"/>
  <c r="N62" i="4"/>
  <c r="O83" i="3"/>
  <c r="O77" i="3"/>
  <c r="T17" i="2"/>
  <c r="O125" i="4"/>
  <c r="N125" i="4"/>
  <c r="N70" i="4"/>
  <c r="O70" i="4"/>
  <c r="P70" i="4"/>
  <c r="O17" i="4"/>
  <c r="N17" i="4"/>
  <c r="G18" i="1" a="1"/>
  <c r="G18" i="1" s="1"/>
  <c r="T53" i="2"/>
  <c r="O5" i="4"/>
  <c r="N5" i="4"/>
  <c r="O90" i="3"/>
  <c r="N90" i="3"/>
  <c r="T44" i="4"/>
  <c r="P243" i="4"/>
  <c r="T123" i="4"/>
  <c r="P49" i="3"/>
  <c r="T24" i="4"/>
  <c r="P163" i="4"/>
  <c r="P270" i="4"/>
  <c r="O11" i="3"/>
  <c r="N11" i="3"/>
  <c r="N70" i="3"/>
  <c r="P183" i="4"/>
  <c r="N250" i="4"/>
  <c r="O250" i="4"/>
  <c r="T26" i="3"/>
  <c r="O170" i="4"/>
  <c r="N170" i="4"/>
  <c r="N126" i="4"/>
  <c r="O126" i="4"/>
  <c r="T168" i="4"/>
  <c r="N245" i="4"/>
  <c r="O245" i="4"/>
  <c r="T191" i="4"/>
  <c r="S15" i="1" a="1"/>
  <c r="S15" i="1" s="1"/>
  <c r="T157" i="4"/>
  <c r="N56" i="2"/>
  <c r="P56" i="2"/>
  <c r="N63" i="2"/>
  <c r="O63" i="2"/>
  <c r="O159" i="4"/>
  <c r="T94" i="3"/>
  <c r="Z94" i="3"/>
  <c r="O22" i="2"/>
  <c r="N22" i="2"/>
  <c r="N21" i="2"/>
  <c r="O21" i="2"/>
  <c r="T175" i="4"/>
  <c r="T108" i="3"/>
  <c r="G13" i="1" a="1"/>
  <c r="G13" i="1" s="1"/>
  <c r="P35" i="2"/>
  <c r="N29" i="3"/>
  <c r="O29" i="3"/>
  <c r="T28" i="3"/>
  <c r="N26" i="2"/>
  <c r="O26" i="2"/>
  <c r="O65" i="2"/>
  <c r="N65" i="2"/>
  <c r="T182" i="4"/>
  <c r="T42" i="4"/>
  <c r="P83" i="3"/>
  <c r="P77" i="3"/>
  <c r="N100" i="4"/>
  <c r="P100" i="4"/>
  <c r="T184" i="4"/>
  <c r="N6" i="4"/>
  <c r="O6" i="4"/>
  <c r="T186" i="4"/>
  <c r="T71" i="3"/>
  <c r="P210" i="4"/>
  <c r="P127" i="4"/>
  <c r="T146" i="4"/>
  <c r="N123" i="4"/>
  <c r="P123" i="4"/>
  <c r="T263" i="4"/>
  <c r="N19" i="2"/>
  <c r="P19" i="2"/>
  <c r="T75" i="2"/>
  <c r="N51" i="3"/>
  <c r="O51" i="3"/>
  <c r="T65" i="4"/>
  <c r="T51" i="3"/>
  <c r="P50" i="4"/>
  <c r="T4" i="4"/>
  <c r="P83" i="4"/>
  <c r="N83" i="4"/>
  <c r="P190" i="4"/>
  <c r="T11" i="3"/>
  <c r="T70" i="3"/>
  <c r="N71" i="4"/>
  <c r="O71" i="4"/>
  <c r="P103" i="4"/>
  <c r="N225" i="4"/>
  <c r="O225" i="4"/>
  <c r="N6" i="3"/>
  <c r="O6" i="3"/>
  <c r="N90" i="4"/>
  <c r="O90" i="4"/>
  <c r="T106" i="4"/>
  <c r="T88" i="4"/>
  <c r="N168" i="4"/>
  <c r="O168" i="4"/>
  <c r="T111" i="4"/>
  <c r="T188" i="4"/>
  <c r="T103" i="4"/>
  <c r="T23" i="2"/>
  <c r="T159" i="4"/>
  <c r="P74" i="3"/>
  <c r="P22" i="2"/>
  <c r="N135" i="4"/>
  <c r="O135" i="4"/>
  <c r="P88" i="3"/>
  <c r="O35" i="2"/>
  <c r="N35" i="2"/>
  <c r="O75" i="4"/>
  <c r="N75" i="4"/>
  <c r="P9" i="3"/>
  <c r="N9" i="3"/>
  <c r="P8" i="3"/>
  <c r="T65" i="2"/>
  <c r="P182" i="4"/>
  <c r="P42" i="4"/>
  <c r="O63" i="3"/>
  <c r="N63" i="3"/>
  <c r="P57" i="3"/>
  <c r="T106" i="3"/>
  <c r="P110" i="4"/>
  <c r="O227" i="4"/>
  <c r="N227" i="4"/>
  <c r="N65" i="4"/>
  <c r="O65" i="4"/>
  <c r="T8" i="4"/>
  <c r="T31" i="4"/>
  <c r="T108" i="4"/>
  <c r="T77" i="4"/>
  <c r="T211" i="4"/>
  <c r="P23" i="2"/>
  <c r="N159" i="4"/>
  <c r="P159" i="4"/>
  <c r="O74" i="3"/>
  <c r="N74" i="3"/>
  <c r="R7" i="1" a="1"/>
  <c r="R7" i="1" s="1"/>
  <c r="R4" i="1" a="1"/>
  <c r="R4" i="1" s="1"/>
  <c r="R3" i="1" a="1"/>
  <c r="R3" i="1" s="1"/>
  <c r="S8" i="1" a="1"/>
  <c r="S8" i="1" s="1"/>
  <c r="S7" i="1" a="1"/>
  <c r="S7" i="1" s="1"/>
  <c r="S6" i="1" a="1"/>
  <c r="S6" i="1" s="1"/>
  <c r="S5" i="1" a="1"/>
  <c r="S5" i="1" s="1"/>
  <c r="S4" i="1" a="1"/>
  <c r="S4" i="1" s="1"/>
  <c r="S3" i="1" a="1"/>
  <c r="S3" i="1" s="1"/>
  <c r="R8" i="1" a="1"/>
  <c r="R8" i="1" s="1"/>
  <c r="R6" i="1" a="1"/>
  <c r="R6" i="1" s="1"/>
  <c r="R5" i="1" a="1"/>
  <c r="R5" i="1" s="1"/>
  <c r="T2" i="2"/>
  <c r="C18" i="1" a="1"/>
  <c r="C18" i="1" s="1"/>
  <c r="E18" i="1" s="1"/>
  <c r="T135" i="4"/>
  <c r="O88" i="3"/>
  <c r="N88" i="3"/>
  <c r="T75" i="4"/>
  <c r="T9" i="3"/>
  <c r="O8" i="3"/>
  <c r="N8" i="3"/>
  <c r="T45" i="2"/>
  <c r="O182" i="4"/>
  <c r="N182" i="4"/>
  <c r="O42" i="4"/>
  <c r="N42" i="4"/>
  <c r="T63" i="3"/>
  <c r="T57" i="3"/>
  <c r="N37" i="3"/>
  <c r="O37" i="3"/>
  <c r="P143" i="4"/>
  <c r="P260" i="4"/>
  <c r="N260" i="4"/>
  <c r="T228" i="4"/>
  <c r="O148" i="4"/>
  <c r="N148" i="4"/>
  <c r="O117" i="4"/>
  <c r="T251" i="4"/>
  <c r="O11" i="4"/>
  <c r="N11" i="4"/>
  <c r="O86" i="4"/>
  <c r="N86" i="4"/>
  <c r="T262" i="4"/>
  <c r="N277" i="4"/>
  <c r="P277" i="4"/>
  <c r="N62" i="3"/>
  <c r="O62" i="3"/>
  <c r="P170" i="4"/>
  <c r="O211" i="4"/>
  <c r="N211" i="4"/>
  <c r="N139" i="4"/>
  <c r="P54" i="3"/>
  <c r="P93" i="3"/>
  <c r="T80" i="2"/>
  <c r="P275" i="4"/>
  <c r="P115" i="4"/>
  <c r="P68" i="3"/>
  <c r="P13" i="2"/>
  <c r="N66" i="3"/>
  <c r="O41" i="3"/>
  <c r="N41" i="3"/>
  <c r="N89" i="2"/>
  <c r="P89" i="2"/>
  <c r="T88" i="2"/>
  <c r="O45" i="2"/>
  <c r="N45" i="2"/>
  <c r="P22" i="4"/>
  <c r="P37" i="3"/>
  <c r="O43" i="3"/>
  <c r="N43" i="3"/>
  <c r="T224" i="4"/>
  <c r="O206" i="4"/>
  <c r="P33" i="3"/>
  <c r="P40" i="4"/>
  <c r="N40" i="4"/>
  <c r="N37" i="4"/>
  <c r="O37" i="4"/>
  <c r="T110" i="3"/>
  <c r="N50" i="3"/>
  <c r="O50" i="3"/>
  <c r="N106" i="4"/>
  <c r="O106" i="4"/>
  <c r="P240" i="4"/>
  <c r="N240" i="4"/>
  <c r="P30" i="4"/>
  <c r="O173" i="4"/>
  <c r="N173" i="4"/>
  <c r="O23" i="2"/>
  <c r="N23" i="2"/>
  <c r="T162" i="4"/>
  <c r="T30" i="3"/>
  <c r="O93" i="4"/>
  <c r="N93" i="4"/>
  <c r="T266" i="4"/>
  <c r="T66" i="4"/>
  <c r="P262" i="4"/>
  <c r="P197" i="4"/>
  <c r="P90" i="4"/>
  <c r="O185" i="4"/>
  <c r="N185" i="4"/>
  <c r="T139" i="4"/>
  <c r="O54" i="3"/>
  <c r="N54" i="3"/>
  <c r="Z93" i="3"/>
  <c r="T93" i="3"/>
  <c r="P40" i="2"/>
  <c r="T275" i="4"/>
  <c r="N115" i="4"/>
  <c r="O115" i="4"/>
  <c r="O68" i="3"/>
  <c r="N68" i="3"/>
  <c r="T74" i="2"/>
  <c r="T41" i="3"/>
  <c r="T89" i="2"/>
  <c r="O58" i="2"/>
  <c r="N58" i="2"/>
  <c r="N162" i="4"/>
  <c r="O162" i="4"/>
  <c r="N22" i="4"/>
  <c r="O22" i="4"/>
  <c r="O21" i="3"/>
  <c r="N21" i="3"/>
  <c r="P43" i="3"/>
  <c r="P75" i="3"/>
  <c r="P267" i="4"/>
  <c r="N267" i="4"/>
  <c r="P171" i="4"/>
  <c r="T111" i="3"/>
  <c r="O217" i="4"/>
  <c r="N217" i="4"/>
  <c r="P51" i="2"/>
  <c r="N51" i="2"/>
  <c r="T6" i="3"/>
  <c r="P177" i="4"/>
  <c r="O89" i="3"/>
  <c r="N89" i="3"/>
  <c r="S16" i="1" a="1"/>
  <c r="S16" i="1" s="1"/>
  <c r="U16" i="1" s="1"/>
  <c r="T68" i="3"/>
  <c r="C5" i="1" a="1"/>
  <c r="C5" i="1" s="1"/>
  <c r="P74" i="2"/>
  <c r="P41" i="3"/>
  <c r="P69" i="2"/>
  <c r="T68" i="2"/>
  <c r="N25" i="2"/>
  <c r="O25" i="2"/>
  <c r="P25" i="2"/>
  <c r="T142" i="4"/>
  <c r="R26" i="1" a="1"/>
  <c r="R26" i="1" s="1"/>
  <c r="R25" i="1" a="1"/>
  <c r="R25" i="1" s="1"/>
  <c r="R24" i="1" a="1"/>
  <c r="R24" i="1" s="1"/>
  <c r="R23" i="1" a="1"/>
  <c r="R23" i="1" s="1"/>
  <c r="S28" i="1" a="1"/>
  <c r="S28" i="1" s="1"/>
  <c r="S27" i="1" a="1"/>
  <c r="S27" i="1" s="1"/>
  <c r="S26" i="1" a="1"/>
  <c r="S26" i="1" s="1"/>
  <c r="S25" i="1" a="1"/>
  <c r="S25" i="1" s="1"/>
  <c r="S23" i="1" a="1"/>
  <c r="S23" i="1" s="1"/>
  <c r="S24" i="1" a="1"/>
  <c r="S24" i="1" s="1"/>
  <c r="R28" i="1" a="1"/>
  <c r="R28" i="1" s="1"/>
  <c r="R27" i="1" a="1"/>
  <c r="R27" i="1" s="1"/>
  <c r="T2" i="4"/>
  <c r="T21" i="3"/>
  <c r="N17" i="3"/>
  <c r="O17" i="3"/>
  <c r="T43" i="3"/>
  <c r="O24" i="2"/>
  <c r="N24" i="2"/>
  <c r="N67" i="4"/>
  <c r="O67" i="4"/>
  <c r="T165" i="4"/>
  <c r="O190" i="4"/>
  <c r="N190" i="4"/>
  <c r="P219" i="4"/>
  <c r="T145" i="4"/>
  <c r="O197" i="4"/>
  <c r="N197" i="4"/>
  <c r="T50" i="3"/>
  <c r="T254" i="4"/>
  <c r="N147" i="4"/>
  <c r="O147" i="4"/>
  <c r="N88" i="4"/>
  <c r="O88" i="4"/>
  <c r="O207" i="4"/>
  <c r="N207" i="4"/>
  <c r="O177" i="4"/>
  <c r="N177" i="4"/>
  <c r="O68" i="4"/>
  <c r="N68" i="4"/>
  <c r="N262" i="4"/>
  <c r="O262" i="4"/>
  <c r="N117" i="4"/>
  <c r="P117" i="4"/>
  <c r="P10" i="4"/>
  <c r="P119" i="4"/>
  <c r="N73" i="3"/>
  <c r="O73" i="3"/>
  <c r="N275" i="4"/>
  <c r="O275" i="4"/>
  <c r="P266" i="4"/>
  <c r="N14" i="4"/>
  <c r="O14" i="4"/>
  <c r="T246" i="4"/>
  <c r="T46" i="4"/>
  <c r="O271" i="4"/>
  <c r="N271" i="4"/>
  <c r="T243" i="4"/>
  <c r="B16" i="1" a="1"/>
  <c r="B16" i="1" s="1"/>
  <c r="D16" i="1" s="1"/>
  <c r="P37" i="4"/>
  <c r="B14" i="1" a="1"/>
  <c r="B14" i="1" s="1"/>
  <c r="O187" i="4"/>
  <c r="N187" i="4"/>
  <c r="O77" i="4"/>
  <c r="N77" i="4"/>
  <c r="N259" i="4"/>
  <c r="O259" i="4"/>
  <c r="N119" i="4"/>
  <c r="O119" i="4"/>
  <c r="O34" i="3"/>
  <c r="N34" i="3"/>
  <c r="P255" i="4"/>
  <c r="P95" i="4"/>
  <c r="P48" i="3"/>
  <c r="C6" i="1" a="1"/>
  <c r="C6" i="1" s="1"/>
  <c r="P34" i="2"/>
  <c r="N69" i="2"/>
  <c r="O69" i="2"/>
  <c r="P68" i="2"/>
  <c r="T86" i="2"/>
  <c r="N5" i="2"/>
  <c r="P5" i="2"/>
  <c r="P142" i="4"/>
  <c r="F24" i="1" a="1"/>
  <c r="F24" i="1" s="1"/>
  <c r="G28" i="1" a="1"/>
  <c r="G28" i="1" s="1"/>
  <c r="G27" i="1" a="1"/>
  <c r="G27" i="1" s="1"/>
  <c r="G26" i="1" a="1"/>
  <c r="G26" i="1" s="1"/>
  <c r="G24" i="1" a="1"/>
  <c r="G24" i="1" s="1"/>
  <c r="G23" i="1" a="1"/>
  <c r="G23" i="1" s="1"/>
  <c r="F27" i="1" a="1"/>
  <c r="F27" i="1" s="1"/>
  <c r="G25" i="1" a="1"/>
  <c r="G25" i="1" s="1"/>
  <c r="F28" i="1" a="1"/>
  <c r="F28" i="1" s="1"/>
  <c r="F26" i="1" a="1"/>
  <c r="F26" i="1" s="1"/>
  <c r="P2" i="4"/>
  <c r="F25" i="1" a="1"/>
  <c r="F25" i="1" s="1"/>
  <c r="F23" i="1" a="1"/>
  <c r="F23" i="1" s="1"/>
  <c r="P21" i="3"/>
  <c r="P17" i="3"/>
  <c r="T23" i="3"/>
  <c r="T24" i="2"/>
  <c r="T277" i="4"/>
  <c r="N45" i="4"/>
  <c r="O45" i="4"/>
  <c r="O208" i="4"/>
  <c r="N208" i="4"/>
  <c r="T51" i="4"/>
  <c r="T74" i="3"/>
  <c r="P80" i="2"/>
  <c r="P135" i="4"/>
  <c r="T15" i="2"/>
  <c r="O28" i="2"/>
  <c r="N28" i="2"/>
  <c r="P45" i="2"/>
  <c r="T22" i="4"/>
  <c r="O30" i="3"/>
  <c r="N30" i="3"/>
  <c r="P200" i="4"/>
  <c r="N200" i="4"/>
  <c r="O128" i="4"/>
  <c r="N128" i="4"/>
  <c r="T148" i="4"/>
  <c r="P97" i="4"/>
  <c r="N180" i="4"/>
  <c r="P180" i="4"/>
  <c r="O152" i="4"/>
  <c r="O10" i="3"/>
  <c r="N10" i="3"/>
  <c r="N69" i="4"/>
  <c r="O69" i="4"/>
  <c r="N66" i="4"/>
  <c r="O66" i="4"/>
  <c r="T54" i="3"/>
  <c r="T115" i="4"/>
  <c r="P160" i="4"/>
  <c r="N160" i="4"/>
  <c r="N127" i="4"/>
  <c r="O127" i="4"/>
  <c r="T264" i="4"/>
  <c r="P140" i="4"/>
  <c r="P186" i="4"/>
  <c r="N95" i="3"/>
  <c r="P95" i="3"/>
  <c r="O46" i="4"/>
  <c r="N46" i="4"/>
  <c r="T163" i="4"/>
  <c r="N265" i="4"/>
  <c r="O265" i="4"/>
  <c r="P259" i="4"/>
  <c r="T73" i="3"/>
  <c r="T155" i="4"/>
  <c r="T255" i="4"/>
  <c r="O95" i="4"/>
  <c r="N95" i="4"/>
  <c r="N48" i="3"/>
  <c r="O48" i="3"/>
  <c r="C7" i="1" a="1"/>
  <c r="C7" i="1" s="1"/>
  <c r="T34" i="2"/>
  <c r="N210" i="4"/>
  <c r="N93" i="3"/>
  <c r="T69" i="2"/>
  <c r="N68" i="2"/>
  <c r="O68" i="2"/>
  <c r="N86" i="2"/>
  <c r="O86" i="2"/>
  <c r="T5" i="2"/>
  <c r="O142" i="4"/>
  <c r="B26" i="1" a="1"/>
  <c r="B26" i="1" s="1"/>
  <c r="B25" i="1" a="1"/>
  <c r="B25" i="1" s="1"/>
  <c r="B24" i="1" a="1"/>
  <c r="B24" i="1" s="1"/>
  <c r="B23" i="1" a="1"/>
  <c r="B23" i="1" s="1"/>
  <c r="C27" i="1" a="1"/>
  <c r="C27" i="1" s="1"/>
  <c r="C25" i="1" a="1"/>
  <c r="C25" i="1" s="1"/>
  <c r="C28" i="1" a="1"/>
  <c r="C28" i="1" s="1"/>
  <c r="C26" i="1" a="1"/>
  <c r="C26" i="1" s="1"/>
  <c r="C24" i="1" a="1"/>
  <c r="C24" i="1" s="1"/>
  <c r="C23" i="1" a="1"/>
  <c r="C23" i="1" s="1"/>
  <c r="B28" i="1" a="1"/>
  <c r="B28" i="1" s="1"/>
  <c r="B27" i="1" a="1"/>
  <c r="B27" i="1" s="1"/>
  <c r="O2" i="4"/>
  <c r="N2" i="4"/>
  <c r="P8" i="2"/>
  <c r="N8" i="2"/>
  <c r="T17" i="3"/>
  <c r="N23" i="3"/>
  <c r="O23" i="3"/>
  <c r="P24" i="2"/>
  <c r="O111" i="3"/>
  <c r="N111" i="3"/>
  <c r="P39" i="4"/>
  <c r="T232" i="4"/>
  <c r="C17" i="1" a="1"/>
  <c r="C17" i="1" s="1"/>
  <c r="E17" i="1" s="1"/>
  <c r="T86" i="4"/>
  <c r="T28" i="4"/>
  <c r="P250" i="4"/>
  <c r="F6" i="1" a="1"/>
  <c r="F6" i="1" s="1"/>
  <c r="F3" i="1" a="1"/>
  <c r="F3" i="1" s="1"/>
  <c r="G3" i="1" a="1"/>
  <c r="G3" i="1" s="1"/>
  <c r="F8" i="1" a="1"/>
  <c r="F8" i="1" s="1"/>
  <c r="F7" i="1" a="1"/>
  <c r="F7" i="1" s="1"/>
  <c r="F5" i="1" a="1"/>
  <c r="F5" i="1" s="1"/>
  <c r="F4" i="1" a="1"/>
  <c r="F4" i="1" s="1"/>
  <c r="G8" i="1" a="1"/>
  <c r="G8" i="1" s="1"/>
  <c r="G7" i="1" a="1"/>
  <c r="G7" i="1" s="1"/>
  <c r="G6" i="1" a="1"/>
  <c r="G6" i="1" s="1"/>
  <c r="G5" i="1" a="1"/>
  <c r="G5" i="1" s="1"/>
  <c r="G4" i="1" a="1"/>
  <c r="G4" i="1" s="1"/>
  <c r="P2" i="2"/>
  <c r="T88" i="3"/>
  <c r="N206" i="4"/>
  <c r="N220" i="4"/>
  <c r="P220" i="4"/>
  <c r="N153" i="4"/>
  <c r="O153" i="4"/>
  <c r="T231" i="4"/>
  <c r="P106" i="3"/>
  <c r="T68" i="4"/>
  <c r="P49" i="4"/>
  <c r="N49" i="4"/>
  <c r="N266" i="4"/>
  <c r="O266" i="4"/>
  <c r="P17" i="4"/>
  <c r="O105" i="4"/>
  <c r="N105" i="4"/>
  <c r="O40" i="2"/>
  <c r="N40" i="2"/>
  <c r="P51" i="3"/>
  <c r="O230" i="4"/>
  <c r="N230" i="4"/>
  <c r="P26" i="3"/>
  <c r="O97" i="4"/>
  <c r="N97" i="4"/>
  <c r="N205" i="4"/>
  <c r="O205" i="4"/>
  <c r="T30" i="2"/>
  <c r="P46" i="3"/>
  <c r="N246" i="4"/>
  <c r="O246" i="4"/>
  <c r="N247" i="4"/>
  <c r="O247" i="4"/>
  <c r="T265" i="4"/>
  <c r="O157" i="4"/>
  <c r="N157" i="4"/>
  <c r="N27" i="4"/>
  <c r="O27" i="4"/>
  <c r="T119" i="4"/>
  <c r="N103" i="4"/>
  <c r="T244" i="4"/>
  <c r="N120" i="4"/>
  <c r="P120" i="4"/>
  <c r="N48" i="4"/>
  <c r="O48" i="4"/>
  <c r="N151" i="4"/>
  <c r="O151" i="4"/>
  <c r="O91" i="2"/>
  <c r="N91" i="2"/>
  <c r="P106" i="4"/>
  <c r="N22" i="3"/>
  <c r="O22" i="3"/>
  <c r="N15" i="3"/>
  <c r="P15" i="3"/>
  <c r="O171" i="4"/>
  <c r="N171" i="4"/>
  <c r="T226" i="4"/>
  <c r="T26" i="4"/>
  <c r="O10" i="4"/>
  <c r="N10" i="4"/>
  <c r="T83" i="4"/>
  <c r="P227" i="4"/>
  <c r="N30" i="4"/>
  <c r="O30" i="4"/>
  <c r="P109" i="3"/>
  <c r="N109" i="3"/>
  <c r="T239" i="4"/>
  <c r="N79" i="4"/>
  <c r="O79" i="4"/>
  <c r="N14" i="3"/>
  <c r="P14" i="3"/>
  <c r="T53" i="3"/>
  <c r="N50" i="4"/>
  <c r="O255" i="4"/>
  <c r="N255" i="4"/>
  <c r="T95" i="4"/>
  <c r="T48" i="3"/>
  <c r="C8" i="1" a="1"/>
  <c r="C8" i="1" s="1"/>
  <c r="T14" i="2"/>
  <c r="N243" i="4"/>
  <c r="P37" i="2"/>
  <c r="N49" i="2"/>
  <c r="P49" i="2"/>
  <c r="N48" i="2"/>
  <c r="O48" i="2"/>
  <c r="P86" i="2"/>
  <c r="T122" i="4"/>
  <c r="O84" i="2"/>
  <c r="N84" i="2"/>
  <c r="P58" i="2"/>
  <c r="P77" i="2"/>
  <c r="P23" i="3"/>
  <c r="T4" i="2"/>
  <c r="O107" i="4"/>
  <c r="N107" i="4"/>
  <c r="N239" i="4"/>
  <c r="O239" i="4"/>
  <c r="T79" i="4"/>
  <c r="O14" i="3"/>
  <c r="O53" i="3"/>
  <c r="N53" i="3"/>
  <c r="N20" i="2"/>
  <c r="P20" i="2"/>
  <c r="O235" i="4"/>
  <c r="N235" i="4"/>
  <c r="N55" i="4"/>
  <c r="O55" i="4"/>
  <c r="B3" i="1" a="1"/>
  <c r="B3" i="1" s="1"/>
  <c r="N14" i="2"/>
  <c r="P14" i="2"/>
  <c r="N183" i="4"/>
  <c r="N25" i="4"/>
  <c r="O25" i="4"/>
  <c r="T49" i="2"/>
  <c r="T48" i="2"/>
  <c r="O66" i="2"/>
  <c r="P122" i="4"/>
  <c r="P84" i="2"/>
  <c r="T58" i="2"/>
  <c r="N77" i="2"/>
  <c r="O77" i="2"/>
  <c r="N3" i="3"/>
  <c r="O3" i="3"/>
  <c r="C3" i="1" a="1"/>
  <c r="C3" i="1" s="1"/>
  <c r="B8" i="1" a="1"/>
  <c r="B8" i="1" s="1"/>
  <c r="O4" i="2"/>
  <c r="N4" i="2"/>
  <c r="P26" i="4"/>
  <c r="T76" i="2"/>
  <c r="O75" i="3"/>
  <c r="O145" i="4"/>
  <c r="N145" i="4"/>
  <c r="O226" i="4"/>
  <c r="N226" i="4"/>
  <c r="N26" i="4"/>
  <c r="O26" i="4"/>
  <c r="C13" i="1" a="1"/>
  <c r="C13" i="1" s="1"/>
  <c r="E13" i="1" s="1"/>
  <c r="P230" i="4"/>
  <c r="P147" i="4"/>
  <c r="T105" i="4"/>
  <c r="T204" i="4"/>
  <c r="P80" i="4"/>
  <c r="N105" i="3"/>
  <c r="O105" i="3"/>
  <c r="N72" i="4"/>
  <c r="O72" i="4"/>
  <c r="R14" i="1" a="1"/>
  <c r="R14" i="1" s="1"/>
  <c r="T14" i="1" s="1"/>
  <c r="O228" i="4"/>
  <c r="N228" i="4"/>
  <c r="N71" i="2"/>
  <c r="P71" i="2"/>
  <c r="N106" i="3"/>
  <c r="O106" i="3"/>
  <c r="N91" i="4"/>
  <c r="O91" i="4"/>
  <c r="T206" i="4"/>
  <c r="T6" i="4"/>
  <c r="T245" i="4"/>
  <c r="P150" i="4"/>
  <c r="P67" i="4"/>
  <c r="N223" i="4"/>
  <c r="P223" i="4"/>
  <c r="N28" i="4"/>
  <c r="O28" i="4"/>
  <c r="N5" i="3"/>
  <c r="O5" i="3"/>
  <c r="P239" i="4"/>
  <c r="P79" i="4"/>
  <c r="N33" i="3"/>
  <c r="N74" i="2"/>
  <c r="O74" i="2"/>
  <c r="P235" i="4"/>
  <c r="T55" i="4"/>
  <c r="B6" i="1" a="1"/>
  <c r="B6" i="1" s="1"/>
  <c r="P43" i="4"/>
  <c r="P29" i="2"/>
  <c r="P28" i="2"/>
  <c r="T242" i="4"/>
  <c r="O122" i="4"/>
  <c r="N122" i="4"/>
  <c r="O64" i="2"/>
  <c r="N64" i="2"/>
  <c r="O38" i="2"/>
  <c r="T77" i="2"/>
  <c r="F13" i="1" a="1"/>
  <c r="F13" i="1" s="1"/>
  <c r="H13" i="1" s="1"/>
  <c r="P3" i="3"/>
  <c r="P4" i="2"/>
  <c r="N59" i="2"/>
  <c r="P59" i="2"/>
  <c r="N215" i="4"/>
  <c r="O215" i="4"/>
  <c r="P55" i="4"/>
  <c r="F15" i="1" a="1"/>
  <c r="F15" i="1" s="1"/>
  <c r="H15" i="1" s="1"/>
  <c r="B4" i="1" a="1"/>
  <c r="B4" i="1" s="1"/>
  <c r="T55" i="2"/>
  <c r="T43" i="4"/>
  <c r="T64" i="2"/>
  <c r="T29" i="2"/>
  <c r="T28" i="2"/>
  <c r="N66" i="2"/>
  <c r="P66" i="2"/>
  <c r="P242" i="4"/>
  <c r="T102" i="4"/>
  <c r="P64" i="2"/>
  <c r="T38" i="2"/>
  <c r="P57" i="2"/>
  <c r="O39" i="4"/>
  <c r="N39" i="4"/>
  <c r="N82" i="2"/>
  <c r="O82" i="2"/>
  <c r="O13" i="3"/>
  <c r="T59" i="2"/>
  <c r="T215" i="4"/>
  <c r="P35" i="4"/>
  <c r="F16" i="1" a="1"/>
  <c r="F16" i="1" s="1"/>
  <c r="H16" i="1" s="1"/>
  <c r="B5" i="1" a="1"/>
  <c r="B5" i="1" s="1"/>
  <c r="P93" i="2"/>
  <c r="N43" i="4"/>
  <c r="O43" i="4"/>
  <c r="O29" i="2"/>
  <c r="N29" i="2"/>
  <c r="N9" i="2"/>
  <c r="O9" i="2"/>
  <c r="O46" i="2"/>
  <c r="N46" i="2"/>
  <c r="N242" i="4"/>
  <c r="O242" i="4"/>
  <c r="P102" i="4"/>
  <c r="O44" i="2"/>
  <c r="N44" i="2"/>
  <c r="N38" i="2"/>
  <c r="P38" i="2"/>
  <c r="O57" i="2"/>
  <c r="N57" i="2"/>
  <c r="N57" i="3"/>
  <c r="N219" i="4"/>
  <c r="O219" i="4"/>
  <c r="N140" i="4"/>
  <c r="T144" i="4"/>
  <c r="N20" i="4"/>
  <c r="P20" i="4"/>
  <c r="O91" i="3"/>
  <c r="N91" i="3"/>
  <c r="T223" i="4"/>
  <c r="T86" i="3"/>
  <c r="P69" i="3"/>
  <c r="O186" i="4"/>
  <c r="N186" i="4"/>
  <c r="N42" i="3"/>
  <c r="P42" i="3"/>
  <c r="N231" i="4"/>
  <c r="P231" i="4"/>
  <c r="N137" i="4"/>
  <c r="O137" i="4"/>
  <c r="O31" i="4"/>
  <c r="N31" i="4"/>
  <c r="R15" i="1" a="1"/>
  <c r="R15" i="1" s="1"/>
  <c r="P91" i="4"/>
  <c r="T25" i="3"/>
  <c r="T35" i="2"/>
  <c r="T219" i="4"/>
  <c r="T39" i="4"/>
  <c r="T82" i="2"/>
  <c r="N13" i="3"/>
  <c r="P13" i="3"/>
  <c r="O59" i="2"/>
  <c r="P215" i="4"/>
  <c r="O35" i="4"/>
  <c r="F17" i="1" a="1"/>
  <c r="F17" i="1" s="1"/>
  <c r="H17" i="1" s="1"/>
  <c r="B7" i="1" a="1"/>
  <c r="B7" i="1" s="1"/>
  <c r="D7" i="1" s="1"/>
  <c r="O93" i="2"/>
  <c r="T23" i="4"/>
  <c r="P9" i="2"/>
  <c r="P46" i="2"/>
  <c r="T222" i="4"/>
  <c r="O102" i="4"/>
  <c r="N102" i="4"/>
  <c r="P44" i="2"/>
  <c r="P18" i="2"/>
  <c r="N18" i="2"/>
  <c r="T57" i="2"/>
  <c r="N34" i="2"/>
  <c r="D4" i="1" l="1"/>
  <c r="D28" i="1"/>
  <c r="A9" i="12" a="1"/>
  <c r="A6" i="12" s="1"/>
  <c r="A9" i="11" a="1"/>
  <c r="A6" i="11" s="1"/>
  <c r="T3" i="1"/>
  <c r="H3" i="1"/>
  <c r="U28" i="1"/>
  <c r="T17" i="1"/>
  <c r="D14" i="1"/>
  <c r="U83" i="3" s="1"/>
  <c r="T13" i="1"/>
  <c r="Z69" i="3" s="1"/>
  <c r="T15" i="1"/>
  <c r="T4" i="1"/>
  <c r="H18" i="1"/>
  <c r="V92" i="3" s="1"/>
  <c r="T7" i="1"/>
  <c r="Z79" i="2" s="1"/>
  <c r="U23" i="1"/>
  <c r="I27" i="1"/>
  <c r="U6" i="1"/>
  <c r="H6" i="1"/>
  <c r="V20" i="2" s="1"/>
  <c r="E26" i="1"/>
  <c r="D3" i="1"/>
  <c r="U25" i="2" s="1"/>
  <c r="E25" i="1"/>
  <c r="H28" i="1"/>
  <c r="D8" i="1"/>
  <c r="E27" i="1"/>
  <c r="D23" i="1"/>
  <c r="U26" i="1"/>
  <c r="U27" i="1"/>
  <c r="H24" i="1"/>
  <c r="V180" i="4" s="1"/>
  <c r="I7" i="1"/>
  <c r="T24" i="1"/>
  <c r="Z177" i="4" s="1"/>
  <c r="T8" i="1"/>
  <c r="D5" i="1"/>
  <c r="I8" i="1"/>
  <c r="T25" i="1"/>
  <c r="Z211" i="4" s="1"/>
  <c r="H4" i="1"/>
  <c r="V60" i="2" s="1"/>
  <c r="I23" i="1"/>
  <c r="H5" i="1"/>
  <c r="U5" i="1"/>
  <c r="E24" i="1"/>
  <c r="H25" i="1"/>
  <c r="E6" i="1"/>
  <c r="H26" i="1"/>
  <c r="V94" i="3"/>
  <c r="E3" i="1"/>
  <c r="D27" i="1"/>
  <c r="I24" i="1"/>
  <c r="U3" i="1"/>
  <c r="Z55" i="3"/>
  <c r="Z65" i="3"/>
  <c r="I4" i="1"/>
  <c r="I26" i="1"/>
  <c r="U80" i="3"/>
  <c r="U82" i="3"/>
  <c r="U87" i="3"/>
  <c r="U78" i="3"/>
  <c r="T27" i="1"/>
  <c r="U4" i="1"/>
  <c r="Z48" i="2" s="1"/>
  <c r="V76" i="3"/>
  <c r="I5" i="1"/>
  <c r="V64" i="2" s="1"/>
  <c r="E23" i="1"/>
  <c r="T28" i="1"/>
  <c r="I14" i="1"/>
  <c r="V70" i="3" s="1"/>
  <c r="V105" i="3"/>
  <c r="V101" i="3"/>
  <c r="I6" i="1"/>
  <c r="I28" i="1"/>
  <c r="U24" i="1"/>
  <c r="T16" i="1"/>
  <c r="V188" i="4"/>
  <c r="U7" i="1"/>
  <c r="U13" i="1"/>
  <c r="E28" i="1"/>
  <c r="U225" i="4" s="1"/>
  <c r="U25" i="1"/>
  <c r="V37" i="3"/>
  <c r="U8" i="1"/>
  <c r="D17" i="1"/>
  <c r="V18" i="3"/>
  <c r="V44" i="3"/>
  <c r="V22" i="3"/>
  <c r="V45" i="3"/>
  <c r="V24" i="3"/>
  <c r="V47" i="3"/>
  <c r="V27" i="3"/>
  <c r="V4" i="3"/>
  <c r="V39" i="3"/>
  <c r="V40" i="3"/>
  <c r="V6" i="3"/>
  <c r="V50" i="3"/>
  <c r="V2" i="3"/>
  <c r="V35" i="3"/>
  <c r="V10" i="3"/>
  <c r="V31" i="3"/>
  <c r="V20" i="3"/>
  <c r="H7" i="1"/>
  <c r="E7" i="1"/>
  <c r="U94" i="2" s="1"/>
  <c r="E5" i="1"/>
  <c r="U64" i="2" s="1"/>
  <c r="V8" i="3"/>
  <c r="I13" i="1"/>
  <c r="V61" i="3" s="1"/>
  <c r="E14" i="1"/>
  <c r="V51" i="3"/>
  <c r="H8" i="1"/>
  <c r="D24" i="1"/>
  <c r="T23" i="1"/>
  <c r="D13" i="1"/>
  <c r="I3" i="1"/>
  <c r="V26" i="2" s="1"/>
  <c r="D25" i="1"/>
  <c r="V21" i="3"/>
  <c r="I16" i="1"/>
  <c r="V14" i="3" s="1"/>
  <c r="Z8" i="3"/>
  <c r="V9" i="3"/>
  <c r="U15" i="1"/>
  <c r="Z90" i="3" s="1"/>
  <c r="I15" i="1"/>
  <c r="V90" i="3" s="1"/>
  <c r="D26" i="1"/>
  <c r="H23" i="1"/>
  <c r="T26" i="1"/>
  <c r="U89" i="3"/>
  <c r="V29" i="3"/>
  <c r="D18" i="1"/>
  <c r="V15" i="3"/>
  <c r="V46" i="3"/>
  <c r="U70" i="3"/>
  <c r="Z92" i="3"/>
  <c r="Z98" i="3"/>
  <c r="Z99" i="3"/>
  <c r="Z100" i="3"/>
  <c r="Z95" i="3"/>
  <c r="Z96" i="3"/>
  <c r="Z97" i="3"/>
  <c r="E8" i="1"/>
  <c r="V43" i="3"/>
  <c r="D15" i="1"/>
  <c r="U90" i="3" s="1"/>
  <c r="V33" i="3"/>
  <c r="V99" i="3"/>
  <c r="V100" i="3"/>
  <c r="V98" i="3"/>
  <c r="I17" i="1"/>
  <c r="V107" i="3" s="1"/>
  <c r="V42" i="3"/>
  <c r="E4" i="1"/>
  <c r="U47" i="2" s="1"/>
  <c r="I25" i="1"/>
  <c r="T5" i="1"/>
  <c r="U14" i="1"/>
  <c r="Z77" i="3" s="1"/>
  <c r="V23" i="3"/>
  <c r="V3" i="3"/>
  <c r="D6" i="1"/>
  <c r="H27" i="1"/>
  <c r="T6" i="1"/>
  <c r="I18" i="1"/>
  <c r="V96" i="3" s="1"/>
  <c r="U17" i="1"/>
  <c r="E16" i="1"/>
  <c r="U43" i="3" s="1"/>
  <c r="Z196" i="4" l="1"/>
  <c r="V6" i="2"/>
  <c r="Z186" i="4"/>
  <c r="V5" i="4"/>
  <c r="V228" i="4"/>
  <c r="U27" i="2"/>
  <c r="V187" i="4"/>
  <c r="U239" i="4"/>
  <c r="U158" i="4"/>
  <c r="Z29" i="2"/>
  <c r="V66" i="4"/>
  <c r="Z85" i="2"/>
  <c r="V59" i="2"/>
  <c r="V199" i="4"/>
  <c r="A9" i="12"/>
  <c r="T9" i="12" s="1"/>
  <c r="T2" i="12" s="1"/>
  <c r="A9" i="11"/>
  <c r="T9" i="11" s="1"/>
  <c r="V69" i="4"/>
  <c r="U160" i="4"/>
  <c r="Z36" i="2"/>
  <c r="V125" i="4"/>
  <c r="V12" i="4"/>
  <c r="V22" i="4"/>
  <c r="V28" i="2"/>
  <c r="V117" i="4"/>
  <c r="V16" i="4"/>
  <c r="V72" i="4"/>
  <c r="V200" i="4"/>
  <c r="V118" i="4"/>
  <c r="V93" i="4"/>
  <c r="V31" i="2"/>
  <c r="U46" i="2"/>
  <c r="U156" i="4"/>
  <c r="V52" i="2"/>
  <c r="U28" i="2"/>
  <c r="U35" i="2"/>
  <c r="U68" i="2"/>
  <c r="Z91" i="2"/>
  <c r="Z178" i="4"/>
  <c r="U84" i="2"/>
  <c r="V63" i="2"/>
  <c r="U133" i="4"/>
  <c r="V27" i="2"/>
  <c r="U141" i="4"/>
  <c r="V47" i="2"/>
  <c r="V32" i="2"/>
  <c r="U18" i="4"/>
  <c r="V46" i="2"/>
  <c r="U136" i="4"/>
  <c r="V61" i="2"/>
  <c r="U144" i="4"/>
  <c r="Z40" i="2"/>
  <c r="U42" i="2"/>
  <c r="V220" i="4"/>
  <c r="U30" i="2"/>
  <c r="V18" i="2"/>
  <c r="V45" i="2"/>
  <c r="V124" i="4"/>
  <c r="V103" i="4"/>
  <c r="V78" i="4"/>
  <c r="V94" i="4"/>
  <c r="Z182" i="4"/>
  <c r="Z170" i="4"/>
  <c r="V123" i="4"/>
  <c r="V71" i="3"/>
  <c r="V30" i="4"/>
  <c r="U86" i="2"/>
  <c r="V36" i="4"/>
  <c r="V73" i="4"/>
  <c r="V9" i="4"/>
  <c r="Z181" i="4"/>
  <c r="U164" i="4"/>
  <c r="V84" i="3"/>
  <c r="U29" i="2"/>
  <c r="V32" i="4"/>
  <c r="V115" i="4"/>
  <c r="V50" i="4"/>
  <c r="V116" i="4"/>
  <c r="V36" i="2"/>
  <c r="V87" i="4"/>
  <c r="V111" i="4"/>
  <c r="U142" i="4"/>
  <c r="V47" i="4"/>
  <c r="U33" i="2"/>
  <c r="Z87" i="3"/>
  <c r="V43" i="4"/>
  <c r="V104" i="4"/>
  <c r="V68" i="4"/>
  <c r="V83" i="3"/>
  <c r="U50" i="3"/>
  <c r="U38" i="2"/>
  <c r="U81" i="3"/>
  <c r="V34" i="4"/>
  <c r="V14" i="2"/>
  <c r="Z49" i="2"/>
  <c r="V8" i="4"/>
  <c r="U23" i="2"/>
  <c r="V30" i="2"/>
  <c r="V58" i="4"/>
  <c r="V7" i="2"/>
  <c r="Z60" i="2"/>
  <c r="V86" i="4"/>
  <c r="V113" i="4"/>
  <c r="V45" i="4"/>
  <c r="V3" i="2"/>
  <c r="U77" i="3"/>
  <c r="U84" i="3"/>
  <c r="V12" i="3"/>
  <c r="V41" i="3"/>
  <c r="V104" i="3"/>
  <c r="U76" i="3"/>
  <c r="V84" i="4"/>
  <c r="V11" i="2"/>
  <c r="Z185" i="4"/>
  <c r="Z51" i="2"/>
  <c r="Z180" i="4"/>
  <c r="U6" i="3"/>
  <c r="V58" i="2"/>
  <c r="V17" i="4"/>
  <c r="Z183" i="4"/>
  <c r="V44" i="4"/>
  <c r="Z194" i="4"/>
  <c r="U32" i="3"/>
  <c r="Z46" i="2"/>
  <c r="V14" i="4"/>
  <c r="V61" i="4"/>
  <c r="V65" i="4"/>
  <c r="V31" i="4"/>
  <c r="V52" i="4"/>
  <c r="V21" i="4"/>
  <c r="Z176" i="4"/>
  <c r="U132" i="4"/>
  <c r="Z81" i="2"/>
  <c r="U49" i="3"/>
  <c r="V25" i="4"/>
  <c r="U3" i="3"/>
  <c r="Z50" i="2"/>
  <c r="V91" i="3"/>
  <c r="V6" i="4"/>
  <c r="V75" i="4"/>
  <c r="V108" i="4"/>
  <c r="V122" i="4"/>
  <c r="U155" i="4"/>
  <c r="U9" i="3"/>
  <c r="U86" i="3"/>
  <c r="V109" i="4"/>
  <c r="V223" i="4"/>
  <c r="V57" i="4"/>
  <c r="V21" i="2"/>
  <c r="Z61" i="2"/>
  <c r="V114" i="4"/>
  <c r="Z187" i="4"/>
  <c r="U38" i="3"/>
  <c r="Z71" i="2"/>
  <c r="Z56" i="2"/>
  <c r="U15" i="3"/>
  <c r="Z179" i="4"/>
  <c r="V88" i="4"/>
  <c r="V46" i="4"/>
  <c r="V9" i="2"/>
  <c r="V77" i="4"/>
  <c r="V54" i="4"/>
  <c r="Z47" i="2"/>
  <c r="V74" i="4"/>
  <c r="V64" i="4"/>
  <c r="Z52" i="2"/>
  <c r="V48" i="4"/>
  <c r="V23" i="4"/>
  <c r="V3" i="4"/>
  <c r="V105" i="4"/>
  <c r="Z63" i="2"/>
  <c r="V41" i="4"/>
  <c r="V38" i="4"/>
  <c r="V13" i="4"/>
  <c r="V55" i="2"/>
  <c r="Z174" i="4"/>
  <c r="U131" i="4"/>
  <c r="U8" i="3"/>
  <c r="U26" i="2"/>
  <c r="Z53" i="2"/>
  <c r="U71" i="3"/>
  <c r="V85" i="4"/>
  <c r="V121" i="4"/>
  <c r="V82" i="4"/>
  <c r="V53" i="2"/>
  <c r="Z198" i="4"/>
  <c r="U129" i="4"/>
  <c r="V28" i="3"/>
  <c r="V16" i="3"/>
  <c r="V26" i="3"/>
  <c r="U22" i="2"/>
  <c r="U39" i="2"/>
  <c r="V28" i="4"/>
  <c r="V96" i="4"/>
  <c r="U83" i="2"/>
  <c r="V19" i="4"/>
  <c r="V54" i="2"/>
  <c r="Z172" i="4"/>
  <c r="U161" i="4"/>
  <c r="V25" i="3"/>
  <c r="V36" i="3"/>
  <c r="V100" i="4"/>
  <c r="V78" i="3"/>
  <c r="Z44" i="2"/>
  <c r="Z54" i="2"/>
  <c r="V39" i="2"/>
  <c r="V26" i="4"/>
  <c r="Z197" i="4"/>
  <c r="U154" i="4"/>
  <c r="U31" i="2"/>
  <c r="Z25" i="2"/>
  <c r="Z184" i="4"/>
  <c r="U37" i="2"/>
  <c r="Z75" i="2"/>
  <c r="Z76" i="2"/>
  <c r="Z74" i="2"/>
  <c r="Z23" i="2"/>
  <c r="Z39" i="2"/>
  <c r="Z22" i="2"/>
  <c r="V171" i="4"/>
  <c r="Z31" i="2"/>
  <c r="Z43" i="2"/>
  <c r="V190" i="4"/>
  <c r="Z32" i="2"/>
  <c r="V182" i="4"/>
  <c r="Z59" i="2"/>
  <c r="Z35" i="2"/>
  <c r="V216" i="4"/>
  <c r="Z205" i="4"/>
  <c r="V16" i="2"/>
  <c r="Z210" i="4"/>
  <c r="V50" i="2"/>
  <c r="Z192" i="4"/>
  <c r="U40" i="2"/>
  <c r="U163" i="4"/>
  <c r="V195" i="4"/>
  <c r="Z199" i="4"/>
  <c r="V179" i="4"/>
  <c r="V214" i="4"/>
  <c r="V225" i="4"/>
  <c r="V15" i="2"/>
  <c r="Z208" i="4"/>
  <c r="V48" i="2"/>
  <c r="Z190" i="4"/>
  <c r="U134" i="4"/>
  <c r="Z195" i="4"/>
  <c r="V193" i="4"/>
  <c r="V56" i="2"/>
  <c r="Z27" i="2"/>
  <c r="V189" i="4"/>
  <c r="Z62" i="2"/>
  <c r="V224" i="4"/>
  <c r="Z204" i="4"/>
  <c r="V221" i="4"/>
  <c r="V217" i="4"/>
  <c r="V177" i="4"/>
  <c r="V12" i="2"/>
  <c r="Z68" i="2"/>
  <c r="Z173" i="4"/>
  <c r="U32" i="2"/>
  <c r="U80" i="2"/>
  <c r="V197" i="4"/>
  <c r="V4" i="2"/>
  <c r="V29" i="4"/>
  <c r="V33" i="4"/>
  <c r="V4" i="4"/>
  <c r="V222" i="4"/>
  <c r="V186" i="4"/>
  <c r="V218" i="4"/>
  <c r="V5" i="2"/>
  <c r="V191" i="4"/>
  <c r="Z42" i="2"/>
  <c r="U24" i="2"/>
  <c r="V168" i="4"/>
  <c r="V212" i="4"/>
  <c r="V59" i="4"/>
  <c r="V27" i="4"/>
  <c r="V226" i="4"/>
  <c r="V213" i="4"/>
  <c r="Z188" i="4"/>
  <c r="Z26" i="2"/>
  <c r="Z169" i="4"/>
  <c r="U34" i="2"/>
  <c r="V185" i="4"/>
  <c r="V70" i="4"/>
  <c r="U150" i="4"/>
  <c r="V229" i="4"/>
  <c r="V8" i="2"/>
  <c r="V51" i="4"/>
  <c r="V7" i="4"/>
  <c r="V40" i="4"/>
  <c r="V15" i="4"/>
  <c r="Z193" i="4"/>
  <c r="U41" i="2"/>
  <c r="V176" i="4"/>
  <c r="V62" i="2"/>
  <c r="V43" i="2"/>
  <c r="V99" i="4"/>
  <c r="V81" i="4"/>
  <c r="V112" i="4"/>
  <c r="V90" i="4"/>
  <c r="Z191" i="4"/>
  <c r="U146" i="4"/>
  <c r="Z189" i="4"/>
  <c r="U43" i="2"/>
  <c r="V198" i="4"/>
  <c r="V95" i="4"/>
  <c r="Z168" i="4"/>
  <c r="U153" i="4"/>
  <c r="V33" i="2"/>
  <c r="V25" i="2"/>
  <c r="V98" i="4"/>
  <c r="V53" i="4"/>
  <c r="V92" i="4"/>
  <c r="Z175" i="4"/>
  <c r="U36" i="2"/>
  <c r="Z41" i="2"/>
  <c r="Z206" i="4"/>
  <c r="V192" i="4"/>
  <c r="U69" i="2"/>
  <c r="Z30" i="2"/>
  <c r="V169" i="4"/>
  <c r="V22" i="2"/>
  <c r="U127" i="4"/>
  <c r="Z69" i="2"/>
  <c r="V170" i="4"/>
  <c r="V65" i="2"/>
  <c r="U152" i="4"/>
  <c r="V13" i="2"/>
  <c r="V41" i="2"/>
  <c r="U75" i="2"/>
  <c r="U67" i="2"/>
  <c r="U90" i="2"/>
  <c r="Z87" i="2"/>
  <c r="V178" i="4"/>
  <c r="V57" i="2"/>
  <c r="U82" i="2"/>
  <c r="V29" i="2"/>
  <c r="Z84" i="2"/>
  <c r="U50" i="2"/>
  <c r="V196" i="4"/>
  <c r="U89" i="2"/>
  <c r="Z67" i="2"/>
  <c r="Z83" i="2"/>
  <c r="V184" i="4"/>
  <c r="U87" i="2"/>
  <c r="Z73" i="2"/>
  <c r="Z94" i="2"/>
  <c r="V181" i="4"/>
  <c r="U79" i="2"/>
  <c r="Z72" i="2"/>
  <c r="Z92" i="2"/>
  <c r="V174" i="4"/>
  <c r="V63" i="4"/>
  <c r="U92" i="2"/>
  <c r="V206" i="4"/>
  <c r="Z90" i="2"/>
  <c r="Z33" i="2"/>
  <c r="V173" i="4"/>
  <c r="V19" i="2"/>
  <c r="U81" i="2"/>
  <c r="V2" i="2"/>
  <c r="V211" i="4"/>
  <c r="V37" i="2"/>
  <c r="V172" i="4"/>
  <c r="U85" i="2"/>
  <c r="V51" i="2"/>
  <c r="U78" i="2"/>
  <c r="V17" i="2"/>
  <c r="V10" i="2"/>
  <c r="U66" i="2"/>
  <c r="V49" i="2"/>
  <c r="V183" i="4"/>
  <c r="Z171" i="4"/>
  <c r="V175" i="4"/>
  <c r="V194" i="4"/>
  <c r="V203" i="4"/>
  <c r="U51" i="3"/>
  <c r="U200" i="4"/>
  <c r="U203" i="4"/>
  <c r="U209" i="4"/>
  <c r="U201" i="4"/>
  <c r="U210" i="4"/>
  <c r="U204" i="4"/>
  <c r="U202" i="4"/>
  <c r="U211" i="4"/>
  <c r="U206" i="4"/>
  <c r="U205" i="4"/>
  <c r="U208" i="4"/>
  <c r="U207" i="4"/>
  <c r="U52" i="3"/>
  <c r="V207" i="4"/>
  <c r="Z80" i="3"/>
  <c r="V109" i="3"/>
  <c r="U23" i="3"/>
  <c r="V106" i="3"/>
  <c r="U44" i="3"/>
  <c r="Z63" i="3"/>
  <c r="Z57" i="3"/>
  <c r="Z68" i="3"/>
  <c r="Z54" i="3"/>
  <c r="Z66" i="3"/>
  <c r="Z53" i="3"/>
  <c r="Z85" i="3"/>
  <c r="V75" i="3"/>
  <c r="V77" i="3"/>
  <c r="V74" i="3"/>
  <c r="V88" i="3"/>
  <c r="U137" i="4"/>
  <c r="U145" i="4"/>
  <c r="U151" i="4"/>
  <c r="V89" i="3"/>
  <c r="U148" i="4"/>
  <c r="Z65" i="2"/>
  <c r="Z64" i="2"/>
  <c r="V44" i="2"/>
  <c r="V24" i="2"/>
  <c r="V38" i="2"/>
  <c r="U219" i="4"/>
  <c r="U215" i="4"/>
  <c r="U226" i="4"/>
  <c r="U228" i="4"/>
  <c r="U40" i="3"/>
  <c r="Z82" i="3"/>
  <c r="V87" i="3"/>
  <c r="U126" i="4"/>
  <c r="V23" i="2"/>
  <c r="U13" i="3"/>
  <c r="U19" i="3"/>
  <c r="U54" i="2"/>
  <c r="U18" i="3"/>
  <c r="V42" i="2"/>
  <c r="Z81" i="3"/>
  <c r="V86" i="3"/>
  <c r="V80" i="4"/>
  <c r="V35" i="4"/>
  <c r="V20" i="4"/>
  <c r="V119" i="4"/>
  <c r="V2" i="4"/>
  <c r="V120" i="4"/>
  <c r="V79" i="4"/>
  <c r="V102" i="4"/>
  <c r="V10" i="4"/>
  <c r="V55" i="4"/>
  <c r="V97" i="4"/>
  <c r="V49" i="4"/>
  <c r="V91" i="4"/>
  <c r="V39" i="4"/>
  <c r="V67" i="4"/>
  <c r="V106" i="4"/>
  <c r="V64" i="3"/>
  <c r="U222" i="4"/>
  <c r="U5" i="3"/>
  <c r="U25" i="3"/>
  <c r="U52" i="2"/>
  <c r="U39" i="3"/>
  <c r="Z76" i="3"/>
  <c r="U76" i="2"/>
  <c r="V63" i="3"/>
  <c r="V11" i="4"/>
  <c r="Z71" i="3"/>
  <c r="V103" i="3"/>
  <c r="Z12" i="4"/>
  <c r="Z34" i="4"/>
  <c r="Z56" i="4"/>
  <c r="Z99" i="4"/>
  <c r="Z120" i="4"/>
  <c r="Z13" i="4"/>
  <c r="Z58" i="4"/>
  <c r="Z78" i="4"/>
  <c r="Z101" i="4"/>
  <c r="Z36" i="4"/>
  <c r="Z59" i="4"/>
  <c r="Z16" i="4"/>
  <c r="Z38" i="4"/>
  <c r="Z61" i="4"/>
  <c r="Z81" i="4"/>
  <c r="Z10" i="4"/>
  <c r="Z40" i="4"/>
  <c r="Z67" i="4"/>
  <c r="Z91" i="4"/>
  <c r="Z118" i="4"/>
  <c r="Z11" i="4"/>
  <c r="Z41" i="4"/>
  <c r="Z92" i="4"/>
  <c r="Z69" i="4"/>
  <c r="Z93" i="4"/>
  <c r="Z121" i="4"/>
  <c r="Z18" i="4"/>
  <c r="Z71" i="4"/>
  <c r="Z19" i="4"/>
  <c r="Z72" i="4"/>
  <c r="Z97" i="4"/>
  <c r="Z50" i="4"/>
  <c r="Z76" i="4"/>
  <c r="Z107" i="4"/>
  <c r="Z29" i="4"/>
  <c r="Z54" i="4"/>
  <c r="Z7" i="4"/>
  <c r="Z33" i="4"/>
  <c r="Z37" i="4"/>
  <c r="Z47" i="4"/>
  <c r="Z87" i="4"/>
  <c r="Z48" i="4"/>
  <c r="Z89" i="4"/>
  <c r="Z49" i="4"/>
  <c r="Z90" i="4"/>
  <c r="Z94" i="4"/>
  <c r="Z9" i="4"/>
  <c r="Z60" i="4"/>
  <c r="Z17" i="4"/>
  <c r="Z20" i="4"/>
  <c r="Z109" i="4"/>
  <c r="Z112" i="4"/>
  <c r="Z70" i="4"/>
  <c r="Z113" i="4"/>
  <c r="Z27" i="4"/>
  <c r="Z73" i="4"/>
  <c r="Z114" i="4"/>
  <c r="Z30" i="4"/>
  <c r="Z117" i="4"/>
  <c r="Z80" i="4"/>
  <c r="Z116" i="4"/>
  <c r="Z110" i="4"/>
  <c r="Z21" i="4"/>
  <c r="Z32" i="4"/>
  <c r="Z52" i="4"/>
  <c r="Z74" i="4"/>
  <c r="Z53" i="4"/>
  <c r="Z96" i="4"/>
  <c r="Z57" i="4"/>
  <c r="Z98" i="4"/>
  <c r="Z14" i="4"/>
  <c r="Z100" i="4"/>
  <c r="Z22" i="4"/>
  <c r="Z23" i="4"/>
  <c r="Z84" i="4"/>
  <c r="Z86" i="4"/>
  <c r="Z119" i="4"/>
  <c r="Z95" i="4"/>
  <c r="Z111" i="4"/>
  <c r="Z28" i="4"/>
  <c r="Z62" i="4"/>
  <c r="Z65" i="4"/>
  <c r="Z105" i="4"/>
  <c r="Z39" i="4"/>
  <c r="Z51" i="4"/>
  <c r="Z25" i="4"/>
  <c r="Z75" i="4"/>
  <c r="Z115" i="4"/>
  <c r="Z6" i="4"/>
  <c r="Z103" i="4"/>
  <c r="Z46" i="4"/>
  <c r="Z42" i="4"/>
  <c r="Z5" i="4"/>
  <c r="Z4" i="4"/>
  <c r="Z102" i="4"/>
  <c r="Z26" i="4"/>
  <c r="Z63" i="4"/>
  <c r="Z44" i="4"/>
  <c r="Z82" i="4"/>
  <c r="Z85" i="4"/>
  <c r="Z123" i="4"/>
  <c r="Z8" i="4"/>
  <c r="Z68" i="4"/>
  <c r="Z35" i="4"/>
  <c r="Z3" i="4"/>
  <c r="Z45" i="4"/>
  <c r="Z15" i="4"/>
  <c r="Z106" i="4"/>
  <c r="Z31" i="4"/>
  <c r="Z24" i="4"/>
  <c r="Z79" i="4"/>
  <c r="Z124" i="4"/>
  <c r="Z104" i="4"/>
  <c r="Z64" i="4"/>
  <c r="Z88" i="4"/>
  <c r="Z108" i="4"/>
  <c r="Z83" i="4"/>
  <c r="Z43" i="4"/>
  <c r="Z77" i="4"/>
  <c r="Z66" i="4"/>
  <c r="Z122" i="4"/>
  <c r="Z55" i="4"/>
  <c r="Z125" i="4"/>
  <c r="Z2" i="4"/>
  <c r="U51" i="2"/>
  <c r="U24" i="3"/>
  <c r="Z75" i="3"/>
  <c r="U70" i="2"/>
  <c r="V81" i="3"/>
  <c r="U229" i="4"/>
  <c r="Z70" i="3"/>
  <c r="V60" i="3"/>
  <c r="U48" i="2"/>
  <c r="V82" i="3"/>
  <c r="U218" i="4"/>
  <c r="Z28" i="2"/>
  <c r="Z34" i="2"/>
  <c r="Z38" i="2"/>
  <c r="Z24" i="2"/>
  <c r="V67" i="3"/>
  <c r="V49" i="3"/>
  <c r="U49" i="2"/>
  <c r="U20" i="3"/>
  <c r="Z89" i="3"/>
  <c r="U159" i="4"/>
  <c r="U73" i="2"/>
  <c r="V73" i="3"/>
  <c r="U214" i="4"/>
  <c r="V59" i="3"/>
  <c r="Z106" i="3"/>
  <c r="Z108" i="3"/>
  <c r="Z110" i="3"/>
  <c r="Z111" i="3"/>
  <c r="Z103" i="3"/>
  <c r="U47" i="3"/>
  <c r="U77" i="2"/>
  <c r="U45" i="3"/>
  <c r="Z82" i="2"/>
  <c r="Z86" i="2"/>
  <c r="Z88" i="2"/>
  <c r="Z80" i="2"/>
  <c r="Z89" i="2"/>
  <c r="Z78" i="3"/>
  <c r="U135" i="4"/>
  <c r="U72" i="2"/>
  <c r="U213" i="4"/>
  <c r="V56" i="3"/>
  <c r="U29" i="3"/>
  <c r="U59" i="2"/>
  <c r="U57" i="2"/>
  <c r="Z101" i="3"/>
  <c r="V210" i="4"/>
  <c r="Z207" i="4"/>
  <c r="U24" i="4"/>
  <c r="U94" i="4"/>
  <c r="U118" i="4"/>
  <c r="U4" i="4"/>
  <c r="U51" i="4"/>
  <c r="U73" i="4"/>
  <c r="U96" i="4"/>
  <c r="U120" i="4"/>
  <c r="U52" i="4"/>
  <c r="U121" i="4"/>
  <c r="U12" i="4"/>
  <c r="U76" i="4"/>
  <c r="U13" i="4"/>
  <c r="U44" i="4"/>
  <c r="U109" i="4"/>
  <c r="U111" i="4"/>
  <c r="U16" i="4"/>
  <c r="U53" i="4"/>
  <c r="U80" i="4"/>
  <c r="U112" i="4"/>
  <c r="U54" i="4"/>
  <c r="U83" i="4"/>
  <c r="U113" i="4"/>
  <c r="U57" i="4"/>
  <c r="U87" i="4"/>
  <c r="U116" i="4"/>
  <c r="U58" i="4"/>
  <c r="U63" i="4"/>
  <c r="U32" i="4"/>
  <c r="U64" i="4"/>
  <c r="U92" i="4"/>
  <c r="U100" i="4"/>
  <c r="U85" i="4"/>
  <c r="U20" i="4"/>
  <c r="U89" i="4"/>
  <c r="U21" i="4"/>
  <c r="U29" i="4"/>
  <c r="U98" i="4"/>
  <c r="U99" i="4"/>
  <c r="U38" i="4"/>
  <c r="U33" i="4"/>
  <c r="U101" i="4"/>
  <c r="U34" i="4"/>
  <c r="U123" i="4"/>
  <c r="U56" i="4"/>
  <c r="U60" i="4"/>
  <c r="U7" i="4"/>
  <c r="U9" i="4"/>
  <c r="U78" i="4"/>
  <c r="U84" i="4"/>
  <c r="U59" i="4"/>
  <c r="U114" i="4"/>
  <c r="U104" i="4"/>
  <c r="U41" i="4"/>
  <c r="U124" i="4"/>
  <c r="U81" i="4"/>
  <c r="U36" i="4"/>
  <c r="U102" i="4"/>
  <c r="U50" i="4"/>
  <c r="U61" i="4"/>
  <c r="U49" i="4"/>
  <c r="U40" i="4"/>
  <c r="U108" i="4"/>
  <c r="U103" i="4"/>
  <c r="U82" i="4"/>
  <c r="U19" i="4"/>
  <c r="U74" i="4"/>
  <c r="U62" i="4"/>
  <c r="U71" i="4"/>
  <c r="U115" i="4"/>
  <c r="U45" i="4"/>
  <c r="U2" i="4"/>
  <c r="U27" i="4"/>
  <c r="U125" i="4"/>
  <c r="U117" i="4"/>
  <c r="U30" i="4"/>
  <c r="U91" i="4"/>
  <c r="U72" i="4"/>
  <c r="U77" i="4"/>
  <c r="U55" i="4"/>
  <c r="U42" i="4"/>
  <c r="U68" i="4"/>
  <c r="U28" i="4"/>
  <c r="U31" i="4"/>
  <c r="U5" i="4"/>
  <c r="U75" i="4"/>
  <c r="U14" i="4"/>
  <c r="U69" i="4"/>
  <c r="U95" i="4"/>
  <c r="U105" i="4"/>
  <c r="U66" i="4"/>
  <c r="U11" i="4"/>
  <c r="U46" i="4"/>
  <c r="U86" i="4"/>
  <c r="U119" i="4"/>
  <c r="U47" i="4"/>
  <c r="U79" i="4"/>
  <c r="U122" i="4"/>
  <c r="U65" i="4"/>
  <c r="U15" i="4"/>
  <c r="U3" i="4"/>
  <c r="U48" i="4"/>
  <c r="U8" i="4"/>
  <c r="U67" i="4"/>
  <c r="U23" i="4"/>
  <c r="U70" i="4"/>
  <c r="U90" i="4"/>
  <c r="U93" i="4"/>
  <c r="U107" i="4"/>
  <c r="U88" i="4"/>
  <c r="U10" i="4"/>
  <c r="U43" i="4"/>
  <c r="U35" i="4"/>
  <c r="U106" i="4"/>
  <c r="U25" i="4"/>
  <c r="U26" i="4"/>
  <c r="U97" i="4"/>
  <c r="U39" i="4"/>
  <c r="U110" i="4"/>
  <c r="U17" i="4"/>
  <c r="U6" i="4"/>
  <c r="U22" i="4"/>
  <c r="U37" i="4"/>
  <c r="V55" i="3"/>
  <c r="Z137" i="4"/>
  <c r="Z160" i="4"/>
  <c r="Z138" i="4"/>
  <c r="Z161" i="4"/>
  <c r="Z141" i="4"/>
  <c r="Z147" i="4"/>
  <c r="Z130" i="4"/>
  <c r="Z136" i="4"/>
  <c r="Z167" i="4"/>
  <c r="Z158" i="4"/>
  <c r="Z127" i="4"/>
  <c r="Z132" i="4"/>
  <c r="Z134" i="4"/>
  <c r="Z149" i="4"/>
  <c r="Z152" i="4"/>
  <c r="Z156" i="4"/>
  <c r="Z150" i="4"/>
  <c r="Z140" i="4"/>
  <c r="Z128" i="4"/>
  <c r="Z129" i="4"/>
  <c r="Z133" i="4"/>
  <c r="Z153" i="4"/>
  <c r="Z154" i="4"/>
  <c r="Z151" i="4"/>
  <c r="Z145" i="4"/>
  <c r="Z148" i="4"/>
  <c r="Z163" i="4"/>
  <c r="Z155" i="4"/>
  <c r="Z144" i="4"/>
  <c r="Z142" i="4"/>
  <c r="Z135" i="4"/>
  <c r="Z139" i="4"/>
  <c r="Z164" i="4"/>
  <c r="Z157" i="4"/>
  <c r="Z146" i="4"/>
  <c r="Z162" i="4"/>
  <c r="Z126" i="4"/>
  <c r="Z159" i="4"/>
  <c r="Z166" i="4"/>
  <c r="Z165" i="4"/>
  <c r="Z143" i="4"/>
  <c r="U130" i="4"/>
  <c r="U37" i="3"/>
  <c r="V38" i="3"/>
  <c r="V107" i="4"/>
  <c r="U58" i="2"/>
  <c r="U62" i="2"/>
  <c r="U42" i="3"/>
  <c r="Z131" i="4"/>
  <c r="Z79" i="3"/>
  <c r="U74" i="2"/>
  <c r="V42" i="4"/>
  <c r="U71" i="2"/>
  <c r="Z58" i="2"/>
  <c r="Z55" i="2"/>
  <c r="Z57" i="2"/>
  <c r="U220" i="4"/>
  <c r="Z60" i="3"/>
  <c r="V48" i="3"/>
  <c r="V53" i="3"/>
  <c r="Z203" i="4"/>
  <c r="V69" i="3"/>
  <c r="Z84" i="3"/>
  <c r="Z202" i="4"/>
  <c r="Z104" i="3"/>
  <c r="V54" i="3"/>
  <c r="Z209" i="4"/>
  <c r="U149" i="4"/>
  <c r="V11" i="3"/>
  <c r="U61" i="2"/>
  <c r="U16" i="3"/>
  <c r="Z15" i="3"/>
  <c r="Z42" i="3"/>
  <c r="Z2" i="3"/>
  <c r="Z33" i="3"/>
  <c r="Z4" i="3"/>
  <c r="Z38" i="3"/>
  <c r="Z5" i="3"/>
  <c r="Z39" i="3"/>
  <c r="Z40" i="3"/>
  <c r="Z18" i="3"/>
  <c r="Z45" i="3"/>
  <c r="Z19" i="3"/>
  <c r="Z20" i="3"/>
  <c r="Z22" i="3"/>
  <c r="Z24" i="3"/>
  <c r="Z52" i="3"/>
  <c r="Z7" i="3"/>
  <c r="Z27" i="3"/>
  <c r="Z31" i="3"/>
  <c r="Z44" i="3"/>
  <c r="Z37" i="3"/>
  <c r="Z14" i="3"/>
  <c r="Z16" i="3"/>
  <c r="Z47" i="3"/>
  <c r="Z35" i="3"/>
  <c r="Z36" i="3"/>
  <c r="Z10" i="3"/>
  <c r="Z3" i="3"/>
  <c r="Z32" i="3"/>
  <c r="Z12" i="3"/>
  <c r="Z30" i="3"/>
  <c r="Z6" i="3"/>
  <c r="Z21" i="3"/>
  <c r="Z48" i="3"/>
  <c r="Z49" i="3"/>
  <c r="Z46" i="3"/>
  <c r="Z17" i="3"/>
  <c r="Z51" i="3"/>
  <c r="Z43" i="3"/>
  <c r="Z50" i="3"/>
  <c r="Z41" i="3"/>
  <c r="Z13" i="3"/>
  <c r="Z29" i="3"/>
  <c r="Z26" i="3"/>
  <c r="Z9" i="3"/>
  <c r="Z23" i="3"/>
  <c r="Z11" i="3"/>
  <c r="Z28" i="3"/>
  <c r="Z34" i="3"/>
  <c r="Z25" i="3"/>
  <c r="V68" i="3"/>
  <c r="Z93" i="2"/>
  <c r="Z45" i="2"/>
  <c r="U216" i="4"/>
  <c r="Z61" i="3"/>
  <c r="V66" i="3"/>
  <c r="Z74" i="3"/>
  <c r="V57" i="3"/>
  <c r="Z19" i="2"/>
  <c r="Z20" i="2"/>
  <c r="Z8" i="2"/>
  <c r="Z7" i="2"/>
  <c r="Z10" i="2"/>
  <c r="Z11" i="2"/>
  <c r="Z12" i="2"/>
  <c r="Z16" i="2"/>
  <c r="Z3" i="2"/>
  <c r="Z6" i="2"/>
  <c r="Z2" i="2"/>
  <c r="Z9" i="2"/>
  <c r="Z5" i="2"/>
  <c r="Z14" i="2"/>
  <c r="Z13" i="2"/>
  <c r="Z17" i="2"/>
  <c r="Z4" i="2"/>
  <c r="Z15" i="2"/>
  <c r="Z18" i="2"/>
  <c r="Z21" i="2"/>
  <c r="U11" i="3"/>
  <c r="Z201" i="4"/>
  <c r="U147" i="4"/>
  <c r="U143" i="4"/>
  <c r="V34" i="3"/>
  <c r="U60" i="2"/>
  <c r="U7" i="3"/>
  <c r="V60" i="4"/>
  <c r="U212" i="4"/>
  <c r="Z64" i="3"/>
  <c r="V65" i="3"/>
  <c r="Z83" i="3"/>
  <c r="U34" i="3"/>
  <c r="U33" i="3"/>
  <c r="U21" i="3"/>
  <c r="V139" i="4"/>
  <c r="V165" i="4"/>
  <c r="V166" i="4"/>
  <c r="V167" i="4"/>
  <c r="V144" i="4"/>
  <c r="V157" i="4"/>
  <c r="V128" i="4"/>
  <c r="V158" i="4"/>
  <c r="V129" i="4"/>
  <c r="V131" i="4"/>
  <c r="V132" i="4"/>
  <c r="V134" i="4"/>
  <c r="V137" i="4"/>
  <c r="V145" i="4"/>
  <c r="V148" i="4"/>
  <c r="V149" i="4"/>
  <c r="V152" i="4"/>
  <c r="V153" i="4"/>
  <c r="V156" i="4"/>
  <c r="V161" i="4"/>
  <c r="V126" i="4"/>
  <c r="V146" i="4"/>
  <c r="V136" i="4"/>
  <c r="V133" i="4"/>
  <c r="V138" i="4"/>
  <c r="V154" i="4"/>
  <c r="V162" i="4"/>
  <c r="V155" i="4"/>
  <c r="V164" i="4"/>
  <c r="V141" i="4"/>
  <c r="V140" i="4"/>
  <c r="V147" i="4"/>
  <c r="V130" i="4"/>
  <c r="V135" i="4"/>
  <c r="V159" i="4"/>
  <c r="V127" i="4"/>
  <c r="V143" i="4"/>
  <c r="V142" i="4"/>
  <c r="V160" i="4"/>
  <c r="V150" i="4"/>
  <c r="V163" i="4"/>
  <c r="V151" i="4"/>
  <c r="U55" i="3"/>
  <c r="U60" i="3"/>
  <c r="U65" i="3"/>
  <c r="U67" i="3"/>
  <c r="U69" i="3"/>
  <c r="U57" i="3"/>
  <c r="U58" i="3"/>
  <c r="U59" i="3"/>
  <c r="U64" i="3"/>
  <c r="U56" i="3"/>
  <c r="U62" i="3"/>
  <c r="U61" i="3"/>
  <c r="U66" i="3"/>
  <c r="U53" i="3"/>
  <c r="U68" i="3"/>
  <c r="U54" i="3"/>
  <c r="U63" i="3"/>
  <c r="Z72" i="3"/>
  <c r="U46" i="3"/>
  <c r="Z200" i="4"/>
  <c r="U128" i="4"/>
  <c r="U140" i="4"/>
  <c r="V32" i="3"/>
  <c r="V35" i="2"/>
  <c r="U56" i="2"/>
  <c r="U36" i="3"/>
  <c r="V62" i="4"/>
  <c r="V108" i="3"/>
  <c r="V40" i="2"/>
  <c r="U166" i="4"/>
  <c r="U224" i="4"/>
  <c r="Z59" i="3"/>
  <c r="U269" i="4"/>
  <c r="U251" i="4"/>
  <c r="U272" i="4"/>
  <c r="U252" i="4"/>
  <c r="U273" i="4"/>
  <c r="U240" i="4"/>
  <c r="U274" i="4"/>
  <c r="U241" i="4"/>
  <c r="U276" i="4"/>
  <c r="U244" i="4"/>
  <c r="U278" i="4"/>
  <c r="U253" i="4"/>
  <c r="U279" i="4"/>
  <c r="U254" i="4"/>
  <c r="U257" i="4"/>
  <c r="U258" i="4"/>
  <c r="U231" i="4"/>
  <c r="U261" i="4"/>
  <c r="U232" i="4"/>
  <c r="U263" i="4"/>
  <c r="U236" i="4"/>
  <c r="U260" i="4"/>
  <c r="U264" i="4"/>
  <c r="U267" i="4"/>
  <c r="U268" i="4"/>
  <c r="U277" i="4"/>
  <c r="U237" i="4"/>
  <c r="U238" i="4"/>
  <c r="U256" i="4"/>
  <c r="U234" i="4"/>
  <c r="U243" i="4"/>
  <c r="U233" i="4"/>
  <c r="U249" i="4"/>
  <c r="U262" i="4"/>
  <c r="U266" i="4"/>
  <c r="U246" i="4"/>
  <c r="U245" i="4"/>
  <c r="U242" i="4"/>
  <c r="U235" i="4"/>
  <c r="U259" i="4"/>
  <c r="U248" i="4"/>
  <c r="U271" i="4"/>
  <c r="U250" i="4"/>
  <c r="U247" i="4"/>
  <c r="U230" i="4"/>
  <c r="U265" i="4"/>
  <c r="U270" i="4"/>
  <c r="U275" i="4"/>
  <c r="U255" i="4"/>
  <c r="V58" i="3"/>
  <c r="Z107" i="3"/>
  <c r="Z102" i="3"/>
  <c r="Z105" i="3"/>
  <c r="V24" i="4"/>
  <c r="V208" i="4"/>
  <c r="V13" i="3"/>
  <c r="U227" i="4"/>
  <c r="U48" i="3"/>
  <c r="U167" i="4"/>
  <c r="V17" i="3"/>
  <c r="V7" i="3"/>
  <c r="V62" i="3"/>
  <c r="U107" i="3"/>
  <c r="U101" i="3"/>
  <c r="U102" i="3"/>
  <c r="U104" i="3"/>
  <c r="U109" i="3"/>
  <c r="U108" i="3"/>
  <c r="U106" i="3"/>
  <c r="U110" i="3"/>
  <c r="U103" i="3"/>
  <c r="U105" i="3"/>
  <c r="U111" i="3"/>
  <c r="U55" i="2"/>
  <c r="U4" i="3"/>
  <c r="V102" i="3"/>
  <c r="U162" i="4"/>
  <c r="U35" i="3"/>
  <c r="Z247" i="4"/>
  <c r="Z272" i="4"/>
  <c r="Z250" i="4"/>
  <c r="Z276" i="4"/>
  <c r="Z230" i="4"/>
  <c r="Z279" i="4"/>
  <c r="Z235" i="4"/>
  <c r="Z259" i="4"/>
  <c r="Z269" i="4"/>
  <c r="Z233" i="4"/>
  <c r="Z273" i="4"/>
  <c r="Z234" i="4"/>
  <c r="Z274" i="4"/>
  <c r="Z238" i="4"/>
  <c r="Z240" i="4"/>
  <c r="Z241" i="4"/>
  <c r="Z253" i="4"/>
  <c r="Z256" i="4"/>
  <c r="Z258" i="4"/>
  <c r="Z260" i="4"/>
  <c r="Z261" i="4"/>
  <c r="Z236" i="4"/>
  <c r="Z257" i="4"/>
  <c r="Z267" i="4"/>
  <c r="Z278" i="4"/>
  <c r="Z270" i="4"/>
  <c r="Z252" i="4"/>
  <c r="Z249" i="4"/>
  <c r="Z255" i="4"/>
  <c r="Z251" i="4"/>
  <c r="Z244" i="4"/>
  <c r="Z242" i="4"/>
  <c r="Z246" i="4"/>
  <c r="Z239" i="4"/>
  <c r="Z254" i="4"/>
  <c r="Z265" i="4"/>
  <c r="Z231" i="4"/>
  <c r="Z248" i="4"/>
  <c r="Z262" i="4"/>
  <c r="Z243" i="4"/>
  <c r="Z245" i="4"/>
  <c r="Z263" i="4"/>
  <c r="Z237" i="4"/>
  <c r="Z266" i="4"/>
  <c r="Z271" i="4"/>
  <c r="Z277" i="4"/>
  <c r="Z275" i="4"/>
  <c r="Z232" i="4"/>
  <c r="Z268" i="4"/>
  <c r="Z264" i="4"/>
  <c r="U223" i="4"/>
  <c r="Z67" i="3"/>
  <c r="U14" i="3"/>
  <c r="U26" i="3"/>
  <c r="U17" i="3"/>
  <c r="U45" i="2"/>
  <c r="U22" i="3"/>
  <c r="V34" i="2"/>
  <c r="Z109" i="3"/>
  <c r="V209" i="4"/>
  <c r="V233" i="4"/>
  <c r="V254" i="4"/>
  <c r="V234" i="4"/>
  <c r="V276" i="4"/>
  <c r="V256" i="4"/>
  <c r="V237" i="4"/>
  <c r="V258" i="4"/>
  <c r="V245" i="4"/>
  <c r="V271" i="4"/>
  <c r="V247" i="4"/>
  <c r="V272" i="4"/>
  <c r="V248" i="4"/>
  <c r="V273" i="4"/>
  <c r="V279" i="4"/>
  <c r="V251" i="4"/>
  <c r="V238" i="4"/>
  <c r="V264" i="4"/>
  <c r="V261" i="4"/>
  <c r="V269" i="4"/>
  <c r="V274" i="4"/>
  <c r="V232" i="4"/>
  <c r="V236" i="4"/>
  <c r="V244" i="4"/>
  <c r="V249" i="4"/>
  <c r="V253" i="4"/>
  <c r="V257" i="4"/>
  <c r="V252" i="4"/>
  <c r="V265" i="4"/>
  <c r="V241" i="4"/>
  <c r="V278" i="4"/>
  <c r="V268" i="4"/>
  <c r="V246" i="4"/>
  <c r="V270" i="4"/>
  <c r="V239" i="4"/>
  <c r="V263" i="4"/>
  <c r="V266" i="4"/>
  <c r="V231" i="4"/>
  <c r="V242" i="4"/>
  <c r="V250" i="4"/>
  <c r="V267" i="4"/>
  <c r="V275" i="4"/>
  <c r="V243" i="4"/>
  <c r="V277" i="4"/>
  <c r="V255" i="4"/>
  <c r="V260" i="4"/>
  <c r="V259" i="4"/>
  <c r="V235" i="4"/>
  <c r="V240" i="4"/>
  <c r="V262" i="4"/>
  <c r="V230" i="4"/>
  <c r="U41" i="3"/>
  <c r="V18" i="4"/>
  <c r="Z88" i="3"/>
  <c r="U30" i="3"/>
  <c r="V56" i="4"/>
  <c r="V76" i="4"/>
  <c r="V101" i="4"/>
  <c r="V89" i="4"/>
  <c r="V110" i="4"/>
  <c r="V201" i="4"/>
  <c r="U100" i="3"/>
  <c r="U92" i="3"/>
  <c r="U93" i="3"/>
  <c r="U95" i="3"/>
  <c r="U97" i="3"/>
  <c r="U98" i="3"/>
  <c r="U99" i="3"/>
  <c r="U96" i="3"/>
  <c r="U91" i="3"/>
  <c r="U94" i="3"/>
  <c r="U74" i="3"/>
  <c r="U189" i="4"/>
  <c r="U169" i="4"/>
  <c r="U191" i="4"/>
  <c r="U172" i="4"/>
  <c r="U192" i="4"/>
  <c r="U193" i="4"/>
  <c r="U194" i="4"/>
  <c r="U196" i="4"/>
  <c r="U198" i="4"/>
  <c r="U174" i="4"/>
  <c r="U178" i="4"/>
  <c r="U183" i="4"/>
  <c r="U176" i="4"/>
  <c r="U180" i="4"/>
  <c r="U181" i="4"/>
  <c r="U184" i="4"/>
  <c r="U188" i="4"/>
  <c r="U182" i="4"/>
  <c r="U187" i="4"/>
  <c r="U186" i="4"/>
  <c r="U173" i="4"/>
  <c r="U197" i="4"/>
  <c r="U195" i="4"/>
  <c r="U171" i="4"/>
  <c r="U185" i="4"/>
  <c r="U179" i="4"/>
  <c r="U199" i="4"/>
  <c r="U170" i="4"/>
  <c r="U190" i="4"/>
  <c r="U175" i="4"/>
  <c r="U168" i="4"/>
  <c r="U177" i="4"/>
  <c r="U138" i="4"/>
  <c r="U88" i="2"/>
  <c r="U93" i="2"/>
  <c r="V30" i="3"/>
  <c r="Z37" i="2"/>
  <c r="U63" i="2"/>
  <c r="U27" i="3"/>
  <c r="V111" i="3"/>
  <c r="U217" i="4"/>
  <c r="V72" i="3"/>
  <c r="U79" i="3"/>
  <c r="U221" i="4"/>
  <c r="Z62" i="3"/>
  <c r="Z78" i="2"/>
  <c r="U65" i="2"/>
  <c r="U10" i="3"/>
  <c r="V95" i="3"/>
  <c r="V93" i="3"/>
  <c r="V97" i="3"/>
  <c r="U139" i="4"/>
  <c r="V205" i="4"/>
  <c r="U85" i="3"/>
  <c r="U88" i="3"/>
  <c r="V67" i="2"/>
  <c r="V72" i="2"/>
  <c r="V73" i="2"/>
  <c r="V70" i="2"/>
  <c r="V76" i="2"/>
  <c r="V71" i="2"/>
  <c r="V74" i="2"/>
  <c r="V68" i="2"/>
  <c r="V66" i="2"/>
  <c r="V77" i="2"/>
  <c r="V69" i="2"/>
  <c r="V75" i="2"/>
  <c r="U165" i="4"/>
  <c r="U53" i="2"/>
  <c r="V87" i="2"/>
  <c r="V81" i="2"/>
  <c r="V90" i="2"/>
  <c r="V91" i="2"/>
  <c r="V94" i="2"/>
  <c r="V92" i="2"/>
  <c r="V88" i="2"/>
  <c r="V78" i="2"/>
  <c r="V85" i="2"/>
  <c r="V79" i="2"/>
  <c r="V89" i="2"/>
  <c r="V82" i="2"/>
  <c r="V80" i="2"/>
  <c r="V84" i="2"/>
  <c r="V83" i="2"/>
  <c r="V93" i="2"/>
  <c r="V86" i="2"/>
  <c r="V5" i="3"/>
  <c r="V71" i="4"/>
  <c r="V83" i="4"/>
  <c r="U28" i="3"/>
  <c r="U2" i="3"/>
  <c r="V215" i="4"/>
  <c r="V227" i="4"/>
  <c r="V219" i="4"/>
  <c r="V110" i="3"/>
  <c r="Z221" i="4"/>
  <c r="Z212" i="4"/>
  <c r="Z217" i="4"/>
  <c r="Z213" i="4"/>
  <c r="Z216" i="4"/>
  <c r="Z218" i="4"/>
  <c r="Z227" i="4"/>
  <c r="Z220" i="4"/>
  <c r="Z229" i="4"/>
  <c r="Z214" i="4"/>
  <c r="Z219" i="4"/>
  <c r="Z215" i="4"/>
  <c r="Z222" i="4"/>
  <c r="Z225" i="4"/>
  <c r="Z226" i="4"/>
  <c r="Z223" i="4"/>
  <c r="Z228" i="4"/>
  <c r="Z224" i="4"/>
  <c r="V80" i="3"/>
  <c r="Z58" i="3"/>
  <c r="U44" i="2"/>
  <c r="U157" i="4"/>
  <c r="U14" i="2"/>
  <c r="U16" i="2"/>
  <c r="U20" i="2"/>
  <c r="U5" i="2"/>
  <c r="U3" i="2"/>
  <c r="U8" i="2"/>
  <c r="U6" i="2"/>
  <c r="U15" i="2"/>
  <c r="U11" i="2"/>
  <c r="U10" i="2"/>
  <c r="U12" i="2"/>
  <c r="U2" i="2"/>
  <c r="U18" i="2"/>
  <c r="U7" i="2"/>
  <c r="U4" i="2"/>
  <c r="U13" i="2"/>
  <c r="U17" i="2"/>
  <c r="U9" i="2"/>
  <c r="U21" i="2"/>
  <c r="U19" i="2"/>
  <c r="Z86" i="3"/>
  <c r="Z73" i="3"/>
  <c r="V204" i="4"/>
  <c r="U75" i="3"/>
  <c r="U73" i="3"/>
  <c r="V19" i="3"/>
  <c r="V52" i="3"/>
  <c r="V202" i="4"/>
  <c r="Z66" i="2"/>
  <c r="Z77" i="2"/>
  <c r="U12" i="3"/>
  <c r="U31" i="3"/>
  <c r="V37" i="4"/>
  <c r="V79" i="3"/>
  <c r="U72" i="3"/>
  <c r="U91" i="2"/>
  <c r="Z56" i="3"/>
  <c r="Z70" i="2"/>
  <c r="V85" i="3"/>
  <c r="T2" i="11"/>
  <c r="A9" i="9" l="1" a="1"/>
  <c r="A9" i="9" l="1"/>
  <c r="T9" i="9" s="1"/>
  <c r="T10" i="9"/>
  <c r="T11" i="9"/>
  <c r="A6" i="9"/>
  <c r="T2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02F7248-1599-41F5-872F-43DE63CC1D80}" keepAlive="1" name="Query - A/E LB" description="Connection to the 'A/E LB' query in the workbook." type="5" refreshedVersion="0" background="1">
    <dbPr connection="Provider=Microsoft.Mashup.OleDb.1;Data Source=$Workbook$;Location=&quot;A/E LB&quot;;Extended Properties=&quot;&quot;" command="SELECT * FROM [A/E LB]"/>
  </connection>
  <connection id="2" xr16:uid="{7352744C-3CD2-4A55-B1D1-F2A3A752D6CA}" keepAlive="1" name="Query - A/E UB" description="Connection to the 'A/E UB' query in the workbook." type="5" refreshedVersion="0" background="1">
    <dbPr connection="Provider=Microsoft.Mashup.OleDb.1;Data Source=$Workbook$;Location=&quot;A/E UB&quot;;Extended Properties=&quot;&quot;" command="SELECT * FROM [A/E UB]"/>
  </connection>
  <connection id="3" xr16:uid="{89E07994-A6AF-4E49-BF23-AB2D4F2C2578}" keepAlive="1" name="Query - Current Price" description="Connection to the 'Current Price' query in the workbook." type="5" refreshedVersion="0" background="1">
    <dbPr connection="Provider=Microsoft.Mashup.OleDb.1;Data Source=$Workbook$;Location=&quot;Current Price&quot;;Extended Properties=&quot;&quot;" command="SELECT * FROM [Current Price]"/>
  </connection>
  <connection id="4" xr16:uid="{A5FD463A-200B-46E1-B0FD-2D544A6B5774}" keepAlive="1" name="Query - FileName" description="Connection to the 'FileName' query in the workbook." type="5" refreshedVersion="0" background="1">
    <dbPr connection="Provider=Microsoft.Mashup.OleDb.1;Data Source=$Workbook$;Location=FileName;Extended Properties=&quot;&quot;" command="SELECT * FROM [FileName]"/>
  </connection>
  <connection id="5" xr16:uid="{8F6414D8-7688-4127-BBA8-BDE875D0FCCC}" keepAlive="1" name="Query - L_A/E Q1" description="Connection to the 'L_A/E Q1' query in the workbook." type="5" refreshedVersion="0" background="1">
    <dbPr connection="Provider=Microsoft.Mashup.OleDb.1;Data Source=$Workbook$;Location=&quot;L_A/E Q1&quot;;Extended Properties=&quot;&quot;" command="SELECT * FROM [L_A/E Q1]"/>
  </connection>
  <connection id="6" xr16:uid="{8F5D3B78-38BC-4BAE-80C9-222CAF869EC0}" keepAlive="1" name="Query - L_A/E Q3" description="Connection to the 'L_A/E Q3' query in the workbook." type="5" refreshedVersion="0" background="1">
    <dbPr connection="Provider=Microsoft.Mashup.OleDb.1;Data Source=$Workbook$;Location=&quot;L_A/E Q3&quot;;Extended Properties=&quot;&quot;" command="SELECT * FROM [L_A/E Q3]"/>
  </connection>
  <connection id="7" xr16:uid="{7976D156-18D1-4D9E-AF90-F491B65081EB}" keepAlive="1" name="Query - L_P/B Q1" description="Connection to the 'L_P/B Q1' query in the workbook." type="5" refreshedVersion="0" background="1">
    <dbPr connection="Provider=Microsoft.Mashup.OleDb.1;Data Source=$Workbook$;Location=&quot;L_P/B Q1&quot;;Extended Properties=&quot;&quot;" command="SELECT * FROM [L_P/B Q1]"/>
  </connection>
  <connection id="8" xr16:uid="{AF37842F-8AC7-44A6-9E85-DA45C4E89B77}" keepAlive="1" name="Query - L_P/B Q3" description="Connection to the 'L_P/B Q3' query in the workbook." type="5" refreshedVersion="0" background="1">
    <dbPr connection="Provider=Microsoft.Mashup.OleDb.1;Data Source=$Workbook$;Location=&quot;L_P/B Q3&quot;;Extended Properties=&quot;&quot;" command="SELECT * FROM [L_P/B Q3]"/>
  </connection>
  <connection id="9" xr16:uid="{DC2C7C9A-B063-413D-88A4-5569D5BA1EC0}" keepAlive="1" name="Query - L_P/E Q1" description="Connection to the 'L_P/E Q1' query in the workbook." type="5" refreshedVersion="0" background="1">
    <dbPr connection="Provider=Microsoft.Mashup.OleDb.1;Data Source=$Workbook$;Location=&quot;L_P/E Q1&quot;;Extended Properties=&quot;&quot;" command="SELECT * FROM [L_P/E Q1]"/>
  </connection>
  <connection id="10" xr16:uid="{AC603448-C045-49E0-A887-F24B829281E0}" keepAlive="1" name="Query - L_P/E Q3" description="Connection to the 'L_P/E Q3' query in the workbook." type="5" refreshedVersion="0" background="1">
    <dbPr connection="Provider=Microsoft.Mashup.OleDb.1;Data Source=$Workbook$;Location=&quot;L_P/E Q3&quot;;Extended Properties=&quot;&quot;" command="SELECT * FROM [L_P/E Q3]"/>
  </connection>
  <connection id="11" xr16:uid="{7EF7D169-7C60-4FA6-8C8C-4FC0B5A7D8EF}" keepAlive="1" name="Query - L_P/FCF Q1" description="Connection to the 'L_P/FCF Q1' query in the workbook." type="5" refreshedVersion="0" background="1">
    <dbPr connection="Provider=Microsoft.Mashup.OleDb.1;Data Source=$Workbook$;Location=&quot;L_P/FCF Q1&quot;;Extended Properties=&quot;&quot;" command="SELECT * FROM [L_P/FCF Q1]"/>
  </connection>
  <connection id="12" xr16:uid="{53300647-8231-438B-A2B5-452EF55DC44C}" keepAlive="1" name="Query - L_P/FCF Q3" description="Connection to the 'L_P/FCF Q3' query in the workbook." type="5" refreshedVersion="0" background="1">
    <dbPr connection="Provider=Microsoft.Mashup.OleDb.1;Data Source=$Workbook$;Location=&quot;L_P/FCF Q3&quot;;Extended Properties=&quot;&quot;" command="SELECT * FROM [L_P/FCF Q3]"/>
  </connection>
  <connection id="13" xr16:uid="{C0006842-4341-4B5D-A500-4292508822B7}" keepAlive="1" name="Query - L_ROA Q1" description="Connection to the 'L_ROA Q1' query in the workbook." type="5" refreshedVersion="0" background="1">
    <dbPr connection="Provider=Microsoft.Mashup.OleDb.1;Data Source=$Workbook$;Location=&quot;L_ROA Q1&quot;;Extended Properties=&quot;&quot;" command="SELECT * FROM [L_ROA Q1]"/>
  </connection>
  <connection id="14" xr16:uid="{9185592E-90EB-462B-B18D-4A6073DF275B}" keepAlive="1" name="Query - L_ROA Q3" description="Connection to the 'L_ROA Q3' query in the workbook." type="5" refreshedVersion="0" background="1">
    <dbPr connection="Provider=Microsoft.Mashup.OleDb.1;Data Source=$Workbook$;Location=&quot;L_ROA Q3&quot;;Extended Properties=&quot;&quot;" command="SELECT * FROM [L_ROA Q3]"/>
  </connection>
  <connection id="15" xr16:uid="{BD9F7199-0EF4-4E9D-A19E-B37DF6C44251}" keepAlive="1" name="Query - L_ROE Q1" description="Connection to the 'L_ROE Q1' query in the workbook." type="5" refreshedVersion="0" background="1">
    <dbPr connection="Provider=Microsoft.Mashup.OleDb.1;Data Source=$Workbook$;Location=&quot;L_ROE Q1&quot;;Extended Properties=&quot;&quot;" command="SELECT * FROM [L_ROE Q1]"/>
  </connection>
  <connection id="16" xr16:uid="{64EE08C2-B107-4DC0-AFA5-46467F57F013}" keepAlive="1" name="Query - L_ROE Q3" description="Connection to the 'L_ROE Q3' query in the workbook." type="5" refreshedVersion="0" background="1">
    <dbPr connection="Provider=Microsoft.Mashup.OleDb.1;Data Source=$Workbook$;Location=&quot;L_ROE Q3&quot;;Extended Properties=&quot;&quot;" command="SELECT * FROM [L_ROE Q3]"/>
  </connection>
  <connection id="17" xr16:uid="{5AA9ED2A-89CA-4A05-92A9-127940BE4365}" keepAlive="1" name="Query - M_A/E Q1" description="Connection to the 'M_A/E Q1' query in the workbook." type="5" refreshedVersion="0" background="1">
    <dbPr connection="Provider=Microsoft.Mashup.OleDb.1;Data Source=$Workbook$;Location=&quot;M_A/E Q1&quot;;Extended Properties=&quot;&quot;" command="SELECT * FROM [M_A/E Q1]"/>
  </connection>
  <connection id="18" xr16:uid="{7500DFAD-DAEA-419D-B8B3-E17191EFB922}" keepAlive="1" name="Query - M_A/E Q3" description="Connection to the 'M_A/E Q3' query in the workbook." type="5" refreshedVersion="0" background="1">
    <dbPr connection="Provider=Microsoft.Mashup.OleDb.1;Data Source=$Workbook$;Location=&quot;M_A/E Q3&quot;;Extended Properties=&quot;&quot;" command="SELECT * FROM [M_A/E Q3]"/>
  </connection>
  <connection id="19" xr16:uid="{12B254E2-FDD0-4672-A591-AD373AE577AA}" keepAlive="1" name="Query - M_P/B Q1" description="Connection to the 'M_P/B Q1' query in the workbook." type="5" refreshedVersion="0" background="1">
    <dbPr connection="Provider=Microsoft.Mashup.OleDb.1;Data Source=$Workbook$;Location=&quot;M_P/B Q1&quot;;Extended Properties=&quot;&quot;" command="SELECT * FROM [M_P/B Q1]"/>
  </connection>
  <connection id="20" xr16:uid="{A8F557FB-E157-4CAC-8226-2A3BE2290F29}" keepAlive="1" name="Query - M_P/B Q3" description="Connection to the 'M_P/B Q3' query in the workbook." type="5" refreshedVersion="0" background="1">
    <dbPr connection="Provider=Microsoft.Mashup.OleDb.1;Data Source=$Workbook$;Location=&quot;M_P/B Q3&quot;;Extended Properties=&quot;&quot;" command="SELECT * FROM [M_P/B Q3]"/>
  </connection>
  <connection id="21" xr16:uid="{D1FDE65E-6399-471C-AC76-D64BD746D229}" keepAlive="1" name="Query - M_P/E Q1" description="Connection to the 'M_P/E Q1' query in the workbook." type="5" refreshedVersion="0" background="1">
    <dbPr connection="Provider=Microsoft.Mashup.OleDb.1;Data Source=$Workbook$;Location=&quot;M_P/E Q1&quot;;Extended Properties=&quot;&quot;" command="SELECT * FROM [M_P/E Q1]"/>
  </connection>
  <connection id="22" xr16:uid="{310C80E6-69BE-4890-AA29-B2C576B782E2}" keepAlive="1" name="Query - M_P/E Q3" description="Connection to the 'M_P/E Q3' query in the workbook." type="5" refreshedVersion="0" background="1">
    <dbPr connection="Provider=Microsoft.Mashup.OleDb.1;Data Source=$Workbook$;Location=&quot;M_P/E Q3&quot;;Extended Properties=&quot;&quot;" command="SELECT * FROM [M_P/E Q3]"/>
  </connection>
  <connection id="23" xr16:uid="{12F6CADF-8BF7-4296-BE2F-FC551CF42082}" keepAlive="1" name="Query - M_P/FCF Q1" description="Connection to the 'M_P/FCF Q1' query in the workbook." type="5" refreshedVersion="0" background="1">
    <dbPr connection="Provider=Microsoft.Mashup.OleDb.1;Data Source=$Workbook$;Location=&quot;M_P/FCF Q1&quot;;Extended Properties=&quot;&quot;" command="SELECT * FROM [M_P/FCF Q1]"/>
  </connection>
  <connection id="24" xr16:uid="{A273217E-82A6-4C1C-9E5B-9758866AFC05}" keepAlive="1" name="Query - M_P/FCF Q3" description="Connection to the 'M_P/FCF Q3' query in the workbook." type="5" refreshedVersion="0" background="1">
    <dbPr connection="Provider=Microsoft.Mashup.OleDb.1;Data Source=$Workbook$;Location=&quot;M_P/FCF Q3&quot;;Extended Properties=&quot;&quot;" command="SELECT * FROM [M_P/FCF Q3]"/>
  </connection>
  <connection id="25" xr16:uid="{A961C549-E9F2-4582-AD90-542B8A2DF8D6}" keepAlive="1" name="Query - M_ROA Q1" description="Connection to the 'M_ROA Q1' query in the workbook." type="5" refreshedVersion="0" background="1">
    <dbPr connection="Provider=Microsoft.Mashup.OleDb.1;Data Source=$Workbook$;Location=&quot;M_ROA Q1&quot;;Extended Properties=&quot;&quot;" command="SELECT * FROM [M_ROA Q1]"/>
  </connection>
  <connection id="26" xr16:uid="{F84929B3-3245-40ED-A522-C32C272E21C2}" keepAlive="1" name="Query - M_ROA Q3" description="Connection to the 'M_ROA Q3' query in the workbook." type="5" refreshedVersion="0" background="1">
    <dbPr connection="Provider=Microsoft.Mashup.OleDb.1;Data Source=$Workbook$;Location=&quot;M_ROA Q3&quot;;Extended Properties=&quot;&quot;" command="SELECT * FROM [M_ROA Q3]"/>
  </connection>
  <connection id="27" xr16:uid="{C8B04757-CC02-449A-A17B-92B2333219DD}" keepAlive="1" name="Query - M_ROE Q1" description="Connection to the 'M_ROE Q1' query in the workbook." type="5" refreshedVersion="0" background="1">
    <dbPr connection="Provider=Microsoft.Mashup.OleDb.1;Data Source=$Workbook$;Location=&quot;M_ROE Q1&quot;;Extended Properties=&quot;&quot;" command="SELECT * FROM [M_ROE Q1]"/>
  </connection>
  <connection id="28" xr16:uid="{E914265A-F3A6-4877-BFFE-EAB75F4385E6}" keepAlive="1" name="Query - M_ROE Q3" description="Connection to the 'M_ROE Q3' query in the workbook." type="5" refreshedVersion="0" background="1">
    <dbPr connection="Provider=Microsoft.Mashup.OleDb.1;Data Source=$Workbook$;Location=&quot;M_ROE Q3&quot;;Extended Properties=&quot;&quot;" command="SELECT * FROM [M_ROE Q3]"/>
  </connection>
  <connection id="29" xr16:uid="{CDE2AB40-03BB-4E85-A364-BE7158498E57}" keepAlive="1" name="Query - Main_L" description="Connection to the 'Main_L' query in the workbook." type="5" refreshedVersion="8" background="1" saveData="1">
    <dbPr connection="Provider=Microsoft.Mashup.OleDb.1;Data Source=$Workbook$;Location=Main_L;Extended Properties=&quot;&quot;" command="SELECT * FROM [Main_L]"/>
  </connection>
  <connection id="30" xr16:uid="{92827891-F650-4461-969A-5281B14CC67C}" keepAlive="1" name="Query - Main_M" description="Connection to the 'Main_M' query in the workbook." type="5" refreshedVersion="8" background="1" saveData="1">
    <dbPr connection="Provider=Microsoft.Mashup.OleDb.1;Data Source=$Workbook$;Location=Main_M;Extended Properties=&quot;&quot;" command="SELECT * FROM [Main_M]"/>
  </connection>
  <connection id="31" xr16:uid="{AE4AC620-A60D-4667-B234-1492FA4F9C44}" keepAlive="1" name="Query - Main_S" description="Connection to the 'Main_S' query in the workbook." type="5" refreshedVersion="8" background="1" saveData="1">
    <dbPr connection="Provider=Microsoft.Mashup.OleDb.1;Data Source=$Workbook$;Location=Main_S;Extended Properties=&quot;&quot;" command="SELECT * FROM [Main_S]"/>
  </connection>
  <connection id="32" xr16:uid="{627BF07A-2AE9-4599-9B72-75AB04F6D252}" keepAlive="1" name="Query - P/B" description="Connection to the 'P/B' query in the workbook." type="5" refreshedVersion="0" background="1">
    <dbPr connection="Provider=Microsoft.Mashup.OleDb.1;Data Source=$Workbook$;Location=P/B;Extended Properties=&quot;&quot;" command="SELECT * FROM [P/B]"/>
  </connection>
  <connection id="33" xr16:uid="{E4BA60D9-BFC8-401B-B0A1-EF441CB7E867}" keepAlive="1" name="Query - P/B LB" description="Connection to the 'P/B LB' query in the workbook." type="5" refreshedVersion="0" background="1">
    <dbPr connection="Provider=Microsoft.Mashup.OleDb.1;Data Source=$Workbook$;Location=&quot;P/B LB&quot;;Extended Properties=&quot;&quot;" command="SELECT * FROM [P/B LB]"/>
  </connection>
  <connection id="34" xr16:uid="{D446C18C-F5FB-4931-9D08-9460AB87F88D}" keepAlive="1" name="Query - P/B UB" description="Connection to the 'P/B UB' query in the workbook." type="5" refreshedVersion="0" background="1">
    <dbPr connection="Provider=Microsoft.Mashup.OleDb.1;Data Source=$Workbook$;Location=&quot;P/B UB&quot;;Extended Properties=&quot;&quot;" command="SELECT * FROM [P/B UB]"/>
  </connection>
  <connection id="35" xr16:uid="{54E51695-4AC3-42F6-A71C-6D5C0B94366D}" keepAlive="1" name="Query - P/E" description="Connection to the 'P/E' query in the workbook." type="5" refreshedVersion="0" background="1">
    <dbPr connection="Provider=Microsoft.Mashup.OleDb.1;Data Source=$Workbook$;Location=P/E;Extended Properties=&quot;&quot;" command="SELECT * FROM [P/E]"/>
  </connection>
  <connection id="36" xr16:uid="{E1D25C74-8E63-475D-AEB0-3EF1CBA274F2}" keepAlive="1" name="Query - P/E LB" description="Connection to the 'P/E LB' query in the workbook." type="5" refreshedVersion="0" background="1">
    <dbPr connection="Provider=Microsoft.Mashup.OleDb.1;Data Source=$Workbook$;Location=&quot;P/E LB&quot;;Extended Properties=&quot;&quot;" command="SELECT * FROM [P/E LB]"/>
  </connection>
  <connection id="37" xr16:uid="{FF5E838B-CEA1-42F7-AE46-37297C47D203}" keepAlive="1" name="Query - P/E UB" description="Connection to the 'P/E UB' query in the workbook." type="5" refreshedVersion="0" background="1">
    <dbPr connection="Provider=Microsoft.Mashup.OleDb.1;Data Source=$Workbook$;Location=&quot;P/E UB&quot;;Extended Properties=&quot;&quot;" command="SELECT * FROM [P/E UB]"/>
  </connection>
  <connection id="38" xr16:uid="{6DD17A4C-9203-4DAC-B3F1-5BE914B61962}" keepAlive="1" name="Query - P/FCF" description="Connection to the 'P/FCF' query in the workbook." type="5" refreshedVersion="0" background="1">
    <dbPr connection="Provider=Microsoft.Mashup.OleDb.1;Data Source=$Workbook$;Location=P/FCF;Extended Properties=&quot;&quot;" command="SELECT * FROM [P/FCF]"/>
  </connection>
  <connection id="39" xr16:uid="{ED1BC823-1B10-4015-8C9B-4026B498C8E4}" keepAlive="1" name="Query - P/FCF LB" description="Connection to the 'P/FCF LB' query in the workbook." type="5" refreshedVersion="0" background="1">
    <dbPr connection="Provider=Microsoft.Mashup.OleDb.1;Data Source=$Workbook$;Location=&quot;P/FCF LB&quot;;Extended Properties=&quot;&quot;" command="SELECT * FROM [P/FCF LB]"/>
  </connection>
  <connection id="40" xr16:uid="{77F87E7C-4F98-4E55-8BC1-D73052D39933}" keepAlive="1" name="Query - P/FCF UB" description="Connection to the 'P/FCF UB' query in the workbook." type="5" refreshedVersion="0" background="1">
    <dbPr connection="Provider=Microsoft.Mashup.OleDb.1;Data Source=$Workbook$;Location=&quot;P/FCF UB&quot;;Extended Properties=&quot;&quot;" command="SELECT * FROM [P/FCF UB]"/>
  </connection>
  <connection id="41" xr16:uid="{825B6038-9066-46FB-97C2-7511C1C36627}" keepAlive="1" name="Query - Quartile_L" description="Connection to the 'Quartile_L' query in the workbook." type="5" refreshedVersion="8" background="1" saveData="1">
    <dbPr connection="Provider=Microsoft.Mashup.OleDb.1;Data Source=$Workbook$;Location=Quartile_L;Extended Properties=&quot;&quot;" command="SELECT * FROM [Quartile_L]"/>
  </connection>
  <connection id="42" xr16:uid="{BC12B107-1C9F-443C-9878-4391CA921439}" keepAlive="1" name="Query - Quartile_M" description="Connection to the 'Quartile_M' query in the workbook." type="5" refreshedVersion="8" background="1" saveData="1">
    <dbPr connection="Provider=Microsoft.Mashup.OleDb.1;Data Source=$Workbook$;Location=Quartile_M;Extended Properties=&quot;&quot;" command="SELECT * FROM [Quartile_M]"/>
  </connection>
  <connection id="43" xr16:uid="{0BAC9000-D3DC-468C-84BE-9876AD7DC20E}" keepAlive="1" name="Query - Quartile_S" description="Connection to the 'Quartile_S' query in the workbook." type="5" refreshedVersion="8" background="1" saveData="1">
    <dbPr connection="Provider=Microsoft.Mashup.OleDb.1;Data Source=$Workbook$;Location=Quartile_S;Extended Properties=&quot;&quot;" command="SELECT * FROM [Quartile_S]"/>
  </connection>
  <connection id="44" xr16:uid="{32A4EE5B-8ECE-47ED-A25E-516D8F1963E0}" keepAlive="1" name="Query - ROA LB" description="Connection to the 'ROA LB' query in the workbook." type="5" refreshedVersion="0" background="1">
    <dbPr connection="Provider=Microsoft.Mashup.OleDb.1;Data Source=$Workbook$;Location=&quot;ROA LB&quot;;Extended Properties=&quot;&quot;" command="SELECT * FROM [ROA LB]"/>
  </connection>
  <connection id="45" xr16:uid="{3CB1A2E7-29EF-463B-9B8F-50B9BB799DF9}" keepAlive="1" name="Query - ROA UB" description="Connection to the 'ROA UB' query in the workbook." type="5" refreshedVersion="0" background="1">
    <dbPr connection="Provider=Microsoft.Mashup.OleDb.1;Data Source=$Workbook$;Location=&quot;ROA UB&quot;;Extended Properties=&quot;&quot;" command="SELECT * FROM [ROA UB]"/>
  </connection>
  <connection id="46" xr16:uid="{259AC3C8-A1E8-4A93-8DC7-A79DC2446E18}" keepAlive="1" name="Query - ROE LB" description="Connection to the 'ROE LB' query in the workbook." type="5" refreshedVersion="0" background="1">
    <dbPr connection="Provider=Microsoft.Mashup.OleDb.1;Data Source=$Workbook$;Location=&quot;ROE LB&quot;;Extended Properties=&quot;&quot;" command="SELECT * FROM [ROE LB]"/>
  </connection>
  <connection id="47" xr16:uid="{3354C7C5-E00D-4F96-8A48-30E7BB6E3B52}" keepAlive="1" name="Query - ROE UB" description="Connection to the 'ROE UB' query in the workbook." type="5" refreshedVersion="0" background="1">
    <dbPr connection="Provider=Microsoft.Mashup.OleDb.1;Data Source=$Workbook$;Location=&quot;ROE UB&quot;;Extended Properties=&quot;&quot;" command="SELECT * FROM [ROE UB]"/>
  </connection>
  <connection id="48" xr16:uid="{6AA428F4-DCB2-4249-8244-34CC930F360F}" keepAlive="1" name="Query - S_A/E Q1" description="Connection to the 'S_A/E Q1' query in the workbook." type="5" refreshedVersion="0" background="1">
    <dbPr connection="Provider=Microsoft.Mashup.OleDb.1;Data Source=$Workbook$;Location=&quot;S_A/E Q1&quot;;Extended Properties=&quot;&quot;" command="SELECT * FROM [S_A/E Q1]"/>
  </connection>
  <connection id="49" xr16:uid="{F329DF8A-065D-44EF-A2F0-DCA45E926EEF}" keepAlive="1" name="Query - S_A/E Q3" description="Connection to the 'S_A/E Q3' query in the workbook." type="5" refreshedVersion="0" background="1">
    <dbPr connection="Provider=Microsoft.Mashup.OleDb.1;Data Source=$Workbook$;Location=&quot;S_A/E Q3&quot;;Extended Properties=&quot;&quot;" command="SELECT * FROM [S_A/E Q3]"/>
  </connection>
  <connection id="50" xr16:uid="{DF16565B-3E7C-4861-8F2C-973CEF0B4115}" keepAlive="1" name="Query - S_P/B Q1" description="Connection to the 'S_P/B Q1' query in the workbook." type="5" refreshedVersion="0" background="1">
    <dbPr connection="Provider=Microsoft.Mashup.OleDb.1;Data Source=$Workbook$;Location=&quot;S_P/B Q1&quot;;Extended Properties=&quot;&quot;" command="SELECT * FROM [S_P/B Q1]"/>
  </connection>
  <connection id="51" xr16:uid="{278FB231-D87C-4E37-A358-3EBAC32E8893}" keepAlive="1" name="Query - S_P/B Q3" description="Connection to the 'S_P/B Q3' query in the workbook." type="5" refreshedVersion="0" background="1">
    <dbPr connection="Provider=Microsoft.Mashup.OleDb.1;Data Source=$Workbook$;Location=&quot;S_P/B Q3&quot;;Extended Properties=&quot;&quot;" command="SELECT * FROM [S_P/B Q3]"/>
  </connection>
  <connection id="52" xr16:uid="{D7EDA865-E03C-45AF-800C-ABF1A6910F71}" keepAlive="1" name="Query - S_P/E Q1" description="Connection to the 'S_P/E Q1' query in the workbook." type="5" refreshedVersion="0" background="1">
    <dbPr connection="Provider=Microsoft.Mashup.OleDb.1;Data Source=$Workbook$;Location=&quot;S_P/E Q1&quot;;Extended Properties=&quot;&quot;" command="SELECT * FROM [S_P/E Q1]"/>
  </connection>
  <connection id="53" xr16:uid="{8FD3B37C-F51A-4D18-B833-FCD1ABE6B024}" keepAlive="1" name="Query - S_P/E Q3" description="Connection to the 'S_P/E Q3' query in the workbook." type="5" refreshedVersion="0" background="1">
    <dbPr connection="Provider=Microsoft.Mashup.OleDb.1;Data Source=$Workbook$;Location=&quot;S_P/E Q3&quot;;Extended Properties=&quot;&quot;" command="SELECT * FROM [S_P/E Q3]"/>
  </connection>
  <connection id="54" xr16:uid="{952CB9AB-E981-4AF7-AEA1-CA6F2A1AFC42}" keepAlive="1" name="Query - S_P/FCF Q1" description="Connection to the 'S_P/FCF Q1' query in the workbook." type="5" refreshedVersion="0" background="1">
    <dbPr connection="Provider=Microsoft.Mashup.OleDb.1;Data Source=$Workbook$;Location=&quot;S_P/FCF Q1&quot;;Extended Properties=&quot;&quot;" command="SELECT * FROM [S_P/FCF Q1]"/>
  </connection>
  <connection id="55" xr16:uid="{D8F6EC2D-76DE-48E3-B762-4DC4E07D15FD}" keepAlive="1" name="Query - S_P/FCF Q3" description="Connection to the 'S_P/FCF Q3' query in the workbook." type="5" refreshedVersion="0" background="1">
    <dbPr connection="Provider=Microsoft.Mashup.OleDb.1;Data Source=$Workbook$;Location=&quot;S_P/FCF Q3&quot;;Extended Properties=&quot;&quot;" command="SELECT * FROM [S_P/FCF Q3]"/>
  </connection>
  <connection id="56" xr16:uid="{811EE5D1-4D19-40D7-A8CD-93B62064D851}" keepAlive="1" name="Query - S_ROA Q1" description="Connection to the 'S_ROA Q1' query in the workbook." type="5" refreshedVersion="0" background="1">
    <dbPr connection="Provider=Microsoft.Mashup.OleDb.1;Data Source=$Workbook$;Location=&quot;S_ROA Q1&quot;;Extended Properties=&quot;&quot;" command="SELECT * FROM [S_ROA Q1]"/>
  </connection>
  <connection id="57" xr16:uid="{34B3F74D-F492-4853-8143-8CCE93981422}" keepAlive="1" name="Query - S_ROA Q3" description="Connection to the 'S_ROA Q3' query in the workbook." type="5" refreshedVersion="0" background="1">
    <dbPr connection="Provider=Microsoft.Mashup.OleDb.1;Data Source=$Workbook$;Location=&quot;S_ROA Q3&quot;;Extended Properties=&quot;&quot;" command="SELECT * FROM [S_ROA Q3]"/>
  </connection>
  <connection id="58" xr16:uid="{81F95821-726F-43C8-808F-F69920F82EC8}" keepAlive="1" name="Query - S_ROE Q1" description="Connection to the 'S_ROE Q1' query in the workbook." type="5" refreshedVersion="0" background="1">
    <dbPr connection="Provider=Microsoft.Mashup.OleDb.1;Data Source=$Workbook$;Location=&quot;S_ROE Q1&quot;;Extended Properties=&quot;&quot;" command="SELECT * FROM [S_ROE Q1]"/>
  </connection>
  <connection id="59" xr16:uid="{974A7E5D-22A4-44DE-B56F-011601E78962}" keepAlive="1" name="Query - S_ROE Q3" description="Connection to the 'S_ROE Q3' query in the workbook." type="5" refreshedVersion="0" background="1">
    <dbPr connection="Provider=Microsoft.Mashup.OleDb.1;Data Source=$Workbook$;Location=&quot;S_ROE Q3&quot;;Extended Properties=&quot;&quot;" command="SELECT * FROM [S_ROE Q3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<sst xmlns="http://schemas.openxmlformats.org/spreadsheetml/2006/main" count="1488" uniqueCount="592">
  <si>
    <t>Quartile_L</t>
  </si>
  <si>
    <t>Industry</t>
  </si>
  <si>
    <t>P/FCF Q1</t>
  </si>
  <si>
    <t>P/FCF Q3</t>
  </si>
  <si>
    <t>P/FCF LB</t>
  </si>
  <si>
    <t>P/FCF UB</t>
  </si>
  <si>
    <t>ROE Q1</t>
  </si>
  <si>
    <t>ROE Q3</t>
  </si>
  <si>
    <t>ROE LB</t>
  </si>
  <si>
    <t>ROE UB</t>
  </si>
  <si>
    <t>ROA Q1</t>
  </si>
  <si>
    <t>ROA Q3</t>
  </si>
  <si>
    <t>ROA LB</t>
  </si>
  <si>
    <t>ROA UB</t>
  </si>
  <si>
    <t>P/E Q1</t>
  </si>
  <si>
    <t>P/E Q3</t>
  </si>
  <si>
    <t>P/E LB</t>
  </si>
  <si>
    <t>P/E UB</t>
  </si>
  <si>
    <t>A/E Q1</t>
  </si>
  <si>
    <t>A/E Q3</t>
  </si>
  <si>
    <t>A/E LB</t>
  </si>
  <si>
    <t>A/E UB</t>
  </si>
  <si>
    <t>Quartile_M</t>
  </si>
  <si>
    <t>Quartile_S</t>
  </si>
  <si>
    <t>Symbol</t>
  </si>
  <si>
    <t>Current Price</t>
  </si>
  <si>
    <t>Free CF</t>
  </si>
  <si>
    <t>BVPS</t>
  </si>
  <si>
    <t>EPS</t>
  </si>
  <si>
    <t>P/FCF</t>
  </si>
  <si>
    <t>ROE</t>
  </si>
  <si>
    <t>ROA</t>
  </si>
  <si>
    <t>P/E</t>
  </si>
  <si>
    <t>A/E</t>
  </si>
  <si>
    <t>Preliminary Criteria</t>
  </si>
  <si>
    <t>P/FCF Outlier</t>
  </si>
  <si>
    <t>ROE Outlier</t>
  </si>
  <si>
    <t>ROA Outlier</t>
  </si>
  <si>
    <t>P/E Outlier</t>
  </si>
  <si>
    <t>A/E Outlier</t>
  </si>
  <si>
    <t>Row Labels</t>
  </si>
  <si>
    <t>No</t>
  </si>
  <si>
    <t>Average of P/FCF</t>
  </si>
  <si>
    <t>StdDevp of P/FCF</t>
  </si>
  <si>
    <t>Average of ROE</t>
  </si>
  <si>
    <t>StdDevp of ROE</t>
  </si>
  <si>
    <t>Average of ROA</t>
  </si>
  <si>
    <t>StdDevp of ROA</t>
  </si>
  <si>
    <t>Average of A/E</t>
  </si>
  <si>
    <t>StdDevp of A/E</t>
  </si>
  <si>
    <t>Average of P/E</t>
  </si>
  <si>
    <t>StdDevp of P/E</t>
  </si>
  <si>
    <t>SCORE</t>
  </si>
  <si>
    <t>1 &lt; P/E &lt; 25</t>
  </si>
  <si>
    <t>Market Cap (M)</t>
  </si>
  <si>
    <t>Mean_PFCF_L</t>
  </si>
  <si>
    <t>Mean_ROE_L</t>
  </si>
  <si>
    <t>Mean_ROA_L</t>
  </si>
  <si>
    <t>Mean_AE_L</t>
  </si>
  <si>
    <t>Mean_PE_L</t>
  </si>
  <si>
    <t>Mean_PFCF_M</t>
  </si>
  <si>
    <t>Mean_PFCF_S</t>
  </si>
  <si>
    <t>Mean_ROE_M</t>
  </si>
  <si>
    <t>Mean_ROE_S</t>
  </si>
  <si>
    <t>Mean_ROA_M</t>
  </si>
  <si>
    <t>Mean_ROA_S</t>
  </si>
  <si>
    <t>Mean_AE_M</t>
  </si>
  <si>
    <t>Mean_AE_S</t>
  </si>
  <si>
    <t>Mean_PE_S</t>
  </si>
  <si>
    <t>Additional Criteria</t>
  </si>
  <si>
    <t>Path</t>
  </si>
  <si>
    <t>P/B</t>
  </si>
  <si>
    <t>P/B Q1</t>
  </si>
  <si>
    <t>P/B Q3</t>
  </si>
  <si>
    <t>P/B LB</t>
  </si>
  <si>
    <t>P/B UB</t>
  </si>
  <si>
    <t>P/B Outlier</t>
  </si>
  <si>
    <t>Average of P/B</t>
  </si>
  <si>
    <t>StdDevp of P/B</t>
  </si>
  <si>
    <t>Mean_PB_M</t>
  </si>
  <si>
    <t>Mean_PB_L</t>
  </si>
  <si>
    <t>Mean_PB_S</t>
  </si>
  <si>
    <t>&lt; 0.7 x Mean</t>
  </si>
  <si>
    <t xml:space="preserve">ROA </t>
  </si>
  <si>
    <t>&lt; Mean</t>
  </si>
  <si>
    <t>&lt; Mean &amp;
1 &lt; P/E &lt; 25</t>
  </si>
  <si>
    <t>Z Score Criteria</t>
  </si>
  <si>
    <t>&gt; Mean</t>
  </si>
  <si>
    <t>All the stocks below are mid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</si>
  <si>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All the stocks below are small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</si>
  <si>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P/FCF Z-Score</t>
  </si>
  <si>
    <t>P/B Z-Score</t>
  </si>
  <si>
    <t>ROE Z-Score</t>
  </si>
  <si>
    <t>ROA Z-Score</t>
  </si>
  <si>
    <t>A/E Z-Score</t>
  </si>
  <si>
    <t>P/E Z-Score</t>
  </si>
  <si>
    <t>P/FCF z-score</t>
  </si>
  <si>
    <t>P/BV z-score</t>
  </si>
  <si>
    <t>ROE z-score</t>
  </si>
  <si>
    <t>ROA z-score</t>
  </si>
  <si>
    <t>A/E z-score</t>
  </si>
  <si>
    <t>P/E z-score</t>
  </si>
  <si>
    <t>&lt; 0</t>
  </si>
  <si>
    <t>&gt; 0</t>
  </si>
  <si>
    <t>All the stocks below are large cap stocks that meet the preliminary criteria. Five additional criteria are used to compare these stocks. For each additional criterion met, a stock gets 1 point. The metrics that meet criteria are in bold and color coded. The additional criteria and corresponding text format are shown in the table on the right.</t>
  </si>
  <si>
    <t>Health Care Equipment &amp; Supplies</t>
  </si>
  <si>
    <t>ABT</t>
  </si>
  <si>
    <t>BAX</t>
  </si>
  <si>
    <t>BDX</t>
  </si>
  <si>
    <t>BSX</t>
  </si>
  <si>
    <t>DXCM</t>
  </si>
  <si>
    <t>EW</t>
  </si>
  <si>
    <t>GEHC</t>
  </si>
  <si>
    <t>HOLX</t>
  </si>
  <si>
    <t>IDXX</t>
  </si>
  <si>
    <t>ISRG</t>
  </si>
  <si>
    <t>MDT</t>
  </si>
  <si>
    <t>PEN</t>
  </si>
  <si>
    <t>PHG</t>
  </si>
  <si>
    <t>PODD</t>
  </si>
  <si>
    <t>RMD</t>
  </si>
  <si>
    <t>SNN</t>
  </si>
  <si>
    <t>STE</t>
  </si>
  <si>
    <t>SYK</t>
  </si>
  <si>
    <t>ZBH</t>
  </si>
  <si>
    <t>ALC</t>
  </si>
  <si>
    <t>ALGN</t>
  </si>
  <si>
    <t>COO</t>
  </si>
  <si>
    <t>SOLV</t>
  </si>
  <si>
    <t>Health Care Providers &amp; Services</t>
  </si>
  <si>
    <t>CAH</t>
  </si>
  <si>
    <t>COR</t>
  </si>
  <si>
    <t>MCK</t>
  </si>
  <si>
    <t>CI</t>
  </si>
  <si>
    <t>CVS</t>
  </si>
  <si>
    <t>DGX</t>
  </si>
  <si>
    <t>DVA</t>
  </si>
  <si>
    <t>FMS</t>
  </si>
  <si>
    <t>HIMS</t>
  </si>
  <si>
    <t>LH</t>
  </si>
  <si>
    <t>EHC</t>
  </si>
  <si>
    <t>HCA</t>
  </si>
  <si>
    <t>THC</t>
  </si>
  <si>
    <t>UHS</t>
  </si>
  <si>
    <t>CNC</t>
  </si>
  <si>
    <t>ELV</t>
  </si>
  <si>
    <t>HUM</t>
  </si>
  <si>
    <t>MOH</t>
  </si>
  <si>
    <t>UNH</t>
  </si>
  <si>
    <t>Health Care Technology</t>
  </si>
  <si>
    <t>DOCS</t>
  </si>
  <si>
    <t>VEEV</t>
  </si>
  <si>
    <t>Biotechnology</t>
  </si>
  <si>
    <t>ABBV</t>
  </si>
  <si>
    <t>ALNY</t>
  </si>
  <si>
    <t>AMGN</t>
  </si>
  <si>
    <t>ARGX</t>
  </si>
  <si>
    <t>BIIB</t>
  </si>
  <si>
    <t>BMRN</t>
  </si>
  <si>
    <t>BNTX</t>
  </si>
  <si>
    <t>EXAS</t>
  </si>
  <si>
    <t>EXEL</t>
  </si>
  <si>
    <t>GILD</t>
  </si>
  <si>
    <t>GMAB</t>
  </si>
  <si>
    <t>INCY</t>
  </si>
  <si>
    <t>INSM</t>
  </si>
  <si>
    <t>NBIX</t>
  </si>
  <si>
    <t>NTRA</t>
  </si>
  <si>
    <t>ONC</t>
  </si>
  <si>
    <t>REGN</t>
  </si>
  <si>
    <t>SMMT</t>
  </si>
  <si>
    <t>UTHR</t>
  </si>
  <si>
    <t>VRTX</t>
  </si>
  <si>
    <t>Pharmaceuticals</t>
  </si>
  <si>
    <t>AZN</t>
  </si>
  <si>
    <t>BMY</t>
  </si>
  <si>
    <t>GSK</t>
  </si>
  <si>
    <t>HLN</t>
  </si>
  <si>
    <t>JNJ</t>
  </si>
  <si>
    <t>LLY</t>
  </si>
  <si>
    <t>MRK</t>
  </si>
  <si>
    <t>NVO</t>
  </si>
  <si>
    <t>NVS</t>
  </si>
  <si>
    <t>PFE</t>
  </si>
  <si>
    <t>RDY</t>
  </si>
  <si>
    <t>RPRX</t>
  </si>
  <si>
    <t>SNY</t>
  </si>
  <si>
    <t>TAK</t>
  </si>
  <si>
    <t>TEVA</t>
  </si>
  <si>
    <t>VTRS</t>
  </si>
  <si>
    <t>ZTS</t>
  </si>
  <si>
    <t>Life Sciences Tools &amp; Services</t>
  </si>
  <si>
    <t>A</t>
  </si>
  <si>
    <t>DHR</t>
  </si>
  <si>
    <t>ICLR</t>
  </si>
  <si>
    <t>ILMN</t>
  </si>
  <si>
    <t>IQV</t>
  </si>
  <si>
    <t>MTD</t>
  </si>
  <si>
    <t>RVTY</t>
  </si>
  <si>
    <t>SSSGY</t>
  </si>
  <si>
    <t>TEM</t>
  </si>
  <si>
    <t>TMO</t>
  </si>
  <si>
    <t>WAT</t>
  </si>
  <si>
    <t>WST</t>
  </si>
  <si>
    <t>GKOS</t>
  </si>
  <si>
    <t>GMED</t>
  </si>
  <si>
    <t>INSP</t>
  </si>
  <si>
    <t>IRTC</t>
  </si>
  <si>
    <t>ITGR</t>
  </si>
  <si>
    <t>LIVN</t>
  </si>
  <si>
    <t>MASI</t>
  </si>
  <si>
    <t>NVST</t>
  </si>
  <si>
    <t>PRCT</t>
  </si>
  <si>
    <t>TFX</t>
  </si>
  <si>
    <t>TMDX</t>
  </si>
  <si>
    <t>BLCO</t>
  </si>
  <si>
    <t>HAE</t>
  </si>
  <si>
    <t>ICUI</t>
  </si>
  <si>
    <t>LNTH</t>
  </si>
  <si>
    <t>MMSI</t>
  </si>
  <si>
    <t>XRAY</t>
  </si>
  <si>
    <t>HSIC</t>
  </si>
  <si>
    <t>ADUS</t>
  </si>
  <si>
    <t>AMED</t>
  </si>
  <si>
    <t>BTSG</t>
  </si>
  <si>
    <t>CHE</t>
  </si>
  <si>
    <t>CRVL</t>
  </si>
  <si>
    <t>GH</t>
  </si>
  <si>
    <t>LFST</t>
  </si>
  <si>
    <t>OPCH</t>
  </si>
  <si>
    <t>PINC</t>
  </si>
  <si>
    <t>PRVA</t>
  </si>
  <si>
    <t>RDNT</t>
  </si>
  <si>
    <t>ACHC</t>
  </si>
  <si>
    <t>ARDT</t>
  </si>
  <si>
    <t>CON</t>
  </si>
  <si>
    <t>ENSG</t>
  </si>
  <si>
    <t>SGRY</t>
  </si>
  <si>
    <t>ALHC</t>
  </si>
  <si>
    <t>HQY</t>
  </si>
  <si>
    <t>PGNY</t>
  </si>
  <si>
    <t>WAY</t>
  </si>
  <si>
    <t>AAPG</t>
  </si>
  <si>
    <t>ACAD</t>
  </si>
  <si>
    <t>ACLX</t>
  </si>
  <si>
    <t>ADMA</t>
  </si>
  <si>
    <t>AKRO</t>
  </si>
  <si>
    <t>ALKS</t>
  </si>
  <si>
    <t>ALVO</t>
  </si>
  <si>
    <t>APGE</t>
  </si>
  <si>
    <t>APLS</t>
  </si>
  <si>
    <t>ASND</t>
  </si>
  <si>
    <t>BBIO</t>
  </si>
  <si>
    <t>BCRX</t>
  </si>
  <si>
    <t>BPMC</t>
  </si>
  <si>
    <t>CPRX</t>
  </si>
  <si>
    <t>CRNX</t>
  </si>
  <si>
    <t>CRSP</t>
  </si>
  <si>
    <t>CYTK</t>
  </si>
  <si>
    <t>DNLI</t>
  </si>
  <si>
    <t>GRFS</t>
  </si>
  <si>
    <t>HALO</t>
  </si>
  <si>
    <t>IMVT</t>
  </si>
  <si>
    <t>IONS</t>
  </si>
  <si>
    <t>KRYS</t>
  </si>
  <si>
    <t>LEGN</t>
  </si>
  <si>
    <t>MDGL</t>
  </si>
  <si>
    <t>MIRM</t>
  </si>
  <si>
    <t>MLTX</t>
  </si>
  <si>
    <t>MRNA</t>
  </si>
  <si>
    <t>MRUS</t>
  </si>
  <si>
    <t>MTSR</t>
  </si>
  <si>
    <t>NAMS</t>
  </si>
  <si>
    <t>NUVL</t>
  </si>
  <si>
    <t>PCVX</t>
  </si>
  <si>
    <t>PTCT</t>
  </si>
  <si>
    <t>PTGX</t>
  </si>
  <si>
    <t>RARE</t>
  </si>
  <si>
    <t>RNA</t>
  </si>
  <si>
    <t>ROIV</t>
  </si>
  <si>
    <t>RVMD</t>
  </si>
  <si>
    <t>RYTM</t>
  </si>
  <si>
    <t>SLNO</t>
  </si>
  <si>
    <t>SRPT</t>
  </si>
  <si>
    <t>SRRK</t>
  </si>
  <si>
    <t>SWTX</t>
  </si>
  <si>
    <t>TGTX</t>
  </si>
  <si>
    <t>TLX</t>
  </si>
  <si>
    <t>VCEL</t>
  </si>
  <si>
    <t>VCYT</t>
  </si>
  <si>
    <t>VKTX</t>
  </si>
  <si>
    <t>XENE</t>
  </si>
  <si>
    <t>ZLAB</t>
  </si>
  <si>
    <t>AMRX</t>
  </si>
  <si>
    <t>AXSM</t>
  </si>
  <si>
    <t>CORT</t>
  </si>
  <si>
    <t>ELAN</t>
  </si>
  <si>
    <t>HCM</t>
  </si>
  <si>
    <t>LGND</t>
  </si>
  <si>
    <t>OGN</t>
  </si>
  <si>
    <t>PBH</t>
  </si>
  <si>
    <t>PRGO</t>
  </si>
  <si>
    <t>RGC</t>
  </si>
  <si>
    <t>VRNA</t>
  </si>
  <si>
    <t>AVTR</t>
  </si>
  <si>
    <t>BIO</t>
  </si>
  <si>
    <t>BRKR</t>
  </si>
  <si>
    <t>CRL</t>
  </si>
  <si>
    <t>MEDP</t>
  </si>
  <si>
    <t>QGEN</t>
  </si>
  <si>
    <t>RGEN</t>
  </si>
  <si>
    <t>SHC</t>
  </si>
  <si>
    <t>STVN</t>
  </si>
  <si>
    <t>TECH</t>
  </si>
  <si>
    <t>ANGO</t>
  </si>
  <si>
    <t>AORT</t>
  </si>
  <si>
    <t>ATEC</t>
  </si>
  <si>
    <t>ATRC</t>
  </si>
  <si>
    <t>AXGN</t>
  </si>
  <si>
    <t>BBNX</t>
  </si>
  <si>
    <t>BFLY</t>
  </si>
  <si>
    <t>CBLL</t>
  </si>
  <si>
    <t>CLPT</t>
  </si>
  <si>
    <t>CNMD</t>
  </si>
  <si>
    <t>DCTH</t>
  </si>
  <si>
    <t>ENOV</t>
  </si>
  <si>
    <t>IART</t>
  </si>
  <si>
    <t>INMD</t>
  </si>
  <si>
    <t>IRMD</t>
  </si>
  <si>
    <t>LMAT</t>
  </si>
  <si>
    <t>NPCE</t>
  </si>
  <si>
    <t>NVCR</t>
  </si>
  <si>
    <t>OFIX</t>
  </si>
  <si>
    <t>OMCL</t>
  </si>
  <si>
    <t>PLSE</t>
  </si>
  <si>
    <t>QDEL</t>
  </si>
  <si>
    <t>SENS</t>
  </si>
  <si>
    <t>SIBN</t>
  </si>
  <si>
    <t>SMLR</t>
  </si>
  <si>
    <t>SNWV</t>
  </si>
  <si>
    <t>SRDX</t>
  </si>
  <si>
    <t>SSII</t>
  </si>
  <si>
    <t>STIM</t>
  </si>
  <si>
    <t>TMCI</t>
  </si>
  <si>
    <t>TNDM</t>
  </si>
  <si>
    <t>VREX</t>
  </si>
  <si>
    <t>AVNS</t>
  </si>
  <si>
    <t>BVS</t>
  </si>
  <si>
    <t>EMBC</t>
  </si>
  <si>
    <t>ESTA</t>
  </si>
  <si>
    <t>KIDS</t>
  </si>
  <si>
    <t>NEOG</t>
  </si>
  <si>
    <t>RXST</t>
  </si>
  <si>
    <t>SMTI</t>
  </si>
  <si>
    <t>STAA</t>
  </si>
  <si>
    <t>UFPT</t>
  </si>
  <si>
    <t>AHCO</t>
  </si>
  <si>
    <t>AHG</t>
  </si>
  <si>
    <t>OMI</t>
  </si>
  <si>
    <t>AGL</t>
  </si>
  <si>
    <t>AMN</t>
  </si>
  <si>
    <t>ASTH</t>
  </si>
  <si>
    <t>AVAH</t>
  </si>
  <si>
    <t>CCRN</t>
  </si>
  <si>
    <t>CSTL</t>
  </si>
  <si>
    <t>EHAB</t>
  </si>
  <si>
    <t>FLGT</t>
  </si>
  <si>
    <t>HWAIF</t>
  </si>
  <si>
    <t>INNV</t>
  </si>
  <si>
    <t>MD</t>
  </si>
  <si>
    <t>NEO</t>
  </si>
  <si>
    <t>NNOX</t>
  </si>
  <si>
    <t>NRC</t>
  </si>
  <si>
    <t>NUTX</t>
  </si>
  <si>
    <t>OPK</t>
  </si>
  <si>
    <t>PNTG</t>
  </si>
  <si>
    <t>SBC</t>
  </si>
  <si>
    <t>TALK</t>
  </si>
  <si>
    <t>VMD</t>
  </si>
  <si>
    <t>WGS</t>
  </si>
  <si>
    <t>AUNA</t>
  </si>
  <si>
    <t>BKD</t>
  </si>
  <si>
    <t>CYH</t>
  </si>
  <si>
    <t>NHC</t>
  </si>
  <si>
    <t>PACS</t>
  </si>
  <si>
    <t>SEM</t>
  </si>
  <si>
    <t>SNDA</t>
  </si>
  <si>
    <t>USPH</t>
  </si>
  <si>
    <t>CERT</t>
  </si>
  <si>
    <t>CTEV</t>
  </si>
  <si>
    <t>DH</t>
  </si>
  <si>
    <t>EVH</t>
  </si>
  <si>
    <t>GDRX</t>
  </si>
  <si>
    <t>HCAT</t>
  </si>
  <si>
    <t>HSTM</t>
  </si>
  <si>
    <t>PHR</t>
  </si>
  <si>
    <t>SDGR</t>
  </si>
  <si>
    <t>SLP</t>
  </si>
  <si>
    <t>TBRG</t>
  </si>
  <si>
    <t>TDOC</t>
  </si>
  <si>
    <t>ABEO</t>
  </si>
  <si>
    <t>ABSI</t>
  </si>
  <si>
    <t>ABUS</t>
  </si>
  <si>
    <t>ABVX</t>
  </si>
  <si>
    <t>AGIO</t>
  </si>
  <si>
    <t>AKBA</t>
  </si>
  <si>
    <t>ALLO</t>
  </si>
  <si>
    <t>ALT</t>
  </si>
  <si>
    <t>ANAB</t>
  </si>
  <si>
    <t>ARCT</t>
  </si>
  <si>
    <t>ARDX</t>
  </si>
  <si>
    <t>ARQT</t>
  </si>
  <si>
    <t>ARWR</t>
  </si>
  <si>
    <t>ATYR</t>
  </si>
  <si>
    <t>AUPH</t>
  </si>
  <si>
    <t>AUTL</t>
  </si>
  <si>
    <t>AVBP</t>
  </si>
  <si>
    <t>AVXL</t>
  </si>
  <si>
    <t>BCAX</t>
  </si>
  <si>
    <t>BCYC</t>
  </si>
  <si>
    <t>BEAM</t>
  </si>
  <si>
    <t>BHVN</t>
  </si>
  <si>
    <t>BNTC</t>
  </si>
  <si>
    <t>CAPR</t>
  </si>
  <si>
    <t>CDNA</t>
  </si>
  <si>
    <t>CELC</t>
  </si>
  <si>
    <t>CGEM</t>
  </si>
  <si>
    <t>CGON</t>
  </si>
  <si>
    <t>CKPT</t>
  </si>
  <si>
    <t>CLDX</t>
  </si>
  <si>
    <t>CMPS</t>
  </si>
  <si>
    <t>CNTA</t>
  </si>
  <si>
    <t>COGT</t>
  </si>
  <si>
    <t>DAWN</t>
  </si>
  <si>
    <t>DBVT</t>
  </si>
  <si>
    <t>DNTH</t>
  </si>
  <si>
    <t>DVAX</t>
  </si>
  <si>
    <t>DYN</t>
  </si>
  <si>
    <t>EBS</t>
  </si>
  <si>
    <t>ERAS</t>
  </si>
  <si>
    <t>ETNB</t>
  </si>
  <si>
    <t>FOLD</t>
  </si>
  <si>
    <t>GERN</t>
  </si>
  <si>
    <t>GLPG</t>
  </si>
  <si>
    <t>GRAL</t>
  </si>
  <si>
    <t>GYRE</t>
  </si>
  <si>
    <t>HRTX</t>
  </si>
  <si>
    <t>IBRX</t>
  </si>
  <si>
    <t>IDYA</t>
  </si>
  <si>
    <t>IMCR</t>
  </si>
  <si>
    <t>IMMP</t>
  </si>
  <si>
    <t>IMNM</t>
  </si>
  <si>
    <t>IMTX</t>
  </si>
  <si>
    <t>IOVA</t>
  </si>
  <si>
    <t>IRON</t>
  </si>
  <si>
    <t>IVA</t>
  </si>
  <si>
    <t>JANX</t>
  </si>
  <si>
    <t>JBIO</t>
  </si>
  <si>
    <t>KALV</t>
  </si>
  <si>
    <t>KMDA</t>
  </si>
  <si>
    <t>KNSA</t>
  </si>
  <si>
    <t>KROS</t>
  </si>
  <si>
    <t>KURA</t>
  </si>
  <si>
    <t>KYMR</t>
  </si>
  <si>
    <t>MDXG</t>
  </si>
  <si>
    <t>MESO</t>
  </si>
  <si>
    <t>MGTX</t>
  </si>
  <si>
    <t>MLYS</t>
  </si>
  <si>
    <t>MNKD</t>
  </si>
  <si>
    <t>MREO</t>
  </si>
  <si>
    <t>MYGN</t>
  </si>
  <si>
    <t>NNNN</t>
  </si>
  <si>
    <t>NRIX</t>
  </si>
  <si>
    <t>NTLA</t>
  </si>
  <si>
    <t>NVAX</t>
  </si>
  <si>
    <t>OLMA</t>
  </si>
  <si>
    <t>ORGO</t>
  </si>
  <si>
    <t>ORIC</t>
  </si>
  <si>
    <t>ORKA</t>
  </si>
  <si>
    <t>PGEN</t>
  </si>
  <si>
    <t>PHAR</t>
  </si>
  <si>
    <t>PRAX</t>
  </si>
  <si>
    <t>PRTC</t>
  </si>
  <si>
    <t>QURE</t>
  </si>
  <si>
    <t>RCEL</t>
  </si>
  <si>
    <t>RCKT</t>
  </si>
  <si>
    <t>RCUS</t>
  </si>
  <si>
    <t>REPL</t>
  </si>
  <si>
    <t>RGLS</t>
  </si>
  <si>
    <t>RGNX</t>
  </si>
  <si>
    <t>RIGL</t>
  </si>
  <si>
    <t>RLAY</t>
  </si>
  <si>
    <t>RNAC</t>
  </si>
  <si>
    <t>RXRX</t>
  </si>
  <si>
    <t>RZLT</t>
  </si>
  <si>
    <t>SAGE</t>
  </si>
  <si>
    <t>SANA</t>
  </si>
  <si>
    <t>SION</t>
  </si>
  <si>
    <t>SNDX</t>
  </si>
  <si>
    <t>SPRY</t>
  </si>
  <si>
    <t>STOK</t>
  </si>
  <si>
    <t>SVRA</t>
  </si>
  <si>
    <t>SYRE</t>
  </si>
  <si>
    <t>TECX</t>
  </si>
  <si>
    <t>TRDA</t>
  </si>
  <si>
    <t>TRML</t>
  </si>
  <si>
    <t>TSHA</t>
  </si>
  <si>
    <t>TSVT</t>
  </si>
  <si>
    <t>TVTX</t>
  </si>
  <si>
    <t>TWST</t>
  </si>
  <si>
    <t>TYRA</t>
  </si>
  <si>
    <t>UPB</t>
  </si>
  <si>
    <t>URGN</t>
  </si>
  <si>
    <t>VALN</t>
  </si>
  <si>
    <t>VERA</t>
  </si>
  <si>
    <t>VERV</t>
  </si>
  <si>
    <t>VIR</t>
  </si>
  <si>
    <t>VNDA</t>
  </si>
  <si>
    <t>VRDN</t>
  </si>
  <si>
    <t>VSTM</t>
  </si>
  <si>
    <t>XNCR</t>
  </si>
  <si>
    <t>XOMA</t>
  </si>
  <si>
    <t>ZBIO</t>
  </si>
  <si>
    <t>ZYME</t>
  </si>
  <si>
    <t>ACB</t>
  </si>
  <si>
    <t>ALMS</t>
  </si>
  <si>
    <t>AMLX</t>
  </si>
  <si>
    <t>AMPH</t>
  </si>
  <si>
    <t>ANIP</t>
  </si>
  <si>
    <t>AQST</t>
  </si>
  <si>
    <t>ARVN</t>
  </si>
  <si>
    <t>ATAI</t>
  </si>
  <si>
    <t>AVDL</t>
  </si>
  <si>
    <t>BHC</t>
  </si>
  <si>
    <t>BLTE</t>
  </si>
  <si>
    <t>COLL</t>
  </si>
  <si>
    <t>CRMD</t>
  </si>
  <si>
    <t>CRON</t>
  </si>
  <si>
    <t>ELVN</t>
  </si>
  <si>
    <t>EOLS</t>
  </si>
  <si>
    <t>ETON</t>
  </si>
  <si>
    <t>EWTX</t>
  </si>
  <si>
    <t>FULC</t>
  </si>
  <si>
    <t>GHRS</t>
  </si>
  <si>
    <t>GPCR</t>
  </si>
  <si>
    <t>HRMY</t>
  </si>
  <si>
    <t>HROW</t>
  </si>
  <si>
    <t>INDV</t>
  </si>
  <si>
    <t>INVA</t>
  </si>
  <si>
    <t>LENZ</t>
  </si>
  <si>
    <t>LQDA</t>
  </si>
  <si>
    <t>MAZE</t>
  </si>
  <si>
    <t>MBX</t>
  </si>
  <si>
    <t>MNMD</t>
  </si>
  <si>
    <t>NUVB</t>
  </si>
  <si>
    <t>OCUL</t>
  </si>
  <si>
    <t>OMER</t>
  </si>
  <si>
    <t>PAHC</t>
  </si>
  <si>
    <t>PCRX</t>
  </si>
  <si>
    <t>PHVS</t>
  </si>
  <si>
    <t>RAPP</t>
  </si>
  <si>
    <t>SEPN</t>
  </si>
  <si>
    <t>SIGA</t>
  </si>
  <si>
    <t>SNDL</t>
  </si>
  <si>
    <t>SUPN</t>
  </si>
  <si>
    <t>TARS</t>
  </si>
  <si>
    <t>TBPH</t>
  </si>
  <si>
    <t>TERN</t>
  </si>
  <si>
    <t>TLRY</t>
  </si>
  <si>
    <t>TRVI</t>
  </si>
  <si>
    <t>WVE</t>
  </si>
  <si>
    <t>XERS</t>
  </si>
  <si>
    <t>ZVRA</t>
  </si>
  <si>
    <t>ZYBT</t>
  </si>
  <si>
    <t>ABCL</t>
  </si>
  <si>
    <t>ADPT</t>
  </si>
  <si>
    <t>AZTA</t>
  </si>
  <si>
    <t>BLFS</t>
  </si>
  <si>
    <t>CTKB</t>
  </si>
  <si>
    <t>CYRX</t>
  </si>
  <si>
    <t>EVO</t>
  </si>
  <si>
    <t>FTRE</t>
  </si>
  <si>
    <t>LAB</t>
  </si>
  <si>
    <t>LFCR</t>
  </si>
  <si>
    <t>MLAB</t>
  </si>
  <si>
    <t>MRVI</t>
  </si>
  <si>
    <t>MXCT</t>
  </si>
  <si>
    <t>NAGE</t>
  </si>
  <si>
    <t>PACB</t>
  </si>
  <si>
    <t>PSNL</t>
  </si>
  <si>
    <t>TKNO</t>
  </si>
  <si>
    <t>TXG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</si>
</sst>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00B050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00B0F0"/>
      <name val="Aptos Narrow"/>
      <family val="2"/>
      <scheme val="minor"/>
    </font>
    <font>
      <b/>
      <sz val="11"/>
      <color theme="5" tint="-0.249977111117893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8"/>
      <color theme="9" tint="-0.249977111117893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-0.499984740745262"/>
        <bgColor theme="9"/>
      </patternFill>
    </fill>
  </fills>
  <borders count="41">
    <border>
      <left/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69">
    <xf numFmtId="0" fontId="0" fillId="0" borderId="0" xfId="0"/>
    <xf numFmtId="2" fontId="0" fillId="0" borderId="0" xfId="0" applyNumberFormat="1"/>
    <xf numFmtId="3" fontId="0" fillId="0" borderId="0" xfId="0" applyNumberFormat="1"/>
    <xf numFmtId="0" fontId="0" fillId="0" borderId="0" xfId="0" pivotButton="1"/>
    <xf numFmtId="0" fontId="3" fillId="2" borderId="1" xfId="0" applyFont="1" applyFill="1" applyBorder="1"/>
    <xf numFmtId="0" fontId="3" fillId="2" borderId="2" xfId="0" applyFont="1" applyFill="1" applyBorder="1"/>
    <xf numFmtId="0" fontId="0" fillId="0" borderId="0" xfId="0" applyAlignment="1">
      <alignment horizontal="left"/>
    </xf>
    <xf numFmtId="2" fontId="3" fillId="2" borderId="2" xfId="0" applyNumberFormat="1" applyFont="1" applyFill="1" applyBorder="1"/>
    <xf numFmtId="3" fontId="3" fillId="2" borderId="2" xfId="0" applyNumberFormat="1" applyFont="1" applyFill="1" applyBorder="1"/>
    <xf numFmtId="3" fontId="0" fillId="0" borderId="0" xfId="1" applyNumberFormat="1" applyFont="1"/>
    <xf numFmtId="0" fontId="0" fillId="0" borderId="0" xfId="0" applyAlignment="1">
      <alignment vertical="center"/>
    </xf>
    <xf numFmtId="2" fontId="3" fillId="4" borderId="2" xfId="0" applyNumberFormat="1" applyFont="1" applyFill="1" applyBorder="1"/>
    <xf numFmtId="0" fontId="3" fillId="4" borderId="0" xfId="0" applyFont="1" applyFill="1"/>
    <xf numFmtId="2" fontId="0" fillId="0" borderId="0" xfId="0" applyNumberFormat="1" applyAlignment="1">
      <alignment horizontal="center" vertical="center"/>
    </xf>
    <xf numFmtId="2" fontId="9" fillId="0" borderId="3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 wrapText="1"/>
    </xf>
    <xf numFmtId="2" fontId="9" fillId="0" borderId="10" xfId="0" applyNumberFormat="1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2" fontId="7" fillId="0" borderId="11" xfId="0" applyNumberFormat="1" applyFont="1" applyBorder="1" applyAlignment="1">
      <alignment horizontal="center" vertical="center"/>
    </xf>
    <xf numFmtId="2" fontId="8" fillId="0" borderId="11" xfId="0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 vertical="center"/>
    </xf>
    <xf numFmtId="2" fontId="5" fillId="0" borderId="15" xfId="0" applyNumberFormat="1" applyFont="1" applyBorder="1" applyAlignment="1">
      <alignment horizontal="center" vertical="center" wrapText="1"/>
    </xf>
    <xf numFmtId="2" fontId="9" fillId="0" borderId="27" xfId="0" applyNumberFormat="1" applyFont="1" applyBorder="1" applyAlignment="1">
      <alignment horizontal="center" vertical="center"/>
    </xf>
    <xf numFmtId="2" fontId="9" fillId="0" borderId="6" xfId="0" applyNumberFormat="1" applyFont="1" applyBorder="1" applyAlignment="1">
      <alignment horizontal="center" vertical="center"/>
    </xf>
    <xf numFmtId="2" fontId="9" fillId="0" borderId="28" xfId="0" applyNumberFormat="1" applyFont="1" applyBorder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0" xfId="0" applyFont="1" applyFill="1" applyAlignment="1">
      <alignment horizontal="center"/>
    </xf>
    <xf numFmtId="0" fontId="11" fillId="0" borderId="35" xfId="0" applyFont="1" applyBorder="1" applyAlignment="1">
      <alignment horizontal="center" vertical="center" wrapText="1"/>
    </xf>
    <xf numFmtId="0" fontId="11" fillId="0" borderId="36" xfId="0" applyFont="1" applyBorder="1" applyAlignment="1">
      <alignment horizontal="center" vertical="center" wrapText="1"/>
    </xf>
    <xf numFmtId="0" fontId="11" fillId="0" borderId="37" xfId="0" applyFont="1" applyBorder="1" applyAlignment="1">
      <alignment horizontal="center" vertical="center" wrapText="1"/>
    </xf>
    <xf numFmtId="2" fontId="4" fillId="0" borderId="4" xfId="0" applyNumberFormat="1" applyFont="1" applyBorder="1" applyAlignment="1">
      <alignment horizontal="center" vertical="center"/>
    </xf>
    <xf numFmtId="2" fontId="4" fillId="0" borderId="5" xfId="0" applyNumberFormat="1" applyFont="1" applyBorder="1" applyAlignment="1">
      <alignment horizontal="center" vertical="center"/>
    </xf>
    <xf numFmtId="2" fontId="4" fillId="0" borderId="23" xfId="0" applyNumberFormat="1" applyFont="1" applyBorder="1" applyAlignment="1">
      <alignment horizontal="center" vertical="center"/>
    </xf>
    <xf numFmtId="2" fontId="4" fillId="0" borderId="30" xfId="0" applyNumberFormat="1" applyFont="1" applyBorder="1" applyAlignment="1">
      <alignment horizontal="center" vertical="center"/>
    </xf>
    <xf numFmtId="2" fontId="4" fillId="0" borderId="32" xfId="0" applyNumberFormat="1" applyFont="1" applyBorder="1" applyAlignment="1">
      <alignment horizontal="center" vertical="center"/>
    </xf>
    <xf numFmtId="2" fontId="4" fillId="0" borderId="34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left" vertical="center" wrapText="1"/>
    </xf>
    <xf numFmtId="3" fontId="10" fillId="0" borderId="0" xfId="0" applyNumberFormat="1" applyFont="1" applyAlignment="1">
      <alignment horizontal="left" vertical="center" wrapText="1"/>
    </xf>
    <xf numFmtId="3" fontId="10" fillId="0" borderId="20" xfId="0" applyNumberFormat="1" applyFont="1" applyBorder="1" applyAlignment="1">
      <alignment horizontal="left" vertical="center" wrapText="1"/>
    </xf>
    <xf numFmtId="3" fontId="10" fillId="0" borderId="21" xfId="0" applyNumberFormat="1" applyFont="1" applyBorder="1" applyAlignment="1">
      <alignment horizontal="left" vertical="center" wrapText="1"/>
    </xf>
    <xf numFmtId="3" fontId="10" fillId="0" borderId="14" xfId="0" applyNumberFormat="1" applyFont="1" applyBorder="1" applyAlignment="1">
      <alignment horizontal="left" vertical="center" wrapText="1"/>
    </xf>
    <xf numFmtId="3" fontId="10" fillId="0" borderId="22" xfId="0" applyNumberFormat="1" applyFont="1" applyBorder="1" applyAlignment="1">
      <alignment horizontal="left" vertical="center" wrapText="1"/>
    </xf>
    <xf numFmtId="0" fontId="0" fillId="0" borderId="25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 vertical="center" wrapText="1"/>
    </xf>
    <xf numFmtId="2" fontId="1" fillId="0" borderId="39" xfId="0" applyNumberFormat="1" applyFont="1" applyBorder="1" applyAlignment="1">
      <alignment horizontal="center" vertical="center" wrapText="1"/>
    </xf>
    <xf numFmtId="2" fontId="1" fillId="0" borderId="40" xfId="0" applyNumberFormat="1" applyFont="1" applyBorder="1" applyAlignment="1">
      <alignment horizontal="center" vertical="center" wrapText="1"/>
    </xf>
    <xf numFmtId="2" fontId="1" fillId="0" borderId="38" xfId="0" applyNumberFormat="1" applyFont="1" applyBorder="1" applyAlignment="1">
      <alignment horizontal="center"/>
    </xf>
    <xf numFmtId="2" fontId="1" fillId="0" borderId="39" xfId="0" applyNumberFormat="1" applyFont="1" applyBorder="1" applyAlignment="1">
      <alignment horizontal="center"/>
    </xf>
    <xf numFmtId="2" fontId="1" fillId="0" borderId="40" xfId="0" applyNumberFormat="1" applyFont="1" applyBorder="1" applyAlignment="1">
      <alignment horizontal="center"/>
    </xf>
    <xf numFmtId="2" fontId="5" fillId="0" borderId="6" xfId="0" applyNumberFormat="1" applyFont="1" applyBorder="1" applyAlignment="1">
      <alignment horizontal="center" vertical="center" wrapText="1"/>
    </xf>
    <xf numFmtId="2" fontId="5" fillId="0" borderId="13" xfId="0" applyNumberFormat="1" applyFont="1" applyBorder="1" applyAlignment="1">
      <alignment horizontal="center" vertical="center" wrapText="1"/>
    </xf>
    <xf numFmtId="2" fontId="5" fillId="0" borderId="10" xfId="0" applyNumberFormat="1" applyFont="1" applyBorder="1" applyAlignment="1">
      <alignment horizontal="center" vertical="center" wrapText="1"/>
    </xf>
    <xf numFmtId="2" fontId="5" fillId="0" borderId="12" xfId="0" applyNumberFormat="1" applyFont="1" applyBorder="1" applyAlignment="1">
      <alignment horizontal="center" vertical="center" wrapText="1"/>
    </xf>
    <xf numFmtId="2" fontId="4" fillId="0" borderId="29" xfId="0" applyNumberFormat="1" applyFont="1" applyBorder="1" applyAlignment="1">
      <alignment horizontal="center" vertical="center"/>
    </xf>
    <xf numFmtId="2" fontId="4" fillId="0" borderId="31" xfId="0" applyNumberFormat="1" applyFont="1" applyBorder="1" applyAlignment="1">
      <alignment horizontal="center" vertical="center"/>
    </xf>
    <xf numFmtId="2" fontId="4" fillId="0" borderId="33" xfId="0" applyNumberFormat="1" applyFont="1" applyBorder="1" applyAlignment="1">
      <alignment horizontal="center" vertical="center"/>
    </xf>
    <xf numFmtId="3" fontId="10" fillId="0" borderId="16" xfId="0" applyNumberFormat="1" applyFont="1" applyBorder="1" applyAlignment="1">
      <alignment horizontal="left" vertical="center" wrapText="1"/>
    </xf>
    <xf numFmtId="3" fontId="10" fillId="0" borderId="17" xfId="0" applyNumberFormat="1" applyFont="1" applyBorder="1" applyAlignment="1">
      <alignment horizontal="left" vertical="center" wrapText="1"/>
    </xf>
    <xf numFmtId="3" fontId="10" fillId="0" borderId="18" xfId="0" applyNumberFormat="1" applyFont="1" applyBorder="1" applyAlignment="1">
      <alignment horizontal="left" vertical="center" wrapText="1"/>
    </xf>
    <xf numFmtId="2" fontId="1" fillId="0" borderId="7" xfId="0" applyNumberFormat="1" applyFont="1" applyBorder="1" applyAlignment="1">
      <alignment horizontal="center" vertical="center" wrapText="1"/>
    </xf>
    <xf numFmtId="2" fontId="1" fillId="0" borderId="8" xfId="0" applyNumberFormat="1" applyFont="1" applyBorder="1" applyAlignment="1">
      <alignment horizontal="center" vertical="center" wrapText="1"/>
    </xf>
    <xf numFmtId="2" fontId="1" fillId="0" borderId="9" xfId="0" applyNumberFormat="1" applyFont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2" fontId="1" fillId="0" borderId="7" xfId="0" applyNumberFormat="1" applyFont="1" applyBorder="1" applyAlignment="1">
      <alignment horizontal="center"/>
    </xf>
    <xf numFmtId="2" fontId="1" fillId="0" borderId="8" xfId="0" applyNumberFormat="1" applyFont="1" applyBorder="1" applyAlignment="1">
      <alignment horizontal="center"/>
    </xf>
    <xf numFmtId="2" fontId="1" fillId="0" borderId="9" xfId="0" applyNumberFormat="1" applyFont="1" applyBorder="1" applyAlignment="1">
      <alignment horizontal="center"/>
    </xf>
    <xf numFmtId="0" fontId="0" fillId="0" borderId="0" xfId="0" applyNumberFormat="1"/>
  </cellXfs>
  <cellStyles count="2">
    <cellStyle name="Comma" xfId="1" builtinId="3"/>
    <cellStyle name="Normal" xfId="0" builtinId="0"/>
  </cellStyles>
  <dxfs count="14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b/>
        <i val="0"/>
        <color rgb="FF00B0F0"/>
      </font>
    </dxf>
    <dxf>
      <font>
        <b/>
        <i val="0"/>
        <color theme="5" tint="-0.24994659260841701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tos.rtd">
      <tp>
        <v>4.7</v>
        <stp/>
        <stp>LAST</stp>
        <stp>VIR</stp>
        <tr r="D118" s="4"/>
      </tp>
      <tp>
        <v>6.89</v>
        <stp/>
        <stp>LAST</stp>
        <stp>VMD</stp>
        <tr r="D190" s="4"/>
      </tp>
      <tp>
        <v>215.87</v>
        <stp/>
        <stp>LAST</stp>
        <stp>WST</stp>
        <tr r="D77" s="2"/>
      </tp>
      <tp>
        <v>6.39</v>
        <stp/>
        <stp>LAST</stp>
        <stp>WVE</stp>
        <tr r="D276" s="4"/>
      </tp>
      <tp>
        <v>359.02</v>
        <stp/>
        <stp>LAST</stp>
        <stp>WAT</stp>
        <tr r="D76" s="2"/>
      </tp>
      <tp>
        <v>39.11</v>
        <stp/>
        <stp>LAST</stp>
        <stp>WAY</stp>
        <tr r="D90" s="3"/>
      </tp>
      <tp>
        <v>60.93</v>
        <stp/>
        <stp>LAST</stp>
        <stp>WGS</stp>
        <tr r="D191" s="4"/>
      </tp>
      <tp>
        <v>9.65</v>
        <stp/>
        <stp>LAST</stp>
        <stp>TXG</stp>
        <tr r="D229" s="4"/>
      </tp>
      <tp>
        <v>157.69999999999999</v>
        <stp/>
        <stp>LAST</stp>
        <stp>THC</stp>
        <tr r="D57" s="2"/>
      </tp>
      <tp>
        <v>16.71</v>
        <stp/>
        <stp>LAST</stp>
        <stp>TLX</stp>
        <tr r="D47" s="3"/>
      </tp>
      <tp>
        <v>428.95</v>
        <stp/>
        <stp>LAST</stp>
        <stp>TMO</stp>
        <tr r="D75" s="2"/>
      </tp>
      <tp>
        <v>13.72</v>
        <stp/>
        <stp>LAST</stp>
        <stp>TAK</stp>
        <tr r="D91" s="2"/>
      </tp>
      <tp>
        <v>126.8</v>
        <stp/>
        <stp>LAST</stp>
        <stp>TFX</stp>
        <tr r="D62" s="3"/>
      </tp>
      <tp>
        <v>68.91</v>
        <stp/>
        <stp>LAST</stp>
        <stp>TEM</stp>
        <tr r="D74" s="2"/>
      </tp>
      <tp>
        <v>8.65</v>
        <stp/>
        <stp>LAST</stp>
        <stp>UPB</stp>
        <tr r="D113" s="4"/>
      </tp>
      <tp>
        <v>192.17</v>
        <stp/>
        <stp>LAST</stp>
        <stp>UHS</stp>
        <tr r="D58" s="2"/>
      </tp>
      <tp>
        <v>311.38</v>
        <stp/>
        <stp>LAST</stp>
        <stp>UNH</stp>
        <tr r="D63" s="2"/>
      </tp>
      <tp>
        <v>29.88</v>
        <stp/>
        <stp>LAST</stp>
        <stp>RNA</stp>
        <tr r="D38" s="3"/>
      </tp>
      <tp>
        <v>247.65</v>
        <stp/>
        <stp>LAST</stp>
        <stp>RMD</stp>
        <tr r="D36" s="2"/>
      </tp>
      <tp>
        <v>312.2</v>
        <stp/>
        <stp>LAST</stp>
        <stp>RGC</stp>
        <tr r="D110" s="3"/>
      </tp>
      <tp>
        <v>14.1</v>
        <stp/>
        <stp>LAST</stp>
        <stp>RDY</stp>
        <tr r="D88" s="2"/>
      </tp>
      <tp>
        <v>42.51</v>
        <stp/>
        <stp>LAST</stp>
        <stp>SSSGY</stp>
        <tr r="D73" s="2"/>
      </tp>
      <tp>
        <v>387.53</v>
        <stp/>
        <stp>LAST</stp>
        <stp>SYK</stp>
        <tr r="D39" s="2"/>
      </tp>
      <tp>
        <v>231.15</v>
        <stp/>
        <stp>LAST</stp>
        <stp>STE</stp>
        <tr r="D38" s="2"/>
      </tp>
      <tp>
        <v>13.24</v>
        <stp/>
        <stp>LAST</stp>
        <stp>SHC</stp>
        <tr r="D98" s="3"/>
      </tp>
      <tp>
        <v>49.96</v>
        <stp/>
        <stp>LAST</stp>
        <stp>SNY</stp>
        <tr r="D90" s="2"/>
      </tp>
      <tp>
        <v>28.27</v>
        <stp/>
        <stp>LAST</stp>
        <stp>SNN</stp>
        <tr r="D37" s="2"/>
      </tp>
      <tp>
        <v>31.1</v>
        <stp/>
        <stp>LAST</stp>
        <stp>SLP</stp>
        <tr r="D209" s="4"/>
      </tp>
      <tp>
        <v>3.5</v>
        <stp/>
        <stp>LAST</stp>
        <stp>SBC</stp>
        <tr r="D188" s="4"/>
      </tp>
      <tp>
        <v>15.08</v>
        <stp/>
        <stp>LAST</stp>
        <stp>SEM</stp>
        <tr r="D197" s="4"/>
      </tp>
      <tp>
        <v>26.1</v>
        <stp/>
        <stp>LAST</stp>
        <stp>PHR</stp>
        <tr r="D207" s="4"/>
      </tp>
      <tp>
        <v>24.22</v>
        <stp/>
        <stp>LAST</stp>
        <stp>PHG</stp>
        <tr r="D34" s="2"/>
      </tp>
      <tp>
        <v>86.97</v>
        <stp/>
        <stp>LAST</stp>
        <stp>PBH</stp>
        <tr r="D108" s="3"/>
      </tp>
      <tp>
        <v>22.87</v>
        <stp/>
        <stp>LAST</stp>
        <stp>PFE</stp>
        <tr r="D87" s="2"/>
      </tp>
      <tp>
        <v>296.05</v>
        <stp/>
        <stp>LAST</stp>
        <stp>PEN</stp>
        <tr r="D33" s="2"/>
      </tp>
      <tp>
        <v>160.41</v>
        <stp/>
        <stp>LAST</stp>
        <stp>ZTS</stp>
        <tr r="D94" s="2"/>
      </tp>
      <tp>
        <v>97.49</v>
        <stp/>
        <stp>LAST</stp>
        <stp>ZBH</stp>
        <tr r="D40" s="2"/>
      </tp>
      <tp>
        <v>28</v>
        <stp/>
        <stp>LAST</stp>
        <stp>FMS</stp>
        <tr r="D52" s="2"/>
      </tp>
      <tp>
        <v>36.35</v>
        <stp/>
        <stp>LAST</stp>
        <stp>GSK</stp>
        <tr r="D80" s="2"/>
      </tp>
      <tp>
        <v>12.1</v>
        <stp/>
        <stp>LAST</stp>
        <stp>DYN</stp>
        <tr r="D39" s="4"/>
      </tp>
      <tp>
        <v>143.97999999999999</v>
        <stp/>
        <stp>LAST</stp>
        <stp>DVA</stp>
        <tr r="D51" s="2"/>
      </tp>
      <tp>
        <v>196.61</v>
        <stp/>
        <stp>LAST</stp>
        <stp>DHR</stp>
        <tr r="D67" s="2"/>
      </tp>
      <tp>
        <v>174.49</v>
        <stp/>
        <stp>LAST</stp>
        <stp>DGX</stp>
        <tr r="D50" s="2"/>
      </tp>
      <tp>
        <v>4.2</v>
        <stp/>
        <stp>LAST</stp>
        <stp>EVO</stp>
        <tr r="D218" s="4"/>
      </tp>
      <tp>
        <v>9.27</v>
        <stp/>
        <stp>LAST</stp>
        <stp>EVH</stp>
        <tr r="D203" s="4"/>
      </tp>
      <tp>
        <v>117.61</v>
        <stp/>
        <stp>LAST</stp>
        <stp>EHC</stp>
        <tr r="D55" s="2"/>
      </tp>
      <tp>
        <v>375.4</v>
        <stp/>
        <stp>LAST</stp>
        <stp>ELV</stp>
        <tr r="D60" s="2"/>
      </tp>
      <tp>
        <v>5.88</v>
        <stp/>
        <stp>LAST</stp>
        <stp>EBS</stp>
        <tr r="D40" s="4"/>
      </tp>
      <tp>
        <v>102.95</v>
        <stp/>
        <stp>LAST</stp>
        <stp>BSX</stp>
        <tr r="D25" s="2"/>
      </tp>
      <tp>
        <v>6.54</v>
        <stp/>
        <stp>LAST</stp>
        <stp>BVS</stp>
        <tr r="D159" s="4"/>
      </tp>
      <tp>
        <v>6.92</v>
        <stp/>
        <stp>LAST</stp>
        <stp>BKD</stp>
        <tr r="D193" s="4"/>
      </tp>
      <tp>
        <v>4.67</v>
        <stp/>
        <stp>LAST</stp>
        <stp>BHC</stp>
        <tr r="D239" s="4"/>
      </tp>
      <tp>
        <v>253.15</v>
        <stp/>
        <stp>LAST</stp>
        <stp>BIO</stp>
        <tr r="D92" s="3"/>
      </tp>
      <tp>
        <v>46.59</v>
        <stp/>
        <stp>LAST</stp>
        <stp>BMY</stp>
        <tr r="D79" s="2"/>
      </tp>
      <tp>
        <v>31.15</v>
        <stp/>
        <stp>LAST</stp>
        <stp>BAX</stp>
        <tr r="D23" s="2"/>
      </tp>
      <tp>
        <v>175.34</v>
        <stp/>
        <stp>LAST</stp>
        <stp>BDX</stp>
        <tr r="D24" s="2"/>
      </tp>
      <tp>
        <v>3.8</v>
        <stp/>
        <stp>LAST</stp>
        <stp>CYH</stp>
        <tr r="D194" s="4"/>
      </tp>
      <tp>
        <v>144.02000000000001</v>
        <stp/>
        <stp>LAST</stp>
        <stp>CRL</stp>
        <tr r="D94" s="3"/>
      </tp>
      <tp>
        <v>60.5</v>
        <stp/>
        <stp>LAST</stp>
        <stp>CVS</stp>
        <tr r="D49" s="2"/>
      </tp>
      <tp>
        <v>557.16999999999996</v>
        <stp/>
        <stp>LAST</stp>
        <stp>CHE</stp>
        <tr r="D74" s="3"/>
      </tp>
      <tp>
        <v>58.97</v>
        <stp/>
        <stp>LAST</stp>
        <stp>CNC</stp>
        <tr r="D59" s="2"/>
      </tp>
      <tp>
        <v>279</v>
        <stp/>
        <stp>LAST</stp>
        <stp>COR</stp>
        <tr r="D46" s="2"/>
      </tp>
      <tp>
        <v>21.4</v>
        <stp/>
        <stp>LAST</stp>
        <stp>CON</stp>
        <tr r="D84" s="3"/>
      </tp>
      <tp>
        <v>81.760000000000005</v>
        <stp/>
        <stp>LAST</stp>
        <stp>COO</stp>
        <tr r="D43" s="2"/>
      </tp>
      <tp>
        <v>148.26</v>
        <stp/>
        <stp>LAST</stp>
        <stp>CAH</stp>
        <tr r="D45" s="2"/>
      </tp>
      <tp>
        <v>1.17</v>
        <stp/>
        <stp>LAST</stp>
        <stp>HWAIF</stp>
        <tr r="D179" s="4"/>
      </tp>
      <tp>
        <v>67.72</v>
        <stp/>
        <stp>LAST</stp>
        <stp>AZN</stp>
        <tr r="D78" s="2"/>
      </tp>
      <tp>
        <v>1.5456000000000001</v>
        <stp/>
        <stp>LAST</stp>
        <stp>AHG</stp>
        <tr r="D169" s="4"/>
      </tp>
      <tp>
        <v>5.76</v>
        <stp/>
        <stp>LAST</stp>
        <stp>ALT</stp>
        <tr r="D9" s="4"/>
      </tp>
      <tp>
        <v>93.25</v>
        <stp/>
        <stp>LAST</stp>
        <stp>ALC</stp>
        <tr r="D41" s="2"/>
      </tp>
      <tp>
        <v>21.67</v>
        <stp/>
        <stp>LAST</stp>
        <stp>AMN</stp>
        <tr r="D172" s="4"/>
      </tp>
      <tp>
        <v>129.05000000000001</v>
        <stp/>
        <stp>LAST</stp>
        <stp>ABT</stp>
        <tr r="D22" s="2"/>
      </tp>
      <tp>
        <v>5.16</v>
        <stp/>
        <stp>LAST</stp>
        <stp>ACB</stp>
        <tr r="D230" s="4"/>
      </tp>
      <tp>
        <v>2.7</v>
        <stp/>
        <stp>LAST</stp>
        <stp>AGL</stp>
        <tr r="D171" s="4"/>
      </tp>
      <tp>
        <v>13.44</v>
        <stp/>
        <stp>LAST</stp>
        <stp>NRC</stp>
        <tr r="D184" s="4"/>
      </tp>
      <tp>
        <v>106.83</v>
        <stp/>
        <stp>LAST</stp>
        <stp>NVS</stp>
        <tr r="D86" s="2"/>
      </tp>
      <tp>
        <v>65.400000000000006</v>
        <stp/>
        <stp>LAST</stp>
        <stp>NVO</stp>
        <tr r="D85" s="2"/>
      </tp>
      <tp>
        <v>105.39</v>
        <stp/>
        <stp>LAST</stp>
        <stp>NHC</stp>
        <tr r="D195" s="4"/>
      </tp>
      <tp>
        <v>8.36</v>
        <stp/>
        <stp>LAST</stp>
        <stp>NEO</stp>
        <tr r="D182" s="4"/>
      </tp>
      <tp>
        <v>1.3</v>
        <stp/>
        <stp>LAST</stp>
        <stp>OPK</stp>
        <tr r="D186" s="4"/>
      </tp>
      <tp>
        <v>224.73</v>
        <stp/>
        <stp>LAST</stp>
        <stp>ONC</stp>
        <tr r="D17" s="2"/>
      </tp>
      <tp>
        <v>7.23</v>
        <stp/>
        <stp>LAST</stp>
        <stp>OMI</stp>
        <tr r="D170" s="4"/>
      </tp>
      <tp>
        <v>8.44</v>
        <stp/>
        <stp>LAST</stp>
        <stp>OGN</stp>
        <tr r="D107" s="3"/>
      </tp>
      <tp>
        <v>746.06</v>
        <stp/>
        <stp>LAST</stp>
        <stp>LLY</stp>
        <tr r="D83" s="2"/>
      </tp>
      <tp>
        <v>1.1399999999999999</v>
        <stp/>
        <stp>LAST</stp>
        <stp>LAB</stp>
        <tr r="D220" s="4"/>
      </tp>
      <tp>
        <v>76.63</v>
        <stp/>
        <stp>LAST</stp>
        <stp>MRK</stp>
        <tr r="D84" s="2"/>
      </tp>
      <tp>
        <v>1177.05</v>
        <stp/>
        <stp>LAST</stp>
        <stp>MTD</stp>
        <tr r="D71" s="2"/>
      </tp>
      <tp>
        <v>310.45</v>
        <stp/>
        <stp>LAST</stp>
        <stp>MOH</stp>
        <tr r="D62" s="2"/>
      </tp>
      <tp>
        <v>10.27</v>
        <stp/>
        <stp>LAST</stp>
        <stp>MBX</stp>
        <tr r="D258" s="4"/>
      </tp>
      <tp>
        <v>687.78</v>
        <stp/>
        <stp>LAST</stp>
        <stp>MCK</stp>
        <tr r="D47" s="2"/>
      </tp>
      <tp>
        <v>85.11</v>
        <stp/>
        <stp>LAST</stp>
        <stp>MDT</stp>
        <tr r="D32" s="2"/>
      </tp>
      <tp>
        <v>148.44</v>
        <stp/>
        <stp>LAST</stp>
        <stp>JNJ</stp>
        <tr r="D82" s="2"/>
      </tp>
      <tp>
        <v>96.99</v>
        <stp/>
        <stp>LAST</stp>
        <stp>HQY</stp>
        <tr r="D88" s="3"/>
      </tp>
      <tp>
        <v>228.89</v>
        <stp/>
        <stp>LAST</stp>
        <stp>HUM</stp>
        <tr r="D61" s="2"/>
      </tp>
      <tp>
        <v>10.45</v>
        <stp/>
        <stp>LAST</stp>
        <stp>HLN</stp>
        <tr r="D81" s="2"/>
      </tp>
      <tp>
        <v>368.1</v>
        <stp/>
        <stp>LAST</stp>
        <stp>HCA</stp>
        <tr r="D56" s="2"/>
      </tp>
      <tp>
        <v>13.14</v>
        <stp/>
        <stp>LAST</stp>
        <stp>HCM</stp>
        <tr r="D105" s="3"/>
      </tp>
      <tp>
        <v>69.14</v>
        <stp/>
        <stp>LAST</stp>
        <stp>HAE</stp>
        <tr r="D65" s="3"/>
      </tp>
      <tp>
        <v>150.68</v>
        <stp/>
        <stp>LAST</stp>
        <stp>IQV</stp>
        <tr r="D70" s="2"/>
      </tp>
      <tp>
        <v>3.5844</v>
        <stp/>
        <stp>LAST</stp>
        <stp>IVA</stp>
        <tr r="D57" s="4"/>
      </tp>
      <tp>
        <v>27.9</v>
        <stp/>
        <stp>LAST</stp>
        <stp>AZTA</stp>
        <tr r="D214" s="4"/>
      </tp>
      <tp>
        <v>3.67</v>
        <stp/>
        <stp>LAST</stp>
        <stp>RZLT</stp>
        <tr r="D96" s="4"/>
      </tp>
      <tp>
        <v>4.51</v>
        <stp/>
        <stp>LAST</stp>
        <stp>RXRX</stp>
        <tr r="D95" s="4"/>
      </tp>
      <tp>
        <v>13.2</v>
        <stp/>
        <stp>LAST</stp>
        <stp>RXST</stp>
        <tr r="D164" s="4"/>
      </tp>
      <tp>
        <v>105.67</v>
        <stp/>
        <stp>LAST</stp>
        <stp>AXSM</stp>
        <tr r="D102" s="3"/>
      </tp>
      <tp>
        <v>10.88</v>
        <stp/>
        <stp>LAST</stp>
        <stp>AXGN</stp>
        <tr r="D130" s="4"/>
      </tp>
      <tp>
        <v>36.950000000000003</v>
        <stp/>
        <stp>LAST</stp>
        <stp>EXEL</stp>
        <tr r="D10" s="2"/>
      </tp>
      <tp>
        <v>2.2000000000000002</v>
        <stp/>
        <stp>LAST</stp>
        <stp>MXCT</stp>
        <tr r="D224" s="4"/>
      </tp>
      <tp>
        <v>84.11</v>
        <stp/>
        <stp>LAST</stp>
        <stp>DXCM</stp>
        <tr r="D26" s="2"/>
      </tp>
      <tp>
        <v>53.67</v>
        <stp/>
        <stp>LAST</stp>
        <stp>EXAS</stp>
        <tr r="D9" s="2"/>
      </tp>
      <tp>
        <v>30.61</v>
        <stp/>
        <stp>LAST</stp>
        <stp>CYTK</stp>
        <tr r="D18" s="3"/>
      </tp>
      <tp>
        <v>56.79</v>
        <stp/>
        <stp>LAST</stp>
        <stp>RYTM</stp>
        <tr r="D41" s="3"/>
      </tp>
      <tp>
        <v>6.98</v>
        <stp/>
        <stp>LAST</stp>
        <stp>CYRX</stp>
        <tr r="D217" s="4"/>
      </tp>
      <tp>
        <v>9.98</v>
        <stp/>
        <stp>LAST</stp>
        <stp>TYRA</stp>
        <tr r="D112" s="4"/>
      </tp>
      <tp>
        <v>14.75</v>
        <stp/>
        <stp>LAST</stp>
        <stp>SYRE</stp>
        <tr r="D104" s="4"/>
      </tp>
      <tp>
        <v>11.5</v>
        <stp/>
        <stp>LAST</stp>
        <stp>GYRE</stp>
        <tr r="D47" s="4"/>
      </tp>
      <tp>
        <v>4.1100000000000003</v>
        <stp/>
        <stp>LAST</stp>
        <stp>MYGN</stp>
        <tr r="D72" s="4"/>
      </tp>
      <tp>
        <v>7.41</v>
        <stp/>
        <stp>LAST</stp>
        <stp>ZYBT</stp>
        <tr r="D279" s="4"/>
      </tp>
      <tp>
        <v>31.14</v>
        <stp/>
        <stp>LAST</stp>
        <stp>KYMR</stp>
        <tr r="D65" s="4"/>
      </tp>
      <tp>
        <v>11.61</v>
        <stp/>
        <stp>LAST</stp>
        <stp>ZYME</stp>
        <tr r="D125" s="4"/>
      </tp>
      <tp>
        <v>24.3</v>
        <stp/>
        <stp>LAST</stp>
        <stp>PRVA</stp>
        <tr r="D80" s="3"/>
      </tp>
      <tp>
        <v>6.4550000000000001</v>
        <stp/>
        <stp>LAST</stp>
        <stp>TRVI</stp>
        <tr r="D275" s="4"/>
      </tp>
      <tp>
        <v>2.06</v>
        <stp/>
        <stp>LAST</stp>
        <stp>MRVI</stp>
        <tr r="D223" s="4"/>
      </tp>
      <tp>
        <v>6.29</v>
        <stp/>
        <stp>LAST</stp>
        <stp>ARVN</stp>
        <tr r="D236" s="4"/>
      </tp>
      <tp>
        <v>114.32</v>
        <stp/>
        <stp>LAST</stp>
        <stp>CRVL</stp>
        <tr r="D75" s="3"/>
      </tp>
      <tp>
        <v>15.28</v>
        <stp/>
        <stp>LAST</stp>
        <stp>ARWR</stp>
        <tr r="D14" s="4"/>
      </tp>
      <tp>
        <v>432</v>
        <stp/>
        <stp>LAST</stp>
        <stp>VRTX</stp>
        <tr r="D21" s="2"/>
      </tp>
      <tp>
        <v>1.84</v>
        <stp/>
        <stp>LAST</stp>
        <stp>HRTX</stp>
        <tr r="D48" s="4"/>
      </tp>
      <tp>
        <v>17</v>
        <stp/>
        <stp>LAST</stp>
        <stp>PRTC</stp>
        <tr r="D84" s="4"/>
      </tp>
      <tp>
        <v>139.78</v>
        <stp/>
        <stp>LAST</stp>
        <stp>IRTC</stp>
        <tr r="D56" s="3"/>
      </tp>
      <tp>
        <v>40.92</v>
        <stp/>
        <stp>LAST</stp>
        <stp>MRUS</stp>
        <tr r="D30" s="3"/>
      </tp>
      <tp>
        <v>31.4</v>
        <stp/>
        <stp>LAST</stp>
        <stp>SRRK</stp>
        <tr r="D44" s="3"/>
      </tp>
      <tp>
        <v>37.22</v>
        <stp/>
        <stp>LAST</stp>
        <stp>CRSP</stp>
        <tr r="D17" s="3"/>
      </tp>
      <tp>
        <v>36.200000000000003</v>
        <stp/>
        <stp>LAST</stp>
        <stp>SRPT</stp>
        <tr r="D43" s="3"/>
      </tp>
      <tp>
        <v>13.82</v>
        <stp/>
        <stp>LAST</stp>
        <stp>ARQT</stp>
        <tr r="D13" s="4"/>
      </tp>
      <tp>
        <v>134.53</v>
        <stp/>
        <stp>LAST</stp>
        <stp>KRYS</stp>
        <tr r="D24" s="3"/>
      </tp>
      <tp>
        <v>7.86</v>
        <stp/>
        <stp>LAST</stp>
        <stp>GRFS</stp>
        <tr r="D20" s="3"/>
      </tp>
      <tp>
        <v>542.47</v>
        <stp/>
        <stp>LAST</stp>
        <stp>ARGX</stp>
        <tr r="D5" s="2"/>
      </tp>
      <tp>
        <v>26.22</v>
        <stp/>
        <stp>LAST</stp>
        <stp>PRGO</stp>
        <tr r="D109" s="3"/>
      </tp>
      <tp>
        <v>3.15</v>
        <stp/>
        <stp>LAST</stp>
        <stp>ORGO</stp>
        <tr r="D78" s="4"/>
      </tp>
      <tp>
        <v>10.14</v>
        <stp/>
        <stp>LAST</stp>
        <stp>URGN</stp>
        <tr r="D114" s="4"/>
      </tp>
      <tp>
        <v>14.52</v>
        <stp/>
        <stp>LAST</stp>
        <stp>ARDT</stp>
        <tr r="D83" s="3"/>
      </tp>
      <tp>
        <v>27.82</v>
        <stp/>
        <stp>LAST</stp>
        <stp>SRDX</stp>
        <tr r="D152" s="4"/>
      </tp>
      <tp>
        <v>3.39</v>
        <stp/>
        <stp>LAST</stp>
        <stp>ARDX</stp>
        <tr r="D12" s="4"/>
      </tp>
      <tp>
        <v>8.6999999999999993</v>
        <stp/>
        <stp>LAST</stp>
        <stp>TRDA</stp>
        <tr r="D106" s="4"/>
      </tp>
      <tp>
        <v>12.81</v>
        <stp/>
        <stp>LAST</stp>
        <stp>VRDN</stp>
        <tr r="D120" s="4"/>
      </tp>
      <tp>
        <v>7.5</v>
        <stp/>
        <stp>LAST</stp>
        <stp>VREX</stp>
        <tr r="D157" s="4"/>
      </tp>
      <tp>
        <v>2.3199999999999998</v>
        <stp/>
        <stp>LAST</stp>
        <stp>MREO</stp>
        <tr r="D71" s="4"/>
      </tp>
      <tp>
        <v>53.04</v>
        <stp/>
        <stp>LAST</stp>
        <stp>PRCT</stp>
        <tr r="D61" s="3"/>
      </tp>
      <tp>
        <v>11.86</v>
        <stp/>
        <stp>LAST</stp>
        <stp>ARCT</stp>
        <tr r="D11" s="4"/>
      </tp>
      <tp>
        <v>1.33</v>
        <stp/>
        <stp>LAST</stp>
        <stp>ERAS</stp>
        <tr r="D41" s="4"/>
      </tp>
      <tp>
        <v>16.600000000000001</v>
        <stp/>
        <stp>LAST</stp>
        <stp>XRAY</stp>
        <tr r="D69" s="3"/>
      </tp>
      <tp>
        <v>37.32</v>
        <stp/>
        <stp>LAST</stp>
        <stp>PRAX</stp>
        <tr r="D83" s="4"/>
      </tp>
      <tp>
        <v>42.89</v>
        <stp/>
        <stp>LAST</stp>
        <stp>GRAL</stp>
        <tr r="D46" s="4"/>
      </tp>
      <tp>
        <v>30.95</v>
        <stp/>
        <stp>LAST</stp>
        <stp>CRNX</stp>
        <tr r="D16" s="3"/>
      </tp>
      <tp>
        <v>67.569999999999993</v>
        <stp/>
        <stp>LAST</stp>
        <stp>VRNA</stp>
        <tr r="D111" s="3"/>
      </tp>
      <tp>
        <v>25.49</v>
        <stp/>
        <stp>LAST</stp>
        <stp>MRNA</stp>
        <tr r="D29" s="3"/>
      </tp>
      <tp>
        <v>13.47</v>
        <stp/>
        <stp>LAST</stp>
        <stp>KROS</stp>
        <tr r="D63" s="4"/>
      </tp>
      <tp>
        <v>26.27</v>
        <stp/>
        <stp>LAST</stp>
        <stp>HROW</stp>
        <tr r="D252" s="4"/>
      </tp>
      <tp>
        <v>2.04</v>
        <stp/>
        <stp>LAST</stp>
        <stp>CRON</stp>
        <tr r="D243" s="4"/>
      </tp>
      <tp>
        <v>46.35</v>
        <stp/>
        <stp>LAST</stp>
        <stp>IRON</stp>
        <tr r="D56" s="4"/>
      </tp>
      <tp>
        <v>34.369999999999997</v>
        <stp/>
        <stp>LAST</stp>
        <stp>HRMY</stp>
        <tr r="D251" s="4"/>
      </tp>
      <tp>
        <v>11.63</v>
        <stp/>
        <stp>LAST</stp>
        <stp>CRMD</stp>
        <tr r="D242" s="4"/>
      </tp>
      <tp>
        <v>53.23</v>
        <stp/>
        <stp>LAST</stp>
        <stp>IRMD</stp>
        <tr r="D140" s="4"/>
      </tp>
      <tp>
        <v>15.54</v>
        <stp/>
        <stp>LAST</stp>
        <stp>TRML</stp>
        <tr r="D107" s="4"/>
      </tp>
      <tp>
        <v>38.74</v>
        <stp/>
        <stp>LAST</stp>
        <stp>BRKR</stp>
        <tr r="D93" s="3"/>
      </tp>
      <tp>
        <v>9.6199999999999992</v>
        <stp/>
        <stp>LAST</stp>
        <stp>ORKA</stp>
        <tr r="D80" s="4"/>
      </tp>
      <tp>
        <v>9.73</v>
        <stp/>
        <stp>LAST</stp>
        <stp>NRIX</stp>
        <tr r="D74" s="4"/>
      </tp>
      <tp>
        <v>5.31</v>
        <stp/>
        <stp>LAST</stp>
        <stp>ORIC</stp>
        <tr r="D79" s="4"/>
      </tp>
      <tp>
        <v>5</v>
        <stp/>
        <stp>LAST</stp>
        <stp>TSVT</stp>
        <tr r="D109" s="4"/>
      </tp>
      <tp>
        <v>34.96</v>
        <stp/>
        <stp>LAST</stp>
        <stp>ESTA</stp>
        <tr r="D161" s="4"/>
      </tp>
      <tp>
        <v>26.7</v>
        <stp/>
        <stp>LAST</stp>
        <stp>ASTH</stp>
        <tr r="D173" s="4"/>
      </tp>
      <tp>
        <v>7.46</v>
        <stp/>
        <stp>LAST</stp>
        <stp>VSTM</stp>
        <tr r="D121" s="4"/>
      </tp>
      <tp>
        <v>27.41</v>
        <stp/>
        <stp>LAST</stp>
        <stp>HSTM</stp>
        <tr r="D206" s="4"/>
      </tp>
      <tp>
        <v>17.03</v>
        <stp/>
        <stp>LAST</stp>
        <stp>CSTL</stp>
        <tr r="D176" s="4"/>
      </tp>
      <tp>
        <v>563.95000000000005</v>
        <stp/>
        <stp>LAST</stp>
        <stp>ISRG</stp>
        <tr r="D31" s="2"/>
      </tp>
      <tp>
        <v>77.209999999999994</v>
        <stp/>
        <stp>LAST</stp>
        <stp>USPH</stp>
        <tr r="D199" s="4"/>
      </tp>
      <tp>
        <v>161.52000000000001</v>
        <stp/>
        <stp>LAST</stp>
        <stp>ASND</stp>
        <tr r="D11" s="3"/>
      </tp>
      <tp>
        <v>5.14</v>
        <stp/>
        <stp>LAST</stp>
        <stp>PSNL</stp>
        <tr r="D227" s="4"/>
      </tp>
      <tp>
        <v>2.34</v>
        <stp/>
        <stp>LAST</stp>
        <stp>TSHA</stp>
        <tr r="D108" s="4"/>
      </tp>
      <tp>
        <v>70.540000000000006</v>
        <stp/>
        <stp>LAST</stp>
        <stp>HSIC</stp>
        <tr r="D70" s="3"/>
      </tp>
      <tp>
        <v>10.15</v>
        <stp/>
        <stp>LAST</stp>
        <stp>SSII</stp>
        <tr r="D153" s="4"/>
      </tp>
      <tp>
        <v>13.35</v>
        <stp/>
        <stp>LAST</stp>
        <stp>SPRY</stp>
        <tr r="D101" s="4"/>
      </tp>
      <tp>
        <v>32.82</v>
        <stp/>
        <stp>LAST</stp>
        <stp>RPRX</stp>
        <tr r="D89" s="2"/>
      </tp>
      <tp>
        <v>23.65</v>
        <stp/>
        <stp>LAST</stp>
        <stp>CPRX</stp>
        <tr r="D15" s="3"/>
      </tp>
      <tp>
        <v>39.74</v>
        <stp/>
        <stp>LAST</stp>
        <stp>APGE</stp>
        <tr r="D9" s="3"/>
      </tp>
      <tp>
        <v>23.89</v>
        <stp/>
        <stp>LAST</stp>
        <stp>GPCR</stp>
        <tr r="D250" s="4"/>
      </tp>
      <tp>
        <v>12.95</v>
        <stp/>
        <stp>LAST</stp>
        <stp>NPCE</stp>
        <tr r="D142" s="4"/>
      </tp>
      <tp>
        <v>31.56</v>
        <stp/>
        <stp>LAST</stp>
        <stp>OPCH</stp>
        <tr r="D78" s="3"/>
      </tp>
      <tp>
        <v>17.28</v>
        <stp/>
        <stp>LAST</stp>
        <stp>APLS</stp>
        <tr r="D10" s="3"/>
      </tp>
      <tp>
        <v>99.405000000000001</v>
        <stp/>
        <stp>LAST</stp>
        <stp>BPMC</stp>
        <tr r="D14" s="3"/>
      </tp>
      <tp>
        <v>2.29</v>
        <stp/>
        <stp>LAST</stp>
        <stp>AQST</stp>
        <tr r="D235" s="4"/>
      </tp>
      <tp>
        <v>15.99</v>
        <stp/>
        <stp>LAST</stp>
        <stp>LQDA</stp>
        <tr r="D256" s="4"/>
      </tp>
      <tp>
        <v>13.3</v>
        <stp/>
        <stp>LAST</stp>
        <stp>AVTR</stp>
        <tr r="D91" s="3"/>
      </tp>
      <tp>
        <v>96.71</v>
        <stp/>
        <stp>LAST</stp>
        <stp>RVTY</stp>
        <tr r="D72" s="2"/>
      </tp>
      <tp>
        <v>20.94</v>
        <stp/>
        <stp>LAST</stp>
        <stp>TVTX</stp>
        <tr r="D110" s="4"/>
      </tp>
      <tp>
        <v>2.97</v>
        <stp/>
        <stp>LAST</stp>
        <stp>SVRA</stp>
        <tr r="D103" s="4"/>
      </tp>
      <tp>
        <v>7.87</v>
        <stp/>
        <stp>LAST</stp>
        <stp>ZVRA</stp>
        <tr r="D278" s="4"/>
      </tp>
      <tp>
        <v>18.61</v>
        <stp/>
        <stp>LAST</stp>
        <stp>NVST</stp>
        <tr r="D60" s="3"/>
      </tp>
      <tp>
        <v>8.1199999999999992</v>
        <stp/>
        <stp>LAST</stp>
        <stp>AVXL</stp>
        <tr r="D19" s="4"/>
      </tp>
      <tp>
        <v>9.0299999999999994</v>
        <stp/>
        <stp>LAST</stp>
        <stp>AVDL</stp>
        <tr r="D238" s="4"/>
      </tp>
      <tp>
        <v>19.100000000000001</v>
        <stp/>
        <stp>LAST</stp>
        <stp>AVBP</stp>
        <tr r="D18" s="4"/>
      </tp>
      <tp>
        <v>18.14</v>
        <stp/>
        <stp>LAST</stp>
        <stp>NVCR</stp>
        <tr r="D143" s="4"/>
      </tp>
      <tp>
        <v>9.6199999999999992</v>
        <stp/>
        <stp>LAST</stp>
        <stp>DVAX</stp>
        <tr r="D38" s="4"/>
      </tp>
      <tp>
        <v>6.19</v>
        <stp/>
        <stp>LAST</stp>
        <stp>NVAX</stp>
        <tr r="D76" s="4"/>
      </tp>
      <tp>
        <v>5.86</v>
        <stp/>
        <stp>LAST</stp>
        <stp>AVAH</stp>
        <tr r="D174" s="4"/>
      </tp>
      <tp>
        <v>12.71</v>
        <stp/>
        <stp>LAST</stp>
        <stp>AVNS</stp>
        <tr r="D158" s="4"/>
      </tp>
      <tp>
        <v>39.950000000000003</v>
        <stp/>
        <stp>LAST</stp>
        <stp>RVMD</stp>
        <tr r="D40" s="3"/>
      </tp>
      <tp>
        <v>46.22</v>
        <stp/>
        <stp>LAST</stp>
        <stp>SWTX</stp>
        <tr r="D45" s="3"/>
      </tp>
      <tp>
        <v>14.89</v>
        <stp/>
        <stp>LAST</stp>
        <stp>EWTX</stp>
        <tr r="D247" s="4"/>
      </tp>
      <tp>
        <v>32.29</v>
        <stp/>
        <stp>LAST</stp>
        <stp>TWST</stp>
        <tr r="D111" s="4"/>
      </tp>
      <tp>
        <v>24.42</v>
        <stp/>
        <stp>LAST</stp>
        <stp>STVN</stp>
        <tr r="D99" s="3"/>
      </tp>
      <tp>
        <v>8.7899999999999991</v>
        <stp/>
        <stp>LAST</stp>
        <stp>VTRS</stp>
        <tr r="D93" s="2"/>
      </tp>
      <tp>
        <v>31.48</v>
        <stp/>
        <stp>LAST</stp>
        <stp>ATRC</stp>
        <tr r="D129" s="4"/>
      </tp>
      <tp>
        <v>152.28</v>
        <stp/>
        <stp>LAST</stp>
        <stp>NTRA</stp>
        <tr r="D16" s="2"/>
      </tp>
      <tp>
        <v>5</v>
        <stp/>
        <stp>LAST</stp>
        <stp>FTRE</stp>
        <tr r="D219" s="4"/>
      </tp>
      <tp>
        <v>26.1</v>
        <stp/>
        <stp>LAST</stp>
        <stp>MTSR</stp>
        <tr r="D31" s="3"/>
      </tp>
      <tp>
        <v>23.24</v>
        <stp/>
        <stp>LAST</stp>
        <stp>BTSG</stp>
        <tr r="D73" s="3"/>
      </tp>
      <tp>
        <v>3.31</v>
        <stp/>
        <stp>LAST</stp>
        <stp>ATYR</stp>
        <tr r="D15" s="4"/>
      </tp>
      <tp>
        <v>121</v>
        <stp/>
        <stp>LAST</stp>
        <stp>ITGR</stp>
        <tr r="D57" s="3"/>
      </tp>
      <tp>
        <v>44.27</v>
        <stp/>
        <stp>LAST</stp>
        <stp>PTGX</stp>
        <tr r="D36" s="3"/>
      </tp>
      <tp>
        <v>25.03</v>
        <stp/>
        <stp>LAST</stp>
        <stp>CTEV</stp>
        <tr r="D201" s="4"/>
      </tp>
      <tp>
        <v>12.72</v>
        <stp/>
        <stp>LAST</stp>
        <stp>ATEC</stp>
        <tr r="D128" s="4"/>
      </tp>
      <tp>
        <v>46.39</v>
        <stp/>
        <stp>LAST</stp>
        <stp>PTCT</stp>
        <tr r="D35" s="3"/>
      </tp>
      <tp>
        <v>19</v>
        <stp/>
        <stp>LAST</stp>
        <stp>STAA</stp>
        <tr r="D166" s="4"/>
      </tp>
      <tp>
        <v>1.41</v>
        <stp/>
        <stp>LAST</stp>
        <stp>ATAI</stp>
        <tr r="D237" s="4"/>
      </tp>
      <tp>
        <v>7.8</v>
        <stp/>
        <stp>LAST</stp>
        <stp>ETNB</stp>
        <tr r="D42" s="4"/>
      </tp>
      <tp>
        <v>8.93</v>
        <stp/>
        <stp>LAST</stp>
        <stp>STOK</stp>
        <tr r="D102" s="4"/>
      </tp>
      <tp>
        <v>17.07</v>
        <stp/>
        <stp>LAST</stp>
        <stp>ETON</stp>
        <tr r="D246" s="4"/>
      </tp>
      <tp>
        <v>8.32</v>
        <stp/>
        <stp>LAST</stp>
        <stp>NTLA</stp>
        <tr r="D75" s="4"/>
      </tp>
      <tp>
        <v>2.98</v>
        <stp/>
        <stp>LAST</stp>
        <stp>CTKB</stp>
        <tr r="D216" s="4"/>
      </tp>
      <tp>
        <v>308.07</v>
        <stp/>
        <stp>LAST</stp>
        <stp>UTHR</stp>
        <tr r="D20" s="2"/>
      </tp>
      <tp>
        <v>4.4450000000000003</v>
        <stp/>
        <stp>LAST</stp>
        <stp>STIM</stp>
        <tr r="D154" s="4"/>
      </tp>
      <tp>
        <v>2.19</v>
        <stp/>
        <stp>LAST</stp>
        <stp>NUVB</stp>
        <tr r="D260" s="4"/>
      </tp>
      <tp>
        <v>71.42</v>
        <stp/>
        <stp>LAST</stp>
        <stp>NUVL</stp>
        <tr r="D33" s="3"/>
      </tp>
      <tp>
        <v>125.93</v>
        <stp/>
        <stp>LAST</stp>
        <stp>NUTX</stp>
        <tr r="D185" s="4"/>
      </tp>
      <tp>
        <v>1.27</v>
        <stp/>
        <stp>LAST</stp>
        <stp>AUTL</stp>
        <tr r="D17" s="4"/>
      </tp>
      <tp>
        <v>5.8</v>
        <stp/>
        <stp>LAST</stp>
        <stp>KURA</stp>
        <tr r="D64" s="4"/>
      </tp>
      <tp>
        <v>12.81</v>
        <stp/>
        <stp>LAST</stp>
        <stp>QURE</stp>
        <tr r="D85" s="4"/>
      </tp>
      <tp>
        <v>7.82</v>
        <stp/>
        <stp>LAST</stp>
        <stp>AUPH</stp>
        <tr r="D16" s="4"/>
      </tp>
      <tp>
        <v>32.274999999999999</v>
        <stp/>
        <stp>LAST</stp>
        <stp>SUPN</stp>
        <tr r="D270" s="4"/>
      </tp>
      <tp>
        <v>6.89</v>
        <stp/>
        <stp>LAST</stp>
        <stp>AUNA</stp>
        <tr r="D192" s="4"/>
      </tp>
      <tp>
        <v>5.79</v>
        <stp/>
        <stp>LAST</stp>
        <stp>FULC</stp>
        <tr r="D248" s="4"/>
      </tp>
      <tp>
        <v>27.734999999999999</v>
        <stp/>
        <stp>LAST</stp>
        <stp>VKTX</stp>
        <tr r="D50" s="3"/>
      </tp>
      <tp>
        <v>40.01</v>
        <stp/>
        <stp>LAST</stp>
        <stp>AKRO</stp>
        <tr r="D6" s="3"/>
      </tp>
      <tp>
        <v>4.1500000000000004</v>
        <stp/>
        <stp>LAST</stp>
        <stp>CKPT</stp>
        <tr r="D30" s="4"/>
      </tp>
      <tp>
        <v>2.48</v>
        <stp/>
        <stp>LAST</stp>
        <stp>AKBA</stp>
        <tr r="D7" s="4"/>
      </tp>
      <tp>
        <v>6.74</v>
        <stp/>
        <stp>LAST</stp>
        <stp>TKNO</stp>
        <tr r="D228" s="4"/>
      </tp>
      <tp>
        <v>92.36</v>
        <stp/>
        <stp>LAST</stp>
        <stp>GKOS</stp>
        <tr r="D53" s="3"/>
      </tp>
      <tp>
        <v>16.11</v>
        <stp/>
        <stp>LAST</stp>
        <stp>PHVS</stp>
        <tr r="D265" s="4"/>
      </tp>
      <tp>
        <v>19.510000000000002</v>
        <stp/>
        <stp>LAST</stp>
        <stp>BHVN</stp>
        <tr r="D23" s="4"/>
      </tp>
      <tp>
        <v>10.06</v>
        <stp/>
        <stp>LAST</stp>
        <stp>GHRS</stp>
        <tr r="D249" s="4"/>
      </tp>
      <tp>
        <v>9.0250000000000004</v>
        <stp/>
        <stp>LAST</stp>
        <stp>AHCO</stp>
        <tr r="D168" s="4"/>
      </tp>
      <tp>
        <v>9.9999000000000002</v>
        <stp/>
        <stp>LAST</stp>
        <stp>PHAR</stp>
        <tr r="D82" s="4"/>
      </tp>
      <tp>
        <v>10.47</v>
        <stp/>
        <stp>LAST</stp>
        <stp>EHAB</stp>
        <tr r="D177" s="4"/>
      </tp>
      <tp>
        <v>44.06</v>
        <stp/>
        <stp>LAST</stp>
        <stp>LIVN</stp>
        <tr r="D58" s="3"/>
      </tp>
      <tp>
        <v>45.27</v>
        <stp/>
        <stp>LAST</stp>
        <stp>MIRM</stp>
        <tr r="D27" s="3"/>
      </tp>
      <tp>
        <v>5.94</v>
        <stp/>
        <stp>LAST</stp>
        <stp>SIGA</stp>
        <tr r="D268" s="4"/>
      </tp>
      <tp>
        <v>18.29</v>
        <stp/>
        <stp>LAST</stp>
        <stp>RIGL</stp>
        <tr r="D92" s="4"/>
      </tp>
      <tp>
        <v>23.21</v>
        <stp/>
        <stp>LAST</stp>
        <stp>KIDS</stp>
        <tr r="D162" s="4"/>
      </tp>
      <tp>
        <v>18.59</v>
        <stp/>
        <stp>LAST</stp>
        <stp>SIBN</stp>
        <tr r="D149" s="4"/>
      </tp>
      <tp>
        <v>22.86</v>
        <stp/>
        <stp>LAST</stp>
        <stp>PINC</stp>
        <tr r="D79" s="3"/>
      </tp>
      <tp>
        <v>12.824999999999999</v>
        <stp/>
        <stp>LAST</stp>
        <stp>SION</stp>
        <tr r="D99" s="4"/>
      </tp>
      <tp>
        <v>101.43</v>
        <stp/>
        <stp>LAST</stp>
        <stp>GILD</stp>
        <tr r="D11" s="2"/>
      </tp>
      <tp>
        <v>64</v>
        <stp/>
        <stp>LAST</stp>
        <stp>HIMS</stp>
        <tr r="D53" s="2"/>
      </tp>
      <tp>
        <v>123.16</v>
        <stp/>
        <stp>LAST</stp>
        <stp>BIIB</stp>
        <tr r="D6" s="2"/>
      </tp>
      <tp>
        <v>18.260000000000002</v>
        <stp/>
        <stp>LAST</stp>
        <stp>INVA</stp>
        <tr r="D254" s="4"/>
      </tp>
      <tp>
        <v>33.26</v>
        <stp/>
        <stp>LAST</stp>
        <stp>SNWV</stp>
        <tr r="D151" s="4"/>
      </tp>
      <tp>
        <v>94.5</v>
        <stp/>
        <stp>LAST</stp>
        <stp>BNTX</stp>
        <tr r="D8" s="2"/>
      </tp>
      <tp>
        <v>13.18</v>
        <stp/>
        <stp>LAST</stp>
        <stp>BNTC</stp>
        <tr r="D24" s="4"/>
      </tp>
      <tp>
        <v>12.46</v>
        <stp/>
        <stp>LAST</stp>
        <stp>CNTA</stp>
        <tr r="D33" s="4"/>
      </tp>
      <tp>
        <v>29.17</v>
        <stp/>
        <stp>LAST</stp>
        <stp>PNTG</stp>
        <tr r="D187" s="4"/>
      </tp>
      <tp>
        <v>18.84</v>
        <stp/>
        <stp>LAST</stp>
        <stp>DNTH</stp>
        <tr r="D37" s="4"/>
      </tp>
      <tp>
        <v>78.95</v>
        <stp/>
        <stp>LAST</stp>
        <stp>LNTH</stp>
        <tr r="D67" s="3"/>
      </tp>
      <tp>
        <v>159.76</v>
        <stp/>
        <stp>LAST</stp>
        <stp>INSP</stp>
        <tr r="D55" s="3"/>
      </tp>
      <tp>
        <v>25.6</v>
        <stp/>
        <stp>LAST</stp>
        <stp>KNSA</stp>
        <tr r="D62" s="4"/>
      </tp>
      <tp>
        <v>143.56</v>
        <stp/>
        <stp>LAST</stp>
        <stp>ENSG</stp>
        <tr r="D85" s="3"/>
      </tp>
      <tp>
        <v>65.709999999999994</v>
        <stp/>
        <stp>LAST</stp>
        <stp>INSM</stp>
        <tr r="D14" s="2"/>
      </tp>
      <tp>
        <v>9.4</v>
        <stp/>
        <stp>LAST</stp>
        <stp>ANGO</stp>
        <tr r="D126" s="4"/>
      </tp>
      <tp>
        <v>11.19</v>
        <stp/>
        <stp>LAST</stp>
        <stp>INDV</stp>
        <tr r="D253" s="4"/>
      </tp>
      <tp>
        <v>10.19</v>
        <stp/>
        <stp>LAST</stp>
        <stp>SNDX</stp>
        <tr r="D100" s="4"/>
      </tp>
      <tp>
        <v>3.98</v>
        <stp/>
        <stp>LAST</stp>
        <stp>VNDA</stp>
        <tr r="D119" s="4"/>
      </tp>
      <tp>
        <v>27.01</v>
        <stp/>
        <stp>LAST</stp>
        <stp>SNDA</stp>
        <tr r="D198" s="4"/>
      </tp>
      <tp>
        <v>23.13</v>
        <stp/>
        <stp>LAST</stp>
        <stp>TNDM</stp>
        <tr r="D156" s="4"/>
      </tp>
      <tp>
        <v>1.32</v>
        <stp/>
        <stp>LAST</stp>
        <stp>SNDL</stp>
        <tr r="D269" s="4"/>
      </tp>
      <tp>
        <v>8.11</v>
        <stp/>
        <stp>LAST</stp>
        <stp>XNCR</stp>
        <tr r="D122" s="4"/>
      </tp>
      <tp>
        <v>60.81</v>
        <stp/>
        <stp>LAST</stp>
        <stp>INCY</stp>
        <tr r="D13" s="2"/>
      </tp>
      <tp>
        <v>10.199999999999999</v>
        <stp/>
        <stp>LAST</stp>
        <stp>RNAC</stp>
        <tr r="D94" s="4"/>
      </tp>
      <tp>
        <v>20.52</v>
        <stp/>
        <stp>LAST</stp>
        <stp>ANAB</stp>
        <tr r="D10" s="4"/>
      </tp>
      <tp>
        <v>3.96</v>
        <stp/>
        <stp>LAST</stp>
        <stp>INNV</stp>
        <tr r="D180" s="4"/>
      </tp>
      <tp>
        <v>7.09</v>
        <stp/>
        <stp>LAST</stp>
        <stp>NNNN</stp>
        <tr r="D73" s="4"/>
      </tp>
      <tp>
        <v>37.35</v>
        <stp/>
        <stp>LAST</stp>
        <stp>ENOV</stp>
        <tr r="D137" s="4"/>
      </tp>
      <tp>
        <v>5.71</v>
        <stp/>
        <stp>LAST</stp>
        <stp>NNOX</stp>
        <tr r="D183" s="4"/>
      </tp>
      <tp>
        <v>14.26</v>
        <stp/>
        <stp>LAST</stp>
        <stp>DNLI</stp>
        <tr r="D19" s="3"/>
      </tp>
      <tp>
        <v>60.05</v>
        <stp/>
        <stp>LAST</stp>
        <stp>CNMD</stp>
        <tr r="D135" s="4"/>
      </tp>
      <tp>
        <v>6.37</v>
        <stp/>
        <stp>LAST</stp>
        <stp>MNMD</stp>
        <tr r="D259" s="4"/>
      </tp>
      <tp>
        <v>14.92</v>
        <stp/>
        <stp>LAST</stp>
        <stp>INMD</stp>
        <tr r="D139" s="4"/>
      </tp>
      <tp>
        <v>4.72</v>
        <stp/>
        <stp>LAST</stp>
        <stp>MNKD</stp>
        <tr r="D70" s="4"/>
      </tp>
      <tp>
        <v>62</v>
        <stp/>
        <stp>LAST</stp>
        <stp>ANIP</stp>
        <tr r="D234" s="4"/>
      </tp>
      <tp>
        <v>1.79</v>
        <stp/>
        <stp>LAST</stp>
        <stp>IOVA</stp>
        <tr r="D55" s="4"/>
      </tp>
      <tp>
        <v>70.59</v>
        <stp/>
        <stp>LAST</stp>
        <stp>CORT</stp>
        <tr r="D103" s="3"/>
      </tp>
      <tp>
        <v>28.91</v>
        <stp/>
        <stp>LAST</stp>
        <stp>AORT</stp>
        <tr r="D127" s="4"/>
      </tp>
      <tp>
        <v>4.99</v>
        <stp/>
        <stp>LAST</stp>
        <stp>COGT</stp>
        <tr r="D34" s="4"/>
      </tp>
      <tp>
        <v>314.45999999999998</v>
        <stp/>
        <stp>LAST</stp>
        <stp>PODD</stp>
        <tr r="D35" s="2"/>
      </tp>
      <tp>
        <v>60.43</v>
        <stp/>
        <stp>LAST</stp>
        <stp>DOCS</stp>
        <tr r="D64" s="2"/>
      </tp>
      <tp>
        <v>32.53</v>
        <stp/>
        <stp>LAST</stp>
        <stp>IONS</stp>
        <tr r="D23" s="3"/>
      </tp>
      <tp>
        <v>10.130000000000001</v>
        <stp/>
        <stp>LAST</stp>
        <stp>EOLS</stp>
        <tr r="D245" s="4"/>
      </tp>
      <tp>
        <v>73.52</v>
        <stp/>
        <stp>LAST</stp>
        <stp>SOLV</stp>
        <tr r="D44" s="2"/>
      </tp>
      <tp>
        <v>57.12</v>
        <stp/>
        <stp>LAST</stp>
        <stp>HOLX</stp>
        <tr r="D29" s="2"/>
      </tp>
      <tp>
        <v>6.02</v>
        <stp/>
        <stp>LAST</stp>
        <stp>FOLD</stp>
        <tr r="D43" s="4"/>
      </tp>
      <tp>
        <v>29.8</v>
        <stp/>
        <stp>LAST</stp>
        <stp>COLL</stp>
        <tr r="D241" s="4"/>
      </tp>
      <tp>
        <v>27.49</v>
        <stp/>
        <stp>LAST</stp>
        <stp>XOMA</stp>
        <tr r="D123" s="4"/>
      </tp>
      <tp>
        <v>10.76</v>
        <stp/>
        <stp>LAST</stp>
        <stp>ROIV</stp>
        <tr r="D39" s="3"/>
      </tp>
      <tp>
        <v>10.56</v>
        <stp/>
        <stp>LAST</stp>
        <stp>ALVO</stp>
        <tr r="D8" s="3"/>
      </tp>
      <tp>
        <v>20.03</v>
        <stp/>
        <stp>LAST</stp>
        <stp>ELVN</stp>
        <tr r="D244" s="4"/>
      </tp>
      <tp>
        <v>38.54</v>
        <stp/>
        <stp>LAST</stp>
        <stp>MLTX</stp>
        <tr r="D28" s="3"/>
      </tp>
      <tp>
        <v>60.89</v>
        <stp/>
        <stp>LAST</stp>
        <stp>BLTE</stp>
        <tr r="D240" s="4"/>
      </tp>
      <tp>
        <v>0.45040000000000002</v>
        <stp/>
        <stp>LAST</stp>
        <stp>TLRY</stp>
        <tr r="D274" s="4"/>
      </tp>
      <tp>
        <v>16.84</v>
        <stp/>
        <stp>LAST</stp>
        <stp>PLSE</stp>
        <tr r="D146" s="4"/>
      </tp>
      <tp>
        <v>14.2</v>
        <stp/>
        <stp>LAST</stp>
        <stp>CLPT</stp>
        <tr r="D134" s="4"/>
      </tp>
      <tp>
        <v>26.84</v>
        <stp/>
        <stp>LAST</stp>
        <stp>GLPG</stp>
        <tr r="D45" s="4"/>
      </tp>
      <tp>
        <v>15.19</v>
        <stp/>
        <stp>LAST</stp>
        <stp>MLYS</stp>
        <tr r="D69" s="4"/>
      </tp>
      <tp>
        <v>23.09</v>
        <stp/>
        <stp>LAST</stp>
        <stp>BLFS</stp>
        <tr r="D215" s="4"/>
      </tp>
      <tp>
        <v>20.29</v>
        <stp/>
        <stp>LAST</stp>
        <stp>FLGT</stp>
        <tr r="D178" s="4"/>
      </tp>
      <tp>
        <v>190.42</v>
        <stp/>
        <stp>LAST</stp>
        <stp>ALGN</stp>
        <tr r="D42" s="2"/>
      </tp>
      <tp>
        <v>19.62</v>
        <stp/>
        <stp>LAST</stp>
        <stp>CLDX</stp>
        <tr r="D31" s="4"/>
      </tp>
      <tp>
        <v>11.76</v>
        <stp/>
        <stp>LAST</stp>
        <stp>BLCO</stp>
        <tr r="D64" s="3"/>
      </tp>
      <tp>
        <v>2.83</v>
        <stp/>
        <stp>LAST</stp>
        <stp>RLAY</stp>
        <tr r="D93" s="4"/>
      </tp>
      <tp>
        <v>28.62</v>
        <stp/>
        <stp>LAST</stp>
        <stp>ZLAB</stp>
        <tr r="D52" s="3"/>
      </tp>
      <tp>
        <v>126.94</v>
        <stp/>
        <stp>LAST</stp>
        <stp>MLAB</stp>
        <tr r="D222" s="4"/>
      </tp>
      <tp>
        <v>13.02</v>
        <stp/>
        <stp>LAST</stp>
        <stp>ELAN</stp>
        <tr r="D104" s="3"/>
      </tp>
      <tp>
        <v>266.86</v>
        <stp/>
        <stp>LAST</stp>
        <stp>ALNY</stp>
        <tr r="D3" s="2"/>
      </tp>
      <tp>
        <v>74.44</v>
        <stp/>
        <stp>LAST</stp>
        <stp>SLNO</stp>
        <tr r="D42" s="3"/>
      </tp>
      <tp>
        <v>1.1299999999999999</v>
        <stp/>
        <stp>LAST</stp>
        <stp>ALLO</stp>
        <tr r="D8" s="4"/>
      </tp>
      <tp>
        <v>4.46</v>
        <stp/>
        <stp>LAST</stp>
        <stp>ALMS</stp>
        <tr r="D231" s="4"/>
      </tp>
      <tp>
        <v>4.68</v>
        <stp/>
        <stp>LAST</stp>
        <stp>OLMA</stp>
        <tr r="D77" s="4"/>
      </tp>
      <tp>
        <v>80.3</v>
        <stp/>
        <stp>LAST</stp>
        <stp>ILMN</stp>
        <tr r="D69" s="2"/>
      </tp>
      <tp>
        <v>30.84</v>
        <stp/>
        <stp>LAST</stp>
        <stp>ALKS</stp>
        <tr r="D7" s="3"/>
      </tp>
      <tp>
        <v>14.05</v>
        <stp/>
        <stp>LAST</stp>
        <stp>ALHC</stp>
        <tr r="D87" s="3"/>
      </tp>
      <tp>
        <v>14.02</v>
        <stp/>
        <stp>LAST</stp>
        <stp>IMVT</stp>
        <tr r="D22" s="3"/>
      </tp>
      <tp>
        <v>4.34</v>
        <stp/>
        <stp>LAST</stp>
        <stp>IMTX</stp>
        <tr r="D54" s="4"/>
      </tp>
      <tp>
        <v>35.1</v>
        <stp/>
        <stp>LAST</stp>
        <stp>SMTI</stp>
        <tr r="D165" s="4"/>
      </tp>
      <tp>
        <v>7.5</v>
        <stp/>
        <stp>LAST</stp>
        <stp>AMRX</stp>
        <tr r="D101" s="3"/>
      </tp>
      <tp>
        <v>59.78</v>
        <stp/>
        <stp>LAST</stp>
        <stp>BMRN</stp>
        <tr r="D7" s="2"/>
      </tp>
      <tp>
        <v>97.61</v>
        <stp/>
        <stp>LAST</stp>
        <stp>MMSI</stp>
        <tr r="D68" s="3"/>
      </tp>
      <tp>
        <v>3.9</v>
        <stp/>
        <stp>LAST</stp>
        <stp>CMPS</stp>
        <tr r="D32" s="4"/>
      </tp>
      <tp>
        <v>23.88</v>
        <stp/>
        <stp>LAST</stp>
        <stp>AMPH</stp>
        <tr r="D233" s="4"/>
      </tp>
      <tp>
        <v>270.45</v>
        <stp/>
        <stp>LAST</stp>
        <stp>AMGN</stp>
        <tr r="D4" s="2"/>
      </tp>
      <tp>
        <v>122.11</v>
        <stp/>
        <stp>LAST</stp>
        <stp>TMDX</stp>
        <tr r="D63" s="3"/>
      </tp>
      <tp>
        <v>6.89</v>
        <stp/>
        <stp>LAST</stp>
        <stp>KMDA</stp>
        <tr r="D61" s="4"/>
      </tp>
      <tp>
        <v>4.43</v>
        <stp/>
        <stp>LAST</stp>
        <stp>OMER</stp>
        <tr r="D262" s="4"/>
      </tp>
      <tp>
        <v>58.25</v>
        <stp/>
        <stp>LAST</stp>
        <stp>GMED</stp>
        <tr r="D54" s="3"/>
      </tp>
      <tp>
        <v>94.5</v>
        <stp/>
        <stp>LAST</stp>
        <stp>AMED</stp>
        <tr r="D72" s="3"/>
      </tp>
      <tp>
        <v>12.5</v>
        <stp/>
        <stp>LAST</stp>
        <stp>EMBC</stp>
        <tr r="D160" s="4"/>
      </tp>
      <tp>
        <v>28.55</v>
        <stp/>
        <stp>LAST</stp>
        <stp>IMCR</stp>
        <tr r="D51" s="4"/>
      </tp>
      <tp>
        <v>6.98</v>
        <stp/>
        <stp>LAST</stp>
        <stp>TMCI</stp>
        <tr r="D155" s="4"/>
      </tp>
      <tp>
        <v>28</v>
        <stp/>
        <stp>LAST</stp>
        <stp>OMCL</stp>
        <tr r="D145" s="4"/>
      </tp>
      <tp>
        <v>83.28</v>
        <stp/>
        <stp>LAST</stp>
        <stp>LMAT</stp>
        <tr r="D141" s="4"/>
      </tp>
      <tp>
        <v>19.309999999999999</v>
        <stp/>
        <stp>LAST</stp>
        <stp>GMAB</stp>
        <tr r="D12" s="2"/>
      </tp>
      <tp>
        <v>7.91</v>
        <stp/>
        <stp>LAST</stp>
        <stp>IMNM</stp>
        <tr r="D53" s="4"/>
      </tp>
      <tp>
        <v>36.700000000000003</v>
        <stp/>
        <stp>LAST</stp>
        <stp>SMLR</stp>
        <tr r="D150" s="4"/>
      </tp>
      <tp>
        <v>4.49</v>
        <stp/>
        <stp>LAST</stp>
        <stp>AMLX</stp>
        <tr r="D232" s="4"/>
      </tp>
      <tp>
        <v>1.89</v>
        <stp/>
        <stp>LAST</stp>
        <stp>IMMP</stp>
        <tr r="D52" s="4"/>
      </tp>
      <tp>
        <v>24.61</v>
        <stp/>
        <stp>LAST</stp>
        <stp>SMMT</stp>
        <tr r="D19" s="2"/>
      </tp>
      <tp>
        <v>10.99</v>
        <stp/>
        <stp>LAST</stp>
        <stp>DBVT</stp>
        <tr r="D36" s="4"/>
      </tp>
      <tp>
        <v>6.04</v>
        <stp/>
        <stp>LAST</stp>
        <stp>ABVX</stp>
        <tr r="D5" s="4"/>
      </tp>
      <tp>
        <v>3.19</v>
        <stp/>
        <stp>LAST</stp>
        <stp>ABUS</stp>
        <tr r="D4" s="4"/>
      </tp>
      <tp>
        <v>2.5099999999999998</v>
        <stp/>
        <stp>LAST</stp>
        <stp>IBRX</stp>
        <tr r="D49" s="4"/>
      </tp>
      <tp>
        <v>24.95</v>
        <stp/>
        <stp>LAST</stp>
        <stp>TBRG</stp>
        <tr r="D210" s="4"/>
      </tp>
      <tp>
        <v>2.96</v>
        <stp/>
        <stp>LAST</stp>
        <stp>ABSI</stp>
        <tr r="D3" s="4"/>
      </tp>
      <tp>
        <v>8.91</v>
        <stp/>
        <stp>LAST</stp>
        <stp>TBPH</stp>
        <tr r="D272" s="4"/>
      </tp>
      <tp>
        <v>5.63</v>
        <stp/>
        <stp>LAST</stp>
        <stp>ABEO</stp>
        <tr r="D2" s="4"/>
      </tp>
      <tp>
        <v>188</v>
        <stp/>
        <stp>LAST</stp>
        <stp>ABBV</stp>
        <tr r="D2" s="2"/>
      </tp>
      <tp>
        <v>2.1</v>
        <stp/>
        <stp>LAST</stp>
        <stp>ABCL</stp>
        <tr r="D212" s="4"/>
      </tp>
      <tp>
        <v>13.2</v>
        <stp/>
        <stp>LAST</stp>
        <stp>BBNX</stp>
        <tr r="D131" s="4"/>
      </tp>
      <tp>
        <v>16.600000000000001</v>
        <stp/>
        <stp>LAST</stp>
        <stp>CBLL</stp>
        <tr r="D133" s="4"/>
      </tp>
      <tp>
        <v>116.87</v>
        <stp/>
        <stp>LAST</stp>
        <stp>NBIX</stp>
        <tr r="D15" s="2"/>
      </tp>
      <tp>
        <v>9.09</v>
        <stp/>
        <stp>LAST</stp>
        <stp>ZBIO</stp>
        <tr r="D124" s="4"/>
      </tp>
      <tp>
        <v>33.26</v>
        <stp/>
        <stp>LAST</stp>
        <stp>BBIO</stp>
        <tr r="D12" s="3"/>
      </tp>
      <tp>
        <v>8.61</v>
        <stp/>
        <stp>LAST</stp>
        <stp>JBIO</stp>
        <tr r="D59" s="4"/>
      </tp>
      <tp>
        <v>30.05</v>
        <stp/>
        <stp>LAST</stp>
        <stp>PCVX</stp>
        <tr r="D34" s="3"/>
      </tp>
      <tp>
        <v>15.29</v>
        <stp/>
        <stp>LAST</stp>
        <stp>DCTH</stp>
        <tr r="D136" s="4"/>
      </tp>
      <tp>
        <v>8.67</v>
        <stp/>
        <stp>LAST</stp>
        <stp>RCUS</stp>
        <tr r="D88" s="4"/>
      </tp>
      <tp>
        <v>143.59</v>
        <stp/>
        <stp>LAST</stp>
        <stp>ICUI</stp>
        <tr r="D66" s="3"/>
      </tp>
      <tp>
        <v>7</v>
        <stp/>
        <stp>LAST</stp>
        <stp>OCUL</stp>
        <tr r="D261" s="4"/>
      </tp>
      <tp>
        <v>23.4</v>
        <stp/>
        <stp>LAST</stp>
        <stp>PCRX</stp>
        <tr r="D264" s="4"/>
      </tp>
      <tp>
        <v>10.06</v>
        <stp/>
        <stp>LAST</stp>
        <stp>BCRX</stp>
        <tr r="D13" s="3"/>
      </tp>
      <tp>
        <v>13.95</v>
        <stp/>
        <stp>LAST</stp>
        <stp>CCRN</stp>
        <tr r="D175" s="4"/>
      </tp>
      <tp>
        <v>29.31</v>
        <stp/>
        <stp>LAST</stp>
        <stp>VCYT</stp>
        <tr r="D49" s="3"/>
      </tp>
      <tp>
        <v>8.11</v>
        <stp/>
        <stp>LAST</stp>
        <stp>BCYC</stp>
        <tr r="D21" s="4"/>
      </tp>
      <tp>
        <v>43.64</v>
        <stp/>
        <stp>LAST</stp>
        <stp>VCEL</stp>
        <tr r="D48" s="3"/>
      </tp>
      <tp>
        <v>7.01</v>
        <stp/>
        <stp>LAST</stp>
        <stp>RCEL</stp>
        <tr r="D86" s="4"/>
      </tp>
      <tp>
        <v>4.29</v>
        <stp/>
        <stp>LAST</stp>
        <stp>HCAT</stp>
        <tr r="D205" s="4"/>
      </tp>
      <tp>
        <v>13.04</v>
        <stp/>
        <stp>LAST</stp>
        <stp>BCAX</stp>
        <tr r="D20" s="4"/>
      </tp>
      <tp>
        <v>17.2</v>
        <stp/>
        <stp>LAST</stp>
        <stp>ACAD</stp>
        <tr r="D3" s="3"/>
      </tp>
      <tp>
        <v>140.49</v>
        <stp/>
        <stp>LAST</stp>
        <stp>ICLR</stp>
        <tr r="D68" s="2"/>
      </tp>
      <tp>
        <v>58.25</v>
        <stp/>
        <stp>LAST</stp>
        <stp>ACLX</stp>
        <tr r="D4" s="3"/>
      </tp>
      <tp>
        <v>6.6150000000000002</v>
        <stp/>
        <stp>LAST</stp>
        <stp>RCKT</stp>
        <tr r="D87" s="4"/>
      </tp>
      <tp>
        <v>26.94</v>
        <stp/>
        <stp>LAST</stp>
        <stp>ACHC</stp>
        <tr r="D82" s="3"/>
      </tp>
      <tp>
        <v>6.33</v>
        <stp/>
        <stp>LAST</stp>
        <stp>DAWN</stp>
        <tr r="D35" s="4"/>
      </tp>
      <tp>
        <v>41.46</v>
        <stp/>
        <stp>LAST</stp>
        <stp>TARS</stp>
        <tr r="D271" s="4"/>
      </tp>
      <tp>
        <v>13.51</v>
        <stp/>
        <stp>LAST</stp>
        <stp>IART</stp>
        <tr r="D138" s="4"/>
      </tp>
      <tp>
        <v>35.4</v>
        <stp/>
        <stp>LAST</stp>
        <stp>RARE</stp>
        <tr r="D37" s="3"/>
      </tp>
      <tp>
        <v>161.56</v>
        <stp/>
        <stp>LAST</stp>
        <stp>MASI</stp>
        <tr r="D59" s="3"/>
      </tp>
      <tp>
        <v>7.3</v>
        <stp/>
        <stp>LAST</stp>
        <stp>CAPR</stp>
        <tr r="D25" s="4"/>
      </tp>
      <tp>
        <v>9.99</v>
        <stp/>
        <stp>LAST</stp>
        <stp>RAPP</stp>
        <tr r="D266" s="4"/>
      </tp>
      <tp>
        <v>24.04</v>
        <stp/>
        <stp>LAST</stp>
        <stp>AAPG</stp>
        <tr r="D2" s="3"/>
      </tp>
      <tp>
        <v>9.86</v>
        <stp/>
        <stp>LAST</stp>
        <stp>MAZE</stp>
        <tr r="D257" s="4"/>
      </tp>
      <tp>
        <v>6.61</v>
        <stp/>
        <stp>LAST</stp>
        <stp>SAGE</stp>
        <tr r="D97" s="4"/>
      </tp>
      <tp>
        <v>9.73</v>
        <stp/>
        <stp>LAST</stp>
        <stp>NAGE</stp>
        <tr r="D225" s="4"/>
      </tp>
      <tp>
        <v>10.95</v>
        <stp/>
        <stp>LAST</stp>
        <stp>PACS</stp>
        <tr r="D196" s="4"/>
      </tp>
      <tp>
        <v>1.1499999999999999</v>
        <stp/>
        <stp>LAST</stp>
        <stp>PACB</stp>
        <tr r="D226" s="4"/>
      </tp>
      <tp>
        <v>25.33</v>
        <stp/>
        <stp>LAST</stp>
        <stp>JANX</stp>
        <tr r="D58" s="4"/>
      </tp>
      <tp>
        <v>1.7949999999999999</v>
        <stp/>
        <stp>LAST</stp>
        <stp>SANA</stp>
        <tr r="D98" s="4"/>
      </tp>
      <tp>
        <v>11.64</v>
        <stp/>
        <stp>LAST</stp>
        <stp>KALV</stp>
        <tr r="D60" s="4"/>
      </tp>
      <tp>
        <v>3.07</v>
        <stp/>
        <stp>LAST</stp>
        <stp>TALK</stp>
        <tr r="D189" s="4"/>
      </tp>
      <tp>
        <v>50.23</v>
        <stp/>
        <stp>LAST</stp>
        <stp>HALO</stp>
        <tr r="D21" s="3"/>
      </tp>
      <tp>
        <v>6.38</v>
        <stp/>
        <stp>LAST</stp>
        <stp>VALN</stp>
        <tr r="D115" s="4"/>
      </tp>
      <tp>
        <v>18.75</v>
        <stp/>
        <stp>LAST</stp>
        <stp>NAMS</stp>
        <tr r="D32" s="3"/>
      </tp>
      <tp>
        <v>24.6</v>
        <stp/>
        <stp>LAST</stp>
        <stp>PAHC</stp>
        <tr r="D263" s="4"/>
      </tp>
      <tp>
        <v>5.87</v>
        <stp/>
        <stp>LAST</stp>
        <stp>LFST</stp>
        <tr r="D77" s="3"/>
      </tp>
      <tp>
        <v>247.79</v>
        <stp/>
        <stp>LAST</stp>
        <stp>UFPT</stp>
        <tr r="D167" s="4"/>
      </tp>
      <tp>
        <v>6.95</v>
        <stp/>
        <stp>LAST</stp>
        <stp>LFCR</stp>
        <tr r="D221" s="4"/>
      </tp>
      <tp>
        <v>2.38</v>
        <stp/>
        <stp>LAST</stp>
        <stp>BFLY</stp>
        <tr r="D132" s="4"/>
      </tp>
      <tp>
        <v>12.49</v>
        <stp/>
        <stp>LAST</stp>
        <stp>OFIX</stp>
        <tr r="D144" s="4"/>
      </tp>
      <tp>
        <v>33.369999999999997</v>
        <stp/>
        <stp>LAST</stp>
        <stp>TGTX</stp>
        <tr r="D46" s="3"/>
      </tp>
      <tp>
        <v>5.15</v>
        <stp/>
        <stp>LAST</stp>
        <stp>MGTX</stp>
        <tr r="D68" s="4"/>
      </tp>
      <tp>
        <v>22.93</v>
        <stp/>
        <stp>LAST</stp>
        <stp>SGRY</stp>
        <tr r="D86" s="3"/>
      </tp>
      <tp>
        <v>131.55000000000001</v>
        <stp/>
        <stp>LAST</stp>
        <stp>RGEN</stp>
        <tr r="D97" s="3"/>
      </tp>
      <tp>
        <v>1.35</v>
        <stp/>
        <stp>LAST</stp>
        <stp>PGEN</stp>
        <tr r="D81" s="4"/>
      </tp>
      <tp>
        <v>42.11</v>
        <stp/>
        <stp>LAST</stp>
        <stp>QGEN</stp>
        <tr r="D96" s="3"/>
      </tp>
      <tp>
        <v>7.62</v>
        <stp/>
        <stp>LAST</stp>
        <stp>CGEM</stp>
        <tr r="D28" s="4"/>
      </tp>
      <tp>
        <v>21.68</v>
        <stp/>
        <stp>LAST</stp>
        <stp>PGNY</stp>
        <tr r="D89" s="3"/>
      </tp>
      <tp>
        <v>8.18</v>
        <stp/>
        <stp>LAST</stp>
        <stp>RGNX</stp>
        <tr r="D91" s="4"/>
      </tp>
      <tp>
        <v>105.63</v>
        <stp/>
        <stp>LAST</stp>
        <stp>LGND</stp>
        <tr r="D106" s="3"/>
      </tp>
      <tp>
        <v>24.18</v>
        <stp/>
        <stp>LAST</stp>
        <stp>CGON</stp>
        <tr r="D29" s="4"/>
      </tp>
      <tp>
        <v>7.84</v>
        <stp/>
        <stp>LAST</stp>
        <stp>RGLS</stp>
        <tr r="D90" s="4"/>
      </tp>
      <tp>
        <v>28.74</v>
        <stp/>
        <stp>LAST</stp>
        <stp>AGIO</stp>
        <tr r="D6" s="4"/>
      </tp>
      <tp>
        <v>109.74</v>
        <stp/>
        <stp>LAST</stp>
        <stp>ADUS</stp>
        <tr r="D71" s="3"/>
      </tp>
      <tp>
        <v>4.3</v>
        <stp/>
        <stp>LAST</stp>
        <stp>GDRX</stp>
        <tr r="D204" s="4"/>
      </tp>
      <tp>
        <v>9.2899999999999991</v>
        <stp/>
        <stp>LAST</stp>
        <stp>ADPT</stp>
        <tr r="D213" s="4"/>
      </tp>
      <tp>
        <v>509.13</v>
        <stp/>
        <stp>LAST</stp>
        <stp>IDXX</stp>
        <tr r="D30" s="2"/>
      </tp>
      <tp>
        <v>7.17</v>
        <stp/>
        <stp>LAST</stp>
        <stp>MDXG</stp>
        <tr r="D66" s="4"/>
      </tp>
      <tp>
        <v>17.45</v>
        <stp/>
        <stp>LAST</stp>
        <stp>IDYA</stp>
        <tr r="D50" s="4"/>
      </tp>
      <tp>
        <v>23.76</v>
        <stp/>
        <stp>LAST</stp>
        <stp>SDGR</stp>
        <tr r="D208" s="4"/>
      </tp>
      <tp>
        <v>295.36</v>
        <stp/>
        <stp>LAST</stp>
        <stp>MDGL</stp>
        <tr r="D26" s="3"/>
      </tp>
      <tp>
        <v>35.51</v>
        <stp/>
        <stp>LAST</stp>
        <stp>QDEL</stp>
        <tr r="D147" s="4"/>
      </tp>
      <tp>
        <v>60.53</v>
        <stp/>
        <stp>LAST</stp>
        <stp>RDNT</stp>
        <tr r="D81" s="3"/>
      </tp>
      <tp>
        <v>16.13</v>
        <stp/>
        <stp>LAST</stp>
        <stp>CDNA</stp>
        <tr r="D26" s="4"/>
      </tp>
      <tp>
        <v>7.62</v>
        <stp/>
        <stp>LAST</stp>
        <stp>TDOC</stp>
        <tr r="D211" s="4"/>
      </tp>
      <tp>
        <v>19.88</v>
        <stp/>
        <stp>LAST</stp>
        <stp>ADMA</stp>
        <tr r="D5" s="3"/>
      </tp>
      <tp>
        <v>17.48</v>
        <stp/>
        <stp>LAST</stp>
        <stp>TEVA</stp>
        <tr r="D92" s="2"/>
      </tp>
      <tp>
        <v>4.9000000000000004</v>
        <stp/>
        <stp>LAST</stp>
        <stp>XERS</stp>
        <tr r="D277" s="4"/>
      </tp>
      <tp>
        <v>4.16</v>
        <stp/>
        <stp>LAST</stp>
        <stp>VERV</stp>
        <tr r="D117" s="4"/>
      </tp>
      <tp>
        <v>12.14</v>
        <stp/>
        <stp>LAST</stp>
        <stp>CERT</stp>
        <tr r="D200" s="4"/>
      </tp>
      <tp>
        <v>21.58</v>
        <stp/>
        <stp>LAST</stp>
        <stp>VERA</stp>
        <tr r="D116" s="4"/>
      </tp>
      <tp>
        <v>2.9</v>
        <stp/>
        <stp>LAST</stp>
        <stp>TERN</stp>
        <tr r="D273" s="4"/>
      </tp>
      <tp>
        <v>1.2</v>
        <stp/>
        <stp>LAST</stp>
        <stp>GERN</stp>
        <tr r="D44" s="4"/>
      </tp>
      <tp>
        <v>11.91</v>
        <stp/>
        <stp>LAST</stp>
        <stp>MESO</stp>
        <tr r="D67" s="4"/>
      </tp>
      <tp>
        <v>6.73</v>
        <stp/>
        <stp>LAST</stp>
        <stp>SEPN</stp>
        <tr r="D267" s="4"/>
      </tp>
      <tp>
        <v>7.41</v>
        <stp/>
        <stp>LAST</stp>
        <stp>REPL</stp>
        <tr r="D89" s="4"/>
      </tp>
      <tp>
        <v>574.16</v>
        <stp/>
        <stp>LAST</stp>
        <stp>REGN</stp>
        <tr r="D18" s="2"/>
      </tp>
      <tp>
        <v>31.08</v>
        <stp/>
        <stp>LAST</stp>
        <stp>LEGN</stp>
        <tr r="D25" s="3"/>
      </tp>
      <tp>
        <v>310.14999999999998</v>
        <stp/>
        <stp>LAST</stp>
        <stp>MEDP</stp>
        <tr r="D95" s="3"/>
      </tp>
      <tp>
        <v>241.2</v>
        <stp/>
        <stp>LAST</stp>
        <stp>VEEV</stp>
        <tr r="D65" s="2"/>
      </tp>
      <tp>
        <v>20.190000000000001</v>
        <stp/>
        <stp>LAST</stp>
        <stp>TECX</stp>
        <tr r="D105" s="4"/>
      </tp>
      <tp>
        <v>51.61</v>
        <stp/>
        <stp>LAST</stp>
        <stp>TECH</stp>
        <tr r="D100" s="3"/>
      </tp>
      <tp>
        <v>18.05</v>
        <stp/>
        <stp>LAST</stp>
        <stp>BEAM</stp>
        <tr r="D22" s="4"/>
      </tp>
      <tp>
        <v>0.59570000000000001</v>
        <stp/>
        <stp>LAST</stp>
        <stp>SENS</stp>
        <tr r="D148" s="4"/>
      </tp>
      <tp>
        <v>28.96</v>
        <stp/>
        <stp>LAST</stp>
        <stp>LENZ</stp>
        <tr r="D255" s="4"/>
      </tp>
      <tp>
        <v>29.6</v>
        <stp/>
        <stp>LAST</stp>
        <stp>XENE</stp>
        <tr r="D51" s="3"/>
      </tp>
      <tp>
        <v>6.49</v>
        <stp/>
        <stp>LAST</stp>
        <stp>NEOG</stp>
        <tr r="D163" s="4"/>
      </tp>
      <tp>
        <v>10.82</v>
        <stp/>
        <stp>LAST</stp>
        <stp>CELC</stp>
        <tr r="D27" s="4"/>
      </tp>
      <tp>
        <v>73.83</v>
        <stp/>
        <stp>LAST</stp>
        <stp>GEHC</stp>
        <tr r="D28" s="2"/>
      </tp>
      <tp>
        <v>41.36</v>
        <stp/>
        <stp>LAST</stp>
        <stp>GH</stp>
        <tr r="D76" s="3"/>
      </tp>
      <tp>
        <v>3.6</v>
        <stp/>
        <stp>LAST</stp>
        <stp>DH</stp>
        <tr r="D202" s="4"/>
      </tp>
      <tp>
        <v>75.5</v>
        <stp/>
        <stp>LAST</stp>
        <stp>EW</stp>
        <tr r="D27" s="2"/>
      </tp>
      <tp>
        <v>301.89</v>
        <stp/>
        <stp>LAST</stp>
        <stp>CI</stp>
        <tr r="D48" s="2"/>
      </tp>
      <tp>
        <v>250.01</v>
        <stp/>
        <stp>LAST</stp>
        <stp>LH</stp>
        <tr r="D54" s="2"/>
      </tp>
      <tp>
        <v>14.42</v>
        <stp/>
        <stp>LAST</stp>
        <stp>MD</stp>
        <tr r="D181" s="4"/>
      </tp>
      <tp>
        <v>115.42</v>
        <stp/>
        <stp>LAST</stp>
        <stp>A</stp>
        <tr r="D66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styles" Target="styles.xml"/><Relationship Id="rId25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17/06/relationships/rdRichValueTypes" Target="richData/rdRichValueTyp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9219" name="CommandButton1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8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0</xdr:rowOff>
        </xdr:to>
        <xdr:sp macro="" textlink="">
          <xdr:nvSpPr>
            <xdr:cNvPr id="11269" name="CommandButton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A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1646064818" createdVersion="8" refreshedVersion="8" minRefreshableVersion="3" recordCount="93" xr:uid="{3432845B-C090-4238-AA0B-FA56B072311B}">
  <cacheSource type="worksheet">
    <worksheetSource name="Main_L"/>
  </cacheSource>
  <cacheFields count="26">
    <cacheField name="Industry" numFmtId="0">
      <sharedItems count="58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Passenger Airlines" u="1"/>
        <s v="Professional Services" u="1"/>
        <s v="Trading Companies &amp; Distributors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Transportation Infrastructure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10051" maxValue="697289"/>
    </cacheField>
    <cacheField name="Current Price" numFmtId="0">
      <sharedItems containsSemiMixedTypes="0" containsString="0" containsNumber="1" minValue="8.7899999999999991" maxValue="1177.05"/>
    </cacheField>
    <cacheField name="Free CF" numFmtId="0">
      <sharedItems containsString="0" containsBlank="1" containsNumber="1" minValue="-6.36" maxValue="41.23"/>
    </cacheField>
    <cacheField name="BVPS" numFmtId="0">
      <sharedItems containsString="0" containsBlank="1" containsNumber="1" minValue="-24.48" maxValue="277.5"/>
    </cacheField>
    <cacheField name="EPS" numFmtId="0">
      <sharedItems containsString="0" containsBlank="1" containsNumber="1" minValue="-7.69" maxValue="40.11"/>
    </cacheField>
    <cacheField name="P/FCF" numFmtId="2">
      <sharedItems containsMixedTypes="1" containsNumber="1" minValue="-1008.1891891891892" maxValue="324"/>
    </cacheField>
    <cacheField name="P/B" numFmtId="2">
      <sharedItems containsMixedTypes="1" containsNumber="1" minValue="-134.36643835616439" maxValue="299.84269662921349"/>
    </cacheField>
    <cacheField name="ROE" numFmtId="0">
      <sharedItems containsString="0" containsBlank="1" containsNumber="1" minValue="-498.52" maxValue="3926.5"/>
    </cacheField>
    <cacheField name="ROA" numFmtId="0">
      <sharedItems containsString="0" containsBlank="1" containsNumber="1" minValue="-57.96" maxValue="22.98"/>
    </cacheField>
    <cacheField name="A/E" numFmtId="0">
      <sharedItems containsString="0" containsBlank="1" containsNumber="1" minValue="-23.05" maxValue="304.77"/>
    </cacheField>
    <cacheField name="P/E" numFmtId="2">
      <sharedItems containsMixedTypes="1" containsNumber="1" minValue="-127.07619047619048" maxValue="608.1"/>
    </cacheField>
    <cacheField name="Preliminary Criteria" numFmtId="0">
      <sharedItems/>
    </cacheField>
    <cacheField name="P/FCF Z-Score" numFmtId="2">
      <sharedItems containsMixedTypes="1" containsNumber="1" minValue="-76.248009068284915" maxValue="14.735547123679455"/>
    </cacheField>
    <cacheField name="P/B Z-Score" numFmtId="2">
      <sharedItems containsMixedTypes="1" containsNumber="1" minValue="-81.678448314383942" maxValue="181.55748104599525"/>
    </cacheField>
    <cacheField name="ROE Z-Score" numFmtId="2">
      <sharedItems containsSemiMixedTypes="0" containsString="0" containsNumber="1" minValue="-44.540927897396593" maxValue="173.22749555629727"/>
    </cacheField>
    <cacheField name="ROA Z-Score" numFmtId="2">
      <sharedItems containsSemiMixedTypes="0" containsString="0" containsNumber="1" minValue="-20.385308086156417" maxValue="9.7138358848923847"/>
    </cacheField>
    <cacheField name="A/E Z-Score" numFmtId="2">
      <sharedItems containsSemiMixedTypes="0" containsString="0" containsNumber="1" minValue="-46.234753454706478" maxValue="478.4343827402725"/>
    </cacheField>
    <cacheField name="P/E Z-Score" numFmtId="2">
      <sharedItems containsMixedTypes="1" containsNumber="1" minValue="-6.9996937391696799" maxValue="14.243492041490137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1647800927" createdVersion="8" refreshedVersion="8" minRefreshableVersion="3" recordCount="110" xr:uid="{A2646FF5-8A5C-4026-A340-9C8CC354FDFF}">
  <cacheSource type="worksheet">
    <worksheetSource name="Main_M"/>
  </cacheSource>
  <cacheFields count="26">
    <cacheField name="Industry" numFmtId="0">
      <sharedItems count="59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006" maxValue="9836"/>
    </cacheField>
    <cacheField name="Current Price" numFmtId="0">
      <sharedItems containsSemiMixedTypes="0" containsString="0" containsNumber="1" minValue="5.87" maxValue="557.16999999999996"/>
    </cacheField>
    <cacheField name="Free CF" numFmtId="0">
      <sharedItems containsString="0" containsBlank="1" containsNumber="1" minValue="-18.420000000000002" maxValue="21.14"/>
    </cacheField>
    <cacheField name="BVPS" numFmtId="0">
      <sharedItems containsString="0" containsBlank="1" containsNumber="1" minValue="-14.13" maxValue="241.72"/>
    </cacheField>
    <cacheField name="EPS" numFmtId="0">
      <sharedItems containsString="0" containsBlank="1" containsNumber="1" minValue="-77.099999999999994" maxValue="20.53"/>
    </cacheField>
    <cacheField name="P/FCF" numFmtId="2">
      <sharedItems containsMixedTypes="1" containsNumber="1" minValue="-4659.3333333333339" maxValue="146.48979591836735"/>
    </cacheField>
    <cacheField name="P/B" numFmtId="2">
      <sharedItems containsMixedTypes="1" containsNumber="1" minValue="-47.505882352941178" maxValue="495.55555555555554"/>
    </cacheField>
    <cacheField name="ROE" numFmtId="0">
      <sharedItems containsSemiMixedTypes="0" containsString="0" containsNumber="1" minValue="-282.16000000000003" maxValue="456.48"/>
    </cacheField>
    <cacheField name="ROA" numFmtId="0">
      <sharedItems containsSemiMixedTypes="0" containsString="0" containsNumber="1" minValue="-48.27" maxValue="28.66"/>
    </cacheField>
    <cacheField name="A/E" numFmtId="0">
      <sharedItems containsSemiMixedTypes="0" containsString="0" containsNumber="1" minValue="-25.49" maxValue="24.27"/>
    </cacheField>
    <cacheField name="P/E" numFmtId="2">
      <sharedItems containsMixedTypes="1" containsNumber="1" minValue="-946.06060606060601" maxValue="1513.25"/>
    </cacheField>
    <cacheField name="Preliminary Criteria" numFmtId="0">
      <sharedItems/>
    </cacheField>
    <cacheField name="P/FCF Z-Score" numFmtId="2">
      <sharedItems containsMixedTypes="1" containsNumber="1" minValue="-119.48783701174887" maxValue="13.476572960185326"/>
    </cacheField>
    <cacheField name="P/B Z-Score" numFmtId="2">
      <sharedItems containsMixedTypes="1" containsNumber="1" minValue="-14.606137004194267" maxValue="42.688726238811718"/>
    </cacheField>
    <cacheField name="ROE Z-Score" numFmtId="2">
      <sharedItems containsMixedTypes="1" containsNumber="1" minValue="-11.835379633650536" maxValue="62.44169885430653"/>
    </cacheField>
    <cacheField name="ROA Z-Score" numFmtId="2">
      <sharedItems containsMixedTypes="1" containsNumber="1" minValue="-6.7266161279426635" maxValue="6.4933343329394884"/>
    </cacheField>
    <cacheField name="A/E Z-Score" numFmtId="2">
      <sharedItems containsMixedTypes="1" containsNumber="1" minValue="-67.659686140551074" maxValue="98.365594031532353"/>
    </cacheField>
    <cacheField name="P/E Z-Score" numFmtId="2">
      <sharedItems containsMixedTypes="1" containsNumber="1" minValue="-13.328565509484156" maxValue="41.240515051257475"/>
    </cacheField>
    <cacheField name="P/FCF Outlier" numFmtId="0">
      <sharedItems count="4">
        <s v="Yes"/>
        <s v="No"/>
        <e v="#VALUE!" u="1"/>
        <e v="#NUM!" u="1"/>
      </sharedItems>
    </cacheField>
    <cacheField name="P/B Outlier" numFmtId="0">
      <sharedItems count="4">
        <s v="Yes"/>
        <s v="No"/>
        <e v="#VALUE!" u="1"/>
        <e v="#REF!" u="1"/>
      </sharedItems>
    </cacheField>
    <cacheField name="ROE Outlier" numFmtId="0">
      <sharedItems count="2">
        <s v="No"/>
        <s v="Yes"/>
      </sharedItems>
    </cacheField>
    <cacheField name="ROA Outlier" numFmtId="0">
      <sharedItems count="2">
        <s v="Yes"/>
        <s v="No"/>
      </sharedItems>
    </cacheField>
    <cacheField name="A/E Outlier" numFmtId="0">
      <sharedItems count="2">
        <s v="Yes"/>
        <s v="No"/>
      </sharedItems>
    </cacheField>
    <cacheField name="P/E Outlier" numFmtId="0">
      <sharedItems count="4">
        <s v="Yes"/>
        <s v="No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ne Vu" refreshedDate="45790.961649537036" createdVersion="8" refreshedVersion="8" minRefreshableVersion="3" recordCount="278" xr:uid="{FEEDC4AE-CB7E-4F82-B64E-6462C5DE2153}">
  <cacheSource type="worksheet">
    <worksheetSource name="Main_S"/>
  </cacheSource>
  <cacheFields count="26">
    <cacheField name="Industry" numFmtId="0">
      <sharedItems count="60">
        <s v="Biotechnology"/>
        <s v="Health Care Equipment &amp; Supplies"/>
        <s v="Health Care Providers &amp; Services"/>
        <s v="Health Care Technology"/>
        <s v="Life Sciences Tools &amp; Services"/>
        <s v="Pharmaceuticals"/>
        <s v="Aerospace &amp; Defense" u="1"/>
        <s v="Air Freight &amp; Logistics" u="1"/>
        <s v="Building Products" u="1"/>
        <s v="Commercial Services &amp; Supplies" u="1"/>
        <s v="Construction &amp; Engineering" u="1"/>
        <s v="Electrical Equipment" u="1"/>
        <s v="Ground Transportation" u="1"/>
        <s v="Industrial Conglomerates" u="1"/>
        <s v="Machinery" u="1"/>
        <s v="Marine Transportation" u="1"/>
        <s v="Passenger Airlines" u="1"/>
        <s v="Professional Services" u="1"/>
        <s v="Trading Companies &amp; Distributors" u="1"/>
        <s v="Transportation Infrastructure" u="1"/>
        <s v="Banks" u="1"/>
        <s v="Capital Markets" u="1"/>
        <s v="Consumer Finance" u="1"/>
        <s v="Financial Services" u="1"/>
        <s v="Insurance" u="1"/>
        <s v="Mortgage Real Estate Investment Trusts (REITs)" u="1"/>
        <s v="Communications Equipment" u="1"/>
        <s v="Electronic Equipment, Instruments &amp; Components" u="1"/>
        <s v="IT Services" u="1"/>
        <s v="Semiconductors &amp; Semiconductor Equipment" u="1"/>
        <s v="Software" u="1"/>
        <s v="Technology Hardware, Storage &amp; Peripherals" u="1"/>
        <s v="Energy Equipment &amp; Services" u="1"/>
        <s v="Oil, Gas &amp; Consumable Fuels" u="1"/>
        <s v="Beverages" u="1"/>
        <s v="Consumer Staples Distribution &amp; Retail" u="1"/>
        <s v="Food Products" u="1"/>
        <s v="Household Products" u="1"/>
        <s v="Personal Care Products" u="1"/>
        <s v="Tobacco" u="1"/>
        <s v="Automobile Components" u="1"/>
        <s v="Automobiles" u="1"/>
        <s v="Broadline Retail" u="1"/>
        <s v="Distributors" u="1"/>
        <s v="Diversified Consumer Services" u="1"/>
        <s v="Hotels, Restaurants &amp; Leisure" u="1"/>
        <s v="Household Durables" u="1"/>
        <s v="Leisure Products" u="1"/>
        <s v="Specialty Retail" u="1"/>
        <s v="Textiles, Apparel &amp; Luxury Goods" u="1"/>
        <s v="Diversified Telecommunication Services" u="1"/>
        <s v="Entertainment" u="1"/>
        <s v="Interactive Media &amp; Services" u="1"/>
        <s v="Media" u="1"/>
        <s v="Wireless Telecommunication Services" u="1"/>
        <s v="Electric Utilities" u="1"/>
        <s v="Gas Utilities" u="1"/>
        <s v="Independent Power &amp; Renewable Electricity Producers" u="1"/>
        <s v="Multi-Utilities" u="1"/>
        <s v="Water Utilities" u="1"/>
      </sharedItems>
    </cacheField>
    <cacheField name="Symbol" numFmtId="0">
      <sharedItems/>
    </cacheField>
    <cacheField name="Market Cap (M)" numFmtId="3">
      <sharedItems containsSemiMixedTypes="0" containsString="0" containsNumber="1" containsInteger="1" minValue="250" maxValue="1989"/>
    </cacheField>
    <cacheField name="Current Price" numFmtId="0">
      <sharedItems containsSemiMixedTypes="0" containsString="0" containsNumber="1" minValue="0.45040000000000002" maxValue="247.79"/>
    </cacheField>
    <cacheField name="Free CF" numFmtId="0">
      <sharedItems containsString="0" containsBlank="1" containsNumber="1" minValue="-18.260000000000002" maxValue="7.95"/>
    </cacheField>
    <cacheField name="BVPS" numFmtId="0">
      <sharedItems containsString="0" containsBlank="1" containsNumber="1" minValue="-14.38" maxValue="73.86"/>
    </cacheField>
    <cacheField name="EPS" numFmtId="0">
      <sharedItems containsString="0" containsBlank="1" containsNumber="1" minValue="-101.92" maxValue="11.45"/>
    </cacheField>
    <cacheField name="P/FCF" numFmtId="2">
      <sharedItems containsMixedTypes="1" containsNumber="1" minValue="-3148" maxValue="602"/>
    </cacheField>
    <cacheField name="P/B" numFmtId="2">
      <sharedItems containsMixedTypes="1" containsNumber="1" minValue="-91.5" maxValue="366.33333333333337"/>
    </cacheField>
    <cacheField name="ROE" numFmtId="0">
      <sharedItems containsString="0" containsBlank="1" containsNumber="1" minValue="-565.33000000000004" maxValue="28033"/>
    </cacheField>
    <cacheField name="ROA" numFmtId="0">
      <sharedItems containsString="0" containsBlank="1" containsNumber="1" minValue="-546.48" maxValue="23.07"/>
    </cacheField>
    <cacheField name="A/E" numFmtId="0">
      <sharedItems containsSemiMixedTypes="0" containsString="0" containsNumber="1" minValue="-82.42" maxValue="106.64"/>
    </cacheField>
    <cacheField name="P/E" numFmtId="2">
      <sharedItems containsMixedTypes="1" containsNumber="1" minValue="-607" maxValue="307"/>
    </cacheField>
    <cacheField name="Preliminary Criteria" numFmtId="0">
      <sharedItems/>
    </cacheField>
    <cacheField name="P/FCF Z-Score" numFmtId="2">
      <sharedItems containsMixedTypes="1" containsNumber="1" minValue="-104.89157076903324" maxValue="178.72663474104172"/>
    </cacheField>
    <cacheField name="P/B Z-Score" numFmtId="2">
      <sharedItems containsMixedTypes="1" containsNumber="1" minValue="-52.611165776212793" maxValue="204.16612534459924"/>
    </cacheField>
    <cacheField name="ROE Z-Score" numFmtId="2">
      <sharedItems containsSemiMixedTypes="0" containsString="0" containsNumber="1" minValue="-12.669693341577167" maxValue="842.17747042281451"/>
    </cacheField>
    <cacheField name="ROA Z-Score" numFmtId="2">
      <sharedItems containsSemiMixedTypes="0" containsString="0" containsNumber="1" minValue="-31.755443001003076" maxValue="4.5065506185441064"/>
    </cacheField>
    <cacheField name="A/E Z-Score" numFmtId="2">
      <sharedItems containsSemiMixedTypes="0" containsString="0" containsNumber="1" minValue="-187.75715426973161" maxValue="158.29629076622254"/>
    </cacheField>
    <cacheField name="P/E Z-Score" numFmtId="2">
      <sharedItems containsMixedTypes="1" containsNumber="1" minValue="-150.40813378660471" maxValue="71.061779551571831"/>
    </cacheField>
    <cacheField name="P/FCF Outlier" numFmtId="0">
      <sharedItems count="4">
        <s v="No"/>
        <s v="Yes"/>
        <e v="#VALUE!" u="1"/>
        <e v="#NUM!" u="1"/>
      </sharedItems>
    </cacheField>
    <cacheField name="P/B Outlier" numFmtId="0">
      <sharedItems count="3">
        <s v="No"/>
        <s v="Yes"/>
        <e v="#VALUE!" u="1"/>
      </sharedItems>
    </cacheField>
    <cacheField name="ROE Outlier" numFmtId="0">
      <sharedItems count="2">
        <s v="Yes"/>
        <s v="No"/>
      </sharedItems>
    </cacheField>
    <cacheField name="ROA Outlier" numFmtId="0">
      <sharedItems count="2">
        <s v="No"/>
        <s v="Yes"/>
      </sharedItems>
    </cacheField>
    <cacheField name="A/E Outlier" numFmtId="0">
      <sharedItems count="2">
        <s v="No"/>
        <s v="Yes"/>
      </sharedItems>
    </cacheField>
    <cacheField name="P/E Outlier" numFmtId="0">
      <sharedItems count="4">
        <s v="No"/>
        <s v="Yes"/>
        <e v="#VALUE!" u="1"/>
        <e v="#NUM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3">
  <r>
    <x v="0"/>
    <s v="ABBV"/>
    <n v="332727"/>
    <n v="188"/>
    <n v="10.08"/>
    <n v="1.88"/>
    <n v="2.34"/>
    <n v="18.650793650793652"/>
    <n v="100"/>
    <n v="62.29"/>
    <n v="8.49"/>
    <n v="40.65"/>
    <n v="80.341880341880341"/>
    <s v="NO"/>
    <n v="0.34338115103089556"/>
    <n v="9.0596643174397293"/>
    <n v="2.3635666130337052"/>
    <n v="0.55227481478694618"/>
    <n v="80.185265033004868"/>
    <n v="1.849382727203295"/>
    <x v="0"/>
    <x v="0"/>
    <x v="0"/>
    <x v="0"/>
    <x v="0"/>
    <x v="0"/>
  </r>
  <r>
    <x v="0"/>
    <s v="ALNY"/>
    <n v="36059"/>
    <n v="266.86"/>
    <n v="-0.59"/>
    <n v="0.89"/>
    <n v="-2.1"/>
    <n v="-452.30508474576277"/>
    <n v="299.84269662921349"/>
    <n v="519.47"/>
    <n v="-1.79"/>
    <n v="36.5"/>
    <n v="-127.07619047619048"/>
    <s v="NO"/>
    <n v="-21.854401016858954"/>
    <n v="28.705722666478405"/>
    <n v="22.57871305545822"/>
    <n v="-0.95144695872948237"/>
    <n v="71.683386233497444"/>
    <n v="-3.021716641467703"/>
    <x v="1"/>
    <x v="0"/>
    <x v="1"/>
    <x v="0"/>
    <x v="0"/>
    <x v="1"/>
  </r>
  <r>
    <x v="0"/>
    <s v="AMGN"/>
    <n v="148321"/>
    <n v="270.45"/>
    <n v="20.309999999999999"/>
    <n v="11.54"/>
    <n v="10.94"/>
    <n v="13.316100443131463"/>
    <n v="23.435875216637783"/>
    <n v="105.67"/>
    <n v="7.04"/>
    <n v="14.4"/>
    <n v="24.721206581352835"/>
    <s v="NO"/>
    <n v="9.1938578195026419E-2"/>
    <n v="1.5328280191492718"/>
    <n v="4.281701817269183"/>
    <n v="0.34017398097383122"/>
    <n v="26.408320819253102"/>
    <n v="0.54316178043920704"/>
    <x v="0"/>
    <x v="1"/>
    <x v="1"/>
    <x v="0"/>
    <x v="0"/>
    <x v="0"/>
  </r>
  <r>
    <x v="0"/>
    <s v="ARGX"/>
    <n v="38036"/>
    <n v="542.47"/>
    <n v="-2.52"/>
    <n v="90.49"/>
    <n v="12.78"/>
    <n v="-215.26587301587301"/>
    <n v="5.994806055917782"/>
    <n v="17.36"/>
    <n v="-0.21"/>
    <n v="1.1299999999999999"/>
    <n v="42.446791862284826"/>
    <s v="NO"/>
    <n v="-10.681921749495624"/>
    <n v="-0.18176184668340817"/>
    <n v="0.37689499647538377"/>
    <n v="-0.72033018809174332"/>
    <n v="-0.77720488423208012"/>
    <n v="0.95943740642844133"/>
    <x v="1"/>
    <x v="1"/>
    <x v="0"/>
    <x v="0"/>
    <x v="1"/>
    <x v="0"/>
  </r>
  <r>
    <x v="0"/>
    <s v="BIIB"/>
    <n v="17175"/>
    <n v="123.16"/>
    <n v="16.350000000000001"/>
    <n v="115.9"/>
    <n v="10.119999999999999"/>
    <n v="7.5327217125382253"/>
    <n v="1.0626402070750647"/>
    <n v="9.19"/>
    <n v="5.43"/>
    <n v="1.65"/>
    <n v="12.169960474308301"/>
    <s v="NO"/>
    <n v="-0.1806520978003551"/>
    <n v="-0.66663129494392148"/>
    <n v="1.5641777973681412E-2"/>
    <n v="0.10466891722271737"/>
    <n v="0.28809077257366927"/>
    <n v="0.24840266544539233"/>
    <x v="0"/>
    <x v="1"/>
    <x v="0"/>
    <x v="0"/>
    <x v="1"/>
    <x v="0"/>
  </r>
  <r>
    <x v="0"/>
    <s v="BMRN"/>
    <n v="11376"/>
    <n v="59.78"/>
    <n v="3.25"/>
    <n v="30.21"/>
    <n v="2.71"/>
    <n v="18.393846153846155"/>
    <n v="1.9788149619331348"/>
    <n v="9.64"/>
    <n v="6.38"/>
    <n v="1.23"/>
    <n v="22.059040590405903"/>
    <s v="NO"/>
    <n v="0.33127032530929268"/>
    <n v="-0.57656434230840203"/>
    <n v="3.5539446067410475E-2"/>
    <n v="0.2436315324795858"/>
    <n v="-0.57234033484635893"/>
    <n v="0.48064227562145601"/>
    <x v="0"/>
    <x v="1"/>
    <x v="0"/>
    <x v="0"/>
    <x v="1"/>
    <x v="0"/>
  </r>
  <r>
    <x v="0"/>
    <s v="BNTX"/>
    <n v="22308"/>
    <n v="94.5"/>
    <n v="-5.35"/>
    <n v="85.18"/>
    <n v="-3.45"/>
    <n v="-17.66355140186916"/>
    <n v="1.1094153557173045"/>
    <n v="-3.94"/>
    <n v="-3.67"/>
    <n v="1.1200000000000001"/>
    <n v="-27.391304347826086"/>
    <s v="NO"/>
    <n v="-1.3682397417650181"/>
    <n v="-0.66203294176409322"/>
    <n v="-0.56492795996112288"/>
    <n v="-1.2264466605009694"/>
    <n v="-0.79769133917065171"/>
    <n v="-0.68067189078240486"/>
    <x v="0"/>
    <x v="1"/>
    <x v="0"/>
    <x v="0"/>
    <x v="1"/>
    <x v="0"/>
  </r>
  <r>
    <x v="0"/>
    <s v="EXAS"/>
    <n v="10051"/>
    <n v="53.67"/>
    <n v="1.05"/>
    <n v="12.71"/>
    <n v="-5.51"/>
    <n v="51.114285714285714"/>
    <n v="4.2226593233674272"/>
    <n v="-36.89"/>
    <n v="-1.76"/>
    <n v="2.38"/>
    <n v="-9.7404718693284948"/>
    <s v="NO"/>
    <n v="1.8734980012289946"/>
    <n v="-0.35597736067509167"/>
    <n v="-2.0218794348241698"/>
    <n v="-0.94705866561610752"/>
    <n v="1.7836019830894327"/>
    <n v="-0.26615179326428429"/>
    <x v="0"/>
    <x v="1"/>
    <x v="0"/>
    <x v="0"/>
    <x v="1"/>
    <x v="0"/>
  </r>
  <r>
    <x v="0"/>
    <s v="EXEL"/>
    <n v="10144"/>
    <n v="36.950000000000003"/>
    <n v="2.19"/>
    <n v="7.97"/>
    <n v="1.76"/>
    <n v="16.872146118721464"/>
    <n v="4.6361355081555837"/>
    <n v="23.13"/>
    <n v="14.64"/>
    <n v="1.31"/>
    <n v="20.994318181818183"/>
    <s v="NO"/>
    <n v="0.25954733074858777"/>
    <n v="-0.31532950418945943"/>
    <n v="0.63202731847719795"/>
    <n v="1.4518749030287785"/>
    <n v="-0.40844869533778194"/>
    <n v="0.45563785516847372"/>
    <x v="0"/>
    <x v="1"/>
    <x v="0"/>
    <x v="0"/>
    <x v="1"/>
    <x v="0"/>
  </r>
  <r>
    <x v="0"/>
    <s v="GILD"/>
    <n v="123131"/>
    <n v="101.43"/>
    <n v="7.9"/>
    <n v="15.32"/>
    <n v="4.7300000000000004"/>
    <n v="12.839240506329114"/>
    <n v="6.6207571801566587"/>
    <n v="32.659999999999997"/>
    <n v="12"/>
    <n v="2.96"/>
    <n v="21.443974630021142"/>
    <s v="NO"/>
    <n v="6.9462517299956256E-2"/>
    <n v="-0.12022608621846631"/>
    <n v="1.0534157116621701"/>
    <n v="1.0657051090517968"/>
    <n v="2.9718163695266147"/>
    <n v="0.46619778966367703"/>
    <x v="0"/>
    <x v="1"/>
    <x v="0"/>
    <x v="0"/>
    <x v="1"/>
    <x v="0"/>
  </r>
  <r>
    <x v="0"/>
    <s v="GMAB"/>
    <n v="12808"/>
    <n v="19.309999999999999"/>
    <n v="16.16"/>
    <n v="80.22"/>
    <n v="16.86"/>
    <n v="1.1949257425742574"/>
    <n v="0.2407130391423585"/>
    <n v="22.97"/>
    <n v="10.91"/>
    <n v="1.25"/>
    <n v="1.1453143534994068"/>
    <s v="YES"/>
    <n v="-0.47937437905688096"/>
    <n v="-0.7474329923400802"/>
    <n v="0.6249525920438721"/>
    <n v="0.90626379259917933"/>
    <n v="-0.53136742496921463"/>
    <n v="-1.0505088093576039E-2"/>
    <x v="0"/>
    <x v="1"/>
    <x v="0"/>
    <x v="0"/>
    <x v="1"/>
    <x v="0"/>
  </r>
  <r>
    <x v="0"/>
    <s v="INCY"/>
    <n v="11527"/>
    <n v="60.81"/>
    <n v="1.45"/>
    <n v="18.93"/>
    <n v="0.1"/>
    <n v="41.937931034482759"/>
    <n v="3.2123613312202854"/>
    <n v="0.47"/>
    <n v="2.0299999999999998"/>
    <n v="1.57"/>
    <n v="608.1"/>
    <s v="NO"/>
    <n v="1.4409846138367965"/>
    <n v="-0.45529734403413269"/>
    <n v="-0.36993081264257854"/>
    <n v="-0.39267096895975895"/>
    <n v="0.12419913306509277"/>
    <n v="14.243492041490137"/>
    <x v="0"/>
    <x v="1"/>
    <x v="0"/>
    <x v="0"/>
    <x v="1"/>
    <x v="1"/>
  </r>
  <r>
    <x v="0"/>
    <s v="INSM"/>
    <n v="12415"/>
    <n v="65.709999999999994"/>
    <n v="-4.3"/>
    <n v="1.59"/>
    <n v="-5.57"/>
    <n v="-15.281395348837208"/>
    <n v="41.327044025157228"/>
    <n v="3926.5"/>
    <n v="-29.3"/>
    <n v="7.1"/>
    <n v="-11.797127468581685"/>
    <s v="NO"/>
    <n v="-1.25596047404432"/>
    <n v="3.2916661066718156"/>
    <n v="173.22749555629727"/>
    <n v="-4.9755117436941658"/>
    <n v="11.453208714095465"/>
    <n v="-0.31445121940195658"/>
    <x v="0"/>
    <x v="1"/>
    <x v="1"/>
    <x v="1"/>
    <x v="0"/>
    <x v="0"/>
  </r>
  <r>
    <x v="0"/>
    <s v="NBIX"/>
    <n v="12035"/>
    <n v="116.87"/>
    <n v="4.9000000000000004"/>
    <n v="25.61"/>
    <n v="2.96"/>
    <n v="23.851020408163265"/>
    <n v="4.5634517766497469"/>
    <n v="12.43"/>
    <n v="8.75"/>
    <n v="1.45"/>
    <n v="39.483108108108112"/>
    <s v="NO"/>
    <n v="0.58848585420762289"/>
    <n v="-0.3224748682896994"/>
    <n v="0.15890498824853033"/>
    <n v="0.59030668843619427"/>
    <n v="-0.12163832619777268"/>
    <n v="0.88983692269540604"/>
    <x v="0"/>
    <x v="1"/>
    <x v="0"/>
    <x v="0"/>
    <x v="1"/>
    <x v="0"/>
  </r>
  <r>
    <x v="0"/>
    <s v="NTRA"/>
    <n v="21766"/>
    <n v="152.28"/>
    <n v="0.47"/>
    <n v="9.01"/>
    <n v="-1.53"/>
    <n v="324"/>
    <n v="16.901220865704772"/>
    <n v="-19.420000000000002"/>
    <n v="-8.9600000000000009"/>
    <n v="1.39"/>
    <n v="-99.529411764705884"/>
    <s v="NO"/>
    <n v="14.735547123679455"/>
    <n v="0.89042175244729194"/>
    <n v="-1.2494077423854011"/>
    <n v="-2.0002490128260577"/>
    <n v="-0.24455705582920539"/>
    <n v="-2.3747956867928997"/>
    <x v="1"/>
    <x v="1"/>
    <x v="0"/>
    <x v="0"/>
    <x v="1"/>
    <x v="0"/>
  </r>
  <r>
    <x v="0"/>
    <s v="ONC"/>
    <n v="25059"/>
    <n v="224.73"/>
    <n v="-6.36"/>
    <n v="31.22"/>
    <n v="-6.12"/>
    <n v="-35.334905660377352"/>
    <n v="7.1982703395259451"/>
    <n v="-18.77"/>
    <n v="-6.07"/>
    <n v="1.78"/>
    <n v="-36.720588235294116"/>
    <s v="NO"/>
    <n v="-2.2011518900908977"/>
    <n v="-6.3452146426422357E-2"/>
    <n v="-1.2206666662500147"/>
    <n v="-1.5775101095709525"/>
    <n v="0.55441468677510686"/>
    <n v="-0.89976499426738266"/>
    <x v="0"/>
    <x v="1"/>
    <x v="0"/>
    <x v="0"/>
    <x v="1"/>
    <x v="0"/>
  </r>
  <r>
    <x v="0"/>
    <s v="REGN"/>
    <n v="60561"/>
    <n v="574.16"/>
    <n v="27.52"/>
    <n v="277.5"/>
    <n v="39.43"/>
    <n v="20.863372093023255"/>
    <n v="2.0690450450450451"/>
    <n v="15.96"/>
    <n v="6.91"/>
    <n v="1.28"/>
    <n v="14.561501394876997"/>
    <s v="NO"/>
    <n v="0.44766763845557594"/>
    <n v="-0.56769403827650544"/>
    <n v="0.31499114018378244"/>
    <n v="0.32115804414920712"/>
    <n v="-0.46990806015349829"/>
    <n v="0.30456668925675495"/>
    <x v="0"/>
    <x v="1"/>
    <x v="0"/>
    <x v="0"/>
    <x v="1"/>
    <x v="0"/>
  </r>
  <r>
    <x v="0"/>
    <s v="SMMT"/>
    <n v="18039"/>
    <n v="24.61"/>
    <n v="-0.22"/>
    <n v="0.53"/>
    <n v="-0.31"/>
    <n v="-111.86363636363636"/>
    <n v="46.433962264150942"/>
    <n v="-94.9"/>
    <n v="-41.3"/>
    <n v="1.1200000000000001"/>
    <n v="-79.387096774193552"/>
    <s v="NO"/>
    <n v="-5.808216100691201"/>
    <n v="3.7937150451586361"/>
    <n v="-4.5869099373068813"/>
    <n v="-6.7308289890440829"/>
    <n v="-0.79769133917065171"/>
    <n v="-1.9017644921294647"/>
    <x v="1"/>
    <x v="0"/>
    <x v="1"/>
    <x v="1"/>
    <x v="1"/>
    <x v="0"/>
  </r>
  <r>
    <x v="0"/>
    <s v="UTHR"/>
    <n v="13844"/>
    <n v="308.07"/>
    <n v="25.26"/>
    <n v="151.02000000000001"/>
    <n v="25.1"/>
    <n v="12.195961995249405"/>
    <n v="2.0399284862932059"/>
    <n v="19.940000000000001"/>
    <n v="12.97"/>
    <n v="1.1399999999999999"/>
    <n v="12.273705179282867"/>
    <s v="NO"/>
    <n v="3.9142572444722232E-2"/>
    <n v="-0.57055641764693188"/>
    <n v="0.49097496021276354"/>
    <n v="1.207593253050915"/>
    <n v="-0.75671842929350797"/>
    <n v="0.25083905280986563"/>
    <x v="0"/>
    <x v="1"/>
    <x v="0"/>
    <x v="0"/>
    <x v="1"/>
    <x v="0"/>
  </r>
  <r>
    <x v="0"/>
    <s v="VRTX"/>
    <n v="111784"/>
    <n v="432"/>
    <n v="-3.79"/>
    <n v="64.19"/>
    <n v="-3.84"/>
    <n v="-113.98416886543535"/>
    <n v="6.73002025237576"/>
    <n v="-5.64"/>
    <n v="11.77"/>
    <n v="1.39"/>
    <n v="-112.5"/>
    <s v="NO"/>
    <n v="-5.9081641440517085"/>
    <n v="-0.10948469447176438"/>
    <n v="-0.64009692831521037"/>
    <n v="1.0320615285159234"/>
    <n v="-0.24455705582920539"/>
    <n v="-2.6794028211425851"/>
    <x v="1"/>
    <x v="1"/>
    <x v="0"/>
    <x v="0"/>
    <x v="1"/>
    <x v="1"/>
  </r>
  <r>
    <x v="1"/>
    <s v="ABT"/>
    <n v="233051"/>
    <n v="129.05000000000001"/>
    <n v="3.83"/>
    <n v="28.05"/>
    <n v="7.7"/>
    <n v="33.694516971279377"/>
    <n v="4.6007130124777182"/>
    <n v="30.65"/>
    <n v="6.38"/>
    <n v="1.67"/>
    <n v="16.759740259740262"/>
    <s v="NO"/>
    <n v="-8.3582926983790329E-2"/>
    <n v="8.5634159021209466E-2"/>
    <n v="2.0885862973646776"/>
    <n v="0.5342886229078222"/>
    <n v="-0.34633273006231258"/>
    <n v="-1.2982408346315457"/>
    <x v="0"/>
    <x v="1"/>
    <x v="0"/>
    <x v="0"/>
    <x v="1"/>
    <x v="0"/>
  </r>
  <r>
    <x v="1"/>
    <s v="BAX"/>
    <n v="15757"/>
    <n v="31.15"/>
    <n v="1.1000000000000001"/>
    <n v="13.63"/>
    <n v="-0.54"/>
    <n v="28.318181818181813"/>
    <n v="2.2853998532648565"/>
    <n v="-4.21"/>
    <n v="2.0499999999999998"/>
    <n v="3.7"/>
    <n v="-57.685185185185176"/>
    <s v="NO"/>
    <n v="-0.38922252587803252"/>
    <n v="-0.77877419015500637"/>
    <n v="-1.6406100071445568"/>
    <n v="-1.8601354520556208"/>
    <n v="4.0340750084205297"/>
    <n v="-5.3257784162578377"/>
    <x v="0"/>
    <x v="1"/>
    <x v="0"/>
    <x v="0"/>
    <x v="0"/>
    <x v="1"/>
  </r>
  <r>
    <x v="1"/>
    <s v="BDX"/>
    <n v="47904"/>
    <n v="175.34"/>
    <n v="8.9700000000000006"/>
    <n v="88.07"/>
    <n v="5.16"/>
    <n v="19.547380156075807"/>
    <n v="1.9909163165663679"/>
    <n v="5.89"/>
    <n v="3.69"/>
    <n v="2.16"/>
    <n v="33.980620155038757"/>
    <s v="NO"/>
    <n v="-0.88783435450306736"/>
    <n v="-0.88871786097301997"/>
    <n v="-0.56014865672736613"/>
    <n v="-0.95324042135353149"/>
    <n v="0.71100706888182208"/>
    <n v="-0.36657570698898562"/>
    <x v="0"/>
    <x v="1"/>
    <x v="0"/>
    <x v="0"/>
    <x v="1"/>
    <x v="0"/>
  </r>
  <r>
    <x v="1"/>
    <s v="BSX"/>
    <n v="155046"/>
    <n v="102.95"/>
    <n v="2.06"/>
    <n v="15.02"/>
    <n v="1.37"/>
    <n v="49.975728155339809"/>
    <n v="6.8541944074567249"/>
    <n v="9.5"/>
    <n v="5.28"/>
    <n v="1.81"/>
    <n v="75.145985401459853"/>
    <s v="NO"/>
    <n v="0.84198862205583069"/>
    <n v="0.92695798806011032"/>
    <n v="-0.17396395623171673"/>
    <n v="-7.3994629392359415E-2"/>
    <n v="-4.4235644649702539E-2"/>
    <n v="1.8605076650534711"/>
    <x v="0"/>
    <x v="1"/>
    <x v="0"/>
    <x v="0"/>
    <x v="1"/>
    <x v="0"/>
  </r>
  <r>
    <x v="1"/>
    <s v="DXCM"/>
    <n v="32682"/>
    <n v="84.11"/>
    <n v="1.46"/>
    <n v="5.78"/>
    <n v="1.33"/>
    <n v="57.609589041095894"/>
    <n v="14.551903114186851"/>
    <n v="23.72"/>
    <n v="5.98"/>
    <n v="2.98"/>
    <n v="63.240601503759393"/>
    <s v="NO"/>
    <n v="1.2759664364397909"/>
    <n v="3.8008515903778735"/>
    <n v="1.3472400440586252"/>
    <n v="0.31309471298048364"/>
    <n v="2.4804328548699646"/>
    <n v="1.2164156630116369"/>
    <x v="0"/>
    <x v="0"/>
    <x v="0"/>
    <x v="0"/>
    <x v="1"/>
    <x v="0"/>
  </r>
  <r>
    <x v="1"/>
    <s v="EW"/>
    <n v="43955"/>
    <n v="75.5"/>
    <n v="0.43"/>
    <n v="16.989999999999998"/>
    <n v="2.42"/>
    <n v="175.58139534883722"/>
    <n v="4.4437904649793998"/>
    <n v="16.64"/>
    <n v="8.26"/>
    <n v="1.31"/>
    <n v="31.198347107438018"/>
    <s v="NO"/>
    <n v="7.9825527138881398"/>
    <n v="2.7048062496079731E-2"/>
    <n v="0.58984733505330733"/>
    <n v="1.5738999995663148"/>
    <n v="-1.1231538068375946"/>
    <n v="-0.51709918719379699"/>
    <x v="1"/>
    <x v="1"/>
    <x v="0"/>
    <x v="0"/>
    <x v="1"/>
    <x v="0"/>
  </r>
  <r>
    <x v="1"/>
    <s v="GEHC"/>
    <n v="31512"/>
    <n v="73.83"/>
    <n v="3.01"/>
    <n v="20.07"/>
    <n v="4.76"/>
    <n v="24.528239202657808"/>
    <n v="3.6786248131539612"/>
    <n v="26.44"/>
    <n v="5.87"/>
    <n v="3.66"/>
    <n v="15.510504201680673"/>
    <s v="NO"/>
    <n v="-0.60467720045753071"/>
    <n v="-0.25862196676494359"/>
    <n v="1.6382157740719678"/>
    <n v="0.25226638775046528"/>
    <n v="3.9477615554454983"/>
    <n v="-1.3658256316084718"/>
    <x v="0"/>
    <x v="1"/>
    <x v="0"/>
    <x v="0"/>
    <x v="0"/>
    <x v="0"/>
  </r>
  <r>
    <x v="1"/>
    <s v="HOLX"/>
    <n v="12352"/>
    <n v="57.12"/>
    <n v="4.2"/>
    <n v="20.73"/>
    <n v="2.39"/>
    <n v="13.6"/>
    <n v="2.7554269175108534"/>
    <n v="11.77"/>
    <n v="6.92"/>
    <n v="1.85"/>
    <n v="23.899581589958157"/>
    <s v="NO"/>
    <n v="-1.2259373249488903"/>
    <n v="-0.60329239104876631"/>
    <n v="6.8872406683830087E-2"/>
    <n v="0.83290040130972964"/>
    <n v="4.2077808325328904E-2"/>
    <n v="-0.91196898181633979"/>
    <x v="0"/>
    <x v="1"/>
    <x v="0"/>
    <x v="0"/>
    <x v="1"/>
    <x v="0"/>
  </r>
  <r>
    <x v="1"/>
    <s v="IDXX"/>
    <n v="39134"/>
    <n v="509.13"/>
    <n v="10.210000000000001"/>
    <n v="17.93"/>
    <n v="10.82"/>
    <n v="49.865817825661111"/>
    <n v="28.395426659230342"/>
    <n v="59.33"/>
    <n v="22.98"/>
    <n v="2.2200000000000002"/>
    <n v="47.054528650646951"/>
    <s v="NO"/>
    <n v="0.83574032314574942"/>
    <n v="8.9692484816309612"/>
    <n v="5.1566686270641862"/>
    <n v="9.7138358848923847"/>
    <n v="0.84047724834436932"/>
    <n v="0.34073452927097359"/>
    <x v="0"/>
    <x v="0"/>
    <x v="1"/>
    <x v="1"/>
    <x v="1"/>
    <x v="0"/>
  </r>
  <r>
    <x v="1"/>
    <s v="ISRG"/>
    <n v="192166"/>
    <n v="563.95000000000005"/>
    <n v="4.9000000000000004"/>
    <n v="47.73"/>
    <n v="6.83"/>
    <n v="115.09183673469389"/>
    <n v="11.815420071234026"/>
    <n v="15.96"/>
    <n v="8.84"/>
    <n v="1.1200000000000001"/>
    <n v="82.569546120058575"/>
    <s v="NO"/>
    <n v="4.543778175908546"/>
    <n v="2.7792019788360212"/>
    <n v="0.51710340254997178"/>
    <n v="1.8946311689609561"/>
    <n v="-1.5331427084689935"/>
    <n v="2.2621289925643726"/>
    <x v="1"/>
    <x v="1"/>
    <x v="0"/>
    <x v="0"/>
    <x v="1"/>
    <x v="0"/>
  </r>
  <r>
    <x v="1"/>
    <s v="MDT"/>
    <n v="106656"/>
    <n v="85.11"/>
    <n v="4.22"/>
    <n v="38.49"/>
    <n v="3.27"/>
    <n v="20.16824644549763"/>
    <n v="2.2112236944660948"/>
    <n v="8.44"/>
    <n v="4.66"/>
    <n v="1.82"/>
    <n v="26.027522935779817"/>
    <s v="NO"/>
    <n v="-0.8525386896566316"/>
    <n v="-0.80646741632630703"/>
    <n v="-0.28735890983985762"/>
    <n v="-0.41684518977973467"/>
    <n v="-2.2657281405944675E-2"/>
    <n v="-0.79684543658378326"/>
    <x v="0"/>
    <x v="1"/>
    <x v="0"/>
    <x v="0"/>
    <x v="1"/>
    <x v="0"/>
  </r>
  <r>
    <x v="1"/>
    <s v="PEN"/>
    <n v="11201"/>
    <n v="296.05"/>
    <n v="3.9"/>
    <n v="31.35"/>
    <n v="1.08"/>
    <n v="75.910256410256409"/>
    <n v="9.4433811802232857"/>
    <n v="3.5"/>
    <n v="5.82"/>
    <n v="1.31"/>
    <n v="274.12037037037038"/>
    <s v="NO"/>
    <n v="2.3163421710114229"/>
    <n v="1.8936154162573957"/>
    <n v="-0.81582218420232522"/>
    <n v="0.22461714900954804"/>
    <n v="-1.1231538068375946"/>
    <n v="12.625201275179061"/>
    <x v="0"/>
    <x v="1"/>
    <x v="0"/>
    <x v="0"/>
    <x v="1"/>
    <x v="1"/>
  </r>
  <r>
    <x v="1"/>
    <s v="PHG"/>
    <n v="22098"/>
    <n v="24.22"/>
    <n v="0.98"/>
    <n v="13.45"/>
    <n v="-0.94"/>
    <n v="24.714285714285715"/>
    <n v="1.8007434944237919"/>
    <n v="-6.98"/>
    <n v="2.0099999999999998"/>
    <n v="2.41"/>
    <n v="-25.76595744680851"/>
    <s v="NO"/>
    <n v="-0.59410063118303802"/>
    <n v="-0.95971774908419594"/>
    <n v="-1.9369345557243212"/>
    <n v="-1.8822548430483548"/>
    <n v="1.2504661499757681"/>
    <n v="-3.5989194191606293"/>
    <x v="0"/>
    <x v="1"/>
    <x v="0"/>
    <x v="0"/>
    <x v="1"/>
    <x v="1"/>
  </r>
  <r>
    <x v="1"/>
    <s v="PODD"/>
    <n v="18597"/>
    <n v="314.45999999999998"/>
    <n v="4.2300000000000004"/>
    <n v="17.260000000000002"/>
    <n v="5.78"/>
    <n v="74.340425531914875"/>
    <n v="18.219003476245653"/>
    <n v="43.03"/>
    <n v="6.8"/>
    <n v="2.5499999999999998"/>
    <n v="54.404844290657437"/>
    <s v="NO"/>
    <n v="2.2270987614535822"/>
    <n v="5.1699416236710007"/>
    <n v="3.4129537744106999"/>
    <n v="0.76654222833152796"/>
    <n v="1.5525632353883771"/>
    <n v="0.7383932319969051"/>
    <x v="0"/>
    <x v="0"/>
    <x v="1"/>
    <x v="0"/>
    <x v="1"/>
    <x v="0"/>
  </r>
  <r>
    <x v="1"/>
    <s v="RMD"/>
    <n v="35880"/>
    <n v="247.65"/>
    <n v="10.62"/>
    <n v="37.83"/>
    <n v="8.91"/>
    <n v="23.319209039548024"/>
    <n v="6.5463917525773203"/>
    <n v="25.81"/>
    <n v="14.01"/>
    <n v="1.36"/>
    <n v="27.794612794612796"/>
    <s v="NO"/>
    <n v="-0.67340942856109531"/>
    <n v="0.81204170396365682"/>
    <n v="1.5708206601350538"/>
    <n v="4.7535624547718101"/>
    <n v="-1.0152619906188054"/>
    <n v="-0.70124428211925616"/>
    <x v="0"/>
    <x v="1"/>
    <x v="0"/>
    <x v="1"/>
    <x v="1"/>
    <x v="0"/>
  </r>
  <r>
    <x v="1"/>
    <s v="SNN"/>
    <n v="12395"/>
    <n v="28.27"/>
    <n v="0.69"/>
    <n v="6.03"/>
    <n v="0.47"/>
    <n v="40.971014492753625"/>
    <n v="4.6882255389718077"/>
    <n v="7.86"/>
    <n v="5.44"/>
    <n v="1.97"/>
    <n v="60.148936170212771"/>
    <s v="NO"/>
    <n v="0.33007911611577201"/>
    <n v="0.11830643847420291"/>
    <n v="-0.34940520521034968"/>
    <n v="1.4482934578576197E-2"/>
    <n v="0.30101816725042274"/>
    <n v="1.0491537812077243"/>
    <x v="0"/>
    <x v="1"/>
    <x v="0"/>
    <x v="0"/>
    <x v="1"/>
    <x v="0"/>
  </r>
  <r>
    <x v="1"/>
    <s v="STE"/>
    <n v="22108"/>
    <n v="231.15"/>
    <n v="7.61"/>
    <n v="65.31"/>
    <n v="6.22"/>
    <n v="30.374507227332458"/>
    <n v="3.5392742305925586"/>
    <n v="9.61"/>
    <n v="5.59"/>
    <n v="1.56"/>
    <n v="37.162379421221864"/>
    <s v="NO"/>
    <n v="-0.27232235962133333"/>
    <n v="-0.31064767505815666"/>
    <n v="-0.16219655538558897"/>
    <n v="9.743065080132797E-2"/>
    <n v="-0.58369472574364856"/>
    <n v="-0.19443966220618208"/>
    <x v="0"/>
    <x v="1"/>
    <x v="0"/>
    <x v="0"/>
    <x v="1"/>
    <x v="0"/>
  </r>
  <r>
    <x v="1"/>
    <s v="SYK"/>
    <n v="146774"/>
    <n v="387.53"/>
    <n v="9.3800000000000008"/>
    <n v="54.77"/>
    <n v="7.4"/>
    <n v="41.314498933901909"/>
    <n v="7.0755888259996338"/>
    <n v="14.26"/>
    <n v="7.49"/>
    <n v="2.2000000000000002"/>
    <n v="52.368918918918915"/>
    <s v="NO"/>
    <n v="0.34960588366829137"/>
    <n v="1.0096142728430146"/>
    <n v="0.33524357129163262"/>
    <n v="1.1481017229561876"/>
    <n v="0.79732052185685354"/>
    <n v="0.62824783391830019"/>
    <x v="0"/>
    <x v="1"/>
    <x v="0"/>
    <x v="0"/>
    <x v="1"/>
    <x v="0"/>
  </r>
  <r>
    <x v="1"/>
    <s v="ZBH"/>
    <n v="18623"/>
    <n v="97.49"/>
    <n v="5.61"/>
    <n v="62.36"/>
    <n v="4.51"/>
    <n v="17.377896613190728"/>
    <n v="1.5633418858242463"/>
    <n v="7.32"/>
    <n v="4.43"/>
    <n v="1.79"/>
    <n v="21.616407982261642"/>
    <s v="NO"/>
    <n v="-1.0111674542769946"/>
    <n v="-1.0483502227367352"/>
    <n v="-0.40717244572770445"/>
    <n v="-0.54403168798795476"/>
    <n v="-8.7392371137218261E-2"/>
    <n v="-1.0354907323643727"/>
    <x v="0"/>
    <x v="1"/>
    <x v="0"/>
    <x v="0"/>
    <x v="1"/>
    <x v="0"/>
  </r>
  <r>
    <x v="1"/>
    <s v="ALC"/>
    <n v="47533"/>
    <n v="93.25"/>
    <n v="2.85"/>
    <n v="43.58"/>
    <n v="2.0499999999999998"/>
    <n v="32.719298245614034"/>
    <n v="2.1397430013767784"/>
    <n v="4.83"/>
    <n v="2.85"/>
    <n v="1.41"/>
    <n v="45.487804878048784"/>
    <s v="NO"/>
    <n v="-0.13902319468636828"/>
    <n v="-0.83315430646272126"/>
    <n v="-0.67354361033550691"/>
    <n v="-1.417747632200943"/>
    <n v="-0.90737017440001644"/>
    <n v="0.25597336070973126"/>
    <x v="0"/>
    <x v="1"/>
    <x v="0"/>
    <x v="0"/>
    <x v="1"/>
    <x v="0"/>
  </r>
  <r>
    <x v="1"/>
    <s v="ALGN"/>
    <n v="12608"/>
    <n v="190.42"/>
    <n v="8.68"/>
    <n v="51.58"/>
    <n v="5.5"/>
    <n v="21.937788018433178"/>
    <n v="3.6917409848778595"/>
    <n v="10.84"/>
    <n v="6.72"/>
    <n v="1.61"/>
    <n v="34.621818181818178"/>
    <s v="YES"/>
    <n v="-0.75194191486905115"/>
    <n v="-0.25372512233495675"/>
    <n v="-3.0615618651614194E-2"/>
    <n v="0.72230344634606014"/>
    <n v="-0.47580290952485926"/>
    <n v="-0.33188631567474164"/>
    <x v="0"/>
    <x v="1"/>
    <x v="0"/>
    <x v="0"/>
    <x v="1"/>
    <x v="0"/>
  </r>
  <r>
    <x v="1"/>
    <s v="COO"/>
    <n v="16246"/>
    <n v="81.760000000000005"/>
    <n v="1.93"/>
    <n v="40.659999999999997"/>
    <n v="2.0699999999999998"/>
    <n v="42.362694300518136"/>
    <n v="2.0108214461387117"/>
    <n v="5.25"/>
    <n v="3.8"/>
    <n v="1.5"/>
    <n v="39.497584541062807"/>
    <s v="NO"/>
    <n v="0.40919480479996712"/>
    <n v="-0.8812863996498278"/>
    <n v="-0.6286135343775644"/>
    <n v="-0.89241209612351335"/>
    <n v="-0.7131649052061958"/>
    <n v="-6.8102959942661592E-2"/>
    <x v="0"/>
    <x v="1"/>
    <x v="0"/>
    <x v="0"/>
    <x v="1"/>
    <x v="0"/>
  </r>
  <r>
    <x v="1"/>
    <s v="SOLV"/>
    <n v="11330"/>
    <n v="73.52"/>
    <n v="4.6500000000000004"/>
    <n v="17.13"/>
    <n v="2.76"/>
    <n v="15.810752688172041"/>
    <n v="4.2918855808523055"/>
    <n v="6.55"/>
    <n v="4.8099999999999996"/>
    <n v="4.8899999999999997"/>
    <n v="26.637681159420289"/>
    <s v="NO"/>
    <n v="-1.1002581130645697"/>
    <n v="-2.9664719357044057E-2"/>
    <n v="-0.48954425165059923"/>
    <n v="-0.3338974735569829"/>
    <n v="6.6019002344277116"/>
    <n v="-0.76383532660297127"/>
    <x v="0"/>
    <x v="1"/>
    <x v="0"/>
    <x v="0"/>
    <x v="0"/>
    <x v="0"/>
  </r>
  <r>
    <x v="2"/>
    <s v="CAH"/>
    <n v="36632"/>
    <n v="148.26"/>
    <n v="10.07"/>
    <n v="-12.33"/>
    <n v="6.38"/>
    <n v="14.722939424031777"/>
    <n v="-12.024330900243308"/>
    <n v="-60.43"/>
    <n v="3.13"/>
    <n v="-16.920000000000002"/>
    <n v="23.238244514106583"/>
    <s v="NO"/>
    <n v="-0.23342568093036126"/>
    <n v="-11.085692483395412"/>
    <n v="-6.5616361281966666"/>
    <n v="-1.0576209603013798"/>
    <n v="-31.236128430645433"/>
    <n v="0.94530866360011212"/>
    <x v="0"/>
    <x v="0"/>
    <x v="1"/>
    <x v="0"/>
    <x v="0"/>
    <x v="0"/>
  </r>
  <r>
    <x v="2"/>
    <s v="COR"/>
    <n v="59001"/>
    <n v="279"/>
    <n v="-3.24"/>
    <n v="1.17"/>
    <n v="7.02"/>
    <n v="-86.1111111111111"/>
    <n v="238.46153846153848"/>
    <n v="198.15"/>
    <n v="2.86"/>
    <n v="304.77"/>
    <n v="39.743589743589745"/>
    <s v="NO"/>
    <n v="-13.755007241112054"/>
    <n v="181.55748104599525"/>
    <n v="14.629729370630477"/>
    <n v="-1.1626663722345081"/>
    <n v="478.4343827402725"/>
    <n v="3.584269387019269"/>
    <x v="1"/>
    <x v="0"/>
    <x v="1"/>
    <x v="0"/>
    <x v="0"/>
    <x v="1"/>
  </r>
  <r>
    <x v="2"/>
    <s v="MCK"/>
    <n v="90532"/>
    <n v="687.78"/>
    <n v="12.68"/>
    <n v="-24.48"/>
    <n v="21.82"/>
    <n v="54.241324921135643"/>
    <n v="-28.095588235294116"/>
    <n v="-137.03"/>
    <n v="5.24"/>
    <n v="-23.05"/>
    <n v="31.520623281393217"/>
    <s v="NO"/>
    <n v="5.0658861070014165"/>
    <n v="-23.445743066368795"/>
    <n v="-12.839223711189005"/>
    <n v="-0.23671051889804351"/>
    <n v="-40.948212217762617"/>
    <n v="2.2695385999911255"/>
    <x v="1"/>
    <x v="0"/>
    <x v="1"/>
    <x v="0"/>
    <x v="0"/>
    <x v="0"/>
  </r>
  <r>
    <x v="2"/>
    <s v="CI"/>
    <n v="89343"/>
    <n v="301.89"/>
    <n v="21.74"/>
    <n v="149.04"/>
    <n v="17.989999999999998"/>
    <n v="13.886384544618215"/>
    <n v="2.0255636070853464"/>
    <n v="13.21"/>
    <n v="3.94"/>
    <n v="3.75"/>
    <n v="16.780989438576988"/>
    <s v="NO"/>
    <n v="-0.34560549490714998"/>
    <n v="-0.28022759812587195"/>
    <n v="-0.52662895311108038"/>
    <n v="-0.74248472450199476"/>
    <n v="1.5124477324397569"/>
    <n v="-8.7110973099313371E-2"/>
    <x v="0"/>
    <x v="1"/>
    <x v="0"/>
    <x v="0"/>
    <x v="1"/>
    <x v="0"/>
  </r>
  <r>
    <x v="2"/>
    <s v="CVS"/>
    <n v="84478"/>
    <n v="60.5"/>
    <n v="4.72"/>
    <n v="60.96"/>
    <n v="4.1900000000000004"/>
    <n v="12.817796610169491"/>
    <n v="0.99245406824146976"/>
    <n v="6.93"/>
    <n v="2.31"/>
    <n v="3.32"/>
    <n v="14.439140811455847"/>
    <s v="NO"/>
    <n v="-0.48890033264491112"/>
    <n v="-1.0747694246706618"/>
    <n v="-1.0412927915078416"/>
    <n v="-1.3766477669131025"/>
    <n v="0.83117594965665886"/>
    <n v="-0.46153795182899637"/>
    <x v="0"/>
    <x v="1"/>
    <x v="0"/>
    <x v="0"/>
    <x v="1"/>
    <x v="0"/>
  </r>
  <r>
    <x v="2"/>
    <s v="DGX"/>
    <n v="19711"/>
    <n v="174.49"/>
    <n v="9.51"/>
    <n v="61.87"/>
    <n v="7.91"/>
    <n v="18.348054679284964"/>
    <n v="2.8202683045094554"/>
    <n v="13.95"/>
    <n v="6.13"/>
    <n v="2.2799999999999998"/>
    <n v="22.059418457648547"/>
    <s v="NO"/>
    <n v="0.25269276148886138"/>
    <n v="0.33096230779803132"/>
    <n v="-0.46598385113439217"/>
    <n v="0.10955028340004595"/>
    <n v="-0.81655115288850777"/>
    <n v="0.75683180234797942"/>
    <x v="0"/>
    <x v="1"/>
    <x v="0"/>
    <x v="0"/>
    <x v="1"/>
    <x v="0"/>
  </r>
  <r>
    <x v="2"/>
    <s v="DVA"/>
    <n v="11065"/>
    <n v="143.97999999999999"/>
    <n v="17.260000000000002"/>
    <n v="1.5"/>
    <n v="10.73"/>
    <n v="8.3418308227114704"/>
    <n v="95.986666666666665"/>
    <n v="51.74"/>
    <n v="7.15"/>
    <n v="142.71"/>
    <n v="13.418452935694313"/>
    <s v="NO"/>
    <n v="-1.0891155985644649"/>
    <n v="71.983190405611083"/>
    <n v="2.6310139917021678"/>
    <n v="0.50638850625853082"/>
    <n v="221.67413828020548"/>
    <n v="-0.62473085555532226"/>
    <x v="0"/>
    <x v="0"/>
    <x v="0"/>
    <x v="0"/>
    <x v="0"/>
    <x v="0"/>
  </r>
  <r>
    <x v="2"/>
    <s v="FMS"/>
    <n v="16572"/>
    <n v="28"/>
    <n v="5.93"/>
    <n v="51.47"/>
    <n v="1.9"/>
    <n v="4.7217537942664425"/>
    <n v="0.54400621721391107"/>
    <n v="4.84"/>
    <n v="2.85"/>
    <n v="2.2999999999999998"/>
    <n v="14.736842105263159"/>
    <s v="NO"/>
    <n v="-1.5745584279904212"/>
    <n v="-1.4196608047892301"/>
    <n v="-1.2125742281717318"/>
    <n v="-1.1665569430468459"/>
    <n v="-0.78486409322417761"/>
    <n v="-0.41393991551132975"/>
    <x v="0"/>
    <x v="1"/>
    <x v="0"/>
    <x v="0"/>
    <x v="1"/>
    <x v="0"/>
  </r>
  <r>
    <x v="2"/>
    <s v="HIMS"/>
    <n v="11718"/>
    <n v="64"/>
    <n v="0.98"/>
    <n v="2.46"/>
    <n v="0.68"/>
    <n v="65.306122448979593"/>
    <n v="26.016260162601625"/>
    <n v="36.79"/>
    <n v="10.64"/>
    <n v="1.62"/>
    <n v="94.117647058823522"/>
    <s v="NO"/>
    <n v="6.549646418380509"/>
    <n v="18.170489527797681"/>
    <n v="1.4058190260920442"/>
    <n v="1.8641977197645228"/>
    <n v="-1.8622241218114015"/>
    <n v="12.277877405076897"/>
    <x v="1"/>
    <x v="0"/>
    <x v="0"/>
    <x v="0"/>
    <x v="1"/>
    <x v="1"/>
  </r>
  <r>
    <x v="2"/>
    <s v="LH"/>
    <n v="20582"/>
    <n v="250.01"/>
    <n v="13.75"/>
    <n v="99.13"/>
    <n v="8.67"/>
    <n v="18.182545454545455"/>
    <n v="2.5220417633410674"/>
    <n v="8.98"/>
    <n v="4.18"/>
    <n v="2.12"/>
    <n v="28.836216839677046"/>
    <s v="NO"/>
    <n v="0.23049840879351133"/>
    <n v="0.10160283347816995"/>
    <n v="-0.87328946846431277"/>
    <n v="-0.6491110250058808"/>
    <n v="-1.0700476302031483"/>
    <n v="1.8403416903301104"/>
    <x v="0"/>
    <x v="1"/>
    <x v="0"/>
    <x v="0"/>
    <x v="1"/>
    <x v="0"/>
  </r>
  <r>
    <x v="2"/>
    <s v="EHC"/>
    <n v="11842"/>
    <n v="117.61"/>
    <n v="3.86"/>
    <n v="21.4"/>
    <n v="4.8600000000000003"/>
    <n v="30.468911917098445"/>
    <n v="5.495794392523365"/>
    <n v="24.58"/>
    <n v="8.9700000000000006"/>
    <n v="3.08"/>
    <n v="24.199588477366252"/>
    <s v="NO"/>
    <n v="1.8780679085805991"/>
    <n v="2.3886505828649223"/>
    <n v="0.40517484347668564"/>
    <n v="1.2144723941040625"/>
    <n v="0.45093123368469779"/>
    <n v="1.0990133529274626"/>
    <x v="0"/>
    <x v="1"/>
    <x v="0"/>
    <x v="0"/>
    <x v="1"/>
    <x v="0"/>
  </r>
  <r>
    <x v="2"/>
    <s v="HCA"/>
    <n v="86842"/>
    <n v="368.1"/>
    <n v="19.46"/>
    <n v="-14.48"/>
    <n v="22.47"/>
    <n v="18.915724563206577"/>
    <n v="-25.421270718232044"/>
    <n v="1605.8"/>
    <n v="11.61"/>
    <n v="-16.989999999999998"/>
    <n v="16.381842456608812"/>
    <s v="NO"/>
    <n v="0.32881580319915932"/>
    <n v="-21.3889842766425"/>
    <n v="129.99064531317833"/>
    <n v="2.2415830885613164"/>
    <n v="-31.347033139470582"/>
    <n v="-0.15092867540364102"/>
    <x v="0"/>
    <x v="0"/>
    <x v="1"/>
    <x v="0"/>
    <x v="0"/>
    <x v="0"/>
  </r>
  <r>
    <x v="2"/>
    <s v="THC"/>
    <n v="14148"/>
    <n v="157.69999999999999"/>
    <n v="14.77"/>
    <n v="45.01"/>
    <n v="15.09"/>
    <n v="10.677048070412999"/>
    <n v="3.5036658520328814"/>
    <n v="28.82"/>
    <n v="7.26"/>
    <n v="6.99"/>
    <n v="10.450629555997349"/>
    <s v="NO"/>
    <n v="-0.77596909390694979"/>
    <n v="0.85654833256084095"/>
    <n v="0.75265488723500851"/>
    <n v="0.54918478519424951"/>
    <n v="6.6457513980612379"/>
    <n v="-1.0992419441858892"/>
    <x v="0"/>
    <x v="1"/>
    <x v="0"/>
    <x v="0"/>
    <x v="0"/>
    <x v="0"/>
  </r>
  <r>
    <x v="2"/>
    <s v="UHS"/>
    <n v="12166"/>
    <n v="192.17"/>
    <n v="16.010000000000002"/>
    <n v="104.44"/>
    <n v="17.8"/>
    <n v="12.003123048094938"/>
    <n v="1.8400038299502106"/>
    <n v="18.47"/>
    <n v="7.57"/>
    <n v="2.19"/>
    <n v="10.796067415730336"/>
    <s v="YES"/>
    <n v="-0.59814591938919848"/>
    <n v="-0.42293754195543454"/>
    <n v="-9.5557012033538766E-2"/>
    <n v="0.66979248037673045"/>
    <n v="-0.95914292137799306"/>
    <n v="-1.0440115366092597"/>
    <x v="0"/>
    <x v="1"/>
    <x v="0"/>
    <x v="0"/>
    <x v="1"/>
    <x v="0"/>
  </r>
  <r>
    <x v="2"/>
    <s v="CNC"/>
    <n v="31309"/>
    <n v="58.97"/>
    <n v="2.91"/>
    <n v="56.11"/>
    <n v="6.72"/>
    <n v="20.264604810996563"/>
    <n v="1.0509713063625021"/>
    <n v="12.53"/>
    <n v="3.86"/>
    <n v="3.12"/>
    <n v="8.7752976190476186"/>
    <s v="NO"/>
    <n v="0.50969710459103079"/>
    <n v="-1.0297651037222055"/>
    <n v="-0.58235688465722668"/>
    <n v="-0.77360929100069942"/>
    <n v="0.51430535301335811"/>
    <n v="-1.3671027564761218"/>
    <x v="0"/>
    <x v="1"/>
    <x v="0"/>
    <x v="0"/>
    <x v="1"/>
    <x v="0"/>
  </r>
  <r>
    <x v="2"/>
    <s v="ELV"/>
    <n v="94312"/>
    <n v="375.4"/>
    <n v="15.97"/>
    <n v="188.37"/>
    <n v="25.6"/>
    <n v="23.506574827802126"/>
    <n v="1.9928863407124275"/>
    <n v="14.18"/>
    <n v="4.93"/>
    <n v="2.82"/>
    <n v="14.664062499999998"/>
    <s v="NO"/>
    <n v="0.94443677601404907"/>
    <n v="-0.30535896506638494"/>
    <n v="-0.4471346978173133"/>
    <n v="-0.35731821408052439"/>
    <n v="3.8999458048405752E-2"/>
    <n v="-0.42557629857906193"/>
    <x v="0"/>
    <x v="1"/>
    <x v="0"/>
    <x v="0"/>
    <x v="1"/>
    <x v="0"/>
  </r>
  <r>
    <x v="2"/>
    <s v="HUM"/>
    <n v="30550"/>
    <n v="228.89"/>
    <n v="19.760000000000002"/>
    <n v="147.08000000000001"/>
    <n v="14.16"/>
    <n v="11.583502024291496"/>
    <n v="1.5562279031819415"/>
    <n v="10.1"/>
    <n v="4.72"/>
    <n v="2.87"/>
    <n v="16.164548022598868"/>
    <s v="NO"/>
    <n v="-0.65441599747901691"/>
    <n v="-0.6411833665329717"/>
    <n v="-0.7815022870941899"/>
    <n v="-0.43902020113962414"/>
    <n v="0.11821710720923148"/>
    <n v="-0.18567084339813578"/>
    <x v="0"/>
    <x v="1"/>
    <x v="0"/>
    <x v="0"/>
    <x v="1"/>
    <x v="0"/>
  </r>
  <r>
    <x v="2"/>
    <s v="MOH"/>
    <n v="17724"/>
    <n v="310.45"/>
    <n v="9.2799999999999994"/>
    <n v="79.81"/>
    <n v="20.69"/>
    <n v="33.453663793103452"/>
    <n v="3.8898634256358848"/>
    <n v="26.72"/>
    <n v="6.73"/>
    <n v="3.8"/>
    <n v="15.004833252779118"/>
    <s v="NO"/>
    <n v="2.278315302334172"/>
    <n v="1.1535643932982953"/>
    <n v="0.58055392216602775"/>
    <n v="0.34298453214033131"/>
    <n v="1.5916653816005819"/>
    <n v="-0.37109209241609664"/>
    <x v="0"/>
    <x v="1"/>
    <x v="0"/>
    <x v="0"/>
    <x v="1"/>
    <x v="0"/>
  </r>
  <r>
    <x v="2"/>
    <s v="UNH"/>
    <n v="355952"/>
    <n v="311.38"/>
    <n v="27.02"/>
    <n v="109.82"/>
    <n v="23.82"/>
    <n v="11.524056254626203"/>
    <n v="2.8353669641231107"/>
    <n v="22.7"/>
    <n v="7.04"/>
    <n v="3.07"/>
    <n v="13.072208228379512"/>
    <s v="NO"/>
    <n v="-0.66238751918890693"/>
    <n v="0.34257435486250493"/>
    <n v="0.25110350331969356"/>
    <n v="0.4635922273228118"/>
    <n v="0.43508770385253231"/>
    <n v="-0.68009026613362089"/>
    <x v="0"/>
    <x v="1"/>
    <x v="0"/>
    <x v="0"/>
    <x v="1"/>
    <x v="0"/>
  </r>
  <r>
    <x v="3"/>
    <s v="DOCS"/>
    <n v="10951"/>
    <n v="60.43"/>
    <n v="1.24"/>
    <n v="5.5"/>
    <n v="1"/>
    <n v="48.733870967741936"/>
    <n v="10.987272727272726"/>
    <n v="21.24"/>
    <n v="12.88"/>
    <n v="1.1399999999999999"/>
    <n v="60.43"/>
    <s v="NO"/>
    <n v="1.0000000000000002"/>
    <n v="1.0000000000000013"/>
    <n v="0.99999999999999989"/>
    <n v="1.0000000000000011"/>
    <n v="-0.99999999999999434"/>
    <n v="0.99999999999997879"/>
    <x v="0"/>
    <x v="1"/>
    <x v="0"/>
    <x v="0"/>
    <x v="1"/>
    <x v="0"/>
  </r>
  <r>
    <x v="3"/>
    <s v="VEEV"/>
    <n v="38835"/>
    <n v="241.2"/>
    <n v="6.61"/>
    <n v="35.869999999999997"/>
    <n v="4.32"/>
    <n v="36.490166414523443"/>
    <n v="6.7242821299135773"/>
    <n v="13.63"/>
    <n v="6.57"/>
    <n v="1.26"/>
    <n v="55.833333333333329"/>
    <s v="NO"/>
    <n v="-1.0000000000000002"/>
    <n v="-1.0000000000000013"/>
    <n v="-0.99999999999999944"/>
    <n v="-1.0000000000000018"/>
    <n v="0.99999999999999434"/>
    <n v="-0.99999999999997569"/>
    <x v="0"/>
    <x v="1"/>
    <x v="0"/>
    <x v="0"/>
    <x v="1"/>
    <x v="0"/>
  </r>
  <r>
    <x v="4"/>
    <s v="A"/>
    <n v="30654"/>
    <n v="115.42"/>
    <n v="4.5599999999999996"/>
    <n v="21.13"/>
    <n v="4.3600000000000003"/>
    <n v="25.311403508771932"/>
    <n v="5.4623757690487462"/>
    <n v="20.61"/>
    <n v="8.39"/>
    <n v="1.98"/>
    <n v="26.472477064220183"/>
    <s v="NO"/>
    <n v="0.33336963854043677"/>
    <n v="1.0322914416812645"/>
    <n v="0.31027271434305498"/>
    <n v="0.77975619907057525"/>
    <n v="0.12022736675607065"/>
    <n v="-0.33851941238355149"/>
    <x v="0"/>
    <x v="1"/>
    <x v="0"/>
    <x v="0"/>
    <x v="1"/>
    <x v="0"/>
  </r>
  <r>
    <x v="4"/>
    <s v="DHR"/>
    <n v="138189"/>
    <n v="196.61"/>
    <n v="6.76"/>
    <n v="71.06"/>
    <n v="5.16"/>
    <n v="29.084319526627223"/>
    <n v="2.7668167745567129"/>
    <n v="7.22"/>
    <n v="3.93"/>
    <n v="1.56"/>
    <n v="38.102713178294579"/>
    <s v="NO"/>
    <n v="0.8510613269269317"/>
    <n v="-0.5621701854544976"/>
    <n v="-0.84658120700842532"/>
    <n v="-0.64294442959728282"/>
    <n v="-0.86505056568392247"/>
    <n v="1.1740765342544162"/>
    <x v="0"/>
    <x v="1"/>
    <x v="0"/>
    <x v="0"/>
    <x v="1"/>
    <x v="0"/>
  </r>
  <r>
    <x v="4"/>
    <s v="ICLR"/>
    <n v="11034"/>
    <n v="140.49"/>
    <n v="12.91"/>
    <n v="119.56"/>
    <n v="9.19"/>
    <n v="10.882261812548412"/>
    <n v="1.1750585480093678"/>
    <n v="8.01"/>
    <n v="4.41"/>
    <n v="1.76"/>
    <n v="15.287268770402614"/>
    <s v="NO"/>
    <n v="-1.646490684704222"/>
    <n v="-1.5037179004529186"/>
    <n v="-0.77832768961726251"/>
    <n v="-0.48982866687069726"/>
    <n v="-0.39587059785535433"/>
    <n v="-1.7932362867087057"/>
    <x v="0"/>
    <x v="1"/>
    <x v="0"/>
    <x v="0"/>
    <x v="1"/>
    <x v="0"/>
  </r>
  <r>
    <x v="4"/>
    <s v="ILMN"/>
    <n v="12083"/>
    <n v="80.3"/>
    <n v="4.46"/>
    <n v="14.92"/>
    <n v="-7.69"/>
    <n v="18.004484304932735"/>
    <n v="5.3820375335120643"/>
    <n v="-30.13"/>
    <n v="2.64"/>
    <n v="2.66"/>
    <n v="-10.442132639791936"/>
    <s v="NO"/>
    <n v="-0.6692318828391739"/>
    <n v="0.98477022844987927"/>
    <n v="-4.0735038330336515"/>
    <n v="-1.0544430419249817"/>
    <n v="1.7154392573732031"/>
    <n v="-5.1395301968886056"/>
    <x v="0"/>
    <x v="1"/>
    <x v="1"/>
    <x v="0"/>
    <x v="1"/>
    <x v="1"/>
  </r>
  <r>
    <x v="4"/>
    <s v="IQV"/>
    <n v="27029"/>
    <n v="150.68"/>
    <n v="11.66"/>
    <n v="34.450000000000003"/>
    <n v="7.49"/>
    <n v="12.922813036020584"/>
    <n v="4.3738751814223509"/>
    <n v="22.55"/>
    <n v="5.32"/>
    <n v="4.43"/>
    <n v="20.117489986648867"/>
    <s v="NO"/>
    <n v="-1.3665013069605498"/>
    <n v="0.38842780462809851"/>
    <n v="0.47788261780996111"/>
    <n v="-0.19954670003487868"/>
    <n v="5.8676819726560305"/>
    <n v="-1.1650312389868294"/>
    <x v="0"/>
    <x v="1"/>
    <x v="0"/>
    <x v="0"/>
    <x v="0"/>
    <x v="0"/>
  </r>
  <r>
    <x v="4"/>
    <s v="MTD"/>
    <n v="22538"/>
    <n v="1177.05"/>
    <n v="41.23"/>
    <n v="-8.76"/>
    <n v="40.11"/>
    <n v="28.548387096774196"/>
    <n v="-134.36643835616439"/>
    <n v="-498.52"/>
    <n v="21.22"/>
    <n v="-17.78"/>
    <n v="29.345549738219894"/>
    <s v="NO"/>
    <n v="0.77752463457579768"/>
    <n v="-81.678448314383942"/>
    <n v="-44.540927897396593"/>
    <n v="4.8724129402832697"/>
    <n v="-46.234753454706478"/>
    <n v="3.5144375562178934E-2"/>
    <x v="0"/>
    <x v="0"/>
    <x v="1"/>
    <x v="1"/>
    <x v="0"/>
    <x v="0"/>
  </r>
  <r>
    <x v="4"/>
    <s v="RVTY"/>
    <n v="11004"/>
    <n v="96.71"/>
    <n v="4.3"/>
    <n v="63.52"/>
    <n v="2.4300000000000002"/>
    <n v="22.490697674418605"/>
    <n v="1.5225125944584381"/>
    <n v="3.82"/>
    <n v="2.09"/>
    <n v="1.62"/>
    <n v="39.798353909465014"/>
    <s v="NO"/>
    <n v="-5.3666796651166263E-2"/>
    <n v="-1.2981938717122719"/>
    <n v="-1.1403305223627966"/>
    <n v="-1.2298881867158611"/>
    <n v="-0.72429657533535186"/>
    <n v="1.3946068202921011"/>
    <x v="0"/>
    <x v="1"/>
    <x v="0"/>
    <x v="0"/>
    <x v="1"/>
    <x v="0"/>
  </r>
  <r>
    <x v="4"/>
    <s v="SSSGY"/>
    <n v="14536"/>
    <n v="42.51"/>
    <m/>
    <m/>
    <m/>
    <s v=""/>
    <s v=""/>
    <m/>
    <m/>
    <m/>
    <s v=""/>
    <s v="NO"/>
    <e v="#VALUE!"/>
    <e v="#VALUE!"/>
    <n v="-1.4703665178491787"/>
    <n v="-1.8965797369212025"/>
    <n v="-4.5246543147467548"/>
    <e v="#VALUE!"/>
    <x v="1"/>
    <x v="0"/>
    <x v="0"/>
    <x v="0"/>
    <x v="1"/>
    <x v="1"/>
  </r>
  <r>
    <x v="4"/>
    <s v="TEM"/>
    <n v="10167"/>
    <n v="68.91"/>
    <n v="-1.76"/>
    <n v="0.35"/>
    <n v="-6.23"/>
    <n v="-39.153409090909086"/>
    <n v="196.8857142857143"/>
    <n v="640.83000000000004"/>
    <n v="-57.96"/>
    <n v="16.440000000000001"/>
    <n v="-11.06099518459069"/>
    <s v="NO"/>
    <n v="-8.5120161368945109"/>
    <n v="114.26192894051078"/>
    <n v="53.895331646427834"/>
    <n v="-20.385308086156417"/>
    <n v="34.041939040761555"/>
    <n v="-5.2200177267725287"/>
    <x v="1"/>
    <x v="0"/>
    <x v="1"/>
    <x v="1"/>
    <x v="0"/>
    <x v="1"/>
  </r>
  <r>
    <x v="4"/>
    <s v="TMO"/>
    <n v="153961"/>
    <n v="428.95"/>
    <n v="17.649999999999999"/>
    <n v="130.84"/>
    <n v="17.059999999999999"/>
    <n v="24.303116147308785"/>
    <n v="3.2784316722714766"/>
    <n v="13.7"/>
    <n v="5"/>
    <n v="2.0099999999999998"/>
    <n v="25.143610785463071"/>
    <s v="NO"/>
    <n v="0.19501988888676161"/>
    <n v="-0.25954266962418526"/>
    <n v="-0.28672957068597632"/>
    <n v="-0.30162387518593586"/>
    <n v="0.19060436193035543"/>
    <n v="-0.5113480400362117"/>
    <x v="0"/>
    <x v="1"/>
    <x v="0"/>
    <x v="0"/>
    <x v="1"/>
    <x v="0"/>
  </r>
  <r>
    <x v="4"/>
    <s v="WAT"/>
    <n v="20553"/>
    <n v="359.02"/>
    <n v="10.44"/>
    <n v="30.79"/>
    <n v="10.71"/>
    <n v="34.388888888888886"/>
    <n v="11.660279311464761"/>
    <n v="42.82"/>
    <n v="11.4"/>
    <n v="2.4900000000000002"/>
    <n v="33.521942110177399"/>
    <s v="NO"/>
    <n v="1.5789151822251866"/>
    <n v="4.6984398685063367"/>
    <n v="2.2291469184667578"/>
    <n v="1.7399196278352058"/>
    <n v="1.3166362847189201"/>
    <n v="0.57831427438717875"/>
    <x v="0"/>
    <x v="0"/>
    <x v="0"/>
    <x v="0"/>
    <x v="1"/>
    <x v="0"/>
  </r>
  <r>
    <x v="4"/>
    <s v="WST"/>
    <n v="15314"/>
    <n v="215.87"/>
    <n v="4.22"/>
    <n v="37.369999999999997"/>
    <n v="6.37"/>
    <n v="51.154028436018962"/>
    <n v="5.7765587369547768"/>
    <n v="17.420000000000002"/>
    <n v="10.33"/>
    <n v="1.35"/>
    <n v="33.888540031397177"/>
    <s v="NO"/>
    <n v="3.8793038887627445"/>
    <n v="1.2181351524846316"/>
    <n v="3.4666739054689075E-2"/>
    <n v="1.3985990734238585"/>
    <n v="-1.3576895319039191"/>
    <n v="0.6259929736194233"/>
    <x v="1"/>
    <x v="1"/>
    <x v="0"/>
    <x v="0"/>
    <x v="1"/>
    <x v="0"/>
  </r>
  <r>
    <x v="5"/>
    <s v="AZN"/>
    <n v="217244"/>
    <n v="67.72"/>
    <n v="5.93"/>
    <n v="26.48"/>
    <n v="4.97"/>
    <n v="11.419898819561551"/>
    <n v="2.5574018126888216"/>
    <n v="19.79"/>
    <n v="8.16"/>
    <n v="2.59"/>
    <n v="13.625754527162979"/>
    <s v="NO"/>
    <n v="-0.64427372942639027"/>
    <n v="-0.374408130556876"/>
    <n v="-5.3525233510916377E-2"/>
    <n v="8.4463134058597664E-2"/>
    <n v="0.11272111785593293"/>
    <n v="-0.70319265407799592"/>
    <x v="0"/>
    <x v="1"/>
    <x v="0"/>
    <x v="0"/>
    <x v="1"/>
    <x v="0"/>
  </r>
  <r>
    <x v="5"/>
    <s v="BMY"/>
    <n v="96911"/>
    <n v="46.59"/>
    <n v="6.45"/>
    <n v="8.5399999999999991"/>
    <n v="2.67"/>
    <n v="7.2232558139534886"/>
    <n v="5.4555035128805631"/>
    <n v="31.99"/>
    <n v="7.24"/>
    <n v="5.32"/>
    <n v="17.449438202247194"/>
    <s v="NO"/>
    <n v="-0.95545366185255221"/>
    <n v="0.98170067509805137"/>
    <n v="0.770088269521925"/>
    <n v="-0.13213918882338174"/>
    <n v="4.2552221990614685"/>
    <n v="9.3738901199456048E-2"/>
    <x v="0"/>
    <x v="1"/>
    <x v="0"/>
    <x v="0"/>
    <x v="0"/>
    <x v="0"/>
  </r>
  <r>
    <x v="5"/>
    <s v="GSK"/>
    <n v="75556"/>
    <n v="36.35"/>
    <n v="1.28"/>
    <n v="4.4800000000000004"/>
    <n v="0.98"/>
    <n v="28.3984375"/>
    <n v="8.1138392857142847"/>
    <n v="27.1"/>
    <n v="6.55"/>
    <n v="4.29"/>
    <n v="37.091836734693878"/>
    <s v="NO"/>
    <n v="0.61468027552793203"/>
    <n v="2.2256158039870053"/>
    <n v="0.43996777527351577"/>
    <n v="-0.29459093098486638"/>
    <n v="2.6923005457128597"/>
    <n v="4.1876045402020106"/>
    <x v="0"/>
    <x v="1"/>
    <x v="0"/>
    <x v="0"/>
    <x v="1"/>
    <x v="1"/>
  </r>
  <r>
    <x v="5"/>
    <s v="HLN"/>
    <n v="48503"/>
    <n v="10.45"/>
    <n v="0.32"/>
    <n v="2.2400000000000002"/>
    <n v="0.2"/>
    <n v="32.65625"/>
    <n v="4.6651785714285703"/>
    <n v="8.9499999999999993"/>
    <n v="4.55"/>
    <n v="2.12"/>
    <n v="52.249999999999993"/>
    <s v="NO"/>
    <n v="0.930395909252963"/>
    <n v="0.61188390422322214"/>
    <n v="-0.78532608374665414"/>
    <n v="-0.76546554594569127"/>
    <n v="-0.6004567239633346"/>
    <n v="7.3468665641203152"/>
    <x v="0"/>
    <x v="1"/>
    <x v="0"/>
    <x v="0"/>
    <x v="1"/>
    <x v="1"/>
  </r>
  <r>
    <x v="5"/>
    <s v="JNJ"/>
    <n v="378475"/>
    <n v="148.44"/>
    <n v="7.72"/>
    <n v="32.47"/>
    <n v="8.98"/>
    <n v="19.2279792746114"/>
    <n v="4.571604558053588"/>
    <n v="29.45"/>
    <n v="7.77"/>
    <n v="2.48"/>
    <n v="16.530066815144764"/>
    <s v="NO"/>
    <n v="-6.5306696697238611E-2"/>
    <n v="0.56809781365576906"/>
    <n v="0.59861463856262853"/>
    <n v="-7.3574158587633061E-3"/>
    <n v="-5.4192845123044481E-2"/>
    <n v="-9.7876339929241912E-2"/>
    <x v="0"/>
    <x v="1"/>
    <x v="0"/>
    <x v="0"/>
    <x v="1"/>
    <x v="0"/>
  </r>
  <r>
    <x v="5"/>
    <s v="LLY"/>
    <n v="697289"/>
    <n v="746.06"/>
    <n v="-0.74"/>
    <n v="16.64"/>
    <n v="12.29"/>
    <n v="-1008.1891891891892"/>
    <n v="44.835336538461533"/>
    <n v="77.28"/>
    <n v="16.45"/>
    <n v="5.67"/>
    <n v="60.704637917005698"/>
    <s v="NO"/>
    <n v="-76.248009068284915"/>
    <n v="19.408706990189703"/>
    <n v="3.827584626272531"/>
    <n v="2.0362384130712163"/>
    <n v="4.7863120812673063"/>
    <n v="9.1089808803257952"/>
    <x v="1"/>
    <x v="0"/>
    <x v="1"/>
    <x v="0"/>
    <x v="0"/>
    <x v="1"/>
  </r>
  <r>
    <x v="5"/>
    <s v="MRK"/>
    <n v="198673"/>
    <n v="76.63"/>
    <n v="6.74"/>
    <n v="19.21"/>
    <n v="6.88"/>
    <n v="11.369436201780415"/>
    <n v="3.9890681936491408"/>
    <n v="39.29"/>
    <n v="13.81"/>
    <n v="2.38"/>
    <n v="11.138081395348836"/>
    <s v="NO"/>
    <n v="-0.64801551874947461"/>
    <n v="0.29551155716559396"/>
    <n v="1.2629061852710841"/>
    <n v="1.4146839213229279"/>
    <n v="-0.2059328114675697"/>
    <n v="-1.2216731002710013"/>
    <x v="0"/>
    <x v="1"/>
    <x v="0"/>
    <x v="0"/>
    <x v="1"/>
    <x v="0"/>
  </r>
  <r>
    <x v="5"/>
    <s v="NVO"/>
    <n v="299858"/>
    <n v="65.400000000000006"/>
    <n v="2.17"/>
    <n v="4.49"/>
    <n v="3.14"/>
    <n v="30.13824884792627"/>
    <n v="14.565701559020045"/>
    <n v="80.78"/>
    <n v="22.41"/>
    <n v="3.25"/>
    <n v="20.828025477707008"/>
    <s v="NO"/>
    <n v="0.74368681169469442"/>
    <n v="5.2446358891427085"/>
    <n v="4.0638671886180182"/>
    <n v="3.4394447656544744"/>
    <n v="1.1142048957297987"/>
    <n v="0.79790353427766114"/>
    <x v="0"/>
    <x v="0"/>
    <x v="1"/>
    <x v="1"/>
    <x v="1"/>
    <x v="0"/>
  </r>
  <r>
    <x v="5"/>
    <s v="NVS"/>
    <n v="220617"/>
    <n v="106.83"/>
    <n v="7.47"/>
    <n v="19.579999999999998"/>
    <n v="6.38"/>
    <n v="14.301204819277109"/>
    <n v="5.4560776302349341"/>
    <n v="32.89"/>
    <n v="11.42"/>
    <n v="2.6"/>
    <n v="16.744514106583072"/>
    <s v="NO"/>
    <n v="-0.43062567666316237"/>
    <n v="0.98196932184695274"/>
    <n v="0.83084664269647901"/>
    <n v="0.85198875644474215"/>
    <n v="0.12789511449038579"/>
    <n v="-5.3181268889610535E-2"/>
    <x v="0"/>
    <x v="1"/>
    <x v="0"/>
    <x v="0"/>
    <x v="1"/>
    <x v="0"/>
  </r>
  <r>
    <x v="5"/>
    <s v="PFE"/>
    <n v="129569"/>
    <n v="22.87"/>
    <n v="1.74"/>
    <n v="15.56"/>
    <n v="1.38"/>
    <n v="13.14367816091954"/>
    <n v="1.4697943444730077"/>
    <n v="9.06"/>
    <n v="4.6399999999999997"/>
    <n v="2.42"/>
    <n v="16.572463768115945"/>
    <s v="NO"/>
    <n v="-0.5164559621670396"/>
    <n v="-0.88333232208747159"/>
    <n v="-0.777900060358653"/>
    <n v="-0.74427618827245412"/>
    <n v="-0.14523682492975962"/>
    <n v="-8.9039973602572847E-2"/>
    <x v="0"/>
    <x v="1"/>
    <x v="0"/>
    <x v="0"/>
    <x v="1"/>
    <x v="0"/>
  </r>
  <r>
    <x v="5"/>
    <s v="RDY"/>
    <n v="11249"/>
    <n v="14.1"/>
    <n v="0.1"/>
    <n v="4.46"/>
    <n v="0.75"/>
    <n v="141"/>
    <n v="3.1614349775784754"/>
    <n v="18.47"/>
    <n v="10.32"/>
    <n v="1.51"/>
    <n v="18.8"/>
    <s v="NO"/>
    <n v="8.964055374388245"/>
    <n v="-9.1762875643882635E-2"/>
    <n v="-0.14263751416692874"/>
    <n v="0.5930077182162885"/>
    <n v="-1.5260705186649379"/>
    <n v="0.37522278047400159"/>
    <x v="1"/>
    <x v="1"/>
    <x v="0"/>
    <x v="0"/>
    <x v="1"/>
    <x v="0"/>
  </r>
  <r>
    <x v="5"/>
    <s v="RPRX"/>
    <n v="14195"/>
    <n v="32.82"/>
    <n v="0.59"/>
    <n v="15.58"/>
    <n v="1.91"/>
    <n v="55.627118644067799"/>
    <n v="2.1065468549422337"/>
    <n v="13.03"/>
    <n v="4.67"/>
    <n v="2.62"/>
    <n v="17.183246073298431"/>
    <s v="NO"/>
    <n v="2.6336795440246465"/>
    <n v="-0.58537670292715427"/>
    <n v="-0.50988812535534322"/>
    <n v="-0.73721306904804174"/>
    <n v="0.15824310775929085"/>
    <n v="3.8259179195234173E-2"/>
    <x v="0"/>
    <x v="1"/>
    <x v="0"/>
    <x v="0"/>
    <x v="1"/>
    <x v="0"/>
  </r>
  <r>
    <x v="5"/>
    <s v="SNY"/>
    <n v="127660"/>
    <n v="49.96"/>
    <n v="4.87"/>
    <n v="66.89"/>
    <n v="5.39"/>
    <n v="10.258726899383984"/>
    <n v="0.74689789206159363"/>
    <n v="7.3"/>
    <n v="4.28"/>
    <n v="1.71"/>
    <n v="9.2690166975881265"/>
    <s v="NO"/>
    <n v="-0.73037431009840703"/>
    <n v="-1.2215972782920683"/>
    <n v="-0.8967164345666695"/>
    <n v="-0.82903361896540251"/>
    <n v="-1.2225905859758877"/>
    <n v="-1.611223273107361"/>
    <x v="0"/>
    <x v="1"/>
    <x v="0"/>
    <x v="0"/>
    <x v="1"/>
    <x v="0"/>
  </r>
  <r>
    <x v="5"/>
    <s v="TAK"/>
    <n v="47398"/>
    <n v="13.72"/>
    <n v="3.2"/>
    <n v="29.74"/>
    <n v="0.83"/>
    <n v="4.2874999999999996"/>
    <n v="0.46133154001344995"/>
    <n v="2.94"/>
    <n v="2.5099999999999998"/>
    <n v="2.04"/>
    <n v="16.530120481927714"/>
    <s v="NO"/>
    <n v="-1.1731391534669129"/>
    <n v="-1.355222349001499"/>
    <n v="-1.1910569979456194"/>
    <n v="-1.2457576532057326"/>
    <n v="-0.72184869703895482"/>
    <n v="-9.7865154706708521E-2"/>
    <x v="0"/>
    <x v="1"/>
    <x v="0"/>
    <x v="0"/>
    <x v="1"/>
    <x v="0"/>
  </r>
  <r>
    <x v="5"/>
    <s v="TEVA"/>
    <n v="20186"/>
    <n v="17.48"/>
    <n v="0.66"/>
    <n v="4.74"/>
    <n v="-1.45"/>
    <n v="26.484848484848484"/>
    <n v="3.6877637130801686"/>
    <n v="-28.3"/>
    <n v="5.09"/>
    <n v="7.32"/>
    <n v="-12.055172413793104"/>
    <s v="NO"/>
    <n v="0.47278817280903151"/>
    <n v="0.15452214355880661"/>
    <n v="-3.3000476401379117"/>
    <n v="-0.63832939990626847"/>
    <n v="7.2900215259519712"/>
    <n v="-6.055607442304952"/>
    <x v="0"/>
    <x v="1"/>
    <x v="1"/>
    <x v="0"/>
    <x v="0"/>
    <x v="1"/>
  </r>
  <r>
    <x v="5"/>
    <s v="VTRS"/>
    <n v="10198"/>
    <n v="8.7899999999999991"/>
    <n v="1.63"/>
    <n v="15.61"/>
    <n v="-0.53"/>
    <n v="5.3926380368098155"/>
    <n v="0.56310057655349133"/>
    <n v="-3.24"/>
    <n v="2.4900000000000002"/>
    <n v="2.23"/>
    <n v="-16.584905660377355"/>
    <s v="NO"/>
    <n v="-1.0911934699392687"/>
    <n v="-1.3076015610264473"/>
    <n v="-1.6082644937442225"/>
    <n v="-1.2504663993553407"/>
    <n v="-0.43354276098435723"/>
    <n v="-6.9996937391696799"/>
    <x v="0"/>
    <x v="1"/>
    <x v="0"/>
    <x v="0"/>
    <x v="1"/>
    <x v="1"/>
  </r>
  <r>
    <x v="5"/>
    <s v="ZTS"/>
    <n v="69581"/>
    <n v="160.41"/>
    <n v="5.0599999999999996"/>
    <n v="10.64"/>
    <n v="5.47"/>
    <n v="31.701581027667984"/>
    <n v="15.076127819548871"/>
    <n v="51.14"/>
    <n v="14.87"/>
    <n v="2.98"/>
    <n v="29.325411334552104"/>
    <s v="NO"/>
    <n v="0.85960746575118208"/>
    <n v="5.4834796628083673"/>
    <n v="2.0628914320693768"/>
    <n v="1.6642474672521648"/>
    <n v="0.704506986599581"/>
    <n v="2.5689273694381463"/>
    <x v="0"/>
    <x v="0"/>
    <x v="0"/>
    <x v="0"/>
    <x v="1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0">
  <r>
    <x v="0"/>
    <s v="AAPG"/>
    <n v="2104"/>
    <n v="24.04"/>
    <m/>
    <m/>
    <m/>
    <s v=""/>
    <s v=""/>
    <n v="-235.32"/>
    <n v="-9.25"/>
    <n v="9.91"/>
    <s v=""/>
    <s v="NO"/>
    <e v="#VALUE!"/>
    <e v="#VALUE!"/>
    <n v="-2.7351235808729788"/>
    <n v="0.14588964810461486"/>
    <n v="50.779474996294347"/>
    <e v="#VALUE!"/>
    <x v="0"/>
    <x v="0"/>
    <x v="0"/>
    <x v="0"/>
    <x v="0"/>
    <x v="0"/>
  </r>
  <r>
    <x v="0"/>
    <s v="ACAD"/>
    <n v="2470"/>
    <n v="17.2"/>
    <n v="0.95"/>
    <n v="4.4000000000000004"/>
    <n v="1.36"/>
    <n v="18.105263157894736"/>
    <n v="3.9090909090909087"/>
    <n v="38.89"/>
    <n v="5.44"/>
    <n v="1.62"/>
    <n v="12.647058823529409"/>
    <s v="NO"/>
    <n v="2.1135516612666549"/>
    <n v="-0.23233104299450852"/>
    <n v="0.70180394180811456"/>
    <n v="1.015034852498591"/>
    <n v="2.3164618756404245"/>
    <n v="1.1815600067230989"/>
    <x v="1"/>
    <x v="1"/>
    <x v="0"/>
    <x v="1"/>
    <x v="1"/>
    <x v="1"/>
  </r>
  <r>
    <x v="0"/>
    <s v="ACLX"/>
    <n v="2916"/>
    <n v="58.25"/>
    <n v="-1.81"/>
    <n v="8.3800000000000008"/>
    <n v="-2"/>
    <n v="-32.182320441988949"/>
    <n v="6.95107398568019"/>
    <n v="-22.84"/>
    <n v="-11.19"/>
    <n v="1.56"/>
    <n v="-29.125"/>
    <s v="NO"/>
    <n v="-1.2860903013864566"/>
    <n v="0.40827258628266566"/>
    <n v="-7.1915236832722385E-2"/>
    <n v="3.1108048613511158E-2"/>
    <n v="1.9657042414740507"/>
    <n v="-1.2727065730210791"/>
    <x v="1"/>
    <x v="1"/>
    <x v="0"/>
    <x v="1"/>
    <x v="1"/>
    <x v="1"/>
  </r>
  <r>
    <x v="0"/>
    <s v="ADMA"/>
    <n v="5632"/>
    <n v="19.88"/>
    <n v="0.47"/>
    <n v="1.48"/>
    <n v="0.81"/>
    <n v="42.297872340425535"/>
    <n v="13.432432432432432"/>
    <n v="81.64"/>
    <n v="21.24"/>
    <n v="1.4"/>
    <n v="24.543209876543209"/>
    <s v="NO"/>
    <n v="3.7490688898810935"/>
    <n v="1.7731656968291654"/>
    <n v="1.2376292275183978"/>
    <n v="1.9498540648488172"/>
    <n v="1.0303505503637207"/>
    <n v="1.8805039127523262"/>
    <x v="0"/>
    <x v="1"/>
    <x v="0"/>
    <x v="1"/>
    <x v="1"/>
    <x v="1"/>
  </r>
  <r>
    <x v="0"/>
    <s v="AKRO"/>
    <n v="3409"/>
    <n v="40.01"/>
    <n v="-3.44"/>
    <n v="10.36"/>
    <n v="-3.75"/>
    <n v="-11.630813953488373"/>
    <n v="3.861969111969112"/>
    <n v="-39.22"/>
    <n v="-25.37"/>
    <n v="1.1000000000000001"/>
    <n v="-10.669333333333332"/>
    <s v="NO"/>
    <n v="0.1032738090458819"/>
    <n v="-0.24225430472682924"/>
    <n v="-0.2772209252522414"/>
    <n v="-0.80786261158435024"/>
    <n v="-0.7234376204681453"/>
    <n v="-0.18836629431341939"/>
    <x v="1"/>
    <x v="1"/>
    <x v="0"/>
    <x v="1"/>
    <x v="1"/>
    <x v="1"/>
  </r>
  <r>
    <x v="0"/>
    <s v="ALKS"/>
    <n v="5010"/>
    <n v="30.84"/>
    <n v="2.93"/>
    <n v="9.17"/>
    <n v="2.11"/>
    <n v="10.525597269624573"/>
    <n v="3.3631406761177756"/>
    <n v="25.71"/>
    <n v="11.62"/>
    <n v="1.38"/>
    <n v="14.616113744075831"/>
    <s v="NO"/>
    <n v="1.601135904294128"/>
    <n v="-0.34730134093562631"/>
    <n v="0.53660681278679212"/>
    <n v="1.3806793292279833"/>
    <n v="0.91343133897492945"/>
    <n v="1.2972494369614718"/>
    <x v="1"/>
    <x v="1"/>
    <x v="0"/>
    <x v="1"/>
    <x v="1"/>
    <x v="1"/>
  </r>
  <r>
    <x v="0"/>
    <s v="ALVO"/>
    <n v="2396"/>
    <n v="10.56"/>
    <n v="-1.1000000000000001"/>
    <n v="-1.37"/>
    <n v="-0.87"/>
    <n v="-9.6"/>
    <n v="-7.7080291970802914"/>
    <n v="34.47"/>
    <n v="4.0599999999999996"/>
    <n v="-2.96"/>
    <n v="-12.13793103448276"/>
    <s v="NO"/>
    <n v="0.24056496205798458"/>
    <n v="-2.6787513926126771"/>
    <n v="0.64640399413935545"/>
    <n v="0.93338608585028027"/>
    <n v="-24.458037532392744"/>
    <n v="-0.27465196848253448"/>
    <x v="1"/>
    <x v="0"/>
    <x v="0"/>
    <x v="1"/>
    <x v="0"/>
    <x v="1"/>
  </r>
  <r>
    <x v="0"/>
    <s v="APGE"/>
    <n v="2057"/>
    <n v="39.74"/>
    <n v="-3.12"/>
    <n v="12.35"/>
    <n v="-3.3"/>
    <n v="-12.737179487179487"/>
    <n v="3.2178137651821865"/>
    <n v="-33.22"/>
    <n v="-23.46"/>
    <n v="1.05"/>
    <n v="-12.042424242424243"/>
    <s v="NO"/>
    <n v="2.8479069964839284E-2"/>
    <n v="-0.37790537265869584"/>
    <n v="-0.2020173763806227"/>
    <n v="-0.69485598528125325"/>
    <n v="-1.0157356489401235"/>
    <n v="-0.2690405829178909"/>
    <x v="1"/>
    <x v="1"/>
    <x v="0"/>
    <x v="1"/>
    <x v="1"/>
    <x v="1"/>
  </r>
  <r>
    <x v="0"/>
    <s v="APLS"/>
    <n v="2261"/>
    <n v="17.28"/>
    <n v="-0.71"/>
    <n v="1.84"/>
    <n v="-1.6"/>
    <n v="-24.338028169014088"/>
    <n v="9.3913043478260878"/>
    <n v="-93.55"/>
    <n v="-12.32"/>
    <n v="3.87"/>
    <n v="-10.8"/>
    <s v="NO"/>
    <n v="-0.75578474145530539"/>
    <n v="0.92215461221941819"/>
    <n v="-0.95818906028474848"/>
    <n v="-3.5749274801410137E-2"/>
    <n v="15.469873156879428"/>
    <n v="-0.19604345560540573"/>
    <x v="1"/>
    <x v="1"/>
    <x v="0"/>
    <x v="1"/>
    <x v="0"/>
    <x v="1"/>
  </r>
  <r>
    <x v="0"/>
    <s v="ASND"/>
    <n v="9720"/>
    <n v="161.52000000000001"/>
    <n v="-4.07"/>
    <n v="-3.4"/>
    <n v="-6.3"/>
    <n v="-39.685503685503683"/>
    <n v="-47.505882352941178"/>
    <n v="159.66999999999999"/>
    <n v="-22.39"/>
    <n v="-5.59"/>
    <n v="-25.638095238095239"/>
    <s v="NO"/>
    <n v="-1.7933355253981225"/>
    <n v="-11.059682031342437"/>
    <n v="2.2156513805937985"/>
    <n v="-0.63154860824234549"/>
    <n v="-39.832913830018782"/>
    <n v="-1.0678377189373718"/>
    <x v="1"/>
    <x v="0"/>
    <x v="0"/>
    <x v="0"/>
    <x v="0"/>
    <x v="1"/>
  </r>
  <r>
    <x v="0"/>
    <s v="BBIO"/>
    <n v="6802"/>
    <n v="33.26"/>
    <n v="-2.7"/>
    <n v="-8.68"/>
    <n v="-3.54"/>
    <n v="-12.318518518518516"/>
    <n v="-3.8317972350230414"/>
    <n v="50.59"/>
    <n v="-48.27"/>
    <n v="-0.53"/>
    <n v="-9.3954802259887007"/>
    <s v="NO"/>
    <n v="5.6782227430296192E-2"/>
    <n v="-1.8624653711933279"/>
    <n v="0.8484508621077711"/>
    <n v="-2.1627588117628429"/>
    <n v="-10.252353348654625"/>
    <n v="-0.11352260221610348"/>
    <x v="1"/>
    <x v="1"/>
    <x v="0"/>
    <x v="1"/>
    <x v="0"/>
    <x v="1"/>
  </r>
  <r>
    <x v="0"/>
    <s v="BCRX"/>
    <n v="2109"/>
    <n v="10.06"/>
    <n v="-0.26"/>
    <n v="-2.2799999999999998"/>
    <n v="-0.26"/>
    <n v="-38.692307692307693"/>
    <n v="-4.4122807017543861"/>
    <n v="19.079999999999998"/>
    <n v="-0.16"/>
    <n v="-1.03"/>
    <n v="-38.692307692307693"/>
    <s v="NO"/>
    <n v="-1.726191500294959"/>
    <n v="-1.9847079367043861"/>
    <n v="0.45350689128365351"/>
    <n v="0.68370652407066279"/>
    <n v="-13.175333633374402"/>
    <n v="-1.8348221160101628"/>
    <x v="1"/>
    <x v="1"/>
    <x v="0"/>
    <x v="1"/>
    <x v="0"/>
    <x v="1"/>
  </r>
  <r>
    <x v="0"/>
    <s v="BPMC"/>
    <n v="6445"/>
    <n v="99.405000000000001"/>
    <n v="-2.38"/>
    <n v="5.3"/>
    <n v="-2.4500000000000002"/>
    <n v="-41.766806722689076"/>
    <n v="18.755660377358492"/>
    <n v="-47.71"/>
    <n v="-9.75"/>
    <n v="3.49"/>
    <n v="-40.573469387755097"/>
    <s v="NO"/>
    <n v="-1.9340399425860899"/>
    <n v="2.894170993417712"/>
    <n v="-0.38363394690558184"/>
    <n v="0.11630676163783556"/>
    <n v="13.248408140492398"/>
    <n v="-1.9453474865631426"/>
    <x v="1"/>
    <x v="0"/>
    <x v="0"/>
    <x v="1"/>
    <x v="0"/>
    <x v="1"/>
  </r>
  <r>
    <x v="0"/>
    <s v="CPRX"/>
    <n v="2861"/>
    <n v="23.65"/>
    <n v="2.02"/>
    <n v="6.02"/>
    <n v="1.31"/>
    <n v="11.707920792079207"/>
    <n v="3.9285714285714288"/>
    <n v="29.38"/>
    <n v="18.46"/>
    <n v="1.17"/>
    <n v="18.053435114503817"/>
    <s v="NO"/>
    <n v="1.6810657074906752"/>
    <n v="-0.22822868898226403"/>
    <n v="0.58260631684659892"/>
    <n v="1.7853732160935245"/>
    <n v="-0.31422038060737728"/>
    <n v="1.4992050791030549"/>
    <x v="1"/>
    <x v="1"/>
    <x v="0"/>
    <x v="1"/>
    <x v="1"/>
    <x v="1"/>
  </r>
  <r>
    <x v="0"/>
    <s v="CRNX"/>
    <n v="2939"/>
    <n v="30.95"/>
    <n v="-2.84"/>
    <n v="14.26"/>
    <n v="-3.69"/>
    <n v="-10.897887323943662"/>
    <n v="2.170406732117812"/>
    <n v="-32.020000000000003"/>
    <n v="-20.46"/>
    <n v="1.08"/>
    <n v="-8.3875338753387538"/>
    <s v="NO"/>
    <n v="0.15282258325566264"/>
    <n v="-0.59847620747865171"/>
    <n v="-0.186976666606299"/>
    <n v="-0.51735866648057738"/>
    <n v="-0.84035683185693655"/>
    <n v="-5.4301938637466463E-2"/>
    <x v="1"/>
    <x v="1"/>
    <x v="0"/>
    <x v="1"/>
    <x v="1"/>
    <x v="1"/>
  </r>
  <r>
    <x v="0"/>
    <s v="CRSP"/>
    <n v="2958"/>
    <n v="37.22"/>
    <n v="-1.71"/>
    <n v="22.53"/>
    <n v="-4.34"/>
    <n v="-21.76608187134503"/>
    <n v="1.6520195295162006"/>
    <n v="-19.2"/>
    <n v="-13.04"/>
    <n v="1.1599999999999999"/>
    <n v="-8.5760368663594466"/>
    <s v="NO"/>
    <n v="-0.58191087571508993"/>
    <n v="-0.70764207559707926"/>
    <n v="-2.6291750517273702E-2"/>
    <n v="-7.8348631313572281E-2"/>
    <n v="-0.3726799863017729"/>
    <n v="-6.5377202918749835E-2"/>
    <x v="1"/>
    <x v="1"/>
    <x v="0"/>
    <x v="1"/>
    <x v="1"/>
    <x v="1"/>
  </r>
  <r>
    <x v="0"/>
    <s v="CYTK"/>
    <n v="3938"/>
    <n v="30.61"/>
    <n v="-3.57"/>
    <n v="-1.1499999999999999"/>
    <n v="-5.26"/>
    <n v="-8.5742296918767504"/>
    <n v="-26.617391304347827"/>
    <n v="226"/>
    <n v="-30.11"/>
    <n v="-10.35"/>
    <n v="-5.8193916349809891"/>
    <s v="NO"/>
    <n v="0.30991114125175828"/>
    <n v="-6.6608267981121694"/>
    <n v="3.0470266133695429"/>
    <n v="-1.088308375289418"/>
    <n v="-67.659686140551074"/>
    <n v="9.6586139423677497E-2"/>
    <x v="1"/>
    <x v="0"/>
    <x v="0"/>
    <x v="0"/>
    <x v="0"/>
    <x v="1"/>
  </r>
  <r>
    <x v="0"/>
    <s v="DNLI"/>
    <n v="2080"/>
    <n v="14.26"/>
    <n v="-2.21"/>
    <n v="8.5299999999999994"/>
    <n v="-2.57"/>
    <n v="-6.4524886877828056"/>
    <n v="1.671746776084408"/>
    <n v="-37.4"/>
    <n v="-24.82"/>
    <n v="1.1200000000000001"/>
    <n v="-5.5486381322957197"/>
    <s v="NO"/>
    <n v="0.45334932688405033"/>
    <n v="-0.70348776394278545"/>
    <n v="-0.25440918209451702"/>
    <n v="-0.77532143647089302"/>
    <n v="-0.60651840907935406"/>
    <n v="0.1124939326161651"/>
    <x v="1"/>
    <x v="1"/>
    <x v="0"/>
    <x v="1"/>
    <x v="1"/>
    <x v="1"/>
  </r>
  <r>
    <x v="0"/>
    <s v="GRFS"/>
    <n v="4981"/>
    <n v="7.86"/>
    <n v="0.81"/>
    <n v="8.9600000000000009"/>
    <n v="0.24"/>
    <n v="9.7037037037037042"/>
    <n v="0.87723214285714279"/>
    <n v="2.64"/>
    <n v="3.89"/>
    <n v="3.64"/>
    <n v="32.75"/>
    <s v="NO"/>
    <n v="1.5455726090327975"/>
    <n v="-0.87080261900433065"/>
    <n v="0.24744916737541831"/>
    <n v="0.92332790445157531"/>
    <n v="14.125302225908328"/>
    <n v="2.362683898471134"/>
    <x v="1"/>
    <x v="1"/>
    <x v="0"/>
    <x v="1"/>
    <x v="0"/>
    <x v="1"/>
  </r>
  <r>
    <x v="0"/>
    <s v="HALO"/>
    <n v="8665"/>
    <n v="50.23"/>
    <n v="3.69"/>
    <n v="2.95"/>
    <n v="3.43"/>
    <n v="13.612466124661246"/>
    <n v="17.027118644067794"/>
    <n v="198.42"/>
    <n v="18.16"/>
    <n v="5.67"/>
    <n v="14.644314868804663"/>
    <s v="NO"/>
    <n v="1.8098205962508502"/>
    <n v="2.5301617008530042"/>
    <n v="2.7013409670563355"/>
    <n v="1.7676234842134568"/>
    <n v="25.99260218187063"/>
    <n v="1.2989063597917678"/>
    <x v="1"/>
    <x v="1"/>
    <x v="0"/>
    <x v="0"/>
    <x v="0"/>
    <x v="1"/>
  </r>
  <r>
    <x v="0"/>
    <s v="IMVT"/>
    <n v="2358"/>
    <n v="14.02"/>
    <n v="-2.23"/>
    <n v="2.4"/>
    <n v="-2.62"/>
    <n v="-6.2869955156950672"/>
    <n v="5.8416666666666668"/>
    <n v="-74.17"/>
    <n v="-44.73"/>
    <n v="1.19"/>
    <n v="-5.3511450381679388"/>
    <s v="NO"/>
    <n v="0.46453732781960039"/>
    <n v="0.17464526587575538"/>
    <n v="-0.71528159742942021"/>
    <n v="-1.953311975578045"/>
    <n v="-0.19730116921858604"/>
    <n v="0.12409739948610689"/>
    <x v="1"/>
    <x v="1"/>
    <x v="0"/>
    <x v="1"/>
    <x v="1"/>
    <x v="1"/>
  </r>
  <r>
    <x v="0"/>
    <s v="IONS"/>
    <n v="5263"/>
    <n v="32.53"/>
    <n v="-3.66"/>
    <n v="2.99"/>
    <n v="-3"/>
    <n v="-8.8879781420765021"/>
    <n v="10.879598662207357"/>
    <n v="-118.62"/>
    <n v="-10.59"/>
    <n v="5.91"/>
    <n v="-10.843333333333334"/>
    <s v="NO"/>
    <n v="0.28870049002017034"/>
    <n v="1.2355708000222112"/>
    <n v="-1.2724145553199953"/>
    <n v="6.6607512373646316E-2"/>
    <n v="27.395632718536124"/>
    <n v="-0.19858945297264605"/>
    <x v="1"/>
    <x v="1"/>
    <x v="0"/>
    <x v="1"/>
    <x v="0"/>
    <x v="1"/>
  </r>
  <r>
    <x v="0"/>
    <s v="KRYS"/>
    <n v="3953"/>
    <n v="134.53"/>
    <n v="4.17"/>
    <n v="32.869999999999997"/>
    <n v="3"/>
    <n v="32.261390887290169"/>
    <n v="4.0927897779129907"/>
    <n v="10.34"/>
    <n v="6.88"/>
    <n v="1.1200000000000001"/>
    <n v="44.843333333333334"/>
    <s v="NO"/>
    <n v="3.0705625655973479"/>
    <n v="-0.19364635636124827"/>
    <n v="0.34396038842732896"/>
    <n v="1.1002335655229156"/>
    <n v="-0.60651840907935406"/>
    <n v="3.0732130098825143"/>
    <x v="0"/>
    <x v="1"/>
    <x v="0"/>
    <x v="1"/>
    <x v="1"/>
    <x v="1"/>
  </r>
  <r>
    <x v="0"/>
    <s v="LEGN"/>
    <n v="5779"/>
    <n v="31.08"/>
    <n v="-0.86"/>
    <n v="5.67"/>
    <n v="-0.97"/>
    <n v="-36.139534883720927"/>
    <n v="5.481481481481481"/>
    <n v="-15.45"/>
    <n v="-10.84"/>
    <n v="1.61"/>
    <n v="-32.041237113402062"/>
    <s v="NO"/>
    <n v="-1.5536138391720355"/>
    <n v="9.8794766043190291E-2"/>
    <n v="2.0710467527487973E-2"/>
    <n v="5.181606914025666E-2"/>
    <n v="2.2580022699460289"/>
    <n v="-1.444046542551161"/>
    <x v="1"/>
    <x v="1"/>
    <x v="0"/>
    <x v="1"/>
    <x v="1"/>
    <x v="1"/>
  </r>
  <r>
    <x v="0"/>
    <s v="MDGL"/>
    <n v="6635"/>
    <n v="295.36"/>
    <n v="-18.420000000000002"/>
    <n v="32.03"/>
    <n v="-17.97"/>
    <n v="-16.034744842562432"/>
    <n v="9.2213549797065255"/>
    <n v="-50.16"/>
    <n v="-25.56"/>
    <n v="1.4"/>
    <n v="-16.436282693377855"/>
    <s v="NO"/>
    <n v="-0.19444954887571503"/>
    <n v="0.88636539864732256"/>
    <n v="-0.41434206269482604"/>
    <n v="-0.81910410844172632"/>
    <n v="1.0303505503637207"/>
    <n v="-0.52719639941376639"/>
    <x v="1"/>
    <x v="1"/>
    <x v="0"/>
    <x v="1"/>
    <x v="1"/>
    <x v="1"/>
  </r>
  <r>
    <x v="0"/>
    <s v="MIRM"/>
    <n v="2039"/>
    <n v="45.27"/>
    <n v="-0.22"/>
    <n v="4.67"/>
    <n v="-1.85"/>
    <n v="-205.77272727272728"/>
    <n v="9.6937901498929353"/>
    <n v="-37.08"/>
    <n v="-8.31"/>
    <n v="2.97"/>
    <n v="-24.470270270270269"/>
    <s v="NO"/>
    <n v="-13.021496720420842"/>
    <n v="0.98585434286555351"/>
    <n v="-0.25039832615469737"/>
    <n v="0.20150547466215996"/>
    <n v="10.208508644383826"/>
    <n v="-0.99922358139552792"/>
    <x v="0"/>
    <x v="1"/>
    <x v="0"/>
    <x v="1"/>
    <x v="0"/>
    <x v="1"/>
  </r>
  <r>
    <x v="0"/>
    <s v="MLTX"/>
    <n v="2387"/>
    <n v="38.54"/>
    <n v="-1.86"/>
    <n v="7.08"/>
    <n v="-1.89"/>
    <n v="-20.72043010752688"/>
    <n v="5.4435028248587569"/>
    <n v="-25.08"/>
    <n v="-17.809999999999999"/>
    <n v="1.07"/>
    <n v="-20.391534391534393"/>
    <s v="NO"/>
    <n v="-0.51122063052687927"/>
    <n v="9.0796935465228309E-2"/>
    <n v="-9.9991228411460006E-2"/>
    <n v="-0.36056936820664692"/>
    <n v="-0.89881643755133223"/>
    <n v="-0.75958240888175299"/>
    <x v="1"/>
    <x v="1"/>
    <x v="0"/>
    <x v="1"/>
    <x v="1"/>
    <x v="1"/>
  </r>
  <r>
    <x v="0"/>
    <s v="MRNA"/>
    <n v="9305"/>
    <n v="25.49"/>
    <n v="-10.48"/>
    <n v="26.01"/>
    <n v="-8.73"/>
    <n v="-2.4322519083969465"/>
    <n v="0.98000768935024973"/>
    <n v="-29.34"/>
    <n v="-15.84"/>
    <n v="1.26"/>
    <n v="-2.9198167239404351"/>
    <s v="NO"/>
    <n v="0.72513342698611172"/>
    <n v="-0.84915937299447841"/>
    <n v="-0.15338574811030928"/>
    <n v="-0.24401279552753649"/>
    <n v="0.21191607064218332"/>
    <n v="0.26694714149195564"/>
    <x v="1"/>
    <x v="1"/>
    <x v="0"/>
    <x v="1"/>
    <x v="1"/>
    <x v="1"/>
  </r>
  <r>
    <x v="0"/>
    <s v="MRUS"/>
    <n v="2728"/>
    <n v="40.92"/>
    <n v="-2.92"/>
    <n v="9.41"/>
    <n v="-3.35"/>
    <n v="-14.013698630136988"/>
    <n v="4.3485653560042508"/>
    <n v="-42.88"/>
    <n v="-27.47"/>
    <n v="1.21"/>
    <n v="-12.214925373134328"/>
    <s v="NO"/>
    <n v="-5.7818734261696314E-2"/>
    <n v="-0.1397832152850525"/>
    <n v="-0.32309509006392884"/>
    <n v="-0.93211073474482331"/>
    <n v="-8.0381957829794792E-2"/>
    <n v="-0.27917567733251841"/>
    <x v="1"/>
    <x v="1"/>
    <x v="0"/>
    <x v="1"/>
    <x v="1"/>
    <x v="1"/>
  </r>
  <r>
    <x v="0"/>
    <s v="MTSR"/>
    <n v="2431"/>
    <n v="26.1"/>
    <m/>
    <m/>
    <m/>
    <s v=""/>
    <s v=""/>
    <n v="-108.4"/>
    <n v="-27.09"/>
    <n v="-1.78"/>
    <s v=""/>
    <s v="NO"/>
    <e v="#VALUE!"/>
    <e v="#VALUE!"/>
    <n v="-1.144317843742005"/>
    <n v="-0.90962774103007105"/>
    <n v="-17.55980406045407"/>
    <e v="#VALUE!"/>
    <x v="0"/>
    <x v="0"/>
    <x v="0"/>
    <x v="1"/>
    <x v="0"/>
    <x v="0"/>
  </r>
  <r>
    <x v="0"/>
    <s v="NAMS"/>
    <n v="2078"/>
    <n v="18.75"/>
    <n v="-1.69"/>
    <n v="7.01"/>
    <n v="-2.56"/>
    <n v="-11.094674556213018"/>
    <n v="2.674750356633381"/>
    <n v="-46.2"/>
    <n v="-18.190000000000001"/>
    <n v="1.1399999999999999"/>
    <n v="-7.32421875"/>
    <s v="NO"/>
    <n v="0.13951897857542472"/>
    <n v="-0.49226774144414465"/>
    <n v="-0.36470772043955785"/>
    <n v="-0.38305236192139935"/>
    <n v="-0.48959919769056415"/>
    <n v="8.1718500469788527E-3"/>
    <x v="1"/>
    <x v="1"/>
    <x v="0"/>
    <x v="1"/>
    <x v="1"/>
    <x v="1"/>
  </r>
  <r>
    <x v="0"/>
    <s v="NUVL"/>
    <n v="4790"/>
    <n v="71.42"/>
    <n v="-2.79"/>
    <n v="14.99"/>
    <n v="-3.93"/>
    <n v="-25.598566308243729"/>
    <n v="4.76450967311541"/>
    <n v="-29.46"/>
    <n v="-18.7"/>
    <n v="1.07"/>
    <n v="-18.173027989821882"/>
    <s v="NO"/>
    <n v="-0.84100216585466891"/>
    <n v="-5.2190538925597413E-2"/>
    <n v="-0.15488981908774169"/>
    <n v="-0.41322690611751411"/>
    <n v="-0.89881643755133223"/>
    <n v="-0.62923675985177108"/>
    <x v="1"/>
    <x v="1"/>
    <x v="0"/>
    <x v="1"/>
    <x v="1"/>
    <x v="1"/>
  </r>
  <r>
    <x v="0"/>
    <s v="PCVX"/>
    <n v="3741"/>
    <n v="30.05"/>
    <n v="-4.6900000000000004"/>
    <n v="26.47"/>
    <n v="-3.8"/>
    <n v="-6.407249466950959"/>
    <n v="1.135247449943332"/>
    <n v="-20.41"/>
    <n v="-14.47"/>
    <n v="1.06"/>
    <n v="-7.9078947368421062"/>
    <s v="NO"/>
    <n v="0.45640767931397369"/>
    <n v="-0.81646781898506227"/>
    <n v="-4.1457799539716816E-2"/>
    <n v="-0.16295568660856122"/>
    <n v="-0.95727604324572779"/>
    <n v="-2.6121323625822881E-2"/>
    <x v="1"/>
    <x v="1"/>
    <x v="0"/>
    <x v="1"/>
    <x v="1"/>
    <x v="1"/>
  </r>
  <r>
    <x v="0"/>
    <s v="PTCT"/>
    <n v="3230"/>
    <n v="46.39"/>
    <n v="-2.37"/>
    <n v="-14.13"/>
    <n v="-4.7300000000000004"/>
    <n v="-19.573839662447256"/>
    <n v="-3.2830856334041045"/>
    <n v="37.909999999999997"/>
    <n v="-5.09"/>
    <n v="-1.55"/>
    <n v="-9.8076109936575051"/>
    <s v="NO"/>
    <n v="-0.43370652640757101"/>
    <n v="-1.7469135635160491"/>
    <n v="0.68952069549241679"/>
    <n v="0.39201926350821875"/>
    <n v="-16.215233129482971"/>
    <n v="-0.13773684489556923"/>
    <x v="1"/>
    <x v="1"/>
    <x v="0"/>
    <x v="1"/>
    <x v="0"/>
    <x v="1"/>
  </r>
  <r>
    <x v="0"/>
    <s v="PTGX"/>
    <n v="2670"/>
    <n v="44.27"/>
    <n v="2.97"/>
    <n v="11.06"/>
    <n v="4.2300000000000004"/>
    <n v="14.905723905723907"/>
    <n v="4.0027124773960221"/>
    <n v="54.39"/>
    <n v="28.66"/>
    <n v="1.1000000000000001"/>
    <n v="10.465721040189125"/>
    <s v="NO"/>
    <n v="1.897249999421426"/>
    <n v="-0.21261551042089519"/>
    <n v="0.89607977639312952"/>
    <n v="2.3888641000158222"/>
    <n v="-0.7234376204681453"/>
    <n v="1.0533981547204936"/>
    <x v="1"/>
    <x v="1"/>
    <x v="0"/>
    <x v="1"/>
    <x v="1"/>
    <x v="1"/>
  </r>
  <r>
    <x v="0"/>
    <s v="RARE"/>
    <n v="3138"/>
    <n v="35.4"/>
    <n v="-4.8"/>
    <n v="2.76"/>
    <n v="-6.29"/>
    <n v="-7.375"/>
    <n v="12.82608695652174"/>
    <n v="-211.71"/>
    <n v="-22.37"/>
    <n v="5.89"/>
    <n v="-5.627980922098569"/>
    <s v="NO"/>
    <n v="0.39098386918003347"/>
    <n v="1.6454769153058653"/>
    <n v="-2.4391976160631597"/>
    <n v="-0.63036529278367437"/>
    <n v="27.27871350714733"/>
    <n v="0.10783224337122145"/>
    <x v="1"/>
    <x v="1"/>
    <x v="0"/>
    <x v="0"/>
    <x v="0"/>
    <x v="1"/>
  </r>
  <r>
    <x v="0"/>
    <s v="RNA"/>
    <n v="3154"/>
    <n v="29.88"/>
    <n v="-2.76"/>
    <n v="11.89"/>
    <n v="-2.89"/>
    <n v="-10.82608695652174"/>
    <n v="2.5130361648444071"/>
    <n v="-33.47"/>
    <n v="-21.6"/>
    <n v="1.1000000000000001"/>
    <n v="-10.339100346020761"/>
    <s v="NO"/>
    <n v="0.15767657552468153"/>
    <n v="-0.52632272977162531"/>
    <n v="-0.20515085758360679"/>
    <n v="-0.58480764762483428"/>
    <n v="-0.7234376204681453"/>
    <n v="-0.16896385624556431"/>
    <x v="1"/>
    <x v="1"/>
    <x v="0"/>
    <x v="1"/>
    <x v="1"/>
    <x v="1"/>
  </r>
  <r>
    <x v="0"/>
    <s v="ROIV"/>
    <n v="7970"/>
    <n v="10.76"/>
    <n v="-1.04"/>
    <n v="7.21"/>
    <n v="-0.96"/>
    <n v="-10.346153846153845"/>
    <n v="1.492371705963939"/>
    <n v="-14.64"/>
    <n v="-11.62"/>
    <n v="1.1200000000000001"/>
    <n v="-11.208333333333334"/>
    <s v="NO"/>
    <n v="0.19012197505422063"/>
    <n v="-0.74126191259119179"/>
    <n v="3.0862946625156481E-2"/>
    <n v="5.6667662520809665E-3"/>
    <n v="-0.60651840907935406"/>
    <n v="-0.22003458464286274"/>
    <x v="1"/>
    <x v="1"/>
    <x v="0"/>
    <x v="1"/>
    <x v="1"/>
    <x v="1"/>
  </r>
  <r>
    <x v="0"/>
    <s v="RVMD"/>
    <n v="7001"/>
    <n v="39.950000000000003"/>
    <n v="-3.38"/>
    <n v="12.19"/>
    <n v="-3.58"/>
    <n v="-11.819526627218936"/>
    <n v="3.2772764561115673"/>
    <n v="-29.33"/>
    <n v="-18.66"/>
    <n v="1.1299999999999999"/>
    <n v="-11.159217877094973"/>
    <s v="NO"/>
    <n v="9.0516076846946555E-2"/>
    <n v="-0.36538327287809563"/>
    <n v="-0.15326040886218992"/>
    <n v="-0.41086027520017182"/>
    <n v="-0.54805880338495971"/>
    <n v="-0.21714886566731639"/>
    <x v="1"/>
    <x v="1"/>
    <x v="0"/>
    <x v="1"/>
    <x v="1"/>
    <x v="1"/>
  </r>
  <r>
    <x v="0"/>
    <s v="RYTM"/>
    <n v="4110"/>
    <n v="56.79"/>
    <n v="-2.5299999999999998"/>
    <n v="0.35"/>
    <n v="-4.34"/>
    <n v="-22.446640316205535"/>
    <n v="162.25714285714287"/>
    <n v="-155.91"/>
    <n v="-45.78"/>
    <n v="18.05"/>
    <n v="-13.085253456221198"/>
    <s v="NO"/>
    <n v="-0.62791935099985319"/>
    <n v="33.113790290667488"/>
    <n v="-1.7398046115571055"/>
    <n v="-2.0154360371582816"/>
    <n v="98.365594031532353"/>
    <n v="-0.33031074675192995"/>
    <x v="1"/>
    <x v="0"/>
    <x v="0"/>
    <x v="0"/>
    <x v="0"/>
    <x v="1"/>
  </r>
  <r>
    <x v="0"/>
    <s v="SLNO"/>
    <n v="3726"/>
    <n v="74.44"/>
    <n v="-1.73"/>
    <n v="5.36"/>
    <n v="-4.38"/>
    <n v="-43.028901734104046"/>
    <n v="13.888059701492535"/>
    <n v="-87.35"/>
    <n v="-45.06"/>
    <n v="1.35"/>
    <n v="-16.995433789954337"/>
    <s v="NO"/>
    <n v="-2.019362617777654"/>
    <n v="1.8691151070687533"/>
    <n v="-0.88047872645074254"/>
    <n v="-1.9728366806461195"/>
    <n v="0.73805252189174386"/>
    <n v="-0.56004864294699575"/>
    <x v="1"/>
    <x v="1"/>
    <x v="0"/>
    <x v="1"/>
    <x v="1"/>
    <x v="1"/>
  </r>
  <r>
    <x v="0"/>
    <s v="SRPT"/>
    <n v="3608"/>
    <n v="36.200000000000003"/>
    <n v="-3.71"/>
    <n v="15.77"/>
    <n v="2.34"/>
    <n v="-9.7574123989218329"/>
    <n v="2.2954977805960688"/>
    <n v="19.71"/>
    <n v="3.77"/>
    <n v="2.59"/>
    <n v="15.470085470085472"/>
    <s v="NO"/>
    <n v="0.22992325373740835"/>
    <n v="-0.57213359556145937"/>
    <n v="0.46140326391517344"/>
    <n v="0.91622801169954815"/>
    <n v="7.9870436279967931"/>
    <n v="1.3474235084872774"/>
    <x v="1"/>
    <x v="1"/>
    <x v="0"/>
    <x v="1"/>
    <x v="0"/>
    <x v="1"/>
  </r>
  <r>
    <x v="0"/>
    <s v="SRRK"/>
    <n v="2817"/>
    <n v="31.4"/>
    <n v="-2.14"/>
    <n v="3.93"/>
    <n v="-2.63"/>
    <n v="-14.672897196261681"/>
    <n v="7.9898218829516532"/>
    <n v="-82.95"/>
    <n v="-40.090000000000003"/>
    <n v="1.29"/>
    <n v="-11.939163498098859"/>
    <s v="NO"/>
    <n v="-0.10238319623603255"/>
    <n v="0.62701991529220713"/>
    <n v="-0.82532945727822227"/>
    <n v="-1.6787827891663334"/>
    <n v="0.38729488772537018"/>
    <n v="-0.26297362330577462"/>
    <x v="1"/>
    <x v="1"/>
    <x v="0"/>
    <x v="1"/>
    <x v="1"/>
    <x v="1"/>
  </r>
  <r>
    <x v="0"/>
    <s v="SWTX"/>
    <n v="3466"/>
    <n v="46.22"/>
    <n v="-2.65"/>
    <n v="6.47"/>
    <n v="-3.48"/>
    <n v="-17.441509433962263"/>
    <n v="7.1437403400309121"/>
    <n v="-46.62"/>
    <n v="-26.48"/>
    <n v="1.22"/>
    <n v="-13.281609195402298"/>
    <s v="NO"/>
    <n v="-0.28955246681565133"/>
    <n v="0.44884571332815143"/>
    <n v="-0.36997196886057104"/>
    <n v="-0.87353661954060036"/>
    <n v="-2.192235213539917E-2"/>
    <n v="-0.34184738971341333"/>
    <x v="1"/>
    <x v="1"/>
    <x v="0"/>
    <x v="1"/>
    <x v="1"/>
    <x v="1"/>
  </r>
  <r>
    <x v="0"/>
    <s v="TGTX"/>
    <n v="5533"/>
    <n v="33.369999999999997"/>
    <n v="-0.28000000000000003"/>
    <n v="1.54"/>
    <n v="0.24"/>
    <n v="-119.1785714285714"/>
    <n v="21.668831168831165"/>
    <n v="12.22"/>
    <n v="5.78"/>
    <n v="2.6"/>
    <n v="139.04166666666666"/>
    <s v="NO"/>
    <n v="-7.16738513155149"/>
    <n v="3.5076483648349295"/>
    <n v="0.3675241670737695"/>
    <n v="1.035151215296001"/>
    <n v="8.0455032336911891"/>
    <n v="8.6077216713846916"/>
    <x v="0"/>
    <x v="0"/>
    <x v="0"/>
    <x v="1"/>
    <x v="0"/>
    <x v="0"/>
  </r>
  <r>
    <x v="0"/>
    <s v="TLX"/>
    <n v="5941"/>
    <n v="16.71"/>
    <n v="-0.01"/>
    <n v="1.05"/>
    <n v="0.09"/>
    <n v="-1671"/>
    <n v="15.914285714285715"/>
    <n v="13.92"/>
    <n v="5.33"/>
    <n v="2.67"/>
    <n v="185.66666666666669"/>
    <s v="NO"/>
    <n v="-112.07672595595191"/>
    <n v="2.2958129896179473"/>
    <n v="0.3888318392540614"/>
    <n v="1.0085266174758996"/>
    <n v="8.4547204735519585"/>
    <n v="11.347116915559633"/>
    <x v="0"/>
    <x v="1"/>
    <x v="0"/>
    <x v="1"/>
    <x v="0"/>
    <x v="0"/>
  </r>
  <r>
    <x v="0"/>
    <s v="VCEL"/>
    <n v="2029"/>
    <n v="43.64"/>
    <n v="-0.12"/>
    <n v="5.88"/>
    <n v="0.2"/>
    <n v="-363.66666666666669"/>
    <n v="7.4217687074829932"/>
    <n v="4"/>
    <n v="0.72"/>
    <n v="1.48"/>
    <n v="218.2"/>
    <s v="NO"/>
    <n v="-23.695759104614726"/>
    <n v="0.50739501381653751"/>
    <n v="0.26449530511965186"/>
    <n v="0.73577240425219437"/>
    <n v="1.4980273959188857"/>
    <n v="13.258573400503147"/>
    <x v="0"/>
    <x v="1"/>
    <x v="0"/>
    <x v="1"/>
    <x v="1"/>
    <x v="0"/>
  </r>
  <r>
    <x v="0"/>
    <s v="VCYT"/>
    <n v="2415"/>
    <n v="29.31"/>
    <n v="0.83"/>
    <n v="15.12"/>
    <n v="0.31"/>
    <n v="35.313253012048193"/>
    <n v="1.9384920634920635"/>
    <n v="2.17"/>
    <n v="1.39"/>
    <n v="1.1100000000000001"/>
    <n v="94.548387096774192"/>
    <s v="NO"/>
    <n v="3.2768806624482587"/>
    <n v="-0.64731453914052328"/>
    <n v="0.24155822271380814"/>
    <n v="0.77541347211767875"/>
    <n v="-0.66497801477374974"/>
    <n v="5.9935730718885107"/>
    <x v="0"/>
    <x v="1"/>
    <x v="0"/>
    <x v="1"/>
    <x v="1"/>
    <x v="0"/>
  </r>
  <r>
    <x v="0"/>
    <s v="VKTX"/>
    <n v="3095"/>
    <n v="27.734999999999999"/>
    <n v="-1.21"/>
    <n v="7.54"/>
    <n v="-1.1499999999999999"/>
    <n v="-22.921487603305785"/>
    <n v="3.6783819628647212"/>
    <n v="-14.4"/>
    <n v="-11.74"/>
    <n v="1.02"/>
    <n v="-24.117391304347827"/>
    <s v="NO"/>
    <n v="-0.66002092851692706"/>
    <n v="-0.28091546458337413"/>
    <n v="3.3871088580021233E-2"/>
    <n v="-1.4331264999461275E-3"/>
    <n v="-1.1911144660233104"/>
    <n v="-0.97849060636030405"/>
    <x v="1"/>
    <x v="1"/>
    <x v="0"/>
    <x v="1"/>
    <x v="1"/>
    <x v="1"/>
  </r>
  <r>
    <x v="0"/>
    <s v="XENE"/>
    <n v="2706"/>
    <n v="29.6"/>
    <n v="-2.37"/>
    <n v="9.8800000000000008"/>
    <n v="-3.01"/>
    <n v="-12.489451476793249"/>
    <n v="2.9959514170040484"/>
    <n v="-27.85"/>
    <n v="-19.8"/>
    <n v="1.06"/>
    <n v="-9.8338870431893692"/>
    <s v="NO"/>
    <n v="4.522647517194827E-2"/>
    <n v="-0.42462681122837553"/>
    <n v="-0.13471020014052401"/>
    <n v="-0.47830925634442867"/>
    <n v="-0.95727604324572779"/>
    <n v="-0.13928066227086774"/>
    <x v="1"/>
    <x v="1"/>
    <x v="0"/>
    <x v="1"/>
    <x v="1"/>
    <x v="1"/>
  </r>
  <r>
    <x v="0"/>
    <s v="ZLAB"/>
    <n v="3109"/>
    <n v="28.62"/>
    <n v="-2.79"/>
    <n v="7.8"/>
    <n v="-2.6"/>
    <n v="-10.258064516129032"/>
    <n v="3.6692307692307695"/>
    <n v="-31.41"/>
    <n v="-15.87"/>
    <n v="1.41"/>
    <n v="-11.007692307692308"/>
    <s v="NO"/>
    <n v="0.19607716640318504"/>
    <n v="-0.28284259162732223"/>
    <n v="-0.17933097247101773"/>
    <n v="-0.2457877687155432"/>
    <n v="1.0888101560581163"/>
    <n v="-0.20824616488034459"/>
    <x v="1"/>
    <x v="1"/>
    <x v="0"/>
    <x v="1"/>
    <x v="1"/>
    <x v="1"/>
  </r>
  <r>
    <x v="1"/>
    <s v="GKOS"/>
    <n v="5042"/>
    <n v="92.36"/>
    <n v="-0.98"/>
    <n v="13.46"/>
    <n v="-2.27"/>
    <n v="-94.244897959183675"/>
    <n v="6.8618127786032685"/>
    <n v="-20.36"/>
    <n v="-6.68"/>
    <n v="1.26"/>
    <n v="-40.687224669603523"/>
    <s v="NO"/>
    <n v="-2.6343277262972542"/>
    <n v="1.2297207414491256"/>
    <n v="-0.3114967359491137"/>
    <n v="-1.5478157860437805"/>
    <n v="-1.1568543948239147"/>
    <n v="-1.2675540760570585"/>
    <x v="1"/>
    <x v="1"/>
    <x v="1"/>
    <x v="1"/>
    <x v="1"/>
    <x v="1"/>
  </r>
  <r>
    <x v="1"/>
    <s v="GMED"/>
    <n v="9836"/>
    <n v="58.25"/>
    <n v="2.99"/>
    <n v="30.4"/>
    <n v="0.75"/>
    <n v="19.481605351170568"/>
    <n v="1.9161184210526316"/>
    <n v="2.52"/>
    <n v="5.33"/>
    <n v="1.26"/>
    <n v="77.666666666666671"/>
    <s v="NO"/>
    <n v="0.27675301150432169"/>
    <n v="-0.70623326967587297"/>
    <n v="0.3971583383351201"/>
    <n v="0.4960838940426191"/>
    <n v="-1.1568543948239147"/>
    <n v="1.2902983407958308"/>
    <x v="1"/>
    <x v="1"/>
    <x v="0"/>
    <x v="1"/>
    <x v="1"/>
    <x v="1"/>
  </r>
  <r>
    <x v="1"/>
    <s v="INSP"/>
    <n v="4616"/>
    <n v="159.76"/>
    <n v="3.06"/>
    <n v="21.57"/>
    <n v="2.17"/>
    <n v="52.209150326797385"/>
    <n v="7.4065832174316171"/>
    <n v="10.86"/>
    <n v="4.4000000000000004"/>
    <n v="1.1499999999999999"/>
    <n v="73.622119815668199"/>
    <s v="NO"/>
    <n v="1.1144867235317437"/>
    <n v="1.4429669390395452"/>
    <n v="0.65547054635655844"/>
    <n v="0.33781356078030844"/>
    <n v="-1.3278085287357613"/>
    <n v="1.2028880003237317"/>
    <x v="1"/>
    <x v="1"/>
    <x v="0"/>
    <x v="1"/>
    <x v="1"/>
    <x v="1"/>
  </r>
  <r>
    <x v="1"/>
    <s v="IRTC"/>
    <n v="4348"/>
    <n v="139.78"/>
    <n v="-0.03"/>
    <n v="2.72"/>
    <n v="-3.14"/>
    <n v="-4659.3333333333339"/>
    <n v="51.389705882352935"/>
    <n v="-111.13"/>
    <n v="-4.37"/>
    <n v="10.69"/>
    <n v="-44.515923566878982"/>
    <s v="NO"/>
    <n v="-119.48783701174887"/>
    <n v="18.659821962633764"/>
    <n v="-3.1228875179762072"/>
    <n v="-1.1546927001986864"/>
    <n v="13.49857726689164"/>
    <n v="-1.3502995322243863"/>
    <x v="0"/>
    <x v="0"/>
    <x v="0"/>
    <x v="0"/>
    <x v="0"/>
    <x v="1"/>
  </r>
  <r>
    <x v="1"/>
    <s v="ITGR"/>
    <n v="4151"/>
    <n v="121"/>
    <n v="3.31"/>
    <n v="46.05"/>
    <n v="2.21"/>
    <n v="36.555891238670696"/>
    <n v="2.6275787187839308"/>
    <n v="4.9800000000000004"/>
    <n v="4.51"/>
    <n v="2.0499999999999998"/>
    <n v="54.751131221719454"/>
    <s v="NO"/>
    <n v="0.71380702540622931"/>
    <n v="-0.42773760909258707"/>
    <n v="0.4733511478954005"/>
    <n v="0.35653370772531284"/>
    <n v="7.0907112361163246E-2"/>
    <n v="0.79505008947472222"/>
    <x v="1"/>
    <x v="1"/>
    <x v="0"/>
    <x v="1"/>
    <x v="1"/>
    <x v="1"/>
  </r>
  <r>
    <x v="1"/>
    <s v="LIVN"/>
    <n v="2372"/>
    <n v="44.06"/>
    <n v="2.5099999999999998"/>
    <n v="24.29"/>
    <n v="1.1599999999999999"/>
    <n v="17.553784860557773"/>
    <n v="1.8139151914368055"/>
    <n v="4.87"/>
    <n v="4.1900000000000004"/>
    <n v="1.9"/>
    <n v="37.982758620689658"/>
    <s v="NO"/>
    <n v="0.22740619319190863"/>
    <n v="-0.74623993770270158"/>
    <n v="0.46994415234595704"/>
    <n v="0.30207509843075442"/>
    <n v="-0.16221216115499074"/>
    <n v="0.43265370436245992"/>
    <x v="1"/>
    <x v="1"/>
    <x v="0"/>
    <x v="1"/>
    <x v="1"/>
    <x v="1"/>
  </r>
  <r>
    <x v="1"/>
    <s v="MASI"/>
    <n v="8111"/>
    <n v="161.56"/>
    <n v="2.73"/>
    <n v="19.63"/>
    <n v="-5.72"/>
    <n v="59.179487179487182"/>
    <n v="8.2302598064187471"/>
    <n v="-25.23"/>
    <n v="0.61"/>
    <n v="2.5"/>
    <n v="-28.244755244755247"/>
    <s v="NO"/>
    <n v="1.292907872140173"/>
    <n v="1.7653888036023848"/>
    <n v="-0.4623337207290184"/>
    <n v="-0.30718059305211926"/>
    <n v="0.77026493290962583"/>
    <n v="-0.99864867606863339"/>
    <x v="1"/>
    <x v="1"/>
    <x v="0"/>
    <x v="1"/>
    <x v="1"/>
    <x v="1"/>
  </r>
  <r>
    <x v="1"/>
    <s v="NVST"/>
    <n v="2854"/>
    <n v="18.61"/>
    <n v="1.55"/>
    <n v="17.7"/>
    <n v="-6.54"/>
    <n v="12.006451612903225"/>
    <n v="1.0514124293785312"/>
    <n v="-31.33"/>
    <n v="1.57"/>
    <n v="1.8"/>
    <n v="-2.8455657492354738"/>
    <s v="NO"/>
    <n v="8.5409961061705189E-2"/>
    <n v="-1.0447157782986585"/>
    <n v="-0.65126711028906326"/>
    <n v="-0.14380476516844362"/>
    <n v="-0.31762501016575995"/>
    <n v="-0.44972394276491173"/>
    <x v="1"/>
    <x v="1"/>
    <x v="0"/>
    <x v="1"/>
    <x v="1"/>
    <x v="1"/>
  </r>
  <r>
    <x v="1"/>
    <s v="PRCT"/>
    <n v="2939"/>
    <n v="53.04"/>
    <n v="-1.66"/>
    <n v="7.04"/>
    <n v="-1.7"/>
    <n v="-31.951807228915662"/>
    <n v="7.5340909090909092"/>
    <n v="-27.62"/>
    <n v="-13.36"/>
    <n v="1.33"/>
    <n v="-31.2"/>
    <s v="NO"/>
    <n v="-1.0397986478102434"/>
    <n v="1.4928788440767478"/>
    <n v="-0.53635844221238016"/>
    <n v="-2.6846392550676899"/>
    <n v="-1.0480654005163761"/>
    <n v="-1.0625171290130115"/>
    <x v="1"/>
    <x v="1"/>
    <x v="1"/>
    <x v="1"/>
    <x v="1"/>
    <x v="1"/>
  </r>
  <r>
    <x v="1"/>
    <s v="TFX"/>
    <n v="5395"/>
    <n v="126.8"/>
    <n v="10.32"/>
    <n v="91.67"/>
    <n v="3.2"/>
    <n v="12.286821705426355"/>
    <n v="1.3832224282753354"/>
    <n v="3.48"/>
    <n v="4.84"/>
    <n v="1.75"/>
    <n v="39.625"/>
    <s v="NO"/>
    <n v="9.2586652088355439E-2"/>
    <n v="-0.91483130670470736"/>
    <n v="0.42689211767571733"/>
    <n v="0.41269414856032632"/>
    <n v="-0.39533143467114473"/>
    <n v="0.46814566017141507"/>
    <x v="1"/>
    <x v="1"/>
    <x v="0"/>
    <x v="1"/>
    <x v="1"/>
    <x v="1"/>
  </r>
  <r>
    <x v="1"/>
    <s v="TMDX"/>
    <n v="3241"/>
    <n v="122.11"/>
    <n v="-2.44"/>
    <n v="6.8"/>
    <n v="1.01"/>
    <n v="-50.045081967213115"/>
    <n v="17.95735294117647"/>
    <n v="19.39"/>
    <n v="3.1"/>
    <n v="3.52"/>
    <n v="120.9009900990099"/>
    <s v="NO"/>
    <n v="-1.502935929281678"/>
    <n v="5.572984584783419"/>
    <n v="0.91966756487249002"/>
    <n v="0.11657546052116437"/>
    <n v="2.355475992819474"/>
    <n v="2.2246741980983664"/>
    <x v="1"/>
    <x v="0"/>
    <x v="0"/>
    <x v="1"/>
    <x v="1"/>
    <x v="1"/>
  </r>
  <r>
    <x v="1"/>
    <s v="BLCO"/>
    <n v="4029"/>
    <n v="11.76"/>
    <n v="-0.48"/>
    <n v="18"/>
    <n v="-1.03"/>
    <n v="-24.5"/>
    <n v="0.65333333333333332"/>
    <n v="-5.36"/>
    <n v="0.61"/>
    <n v="2.11"/>
    <n v="-11.41747572815534"/>
    <s v="NO"/>
    <n v="-0.8490532027778902"/>
    <n v="-1.2005407781911681"/>
    <n v="0.15309356624771789"/>
    <n v="-0.30718059305211926"/>
    <n v="0.16415482176762497"/>
    <n v="-0.63497920061131208"/>
    <x v="1"/>
    <x v="1"/>
    <x v="0"/>
    <x v="1"/>
    <x v="1"/>
    <x v="1"/>
  </r>
  <r>
    <x v="1"/>
    <s v="HAE"/>
    <n v="3228"/>
    <n v="69.14"/>
    <n v="1.64"/>
    <n v="18.05"/>
    <n v="2.54"/>
    <n v="42.158536585365859"/>
    <n v="3.8304709141274236"/>
    <n v="14.06"/>
    <n v="6.33"/>
    <n v="2.79"/>
    <n v="27.220472440944881"/>
    <s v="NO"/>
    <n v="0.85721909273225416"/>
    <n v="4.3125287432928164E-2"/>
    <n v="0.75458314415854921"/>
    <n v="0.66626704808811454"/>
    <n v="1.2209621950408571"/>
    <n v="0.20006025597715607"/>
    <x v="1"/>
    <x v="1"/>
    <x v="0"/>
    <x v="1"/>
    <x v="1"/>
    <x v="1"/>
  </r>
  <r>
    <x v="1"/>
    <s v="ICUI"/>
    <n v="3310"/>
    <n v="143.59"/>
    <n v="4.67"/>
    <n v="80.16"/>
    <n v="-4.83"/>
    <n v="30.747323340471095"/>
    <n v="1.7912924151696608"/>
    <n v="-5.76"/>
    <n v="1.42"/>
    <n v="2.14"/>
    <n v="-29.728778467908903"/>
    <s v="NO"/>
    <n v="0.56512391610041501"/>
    <n v="-0.75509544944501084"/>
    <n v="0.14070449152246906"/>
    <n v="-0.16933223827526794"/>
    <n v="0.21077867647085619"/>
    <n v="-1.0307212369718008"/>
    <x v="1"/>
    <x v="1"/>
    <x v="0"/>
    <x v="1"/>
    <x v="1"/>
    <x v="1"/>
  </r>
  <r>
    <x v="1"/>
    <s v="LNTH"/>
    <n v="5523"/>
    <n v="78.95"/>
    <n v="5.96"/>
    <n v="15.89"/>
    <n v="4.3600000000000003"/>
    <n v="13.246644295302014"/>
    <n v="4.9685336689741977"/>
    <n v="32.82"/>
    <n v="15.35"/>
    <n v="1.82"/>
    <n v="18.107798165137613"/>
    <s v="NO"/>
    <n v="0.11715542868626795"/>
    <n v="0.48861119818151211"/>
    <n v="1.3356307487727199"/>
    <n v="2.2013190975784829"/>
    <n v="-0.28654244036360604"/>
    <n v="3.1180544390504677E-3"/>
    <x v="1"/>
    <x v="1"/>
    <x v="1"/>
    <x v="1"/>
    <x v="1"/>
    <x v="1"/>
  </r>
  <r>
    <x v="1"/>
    <s v="MMSI"/>
    <n v="5568"/>
    <n v="97.61"/>
    <n v="3.05"/>
    <n v="24.18"/>
    <n v="2.04"/>
    <n v="32.003278688524588"/>
    <n v="4.0368072787427627"/>
    <n v="9.16"/>
    <n v="4.3099999999999996"/>
    <n v="1.73"/>
    <n v="47.848039215686271"/>
    <s v="NO"/>
    <n v="0.59727286392553047"/>
    <n v="0.1238940701030825"/>
    <n v="0.602816978774251"/>
    <n v="0.32249707691621371"/>
    <n v="-0.42641400447329864"/>
    <n v="0.64586115810936451"/>
    <x v="1"/>
    <x v="1"/>
    <x v="0"/>
    <x v="1"/>
    <x v="1"/>
    <x v="1"/>
  </r>
  <r>
    <x v="1"/>
    <s v="XRAY"/>
    <n v="2726"/>
    <n v="16.600000000000001"/>
    <n v="1.38"/>
    <n v="9.77"/>
    <n v="-4.4800000000000004"/>
    <n v="12.028985507246379"/>
    <n v="1.6990788126919143"/>
    <n v="-34.75"/>
    <n v="2.11"/>
    <n v="2.96"/>
    <n v="-3.7053571428571428"/>
    <s v="NO"/>
    <n v="8.5986765798161363E-2"/>
    <n v="-0.79119175477462123"/>
    <n v="-0.75719369918994095"/>
    <n v="-5.1905861983876124E-2"/>
    <n v="1.4851640383591651"/>
    <n v="-0.46830566804098245"/>
    <x v="1"/>
    <x v="1"/>
    <x v="0"/>
    <x v="1"/>
    <x v="1"/>
    <x v="1"/>
  </r>
  <r>
    <x v="2"/>
    <s v="HSIC"/>
    <n v="8103"/>
    <n v="70.540000000000006"/>
    <n v="4.05"/>
    <n v="27.08"/>
    <n v="3.21"/>
    <n v="17.417283950617286"/>
    <n v="2.6048744460856725"/>
    <n v="8.4700000000000006"/>
    <n v="4.76"/>
    <n v="3.17"/>
    <n v="21.975077881619939"/>
    <s v="NO"/>
    <n v="5.2417364594403174E-2"/>
    <n v="-0.30388770630238199"/>
    <n v="-0.12410469428550416"/>
    <n v="-0.23800805949092904"/>
    <n v="0.78139185590471594"/>
    <n v="-7.9671656076371042E-2"/>
    <x v="1"/>
    <x v="1"/>
    <x v="0"/>
    <x v="1"/>
    <x v="1"/>
    <x v="1"/>
  </r>
  <r>
    <x v="2"/>
    <s v="ADUS"/>
    <n v="2066"/>
    <n v="109.74"/>
    <n v="5.18"/>
    <n v="54.36"/>
    <n v="4.42"/>
    <n v="21.185328185328185"/>
    <n v="2.018763796909492"/>
    <n v="9.18"/>
    <n v="6.52"/>
    <n v="1.41"/>
    <n v="24.828054298642535"/>
    <s v="NO"/>
    <n v="0.44431189989613351"/>
    <n v="-0.66868192079271715"/>
    <n v="-2.4951281371729282E-2"/>
    <n v="0.25002400035843214"/>
    <n v="-0.9724899391942422"/>
    <n v="-6.214980709405379E-4"/>
    <x v="1"/>
    <x v="1"/>
    <x v="0"/>
    <x v="1"/>
    <x v="1"/>
    <x v="1"/>
  </r>
  <r>
    <x v="2"/>
    <s v="AMED"/>
    <n v="3155"/>
    <n v="94.5"/>
    <n v="6.68"/>
    <n v="36.549999999999997"/>
    <n v="2.72"/>
    <n v="14.146706586826348"/>
    <n v="2.585499316005472"/>
    <n v="7.15"/>
    <n v="6.36"/>
    <n v="1.82"/>
    <n v="34.742647058823529"/>
    <s v="NO"/>
    <n v="-0.28773824832120454"/>
    <n v="-0.31594675243674125"/>
    <n v="-0.30844625068857889"/>
    <n v="0.20565744946303588"/>
    <n v="-0.56391520283596208"/>
    <n v="0.27409164697136479"/>
    <x v="1"/>
    <x v="1"/>
    <x v="0"/>
    <x v="1"/>
    <x v="1"/>
    <x v="1"/>
  </r>
  <r>
    <x v="2"/>
    <s v="BTSG"/>
    <n v="4015"/>
    <n v="23.24"/>
    <n v="0.64"/>
    <n v="9.6300000000000008"/>
    <n v="0.24"/>
    <n v="36.3125"/>
    <n v="2.4132917964693661"/>
    <n v="2.74"/>
    <n v="4.3899999999999997"/>
    <n v="3.47"/>
    <n v="96.833333333333329"/>
    <s v="NO"/>
    <n v="2.0176097699502216"/>
    <n v="-0.42312840304623134"/>
    <n v="-0.92431463230794209"/>
    <n v="-0.34060570843653343"/>
    <n v="1.0803489800693113"/>
    <n v="1.9944979326244228"/>
    <x v="1"/>
    <x v="1"/>
    <x v="0"/>
    <x v="1"/>
    <x v="1"/>
    <x v="1"/>
  </r>
  <r>
    <x v="2"/>
    <s v="CHE"/>
    <n v="8448"/>
    <n v="557.16999999999996"/>
    <n v="21.14"/>
    <n v="81.09"/>
    <n v="20.53"/>
    <n v="26.356196783349098"/>
    <n v="6.8710075225058569"/>
    <n v="26.11"/>
    <n v="14.09"/>
    <n v="1.46"/>
    <n v="27.139308329274229"/>
    <s v="NO"/>
    <n v="0.98210684605424103"/>
    <n v="2.3513458519197239"/>
    <n v="2.3393688321919486"/>
    <n v="2.3491164395968784"/>
    <n v="-0.92266375183347626"/>
    <n v="6.3418637424745378E-2"/>
    <x v="1"/>
    <x v="1"/>
    <x v="1"/>
    <x v="1"/>
    <x v="1"/>
    <x v="1"/>
  </r>
  <r>
    <x v="2"/>
    <s v="CRVL"/>
    <n v="5723"/>
    <n v="114.32"/>
    <n v="1.61"/>
    <n v="5.86"/>
    <n v="1.7"/>
    <n v="71.006211180124211"/>
    <n v="19.508532423208187"/>
    <n v="33.01"/>
    <n v="13.99"/>
    <n v="1.79"/>
    <n v="67.247058823529414"/>
    <s v="NO"/>
    <n v="5.625920865552418"/>
    <n v="10.21691863366933"/>
    <n v="3.3029724224807477"/>
    <n v="2.3213873452872549"/>
    <n v="-0.59381091525242158"/>
    <n v="1.1747226057632068"/>
    <x v="0"/>
    <x v="0"/>
    <x v="1"/>
    <x v="1"/>
    <x v="1"/>
    <x v="1"/>
  </r>
  <r>
    <x v="2"/>
    <s v="GH"/>
    <n v="4923"/>
    <n v="41.36"/>
    <n v="-2.4700000000000002"/>
    <n v="-2.0299999999999998"/>
    <n v="-3.38"/>
    <n v="-16.74493927125506"/>
    <n v="-20.374384236453203"/>
    <n v="456.48"/>
    <n v="-18.64"/>
    <n v="-5.36"/>
    <n v="-12.236686390532544"/>
    <s v="NO"/>
    <n v="-3.5006164536077944"/>
    <n v="-14.606137004194267"/>
    <n v="62.44169885430653"/>
    <n v="-6.7266161279426635"/>
    <n v="-7.7189557078419382"/>
    <n v="-1.0276098707849914"/>
    <x v="0"/>
    <x v="0"/>
    <x v="1"/>
    <x v="0"/>
    <x v="0"/>
    <x v="1"/>
  </r>
  <r>
    <x v="2"/>
    <s v="LFST"/>
    <n v="2143"/>
    <n v="5.87"/>
    <n v="0.23"/>
    <n v="3.78"/>
    <n v="-0.15"/>
    <n v="25.521739130434781"/>
    <n v="1.552910052910053"/>
    <n v="-4"/>
    <n v="-0.85"/>
    <n v="1.46"/>
    <n v="-39.133333333333333"/>
    <s v="NO"/>
    <n v="0.89531927835390612"/>
    <n v="-0.95862845366756022"/>
    <n v="-1.865573791517581"/>
    <n v="-1.7936102502607678"/>
    <n v="-0.92266375183347626"/>
    <n v="-1.7728611031325745"/>
    <x v="1"/>
    <x v="1"/>
    <x v="1"/>
    <x v="1"/>
    <x v="1"/>
    <x v="1"/>
  </r>
  <r>
    <x v="2"/>
    <s v="OPCH"/>
    <n v="5476"/>
    <n v="31.56"/>
    <n v="2.04"/>
    <n v="8.25"/>
    <n v="1.25"/>
    <n v="15.470588235294116"/>
    <n v="3.8254545454545452"/>
    <n v="15.38"/>
    <n v="6.33"/>
    <n v="2.4500000000000002"/>
    <n v="25.247999999999998"/>
    <s v="NO"/>
    <n v="-0.1500482555548189"/>
    <n v="0.45579915350412048"/>
    <n v="0.84089542294574282"/>
    <n v="0.19733872117014897"/>
    <n v="6.3894757909687835E-2"/>
    <n v="1.1014340854308404E-2"/>
    <x v="1"/>
    <x v="1"/>
    <x v="0"/>
    <x v="1"/>
    <x v="1"/>
    <x v="1"/>
  </r>
  <r>
    <x v="2"/>
    <s v="PINC"/>
    <n v="2111"/>
    <n v="22.86"/>
    <n v="3.58"/>
    <n v="18.739999999999998"/>
    <n v="0.38"/>
    <n v="6.3854748603351954"/>
    <n v="1.2198505869797225"/>
    <n v="2.0299999999999998"/>
    <n v="4.0199999999999996"/>
    <n v="1.83"/>
    <n v="60.157894736842103"/>
    <s v="NO"/>
    <n v="-1.0949432892821049"/>
    <n v="-1.1659240665751225"/>
    <n v="-1.0234680452217171"/>
    <n v="-0.44320335738213779"/>
    <n v="-0.55394996536380881"/>
    <n v="0.97829632693546376"/>
    <x v="1"/>
    <x v="1"/>
    <x v="0"/>
    <x v="1"/>
    <x v="1"/>
    <x v="1"/>
  </r>
  <r>
    <x v="2"/>
    <s v="PRVA"/>
    <n v="2829"/>
    <n v="24.3"/>
    <n v="0.92"/>
    <n v="5.28"/>
    <n v="0.11"/>
    <n v="26.413043478260871"/>
    <n v="4.6022727272727275"/>
    <n v="2.64"/>
    <n v="0.99"/>
    <n v="1.79"/>
    <n v="220.90909090909091"/>
    <s v="NO"/>
    <n v="0.98801917290026542"/>
    <n v="0.93928939350655494"/>
    <n v="-0.93827990173241738"/>
    <n v="-1.2833949149637083"/>
    <n v="-0.59381091525242158"/>
    <n v="5.4323841284181844"/>
    <x v="1"/>
    <x v="1"/>
    <x v="0"/>
    <x v="1"/>
    <x v="1"/>
    <x v="0"/>
  </r>
  <r>
    <x v="2"/>
    <s v="RDNT"/>
    <n v="4123"/>
    <n v="60.53"/>
    <n v="0.62"/>
    <n v="12.19"/>
    <n v="0.04"/>
    <n v="97.629032258064512"/>
    <n v="4.9655455291222319"/>
    <n v="3.99"/>
    <n v="2.35"/>
    <n v="3.64"/>
    <n v="1513.25"/>
    <s v="NO"/>
    <n v="8.3948209752298766"/>
    <n v="1.1653897323805527"/>
    <n v="-0.74974876450200012"/>
    <n v="-0.90627923235283836"/>
    <n v="1.2497580170959151"/>
    <n v="41.240515051257475"/>
    <x v="0"/>
    <x v="1"/>
    <x v="0"/>
    <x v="1"/>
    <x v="1"/>
    <x v="0"/>
  </r>
  <r>
    <x v="2"/>
    <s v="ACHC"/>
    <n v="2226"/>
    <n v="26.94"/>
    <n v="-6.12"/>
    <n v="33.49"/>
    <n v="2.78"/>
    <n v="-4.4019607843137258"/>
    <n v="0.80441922962078227"/>
    <n v="8.6999999999999993"/>
    <n v="5.77"/>
    <n v="1.94"/>
    <n v="9.6906474820143895"/>
    <s v="NO"/>
    <n v="-2.2168879416599361"/>
    <n v="-1.4244877966411402"/>
    <n v="-9.1984574609211042E-2"/>
    <n v="4.2055793036261169E-2"/>
    <n v="-0.44433235317012409"/>
    <n v="-0.42004816893551722"/>
    <x v="1"/>
    <x v="1"/>
    <x v="0"/>
    <x v="1"/>
    <x v="1"/>
    <x v="1"/>
  </r>
  <r>
    <x v="2"/>
    <s v="ARDT"/>
    <n v="2028"/>
    <n v="14.52"/>
    <n v="0.96"/>
    <n v="7.93"/>
    <n v="1.58"/>
    <n v="15.125"/>
    <n v="1.8310214375788147"/>
    <n v="23.01"/>
    <n v="5.24"/>
    <n v="4.38"/>
    <n v="9.1898734177215182"/>
    <s v="NO"/>
    <n v="-0.18599107693380509"/>
    <n v="-0.78553242776586363"/>
    <n v="1.9064454800332125"/>
    <n v="-0.10490840680473948"/>
    <n v="1.9871855900352495"/>
    <n v="-0.43392359695208871"/>
    <x v="1"/>
    <x v="1"/>
    <x v="0"/>
    <x v="1"/>
    <x v="1"/>
    <x v="1"/>
  </r>
  <r>
    <x v="2"/>
    <s v="CON"/>
    <n v="2803"/>
    <n v="21.4"/>
    <n v="1.84"/>
    <n v="2.15"/>
    <n v="1.46"/>
    <n v="11.630434782608694"/>
    <n v="9.9534883720930232"/>
    <n v="23.29"/>
    <n v="7.91"/>
    <n v="9.15"/>
    <n v="14.657534246575342"/>
    <s v="NO"/>
    <n v="-0.5494424927466639"/>
    <n v="4.2698763918223417"/>
    <n v="1.9455482344217432"/>
    <n v="0.63545841126218916"/>
    <n v="6.7406038642523116"/>
    <n v="-0.28242586641982315"/>
    <x v="1"/>
    <x v="0"/>
    <x v="0"/>
    <x v="1"/>
    <x v="0"/>
    <x v="1"/>
  </r>
  <r>
    <x v="2"/>
    <s v="ENSG"/>
    <n v="7873"/>
    <n v="143.56"/>
    <n v="0.98"/>
    <n v="33.729999999999997"/>
    <n v="5.3"/>
    <n v="146.48979591836735"/>
    <n v="4.2561517936555004"/>
    <n v="17.64"/>
    <n v="5.23"/>
    <n v="2.4700000000000002"/>
    <n v="27.086792452830188"/>
    <s v="NO"/>
    <n v="13.476572960185326"/>
    <n v="0.72386434658916976"/>
    <n v="1.1565105119388859"/>
    <n v="-0.10768131623570171"/>
    <n v="8.3825232853994194E-2"/>
    <n v="6.1963529592123499E-2"/>
    <x v="0"/>
    <x v="1"/>
    <x v="0"/>
    <x v="1"/>
    <x v="1"/>
    <x v="1"/>
  </r>
  <r>
    <x v="2"/>
    <s v="SGRY"/>
    <n v="2969"/>
    <n v="22.93"/>
    <n v="1.66"/>
    <n v="14.18"/>
    <n v="-1.33"/>
    <n v="13.813253012048193"/>
    <n v="1.6170662905500706"/>
    <n v="0.36"/>
    <n v="4.01"/>
    <n v="4.41"/>
    <n v="-17.240601503759397"/>
    <s v="NO"/>
    <n v="-0.3224190072487631"/>
    <n v="-0.91869772668377114"/>
    <n v="-1.2566880446104556"/>
    <n v="-0.44597626681309999"/>
    <n v="2.0170813024517091"/>
    <n v="-1.1662581533246545"/>
    <x v="1"/>
    <x v="1"/>
    <x v="0"/>
    <x v="1"/>
    <x v="1"/>
    <x v="1"/>
  </r>
  <r>
    <x v="2"/>
    <s v="ALHC"/>
    <n v="3071"/>
    <n v="14.05"/>
    <n v="0.1"/>
    <n v="0.55000000000000004"/>
    <n v="-0.47"/>
    <n v="140.5"/>
    <n v="25.545454545454543"/>
    <n v="-75.39"/>
    <n v="-5.0599999999999996"/>
    <n v="8.2799999999999994"/>
    <n v="-29.893617021276597"/>
    <s v="NO"/>
    <n v="12.853605674834212"/>
    <n v="13.974288110950765"/>
    <n v="-11.835379633650536"/>
    <n v="-2.9610051206958876"/>
    <n v="5.8736282041749854"/>
    <n v="-1.5168474080892433"/>
    <x v="0"/>
    <x v="0"/>
    <x v="1"/>
    <x v="0"/>
    <x v="0"/>
    <x v="1"/>
  </r>
  <r>
    <x v="2"/>
    <s v="HQY"/>
    <n v="7933"/>
    <n v="96.99"/>
    <n v="-1.91"/>
    <n v="24.44"/>
    <n v="1.0900000000000001"/>
    <n v="-50.780104712041883"/>
    <n v="3.9684942716857607"/>
    <n v="4.66"/>
    <n v="3.84"/>
    <n v="1.63"/>
    <n v="88.981651376146772"/>
    <s v="NO"/>
    <n v="-7.0404356578157383"/>
    <n v="0.54482682199090127"/>
    <n v="-0.6561814593580152"/>
    <n v="-0.49311572713945873"/>
    <n v="-0.75325471480687245"/>
    <n v="1.7769438387242249"/>
    <x v="0"/>
    <x v="1"/>
    <x v="0"/>
    <x v="1"/>
    <x v="1"/>
    <x v="1"/>
  </r>
  <r>
    <x v="2"/>
    <s v="PGNY"/>
    <n v="2006"/>
    <n v="21.68"/>
    <n v="1.9"/>
    <n v="4.9800000000000004"/>
    <n v="0.56999999999999995"/>
    <n v="11.410526315789474"/>
    <n v="4.3534136546184738"/>
    <n v="11.14"/>
    <n v="6.18"/>
    <n v="1.44"/>
    <n v="38.035087719298247"/>
    <s v="NO"/>
    <n v="-0.5723140200018757"/>
    <n v="0.78439995402050799"/>
    <n v="0.24876799934798779"/>
    <n v="0.15574507970571469"/>
    <n v="-0.9425942267777826"/>
    <n v="0.36531846289634518"/>
    <x v="1"/>
    <x v="1"/>
    <x v="0"/>
    <x v="1"/>
    <x v="1"/>
    <x v="1"/>
  </r>
  <r>
    <x v="3"/>
    <s v="WAY"/>
    <n v="7099"/>
    <n v="39.11"/>
    <n v="1.21"/>
    <n v="18.07"/>
    <n v="0.15"/>
    <n v="32.32231404958678"/>
    <n v="2.164360819037078"/>
    <n v="1.01"/>
    <n v="2.33"/>
    <n v="1.48"/>
    <n v="260.73333333333335"/>
    <s v="NO"/>
    <e v="#DIV/0!"/>
    <e v="#DIV/0!"/>
    <e v="#DIV/0!"/>
    <e v="#DIV/0!"/>
    <e v="#DIV/0!"/>
    <e v="#DIV/0!"/>
    <x v="1"/>
    <x v="1"/>
    <x v="0"/>
    <x v="1"/>
    <x v="1"/>
    <x v="1"/>
  </r>
  <r>
    <x v="4"/>
    <s v="AVTR"/>
    <n v="8136"/>
    <n v="13.3"/>
    <n v="0.98"/>
    <n v="8.9499999999999993"/>
    <n v="1.04"/>
    <n v="13.571428571428573"/>
    <n v="1.4860335195530727"/>
    <n v="12.52"/>
    <n v="3.53"/>
    <n v="2.02"/>
    <n v="12.788461538461538"/>
    <s v="NO"/>
    <n v="-0.98393264727986018"/>
    <n v="-1.1654423188836225"/>
    <n v="0.87146984302283725"/>
    <n v="-0.62289404574091711"/>
    <n v="2.0433836947639575E-2"/>
    <n v="-0.9195665543536079"/>
    <x v="1"/>
    <x v="1"/>
    <x v="0"/>
    <x v="1"/>
    <x v="1"/>
    <x v="1"/>
  </r>
  <r>
    <x v="4"/>
    <s v="BIO"/>
    <n v="6328"/>
    <n v="253.15"/>
    <n v="11.83"/>
    <n v="241.72"/>
    <n v="-77.099999999999994"/>
    <n v="21.398985629754861"/>
    <n v="1.0472861161674665"/>
    <n v="-27.52"/>
    <n v="1.55"/>
    <n v="1.43"/>
    <n v="-3.2833981841763946"/>
    <s v="NO"/>
    <n v="-0.47824631500441839"/>
    <n v="-1.5425031841055399"/>
    <n v="-2.526573006850263"/>
    <n v="-1.8059446074358965"/>
    <n v="-0.81420981068286713"/>
    <n v="-1.2605697551286243"/>
    <x v="1"/>
    <x v="1"/>
    <x v="0"/>
    <x v="0"/>
    <x v="1"/>
    <x v="1"/>
  </r>
  <r>
    <x v="4"/>
    <s v="BRKR"/>
    <n v="6176"/>
    <n v="38.74"/>
    <n v="0.91"/>
    <n v="11.74"/>
    <n v="0.76"/>
    <n v="42.571428571428569"/>
    <n v="3.2998296422487225"/>
    <n v="7.05"/>
    <n v="5.0999999999999996"/>
    <n v="3.26"/>
    <n v="50.973684210526315"/>
    <s v="NO"/>
    <n v="0.8895642211190149"/>
    <n v="0.39333963647920994"/>
    <n v="0.40725170144426925"/>
    <n v="0.31518139964348557"/>
    <n v="1.7746001472219244"/>
    <n v="-0.10937511551596339"/>
    <x v="1"/>
    <x v="1"/>
    <x v="0"/>
    <x v="1"/>
    <x v="1"/>
    <x v="1"/>
  </r>
  <r>
    <x v="4"/>
    <s v="CRL"/>
    <n v="6727"/>
    <n v="144.02000000000001"/>
    <n v="9.76"/>
    <n v="67.69"/>
    <n v="0.2"/>
    <n v="14.756147540983608"/>
    <n v="2.1276407150243761"/>
    <n v="0.71"/>
    <n v="4.34"/>
    <n v="2.17"/>
    <n v="720.1"/>
    <s v="NO"/>
    <n v="-0.90739584454213262"/>
    <n v="-0.61404312565718522"/>
    <n v="-0.13080003852065222"/>
    <n v="-0.13891881595660738"/>
    <n v="0.23263137448081911"/>
    <n v="14.08775075197847"/>
    <x v="1"/>
    <x v="1"/>
    <x v="0"/>
    <x v="1"/>
    <x v="1"/>
    <x v="0"/>
  </r>
  <r>
    <x v="4"/>
    <s v="MEDP"/>
    <n v="8622"/>
    <n v="310.14999999999998"/>
    <n v="17.54"/>
    <n v="19.940000000000001"/>
    <n v="13.09"/>
    <n v="17.682440136830103"/>
    <n v="15.554162487462385"/>
    <n v="65.819999999999993"/>
    <n v="15.44"/>
    <n v="3.2"/>
    <n v="23.693659281894575"/>
    <s v="NO"/>
    <n v="-0.71834756818567669"/>
    <n v="10.924750898810137"/>
    <n v="5.3948385717500154"/>
    <n v="6.4933343329394884"/>
    <n v="1.6897211322086532"/>
    <n v="-0.68818652741390129"/>
    <x v="1"/>
    <x v="0"/>
    <x v="1"/>
    <x v="0"/>
    <x v="1"/>
    <x v="1"/>
  </r>
  <r>
    <x v="4"/>
    <s v="QGEN"/>
    <n v="9213"/>
    <n v="42.11"/>
    <n v="2.3199999999999998"/>
    <n v="16.510000000000002"/>
    <n v="0.38"/>
    <n v="18.15086206896552"/>
    <n v="2.5505754088431249"/>
    <n v="2.27"/>
    <n v="5.24"/>
    <n v="1.59"/>
    <n v="110.81578947368421"/>
    <s v="NO"/>
    <n v="-0.68808594670481271"/>
    <n v="-0.25057175157475603"/>
    <n v="1.591241344533505E-3"/>
    <n v="0.39883143935929249"/>
    <n v="-0.58786577064747536"/>
    <n v="1.1603192314990893"/>
    <x v="1"/>
    <x v="1"/>
    <x v="0"/>
    <x v="1"/>
    <x v="1"/>
    <x v="1"/>
  </r>
  <r>
    <x v="4"/>
    <s v="RGEN"/>
    <n v="7129"/>
    <n v="131.55000000000001"/>
    <n v="2.08"/>
    <n v="35.340000000000003"/>
    <n v="-0.42"/>
    <n v="63.245192307692314"/>
    <n v="3.7224108658743633"/>
    <n v="-1.1599999999999999"/>
    <n v="0.92"/>
    <n v="1.44"/>
    <n v="-313.21428571428578"/>
    <s v="NO"/>
    <n v="2.2251584148399925"/>
    <n v="0.75650723719269142"/>
    <n v="-0.28949984194879153"/>
    <n v="-2.1823697861570261"/>
    <n v="-0.80006330818065519"/>
    <n v="-7.8364997651413084"/>
    <x v="1"/>
    <x v="1"/>
    <x v="1"/>
    <x v="1"/>
    <x v="1"/>
    <x v="0"/>
  </r>
  <r>
    <x v="4"/>
    <s v="SHC"/>
    <n v="3733"/>
    <n v="13.24"/>
    <n v="0.37"/>
    <n v="1.46"/>
    <n v="0.09"/>
    <n v="35.783783783783782"/>
    <n v="9.0684931506849313"/>
    <n v="5.88"/>
    <n v="7.01"/>
    <n v="7.48"/>
    <n v="147.11111111111111"/>
    <s v="NO"/>
    <n v="0.45105969513775768"/>
    <n v="5.3509467627677134"/>
    <n v="0.30795824154537993"/>
    <n v="1.4564069414805616"/>
    <n v="7.74442420315538"/>
    <n v="1.9304118695083659"/>
    <x v="1"/>
    <x v="0"/>
    <x v="0"/>
    <x v="1"/>
    <x v="0"/>
    <x v="1"/>
  </r>
  <r>
    <x v="4"/>
    <s v="STVN"/>
    <n v="5949"/>
    <n v="24.42"/>
    <n v="-0.6"/>
    <n v="5.33"/>
    <n v="0.45"/>
    <n v="-40.700000000000003"/>
    <n v="4.5816135084427767"/>
    <n v="9.2799999999999994"/>
    <n v="4.76"/>
    <n v="1.66"/>
    <n v="54.266666666666666"/>
    <s v="NO"/>
    <n v="-4.49004821528347"/>
    <n v="1.4949086255721267"/>
    <n v="0.59650333868745142"/>
    <n v="0.11203130319081243"/>
    <n v="-0.48884025313199175"/>
    <n v="-3.9506564083912551E-2"/>
    <x v="0"/>
    <x v="1"/>
    <x v="0"/>
    <x v="1"/>
    <x v="1"/>
    <x v="1"/>
  </r>
  <r>
    <x v="4"/>
    <s v="TECH"/>
    <n v="7707"/>
    <n v="51.61"/>
    <n v="1.61"/>
    <n v="13.16"/>
    <n v="0.98"/>
    <n v="32.055900621118013"/>
    <n v="3.9217325227963524"/>
    <n v="7.82"/>
    <n v="5.68"/>
    <n v="1.28"/>
    <n v="52.663265306122447"/>
    <s v="NO"/>
    <n v="0.21022599062012964"/>
    <n v="0.92780488097707636"/>
    <n v="0.47259867932644428"/>
    <n v="0.66173156418039869"/>
    <n v="-1.0264073482160467"/>
    <n v="-7.3526584511446003E-2"/>
    <x v="1"/>
    <x v="1"/>
    <x v="0"/>
    <x v="1"/>
    <x v="1"/>
    <x v="1"/>
  </r>
  <r>
    <x v="5"/>
    <s v="AMRX"/>
    <n v="2263"/>
    <n v="7.5"/>
    <n v="0.75"/>
    <n v="-0.42"/>
    <n v="-0.04"/>
    <n v="10"/>
    <n v="-17.857142857142858"/>
    <n v="-85.32"/>
    <n v="6.67"/>
    <n v="-25.49"/>
    <n v="-187.5"/>
    <s v="NO"/>
    <n v="0.20798560673920929"/>
    <n v="-1.9946168720590698"/>
    <n v="-0.57251871034875434"/>
    <n v="0.76021483873483275"/>
    <n v="-57.098871524490285"/>
    <n v="-2.4148228301673615"/>
    <x v="1"/>
    <x v="1"/>
    <x v="0"/>
    <x v="1"/>
    <x v="0"/>
    <x v="1"/>
  </r>
  <r>
    <x v="5"/>
    <s v="AXSM"/>
    <n v="5458"/>
    <n v="105.67"/>
    <n v="-2.69"/>
    <n v="1.08"/>
    <n v="-5.77"/>
    <n v="-39.282527881040892"/>
    <n v="97.842592592592581"/>
    <n v="-282.16000000000003"/>
    <n v="-26.18"/>
    <n v="11.22"/>
    <n v="-18.313691507798961"/>
    <s v="NO"/>
    <n v="-1.6213652502332701"/>
    <n v="8.0749645639298944"/>
    <n v="-2.2246236393083421"/>
    <n v="-1.9331047187481303"/>
    <n v="20.006133944115138"/>
    <n v="1.9334468530888403E-2"/>
    <x v="1"/>
    <x v="0"/>
    <x v="0"/>
    <x v="0"/>
    <x v="0"/>
    <x v="1"/>
  </r>
  <r>
    <x v="5"/>
    <s v="CORT"/>
    <n v="7472"/>
    <n v="70.59"/>
    <n v="1.71"/>
    <n v="6.56"/>
    <n v="1.1399999999999999"/>
    <n v="41.280701754385966"/>
    <n v="10.760670731707318"/>
    <n v="21.77"/>
    <n v="9.2200000000000006"/>
    <n v="1.24"/>
    <n v="61.921052631578952"/>
    <s v="NO"/>
    <n v="1.3691147334596039"/>
    <n v="0.49604918981857965"/>
    <n v="0.32630224495647947"/>
    <n v="0.96928530666730028"/>
    <n v="-0.9556735899813531"/>
    <n v="1.1737067684918885"/>
    <x v="1"/>
    <x v="1"/>
    <x v="0"/>
    <x v="1"/>
    <x v="1"/>
    <x v="1"/>
  </r>
  <r>
    <x v="5"/>
    <s v="ELAN"/>
    <n v="5962"/>
    <n v="13.02"/>
    <n v="0.77"/>
    <n v="12.33"/>
    <n v="0.68"/>
    <n v="16.909090909090907"/>
    <n v="1.0559610705596107"/>
    <n v="5.49"/>
    <n v="1.19"/>
    <n v="2.0699999999999998"/>
    <n v="19.147058823529409"/>
    <s v="NO"/>
    <n v="0.46444873716049861"/>
    <n v="-0.34857127422742662"/>
    <n v="0.18966198767410755"/>
    <n v="0.31091830372702034"/>
    <n v="0.7876430686659498"/>
    <n v="0.55829864149716113"/>
    <x v="1"/>
    <x v="1"/>
    <x v="0"/>
    <x v="1"/>
    <x v="1"/>
    <x v="1"/>
  </r>
  <r>
    <x v="5"/>
    <s v="HCM"/>
    <n v="2496"/>
    <n v="13.14"/>
    <n v="-0.02"/>
    <n v="0.89"/>
    <n v="0.04"/>
    <n v="-657"/>
    <n v="14.764044943820226"/>
    <n v="5.04"/>
    <n v="-2.14"/>
    <n v="1.68"/>
    <n v="328.5"/>
    <s v="NO"/>
    <n v="-24.55083002353711"/>
    <n v="0.84447092553743397"/>
    <n v="0.1858850763855899"/>
    <n v="3.7896869132856982E-2"/>
    <n v="-3.1505722746638272E-2"/>
    <n v="5.0090944910513109"/>
    <x v="0"/>
    <x v="1"/>
    <x v="0"/>
    <x v="1"/>
    <x v="1"/>
    <x v="0"/>
  </r>
  <r>
    <x v="5"/>
    <s v="LGND"/>
    <n v="2036"/>
    <n v="105.63"/>
    <n v="5.21"/>
    <n v="43.46"/>
    <n v="-0.22"/>
    <n v="20.274472168905948"/>
    <n v="2.4305108145421075"/>
    <n v="-0.53"/>
    <n v="1.66"/>
    <n v="1.1299999999999999"/>
    <n v="-480.13636363636363"/>
    <s v="NO"/>
    <n v="0.58937055745637223"/>
    <n v="-0.22894143643179329"/>
    <n v="0.1391353077699381"/>
    <n v="0.34945286056163205"/>
    <n v="-1.186715556790032"/>
    <n v="-6.6251099790403174"/>
    <x v="1"/>
    <x v="1"/>
    <x v="0"/>
    <x v="1"/>
    <x v="1"/>
    <x v="0"/>
  </r>
  <r>
    <x v="5"/>
    <s v="OGN"/>
    <n v="2277"/>
    <n v="8.44"/>
    <n v="2.27"/>
    <n v="2.1"/>
    <n v="2.88"/>
    <n v="3.7180616740088102"/>
    <n v="4.019047619047619"/>
    <n v="254.24"/>
    <n v="6.98"/>
    <n v="24.27"/>
    <n v="2.9305555555555554"/>
    <s v="NO"/>
    <n v="-2.519783076301339E-2"/>
    <n v="-9.0687872974137995E-2"/>
    <n v="2.2774546166046981"/>
    <n v="0.78563124856191713"/>
    <n v="47.416112733690206"/>
    <n v="0.32498472773609483"/>
    <x v="1"/>
    <x v="1"/>
    <x v="0"/>
    <x v="0"/>
    <x v="0"/>
    <x v="1"/>
  </r>
  <r>
    <x v="5"/>
    <s v="PBH"/>
    <n v="4033"/>
    <n v="86.97"/>
    <n v="5"/>
    <n v="36.07"/>
    <n v="4.26"/>
    <n v="17.393999999999998"/>
    <n v="2.4111449958414193"/>
    <n v="12.62"/>
    <n v="6.19"/>
    <n v="1.86"/>
    <n v="20.41549295774648"/>
    <s v="NO"/>
    <n v="0.48244839949822443"/>
    <n v="-0.23062688270980916"/>
    <n v="0.24950504875662058"/>
    <n v="0.72086039771225074"/>
    <n v="0.34656295021301819"/>
    <n v="0.57654815727204323"/>
    <x v="1"/>
    <x v="1"/>
    <x v="0"/>
    <x v="1"/>
    <x v="1"/>
    <x v="1"/>
  </r>
  <r>
    <x v="5"/>
    <s v="PRGO"/>
    <n v="3604"/>
    <n v="26.22"/>
    <n v="1.72"/>
    <n v="31.64"/>
    <n v="-1.17"/>
    <n v="15.244186046511627"/>
    <n v="0.82869785082174463"/>
    <n v="-3.54"/>
    <n v="2.5499999999999998"/>
    <n v="2.23"/>
    <n v="-22.410256410256412"/>
    <s v="NO"/>
    <n v="0.40264802871289601"/>
    <n v="-0.36835045081465129"/>
    <n v="0.11387196781785337"/>
    <n v="0.42242255329100298"/>
    <n v="1.1237041112967556"/>
    <n v="-3.9604599563782823E-2"/>
    <x v="1"/>
    <x v="1"/>
    <x v="0"/>
    <x v="1"/>
    <x v="1"/>
    <x v="1"/>
  </r>
  <r>
    <x v="5"/>
    <s v="RGC"/>
    <n v="2472"/>
    <n v="312.2"/>
    <n v="-0.31"/>
    <n v="0.63"/>
    <n v="-0.33"/>
    <n v="-1007.0967741935484"/>
    <n v="495.55555555555554"/>
    <n v="-43.18"/>
    <n v="-28.12"/>
    <n v="1.03"/>
    <n v="-946.06060606060601"/>
    <s v="NO"/>
    <n v="-37.546304513810796"/>
    <n v="42.688726238811718"/>
    <n v="-0.21883195101956815"/>
    <n v="-2.0921622512143996"/>
    <n v="-1.3967537084342851"/>
    <n v="-13.328565509484156"/>
    <x v="0"/>
    <x v="0"/>
    <x v="0"/>
    <x v="1"/>
    <x v="1"/>
    <x v="0"/>
  </r>
  <r>
    <x v="5"/>
    <s v="VRNA"/>
    <n v="5886"/>
    <n v="67.569999999999993"/>
    <n v="-1.47"/>
    <n v="2.4900000000000002"/>
    <n v="-2.02"/>
    <n v="-45.965986394557817"/>
    <n v="27.13654618473895"/>
    <n v="-72.61"/>
    <n v="-20.64"/>
    <n v="2.3199999999999998"/>
    <n v="-33.450495049504944"/>
    <s v="NO"/>
    <n v="-1.8694529820305208"/>
    <n v="1.9212746738608748"/>
    <n v="-0.46584194928862249"/>
    <n v="-1.4788888786124952"/>
    <n v="1.3127384477765833"/>
    <n v="-0.19844533379693172"/>
    <x v="1"/>
    <x v="1"/>
    <x v="0"/>
    <x v="1"/>
    <x v="1"/>
    <x v="1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8">
  <r>
    <x v="0"/>
    <s v="ABEO"/>
    <n v="257"/>
    <n v="5.63"/>
    <n v="-1.42"/>
    <n v="0.96"/>
    <n v="-1.55"/>
    <n v="-3.9647887323943665"/>
    <n v="5.864583333333333"/>
    <n v="-216.57"/>
    <n v="-46.41"/>
    <n v="2.4700000000000002"/>
    <n v="-3.6322580645161286"/>
    <s v="NO"/>
    <n v="0.24026228461922622"/>
    <n v="1.996072577132449"/>
    <n v="-4.1826315180597327"/>
    <n v="-1.4401614704959607"/>
    <n v="2.3287709056710897"/>
    <n v="0.18113523681503796"/>
    <x v="0"/>
    <x v="0"/>
    <x v="0"/>
    <x v="0"/>
    <x v="0"/>
    <x v="0"/>
  </r>
  <r>
    <x v="0"/>
    <s v="ABSI"/>
    <n v="339"/>
    <n v="2.96"/>
    <n v="-0.66"/>
    <n v="1.55"/>
    <n v="-0.94"/>
    <n v="-4.4848484848484844"/>
    <n v="1.9096774193548387"/>
    <n v="-58.04"/>
    <n v="-31.18"/>
    <n v="1.19"/>
    <n v="-3.1489361702127661"/>
    <s v="NO"/>
    <n v="8.7079161767655316E-2"/>
    <n v="-0.22204906952734782"/>
    <n v="-0.3248097756517207"/>
    <n v="-0.51688725346709818"/>
    <n v="-0.53740867053948271"/>
    <n v="0.32776810148645219"/>
    <x v="0"/>
    <x v="0"/>
    <x v="1"/>
    <x v="0"/>
    <x v="0"/>
    <x v="0"/>
  </r>
  <r>
    <x v="0"/>
    <s v="ABUS"/>
    <n v="630"/>
    <n v="3.19"/>
    <n v="-0.35"/>
    <n v="0.51"/>
    <n v="-0.38"/>
    <n v="-9.1142857142857139"/>
    <n v="6.2549019607843137"/>
    <n v="-68.760000000000005"/>
    <n v="-33.36"/>
    <n v="1.35"/>
    <n v="-8.3947368421052637"/>
    <s v="NO"/>
    <n v="-1.2765173259514817"/>
    <n v="2.2149840292566343"/>
    <n v="-0.58568058293497249"/>
    <n v="-0.64904337908252296"/>
    <n v="-0.17913622351316089"/>
    <n v="-1.2637318679563243"/>
    <x v="0"/>
    <x v="0"/>
    <x v="1"/>
    <x v="0"/>
    <x v="0"/>
    <x v="0"/>
  </r>
  <r>
    <x v="0"/>
    <s v="ABVX"/>
    <n v="420"/>
    <n v="6.04"/>
    <n v="-2.54"/>
    <n v="0.66"/>
    <n v="-2.9"/>
    <n v="-2.3779527559055116"/>
    <n v="9.1515151515151505"/>
    <n v="-148.97999999999999"/>
    <n v="-40.619999999999997"/>
    <n v="5.0599999999999996"/>
    <n v="-2.0827586206896553"/>
    <s v="NO"/>
    <n v="0.70766336533106244"/>
    <n v="3.8395588131095861"/>
    <n v="-2.5378313441534845"/>
    <n v="-1.0891596506274699"/>
    <n v="8.1283061419096665"/>
    <n v="0.65123093273323163"/>
    <x v="0"/>
    <x v="1"/>
    <x v="1"/>
    <x v="0"/>
    <x v="1"/>
    <x v="0"/>
  </r>
  <r>
    <x v="0"/>
    <s v="AGIO"/>
    <n v="1634"/>
    <n v="28.74"/>
    <n v="-7.07"/>
    <n v="25.33"/>
    <n v="11.45"/>
    <n v="-4.0650636492220649"/>
    <n v="1.1346229767074616"/>
    <n v="60.26"/>
    <n v="-22.88"/>
    <n v="1.06"/>
    <n v="2.5100436681222709"/>
    <s v="NO"/>
    <n v="0.21072639988508973"/>
    <n v="-0.65674083564488173"/>
    <n v="2.5540163905431186"/>
    <n v="-1.3724022912957599E-2"/>
    <n v="-0.82850503374836859"/>
    <n v="2.0446206475703965"/>
    <x v="0"/>
    <x v="0"/>
    <x v="1"/>
    <x v="0"/>
    <x v="0"/>
    <x v="0"/>
  </r>
  <r>
    <x v="0"/>
    <s v="AKBA"/>
    <n v="643"/>
    <n v="2.48"/>
    <n v="-0.19"/>
    <n v="-0.22"/>
    <n v="-0.33"/>
    <n v="-13.052631578947368"/>
    <n v="-11.272727272727273"/>
    <n v="174.03"/>
    <n v="-12.49"/>
    <n v="-4.49"/>
    <n v="-7.5151515151515147"/>
    <s v="NO"/>
    <n v="-2.4365534863572367"/>
    <n v="-7.6154429551286436"/>
    <n v="5.3226051726900918"/>
    <n v="0.61613934641927359"/>
    <n v="-13.256080539973894"/>
    <n v="-0.99687841535188393"/>
    <x v="0"/>
    <x v="1"/>
    <x v="0"/>
    <x v="0"/>
    <x v="1"/>
    <x v="0"/>
  </r>
  <r>
    <x v="0"/>
    <s v="ALLO"/>
    <n v="262"/>
    <n v="1.1299999999999999"/>
    <n v="-1.03"/>
    <n v="1.99"/>
    <n v="-1.32"/>
    <n v="-1.0970873786407767"/>
    <n v="0.5678391959798994"/>
    <n v="-55.13"/>
    <n v="-27.01"/>
    <n v="1.3"/>
    <n v="-0.85606060606060597"/>
    <s v="NO"/>
    <n v="1.0849410868159179"/>
    <n v="-0.97462333407903323"/>
    <n v="-0.25399503225673359"/>
    <n v="-0.26409319667062042"/>
    <n v="-0.29109636320888643"/>
    <n v="1.0233933489032174"/>
    <x v="0"/>
    <x v="0"/>
    <x v="1"/>
    <x v="0"/>
    <x v="0"/>
    <x v="0"/>
  </r>
  <r>
    <x v="0"/>
    <s v="ALT"/>
    <n v="413"/>
    <n v="5.76"/>
    <n v="-1.1200000000000001"/>
    <n v="1.71"/>
    <n v="-1.34"/>
    <n v="-5.1428571428571423"/>
    <n v="3.3684210526315788"/>
    <n v="-59.86"/>
    <n v="-36.85"/>
    <n v="1.1299999999999999"/>
    <n v="-4.2985074626865671"/>
    <s v="NO"/>
    <n v="-0.10673668462593812"/>
    <n v="0.59609196853424495"/>
    <n v="-0.36909940897779514"/>
    <n v="-0.86061442421914358"/>
    <n v="-0.67176083817435339"/>
    <n v="-2.0995183906226258E-2"/>
    <x v="0"/>
    <x v="0"/>
    <x v="1"/>
    <x v="0"/>
    <x v="0"/>
    <x v="0"/>
  </r>
  <r>
    <x v="0"/>
    <s v="ANAB"/>
    <n v="578"/>
    <n v="20.52"/>
    <n v="-3.72"/>
    <n v="1.1200000000000001"/>
    <n v="-4.79"/>
    <n v="-5.5161290322580641"/>
    <n v="18.321428571428569"/>
    <n v="-343.83"/>
    <n v="-15.14"/>
    <n v="12.41"/>
    <n v="-4.2839248434237991"/>
    <s v="NO"/>
    <n v="-0.21668357711534289"/>
    <n v="8.9825341195043773"/>
    <n v="-7.2794989560137084"/>
    <n v="0.45549084509777094"/>
    <n v="24.586446677181311"/>
    <n v="-1.6571028364929585E-2"/>
    <x v="0"/>
    <x v="1"/>
    <x v="0"/>
    <x v="0"/>
    <x v="1"/>
    <x v="0"/>
  </r>
  <r>
    <x v="0"/>
    <s v="ARCT"/>
    <n v="297"/>
    <n v="11.86"/>
    <n v="-2.2400000000000002"/>
    <n v="8.89"/>
    <n v="-3"/>
    <n v="-5.2946428571428568"/>
    <n v="1.3340832395950504"/>
    <n v="-31.16"/>
    <n v="-15.46"/>
    <n v="1.43"/>
    <n v="-3.9533333333333331"/>
    <s v="NO"/>
    <n v="-0.15144502748235505"/>
    <n v="-0.54487290847228598"/>
    <n v="0.32931403962568662"/>
    <n v="0.43609178078724981"/>
    <n v="-4.9720289972177354E-16"/>
    <n v="8.3725649132960683E-2"/>
    <x v="0"/>
    <x v="0"/>
    <x v="1"/>
    <x v="0"/>
    <x v="0"/>
    <x v="0"/>
  </r>
  <r>
    <x v="0"/>
    <s v="ARDX"/>
    <n v="885"/>
    <n v="3.39"/>
    <n v="-0.21"/>
    <n v="0.61"/>
    <n v="-0.23"/>
    <n v="-16.142857142857142"/>
    <n v="5.557377049180328"/>
    <n v="-36.26"/>
    <n v="-6.58"/>
    <n v="2.82"/>
    <n v="-14.739130434782609"/>
    <s v="NO"/>
    <n v="-3.3467765904556814"/>
    <n v="1.823774948897795"/>
    <n v="0.20520572645921431"/>
    <n v="0.97441581540420996"/>
    <n v="3.1124918835411672"/>
    <n v="-3.1885290229416792"/>
    <x v="1"/>
    <x v="0"/>
    <x v="1"/>
    <x v="0"/>
    <x v="0"/>
    <x v="0"/>
  </r>
  <r>
    <x v="0"/>
    <s v="ARQT"/>
    <n v="1633"/>
    <n v="13.82"/>
    <n v="-0.97"/>
    <n v="1.34"/>
    <n v="-1.1599999999999999"/>
    <n v="-14.247422680412372"/>
    <n v="10.313432835820896"/>
    <n v="-113.76"/>
    <n v="-23.25"/>
    <n v="2.21"/>
    <n v="-11.913793103448278"/>
    <s v="NO"/>
    <n v="-2.7884781088914994"/>
    <n v="4.4912240671643282"/>
    <n v="-1.6807539344038465"/>
    <n v="-3.6154191021997656E-2"/>
    <n v="1.7465781792533168"/>
    <n v="-2.3313625849226116"/>
    <x v="0"/>
    <x v="1"/>
    <x v="1"/>
    <x v="0"/>
    <x v="0"/>
    <x v="0"/>
  </r>
  <r>
    <x v="0"/>
    <s v="ARWR"/>
    <n v="1793"/>
    <n v="15.28"/>
    <n v="-4.5999999999999996"/>
    <n v="0.42"/>
    <n v="-5.15"/>
    <n v="-3.3217391304347825"/>
    <n v="36.38095238095238"/>
    <n v="-565.33000000000004"/>
    <n v="-47.71"/>
    <n v="19.28"/>
    <n v="-2.9669902912621358"/>
    <s v="NO"/>
    <n v="0.42967195478077025"/>
    <n v="19.111275880133427"/>
    <n v="-12.669693341577167"/>
    <n v="-1.5189701692574527"/>
    <n v="39.969769871373991"/>
    <n v="0.38296784674968609"/>
    <x v="0"/>
    <x v="1"/>
    <x v="0"/>
    <x v="0"/>
    <x v="1"/>
    <x v="0"/>
  </r>
  <r>
    <x v="0"/>
    <s v="ATYR"/>
    <n v="281"/>
    <n v="3.31"/>
    <n v="-0.93"/>
    <n v="0.83"/>
    <n v="-0.86"/>
    <n v="-3.5591397849462365"/>
    <n v="3.987951807228916"/>
    <n v="-79.88"/>
    <n v="-39.03"/>
    <n v="1.38"/>
    <n v="-3.8488372093023258"/>
    <s v="NO"/>
    <n v="0.35974580984556925"/>
    <n v="0.94355777617502423"/>
    <n v="-0.85628537556461404"/>
    <n v="-0.99277054983456847"/>
    <n v="-0.11196013969572606"/>
    <n v="0.11542826015539584"/>
    <x v="0"/>
    <x v="0"/>
    <x v="1"/>
    <x v="0"/>
    <x v="0"/>
    <x v="0"/>
  </r>
  <r>
    <x v="0"/>
    <s v="AUPH"/>
    <n v="1108"/>
    <n v="7.82"/>
    <n v="0.31"/>
    <n v="2.68"/>
    <n v="0.04"/>
    <n v="25.225806451612904"/>
    <n v="2.9179104477611939"/>
    <n v="1.52"/>
    <n v="1.42"/>
    <n v="1.46"/>
    <n v="195.5"/>
    <s v="NO"/>
    <n v="8.8383253092651426"/>
    <n v="0.34342165312146894"/>
    <n v="1.124580642425749"/>
    <n v="1.4593924231672368"/>
    <n v="6.717608381743484E-2"/>
    <n v="60.594979080106832"/>
    <x v="1"/>
    <x v="0"/>
    <x v="1"/>
    <x v="0"/>
    <x v="0"/>
    <x v="1"/>
  </r>
  <r>
    <x v="0"/>
    <s v="AUTL"/>
    <n v="327"/>
    <n v="1.27"/>
    <n v="-0.94"/>
    <n v="1.61"/>
    <n v="-0.86"/>
    <n v="-1.3510638297872342"/>
    <n v="0.78881987577639745"/>
    <n v="-81.91"/>
    <n v="-25.99"/>
    <n v="1.83"/>
    <n v="-1.4767441860465116"/>
    <s v="NO"/>
    <n v="1.0101325561926868"/>
    <n v="-0.85068561216819172"/>
    <n v="-0.90568535119754323"/>
    <n v="-0.20225867918083432"/>
    <n v="0.89568111756580349"/>
    <n v="0.83508693766765041"/>
    <x v="0"/>
    <x v="0"/>
    <x v="1"/>
    <x v="0"/>
    <x v="0"/>
    <x v="0"/>
  </r>
  <r>
    <x v="0"/>
    <s v="AVBP"/>
    <n v="674"/>
    <n v="19.100000000000001"/>
    <n v="-2.23"/>
    <n v="7.64"/>
    <n v="-2.56"/>
    <n v="-8.5650224215246649"/>
    <n v="2.5000000000000004"/>
    <n v="-39.36"/>
    <n v="-26.91"/>
    <n v="1.07"/>
    <n v="-7.4609375"/>
    <s v="NO"/>
    <n v="-1.1147323271011869"/>
    <n v="0.10903524021894646"/>
    <n v="0.12976734002469184"/>
    <n v="-0.25803098907358252"/>
    <n v="-0.80611300580922352"/>
    <n v="-0.98043066812440904"/>
    <x v="0"/>
    <x v="0"/>
    <x v="1"/>
    <x v="0"/>
    <x v="0"/>
    <x v="0"/>
  </r>
  <r>
    <x v="0"/>
    <s v="AVXL"/>
    <n v="721"/>
    <n v="8.1199999999999992"/>
    <n v="-0.42"/>
    <n v="1.31"/>
    <n v="-0.55000000000000004"/>
    <n v="-19.333333333333332"/>
    <n v="6.1984732824427473"/>
    <n v="-37.72"/>
    <n v="-24.34"/>
    <n v="1.1200000000000001"/>
    <n v="-14.763636363636362"/>
    <s v="NO"/>
    <n v="-4.2865284246140911"/>
    <n v="2.1833358243070711"/>
    <n v="0.1696766799448908"/>
    <n v="-0.10223225382971007"/>
    <n v="-0.69415286611349791"/>
    <n v="-3.1959637669324081"/>
    <x v="1"/>
    <x v="0"/>
    <x v="1"/>
    <x v="0"/>
    <x v="0"/>
    <x v="0"/>
  </r>
  <r>
    <x v="0"/>
    <s v="BCAX"/>
    <n v="648"/>
    <n v="13.04"/>
    <n v="-4.45"/>
    <n v="9.0399999999999991"/>
    <n v="-4.05"/>
    <n v="-2.9303370786516849"/>
    <n v="1.4424778761061947"/>
    <n v="-19.14"/>
    <n v="-13.84"/>
    <n v="1.04"/>
    <n v="-3.219753086419753"/>
    <s v="NO"/>
    <n v="0.54495906996266807"/>
    <n v="-0.48407942947259891"/>
    <n v="0.62182029928470584"/>
    <n v="0.53429954385926282"/>
    <n v="-0.87328908962665885"/>
    <n v="0.30628327447361198"/>
    <x v="0"/>
    <x v="0"/>
    <x v="1"/>
    <x v="0"/>
    <x v="0"/>
    <x v="0"/>
  </r>
  <r>
    <x v="0"/>
    <s v="BCYC"/>
    <n v="539"/>
    <n v="8.11"/>
    <n v="-2.85"/>
    <n v="11.48"/>
    <n v="-2.9"/>
    <n v="-2.8456140350877188"/>
    <n v="0.7064459930313588"/>
    <n v="-29.04"/>
    <n v="-16.899999999999999"/>
    <n v="1.21"/>
    <n v="-2.796551724137931"/>
    <s v="NO"/>
    <n v="0.56991416469817735"/>
    <n v="-0.89688526809183433"/>
    <n v="0.38090416196155358"/>
    <n v="0.34879599138990508"/>
    <n v="-0.49262461466119245"/>
    <n v="0.43467644022016277"/>
    <x v="0"/>
    <x v="0"/>
    <x v="1"/>
    <x v="0"/>
    <x v="0"/>
    <x v="0"/>
  </r>
  <r>
    <x v="0"/>
    <s v="BEAM"/>
    <n v="1632"/>
    <n v="18.05"/>
    <n v="-4.33"/>
    <n v="9.0500000000000007"/>
    <n v="-4.58"/>
    <n v="-4.1685912240184759"/>
    <n v="1.9944751381215469"/>
    <n v="-43.94"/>
    <n v="-20.260000000000002"/>
    <n v="1.5"/>
    <n v="-3.9410480349344978"/>
    <s v="NO"/>
    <n v="0.18023244773107652"/>
    <n v="-0.17448999740909568"/>
    <n v="1.8313207808526501E-2"/>
    <n v="0.14510581612943357"/>
    <n v="0.15674419557401528"/>
    <n v="8.7452830787251037E-2"/>
    <x v="0"/>
    <x v="0"/>
    <x v="1"/>
    <x v="0"/>
    <x v="0"/>
    <x v="0"/>
  </r>
  <r>
    <x v="0"/>
    <s v="BHVN"/>
    <n v="1941"/>
    <n v="19.510000000000002"/>
    <n v="-6.43"/>
    <n v="4.18"/>
    <n v="-9.2799999999999994"/>
    <n v="-3.0342146189735617"/>
    <n v="4.6674641148325362"/>
    <n v="-198.83"/>
    <n v="-96.85"/>
    <n v="1.45"/>
    <n v="-2.1023706896551726"/>
    <s v="NO"/>
    <n v="0.51436203578427542"/>
    <n v="1.3246644298984525"/>
    <n v="-3.7509292679473374"/>
    <n v="-4.4979389824418456"/>
    <n v="4.4784055878289729E-2"/>
    <n v="0.64528091497396556"/>
    <x v="0"/>
    <x v="0"/>
    <x v="0"/>
    <x v="1"/>
    <x v="0"/>
    <x v="0"/>
  </r>
  <r>
    <x v="0"/>
    <s v="BNTC"/>
    <n v="346"/>
    <n v="13.18"/>
    <n v="-1.98"/>
    <n v="3.24"/>
    <n v="-1.94"/>
    <n v="-6.6565656565656566"/>
    <n v="4.0679012345679011"/>
    <n v="-46.85"/>
    <n v="-29.99"/>
    <n v="1.04"/>
    <n v="-6.7938144329896906"/>
    <s v="NO"/>
    <n v="-0.55259813828137583"/>
    <n v="0.98839766852034228"/>
    <n v="-5.2501535586460764E-2"/>
    <n v="-0.44474698306234778"/>
    <n v="-0.87328908962665885"/>
    <n v="-0.77803518892705592"/>
    <x v="0"/>
    <x v="0"/>
    <x v="1"/>
    <x v="0"/>
    <x v="0"/>
    <x v="0"/>
  </r>
  <r>
    <x v="0"/>
    <s v="CAPR"/>
    <n v="315"/>
    <n v="7.3"/>
    <n v="-1.18"/>
    <n v="3.19"/>
    <n v="-1.1499999999999999"/>
    <n v="-6.1864406779661021"/>
    <n v="2.2884012539184955"/>
    <n v="-48.16"/>
    <n v="-23.21"/>
    <n v="1.17"/>
    <n v="-6.3478260869565224"/>
    <s v="NO"/>
    <n v="-0.41412325724592941"/>
    <n v="-9.6405941240518302E-3"/>
    <n v="-8.4380337595887867E-2"/>
    <n v="-3.3729307983182577E-2"/>
    <n v="-0.58219272641777287"/>
    <n v="-0.642728782245089"/>
    <x v="0"/>
    <x v="0"/>
    <x v="1"/>
    <x v="0"/>
    <x v="0"/>
    <x v="0"/>
  </r>
  <r>
    <x v="0"/>
    <s v="CDNA"/>
    <n v="822"/>
    <n v="16.13"/>
    <n v="0.38"/>
    <n v="6.84"/>
    <n v="1.07"/>
    <n v="42.44736842105263"/>
    <n v="2.3581871345029239"/>
    <n v="19.54"/>
    <n v="-5.2"/>
    <n v="1.29"/>
    <n v="15.074766355140184"/>
    <s v="NO"/>
    <n v="13.910920583965559"/>
    <n v="2.9499040477222314E-2"/>
    <n v="1.5630966822806178"/>
    <n v="1.0580742802433321"/>
    <n v="-0.31348839114803156"/>
    <n v="5.8565755850865138"/>
    <x v="1"/>
    <x v="0"/>
    <x v="1"/>
    <x v="0"/>
    <x v="0"/>
    <x v="1"/>
  </r>
  <r>
    <x v="0"/>
    <s v="CELC"/>
    <n v="385"/>
    <n v="10.82"/>
    <n v="-2.12"/>
    <n v="3.11"/>
    <n v="-2.83"/>
    <n v="-5.1037735849056602"/>
    <n v="3.479099678456592"/>
    <n v="-87.54"/>
    <n v="-32.450000000000003"/>
    <n v="2.12"/>
    <n v="-3.8233215547703181"/>
    <s v="NO"/>
    <n v="-9.5224658496427986E-2"/>
    <n v="0.65816643025463994"/>
    <n v="-1.0426911949479827"/>
    <n v="-0.59387728994947886"/>
    <n v="1.5450499278010112"/>
    <n v="0.12316934029700034"/>
    <x v="0"/>
    <x v="0"/>
    <x v="1"/>
    <x v="0"/>
    <x v="0"/>
    <x v="0"/>
  </r>
  <r>
    <x v="0"/>
    <s v="CGEM"/>
    <n v="454"/>
    <n v="7.62"/>
    <n v="-2.7"/>
    <n v="10.09"/>
    <n v="-3.11"/>
    <n v="-2.822222222222222"/>
    <n v="0.75520317145688798"/>
    <n v="-32.1"/>
    <n v="-22.26"/>
    <n v="1.05"/>
    <n v="-2.45016077170418"/>
    <s v="NO"/>
    <n v="0.57680420171216928"/>
    <n v="-0.86953964843664355"/>
    <n v="0.30643917406167009"/>
    <n v="2.3861664188676839E-2"/>
    <n v="-0.85089706168751378"/>
    <n v="0.53976643976349015"/>
    <x v="0"/>
    <x v="0"/>
    <x v="1"/>
    <x v="0"/>
    <x v="0"/>
    <x v="0"/>
  </r>
  <r>
    <x v="0"/>
    <s v="CGON"/>
    <n v="1703"/>
    <n v="24.18"/>
    <n v="-1.26"/>
    <n v="9.6300000000000008"/>
    <n v="-1.41"/>
    <n v="-19.19047619047619"/>
    <n v="2.5109034267912769"/>
    <n v="-19.18"/>
    <n v="-15.02"/>
    <n v="1.03"/>
    <n v="-17.148936170212767"/>
    <s v="NO"/>
    <n v="-4.2444499842786403"/>
    <n v="0.11515046205090435"/>
    <n v="0.62084690075006677"/>
    <n v="0.46276549421421637"/>
    <n v="-0.89568111756580393"/>
    <n v="-3.9196291912819525"/>
    <x v="1"/>
    <x v="0"/>
    <x v="1"/>
    <x v="0"/>
    <x v="0"/>
    <x v="1"/>
  </r>
  <r>
    <x v="0"/>
    <s v="CKPT"/>
    <n v="361"/>
    <n v="4.1500000000000004"/>
    <n v="-0.78"/>
    <n v="-0.23"/>
    <n v="-1.42"/>
    <n v="-5.3205128205128212"/>
    <n v="-18.043478260869566"/>
    <n v="438.14"/>
    <n v="-546.48"/>
    <n v="-0.59"/>
    <n v="-2.922535211267606"/>
    <s v="NO"/>
    <n v="-0.15906500145335856"/>
    <n v="-11.412840328820831"/>
    <n v="11.749712347277741"/>
    <n v="-31.755443001003076"/>
    <n v="-4.5231896437073082"/>
    <n v="0.39645487435101245"/>
    <x v="0"/>
    <x v="1"/>
    <x v="0"/>
    <x v="1"/>
    <x v="1"/>
    <x v="0"/>
  </r>
  <r>
    <x v="0"/>
    <s v="CLDX"/>
    <n v="1255"/>
    <n v="19.62"/>
    <n v="-2.48"/>
    <n v="11.25"/>
    <n v="-2.4500000000000002"/>
    <n v="-7.9112903225806459"/>
    <n v="1.744"/>
    <n v="-26.84"/>
    <n v="-19.38"/>
    <n v="1.06"/>
    <n v="-8.0081632653061217"/>
    <s v="NO"/>
    <n v="-0.92217613725569059"/>
    <n v="-0.31496978072171755"/>
    <n v="0.43444108136669851"/>
    <n v="0.19845324298336672"/>
    <n v="-0.82850503374836859"/>
    <n v="-1.1464510419882905"/>
    <x v="0"/>
    <x v="0"/>
    <x v="1"/>
    <x v="0"/>
    <x v="0"/>
    <x v="0"/>
  </r>
  <r>
    <x v="0"/>
    <s v="CMPS"/>
    <n v="347"/>
    <n v="3.9"/>
    <n v="-1.77"/>
    <n v="2.2599999999999998"/>
    <n v="-2.2999999999999998"/>
    <n v="-2.2033898305084745"/>
    <n v="1.7256637168141593"/>
    <n v="-81.55"/>
    <n v="-40.11"/>
    <n v="1.38"/>
    <n v="-1.6956521739130437"/>
    <s v="NO"/>
    <n v="0.75908071481876971"/>
    <n v="-0.32525374386482114"/>
    <n v="-0.89692476438579227"/>
    <n v="-1.058242391882577"/>
    <n v="-0.11196013969572606"/>
    <n v="0.76867342373695846"/>
    <x v="0"/>
    <x v="0"/>
    <x v="1"/>
    <x v="0"/>
    <x v="0"/>
    <x v="0"/>
  </r>
  <r>
    <x v="0"/>
    <s v="CNTA"/>
    <n v="1613"/>
    <n v="12.46"/>
    <n v="-1.24"/>
    <n v="3.03"/>
    <n v="-2.06"/>
    <n v="-10.048387096774194"/>
    <n v="4.1122112211221129"/>
    <n v="-73.930000000000007"/>
    <n v="-26.82"/>
    <n v="1.44"/>
    <n v="-6.0485436893203888"/>
    <s v="NO"/>
    <n v="-1.5516560309836098"/>
    <n v="1.0132490663732512"/>
    <n v="-0.71149234353706325"/>
    <n v="-0.25257500223624846"/>
    <n v="2.2392027939144615E-2"/>
    <n v="-0.55193083613844962"/>
    <x v="0"/>
    <x v="0"/>
    <x v="1"/>
    <x v="0"/>
    <x v="0"/>
    <x v="0"/>
  </r>
  <r>
    <x v="0"/>
    <s v="COGT"/>
    <n v="537"/>
    <n v="4.99"/>
    <n v="-2"/>
    <n v="1.32"/>
    <n v="-2.46"/>
    <n v="-2.4950000000000001"/>
    <n v="3.7803030303030303"/>
    <n v="-99.54"/>
    <n v="-53.78"/>
    <n v="2.25"/>
    <n v="-2.0284552845528458"/>
    <s v="NO"/>
    <n v="0.67318720699164991"/>
    <n v="0.82709729468195103"/>
    <n v="-1.3347107553396822"/>
    <n v="-1.8869461703976496"/>
    <n v="1.8361462910098971"/>
    <n v="0.66770577865435854"/>
    <x v="0"/>
    <x v="0"/>
    <x v="1"/>
    <x v="0"/>
    <x v="0"/>
    <x v="0"/>
  </r>
  <r>
    <x v="0"/>
    <s v="DAWN"/>
    <n v="639"/>
    <n v="6.33"/>
    <n v="-1.63"/>
    <n v="4.97"/>
    <n v="-1.02"/>
    <n v="-3.8834355828220861"/>
    <n v="1.2736418511066399"/>
    <n v="-22.49"/>
    <n v="-27.67"/>
    <n v="1.1599999999999999"/>
    <n v="-6.2058823529411766"/>
    <s v="NO"/>
    <n v="0.2642247801718739"/>
    <n v="-0.57877165475761838"/>
    <n v="0.54029817200868968"/>
    <n v="-0.30410376681107015"/>
    <n v="-0.60458475435691805"/>
    <n v="-0.59966510856064492"/>
    <x v="0"/>
    <x v="0"/>
    <x v="1"/>
    <x v="0"/>
    <x v="0"/>
    <x v="0"/>
  </r>
  <r>
    <x v="0"/>
    <s v="DBVT"/>
    <n v="260"/>
    <n v="10.99"/>
    <n v="-0.92"/>
    <n v="0.03"/>
    <n v="-1.1499999999999999"/>
    <n v="-11.945652173913043"/>
    <n v="366.33333333333337"/>
    <n v="-198.47"/>
    <n v="-72.95"/>
    <n v="17.600000000000001"/>
    <n v="-9.5565217391304351"/>
    <s v="NO"/>
    <n v="-2.1104937184260657"/>
    <n v="204.16612534459924"/>
    <n v="-3.7421686811355861"/>
    <n v="-3.0490713667498031"/>
    <n v="36.207909177597614"/>
    <n v="-1.6162005841280338"/>
    <x v="0"/>
    <x v="1"/>
    <x v="0"/>
    <x v="1"/>
    <x v="1"/>
    <x v="0"/>
  </r>
  <r>
    <x v="0"/>
    <s v="DNTH"/>
    <n v="642"/>
    <n v="18.84"/>
    <n v="-2.35"/>
    <n v="11.33"/>
    <n v="-2.5499999999999998"/>
    <n v="-8.0170212765957451"/>
    <n v="1.6628420123565755"/>
    <n v="-32.6"/>
    <n v="-23.01"/>
    <n v="1.06"/>
    <n v="-7.3882352941176475"/>
    <s v="NO"/>
    <n v="-0.9533190927366334"/>
    <n v="-0.36048749798395607"/>
    <n v="0.29427169237868261"/>
    <n v="-2.1604892789106944E-2"/>
    <n v="-0.82850503374836859"/>
    <n v="-0.95837387152133791"/>
    <x v="0"/>
    <x v="0"/>
    <x v="1"/>
    <x v="0"/>
    <x v="0"/>
    <x v="0"/>
  </r>
  <r>
    <x v="0"/>
    <s v="DVAX"/>
    <n v="1190"/>
    <n v="9.6199999999999992"/>
    <n v="0.46"/>
    <n v="4.76"/>
    <n v="0.2"/>
    <n v="20.913043478260867"/>
    <n v="2.0210084033613445"/>
    <n v="4.4800000000000004"/>
    <n v="0.06"/>
    <n v="1.65"/>
    <n v="48.099999999999994"/>
    <s v="NO"/>
    <n v="7.5680049330791848"/>
    <n v="-0.15960873063181452"/>
    <n v="1.1966121339890345"/>
    <n v="1.3769463998475222"/>
    <n v="0.49262461466119145"/>
    <n v="15.875953297673769"/>
    <x v="1"/>
    <x v="0"/>
    <x v="1"/>
    <x v="0"/>
    <x v="0"/>
    <x v="1"/>
  </r>
  <r>
    <x v="0"/>
    <s v="DYN"/>
    <n v="1068"/>
    <n v="12.1"/>
    <n v="-3.13"/>
    <n v="6.16"/>
    <n v="-3.37"/>
    <n v="-3.8658146964856228"/>
    <n v="1.9642857142857142"/>
    <n v="-88.03"/>
    <n v="-50.2"/>
    <n v="1.1000000000000001"/>
    <n v="-3.5905044510385755"/>
    <s v="NO"/>
    <n v="0.26941499607244035"/>
    <n v="-0.1914218324430888"/>
    <n v="-1.0546153269973102"/>
    <n v="-1.6699191384236951"/>
    <n v="-0.73893692199178818"/>
    <n v="0.19380267858988492"/>
    <x v="0"/>
    <x v="0"/>
    <x v="1"/>
    <x v="0"/>
    <x v="0"/>
    <x v="0"/>
  </r>
  <r>
    <x v="0"/>
    <s v="EBS"/>
    <n v="258"/>
    <n v="5.88"/>
    <n v="1.24"/>
    <n v="8.89"/>
    <n v="-3.6"/>
    <n v="4.741935483870968"/>
    <n v="0.6614173228346456"/>
    <n v="-33.67"/>
    <n v="-2.0299999999999998"/>
    <n v="2.88"/>
    <n v="-1.6333333333333333"/>
    <s v="NO"/>
    <n v="2.8048199127786697"/>
    <n v="-0.92213974196708248"/>
    <n v="0.26823328157708937"/>
    <n v="1.2502462610694314"/>
    <n v="3.2468440511760379"/>
    <n v="0.78758005764886763"/>
    <x v="0"/>
    <x v="0"/>
    <x v="1"/>
    <x v="0"/>
    <x v="1"/>
    <x v="0"/>
  </r>
  <r>
    <x v="0"/>
    <s v="ERAS"/>
    <n v="347"/>
    <n v="1.33"/>
    <n v="-0.56000000000000005"/>
    <n v="1.5"/>
    <n v="-0.69"/>
    <n v="-2.375"/>
    <n v="0.88666666666666671"/>
    <n v="-43.68"/>
    <n v="-21.22"/>
    <n v="1.19"/>
    <n v="-1.9275362318840583"/>
    <s v="NO"/>
    <n v="0.70853309687342891"/>
    <n v="-0.7958079261623644"/>
    <n v="2.4640298283679946E-2"/>
    <n v="8.6908623197870516E-2"/>
    <n v="-0.53740867053948271"/>
    <n v="0.69832315801822709"/>
    <x v="0"/>
    <x v="0"/>
    <x v="1"/>
    <x v="0"/>
    <x v="0"/>
    <x v="0"/>
  </r>
  <r>
    <x v="0"/>
    <s v="ETNB"/>
    <n v="1120"/>
    <n v="7.8"/>
    <n v="-3.41"/>
    <n v="4.1500000000000004"/>
    <n v="-3.3"/>
    <n v="-2.2873900293255129"/>
    <n v="1.8795180722891565"/>
    <n v="-69.3"/>
    <n v="-39.93"/>
    <n v="1.1299999999999999"/>
    <n v="-2.3636363636363638"/>
    <s v="NO"/>
    <n v="0.7343385333401482"/>
    <n v="-0.23896403590848717"/>
    <n v="-0.59882146315259888"/>
    <n v="-1.0473304182079088"/>
    <n v="-0.67176083817435339"/>
    <n v="0.56601669237674956"/>
    <x v="0"/>
    <x v="0"/>
    <x v="1"/>
    <x v="0"/>
    <x v="0"/>
    <x v="0"/>
  </r>
  <r>
    <x v="0"/>
    <s v="FOLD"/>
    <n v="1875"/>
    <n v="6.02"/>
    <n v="0.01"/>
    <n v="0.63"/>
    <n v="-0.1"/>
    <n v="602"/>
    <n v="9.5555555555555554"/>
    <n v="-18.12"/>
    <n v="3.95"/>
    <n v="4.08"/>
    <n v="-60.199999999999996"/>
    <s v="NO"/>
    <n v="178.72663474104172"/>
    <n v="4.0661661675752292"/>
    <n v="0.64664196191800027"/>
    <n v="1.612766275372294"/>
    <n v="5.9338874038734488"/>
    <n v="-16.980698617098955"/>
    <x v="1"/>
    <x v="1"/>
    <x v="1"/>
    <x v="0"/>
    <x v="1"/>
    <x v="1"/>
  </r>
  <r>
    <x v="0"/>
    <s v="GERN"/>
    <n v="834"/>
    <n v="1.2"/>
    <n v="-0.34"/>
    <n v="0.46"/>
    <n v="-0.27"/>
    <n v="-3.5294117647058818"/>
    <n v="2.6086956521739126"/>
    <n v="-66.09"/>
    <n v="-21.98"/>
    <n v="2.12"/>
    <n v="-4.4444444444444438"/>
    <s v="NO"/>
    <n v="0.36850217092739324"/>
    <n v="0.16999754481704005"/>
    <n v="-0.5207062307478193"/>
    <n v="4.0835845460382852E-2"/>
    <n v="1.5450499278010112"/>
    <n v="-6.5270351137168905E-2"/>
    <x v="0"/>
    <x v="0"/>
    <x v="1"/>
    <x v="0"/>
    <x v="0"/>
    <x v="0"/>
  </r>
  <r>
    <x v="0"/>
    <s v="GLPG"/>
    <n v="1700"/>
    <n v="26.84"/>
    <n v="-5.21"/>
    <n v="45.16"/>
    <n v="-2.95"/>
    <n v="-5.1516314779270633"/>
    <n v="0.59433126660761737"/>
    <n v="-6.36"/>
    <n v="-4.66"/>
    <n v="1.46"/>
    <n v="-9.0983050847457623"/>
    <s v="NO"/>
    <n v="-0.10932115696899861"/>
    <n v="-0.95976517143185458"/>
    <n v="0.93282113110186604"/>
    <n v="1.0908102012673364"/>
    <n v="6.717608381743484E-2"/>
    <n v="-1.4771842857469728"/>
    <x v="0"/>
    <x v="0"/>
    <x v="1"/>
    <x v="0"/>
    <x v="0"/>
    <x v="0"/>
  </r>
  <r>
    <x v="0"/>
    <s v="GRAL"/>
    <n v="1225"/>
    <n v="42.89"/>
    <n v="-18.260000000000002"/>
    <n v="73.86"/>
    <n v="-63.54"/>
    <n v="-2.3488499452354872"/>
    <n v="0.5806932033577038"/>
    <n v="-65.92"/>
    <n v="-13.19"/>
    <n v="1.19"/>
    <n v="-0.67500786905886057"/>
    <s v="NO"/>
    <n v="0.71623557150767025"/>
    <n v="-0.96741412287877215"/>
    <n v="-0.51656928697560356"/>
    <n v="0.57370389324000881"/>
    <n v="-0.53740867053948271"/>
    <n v="1.0783221278310406"/>
    <x v="0"/>
    <x v="0"/>
    <x v="1"/>
    <x v="0"/>
    <x v="0"/>
    <x v="0"/>
  </r>
  <r>
    <x v="0"/>
    <s v="GYRE"/>
    <n v="830"/>
    <n v="11.5"/>
    <n v="-0.08"/>
    <n v="0.73"/>
    <n v="0.05"/>
    <n v="-143.75"/>
    <n v="15.753424657534246"/>
    <n v="20.239999999999998"/>
    <n v="8.3800000000000008"/>
    <n v="1.98"/>
    <n v="230"/>
    <s v="NO"/>
    <n v="-40.933343420097479"/>
    <n v="7.5422609008714829"/>
    <n v="1.5801311566368004"/>
    <n v="1.8813220719210704"/>
    <n v="1.2315615366529797"/>
    <n v="71.061779551571831"/>
    <x v="1"/>
    <x v="1"/>
    <x v="1"/>
    <x v="0"/>
    <x v="0"/>
    <x v="1"/>
  </r>
  <r>
    <x v="0"/>
    <s v="HRTX"/>
    <n v="345"/>
    <n v="1.84"/>
    <n v="-0.16"/>
    <n v="-0.22"/>
    <n v="-0.09"/>
    <n v="-11.5"/>
    <n v="-8.3636363636363633"/>
    <n v="40.159999999999997"/>
    <n v="-3.16"/>
    <n v="-6.93"/>
    <n v="-20.444444444444446"/>
    <s v="NO"/>
    <n v="-1.9792272795535171"/>
    <n v="-5.9838700029760172"/>
    <n v="2.0648836268870219"/>
    <n v="1.1817433152229038"/>
    <n v="-18.719735357125295"/>
    <n v="-4.9194386857296326"/>
    <x v="0"/>
    <x v="1"/>
    <x v="1"/>
    <x v="0"/>
    <x v="1"/>
    <x v="1"/>
  </r>
  <r>
    <x v="0"/>
    <s v="IBRX"/>
    <n v="1668"/>
    <n v="2.5099999999999998"/>
    <n v="-0.56999999999999995"/>
    <n v="-0.56999999999999995"/>
    <n v="-0.62"/>
    <n v="-4.4035087719298245"/>
    <n v="-4.4035087719298245"/>
    <n v="77.02"/>
    <n v="-48.48"/>
    <n v="-0.78"/>
    <n v="-4.0483870967741931"/>
    <s v="NO"/>
    <n v="0.11103769956630925"/>
    <n v="-3.7628197616410555"/>
    <n v="2.9618703765568593"/>
    <n v="-1.5656491677546438"/>
    <n v="-4.948638174551065"/>
    <n v="5.4887713596806623E-2"/>
    <x v="0"/>
    <x v="1"/>
    <x v="0"/>
    <x v="0"/>
    <x v="1"/>
    <x v="0"/>
  </r>
  <r>
    <x v="0"/>
    <s v="IDYA"/>
    <n v="1562"/>
    <n v="17.45"/>
    <n v="-3.08"/>
    <n v="12.24"/>
    <n v="-3.36"/>
    <n v="-5.6655844155844148"/>
    <n v="1.4256535947712417"/>
    <n v="-32.67"/>
    <n v="-23.05"/>
    <n v="1.06"/>
    <n v="-5.1934523809523814"/>
    <s v="NO"/>
    <n v="-0.26070552312611178"/>
    <n v="-0.49351538153574492"/>
    <n v="0.29256824494306438"/>
    <n v="-2.4029775827922026E-2"/>
    <n v="-0.82850503374836859"/>
    <n v="-0.2925085141218734"/>
    <x v="0"/>
    <x v="0"/>
    <x v="1"/>
    <x v="0"/>
    <x v="0"/>
    <x v="0"/>
  </r>
  <r>
    <x v="0"/>
    <s v="IMCR"/>
    <n v="1476"/>
    <n v="28.55"/>
    <n v="0.42"/>
    <n v="7.2"/>
    <n v="-1.02"/>
    <n v="67.976190476190482"/>
    <n v="3.9652777777777777"/>
    <n v="-14"/>
    <n v="-4.08"/>
    <n v="2.8"/>
    <n v="-27.990196078431374"/>
    <s v="NO"/>
    <n v="21.430411693735842"/>
    <n v="0.93084097414825295"/>
    <n v="0.74690201098581721"/>
    <n v="1.1259710053301559"/>
    <n v="3.0677078276628769"/>
    <n v="-7.2087104758795482"/>
    <x v="1"/>
    <x v="0"/>
    <x v="1"/>
    <x v="0"/>
    <x v="0"/>
    <x v="1"/>
  </r>
  <r>
    <x v="0"/>
    <s v="IMMP"/>
    <n v="281"/>
    <n v="1.89"/>
    <n v="-0.03"/>
    <n v="7.0000000000000007E-2"/>
    <n v="-0.03"/>
    <n v="-63"/>
    <n v="26.999999999999996"/>
    <n v="-42.12"/>
    <n v="-25.7"/>
    <n v="1.07"/>
    <n v="-63"/>
    <s v="NO"/>
    <n v="-17.148505020483679"/>
    <n v="13.849938696629343"/>
    <n v="6.2602841134600962E-2"/>
    <n v="-0.18467827714942464"/>
    <n v="-0.80611300580922352"/>
    <n v="-17.830178075652636"/>
    <x v="1"/>
    <x v="1"/>
    <x v="1"/>
    <x v="0"/>
    <x v="0"/>
    <x v="1"/>
  </r>
  <r>
    <x v="0"/>
    <s v="IMNM"/>
    <n v="646"/>
    <n v="7.91"/>
    <n v="-2.8"/>
    <n v="2.81"/>
    <n v="-5"/>
    <n v="-2.8250000000000002"/>
    <n v="2.814946619217082"/>
    <n v="-194.63"/>
    <n v="-49.34"/>
    <n v="1.33"/>
    <n v="-1.5820000000000001"/>
    <s v="NO"/>
    <n v="0.57598600981675763"/>
    <n v="0.2856740601611818"/>
    <n v="-3.6487224218102421"/>
    <n v="-1.6177841530891697"/>
    <n v="-0.22392027939145112"/>
    <n v="0.80315384772235188"/>
    <x v="0"/>
    <x v="0"/>
    <x v="0"/>
    <x v="0"/>
    <x v="0"/>
    <x v="0"/>
  </r>
  <r>
    <x v="0"/>
    <s v="IMTX"/>
    <n v="534"/>
    <n v="4.34"/>
    <n v="-1.71"/>
    <n v="4.9000000000000004"/>
    <n v="0.15"/>
    <n v="-2.5380116959064325"/>
    <n v="0.88571428571428568"/>
    <n v="3.84"/>
    <n v="-4"/>
    <n v="1.21"/>
    <n v="28.933333333333334"/>
    <s v="NO"/>
    <n v="0.66051815143217218"/>
    <n v="-0.79634207206931917"/>
    <n v="1.1810377574348105"/>
    <n v="1.130820771407786"/>
    <n v="-0.49262461466119245"/>
    <n v="10.061064146859884"/>
    <x v="0"/>
    <x v="0"/>
    <x v="1"/>
    <x v="0"/>
    <x v="0"/>
    <x v="1"/>
  </r>
  <r>
    <x v="0"/>
    <s v="IOVA"/>
    <n v="1045"/>
    <n v="1.79"/>
    <n v="-1.26"/>
    <n v="2.33"/>
    <n v="-1.28"/>
    <n v="-1.4206349206349207"/>
    <n v="0.76824034334763946"/>
    <n v="-57.48"/>
    <n v="-29.22"/>
    <n v="1.28"/>
    <n v="-1.3984375"/>
    <s v="NO"/>
    <n v="0.98964045522554045"/>
    <n v="-0.86222770883274802"/>
    <n v="-0.31118219616677462"/>
    <n v="-0.39806798456515646"/>
    <n v="-0.3358804190871767"/>
    <n v="0.85884405240476613"/>
    <x v="0"/>
    <x v="0"/>
    <x v="1"/>
    <x v="0"/>
    <x v="0"/>
    <x v="0"/>
  </r>
  <r>
    <x v="0"/>
    <s v="IRON"/>
    <n v="1508"/>
    <n v="46.35"/>
    <n v="-3.42"/>
    <n v="14.85"/>
    <n v="-3.96"/>
    <n v="-13.55263157894737"/>
    <n v="3.1212121212121215"/>
    <n v="-27.73"/>
    <n v="-18.75"/>
    <n v="1.1200000000000001"/>
    <n v="-11.704545454545455"/>
    <s v="NO"/>
    <n v="-2.5838280275313164"/>
    <n v="0.45744404770987179"/>
    <n v="0.4127829639709808"/>
    <n v="0.23664515084470503"/>
    <n v="-0.69415286611349791"/>
    <n v="-2.2678798779606111"/>
    <x v="0"/>
    <x v="0"/>
    <x v="1"/>
    <x v="0"/>
    <x v="0"/>
    <x v="0"/>
  </r>
  <r>
    <x v="0"/>
    <s v="IVA"/>
    <n v="344"/>
    <n v="3.5844"/>
    <n v="-1.49"/>
    <n v="-1.1499999999999999"/>
    <n v="-3.19"/>
    <n v="-2.4056375838926174"/>
    <n v="-3.1168695652173914"/>
    <n v="265.67"/>
    <n v="-63.6"/>
    <n v="-1.1200000000000001"/>
    <n v="-1.1236363636363638"/>
    <s v="NO"/>
    <n v="0.69950882465249375"/>
    <n v="-3.0412040423484838"/>
    <n v="7.5526612155480386"/>
    <n v="-2.4822549564267651"/>
    <n v="-5.7099671244819987"/>
    <n v="0.94221473830766522"/>
    <x v="0"/>
    <x v="0"/>
    <x v="0"/>
    <x v="0"/>
    <x v="1"/>
    <x v="0"/>
  </r>
  <r>
    <x v="0"/>
    <s v="JANX"/>
    <n v="1519"/>
    <n v="25.33"/>
    <n v="-0.82"/>
    <n v="17.32"/>
    <n v="-1.28"/>
    <n v="-30.890243902439025"/>
    <n v="1.4624711316397228"/>
    <n v="-10.09"/>
    <n v="-8.57"/>
    <n v="1.04"/>
    <n v="-19.7890625"/>
    <s v="NO"/>
    <n v="-7.6906058275239069"/>
    <n v="-0.47286614808216826"/>
    <n v="0.84205171774677945"/>
    <n v="0.85377788422315681"/>
    <n v="-0.87328908962665885"/>
    <n v="-4.7206052931180151"/>
    <x v="1"/>
    <x v="0"/>
    <x v="1"/>
    <x v="0"/>
    <x v="0"/>
    <x v="1"/>
  </r>
  <r>
    <x v="0"/>
    <s v="JBIO"/>
    <n v="487"/>
    <n v="8.61"/>
    <m/>
    <m/>
    <m/>
    <s v=""/>
    <s v=""/>
    <m/>
    <m/>
    <n v="-1.56"/>
    <s v=""/>
    <s v="NO"/>
    <e v="#VALUE!"/>
    <e v="#VALUE!"/>
    <n v="1.0875914981094668"/>
    <n v="1.3733090752892996"/>
    <n v="-6.6952163538043825"/>
    <e v="#VALUE!"/>
    <x v="1"/>
    <x v="1"/>
    <x v="1"/>
    <x v="0"/>
    <x v="1"/>
    <x v="1"/>
  </r>
  <r>
    <x v="0"/>
    <s v="KALV"/>
    <n v="609"/>
    <n v="11.64"/>
    <n v="-2.71"/>
    <n v="2.93"/>
    <n v="-3.72"/>
    <n v="-4.2952029520295207"/>
    <n v="3.9726962457337884"/>
    <n v="-150.5"/>
    <n v="-58.15"/>
    <n v="1.9"/>
    <n v="-3.129032258064516"/>
    <s v="NO"/>
    <n v="0.14293907943090864"/>
    <n v="0.93500164565755983"/>
    <n v="-2.5748204884697667"/>
    <n v="-2.1518646423882029"/>
    <n v="1.0524253131398187"/>
    <n v="0.33380666024173627"/>
    <x v="0"/>
    <x v="0"/>
    <x v="1"/>
    <x v="0"/>
    <x v="0"/>
    <x v="0"/>
  </r>
  <r>
    <x v="0"/>
    <s v="KMDA"/>
    <n v="392"/>
    <n v="6.89"/>
    <n v="0.64"/>
    <n v="4.51"/>
    <n v="0.25"/>
    <n v="10.765625"/>
    <n v="1.5277161862527717"/>
    <n v="5.74"/>
    <n v="3.45"/>
    <n v="1.43"/>
    <n v="27.56"/>
    <s v="NO"/>
    <n v="4.5790921321046989"/>
    <n v="-0.43627325026804048"/>
    <n v="1.2272741878301632"/>
    <n v="1.5824552373871048"/>
    <n v="-4.9720289972177354E-16"/>
    <n v="9.6444146981406966"/>
    <x v="1"/>
    <x v="0"/>
    <x v="1"/>
    <x v="0"/>
    <x v="0"/>
    <x v="1"/>
  </r>
  <r>
    <x v="0"/>
    <s v="KNSA"/>
    <n v="1953"/>
    <n v="25.6"/>
    <n v="0.61"/>
    <n v="6.28"/>
    <n v="-0.24"/>
    <n v="41.967213114754102"/>
    <n v="4.0764331210191083"/>
    <n v="-3.81"/>
    <n v="-1.77"/>
    <n v="1.31"/>
    <n v="-106.66666666666667"/>
    <s v="NO"/>
    <n v="13.769491279110728"/>
    <n v="0.99318280435818285"/>
    <n v="0.99487528768510214"/>
    <n v="1.2660080008217298"/>
    <n v="-0.26870433526974136"/>
    <n v="-31.078012488811236"/>
    <x v="1"/>
    <x v="0"/>
    <x v="1"/>
    <x v="0"/>
    <x v="0"/>
    <x v="1"/>
  </r>
  <r>
    <x v="0"/>
    <s v="KROS"/>
    <n v="557"/>
    <n v="13.47"/>
    <n v="-4.3499999999999996"/>
    <n v="14.09"/>
    <n v="-5"/>
    <n v="-3.0965517241379312"/>
    <n v="0.95599716110716826"/>
    <n v="-41.46"/>
    <n v="-26.73"/>
    <n v="1.08"/>
    <n v="-2.694"/>
    <s v="NO"/>
    <n v="0.49600069866186969"/>
    <n v="-0.75692369633819589"/>
    <n v="7.8663916956144359E-2"/>
    <n v="-0.24711901539891443"/>
    <n v="-0.78372097787007844"/>
    <n v="0.46578914846817565"/>
    <x v="0"/>
    <x v="0"/>
    <x v="1"/>
    <x v="0"/>
    <x v="0"/>
    <x v="0"/>
  </r>
  <r>
    <x v="0"/>
    <s v="KURA"/>
    <n v="489"/>
    <n v="5.8"/>
    <n v="1.27"/>
    <n v="4.51"/>
    <n v="-2.09"/>
    <n v="4.5669291338582676"/>
    <n v="1.2860310421286032"/>
    <n v="-41.84"/>
    <n v="-19.600000000000001"/>
    <n v="2.04"/>
    <n v="-2.7751196172248807"/>
    <s v="NO"/>
    <n v="2.7532719529773284"/>
    <n v="-0.57182313729901324"/>
    <n v="6.9416630877073809E-2"/>
    <n v="0.18511638626988333"/>
    <n v="1.3659137042878504"/>
    <n v="0.44117863114022088"/>
    <x v="0"/>
    <x v="0"/>
    <x v="1"/>
    <x v="0"/>
    <x v="0"/>
    <x v="0"/>
  </r>
  <r>
    <x v="0"/>
    <s v="KYMR"/>
    <n v="1896"/>
    <n v="31.14"/>
    <n v="-2.76"/>
    <n v="12.88"/>
    <n v="-2.98"/>
    <n v="-11.282608695652176"/>
    <n v="2.4177018633540373"/>
    <n v="-36.380000000000003"/>
    <n v="-20.65"/>
    <n v="1.17"/>
    <n v="-10.449664429530202"/>
    <s v="NO"/>
    <n v="-1.9151948703473962"/>
    <n v="6.2878066737532129E-2"/>
    <n v="0.20228553085529719"/>
    <n v="0.1214632065009862"/>
    <n v="-0.58219272641777287"/>
    <n v="-1.8871671445037379"/>
    <x v="0"/>
    <x v="0"/>
    <x v="1"/>
    <x v="0"/>
    <x v="0"/>
    <x v="0"/>
  </r>
  <r>
    <x v="0"/>
    <s v="MDXG"/>
    <n v="1031"/>
    <n v="7.17"/>
    <n v="0.44"/>
    <n v="1.37"/>
    <n v="0.27"/>
    <n v="16.295454545454547"/>
    <n v="5.2335766423357661"/>
    <n v="22.29"/>
    <n v="13.8"/>
    <n v="1.33"/>
    <n v="26.555555555555554"/>
    <s v="NO"/>
    <n v="6.2078983502600709"/>
    <n v="1.6421704538121815"/>
    <n v="1.630017831537049"/>
    <n v="2.2098937236805209"/>
    <n v="-0.22392027939145112"/>
    <n v="9.3396807971357259"/>
    <x v="1"/>
    <x v="0"/>
    <x v="1"/>
    <x v="0"/>
    <x v="0"/>
    <x v="1"/>
  </r>
  <r>
    <x v="0"/>
    <s v="MESO"/>
    <n v="1403"/>
    <n v="11.91"/>
    <n v="-0.04"/>
    <n v="0.4"/>
    <n v="-0.09"/>
    <n v="-297.75"/>
    <n v="29.774999999999999"/>
    <n v="-21.31"/>
    <n v="-4.8499999999999996"/>
    <n v="1.42"/>
    <n v="-132.33333333333334"/>
    <s v="NO"/>
    <n v="-86.293902101713883"/>
    <n v="15.406306333018685"/>
    <n v="0.56901342878054018"/>
    <n v="1.0792920068329643"/>
    <n v="-2.239202793914561E-2"/>
    <n v="-38.864907525553306"/>
    <x v="1"/>
    <x v="1"/>
    <x v="1"/>
    <x v="0"/>
    <x v="0"/>
    <x v="1"/>
  </r>
  <r>
    <x v="0"/>
    <s v="MGTX"/>
    <n v="433"/>
    <n v="5.15"/>
    <n v="-1.57"/>
    <n v="0.87"/>
    <n v="-2.12"/>
    <n v="-3.2802547770700636"/>
    <n v="5.9195402298850581"/>
    <n v="-143.47999999999999"/>
    <n v="-34.409999999999997"/>
    <n v="3.98"/>
    <n v="-2.4292452830188678"/>
    <s v="NO"/>
    <n v="0.44189113299615496"/>
    <n v="2.0268953285520892"/>
    <n v="-2.4039890456406221"/>
    <n v="-0.71269655885142014"/>
    <n v="5.7099671244819978"/>
    <n v="0.54611189619341327"/>
    <x v="0"/>
    <x v="0"/>
    <x v="1"/>
    <x v="0"/>
    <x v="1"/>
    <x v="0"/>
  </r>
  <r>
    <x v="0"/>
    <s v="MLYS"/>
    <n v="958"/>
    <n v="15.19"/>
    <n v="-3.43"/>
    <n v="3.84"/>
    <n v="-3.66"/>
    <n v="-4.4285714285714279"/>
    <n v="3.9557291666666665"/>
    <n v="-82.24"/>
    <n v="-52.56"/>
    <n v="1.08"/>
    <n v="-4.1502732240437155"/>
    <s v="NO"/>
    <n v="0.10365551705131798"/>
    <n v="0.92548560502904531"/>
    <n v="-0.91371588910831492"/>
    <n v="-1.8129872377137879"/>
    <n v="-0.78372097787007844"/>
    <n v="2.3976937801433302E-2"/>
    <x v="0"/>
    <x v="0"/>
    <x v="1"/>
    <x v="0"/>
    <x v="0"/>
    <x v="0"/>
  </r>
  <r>
    <x v="0"/>
    <s v="MNKD"/>
    <n v="1474"/>
    <n v="4.72"/>
    <n v="0.12"/>
    <n v="-0.26"/>
    <n v="0.1"/>
    <n v="39.333333333333336"/>
    <n v="-18.153846153846153"/>
    <n v="-16.98"/>
    <n v="9.8800000000000008"/>
    <n v="-5"/>
    <n v="47.199999999999996"/>
    <s v="NO"/>
    <n v="12.993684406477874"/>
    <n v="-11.474740515028126"/>
    <n v="0.6743838201552117"/>
    <n v="1.972255185876638"/>
    <n v="-14.398073964870294"/>
    <n v="15.602906328852944"/>
    <x v="1"/>
    <x v="1"/>
    <x v="1"/>
    <x v="0"/>
    <x v="1"/>
    <x v="1"/>
  </r>
  <r>
    <x v="0"/>
    <s v="MREO"/>
    <n v="380"/>
    <n v="2.3199999999999998"/>
    <n v="-0.23"/>
    <n v="0.39"/>
    <n v="-0.28999999999999998"/>
    <n v="-10.086956521739129"/>
    <n v="5.948717948717948"/>
    <n v="-77.58"/>
    <n v="-39.99"/>
    <n v="1.25"/>
    <n v="-8"/>
    <s v="NO"/>
    <n v="-1.5630166197137276"/>
    <n v="2.0432597455953965"/>
    <n v="-0.80031495982287171"/>
    <n v="-1.0509677427661317"/>
    <n v="-0.40305650290461204"/>
    <n v="-1.1439744254910496"/>
    <x v="0"/>
    <x v="0"/>
    <x v="1"/>
    <x v="0"/>
    <x v="0"/>
    <x v="0"/>
  </r>
  <r>
    <x v="0"/>
    <s v="MYGN"/>
    <n v="394"/>
    <n v="4.1100000000000003"/>
    <n v="-0.42"/>
    <n v="7.68"/>
    <n v="-1.41"/>
    <n v="-9.7857142857142865"/>
    <n v="0.53515625000000011"/>
    <n v="-17.149999999999999"/>
    <n v="-5.0599999999999996"/>
    <n v="1.47"/>
    <n v="-2.9148936170212769"/>
    <s v="NO"/>
    <n v="-1.4742859955281029"/>
    <n v="-0.99295366899253834"/>
    <n v="0.67024687638299607"/>
    <n v="1.066561370879185"/>
    <n v="8.9568111756579943E-2"/>
    <n v="0.39877322340203336"/>
    <x v="0"/>
    <x v="0"/>
    <x v="1"/>
    <x v="0"/>
    <x v="0"/>
    <x v="0"/>
  </r>
  <r>
    <x v="0"/>
    <s v="NNNN"/>
    <n v="287"/>
    <n v="7.09"/>
    <m/>
    <m/>
    <m/>
    <s v=""/>
    <s v=""/>
    <n v="14.83"/>
    <n v="7.18"/>
    <n v="1.1000000000000001"/>
    <s v=""/>
    <s v="NO"/>
    <e v="#VALUE!"/>
    <e v="#VALUE!"/>
    <n v="1.4484790048268756"/>
    <n v="1.8085755807566162"/>
    <n v="-0.73893692199178818"/>
    <e v="#VALUE!"/>
    <x v="1"/>
    <x v="1"/>
    <x v="1"/>
    <x v="0"/>
    <x v="0"/>
    <x v="1"/>
  </r>
  <r>
    <x v="0"/>
    <s v="NRIX"/>
    <n v="709"/>
    <n v="9.73"/>
    <n v="-2.71"/>
    <n v="6.31"/>
    <n v="-2.81"/>
    <n v="-3.5904059040590406"/>
    <n v="1.5419968304278924"/>
    <n v="-64.16"/>
    <n v="-31.08"/>
    <n v="1.28"/>
    <n v="-3.4626334519572954"/>
    <s v="NO"/>
    <n v="0.35053640315230461"/>
    <n v="-0.428263905251482"/>
    <n v="-0.47373975145148745"/>
    <n v="-0.51082504587006017"/>
    <n v="-0.3358804190871767"/>
    <n v="0.23259688825570066"/>
    <x v="0"/>
    <x v="0"/>
    <x v="1"/>
    <x v="0"/>
    <x v="0"/>
    <x v="0"/>
  </r>
  <r>
    <x v="0"/>
    <s v="NTLA"/>
    <n v="755"/>
    <n v="8.32"/>
    <n v="-3.59"/>
    <n v="8.5500000000000007"/>
    <n v="-5.25"/>
    <n v="-2.3175487465181059"/>
    <n v="0.97309941520467835"/>
    <n v="-54"/>
    <n v="-26.8"/>
    <n v="1.37"/>
    <n v="-1.5847619047619048"/>
    <s v="NO"/>
    <n v="0.72545531086627224"/>
    <n v="-0.74733184236101691"/>
    <n v="-0.22649652365318179"/>
    <n v="-0.25136256071684093"/>
    <n v="-0.13435216763487068"/>
    <n v="0.80231592580745192"/>
    <x v="0"/>
    <x v="0"/>
    <x v="1"/>
    <x v="0"/>
    <x v="0"/>
    <x v="0"/>
  </r>
  <r>
    <x v="0"/>
    <s v="NVAX"/>
    <n v="964"/>
    <n v="6.19"/>
    <n v="-0.67"/>
    <n v="-3.89"/>
    <n v="-1.23"/>
    <n v="-9.2388059701492544"/>
    <n v="-1.5912596401028278"/>
    <n v="27.97"/>
    <n v="-8.6300000000000008"/>
    <n v="-2.5"/>
    <n v="-5.0325203252032527"/>
    <s v="NO"/>
    <n v="-1.3131946530498455"/>
    <n v="-2.1855608303835563"/>
    <n v="1.7682404234557869"/>
    <n v="0.85014055966493407"/>
    <n v="-8.8000669800840221"/>
    <n v="-0.24368405855698033"/>
    <x v="0"/>
    <x v="0"/>
    <x v="1"/>
    <x v="0"/>
    <x v="1"/>
    <x v="0"/>
  </r>
  <r>
    <x v="0"/>
    <s v="OLMA"/>
    <n v="317"/>
    <n v="4.68"/>
    <n v="-1.78"/>
    <n v="5.5"/>
    <n v="-2.2000000000000002"/>
    <n v="-2.6292134831460672"/>
    <n v="0.85090909090909084"/>
    <n v="-39.06"/>
    <n v="-24.43"/>
    <n v="1.1000000000000001"/>
    <n v="-2.127272727272727"/>
    <s v="NO"/>
    <n v="0.63365474869222582"/>
    <n v="-0.81586267703257387"/>
    <n v="0.13706782903448428"/>
    <n v="-0.10768824066704412"/>
    <n v="-0.73893692199178818"/>
    <n v="0.6377259973195929"/>
    <x v="0"/>
    <x v="0"/>
    <x v="1"/>
    <x v="0"/>
    <x v="0"/>
    <x v="0"/>
  </r>
  <r>
    <x v="0"/>
    <s v="ORGO"/>
    <n v="657"/>
    <n v="3.15"/>
    <n v="0.03"/>
    <n v="2.09"/>
    <n v="-0.01"/>
    <n v="105"/>
    <n v="1.5071770334928229"/>
    <n v="0.26"/>
    <n v="2.81"/>
    <n v="1.89"/>
    <n v="-315"/>
    <s v="NO"/>
    <n v="32.335740814006947"/>
    <n v="-0.44779269986603726"/>
    <n v="1.0939185885846203"/>
    <n v="1.5436571087660627"/>
    <n v="1.0300332852006737"/>
    <n v="-94.283329345483921"/>
    <x v="1"/>
    <x v="0"/>
    <x v="1"/>
    <x v="0"/>
    <x v="0"/>
    <x v="1"/>
  </r>
  <r>
    <x v="0"/>
    <s v="ORIC"/>
    <n v="334"/>
    <n v="5.31"/>
    <n v="-1.65"/>
    <n v="3.09"/>
    <n v="-1.88"/>
    <n v="-3.2181818181818183"/>
    <n v="1.7184466019417475"/>
    <n v="-48.45"/>
    <n v="-30.87"/>
    <n v="1.1100000000000001"/>
    <n v="-2.8244680851063828"/>
    <s v="NO"/>
    <n v="0.46017466607532259"/>
    <n v="-0.32930148585239805"/>
    <n v="-9.1437476972020759E-2"/>
    <n v="-0.4980944099162809"/>
    <n v="-0.7165448940526431"/>
    <n v="0.4262070205057808"/>
    <x v="0"/>
    <x v="0"/>
    <x v="1"/>
    <x v="0"/>
    <x v="0"/>
    <x v="0"/>
  </r>
  <r>
    <x v="0"/>
    <s v="ORKA"/>
    <n v="357"/>
    <n v="9.6199999999999992"/>
    <n v="-3.77"/>
    <n v="10.130000000000001"/>
    <n v="-4.2300000000000004"/>
    <n v="-2.5517241379310343"/>
    <n v="0.94965449160908177"/>
    <m/>
    <m/>
    <n v="1.04"/>
    <n v="-2.2742316784869971"/>
    <s v="NO"/>
    <n v="0.65647916421707342"/>
    <n v="-0.76048100283734388"/>
    <n v="1.0875914981094668"/>
    <n v="1.3733090752892996"/>
    <n v="-0.87328908962665885"/>
    <n v="0.5931407793527661"/>
    <x v="0"/>
    <x v="0"/>
    <x v="1"/>
    <x v="0"/>
    <x v="0"/>
    <x v="0"/>
  </r>
  <r>
    <x v="0"/>
    <s v="PGEN"/>
    <n v="398"/>
    <n v="1.35"/>
    <n v="-0.28999999999999998"/>
    <n v="0.13"/>
    <n v="-0.47"/>
    <n v="-4.6551724137931041"/>
    <n v="10.384615384615385"/>
    <n v="-160.80000000000001"/>
    <n v="-39.950000000000003"/>
    <n v="3.77"/>
    <n v="-2.8723404255319154"/>
    <s v="NO"/>
    <n v="3.6910404795084645E-2"/>
    <n v="4.5311470276037689"/>
    <n v="-2.8254706111393091"/>
    <n v="-1.0485428597273168"/>
    <n v="5.2397345377599516"/>
    <n v="0.41168324556850261"/>
    <x v="0"/>
    <x v="1"/>
    <x v="1"/>
    <x v="0"/>
    <x v="1"/>
    <x v="0"/>
  </r>
  <r>
    <x v="0"/>
    <s v="PHAR"/>
    <n v="616"/>
    <n v="9.9999000000000002"/>
    <n v="0"/>
    <n v="0.32"/>
    <n v="-0.02"/>
    <s v=""/>
    <n v="31.2496875"/>
    <n v="-5.38"/>
    <n v="-0.52"/>
    <n v="1.81"/>
    <n v="-499.995"/>
    <s v="NO"/>
    <e v="#VALUE!"/>
    <n v="16.233389539789105"/>
    <n v="0.95666939520052141"/>
    <n v="1.3417855957847029"/>
    <n v="0.85089706168751322"/>
    <n v="-150.40813378660471"/>
    <x v="1"/>
    <x v="1"/>
    <x v="1"/>
    <x v="0"/>
    <x v="0"/>
    <x v="1"/>
  </r>
  <r>
    <x v="0"/>
    <s v="PRAX"/>
    <n v="776"/>
    <n v="37.32"/>
    <n v="-8.32"/>
    <n v="21.59"/>
    <n v="-10.79"/>
    <n v="-4.4855769230769234"/>
    <n v="1.7285780453913848"/>
    <n v="-63.56"/>
    <n v="-39.94"/>
    <n v="1.0900000000000001"/>
    <n v="-3.4587581093605193"/>
    <s v="NO"/>
    <n v="8.6864600955921314E-2"/>
    <n v="-0.32361923334972265"/>
    <n v="-0.45913877343190262"/>
    <n v="-1.0479366389676126"/>
    <n v="-0.76132894993093325"/>
    <n v="0.23377261108813616"/>
    <x v="0"/>
    <x v="0"/>
    <x v="1"/>
    <x v="0"/>
    <x v="0"/>
    <x v="0"/>
  </r>
  <r>
    <x v="0"/>
    <s v="PRTC"/>
    <n v="418"/>
    <n v="17"/>
    <n v="-0.53"/>
    <n v="1.73"/>
    <n v="0.21"/>
    <n v="-32.075471698113205"/>
    <n v="9.8265895953757223"/>
    <n v="6.41"/>
    <n v="-13.1"/>
    <n v="1.45"/>
    <n v="80.952380952380949"/>
    <s v="NO"/>
    <n v="-8.0397135871132672"/>
    <n v="4.2181764767413439"/>
    <n v="1.2435786132853666"/>
    <n v="0.57915988007734287"/>
    <n v="4.4784055878289729E-2"/>
    <n v="25.842890006112277"/>
    <x v="1"/>
    <x v="1"/>
    <x v="1"/>
    <x v="0"/>
    <x v="0"/>
    <x v="1"/>
  </r>
  <r>
    <x v="0"/>
    <s v="QURE"/>
    <n v="551"/>
    <n v="12.81"/>
    <n v="-3.83"/>
    <n v="-0.14000000000000001"/>
    <n v="-4.92"/>
    <n v="-3.3446475195822454"/>
    <n v="-91.5"/>
    <n v="-238.46"/>
    <n v="-16.39"/>
    <n v="-82.42"/>
    <n v="-2.6036585365853662"/>
    <s v="NO"/>
    <n v="0.42292430977931056"/>
    <n v="-52.611165776212793"/>
    <n v="-4.7153238661409258"/>
    <n v="0.37971325013479795"/>
    <n v="-187.75715426973161"/>
    <n v="0.49319744040617935"/>
    <x v="0"/>
    <x v="1"/>
    <x v="0"/>
    <x v="0"/>
    <x v="1"/>
    <x v="0"/>
  </r>
  <r>
    <x v="0"/>
    <s v="RCEL"/>
    <n v="250"/>
    <n v="7.01"/>
    <n v="-2.25"/>
    <n v="0.17"/>
    <n v="-2.39"/>
    <n v="-3.1155555555555554"/>
    <n v="41.235294117647058"/>
    <n v="-230.96"/>
    <n v="-36.97"/>
    <n v="17.72"/>
    <n v="-2.9330543933054392"/>
    <s v="NO"/>
    <n v="0.49040313755670939"/>
    <n v="21.833848988229146"/>
    <n v="-4.5328116408961137"/>
    <n v="-0.86788907333558885"/>
    <n v="36.476613512867353"/>
    <n v="0.39326350682889599"/>
    <x v="0"/>
    <x v="1"/>
    <x v="0"/>
    <x v="0"/>
    <x v="1"/>
    <x v="0"/>
  </r>
  <r>
    <x v="0"/>
    <s v="RCKT"/>
    <n v="715"/>
    <n v="6.6150000000000002"/>
    <n v="-2.27"/>
    <n v="4.3499999999999996"/>
    <n v="-2.73"/>
    <n v="-2.9140969162995596"/>
    <n v="1.5206896551724141"/>
    <n v="-54.14"/>
    <n v="-31.22"/>
    <n v="1.1399999999999999"/>
    <n v="-2.4230769230769234"/>
    <s v="NO"/>
    <n v="0.54974259488067168"/>
    <n v="-0.4402141027255369"/>
    <n v="-0.22990341852441831"/>
    <n v="-0.51931213650591324"/>
    <n v="-0.6493688102352082"/>
    <n v="0.54798328728757295"/>
    <x v="0"/>
    <x v="0"/>
    <x v="1"/>
    <x v="0"/>
    <x v="0"/>
    <x v="0"/>
  </r>
  <r>
    <x v="0"/>
    <s v="RCUS"/>
    <n v="848"/>
    <n v="8.67"/>
    <n v="-1.95"/>
    <n v="5.26"/>
    <n v="-3.14"/>
    <n v="-4.4461538461538463"/>
    <n v="1.6482889733840305"/>
    <n v="-59.77"/>
    <n v="-17.260000000000002"/>
    <n v="2.37"/>
    <n v="-2.7611464968152863"/>
    <s v="NO"/>
    <n v="9.8476632086954508E-2"/>
    <n v="-0.36864961649494055"/>
    <n v="-0.36690926227485748"/>
    <n v="0.32697204404056873"/>
    <n v="2.1048506262796387"/>
    <n v="0.44541787355445212"/>
    <x v="0"/>
    <x v="0"/>
    <x v="1"/>
    <x v="0"/>
    <x v="0"/>
    <x v="0"/>
  </r>
  <r>
    <x v="0"/>
    <s v="REPL"/>
    <n v="551"/>
    <n v="7.41"/>
    <n v="-2.4900000000000002"/>
    <n v="6.26"/>
    <n v="-2.96"/>
    <n v="-2.975903614457831"/>
    <n v="1.1837060702875399"/>
    <n v="-50.5"/>
    <n v="-26.3"/>
    <n v="1.25"/>
    <n v="-2.5033783783783785"/>
    <s v="NO"/>
    <n v="0.53153748865518324"/>
    <n v="-0.62921242543158318"/>
    <n v="-0.14132415187226938"/>
    <n v="-0.22105152273165174"/>
    <n v="-0.40305650290461204"/>
    <n v="0.52362098844094696"/>
    <x v="0"/>
    <x v="0"/>
    <x v="1"/>
    <x v="0"/>
    <x v="0"/>
    <x v="0"/>
  </r>
  <r>
    <x v="0"/>
    <s v="RGLS"/>
    <n v="543"/>
    <n v="7.84"/>
    <n v="-0.75"/>
    <n v="1.17"/>
    <n v="-0.82"/>
    <n v="-10.453333333333333"/>
    <n v="6.700854700854701"/>
    <n v="-95"/>
    <n v="-54.42"/>
    <n v="1.1000000000000001"/>
    <n v="-9.5609756097560972"/>
    <s v="NO"/>
    <n v="-1.6709325733624445"/>
    <n v="2.4650980516006697"/>
    <n v="-1.2242300216581556"/>
    <n v="-1.9257442990186917"/>
    <n v="-0.73893692199178818"/>
    <n v="-1.617551823987875"/>
    <x v="0"/>
    <x v="0"/>
    <x v="1"/>
    <x v="0"/>
    <x v="0"/>
    <x v="0"/>
  </r>
  <r>
    <x v="0"/>
    <s v="RGNX"/>
    <n v="363"/>
    <n v="8.18"/>
    <n v="-3.55"/>
    <n v="5.24"/>
    <n v="-4.59"/>
    <n v="-2.3042253521126761"/>
    <n v="1.5610687022900762"/>
    <n v="-79.489999999999995"/>
    <n v="-27.8"/>
    <n v="1.79"/>
    <n v="-1.7821350762527233"/>
    <s v="NO"/>
    <n v="0.72937970446215428"/>
    <n v="-0.41756738484367395"/>
    <n v="-0.8467947398518838"/>
    <n v="-0.31198463668721932"/>
    <n v="0.80611300580922307"/>
    <n v="0.74243576336065065"/>
    <x v="0"/>
    <x v="0"/>
    <x v="1"/>
    <x v="0"/>
    <x v="0"/>
    <x v="0"/>
  </r>
  <r>
    <x v="0"/>
    <s v="RIGL"/>
    <n v="330"/>
    <n v="18.29"/>
    <n v="1.77"/>
    <n v="0.19"/>
    <n v="0.99"/>
    <n v="10.333333333333332"/>
    <n v="96.263157894736835"/>
    <n v="-137.91999999999999"/>
    <n v="10.75"/>
    <n v="49.87"/>
    <n v="18.474747474747474"/>
    <s v="NO"/>
    <n v="4.4517610183812755"/>
    <n v="52.696402603473778"/>
    <n v="-2.2686866493258013"/>
    <n v="2.0249963919708671"/>
    <n v="108.46698333721882"/>
    <n v="6.888080628149635"/>
    <x v="1"/>
    <x v="1"/>
    <x v="1"/>
    <x v="0"/>
    <x v="1"/>
    <x v="1"/>
  </r>
  <r>
    <x v="0"/>
    <s v="RLAY"/>
    <n v="506"/>
    <n v="2.83"/>
    <n v="-1.79"/>
    <n v="4.2300000000000004"/>
    <n v="-2.19"/>
    <n v="-1.5810055865921788"/>
    <n v="0.66903073286052006"/>
    <n v="-45.46"/>
    <n v="-28.82"/>
    <n v="1.1100000000000001"/>
    <n v="-1.2922374429223744"/>
    <s v="NO"/>
    <n v="0.94240342273226707"/>
    <n v="-0.91786973657362914"/>
    <n v="-1.8675936507755536E-2"/>
    <n v="-0.37381915417700523"/>
    <n v="-0.7165448940526431"/>
    <n v="0.89106361204214868"/>
    <x v="0"/>
    <x v="0"/>
    <x v="1"/>
    <x v="0"/>
    <x v="0"/>
    <x v="0"/>
  </r>
  <r>
    <x v="0"/>
    <s v="RNAC"/>
    <n v="263"/>
    <n v="10.199999999999999"/>
    <n v="-1.9"/>
    <n v="-0.26"/>
    <n v="-4.49"/>
    <n v="-5.3684210526315788"/>
    <n v="-39.230769230769226"/>
    <n v="105.75"/>
    <n v="-6"/>
    <n v="-63.96"/>
    <n v="-2.2717149220489974"/>
    <s v="NO"/>
    <n v="-0.17317632726086118"/>
    <n v="-23.29580031740316"/>
    <n v="3.6610138740613207"/>
    <n v="1.0095766194670293"/>
    <n v="-146.42147069406977"/>
    <n v="0.59390432681571736"/>
    <x v="0"/>
    <x v="1"/>
    <x v="0"/>
    <x v="0"/>
    <x v="1"/>
    <x v="0"/>
  </r>
  <r>
    <x v="0"/>
    <s v="RXRX"/>
    <n v="1703"/>
    <n v="4.51"/>
    <n v="-1.27"/>
    <n v="2.2999999999999998"/>
    <n v="-1.82"/>
    <n v="-3.5511811023622046"/>
    <n v="1.9608695652173913"/>
    <n v="-86.1"/>
    <n v="-38.51"/>
    <n v="1.4"/>
    <n v="-2.4780219780219777"/>
    <s v="NO"/>
    <n v="0.36209003249739613"/>
    <n v="-0.19333779058760028"/>
    <n v="-1.0076488477009784"/>
    <n v="-0.96124707032997148"/>
    <n v="-6.7176083817435839E-2"/>
    <n v="0.53131375317152763"/>
    <x v="0"/>
    <x v="0"/>
    <x v="1"/>
    <x v="0"/>
    <x v="0"/>
    <x v="0"/>
  </r>
  <r>
    <x v="0"/>
    <s v="RZLT"/>
    <n v="309"/>
    <n v="3.67"/>
    <n v="-1.05"/>
    <n v="1.65"/>
    <n v="-1.17"/>
    <n v="-3.4952380952380948"/>
    <n v="2.2242424242424241"/>
    <n v="-74.36"/>
    <n v="-42.8"/>
    <n v="1.1200000000000001"/>
    <n v="-3.1367521367521367"/>
    <s v="NO"/>
    <n v="0.37856799390959917"/>
    <n v="-4.5624279203854881E-2"/>
    <n v="-0.72195637778443222"/>
    <n v="-1.2213157762428948"/>
    <n v="-0.69415286611349791"/>
    <n v="0.33146456082471482"/>
    <x v="0"/>
    <x v="0"/>
    <x v="1"/>
    <x v="0"/>
    <x v="0"/>
    <x v="0"/>
  </r>
  <r>
    <x v="0"/>
    <s v="SAGE"/>
    <n v="427"/>
    <n v="6.61"/>
    <n v="-5.08"/>
    <n v="6.55"/>
    <n v="-5.79"/>
    <n v="-1.3011811023622049"/>
    <n v="1.0091603053435114"/>
    <n v="-63.53"/>
    <n v="-36.35"/>
    <n v="1.1499999999999999"/>
    <n v="-1.141623488773748"/>
    <s v="NO"/>
    <n v="1.0248254677807527"/>
    <n v="-0.72710697664877499"/>
    <n v="-0.45840872453092335"/>
    <n v="-0.83030338623395439"/>
    <n v="-0.62697678229606313"/>
    <n v="0.93675770497815025"/>
    <x v="0"/>
    <x v="0"/>
    <x v="1"/>
    <x v="0"/>
    <x v="0"/>
    <x v="0"/>
  </r>
  <r>
    <x v="0"/>
    <s v="SANA"/>
    <n v="383"/>
    <n v="1.7949999999999999"/>
    <n v="-1.1100000000000001"/>
    <n v="1.1200000000000001"/>
    <n v="-1.1599999999999999"/>
    <n v="-1.6171171171171168"/>
    <n v="1.6026785714285712"/>
    <n v="-99.16"/>
    <n v="-31.82"/>
    <n v="2"/>
    <n v="-1.5474137931034484"/>
    <s v="NO"/>
    <n v="0.9317668045539591"/>
    <n v="-0.39423035648996252"/>
    <n v="-1.3254634692606115"/>
    <n v="-0.55568538208814033"/>
    <n v="1.2763455925312699"/>
    <n v="0.81364680211803331"/>
    <x v="0"/>
    <x v="0"/>
    <x v="1"/>
    <x v="0"/>
    <x v="0"/>
    <x v="0"/>
  </r>
  <r>
    <x v="0"/>
    <s v="SION"/>
    <n v="568"/>
    <n v="12.824999999999999"/>
    <m/>
    <m/>
    <m/>
    <s v=""/>
    <s v=""/>
    <n v="-61.44"/>
    <n v="-37.1"/>
    <n v="-1.1299999999999999"/>
    <s v=""/>
    <s v="NO"/>
    <e v="#VALUE!"/>
    <e v="#VALUE!"/>
    <n v="-0.40754865109603555"/>
    <n v="-0.87576994321173818"/>
    <n v="-5.7323591524211439"/>
    <e v="#VALUE!"/>
    <x v="1"/>
    <x v="1"/>
    <x v="1"/>
    <x v="0"/>
    <x v="1"/>
    <x v="1"/>
  </r>
  <r>
    <x v="0"/>
    <s v="SNDX"/>
    <n v="860"/>
    <n v="10.19"/>
    <n v="-3.34"/>
    <n v="2.5"/>
    <n v="-3.86"/>
    <n v="-3.0508982035928143"/>
    <n v="4.0759999999999996"/>
    <n v="-93.7"/>
    <n v="-36.29"/>
    <n v="2.98"/>
    <n v="-2.6398963730569949"/>
    <s v="NO"/>
    <n v="0.50944790124439676"/>
    <n v="0.99293988704763125"/>
    <n v="-1.1925945692823883"/>
    <n v="-0.82666606167573164"/>
    <n v="3.4707643305674889"/>
    <n v="0.48220340551150936"/>
    <x v="0"/>
    <x v="0"/>
    <x v="1"/>
    <x v="0"/>
    <x v="1"/>
    <x v="0"/>
  </r>
  <r>
    <x v="0"/>
    <s v="SPRY"/>
    <n v="1325"/>
    <n v="13.35"/>
    <n v="0.06"/>
    <n v="2.62"/>
    <n v="0.08"/>
    <n v="222.5"/>
    <n v="5.0954198473282437"/>
    <n v="3.28"/>
    <n v="-0.66"/>
    <n v="1.37"/>
    <n v="166.875"/>
    <s v="NO"/>
    <n v="66.945257989915561"/>
    <n v="1.5646847729123672"/>
    <n v="1.1674101779498647"/>
    <n v="1.3332985051488497"/>
    <n v="-0.13435216763487068"/>
    <n v="51.910568544000007"/>
    <x v="1"/>
    <x v="0"/>
    <x v="1"/>
    <x v="0"/>
    <x v="0"/>
    <x v="1"/>
  </r>
  <r>
    <x v="0"/>
    <s v="STOK"/>
    <n v="473"/>
    <n v="8.93"/>
    <n v="-1.61"/>
    <n v="4.24"/>
    <n v="-1.65"/>
    <n v="-5.5465838509316763"/>
    <n v="2.1061320754716979"/>
    <n v="-45.8"/>
    <n v="-25.35"/>
    <n v="1.19"/>
    <n v="-5.4121212121212121"/>
    <s v="NO"/>
    <n v="-0.22565401600873494"/>
    <n v="-0.11186684653697773"/>
    <n v="-2.6949824052186939E-2"/>
    <n v="-0.16346055055979233"/>
    <n v="-0.53740867053948271"/>
    <n v="-0.35884947137325363"/>
    <x v="0"/>
    <x v="0"/>
    <x v="1"/>
    <x v="0"/>
    <x v="0"/>
    <x v="0"/>
  </r>
  <r>
    <x v="0"/>
    <s v="SVRA"/>
    <n v="528"/>
    <n v="2.97"/>
    <n v="-0.45"/>
    <n v="0.82"/>
    <n v="-0.48"/>
    <n v="-6.6000000000000005"/>
    <n v="3.6219512195121957"/>
    <n v="-61.5"/>
    <n v="-32.78"/>
    <n v="1.24"/>
    <n v="-6.1875000000000009"/>
    <s v="NO"/>
    <n v="-0.53593677604754075"/>
    <n v="0.73828517450951736"/>
    <n v="-0.4090087488979941"/>
    <n v="-0.61388257501970367"/>
    <n v="-0.42544853084375711"/>
    <n v="-0.59408816883799753"/>
    <x v="0"/>
    <x v="0"/>
    <x v="1"/>
    <x v="0"/>
    <x v="0"/>
    <x v="0"/>
  </r>
  <r>
    <x v="0"/>
    <s v="SYRE"/>
    <n v="766"/>
    <n v="14.75"/>
    <n v="-3.35"/>
    <n v="6.01"/>
    <n v="-3.18"/>
    <n v="-4.4029850746268657"/>
    <n v="2.4542429284525791"/>
    <n v="-59.28"/>
    <n v="-27.43"/>
    <n v="1.68"/>
    <n v="-4.6383647798742134"/>
    <s v="NO"/>
    <n v="0.11119195412632396"/>
    <n v="8.3372240113592164E-2"/>
    <n v="-0.35498513022552969"/>
    <n v="-0.28955446857817924"/>
    <n v="0.55980069847862679"/>
    <n v="-0.12410297311696493"/>
    <x v="0"/>
    <x v="0"/>
    <x v="1"/>
    <x v="0"/>
    <x v="0"/>
    <x v="0"/>
  </r>
  <r>
    <x v="0"/>
    <s v="TECX"/>
    <n v="354"/>
    <n v="20.190000000000001"/>
    <n v="-6.98"/>
    <n v="9.48"/>
    <n v="-6.83"/>
    <n v="-2.8925501432664755"/>
    <n v="2.1297468354430382"/>
    <n v="-84.79"/>
    <n v="-37.71"/>
    <n v="1.0900000000000001"/>
    <n v="-2.9560761346998539"/>
    <s v="NO"/>
    <n v="0.55608917710513062"/>
    <n v="-9.8622432785447439E-2"/>
    <n v="-0.97577004569155146"/>
    <n v="-0.91274940955366901"/>
    <n v="-0.76132894993093325"/>
    <n v="0.38627904382364947"/>
    <x v="0"/>
    <x v="0"/>
    <x v="1"/>
    <x v="0"/>
    <x v="0"/>
    <x v="0"/>
  </r>
  <r>
    <x v="0"/>
    <s v="TRDA"/>
    <n v="310"/>
    <n v="8.6999999999999993"/>
    <n v="-1.2"/>
    <n v="12.04"/>
    <n v="1.68"/>
    <n v="-7.25"/>
    <n v="0.72259136212624586"/>
    <n v="19.559999999999999"/>
    <n v="5.9"/>
    <n v="1.23"/>
    <n v="5.1785714285714279"/>
    <s v="NO"/>
    <n v="-0.7273936795738436"/>
    <n v="-0.88783008613261172"/>
    <n v="1.5635833815479372"/>
    <n v="1.7309793235145319"/>
    <n v="-0.44784055878290224"/>
    <n v="2.8542133322424741"/>
    <x v="0"/>
    <x v="0"/>
    <x v="1"/>
    <x v="0"/>
    <x v="0"/>
    <x v="0"/>
  </r>
  <r>
    <x v="0"/>
    <s v="TRML"/>
    <n v="395"/>
    <n v="15.54"/>
    <n v="-3.26"/>
    <n v="10.9"/>
    <n v="-3.22"/>
    <n v="-4.7668711656441722"/>
    <n v="1.4256880733944952"/>
    <n v="-26.14"/>
    <n v="-19.03"/>
    <n v="1.03"/>
    <n v="-4.8260869565217384"/>
    <s v="NO"/>
    <n v="4.0096399379178577E-3"/>
    <n v="-0.49349604408948222"/>
    <n v="0.45147555572288095"/>
    <n v="0.219670969572999"/>
    <n v="-0.89568111756580393"/>
    <n v="-0.18105516346591422"/>
    <x v="0"/>
    <x v="0"/>
    <x v="1"/>
    <x v="0"/>
    <x v="0"/>
    <x v="0"/>
  </r>
  <r>
    <x v="0"/>
    <s v="TSHA"/>
    <n v="390"/>
    <n v="2.34"/>
    <n v="-0.33"/>
    <n v="0.35"/>
    <n v="-0.36"/>
    <n v="-7.0909090909090899"/>
    <n v="6.6857142857142859"/>
    <n v="-121.94"/>
    <n v="-32.51"/>
    <n v="2.2400000000000002"/>
    <n v="-6.5"/>
    <s v="NO"/>
    <n v="-0.68053359829118176"/>
    <n v="2.4566065012849791"/>
    <n v="-1.8798139347375213"/>
    <n v="-0.59751461450770127"/>
    <n v="1.8137542630707526"/>
    <n v="-0.68889614412300626"/>
    <x v="0"/>
    <x v="0"/>
    <x v="1"/>
    <x v="0"/>
    <x v="0"/>
    <x v="0"/>
  </r>
  <r>
    <x v="0"/>
    <s v="TSVT"/>
    <n v="266"/>
    <n v="5"/>
    <n v="-1.64"/>
    <n v="4.09"/>
    <n v="-1.1000000000000001"/>
    <n v="-3.0487804878048781"/>
    <n v="1.2224938875305624"/>
    <n v="-24.56"/>
    <n v="-12.62"/>
    <n v="2.27"/>
    <n v="-4.545454545454545"/>
    <s v="NO"/>
    <n v="0.5100716724864075"/>
    <n v="-0.60745815392051128"/>
    <n v="0.48992479784112147"/>
    <n v="0.60825847654312448"/>
    <n v="1.8809303468881873"/>
    <n v="-9.5915353249495128E-2"/>
    <x v="0"/>
    <x v="0"/>
    <x v="1"/>
    <x v="0"/>
    <x v="0"/>
    <x v="0"/>
  </r>
  <r>
    <x v="0"/>
    <s v="TVTX"/>
    <n v="1797"/>
    <n v="20.94"/>
    <n v="-3.27"/>
    <n v="0.37"/>
    <n v="-2.77"/>
    <n v="-6.4036697247706424"/>
    <n v="56.594594594594597"/>
    <n v="-422.66"/>
    <n v="-23.21"/>
    <n v="16.72"/>
    <n v="-7.559566787003611"/>
    <s v="NO"/>
    <n v="-0.47810787364157198"/>
    <n v="30.448161845850954"/>
    <n v="-9.1978241181535179"/>
    <n v="-3.3729307983182577E-2"/>
    <n v="34.237410718952844"/>
    <n v="-1.0103533657391814"/>
    <x v="0"/>
    <x v="1"/>
    <x v="0"/>
    <x v="0"/>
    <x v="1"/>
    <x v="0"/>
  </r>
  <r>
    <x v="0"/>
    <s v="TWST"/>
    <n v="1964"/>
    <n v="32.29"/>
    <n v="-1.17"/>
    <n v="7.38"/>
    <n v="-3.25"/>
    <n v="-27.5982905982906"/>
    <n v="4.3753387533875339"/>
    <n v="-38.22"/>
    <n v="-15.04"/>
    <n v="1.35"/>
    <n v="-9.9353846153846153"/>
    <s v="NO"/>
    <n v="-6.720964002654001"/>
    <n v="1.1608249854582577"/>
    <n v="0.15750919826190332"/>
    <n v="0.46155305269480884"/>
    <n v="-0.17913622351316089"/>
    <n v="-1.7311420951946377"/>
    <x v="1"/>
    <x v="0"/>
    <x v="1"/>
    <x v="0"/>
    <x v="0"/>
    <x v="0"/>
  </r>
  <r>
    <x v="0"/>
    <s v="TYRA"/>
    <n v="485"/>
    <n v="9.98"/>
    <n v="-1.23"/>
    <n v="6.76"/>
    <n v="-1.51"/>
    <n v="-8.1138211382113834"/>
    <n v="1.4763313609467457"/>
    <n v="-31.6"/>
    <n v="-22.09"/>
    <n v="1.06"/>
    <n v="-6.6092715231788084"/>
    <s v="NO"/>
    <n v="-0.98183140314694839"/>
    <n v="-0.46509259409067794"/>
    <n v="0.31860665574465757"/>
    <n v="3.4167417103641268E-2"/>
    <n v="-0.82850503374836859"/>
    <n v="-0.72204754210345989"/>
    <x v="0"/>
    <x v="0"/>
    <x v="1"/>
    <x v="0"/>
    <x v="0"/>
    <x v="0"/>
  </r>
  <r>
    <x v="0"/>
    <s v="UPB"/>
    <n v="461"/>
    <n v="8.65"/>
    <n v="-4.3600000000000003"/>
    <n v="8.77"/>
    <n v="-5.58"/>
    <n v="-1.9839449541284404"/>
    <n v="0.9863169897377424"/>
    <n v="-21.74"/>
    <n v="-16.23"/>
    <n v="1.03"/>
    <n v="-1.5501792114695341"/>
    <s v="NO"/>
    <n v="0.82371800178251386"/>
    <n v="-0.73991872335747644"/>
    <n v="0.55854939453317087"/>
    <n v="0.38941278229005849"/>
    <n v="-0.89568111756580393"/>
    <n v="0.81280781422649862"/>
    <x v="0"/>
    <x v="0"/>
    <x v="1"/>
    <x v="0"/>
    <x v="0"/>
    <x v="0"/>
  </r>
  <r>
    <x v="0"/>
    <s v="URGN"/>
    <n v="467"/>
    <n v="10.14"/>
    <n v="-2.2599999999999998"/>
    <n v="-0.21"/>
    <n v="-2.96"/>
    <n v="-4.4867256637168147"/>
    <n v="-48.285714285714292"/>
    <n v="342.83"/>
    <n v="-25.78"/>
    <n v="-32.46"/>
    <n v="-3.4256756756756759"/>
    <s v="NO"/>
    <n v="8.6526240454585276E-2"/>
    <n v="-28.374295248141973"/>
    <n v="9.4303469888666669"/>
    <n v="-0.18952804322705502"/>
    <n v="-75.886582685762718"/>
    <n v="0.24380934246465003"/>
    <x v="0"/>
    <x v="1"/>
    <x v="0"/>
    <x v="0"/>
    <x v="1"/>
    <x v="0"/>
  </r>
  <r>
    <x v="0"/>
    <s v="VALN"/>
    <n v="551"/>
    <n v="6.38"/>
    <n v="-0.59"/>
    <n v="1.1599999999999999"/>
    <n v="-0.09"/>
    <n v="-10.813559322033898"/>
    <n v="5.5"/>
    <n v="-7.91"/>
    <n v="-10.029999999999999"/>
    <n v="2.76"/>
    <n v="-70.888888888888886"/>
    <s v="NO"/>
    <n v="-1.7770368077721541"/>
    <n v="1.7915948471263421"/>
    <n v="0.89510193788460468"/>
    <n v="0.76526965330640451"/>
    <n v="2.9781397159062966"/>
    <n v="-20.223552740625312"/>
    <x v="0"/>
    <x v="0"/>
    <x v="1"/>
    <x v="0"/>
    <x v="0"/>
    <x v="1"/>
  </r>
  <r>
    <x v="0"/>
    <s v="VERA"/>
    <n v="1443"/>
    <n v="21.58"/>
    <n v="-2.4500000000000002"/>
    <n v="9.08"/>
    <n v="-2.75"/>
    <n v="-8.8081632653061206"/>
    <n v="2.3766519823788546"/>
    <n v="-44.83"/>
    <n v="-25.14"/>
    <n v="1.1399999999999999"/>
    <n v="-7.8472727272727267"/>
    <s v="NO"/>
    <n v="-1.1863492395183717"/>
    <n v="3.9855109538465876E-2"/>
    <n v="-3.3449095871912402E-3"/>
    <n v="-0.15072991460601282"/>
    <n v="-0.6493688102352082"/>
    <n v="-1.0976391822972122"/>
    <x v="0"/>
    <x v="0"/>
    <x v="1"/>
    <x v="0"/>
    <x v="0"/>
    <x v="0"/>
  </r>
  <r>
    <x v="0"/>
    <s v="VERV"/>
    <n v="376"/>
    <n v="4.16"/>
    <n v="-1.91"/>
    <n v="5.56"/>
    <n v="-2.35"/>
    <n v="-2.1780104712041886"/>
    <n v="0.74820143884892099"/>
    <n v="-36.36"/>
    <n v="-20.420000000000002"/>
    <n v="1.31"/>
    <n v="-1.7702127659574467"/>
    <s v="NO"/>
    <n v="0.76655618181243135"/>
    <n v="-0.8734665925914874"/>
    <n v="0.20277223012261678"/>
    <n v="0.13540628397417304"/>
    <n v="-0.26870433526974136"/>
    <n v="0.74605281968005799"/>
    <x v="0"/>
    <x v="0"/>
    <x v="1"/>
    <x v="0"/>
    <x v="0"/>
    <x v="0"/>
  </r>
  <r>
    <x v="0"/>
    <s v="VIR"/>
    <n v="775"/>
    <n v="4.7"/>
    <n v="-3.33"/>
    <n v="8.4"/>
    <n v="-3.83"/>
    <n v="-1.4114114114114114"/>
    <n v="0.55952380952380953"/>
    <n v="-38.090000000000003"/>
    <n v="-19.72"/>
    <n v="1.22"/>
    <n v="-1.2271540469973889"/>
    <s v="NO"/>
    <n v="0.99235723140335497"/>
    <n v="-0.97928704520131382"/>
    <n v="0.16067274349947996"/>
    <n v="0.17784173715343807"/>
    <n v="-0.47023258672204732"/>
    <n v="0.91080897201757427"/>
    <x v="0"/>
    <x v="0"/>
    <x v="1"/>
    <x v="0"/>
    <x v="0"/>
    <x v="0"/>
  </r>
  <r>
    <x v="0"/>
    <s v="VNDA"/>
    <n v="255"/>
    <n v="3.98"/>
    <n v="-0.35"/>
    <n v="9.24"/>
    <n v="-0.33"/>
    <n v="-11.371428571428572"/>
    <n v="0.43073593073593075"/>
    <n v="-3.49"/>
    <n v="-3.9"/>
    <n v="1.22"/>
    <n v="-12.060606060606061"/>
    <s v="NO"/>
    <n v="-1.9413566832516111"/>
    <n v="-1.0515181394372373"/>
    <n v="1.002662475962214"/>
    <n v="1.136882979004824"/>
    <n v="-0.47023258672204732"/>
    <n v="-2.3759035104065607"/>
    <x v="0"/>
    <x v="0"/>
    <x v="1"/>
    <x v="0"/>
    <x v="0"/>
    <x v="0"/>
  </r>
  <r>
    <x v="0"/>
    <s v="VRDN"/>
    <n v="1003"/>
    <n v="12.81"/>
    <n v="-3.43"/>
    <n v="5.96"/>
    <n v="-3.07"/>
    <n v="-3.7346938775510203"/>
    <n v="2.1493288590604029"/>
    <n v="-48.48"/>
    <n v="-30.32"/>
    <n v="1.54"/>
    <n v="-4.1726384364820852"/>
    <s v="NO"/>
    <n v="0.30803651296636653"/>
    <n v="-8.7639792132085934E-2"/>
    <n v="-9.2167525872999867E-2"/>
    <n v="-0.46475226813257275"/>
    <n v="0.24631230733059573"/>
    <n v="1.7191656175510307E-2"/>
    <x v="0"/>
    <x v="0"/>
    <x v="1"/>
    <x v="0"/>
    <x v="0"/>
    <x v="0"/>
  </r>
  <r>
    <x v="0"/>
    <s v="VSTM"/>
    <n v="344"/>
    <n v="7.46"/>
    <n v="-2.93"/>
    <n v="-0.65"/>
    <n v="-3.66"/>
    <n v="-2.5460750853242318"/>
    <n v="-11.476923076923077"/>
    <n v="-526.34"/>
    <n v="-57.19"/>
    <n v="-3.51"/>
    <n v="-2.0382513661202184"/>
    <s v="NO"/>
    <n v="0.65814308747854355"/>
    <n v="-7.7299668258085878"/>
    <n v="-11.720873119937803"/>
    <n v="-2.0936674494566394"/>
    <n v="-11.061661801937674"/>
    <n v="0.66473378934514449"/>
    <x v="0"/>
    <x v="1"/>
    <x v="0"/>
    <x v="0"/>
    <x v="1"/>
    <x v="0"/>
  </r>
  <r>
    <x v="0"/>
    <s v="XNCR"/>
    <n v="568"/>
    <n v="8.11"/>
    <n v="-3.25"/>
    <n v="9.64"/>
    <n v="-3.58"/>
    <n v="-2.4953846153846153"/>
    <n v="0.84128630705394181"/>
    <n v="-35.409999999999997"/>
    <n v="-11.48"/>
    <n v="1.4"/>
    <n v="-2.2653631284916198"/>
    <s v="NO"/>
    <n v="0.67307391888305446"/>
    <n v="-0.82125964617279867"/>
    <n v="0.22589044532029307"/>
    <n v="0.67736764314935582"/>
    <n v="-6.7176083817435839E-2"/>
    <n v="0.59583136901284794"/>
    <x v="0"/>
    <x v="0"/>
    <x v="1"/>
    <x v="0"/>
    <x v="0"/>
    <x v="0"/>
  </r>
  <r>
    <x v="0"/>
    <s v="XOMA"/>
    <n v="293"/>
    <n v="27.49"/>
    <n v="-1.64"/>
    <n v="6.85"/>
    <n v="-1.65"/>
    <n v="-16.762195121951219"/>
    <n v="4.0131386861313869"/>
    <n v="-16.2"/>
    <n v="-9.98"/>
    <n v="2.7"/>
    <n v="-16.66060606060606"/>
    <s v="NO"/>
    <n v="-3.5292020238612047"/>
    <n v="0.95768391786347951"/>
    <n v="0.69336509158067228"/>
    <n v="0.76830075710492329"/>
    <n v="2.8437875482714268"/>
    <n v="-3.7714769066018934"/>
    <x v="1"/>
    <x v="0"/>
    <x v="1"/>
    <x v="0"/>
    <x v="0"/>
    <x v="1"/>
  </r>
  <r>
    <x v="0"/>
    <s v="ZBIO"/>
    <n v="365"/>
    <n v="9.09"/>
    <n v="-9.08"/>
    <n v="7.48"/>
    <n v="-11.89"/>
    <n v="-1.001101321585903"/>
    <n v="1.2152406417112298"/>
    <n v="-93.22"/>
    <n v="-46.76"/>
    <n v="1.18"/>
    <n v="-0.76450798990748525"/>
    <s v="NO"/>
    <n v="1.1132136918396489"/>
    <n v="-0.61152616006537086"/>
    <n v="-1.1809137868667203"/>
    <n v="-1.4613791970855932"/>
    <n v="-0.55980069847862779"/>
    <n v="1.0511690870456909"/>
    <x v="0"/>
    <x v="0"/>
    <x v="1"/>
    <x v="0"/>
    <x v="0"/>
    <x v="0"/>
  </r>
  <r>
    <x v="0"/>
    <s v="ZYME"/>
    <n v="789"/>
    <n v="11.61"/>
    <n v="-1.49"/>
    <n v="4.91"/>
    <n v="-1.62"/>
    <n v="-7.7919463087248317"/>
    <n v="2.3645621181262726"/>
    <n v="-30.54"/>
    <n v="-14.57"/>
    <n v="1.37"/>
    <n v="-7.1666666666666661"/>
    <s v="NO"/>
    <n v="-0.88702346749071459"/>
    <n v="3.307447045700318E-2"/>
    <n v="0.34440171691259114"/>
    <n v="0.49004542840088661"/>
    <n v="-0.13435216763487068"/>
    <n v="-0.89115315806435869"/>
    <x v="0"/>
    <x v="0"/>
    <x v="1"/>
    <x v="0"/>
    <x v="0"/>
    <x v="0"/>
  </r>
  <r>
    <x v="1"/>
    <s v="ANGO"/>
    <n v="356"/>
    <n v="9.4"/>
    <n v="-0.69"/>
    <n v="4.54"/>
    <n v="-1.02"/>
    <n v="-13.623188405797103"/>
    <n v="2.0704845814977975"/>
    <n v="-20.46"/>
    <n v="-6.55"/>
    <n v="1.54"/>
    <n v="-9.2156862745098049"/>
    <s v="NO"/>
    <n v="-0.17013491409366346"/>
    <n v="-0.50692207352368346"/>
    <n v="0.10439150967862849"/>
    <n v="-0.21286306890850373"/>
    <n v="-0.34134977851033399"/>
    <n v="6.3788062079454283E-2"/>
    <x v="0"/>
    <x v="0"/>
    <x v="1"/>
    <x v="0"/>
    <x v="0"/>
    <x v="0"/>
  </r>
  <r>
    <x v="1"/>
    <s v="AORT"/>
    <n v="1212"/>
    <n v="28.91"/>
    <n v="-0.42"/>
    <n v="6.89"/>
    <n v="-0.53"/>
    <n v="-68.833333333333343"/>
    <n v="4.1959361393323658"/>
    <n v="-7.26"/>
    <n v="0.38"/>
    <n v="2.69"/>
    <n v="-54.547169811320749"/>
    <s v="NO"/>
    <n v="-2.0147394393645834"/>
    <n v="0.24222325940743833"/>
    <n v="0.50061231957706498"/>
    <n v="0.44826458040731954"/>
    <n v="1.5561837334504336"/>
    <n v="-3.6460004316830625"/>
    <x v="0"/>
    <x v="0"/>
    <x v="1"/>
    <x v="0"/>
    <x v="0"/>
    <x v="1"/>
  </r>
  <r>
    <x v="1"/>
    <s v="ATEC"/>
    <n v="1820"/>
    <n v="12.72"/>
    <n v="-0.56999999999999995"/>
    <n v="-0.57999999999999996"/>
    <n v="-1.1499999999999999"/>
    <n v="-22.315789473684212"/>
    <n v="-21.931034482758623"/>
    <n v="28033"/>
    <n v="-9.33"/>
    <n v="-9.14"/>
    <n v="-11.060869565217393"/>
    <s v="NO"/>
    <n v="-0.46056000330950753"/>
    <n v="-8.9665954657339917"/>
    <n v="842.17747042281451"/>
    <n v="-0.47807733515640977"/>
    <n v="-17.963661002632943"/>
    <n v="-8.7216035000034955E-2"/>
    <x v="0"/>
    <x v="1"/>
    <x v="0"/>
    <x v="0"/>
    <x v="1"/>
    <x v="0"/>
  </r>
  <r>
    <x v="1"/>
    <s v="ATRC"/>
    <n v="1500"/>
    <n v="31.48"/>
    <n v="-0.01"/>
    <n v="9.19"/>
    <n v="-0.81"/>
    <n v="-3148"/>
    <n v="3.4254624591947773"/>
    <n v="-8.3800000000000008"/>
    <n v="-3.7"/>
    <n v="1.3"/>
    <n v="-38.864197530864196"/>
    <s v="NO"/>
    <n v="-104.89157076903324"/>
    <n v="-2.934103924418293E-2"/>
    <n v="0.46699358419174314"/>
    <n v="5.9029254403198457E-2"/>
    <n v="-0.73735677231084207"/>
    <n v="-2.3625544560668144"/>
    <x v="1"/>
    <x v="0"/>
    <x v="1"/>
    <x v="0"/>
    <x v="0"/>
    <x v="0"/>
  </r>
  <r>
    <x v="1"/>
    <s v="AXGN"/>
    <n v="746"/>
    <n v="10.88"/>
    <n v="0"/>
    <n v="2.35"/>
    <n v="-0.23"/>
    <s v=""/>
    <n v="4.6297872340425537"/>
    <n v="-9.99"/>
    <n v="-1.03"/>
    <n v="1.96"/>
    <n v="-47.304347826086961"/>
    <s v="NO"/>
    <e v="#VALUE!"/>
    <n v="0.39514018738500489"/>
    <n v="0.41866665207534298"/>
    <n v="0.31374943097942476"/>
    <n v="0.35166246064055501"/>
    <n v="-3.0532702678583656"/>
    <x v="1"/>
    <x v="0"/>
    <x v="1"/>
    <x v="0"/>
    <x v="0"/>
    <x v="1"/>
  </r>
  <r>
    <x v="1"/>
    <s v="BBNX"/>
    <n v="623"/>
    <n v="13.2"/>
    <m/>
    <m/>
    <m/>
    <s v=""/>
    <s v=""/>
    <n v="-81.349999999999994"/>
    <n v="-21.78"/>
    <n v="-0.61"/>
    <s v=""/>
    <s v="NO"/>
    <e v="#VALUE!"/>
    <e v="#VALUE!"/>
    <n v="-1.7233270596180228"/>
    <n v="-1.6658174843601614"/>
    <n v="-3.8889124313065517"/>
    <e v="#VALUE!"/>
    <x v="1"/>
    <x v="1"/>
    <x v="1"/>
    <x v="0"/>
    <x v="1"/>
    <x v="1"/>
  </r>
  <r>
    <x v="1"/>
    <s v="BFLY"/>
    <n v="539"/>
    <n v="2.38"/>
    <n v="-0.21"/>
    <n v="0.79"/>
    <n v="-0.34"/>
    <n v="-11.333333333333334"/>
    <n v="3.0126582278481009"/>
    <n v="-37.28"/>
    <n v="-15.69"/>
    <n v="1.52"/>
    <n v="-6.9999999999999991"/>
    <s v="NO"/>
    <n v="-9.3629463248984274E-2"/>
    <n v="-0.1748397038397897"/>
    <n v="-0.40048985566165207"/>
    <n v="-1.0848265198098925"/>
    <n v="-0.37435036132704302"/>
    <n v="0.2451129781345239"/>
    <x v="0"/>
    <x v="0"/>
    <x v="1"/>
    <x v="0"/>
    <x v="0"/>
    <x v="0"/>
  </r>
  <r>
    <x v="1"/>
    <s v="CBLL"/>
    <n v="577"/>
    <n v="16.600000000000001"/>
    <n v="-3.07"/>
    <n v="5.33"/>
    <n v="-3.39"/>
    <n v="-5.4071661237785023"/>
    <n v="3.1144465290806758"/>
    <n v="-35.75"/>
    <n v="-17.46"/>
    <n v="1.18"/>
    <n v="-4.8967551622418881"/>
    <s v="NO"/>
    <n v="0.10436738799284055"/>
    <n v="-0.138962983650947"/>
    <n v="-0.35456426178706052"/>
    <n v="-1.2536859627087393"/>
    <n v="-0.93536026921109627"/>
    <n v="0.41723603456051617"/>
    <x v="0"/>
    <x v="0"/>
    <x v="1"/>
    <x v="0"/>
    <x v="0"/>
    <x v="0"/>
  </r>
  <r>
    <x v="1"/>
    <s v="CLPT"/>
    <n v="372"/>
    <n v="14.2"/>
    <n v="-0.34"/>
    <n v="0.92"/>
    <n v="-0.7"/>
    <n v="-41.764705882352935"/>
    <n v="15.434782608695651"/>
    <n v="-81.239999999999995"/>
    <n v="-30.16"/>
    <n v="1.54"/>
    <n v="-20.285714285714285"/>
    <s v="NO"/>
    <n v="-1.1103601309152786"/>
    <n v="4.2035129670076543"/>
    <n v="-1.7200252195355359"/>
    <n v="-2.4652763157117632"/>
    <n v="-0.34134977851033399"/>
    <n v="-0.84214881307811129"/>
    <x v="0"/>
    <x v="1"/>
    <x v="1"/>
    <x v="0"/>
    <x v="0"/>
    <x v="0"/>
  </r>
  <r>
    <x v="1"/>
    <s v="CNMD"/>
    <n v="1733"/>
    <n v="60.05"/>
    <n v="5.33"/>
    <n v="31.61"/>
    <n v="3.81"/>
    <n v="11.266416510318949"/>
    <n v="1.8997152799746915"/>
    <n v="12.96"/>
    <n v="4.1399999999999997"/>
    <n v="2.35"/>
    <n v="15.761154855643044"/>
    <s v="NO"/>
    <n v="0.66144192600940421"/>
    <n v="-0.56711211868014888"/>
    <n v="1.1075505601942155"/>
    <n v="0.8069716455483722"/>
    <n v="0.99517382556638079"/>
    <n v="2.1078155371549792"/>
    <x v="0"/>
    <x v="0"/>
    <x v="1"/>
    <x v="0"/>
    <x v="0"/>
    <x v="0"/>
  </r>
  <r>
    <x v="1"/>
    <s v="DCTH"/>
    <n v="388"/>
    <n v="15.29"/>
    <n v="-0.67"/>
    <n v="2.08"/>
    <n v="-0.93"/>
    <n v="-22.820895522388057"/>
    <n v="7.3509615384615374"/>
    <n v="-58.59"/>
    <n v="-13.46"/>
    <n v="1.1100000000000001"/>
    <n v="-16.44086021505376"/>
    <s v="NO"/>
    <n v="-0.47743590364274729"/>
    <n v="1.3542563915315131"/>
    <n v="-1.0401463298234461"/>
    <n v="-0.87208270192038528"/>
    <n v="-1.0508623090695774"/>
    <n v="-0.52749784031765024"/>
    <x v="0"/>
    <x v="0"/>
    <x v="1"/>
    <x v="0"/>
    <x v="0"/>
    <x v="0"/>
  </r>
  <r>
    <x v="1"/>
    <s v="ENOV"/>
    <n v="1955"/>
    <n v="37.35"/>
    <n v="-1.22"/>
    <n v="45.86"/>
    <n v="-14.98"/>
    <n v="-30.614754098360656"/>
    <n v="0.81443523767989534"/>
    <n v="-27.65"/>
    <n v="0.73"/>
    <n v="1.84"/>
    <n v="-2.4933244325767689"/>
    <s v="NO"/>
    <n v="-0.73783345951640078"/>
    <n v="-0.94963435289035258"/>
    <n v="-0.11142876480392894"/>
    <n v="0.48165486572630056"/>
    <n v="0.15365896374030114"/>
    <n v="0.61392537651039059"/>
    <x v="0"/>
    <x v="0"/>
    <x v="1"/>
    <x v="0"/>
    <x v="0"/>
    <x v="0"/>
  </r>
  <r>
    <x v="1"/>
    <s v="IART"/>
    <n v="989"/>
    <n v="13.51"/>
    <n v="-0.33"/>
    <n v="20.03"/>
    <n v="-0.38"/>
    <n v="-40.939393939393938"/>
    <n v="0.67448826759860203"/>
    <n v="-0.44"/>
    <n v="2.91"/>
    <n v="2.61"/>
    <n v="-35.55263157894737"/>
    <s v="NO"/>
    <n v="-1.082785956880046"/>
    <n v="-0.99896063327900786"/>
    <n v="0.70532640469125729"/>
    <n v="0.68962864285595349"/>
    <n v="1.4241814021835975"/>
    <n v="-2.0915461345592976"/>
    <x v="0"/>
    <x v="0"/>
    <x v="1"/>
    <x v="0"/>
    <x v="0"/>
    <x v="0"/>
  </r>
  <r>
    <x v="1"/>
    <s v="INMD"/>
    <n v="866"/>
    <n v="14.92"/>
    <n v="1.62"/>
    <n v="9.01"/>
    <n v="2.29"/>
    <n v="9.2098765432098766"/>
    <n v="1.655937846836848"/>
    <n v="24.5"/>
    <n v="8.6199999999999992"/>
    <n v="1.1399999999999999"/>
    <n v="6.5152838427947595"/>
    <s v="NO"/>
    <n v="0.59273167475560107"/>
    <n v="-0.65303490795096342"/>
    <n v="1.4539436015751217"/>
    <n v="1.2343672976313287"/>
    <n v="-1.0013614348445143"/>
    <n v="1.3511620323027982"/>
    <x v="0"/>
    <x v="0"/>
    <x v="1"/>
    <x v="0"/>
    <x v="0"/>
    <x v="0"/>
  </r>
  <r>
    <x v="1"/>
    <s v="IRMD"/>
    <n v="649"/>
    <n v="53.23"/>
    <n v="1.33"/>
    <n v="7.08"/>
    <n v="1.55"/>
    <n v="40.022556390977442"/>
    <n v="7.5183615819209031"/>
    <n v="23.81"/>
    <n v="14.92"/>
    <n v="1.1299999999999999"/>
    <n v="34.341935483870962"/>
    <s v="NO"/>
    <n v="1.6222020512147721"/>
    <n v="1.4132588942363109"/>
    <n v="1.4332320592395213"/>
    <n v="1.8353924333729863"/>
    <n v="-1.0178617262528689"/>
    <n v="3.628409190873612"/>
    <x v="0"/>
    <x v="0"/>
    <x v="1"/>
    <x v="0"/>
    <x v="0"/>
    <x v="1"/>
  </r>
  <r>
    <x v="1"/>
    <s v="LMAT"/>
    <n v="1844"/>
    <n v="83.28"/>
    <n v="1.66"/>
    <n v="15.4"/>
    <n v="1.97"/>
    <n v="50.168674698795186"/>
    <n v="5.407792207792208"/>
    <n v="13.77"/>
    <n v="7.28"/>
    <n v="1.6"/>
    <n v="42.274111675126903"/>
    <s v="NO"/>
    <n v="1.9611900355625598"/>
    <n v="0.66935899652858077"/>
    <n v="1.1318641098925288"/>
    <n v="1.1065302052672301"/>
    <n v="-0.24234803006020691"/>
    <n v="4.277553972136344"/>
    <x v="0"/>
    <x v="0"/>
    <x v="1"/>
    <x v="0"/>
    <x v="0"/>
    <x v="1"/>
  </r>
  <r>
    <x v="1"/>
    <s v="NPCE"/>
    <n v="397"/>
    <n v="12.95"/>
    <n v="-0.63"/>
    <n v="0.27"/>
    <n v="-0.93"/>
    <n v="-20.555555555555554"/>
    <n v="47.962962962962955"/>
    <n v="-189.35"/>
    <n v="-13.39"/>
    <n v="11.81"/>
    <n v="-13.924731182795698"/>
    <s v="NO"/>
    <n v="-0.40174951738926379"/>
    <n v="15.668528206389476"/>
    <n v="-4.9651336860597768"/>
    <n v="-0.86540464485658908"/>
    <n v="16.604449497869741"/>
    <n v="-0.32158561763221905"/>
    <x v="0"/>
    <x v="1"/>
    <x v="0"/>
    <x v="0"/>
    <x v="1"/>
    <x v="0"/>
  </r>
  <r>
    <x v="1"/>
    <s v="NVCR"/>
    <n v="1856"/>
    <n v="18.14"/>
    <n v="-0.66"/>
    <n v="3.25"/>
    <n v="-1.51"/>
    <n v="-27.484848484848484"/>
    <n v="5.5815384615384618"/>
    <n v="-45.52"/>
    <n v="-8.64"/>
    <n v="3.45"/>
    <n v="-12.013245033112582"/>
    <s v="NO"/>
    <n v="-0.63326140910912343"/>
    <n v="0.73059831041860523"/>
    <n v="-0.64782769456794886"/>
    <n v="-0.41225077267041876"/>
    <n v="2.810205880485376"/>
    <n v="-0.16515549951524855"/>
    <x v="0"/>
    <x v="0"/>
    <x v="1"/>
    <x v="0"/>
    <x v="0"/>
    <x v="0"/>
  </r>
  <r>
    <x v="1"/>
    <s v="OFIX"/>
    <n v="471"/>
    <n v="12.49"/>
    <n v="-0.24"/>
    <n v="13.07"/>
    <n v="-3.3"/>
    <n v="-52.041666666666671"/>
    <n v="0.95562356541698545"/>
    <n v="-22.87"/>
    <n v="-4.5"/>
    <n v="1.78"/>
    <n v="-3.7848484848484851"/>
    <s v="NO"/>
    <n v="-1.4537196419916945"/>
    <n v="-0.89987053851466725"/>
    <n v="3.2051195144141204E-2"/>
    <n v="-1.7291397754472325E-2"/>
    <n v="5.465721529017404E-2"/>
    <n v="0.50823104015264831"/>
    <x v="0"/>
    <x v="0"/>
    <x v="1"/>
    <x v="0"/>
    <x v="0"/>
    <x v="0"/>
  </r>
  <r>
    <x v="1"/>
    <s v="OMCL"/>
    <n v="1154"/>
    <n v="28"/>
    <n v="2.93"/>
    <n v="26.81"/>
    <n v="0.27"/>
    <n v="9.5563139931740615"/>
    <n v="1.0443864229765014"/>
    <n v="1.03"/>
    <n v="0.16"/>
    <n v="1.71"/>
    <n v="103.7037037037037"/>
    <s v="NO"/>
    <n v="0.60430636068997057"/>
    <n v="-0.86858481937737075"/>
    <n v="0.74945099488449229"/>
    <n v="0.42727640106396009"/>
    <n v="-6.084482456830758E-2"/>
    <n v="9.3047619058692774"/>
    <x v="0"/>
    <x v="0"/>
    <x v="1"/>
    <x v="0"/>
    <x v="0"/>
    <x v="1"/>
  </r>
  <r>
    <x v="1"/>
    <s v="PLSE"/>
    <n v="1123"/>
    <n v="16.84"/>
    <n v="-0.62"/>
    <n v="1.74"/>
    <n v="-0.92"/>
    <n v="-27.161290322580644"/>
    <n v="9.6781609195402307"/>
    <n v="-67.31"/>
    <n v="-36.700000000000003"/>
    <n v="1.1499999999999999"/>
    <n v="-18.304347826086957"/>
    <s v="NO"/>
    <n v="-0.62245113409370811"/>
    <n v="2.1745105858503444"/>
    <n v="-1.3018921981805951"/>
    <n v="-3.0891976471007219"/>
    <n v="-0.98486114343615982"/>
    <n v="-0.67999990639422614"/>
    <x v="0"/>
    <x v="0"/>
    <x v="1"/>
    <x v="1"/>
    <x v="0"/>
    <x v="0"/>
  </r>
  <r>
    <x v="1"/>
    <s v="QDEL"/>
    <n v="1744"/>
    <n v="35.51"/>
    <n v="-1.67"/>
    <n v="44.35"/>
    <n v="-30.54"/>
    <n v="-21.263473053892216"/>
    <n v="0.80067643742953765"/>
    <n v="-51.36"/>
    <n v="0.65"/>
    <n v="2.15"/>
    <n v="-1.1627373935821872"/>
    <s v="NO"/>
    <n v="-0.42540147162093961"/>
    <n v="-0.95448383579495866"/>
    <n v="-0.82312538621998432"/>
    <n v="0.47402280051053347"/>
    <n v="0.66516799739929044"/>
    <n v="0.72281650695846544"/>
    <x v="0"/>
    <x v="0"/>
    <x v="1"/>
    <x v="0"/>
    <x v="0"/>
    <x v="0"/>
  </r>
  <r>
    <x v="1"/>
    <s v="SENS"/>
    <n v="451"/>
    <n v="0.59570000000000001"/>
    <n v="-0.1"/>
    <n v="-0.03"/>
    <n v="-0.12"/>
    <n v="-5.9569999999999999"/>
    <n v="-19.856666666666669"/>
    <n v="-166.29"/>
    <n v="-39.200000000000003"/>
    <n v="-6.07"/>
    <n v="-4.9641666666666673"/>
    <s v="NO"/>
    <n v="8.5997103735180921E-2"/>
    <n v="-8.2354553169596549"/>
    <n v="-4.272947937858417"/>
    <n v="-3.3276996850934433"/>
    <n v="-12.898071540268111"/>
    <n v="0.41171928540627356"/>
    <x v="0"/>
    <x v="1"/>
    <x v="0"/>
    <x v="1"/>
    <x v="1"/>
    <x v="0"/>
  </r>
  <r>
    <x v="1"/>
    <s v="SIBN"/>
    <n v="743"/>
    <n v="18.59"/>
    <n v="-0.55000000000000004"/>
    <n v="3.95"/>
    <n v="-0.63"/>
    <n v="-33.799999999999997"/>
    <n v="4.70632911392405"/>
    <n v="-15.96"/>
    <n v="-8.5"/>
    <n v="1.36"/>
    <n v="-29.507936507936506"/>
    <s v="NO"/>
    <n v="-0.84425446261241233"/>
    <n v="0.42211845083948568"/>
    <n v="0.23946678578036823"/>
    <n v="-0.3988946585428263"/>
    <n v="-0.63835502386071497"/>
    <n v="-1.5968669740034889"/>
    <x v="0"/>
    <x v="0"/>
    <x v="1"/>
    <x v="0"/>
    <x v="0"/>
    <x v="0"/>
  </r>
  <r>
    <x v="1"/>
    <s v="SMLR"/>
    <n v="383"/>
    <n v="36.700000000000003"/>
    <n v="3.37"/>
    <n v="24.15"/>
    <n v="5.13"/>
    <n v="10.890207715133531"/>
    <n v="1.5196687370600417"/>
    <n v="27.04"/>
    <n v="8.23"/>
    <n v="1.04"/>
    <n v="7.1539961013645232"/>
    <s v="NO"/>
    <n v="0.64887256132187154"/>
    <n v="-0.70106487468235235"/>
    <n v="1.5301860907525477"/>
    <n v="1.1971609797044642"/>
    <n v="-1.1663643489280591"/>
    <n v="1.4034322692947789"/>
    <x v="0"/>
    <x v="0"/>
    <x v="1"/>
    <x v="0"/>
    <x v="0"/>
    <x v="0"/>
  </r>
  <r>
    <x v="1"/>
    <s v="SNWV"/>
    <n v="270"/>
    <n v="33.26"/>
    <n v="0.44"/>
    <n v="-1.49"/>
    <n v="-7.03"/>
    <n v="75.590909090909079"/>
    <n v="-22.322147651006709"/>
    <n v="112.25"/>
    <n v="12.89"/>
    <n v="-2.37"/>
    <n v="-4.7311522048364152"/>
    <s v="NO"/>
    <n v="2.8105623504467179"/>
    <n v="-9.1044488096791572"/>
    <n v="4.0879114855590464"/>
    <n v="1.6417287785228969"/>
    <n v="-6.792963719176945"/>
    <n v="0.43078846871848919"/>
    <x v="0"/>
    <x v="1"/>
    <x v="0"/>
    <x v="0"/>
    <x v="1"/>
    <x v="0"/>
  </r>
  <r>
    <x v="1"/>
    <s v="SRDX"/>
    <n v="388"/>
    <n v="27.82"/>
    <n v="-0.52"/>
    <n v="7.71"/>
    <n v="-1.4"/>
    <n v="-53.5"/>
    <n v="3.6083009079118029"/>
    <n v="-16.96"/>
    <n v="-1.44"/>
    <n v="1.48"/>
    <n v="-19.871428571428574"/>
    <s v="NO"/>
    <n v="-1.5024434457337565"/>
    <n v="3.5102946802845605E-2"/>
    <n v="0.20945005775775941"/>
    <n v="0.27463509674861847"/>
    <n v="-0.44035152696046109"/>
    <n v="-0.80824495077148095"/>
    <x v="0"/>
    <x v="0"/>
    <x v="1"/>
    <x v="0"/>
    <x v="0"/>
    <x v="0"/>
  </r>
  <r>
    <x v="1"/>
    <s v="SSII"/>
    <n v="1965"/>
    <n v="10.15"/>
    <n v="-0.06"/>
    <n v="0.08"/>
    <n v="-0.11"/>
    <n v="-169.16666666666669"/>
    <n v="126.875"/>
    <n v="-115.45"/>
    <n v="-32.1"/>
    <n v="3.15"/>
    <n v="-92.27272727272728"/>
    <s v="NO"/>
    <n v="-5.3669371368184695"/>
    <n v="43.482186927745005"/>
    <n v="-2.7468974851889842"/>
    <n v="-2.650353897194115"/>
    <n v="2.3151971382347405"/>
    <n v="-6.7333434452302496"/>
    <x v="1"/>
    <x v="1"/>
    <x v="1"/>
    <x v="0"/>
    <x v="0"/>
    <x v="1"/>
  </r>
  <r>
    <x v="1"/>
    <s v="STIM"/>
    <n v="300"/>
    <n v="4.4450000000000003"/>
    <n v="-1.02"/>
    <n v="0.5"/>
    <n v="-1.38"/>
    <n v="-4.3578431372549025"/>
    <n v="8.89"/>
    <n v="-132.53"/>
    <n v="-16.54"/>
    <n v="5.09"/>
    <n v="-3.2210144927536235"/>
    <s v="NO"/>
    <n v="0.13942590725506493"/>
    <n v="1.8967121705932033"/>
    <n v="-3.2595831998151432"/>
    <n v="-1.1659172127274178"/>
    <n v="5.5162536714555142"/>
    <n v="0.55437347126384628"/>
    <x v="0"/>
    <x v="0"/>
    <x v="0"/>
    <x v="0"/>
    <x v="1"/>
    <x v="0"/>
  </r>
  <r>
    <x v="1"/>
    <s v="TMCI"/>
    <n v="449"/>
    <n v="6.98"/>
    <n v="-0.79"/>
    <n v="1.81"/>
    <n v="-0.9"/>
    <n v="-8.8354430379746844"/>
    <n v="3.8563535911602211"/>
    <n v="-44.45"/>
    <n v="-14.83"/>
    <n v="1.92"/>
    <n v="-7.7555555555555555"/>
    <s v="NO"/>
    <n v="-1.0173429063665295E-2"/>
    <n v="0.12253260818073998"/>
    <n v="-0.61570979558375738"/>
    <n v="-1.0027818187403965"/>
    <n v="0.28566129500713694"/>
    <n v="0.18328064687798687"/>
    <x v="0"/>
    <x v="0"/>
    <x v="1"/>
    <x v="0"/>
    <x v="0"/>
    <x v="0"/>
  </r>
  <r>
    <x v="1"/>
    <s v="TNDM"/>
    <n v="1483"/>
    <n v="23.13"/>
    <n v="-0.06"/>
    <n v="2.33"/>
    <n v="-2.8"/>
    <n v="-385.5"/>
    <n v="9.9270386266094413"/>
    <n v="-92.31"/>
    <n v="-6.17"/>
    <n v="5.94"/>
    <n v="-8.2607142857142861"/>
    <s v="NO"/>
    <n v="-12.594765394783822"/>
    <n v="2.2622310384921587"/>
    <n v="-2.0523103987458158"/>
    <n v="-0.1766107591336101"/>
    <n v="6.9187784411656477"/>
    <n v="0.14194001783934632"/>
    <x v="1"/>
    <x v="0"/>
    <x v="1"/>
    <x v="0"/>
    <x v="1"/>
    <x v="0"/>
  </r>
  <r>
    <x v="1"/>
    <s v="VREX"/>
    <n v="337"/>
    <n v="7.5"/>
    <n v="0.63"/>
    <n v="13.1"/>
    <n v="-1.17"/>
    <n v="11.904761904761905"/>
    <n v="0.57251908396946571"/>
    <n v="-8.25"/>
    <n v="1.9"/>
    <n v="2.4700000000000002"/>
    <n v="-6.4102564102564106"/>
    <s v="NO"/>
    <n v="0.68276943393065315"/>
    <n v="-1.0349011080157695"/>
    <n v="0.47089575883468232"/>
    <n v="0.59327381950689406"/>
    <n v="1.1931773224666351"/>
    <n v="0.29337577063114201"/>
    <x v="0"/>
    <x v="0"/>
    <x v="1"/>
    <x v="0"/>
    <x v="0"/>
    <x v="0"/>
  </r>
  <r>
    <x v="1"/>
    <s v="AVNS"/>
    <n v="579"/>
    <n v="12.71"/>
    <n v="1.8"/>
    <n v="18.03"/>
    <n v="-8.4"/>
    <n v="7.0611111111111118"/>
    <n v="0.70493621741541879"/>
    <n v="-37.42"/>
    <n v="1.97"/>
    <n v="1.39"/>
    <n v="-1.513095238095238"/>
    <s v="NO"/>
    <n v="0.5209401146175614"/>
    <n v="-0.98822882458710426"/>
    <n v="-0.40469219758481728"/>
    <n v="0.59995187657069027"/>
    <n v="-0.58885414963565175"/>
    <n v="0.69414430391400728"/>
    <x v="0"/>
    <x v="0"/>
    <x v="1"/>
    <x v="0"/>
    <x v="0"/>
    <x v="0"/>
  </r>
  <r>
    <x v="1"/>
    <s v="BVS"/>
    <n v="436"/>
    <n v="6.54"/>
    <n v="0.56999999999999995"/>
    <n v="2.25"/>
    <n v="-0.52"/>
    <n v="11.473684210526317"/>
    <n v="2.9066666666666667"/>
    <n v="-21.55"/>
    <n v="3.24"/>
    <n v="4.92"/>
    <n v="-12.576923076923077"/>
    <s v="NO"/>
    <n v="0.66836686595018535"/>
    <n v="-0.21219792218942432"/>
    <n v="7.1673276133984873E-2"/>
    <n v="0.72111091187099263"/>
    <n v="5.2357487175134878"/>
    <n v="-0.21128516830088753"/>
    <x v="0"/>
    <x v="0"/>
    <x v="1"/>
    <x v="0"/>
    <x v="1"/>
    <x v="0"/>
  </r>
  <r>
    <x v="1"/>
    <s v="EMBC"/>
    <n v="725"/>
    <n v="12.5"/>
    <n v="0.5"/>
    <n v="-13.23"/>
    <n v="0.99"/>
    <n v="25"/>
    <n v="-0.94482237339380193"/>
    <n v="-7.45"/>
    <n v="3.13"/>
    <n v="-1.5"/>
    <n v="12.626262626262626"/>
    <s v="NO"/>
    <n v="1.120289304267539"/>
    <n v="-1.5697094724109053"/>
    <n v="0.49490914125276941"/>
    <n v="0.71061682219931288"/>
    <n v="-5.3574383666501024"/>
    <n v="1.8512656470041937"/>
    <x v="0"/>
    <x v="0"/>
    <x v="1"/>
    <x v="0"/>
    <x v="1"/>
    <x v="0"/>
  </r>
  <r>
    <x v="1"/>
    <s v="ESTA"/>
    <n v="962"/>
    <n v="34.96"/>
    <n v="-2.63"/>
    <n v="1.84"/>
    <n v="-3"/>
    <n v="-13.29277566539924"/>
    <n v="19"/>
    <n v="-236.67"/>
    <n v="-10.15"/>
    <n v="6.53"/>
    <n v="-11.653333333333334"/>
    <s v="NO"/>
    <n v="-0.15909562345341952"/>
    <n v="5.4601240432448508"/>
    <n v="-6.3855252560896263"/>
    <n v="-0.5563060036180224"/>
    <n v="7.8922956342585628"/>
    <n v="-0.13570143848661859"/>
    <x v="0"/>
    <x v="1"/>
    <x v="0"/>
    <x v="0"/>
    <x v="1"/>
    <x v="0"/>
  </r>
  <r>
    <x v="1"/>
    <s v="KIDS"/>
    <n v="551"/>
    <n v="23.21"/>
    <n v="-1.79"/>
    <n v="14.64"/>
    <n v="-1.64"/>
    <n v="-12.966480446927374"/>
    <n v="1.5853825136612021"/>
    <n v="-10.34"/>
    <n v="-4.05"/>
    <n v="1.33"/>
    <n v="-14.152439024390246"/>
    <s v="NO"/>
    <n v="-0.14819390172533045"/>
    <n v="-0.67790312871426606"/>
    <n v="0.40816079726742988"/>
    <n v="2.5638969084217516E-2"/>
    <n v="-0.68785589808577852"/>
    <n v="-0.34022052354702281"/>
    <x v="0"/>
    <x v="0"/>
    <x v="1"/>
    <x v="0"/>
    <x v="0"/>
    <x v="0"/>
  </r>
  <r>
    <x v="1"/>
    <s v="NEOG"/>
    <n v="1287"/>
    <n v="6.49"/>
    <n v="-0.2"/>
    <n v="12.26"/>
    <n v="-2.2400000000000002"/>
    <n v="-32.449999999999996"/>
    <n v="0.5293637846655791"/>
    <n v="-16.71"/>
    <n v="0.59"/>
    <n v="1.52"/>
    <n v="-2.8973214285714284"/>
    <s v="NO"/>
    <n v="-0.79915014143404606"/>
    <n v="-1.0501118009838513"/>
    <n v="0.2169542397634116"/>
    <n v="0.4682987515987081"/>
    <n v="-0.37435036132704302"/>
    <n v="0.5808635111064363"/>
    <x v="0"/>
    <x v="0"/>
    <x v="1"/>
    <x v="0"/>
    <x v="0"/>
    <x v="0"/>
  </r>
  <r>
    <x v="1"/>
    <s v="RXST"/>
    <n v="605"/>
    <n v="13.2"/>
    <n v="-0.57999999999999996"/>
    <n v="6.96"/>
    <n v="-0.71"/>
    <n v="-22.758620689655174"/>
    <n v="1.896551724137931"/>
    <n v="-12.43"/>
    <n v="-9.19"/>
    <n v="1.1299999999999999"/>
    <n v="-18.591549295774648"/>
    <s v="NO"/>
    <n v="-0.47535526360058955"/>
    <n v="-0.56822715848514482"/>
    <n v="0.34542583570017743"/>
    <n v="-0.4647212210288173"/>
    <n v="-1.0178617262528689"/>
    <n v="-0.70350358693832049"/>
    <x v="0"/>
    <x v="0"/>
    <x v="1"/>
    <x v="0"/>
    <x v="0"/>
    <x v="0"/>
  </r>
  <r>
    <x v="1"/>
    <s v="SMTI"/>
    <n v="283"/>
    <n v="35.1"/>
    <n v="-0.03"/>
    <n v="4.5"/>
    <n v="-1.1399999999999999"/>
    <n v="-1170"/>
    <n v="7.8000000000000007"/>
    <n v="-23.74"/>
    <n v="-4.5"/>
    <n v="2.2400000000000002"/>
    <n v="-30.789473684210531"/>
    <s v="NO"/>
    <n v="-38.805387590656643"/>
    <n v="1.5125263208216606"/>
    <n v="5.9366417644715992E-3"/>
    <n v="-1.7291397754472325E-2"/>
    <n v="0.81367062007448143"/>
    <n v="-1.7017440152988539"/>
    <x v="1"/>
    <x v="0"/>
    <x v="1"/>
    <x v="0"/>
    <x v="0"/>
    <x v="0"/>
  </r>
  <r>
    <x v="1"/>
    <s v="STAA"/>
    <n v="963"/>
    <n v="19"/>
    <n v="-0.16"/>
    <n v="8.06"/>
    <n v="-0.41"/>
    <n v="-118.75"/>
    <n v="2.3573200992555829"/>
    <n v="-5.16"/>
    <n v="-1.55"/>
    <n v="1.28"/>
    <n v="-46.341463414634148"/>
    <s v="NO"/>
    <n v="-3.682485636021458"/>
    <n v="-0.40582285596915579"/>
    <n v="0.56364744842454362"/>
    <n v="0.26414100707693877"/>
    <n v="-0.7703573551275511"/>
    <n v="-2.9744707838853723"/>
    <x v="1"/>
    <x v="0"/>
    <x v="1"/>
    <x v="0"/>
    <x v="0"/>
    <x v="1"/>
  </r>
  <r>
    <x v="1"/>
    <s v="UFPT"/>
    <n v="1693"/>
    <n v="247.79"/>
    <n v="7.43"/>
    <n v="44.65"/>
    <n v="7.58"/>
    <n v="33.349932705248989"/>
    <n v="5.5496080627099662"/>
    <n v="18.760000000000002"/>
    <n v="10.220000000000001"/>
    <n v="1.84"/>
    <n v="32.689973614775724"/>
    <s v="NO"/>
    <n v="1.3992656350492387"/>
    <n v="0.71934399169615582"/>
    <n v="1.2816475827253468"/>
    <n v="1.3870086019466703"/>
    <n v="0.15365896374030114"/>
    <n v="3.4932177376945557"/>
    <x v="0"/>
    <x v="0"/>
    <x v="1"/>
    <x v="0"/>
    <x v="0"/>
    <x v="1"/>
  </r>
  <r>
    <x v="2"/>
    <s v="AHCO"/>
    <n v="1116"/>
    <n v="9.0250000000000004"/>
    <n v="1.76"/>
    <n v="11.93"/>
    <n v="0.61"/>
    <n v="5.1278409090909092"/>
    <n v="0.75649622799664717"/>
    <n v="6.23"/>
    <n v="4.25"/>
    <n v="2.86"/>
    <n v="14.795081967213116"/>
    <s v="NO"/>
    <n v="2.9407428743822342E-3"/>
    <n v="-0.91635347723973448"/>
    <n v="0.51735036781651889"/>
    <n v="0.75446221953534398"/>
    <n v="0.51854707476072603"/>
    <n v="0.66262467147580872"/>
    <x v="0"/>
    <x v="0"/>
    <x v="1"/>
    <x v="0"/>
    <x v="0"/>
    <x v="0"/>
  </r>
  <r>
    <x v="2"/>
    <s v="AHG"/>
    <n v="550"/>
    <n v="1.5456000000000001"/>
    <n v="-0.03"/>
    <n v="0.84"/>
    <n v="-0.05"/>
    <n v="-51.52"/>
    <n v="1.84"/>
    <n v="-6.41"/>
    <n v="-3.73"/>
    <n v="1.06"/>
    <n v="-30.911999999999999"/>
    <s v="NO"/>
    <n v="-2.6453879381610932"/>
    <n v="-1.8997904801543002E-2"/>
    <n v="-0.26884229323601422"/>
    <n v="-1.1075816501219895"/>
    <n v="-1.0950169610638749"/>
    <n v="-1.3234731268604711"/>
    <x v="0"/>
    <x v="0"/>
    <x v="1"/>
    <x v="0"/>
    <x v="0"/>
    <x v="0"/>
  </r>
  <r>
    <x v="2"/>
    <s v="OMI"/>
    <n v="599"/>
    <n v="7.23"/>
    <n v="-0.87"/>
    <n v="7.32"/>
    <n v="-4.7300000000000004"/>
    <n v="-8.3103448275862082"/>
    <n v="0.98770491803278693"/>
    <n v="-48.7"/>
    <n v="3.21"/>
    <n v="8.24"/>
    <n v="-1.5285412262156448"/>
    <s v="NO"/>
    <n v="-0.62530443181174655"/>
    <n v="-0.72486692060648028"/>
    <n v="-2.8992289732923138"/>
    <n v="0.51178983551985191"/>
    <n v="5.34131069294759"/>
    <n v="-4.6681429241708858E-2"/>
    <x v="0"/>
    <x v="0"/>
    <x v="0"/>
    <x v="0"/>
    <x v="1"/>
    <x v="0"/>
  </r>
  <r>
    <x v="2"/>
    <s v="AGL"/>
    <n v="1400"/>
    <n v="2.7"/>
    <n v="-0.24"/>
    <n v="1.1399999999999999"/>
    <n v="-0.61"/>
    <n v="-11.250000000000002"/>
    <n v="2.3684210526315792"/>
    <n v="-44.22"/>
    <n v="-10.220000000000001"/>
    <n v="3.68"/>
    <n v="-4.4262295081967213"/>
    <s v="NO"/>
    <n v="-0.76273549680063935"/>
    <n v="0.41863931292208389"/>
    <n v="-2.620578409881289"/>
    <n v="-2.621950661910974"/>
    <n v="1.2536151355252669"/>
    <n v="-0.17259391521567086"/>
    <x v="0"/>
    <x v="0"/>
    <x v="1"/>
    <x v="0"/>
    <x v="0"/>
    <x v="0"/>
  </r>
  <r>
    <x v="2"/>
    <s v="AMN"/>
    <n v="749"/>
    <n v="21.67"/>
    <n v="6.27"/>
    <n v="18.559999999999999"/>
    <n v="-3.85"/>
    <n v="3.4561403508771935"/>
    <n v="1.1675646551724139"/>
    <n v="-19.12"/>
    <n v="2.8"/>
    <n v="3.42"/>
    <n v="-5.628571428571429"/>
    <s v="NO"/>
    <n v="-7.521250115702291E-2"/>
    <n v="-0.57590746005832338"/>
    <n v="-1.0593888693418447"/>
    <n v="0.41612091489835978"/>
    <n v="1.0205447747950465"/>
    <n v="-0.22483896211270477"/>
    <x v="0"/>
    <x v="0"/>
    <x v="1"/>
    <x v="0"/>
    <x v="0"/>
    <x v="0"/>
  </r>
  <r>
    <x v="2"/>
    <s v="ASTH"/>
    <n v="1452"/>
    <n v="26.7"/>
    <n v="0.93"/>
    <n v="14.87"/>
    <n v="0.9"/>
    <n v="28.709677419354836"/>
    <n v="1.7955615332885004"/>
    <n v="10.8"/>
    <n v="4.88"/>
    <n v="1.9"/>
    <n v="29.666666666666664"/>
    <s v="NO"/>
    <n v="1.1054091331850717"/>
    <n v="-5.5801750588292953E-2"/>
    <n v="0.80159882201035415"/>
    <n v="0.90146568292934404"/>
    <n v="-0.34202041101239455"/>
    <n v="1.308835725827155"/>
    <x v="0"/>
    <x v="0"/>
    <x v="1"/>
    <x v="0"/>
    <x v="0"/>
    <x v="0"/>
  </r>
  <r>
    <x v="2"/>
    <s v="AVAH"/>
    <n v="940"/>
    <n v="5.86"/>
    <n v="0.14000000000000001"/>
    <n v="-0.63"/>
    <n v="-0.06"/>
    <n v="41.857142857142854"/>
    <n v="-9.3015873015873023"/>
    <n v="8.76"/>
    <n v="5.64"/>
    <n v="-13.62"/>
    <n v="-97.666666666666671"/>
    <s v="NO"/>
    <n v="1.7200629177431497"/>
    <n v="-9.2464373556122599"/>
    <n v="0.67471329759997689"/>
    <n v="1.0788031943252805"/>
    <n v="-14.254528097677843"/>
    <n v="-4.2241460814464356"/>
    <x v="0"/>
    <x v="1"/>
    <x v="1"/>
    <x v="0"/>
    <x v="1"/>
    <x v="1"/>
  </r>
  <r>
    <x v="2"/>
    <s v="CCRN"/>
    <n v="454"/>
    <n v="13.95"/>
    <n v="3.34"/>
    <n v="12.98"/>
    <n v="-0.44"/>
    <n v="4.1766467065868262"/>
    <n v="1.0747303543913713"/>
    <n v="-3.28"/>
    <n v="-7.0000000000000007E-2"/>
    <n v="1.41"/>
    <n v="-31.704545454545453"/>
    <s v="NO"/>
    <n v="-4.1528293320110481E-2"/>
    <n v="-0.65279263505429375"/>
    <n v="-7.4160091567151157E-2"/>
    <n v="-0.25356152945208466"/>
    <n v="-0.78126839854242491"/>
    <n v="-1.3579113958246389"/>
    <x v="0"/>
    <x v="0"/>
    <x v="1"/>
    <x v="0"/>
    <x v="0"/>
    <x v="0"/>
  </r>
  <r>
    <x v="2"/>
    <s v="CSTL"/>
    <n v="492"/>
    <n v="17.03"/>
    <n v="1.49"/>
    <n v="15.26"/>
    <n v="-0.18"/>
    <n v="11.429530201342283"/>
    <n v="1.115989515072084"/>
    <n v="-1.2"/>
    <n v="-1.79"/>
    <n v="1.1399999999999999"/>
    <n v="-94.611111111111114"/>
    <s v="NO"/>
    <n v="0.29754940268943264"/>
    <n v="-0.61862188391560213"/>
    <n v="5.5213384302253012E-2"/>
    <n v="-0.65490431840078311"/>
    <n v="-1.0233030039161151"/>
    <n v="-4.0913738303992941"/>
    <x v="0"/>
    <x v="0"/>
    <x v="1"/>
    <x v="0"/>
    <x v="0"/>
    <x v="1"/>
  </r>
  <r>
    <x v="2"/>
    <s v="EHAB"/>
    <n v="415"/>
    <n v="10.47"/>
    <n v="0.94"/>
    <n v="10.39"/>
    <n v="-3.11"/>
    <n v="11.138297872340427"/>
    <n v="1.0076997112608277"/>
    <n v="-24.53"/>
    <n v="2.19"/>
    <n v="2.34"/>
    <n v="-3.366559485530547"/>
    <s v="NO"/>
    <n v="0.28393407477290827"/>
    <n v="-0.70830727440445829"/>
    <n v="-1.3958843041752467"/>
    <n v="0.27378422812004233"/>
    <n v="5.2406353300285688E-2"/>
    <n v="-0.12654835272515932"/>
    <x v="0"/>
    <x v="0"/>
    <x v="1"/>
    <x v="0"/>
    <x v="0"/>
    <x v="0"/>
  </r>
  <r>
    <x v="2"/>
    <s v="FLGT"/>
    <n v="568"/>
    <n v="20.29"/>
    <n v="-1.04"/>
    <n v="36.81"/>
    <n v="-1.34"/>
    <n v="-19.509615384615383"/>
    <n v="0.55120891062211352"/>
    <n v="-3.72"/>
    <n v="-3.69"/>
    <n v="1.07"/>
    <n v="-15.141791044776118"/>
    <s v="NO"/>
    <n v="-1.14887865718168"/>
    <n v="-1.0863720068995972"/>
    <n v="-0.10152755761644823"/>
    <n v="-1.0982480968906245"/>
    <n v="-1.086052716420405"/>
    <n v="-0.63821438932520835"/>
    <x v="0"/>
    <x v="0"/>
    <x v="1"/>
    <x v="0"/>
    <x v="0"/>
    <x v="0"/>
  </r>
  <r>
    <x v="2"/>
    <s v="HWAIF"/>
    <n v="301"/>
    <n v="1.17"/>
    <n v="-0.12"/>
    <n v="0.26"/>
    <n v="-0.13"/>
    <n v="-9.75"/>
    <n v="4.5"/>
    <n v="-57.66"/>
    <n v="-23.84"/>
    <n v="1.96"/>
    <n v="-9"/>
    <s v="NO"/>
    <n v="-0.69260938152771445"/>
    <n v="2.1840085676837258"/>
    <n v="-3.456530100114362"/>
    <n v="-5.8000255371907832"/>
    <n v="-0.28823494315157444"/>
    <n v="-0.37133676015121264"/>
    <x v="0"/>
    <x v="0"/>
    <x v="0"/>
    <x v="1"/>
    <x v="0"/>
    <x v="0"/>
  </r>
  <r>
    <x v="2"/>
    <s v="INNV"/>
    <n v="441"/>
    <n v="3.96"/>
    <n v="-0.02"/>
    <n v="1.84"/>
    <n v="-0.19"/>
    <n v="-198"/>
    <n v="2.152173913043478"/>
    <n v="-9.52"/>
    <n v="-2.3199999999999998"/>
    <n v="2.11"/>
    <n v="-20.842105263157894"/>
    <s v="NO"/>
    <n v="-9.4934368482797744"/>
    <n v="0.23954388127959811"/>
    <n v="-0.46228051917536367"/>
    <n v="-0.77857389871637039"/>
    <n v="-0.15377127349952444"/>
    <n v="-0.88590864219994137"/>
    <x v="1"/>
    <x v="0"/>
    <x v="1"/>
    <x v="0"/>
    <x v="0"/>
    <x v="0"/>
  </r>
  <r>
    <x v="2"/>
    <s v="MD"/>
    <n v="1231"/>
    <n v="14.42"/>
    <n v="2.21"/>
    <n v="9.09"/>
    <n v="-1.19"/>
    <n v="6.5248868778280542"/>
    <n v="1.5863586358635864"/>
    <n v="-12.28"/>
    <n v="5.25"/>
    <n v="2.81"/>
    <n v="-12.117647058823531"/>
    <s v="NO"/>
    <n v="6.8253680637872835E-2"/>
    <n v="-0.22906315550925438"/>
    <n v="-0.63394916984822691"/>
    <n v="0.98780105031947096"/>
    <n v="0.47372585154337615"/>
    <n v="-0.50680705694155781"/>
    <x v="0"/>
    <x v="0"/>
    <x v="1"/>
    <x v="0"/>
    <x v="0"/>
    <x v="0"/>
  </r>
  <r>
    <x v="2"/>
    <s v="NEO"/>
    <n v="1030"/>
    <n v="8.36"/>
    <n v="-0.25"/>
    <n v="6.92"/>
    <n v="-0.61"/>
    <n v="-33.44"/>
    <n v="1.2080924855491328"/>
    <n v="-8.57"/>
    <n v="-2.75"/>
    <n v="1.8"/>
    <n v="-13.704918032786885"/>
    <s v="NO"/>
    <n v="-1.8001344954047731"/>
    <n v="-0.54234239515768545"/>
    <n v="-0.40319167202347239"/>
    <n v="-0.87890959595354501"/>
    <n v="-0.43166285744709448"/>
    <n v="-0.57577832465479861"/>
    <x v="0"/>
    <x v="0"/>
    <x v="1"/>
    <x v="0"/>
    <x v="0"/>
    <x v="0"/>
  </r>
  <r>
    <x v="2"/>
    <s v="NNOX"/>
    <n v="315"/>
    <n v="5.71"/>
    <n v="-0.67"/>
    <n v="2.97"/>
    <n v="-0.91"/>
    <n v="-8.5223880597014912"/>
    <n v="1.9225589225589224"/>
    <n v="-27.83"/>
    <n v="-16.52"/>
    <n v="1.1100000000000001"/>
    <n v="-6.2747252747252746"/>
    <s v="NO"/>
    <n v="-0.63521761057051973"/>
    <n v="4.9377223303237384E-2"/>
    <n v="-1.6011402995449744"/>
    <n v="-4.0919852958509733"/>
    <n v="-1.050195737846525"/>
    <n v="-0.25291611506141487"/>
    <x v="0"/>
    <x v="0"/>
    <x v="1"/>
    <x v="1"/>
    <x v="0"/>
    <x v="0"/>
  </r>
  <r>
    <x v="2"/>
    <s v="NRC"/>
    <n v="298"/>
    <n v="13.44"/>
    <n v="0.81"/>
    <n v="1.3"/>
    <n v="1.02"/>
    <n v="16.592592592592592"/>
    <n v="10.338461538461537"/>
    <n v="72.69"/>
    <n v="17.13"/>
    <n v="4.5599999999999996"/>
    <n v="13.176470588235293"/>
    <s v="NO"/>
    <n v="0.53892640829618055"/>
    <n v="7.0194102814382617"/>
    <n v="4.6510817169898848"/>
    <n v="3.7598663600348998"/>
    <n v="2.0424686641506269"/>
    <n v="0.59229157739520411"/>
    <x v="0"/>
    <x v="1"/>
    <x v="0"/>
    <x v="1"/>
    <x v="0"/>
    <x v="0"/>
  </r>
  <r>
    <x v="2"/>
    <s v="NUTX"/>
    <n v="654"/>
    <n v="125.93"/>
    <n v="4.0999999999999996"/>
    <n v="26.55"/>
    <n v="9.7100000000000009"/>
    <n v="30.714634146341467"/>
    <n v="4.7431261770244824"/>
    <n v="67.81"/>
    <n v="16.34"/>
    <n v="4.4800000000000004"/>
    <n v="12.969104016477857"/>
    <s v="NO"/>
    <n v="1.1991423508876655"/>
    <n v="2.3853651622760315"/>
    <n v="4.3475516389885911"/>
    <n v="3.5755286837154396"/>
    <n v="1.9707547070028677"/>
    <n v="0.58328093235093248"/>
    <x v="0"/>
    <x v="0"/>
    <x v="0"/>
    <x v="1"/>
    <x v="0"/>
    <x v="0"/>
  </r>
  <r>
    <x v="2"/>
    <s v="OPK"/>
    <n v="991"/>
    <n v="1.3"/>
    <n v="-0.3"/>
    <n v="1.95"/>
    <n v="-0.06"/>
    <n v="-4.3333333333333339"/>
    <n v="0.66666666666666674"/>
    <n v="-3.04"/>
    <n v="-8.1999999999999993"/>
    <n v="1.62"/>
    <n v="-21.666666666666668"/>
    <s v="NO"/>
    <n v="-0.43937618748659729"/>
    <n v="-0.99075013326622285"/>
    <n v="-5.9232382812989155E-2"/>
    <n v="-2.1506062237270367"/>
    <n v="-0.5930192610295546"/>
    <n v="-0.92173809176481591"/>
    <x v="0"/>
    <x v="0"/>
    <x v="1"/>
    <x v="0"/>
    <x v="0"/>
    <x v="0"/>
  </r>
  <r>
    <x v="2"/>
    <s v="PNTG"/>
    <n v="956"/>
    <n v="29.17"/>
    <n v="0.61"/>
    <n v="8.4600000000000009"/>
    <n v="0.7"/>
    <n v="47.819672131147541"/>
    <n v="3.4479905437352243"/>
    <n v="10.64"/>
    <n v="3.84"/>
    <n v="2.3199999999999998"/>
    <n v="41.671428571428578"/>
    <s v="NO"/>
    <n v="1.9988155945345103"/>
    <n v="1.3127365220946243"/>
    <n v="0.79164701617424604"/>
    <n v="0.65879329891385185"/>
    <n v="3.4477864013345662E-2"/>
    <n v="1.8304754840970401"/>
    <x v="0"/>
    <x v="0"/>
    <x v="1"/>
    <x v="0"/>
    <x v="0"/>
    <x v="0"/>
  </r>
  <r>
    <x v="2"/>
    <s v="SBC"/>
    <n v="332"/>
    <n v="3.5"/>
    <n v="0.18"/>
    <n v="1.9"/>
    <n v="0.48"/>
    <n v="19.444444444444446"/>
    <n v="1.8421052631578949"/>
    <n v="27.56"/>
    <n v="20.329999999999998"/>
    <n v="1.36"/>
    <n v="7.291666666666667"/>
    <s v="NO"/>
    <n v="0.67225260276569199"/>
    <n v="-1.7254330228938831E-2"/>
    <n v="1.8440504833426683"/>
    <n v="4.5065506185441064"/>
    <n v="-0.82608962175977474"/>
    <n v="0.33658074202286253"/>
    <x v="0"/>
    <x v="0"/>
    <x v="1"/>
    <x v="1"/>
    <x v="0"/>
    <x v="0"/>
  </r>
  <r>
    <x v="2"/>
    <s v="TALK"/>
    <n v="509"/>
    <n v="3.07"/>
    <n v="0.04"/>
    <n v="0.7"/>
    <n v="0.01"/>
    <n v="76.75"/>
    <n v="4.3857142857142861"/>
    <n v="0.97"/>
    <n v="-1.47"/>
    <n v="1.18"/>
    <n v="307"/>
    <s v="NO"/>
    <n v="3.3513299325442811"/>
    <n v="2.0893573765995037"/>
    <n v="0.19018475095446793"/>
    <n v="-0.58023589254986241"/>
    <n v="-0.98744602534223502"/>
    <n v="13.35972803905131"/>
    <x v="1"/>
    <x v="0"/>
    <x v="1"/>
    <x v="0"/>
    <x v="0"/>
    <x v="1"/>
  </r>
  <r>
    <x v="2"/>
    <s v="VMD"/>
    <n v="287"/>
    <n v="6.89"/>
    <n v="0.03"/>
    <n v="3.36"/>
    <n v="0.28000000000000003"/>
    <n v="229.66666666666666"/>
    <n v="2.0505952380952381"/>
    <n v="9.23"/>
    <n v="6.5"/>
    <n v="1.35"/>
    <n v="24.607142857142854"/>
    <s v="NO"/>
    <n v="10.500297795089667"/>
    <n v="0.15541663376927867"/>
    <n v="0.70394672724354423"/>
    <n v="1.2794745887996297"/>
    <n v="-0.83505386640324475"/>
    <n v="1.0889855698724733"/>
    <x v="1"/>
    <x v="0"/>
    <x v="1"/>
    <x v="0"/>
    <x v="0"/>
    <x v="0"/>
  </r>
  <r>
    <x v="2"/>
    <s v="WGS"/>
    <n v="1636"/>
    <n v="60.93"/>
    <n v="-0.48"/>
    <n v="9.02"/>
    <n v="-1.41"/>
    <n v="-126.9375"/>
    <n v="6.7549889135254988"/>
    <n v="-16.600000000000001"/>
    <n v="-1.84"/>
    <n v="1.73"/>
    <n v="-43.212765957446813"/>
    <s v="NO"/>
    <n v="-6.1712121372249626"/>
    <n v="4.051585699969138"/>
    <n v="-0.90264792742314337"/>
    <n v="-0.66657125993998945"/>
    <n v="-0.49441256995138461"/>
    <n v="-1.8579750712956822"/>
    <x v="1"/>
    <x v="1"/>
    <x v="1"/>
    <x v="0"/>
    <x v="0"/>
    <x v="0"/>
  </r>
  <r>
    <x v="2"/>
    <s v="AUNA"/>
    <n v="518"/>
    <n v="6.89"/>
    <n v="2.0699999999999998"/>
    <n v="5.29"/>
    <n v="0.43"/>
    <n v="3.3285024154589373"/>
    <n v="1.3024574669187146"/>
    <n v="7.29"/>
    <n v="6.63"/>
    <n v="4.79"/>
    <n v="16.023255813953487"/>
    <s v="NO"/>
    <n v="-8.1179669538582092E-2"/>
    <n v="-0.46418951367906131"/>
    <n v="0.58328108148073454"/>
    <n v="1.3098086368015662"/>
    <n v="2.2486462909504374"/>
    <n v="0.71599218626782724"/>
    <x v="0"/>
    <x v="0"/>
    <x v="1"/>
    <x v="0"/>
    <x v="0"/>
    <x v="0"/>
  </r>
  <r>
    <x v="2"/>
    <s v="BKD"/>
    <n v="1549"/>
    <n v="6.92"/>
    <n v="-0.63"/>
    <n v="1.06"/>
    <n v="-0.89"/>
    <n v="-10.984126984126984"/>
    <n v="6.5283018867924527"/>
    <n v="-65.260000000000005"/>
    <n v="0.66"/>
    <n v="29.82"/>
    <n v="-7.7752808988764039"/>
    <s v="NO"/>
    <n v="-0.75030573562792502"/>
    <n v="3.8638439754874305"/>
    <n v="-3.9292408773294931"/>
    <n v="-8.3224182979671948E-2"/>
    <n v="24.686150633555865"/>
    <n v="-0.31811936351086723"/>
    <x v="0"/>
    <x v="1"/>
    <x v="0"/>
    <x v="0"/>
    <x v="1"/>
    <x v="0"/>
  </r>
  <r>
    <x v="2"/>
    <s v="CYH"/>
    <n v="460"/>
    <n v="3.8"/>
    <n v="0.7"/>
    <n v="-14.38"/>
    <n v="-3.68"/>
    <n v="5.4285714285714288"/>
    <n v="-0.26425591098748258"/>
    <n v="30"/>
    <n v="3.78"/>
    <n v="-7.22"/>
    <n v="-1.0326086956521738"/>
    <s v="NO"/>
    <n v="1.7000118257833881E-2"/>
    <n v="-1.761738277610118"/>
    <n v="1.9958155223433158"/>
    <n v="0.64479296906680428"/>
    <n v="-8.5174115258570406"/>
    <n v="-2.5131803567026878E-2"/>
    <x v="0"/>
    <x v="0"/>
    <x v="1"/>
    <x v="0"/>
    <x v="1"/>
    <x v="0"/>
  </r>
  <r>
    <x v="2"/>
    <s v="NHC"/>
    <n v="1479"/>
    <n v="105.39"/>
    <n v="5.18"/>
    <n v="63.44"/>
    <n v="6.53"/>
    <n v="20.345559845559848"/>
    <n v="1.6612547288776798"/>
    <n v="10.78"/>
    <n v="3.55"/>
    <n v="1.56"/>
    <n v="16.139356814701376"/>
    <s v="NO"/>
    <n v="0.71438041776090966"/>
    <n v="-0.16703436691004142"/>
    <n v="0.80035484628084053"/>
    <n v="0.5911250379864551"/>
    <n v="-0.64680472889037466"/>
    <n v="0.72103709248466752"/>
    <x v="0"/>
    <x v="0"/>
    <x v="1"/>
    <x v="0"/>
    <x v="0"/>
    <x v="0"/>
  </r>
  <r>
    <x v="2"/>
    <s v="PACS"/>
    <n v="1632"/>
    <n v="10.95"/>
    <n v="0.33"/>
    <n v="3.75"/>
    <n v="0.68"/>
    <n v="33.18181818181818"/>
    <n v="2.92"/>
    <n v="132.51"/>
    <n v="5.16"/>
    <n v="6.81"/>
    <n v="16.102941176470587"/>
    <s v="NO"/>
    <n v="1.3144850389352385"/>
    <n v="0.87545585094435541"/>
    <n v="8.3718131239647668"/>
    <n v="0.96680055554889965"/>
    <n v="4.0594237089313783"/>
    <n v="0.71945473334463172"/>
    <x v="0"/>
    <x v="0"/>
    <x v="0"/>
    <x v="0"/>
    <x v="1"/>
    <x v="0"/>
  </r>
  <r>
    <x v="2"/>
    <s v="SEM"/>
    <n v="1931"/>
    <n v="15.08"/>
    <n v="2.87"/>
    <n v="13.4"/>
    <n v="0.49"/>
    <n v="5.2543554006968636"/>
    <n v="1.1253731343283582"/>
    <n v="7.72"/>
    <n v="2.42"/>
    <n v="3.31"/>
    <n v="30.775510204081634"/>
    <s v="NO"/>
    <n v="8.8553894224186556E-3"/>
    <n v="-0.61085038994683916"/>
    <n v="0.61002655966527486"/>
    <n v="0.32745215920039156"/>
    <n v="0.92193808371687647"/>
    <n v="1.357018012106971"/>
    <x v="0"/>
    <x v="0"/>
    <x v="1"/>
    <x v="0"/>
    <x v="0"/>
    <x v="0"/>
  </r>
  <r>
    <x v="2"/>
    <s v="SNDA"/>
    <n v="452"/>
    <n v="27.01"/>
    <n v="-2.11"/>
    <n v="3.98"/>
    <n v="-0.54"/>
    <n v="-12.80094786729858"/>
    <n v="6.7864321608040203"/>
    <n v="-10.4"/>
    <n v="-1.27"/>
    <n v="11.73"/>
    <n v="-50.018518518518519"/>
    <s v="NO"/>
    <n v="-0.83524346275029071"/>
    <n v="4.0776269320257317"/>
    <n v="-0.51701545127395787"/>
    <n v="-0.53356812639303708"/>
    <n v="8.4698320735186226"/>
    <n v="-2.1537036454204106"/>
    <x v="0"/>
    <x v="1"/>
    <x v="1"/>
    <x v="0"/>
    <x v="1"/>
    <x v="0"/>
  </r>
  <r>
    <x v="2"/>
    <s v="USPH"/>
    <n v="1078"/>
    <n v="77.209999999999994"/>
    <n v="4.3600000000000003"/>
    <n v="32.39"/>
    <n v="1.84"/>
    <n v="17.708715596330272"/>
    <n v="2.3837604198826794"/>
    <n v="6.46"/>
    <n v="4.04"/>
    <n v="2.39"/>
    <n v="41.961956521739125"/>
    <s v="NO"/>
    <n v="0.59110598857542829"/>
    <n v="0.43134334500403965"/>
    <n v="0.53165608870592407"/>
    <n v="0.7054610650706773"/>
    <n v="9.7227576517635958E-2"/>
    <n v="1.843099718627716"/>
    <x v="0"/>
    <x v="0"/>
    <x v="1"/>
    <x v="0"/>
    <x v="0"/>
    <x v="0"/>
  </r>
  <r>
    <x v="3"/>
    <s v="CERT"/>
    <n v="1859"/>
    <n v="12.14"/>
    <n v="0.44"/>
    <n v="6.73"/>
    <n v="-0.02"/>
    <n v="27.590909090909093"/>
    <n v="1.8038632986627043"/>
    <n v="-0.25"/>
    <n v="1.1200000000000001"/>
    <n v="1.44"/>
    <n v="-607"/>
    <s v="NO"/>
    <n v="0.5295974538581667"/>
    <n v="-0.45026947343028945"/>
    <n v="0.78789249950961482"/>
    <n v="0.38616042998487038"/>
    <n v="-1.0138170377096616"/>
    <n v="-33.956408578569068"/>
    <x v="0"/>
    <x v="0"/>
    <x v="1"/>
    <x v="0"/>
    <x v="0"/>
    <x v="1"/>
  </r>
  <r>
    <x v="3"/>
    <s v="CTEV"/>
    <n v="355"/>
    <n v="25.03"/>
    <n v="-0.65"/>
    <n v="5.19"/>
    <n v="-101.92"/>
    <n v="-38.507692307692309"/>
    <n v="4.8227360308285165"/>
    <n v="-183.57"/>
    <n v="1.02"/>
    <n v="61.3"/>
    <n v="-0.24558477237048668"/>
    <s v="NO"/>
    <n v="-1.587487367054502"/>
    <n v="1.4532368996796745"/>
    <n v="-7.0588132645714214"/>
    <n v="0.35843350616089142"/>
    <n v="120.14007890608416"/>
    <n v="0.16813497637236871"/>
    <x v="0"/>
    <x v="0"/>
    <x v="0"/>
    <x v="0"/>
    <x v="1"/>
    <x v="0"/>
  </r>
  <r>
    <x v="3"/>
    <s v="DH"/>
    <n v="294"/>
    <n v="3.6"/>
    <n v="0.39"/>
    <n v="3.9"/>
    <n v="-3.54"/>
    <n v="9.2307692307692299"/>
    <n v="0.92307692307692313"/>
    <n v="-65.48"/>
    <n v="-0.42"/>
    <n v="2.4500000000000002"/>
    <n v="-1.0169491525423728"/>
    <s v="NO"/>
    <n v="-5.8462998031488689E-2"/>
    <n v="-1.005636535251786"/>
    <n v="-2.0041684703300429"/>
    <n v="-4.0834196904405352E-2"/>
    <n v="1.030376662645029"/>
    <n v="0.1247525851984523"/>
    <x v="0"/>
    <x v="0"/>
    <x v="1"/>
    <x v="0"/>
    <x v="0"/>
    <x v="0"/>
  </r>
  <r>
    <x v="3"/>
    <s v="EVH"/>
    <n v="1227"/>
    <n v="9.27"/>
    <n v="-0.3"/>
    <n v="8.6999999999999993"/>
    <n v="-0.81"/>
    <n v="-30.9"/>
    <n v="1.0655172413793104"/>
    <n v="-5.0599999999999996"/>
    <n v="0.06"/>
    <n v="2.54"/>
    <n v="-11.444444444444443"/>
    <s v="NO"/>
    <n v="-1.3438191264867028"/>
    <n v="-0.91582286050244122"/>
    <n v="0.58200850035387741"/>
    <n v="9.2255037450693564E-2"/>
    <n v="1.2125325369340607"/>
    <n v="-0.46170135452931182"/>
    <x v="0"/>
    <x v="0"/>
    <x v="1"/>
    <x v="0"/>
    <x v="0"/>
    <x v="0"/>
  </r>
  <r>
    <x v="3"/>
    <s v="GDRX"/>
    <n v="1362"/>
    <n v="4.3"/>
    <n v="0.28999999999999998"/>
    <n v="1.89"/>
    <n v="0.04"/>
    <n v="14.827586206896552"/>
    <n v="2.2751322751322753"/>
    <n v="2.2000000000000002"/>
    <n v="3.62"/>
    <n v="1.92"/>
    <n v="107.5"/>
    <s v="NO"/>
    <n v="0.12079852966909907"/>
    <n v="-0.15311766222582604"/>
    <n v="0.89276064876773464"/>
    <n v="1.0793335255843439"/>
    <n v="-4.2319041501491947E-2"/>
    <n v="6.2278665714659427"/>
    <x v="0"/>
    <x v="0"/>
    <x v="1"/>
    <x v="0"/>
    <x v="0"/>
    <x v="1"/>
  </r>
  <r>
    <x v="3"/>
    <s v="HCAT"/>
    <n v="276"/>
    <n v="4.29"/>
    <n v="-0.03"/>
    <n v="5.7"/>
    <n v="-1.1499999999999999"/>
    <n v="-143"/>
    <n v="0.75263157894736843"/>
    <n v="-18.989999999999998"/>
    <n v="-4.57"/>
    <n v="2.35"/>
    <n v="-3.7304347826086959"/>
    <s v="NO"/>
    <n v="-4.9342915934174743"/>
    <n v="-1.1131083724579753"/>
    <n v="-1.4241833999432801E-2"/>
    <n v="-1.1915015355995318"/>
    <n v="0.82798124676832696"/>
    <n v="-2.7856866410016914E-2"/>
    <x v="1"/>
    <x v="0"/>
    <x v="1"/>
    <x v="0"/>
    <x v="0"/>
    <x v="0"/>
  </r>
  <r>
    <x v="3"/>
    <s v="HSTM"/>
    <n v="821"/>
    <n v="27.41"/>
    <n v="0.97"/>
    <n v="11.81"/>
    <n v="0.66"/>
    <n v="28.257731958762889"/>
    <n v="2.3209144792548688"/>
    <n v="5.72"/>
    <n v="2.63"/>
    <n v="1.42"/>
    <n v="41.530303030303031"/>
    <s v="NO"/>
    <n v="0.5509552517827776"/>
    <n v="-0.12425035808483405"/>
    <n v="1.0434283570896048"/>
    <n v="0.80483697972695234"/>
    <n v="-1.0542961208850019"/>
    <n v="2.5176573977854191"/>
    <x v="0"/>
    <x v="0"/>
    <x v="1"/>
    <x v="0"/>
    <x v="0"/>
    <x v="0"/>
  </r>
  <r>
    <x v="3"/>
    <s v="PHR"/>
    <n v="1434"/>
    <n v="26.1"/>
    <n v="0.14000000000000001"/>
    <n v="4.51"/>
    <n v="-1.02"/>
    <n v="186.42857142857142"/>
    <n v="5.7871396895787148"/>
    <n v="-22.67"/>
    <n v="-8.75"/>
    <n v="1.47"/>
    <n v="-25.588235294117649"/>
    <s v="NO"/>
    <n v="5.6170394996656912"/>
    <n v="2.0613276254402662"/>
    <n v="-0.1717580745177518"/>
    <n v="-2.3504869514418512"/>
    <n v="-0.95309841294665087"/>
    <n v="-1.2571638922029515"/>
    <x v="1"/>
    <x v="0"/>
    <x v="1"/>
    <x v="0"/>
    <x v="0"/>
    <x v="0"/>
  </r>
  <r>
    <x v="3"/>
    <s v="SDGR"/>
    <n v="1740"/>
    <n v="23.76"/>
    <n v="-2.27"/>
    <n v="5.78"/>
    <n v="-2.57"/>
    <n v="-10.466960352422909"/>
    <n v="4.1107266435986158"/>
    <n v="-38.58"/>
    <n v="-16.09"/>
    <n v="1.95"/>
    <n v="-9.2451361867704289"/>
    <s v="NO"/>
    <n v="-0.68936536849981278"/>
    <n v="1.004289717552556"/>
    <n v="-0.85275899480211392"/>
    <n v="-4.3856431601219059"/>
    <n v="1.8399583261518707E-2"/>
    <n v="-0.33800981055993928"/>
    <x v="0"/>
    <x v="0"/>
    <x v="1"/>
    <x v="1"/>
    <x v="0"/>
    <x v="0"/>
  </r>
  <r>
    <x v="3"/>
    <s v="SLP"/>
    <n v="583"/>
    <n v="31.1"/>
    <n v="0.41"/>
    <n v="9.43"/>
    <n v="0.36"/>
    <n v="75.853658536585371"/>
    <n v="3.2979851537645812"/>
    <n v="3.96"/>
    <n v="1.95"/>
    <n v="1.06"/>
    <n v="86.3888888888889"/>
    <s v="NO"/>
    <n v="2.0754143411291661"/>
    <n v="0.49182737056250114"/>
    <n v="0.96809450292866983"/>
    <n v="0.61629389772389565"/>
    <n v="-1.7829196180411289"/>
    <n v="5.0405541885242355"/>
    <x v="0"/>
    <x v="0"/>
    <x v="1"/>
    <x v="0"/>
    <x v="0"/>
    <x v="1"/>
  </r>
  <r>
    <x v="3"/>
    <s v="TBRG"/>
    <n v="381"/>
    <n v="24.95"/>
    <n v="0.91"/>
    <n v="11.77"/>
    <n v="-1.38"/>
    <n v="27.417582417582416"/>
    <n v="2.1197960917587086"/>
    <n v="-11.59"/>
    <n v="3.34"/>
    <n v="2.34"/>
    <n v="-18.079710144927539"/>
    <s v="NO"/>
    <n v="0.52404594049184972"/>
    <n v="-0.25106263747293817"/>
    <n v="0.30250278008631704"/>
    <n v="1.0016981388772028"/>
    <n v="0.80774170518065624"/>
    <n v="-0.83487608175366812"/>
    <x v="0"/>
    <x v="0"/>
    <x v="1"/>
    <x v="0"/>
    <x v="0"/>
    <x v="0"/>
  </r>
  <r>
    <x v="3"/>
    <s v="TDOC"/>
    <n v="1203"/>
    <n v="7.62"/>
    <n v="1.05"/>
    <n v="8.14"/>
    <n v="-5.88"/>
    <n v="7.2571428571428571"/>
    <n v="0.93611793611793603"/>
    <n v="-54.49"/>
    <n v="-3"/>
    <n v="2.41"/>
    <n v="-1.2959183673469388"/>
    <s v="NO"/>
    <n v="-0.12167665685855307"/>
    <n v="-0.9974137138089062"/>
    <n v="-1.5337599150864762"/>
    <n v="-0.75618883156306216"/>
    <n v="0.94941849629434827"/>
    <n v="0.10906304609964768"/>
    <x v="0"/>
    <x v="0"/>
    <x v="1"/>
    <x v="0"/>
    <x v="0"/>
    <x v="0"/>
  </r>
  <r>
    <x v="4"/>
    <s v="ABCL"/>
    <n v="600"/>
    <n v="2.1"/>
    <n v="-0.64"/>
    <n v="3.57"/>
    <n v="-0.55000000000000004"/>
    <n v="-3.28125"/>
    <n v="0.58823529411764708"/>
    <n v="-14.75"/>
    <n v="-12.41"/>
    <n v="1.29"/>
    <n v="-3.8181818181818179"/>
    <s v="NO"/>
    <n v="-7.7546460386659175E-2"/>
    <n v="-0.71606006325643867"/>
    <n v="0.5845802367792805"/>
    <n v="-0.77768652718669784"/>
    <n v="-0.76290151130066386"/>
    <n v="0.28226401062285189"/>
    <x v="0"/>
    <x v="0"/>
    <x v="1"/>
    <x v="0"/>
    <x v="0"/>
    <x v="0"/>
  </r>
  <r>
    <x v="4"/>
    <s v="ADPT"/>
    <n v="1338"/>
    <n v="9.2899999999999991"/>
    <n v="-0.6"/>
    <n v="1.25"/>
    <n v="-0.96"/>
    <n v="-15.483333333333333"/>
    <n v="7.4319999999999995"/>
    <n v="-61.03"/>
    <n v="-15.05"/>
    <n v="2.68"/>
    <n v="-9.6770833333333321"/>
    <s v="NO"/>
    <n v="-0.82257783916085603"/>
    <n v="2.8959474323612597"/>
    <n v="-1.0812724654634305"/>
    <n v="-1.1501108320532896"/>
    <n v="1.3357437403913843"/>
    <n v="-1.6352302059483514"/>
    <x v="0"/>
    <x v="0"/>
    <x v="1"/>
    <x v="0"/>
    <x v="0"/>
    <x v="0"/>
  </r>
  <r>
    <x v="4"/>
    <s v="AZTA"/>
    <n v="1154"/>
    <n v="27.9"/>
    <n v="0.64"/>
    <n v="37.619999999999997"/>
    <n v="-3.3"/>
    <n v="43.59375"/>
    <n v="0.74162679425837319"/>
    <n v="-7.99"/>
    <n v="-1.65"/>
    <n v="1.19"/>
    <n v="-8.454545454545455"/>
    <s v="NO"/>
    <n v="2.7845341307725398"/>
    <n v="-0.63510297719587794"/>
    <n v="0.82790703598327187"/>
    <n v="0.74022465476956167"/>
    <n v="-0.91388318408426461"/>
    <n v="-1.235119484501217"/>
    <x v="0"/>
    <x v="0"/>
    <x v="1"/>
    <x v="0"/>
    <x v="0"/>
    <x v="0"/>
  </r>
  <r>
    <x v="4"/>
    <s v="BLFS"/>
    <n v="1015"/>
    <n v="23.09"/>
    <n v="0.06"/>
    <n v="7.44"/>
    <n v="-0.25"/>
    <n v="384.83333333333337"/>
    <n v="3.103494623655914"/>
    <n v="-3.32"/>
    <n v="-1.1000000000000001"/>
    <n v="1.1399999999999999"/>
    <n v="-92.36"/>
    <s v="NO"/>
    <n v="23.619844816502365"/>
    <n v="0.61144547531149462"/>
    <n v="0.99600409993040806"/>
    <n v="0.81781305161676832"/>
    <n v="-0.98937402047606493"/>
    <n v="-28.695595379789658"/>
    <x v="1"/>
    <x v="0"/>
    <x v="1"/>
    <x v="0"/>
    <x v="0"/>
    <x v="1"/>
  </r>
  <r>
    <x v="4"/>
    <s v="CTKB"/>
    <n v="476"/>
    <n v="2.98"/>
    <n v="0.17"/>
    <n v="3.06"/>
    <n v="-0.05"/>
    <n v="17.52941176470588"/>
    <n v="0.97385620915032678"/>
    <n v="-1.53"/>
    <n v="-2.91"/>
    <n v="1.26"/>
    <n v="-59.599999999999994"/>
    <s v="NO"/>
    <n v="1.19310508363347"/>
    <n v="-0.5125367547523052"/>
    <n v="1.0604353085953702"/>
    <n v="0.56247669108323384"/>
    <n v="-0.80819601313574407"/>
    <n v="-17.973942118948294"/>
    <x v="0"/>
    <x v="0"/>
    <x v="1"/>
    <x v="0"/>
    <x v="0"/>
    <x v="1"/>
  </r>
  <r>
    <x v="4"/>
    <s v="CYRX"/>
    <n v="282"/>
    <n v="6.98"/>
    <n v="-0.76"/>
    <n v="7.37"/>
    <n v="-2.4900000000000002"/>
    <n v="-9.1842105263157894"/>
    <n v="0.94708276797829039"/>
    <n v="-25.76"/>
    <n v="-4.9800000000000004"/>
    <n v="1.91"/>
    <n v="-2.8032128514056223"/>
    <s v="NO"/>
    <n v="-0.43796776711193519"/>
    <n v="-0.52666726249956231"/>
    <n v="0.18827431085680316"/>
    <n v="0.27046217931283817"/>
    <n v="0.17318485995765956"/>
    <n v="0.61444182906878553"/>
    <x v="0"/>
    <x v="0"/>
    <x v="1"/>
    <x v="0"/>
    <x v="0"/>
    <x v="0"/>
  </r>
  <r>
    <x v="4"/>
    <s v="EVO"/>
    <n v="1481"/>
    <n v="4.2"/>
    <n v="-0.67"/>
    <n v="5.56"/>
    <n v="-1.1499999999999999"/>
    <n v="-6.2686567164179108"/>
    <n v="0.75539568345323749"/>
    <n v="-18.920000000000002"/>
    <n v="-2.37"/>
    <n v="2.0099999999999998"/>
    <n v="-3.6521739130434785"/>
    <s v="NO"/>
    <n v="-0.25995070104710366"/>
    <n v="-0.62783602207460776"/>
    <n v="0.43448071715196612"/>
    <n v="0.6386543898059458"/>
    <n v="0.32416653274125995"/>
    <n v="0.33659487745593858"/>
    <x v="0"/>
    <x v="0"/>
    <x v="1"/>
    <x v="0"/>
    <x v="0"/>
    <x v="0"/>
  </r>
  <r>
    <x v="4"/>
    <s v="FTRE"/>
    <n v="510"/>
    <n v="5"/>
    <n v="2.65"/>
    <n v="15.19"/>
    <n v="-3.03"/>
    <n v="1.8867924528301887"/>
    <n v="0.32916392363396973"/>
    <n v="-17.649999999999999"/>
    <n v="-1.77"/>
    <n v="2.63"/>
    <n v="-1.6501650165016504"/>
    <s v="NO"/>
    <n v="0.2380024249153582"/>
    <n v="-0.85279295404134281"/>
    <n v="0.48019447972431373"/>
    <n v="0.72329627727562573"/>
    <n v="1.2602529039995838"/>
    <n v="0.99180993282349383"/>
    <x v="0"/>
    <x v="0"/>
    <x v="1"/>
    <x v="0"/>
    <x v="0"/>
    <x v="0"/>
  </r>
  <r>
    <x v="4"/>
    <s v="LAB"/>
    <n v="387"/>
    <n v="1.1399999999999999"/>
    <n v="-0.43"/>
    <n v="1.25"/>
    <n v="-0.52"/>
    <n v="-2.6511627906976742"/>
    <n v="0.91199999999999992"/>
    <n v="-43.75"/>
    <n v="-18.010000000000002"/>
    <n v="1.3"/>
    <n v="-2.1923076923076921"/>
    <s v="NO"/>
    <n v="-3.9074772440379706E-2"/>
    <n v="-0.54518327325540894"/>
    <n v="-0.45927733377038715"/>
    <n v="-1.5676774769037105"/>
    <n v="-0.74780334402230386"/>
    <n v="0.81437813221613387"/>
    <x v="0"/>
    <x v="0"/>
    <x v="1"/>
    <x v="0"/>
    <x v="0"/>
    <x v="0"/>
  </r>
  <r>
    <x v="4"/>
    <s v="LFCR"/>
    <n v="259"/>
    <n v="6.95"/>
    <n v="-0.33"/>
    <n v="0.06"/>
    <n v="-1.49"/>
    <n v="-21.060606060606059"/>
    <n v="115.83333333333334"/>
    <n v="-83.58"/>
    <n v="-3.1"/>
    <n v="106.64"/>
    <n v="-4.6644295302013425"/>
    <s v="NO"/>
    <n v="-1.1631133916798704"/>
    <n v="60.108088024864493"/>
    <n v="-1.892961714287396"/>
    <n v="0.53567342671783524"/>
    <n v="158.29629076622254"/>
    <n v="5.3050807982585888E-3"/>
    <x v="0"/>
    <x v="1"/>
    <x v="1"/>
    <x v="0"/>
    <x v="1"/>
    <x v="0"/>
  </r>
  <r>
    <x v="4"/>
    <s v="MLAB"/>
    <n v="654"/>
    <n v="126.94"/>
    <n v="7.95"/>
    <n v="28.57"/>
    <n v="-46.13"/>
    <n v="15.967295597484275"/>
    <n v="4.4431221561078056"/>
    <n v="-89.38"/>
    <n v="2.1800000000000002"/>
    <n v="2.82"/>
    <n v="-2.7517884240190762"/>
    <s v="NO"/>
    <n v="1.0977258332155295"/>
    <n v="1.318475143411141"/>
    <n v="-2.1017332283973293"/>
    <n v="1.2805220364510184"/>
    <n v="1.5471180822884247"/>
    <n v="0.63127195359796318"/>
    <x v="0"/>
    <x v="0"/>
    <x v="1"/>
    <x v="0"/>
    <x v="0"/>
    <x v="0"/>
  </r>
  <r>
    <x v="4"/>
    <s v="MRVI"/>
    <n v="305"/>
    <n v="2.06"/>
    <n v="-0.17"/>
    <n v="2.29"/>
    <n v="-1.05"/>
    <n v="-12.117647058823529"/>
    <n v="0.89956331877729256"/>
    <n v="-37.979999999999997"/>
    <n v="-3.64"/>
    <n v="3.1"/>
    <n v="-1.9619047619047618"/>
    <s v="NO"/>
    <n v="-0.61707671143380705"/>
    <n v="-0.55174711460992187"/>
    <n v="-0.25158567231964279"/>
    <n v="0.45949572799512334"/>
    <n v="1.9698667660825067"/>
    <n v="0.88978412519726879"/>
    <x v="0"/>
    <x v="0"/>
    <x v="1"/>
    <x v="0"/>
    <x v="0"/>
    <x v="0"/>
  </r>
  <r>
    <x v="4"/>
    <s v="MXCT"/>
    <n v="291"/>
    <n v="2.2000000000000002"/>
    <n v="-0.28000000000000003"/>
    <n v="1.95"/>
    <n v="-0.39"/>
    <n v="-7.8571428571428568"/>
    <n v="1.1282051282051284"/>
    <n v="-18.73"/>
    <n v="-12.6"/>
    <n v="1.1599999999999999"/>
    <n v="-5.6410256410256414"/>
    <s v="NO"/>
    <n v="-0.35694004190458095"/>
    <n v="-0.43107436138754762"/>
    <n v="0.44131978399349847"/>
    <n v="-0.80448979155209643"/>
    <n v="-0.95917768591934482"/>
    <n v="-0.3143141156652437"/>
    <x v="0"/>
    <x v="0"/>
    <x v="1"/>
    <x v="0"/>
    <x v="0"/>
    <x v="0"/>
  </r>
  <r>
    <x v="4"/>
    <s v="NAGE"/>
    <n v="657"/>
    <n v="9.73"/>
    <n v="0.16"/>
    <n v="0.59"/>
    <n v="0.11"/>
    <n v="60.8125"/>
    <n v="16.491525423728817"/>
    <n v="22.94"/>
    <n v="7.84"/>
    <n v="1.48"/>
    <n v="88.454545454545453"/>
    <s v="NO"/>
    <n v="3.8358717345916857"/>
    <n v="7.6773908547398015"/>
    <n v="1.9412351276074518"/>
    <n v="2.0789771749149986"/>
    <n v="-0.47603633301182285"/>
    <n v="30.481170825346965"/>
    <x v="1"/>
    <x v="1"/>
    <x v="1"/>
    <x v="0"/>
    <x v="0"/>
    <x v="1"/>
  </r>
  <r>
    <x v="4"/>
    <s v="PACB"/>
    <n v="339"/>
    <n v="1.1499999999999999"/>
    <n v="-0.77"/>
    <n v="1.72"/>
    <n v="-1.1299999999999999"/>
    <n v="-1.4935064935064934"/>
    <n v="0.66860465116279066"/>
    <n v="-51.3"/>
    <n v="-12.08"/>
    <n v="2.4900000000000002"/>
    <n v="-1.0176991150442478"/>
    <s v="NO"/>
    <n v="3.1609080774001187E-2"/>
    <n v="-0.67364266106031723"/>
    <n v="-0.73104025299969699"/>
    <n v="-0.73113348907837383"/>
    <n v="1.0488785621025434"/>
    <n v="1.1988026097078568"/>
    <x v="0"/>
    <x v="0"/>
    <x v="1"/>
    <x v="0"/>
    <x v="0"/>
    <x v="0"/>
  </r>
  <r>
    <x v="4"/>
    <s v="PSNL"/>
    <n v="427"/>
    <n v="5.14"/>
    <n v="-0.79"/>
    <n v="2.38"/>
    <n v="-1.37"/>
    <n v="-6.5063291139240498"/>
    <n v="2.1596638655462184"/>
    <n v="-48.91"/>
    <n v="-17.23"/>
    <n v="1.33"/>
    <n v="-3.7518248175182478"/>
    <s v="NO"/>
    <n v="-0.27446243557417771"/>
    <n v="0.1133097387107688"/>
    <n v="-0.64501199115094854"/>
    <n v="-1.4576430231931263"/>
    <n v="-0.70250884218722365"/>
    <n v="0.30398124971150325"/>
    <x v="0"/>
    <x v="0"/>
    <x v="1"/>
    <x v="0"/>
    <x v="0"/>
    <x v="0"/>
  </r>
  <r>
    <x v="4"/>
    <s v="TKNO"/>
    <n v="320"/>
    <n v="6.74"/>
    <n v="-0.28999999999999998"/>
    <n v="1.54"/>
    <n v="-0.56999999999999995"/>
    <n v="-23.241379310344829"/>
    <n v="4.3766233766233764"/>
    <n v="-31.02"/>
    <n v="-12.5"/>
    <n v="1.44"/>
    <n v="-11.824561403508774"/>
    <s v="NO"/>
    <n v="-1.2962664325715292"/>
    <n v="1.2833783655016471"/>
    <n v="-1.0598553877226885E-3"/>
    <n v="-0.79038281030714985"/>
    <n v="-0.53642900212526312"/>
    <n v="-2.3380542368910207"/>
    <x v="0"/>
    <x v="0"/>
    <x v="1"/>
    <x v="0"/>
    <x v="0"/>
    <x v="0"/>
  </r>
  <r>
    <x v="4"/>
    <s v="TXG"/>
    <n v="1023"/>
    <n v="9.65"/>
    <n v="-0.06"/>
    <n v="5.81"/>
    <n v="-1.52"/>
    <n v="-160.83333333333334"/>
    <n v="1.6609294320137695"/>
    <n v="-25.17"/>
    <n v="-12.77"/>
    <n v="1.29"/>
    <n v="-6.3486842105263159"/>
    <s v="NO"/>
    <n v="-9.6973173362273002"/>
    <n v="-0.14991271116298047"/>
    <n v="0.20951141315419294"/>
    <n v="-0.82847165966850567"/>
    <n v="-0.76290151130066386"/>
    <n v="-0.54591575819421922"/>
    <x v="1"/>
    <x v="0"/>
    <x v="1"/>
    <x v="0"/>
    <x v="0"/>
    <x v="0"/>
  </r>
  <r>
    <x v="5"/>
    <s v="ACB"/>
    <n v="252"/>
    <n v="5.16"/>
    <n v="-0.37"/>
    <n v="7.26"/>
    <n v="0.23"/>
    <n v="-13.945945945945946"/>
    <n v="0.71074380165289264"/>
    <n v="2.65"/>
    <n v="2.78"/>
    <n v="1.51"/>
    <n v="22.434782608695652"/>
    <s v="NO"/>
    <n v="-0.77747941914880092"/>
    <n v="-0.65387685529561912"/>
    <n v="0.56339050178257721"/>
    <n v="0.84313751448199303"/>
    <n v="0.26591312320110144"/>
    <n v="3.4522681651682894"/>
    <x v="0"/>
    <x v="0"/>
    <x v="1"/>
    <x v="0"/>
    <x v="0"/>
    <x v="1"/>
  </r>
  <r>
    <x v="5"/>
    <s v="ALMS"/>
    <n v="261"/>
    <n v="4.46"/>
    <n v="-9.06"/>
    <n v="4.78"/>
    <n v="-10.38"/>
    <n v="-0.49227373068432667"/>
    <n v="0.93305439330543927"/>
    <n v="-198.66"/>
    <n v="-87.31"/>
    <n v="1.31"/>
    <n v="-0.42967244701348745"/>
    <s v="NO"/>
    <n v="0.38636312186481181"/>
    <n v="-0.54909597948098665"/>
    <n v="-4.8246079048180412"/>
    <n v="-4.6960625142478687"/>
    <n v="-0.19927768334455942"/>
    <n v="0.62616576380214406"/>
    <x v="0"/>
    <x v="0"/>
    <x v="0"/>
    <x v="1"/>
    <x v="0"/>
    <x v="0"/>
  </r>
  <r>
    <x v="5"/>
    <s v="AMLX"/>
    <n v="434"/>
    <n v="4.49"/>
    <n v="-2.99"/>
    <n v="2.4"/>
    <n v="-4.43"/>
    <n v="-1.5016722408026755"/>
    <n v="1.8708333333333336"/>
    <n v="-100.88"/>
    <n v="-51.31"/>
    <n v="1.18"/>
    <n v="-1.0135440180586908"/>
    <s v="NO"/>
    <n v="0.29904265588981632"/>
    <n v="-0.10709590235369004"/>
    <n v="-2.2075571661691491"/>
    <n v="-2.482595969300871"/>
    <n v="-0.50165170759923938"/>
    <n v="0.55399781381165192"/>
    <x v="0"/>
    <x v="0"/>
    <x v="1"/>
    <x v="0"/>
    <x v="0"/>
    <x v="0"/>
  </r>
  <r>
    <x v="5"/>
    <s v="AMPH"/>
    <n v="1160"/>
    <n v="23.88"/>
    <n v="3.56"/>
    <n v="15.38"/>
    <n v="3.06"/>
    <n v="6.7078651685393256"/>
    <n v="1.5526657997399218"/>
    <n v="23.26"/>
    <n v="8.31"/>
    <n v="2.15"/>
    <n v="7.8039215686274508"/>
    <s v="NO"/>
    <n v="1.0092285981484896"/>
    <n v="-0.25705669629464445"/>
    <n v="1.1150106257706491"/>
    <n v="1.1831505698585736"/>
    <n v="1.7545237041472164"/>
    <n v="1.6438580622969921"/>
    <x v="0"/>
    <x v="0"/>
    <x v="1"/>
    <x v="0"/>
    <x v="0"/>
    <x v="0"/>
  </r>
  <r>
    <x v="5"/>
    <s v="ANIP"/>
    <n v="1528"/>
    <n v="62"/>
    <n v="2.35"/>
    <n v="20.54"/>
    <n v="-1.04"/>
    <n v="26.382978723404253"/>
    <n v="3.0185004868549172"/>
    <n v="-4.18"/>
    <n v="0.84"/>
    <n v="3.18"/>
    <n v="-59.615384615384613"/>
    <s v="NO"/>
    <n v="2.7112720096454215"/>
    <n v="0.43383005441594702"/>
    <n v="0.38058771445416723"/>
    <n v="0.72385626178207152"/>
    <n v="4.150256357857371"/>
    <n v="-6.6893325884681811"/>
    <x v="0"/>
    <x v="0"/>
    <x v="1"/>
    <x v="0"/>
    <x v="1"/>
    <x v="1"/>
  </r>
  <r>
    <x v="5"/>
    <s v="AQST"/>
    <n v="270"/>
    <n v="2.29"/>
    <n v="-0.41"/>
    <n v="-0.66"/>
    <n v="-0.51"/>
    <n v="-5.5853658536585371"/>
    <n v="-3.4696969696969697"/>
    <n v="52.97"/>
    <n v="-24.22"/>
    <n v="-1.69"/>
    <n v="-4.4901960784313726"/>
    <s v="NO"/>
    <n v="-5.4227163313579844E-2"/>
    <n v="-2.6242294240020274"/>
    <n v="1.9101893683075544"/>
    <n v="-0.81696239422825512"/>
    <n v="-7.1771397815294744"/>
    <n v="0.12427514110441648"/>
    <x v="0"/>
    <x v="0"/>
    <x v="1"/>
    <x v="0"/>
    <x v="1"/>
    <x v="0"/>
  </r>
  <r>
    <x v="5"/>
    <s v="ARVN"/>
    <n v="487"/>
    <n v="6.29"/>
    <n v="-3.51"/>
    <n v="9.0399999999999991"/>
    <n v="-0.65"/>
    <n v="-1.7920227920227922"/>
    <n v="0.69579646017699126"/>
    <n v="-7.34"/>
    <n v="-5.39"/>
    <n v="1.52"/>
    <n v="-9.6769230769230763"/>
    <s v="NO"/>
    <n v="0.27392517733750027"/>
    <n v="-0.6609219336218608"/>
    <n v="0.29601131504600092"/>
    <n v="0.34080357914263282"/>
    <n v="0.2891726635283845"/>
    <n v="-0.51681696408476618"/>
    <x v="0"/>
    <x v="0"/>
    <x v="1"/>
    <x v="0"/>
    <x v="0"/>
    <x v="0"/>
  </r>
  <r>
    <x v="5"/>
    <s v="ATAI"/>
    <n v="278"/>
    <n v="1.41"/>
    <n v="-0.52"/>
    <n v="0.69"/>
    <n v="-0.93"/>
    <n v="-2.7115384615384612"/>
    <n v="2.0434782608695654"/>
    <n v="-83.16"/>
    <n v="-27.54"/>
    <n v="1.37"/>
    <n v="-1.5161290322580643"/>
    <s v="NO"/>
    <n v="0.19438024446058919"/>
    <n v="-2.5723770788887389E-2"/>
    <n v="-1.7332869770828494"/>
    <n v="-1.0210931978178117"/>
    <n v="-5.9720441380861015E-2"/>
    <n v="0.49187708046993023"/>
    <x v="0"/>
    <x v="0"/>
    <x v="1"/>
    <x v="0"/>
    <x v="0"/>
    <x v="0"/>
  </r>
  <r>
    <x v="5"/>
    <s v="AVDL"/>
    <n v="915"/>
    <n v="9.0299999999999994"/>
    <n v="-0.49"/>
    <n v="0.77"/>
    <n v="-0.51"/>
    <n v="-18.428571428571427"/>
    <n v="11.727272727272727"/>
    <n v="-60.44"/>
    <n v="-16.11"/>
    <n v="2.2200000000000002"/>
    <n v="-17.705882352941174"/>
    <s v="NO"/>
    <n v="-1.1652598071824158"/>
    <n v="4.5385053010516136"/>
    <n v="-1.1251933712114768"/>
    <n v="-0.31831756979713982"/>
    <n v="1.9173404864381984"/>
    <n v="-1.5092159097469322"/>
    <x v="0"/>
    <x v="1"/>
    <x v="1"/>
    <x v="0"/>
    <x v="0"/>
    <x v="0"/>
  </r>
  <r>
    <x v="5"/>
    <s v="BHC"/>
    <n v="1737"/>
    <n v="4.67"/>
    <n v="3.3"/>
    <n v="-3.2"/>
    <n v="-0.11"/>
    <n v="1.4151515151515153"/>
    <n v="-1.4593749999999999"/>
    <n v="39.130000000000003"/>
    <n v="4.3099999999999996"/>
    <n v="-22.33"/>
    <n v="-42.454545454545453"/>
    <s v="NO"/>
    <n v="0.55136956838644147"/>
    <n v="-1.6767113813913359"/>
    <n v="1.5397661506464715"/>
    <n v="0.9372098426422405"/>
    <n v="-55.184831017041688"/>
    <n v="-4.5682110203512121"/>
    <x v="0"/>
    <x v="0"/>
    <x v="1"/>
    <x v="0"/>
    <x v="1"/>
    <x v="1"/>
  </r>
  <r>
    <x v="5"/>
    <s v="BLTE"/>
    <n v="1980"/>
    <n v="60.89"/>
    <n v="-0.96"/>
    <n v="4.58"/>
    <n v="-1.18"/>
    <n v="-63.427083333333336"/>
    <n v="13.29475982532751"/>
    <n v="-30.6"/>
    <n v="-20.260000000000002"/>
    <n v="1.04"/>
    <n v="-51.601694915254242"/>
    <s v="NO"/>
    <n v="-5.0579652038294673"/>
    <n v="5.2773035280790284"/>
    <n v="-0.32653521983815981"/>
    <n v="-0.57348107428408546"/>
    <n v="-0.82728527218120185"/>
    <n v="-5.6988209996216055"/>
    <x v="1"/>
    <x v="1"/>
    <x v="1"/>
    <x v="0"/>
    <x v="0"/>
    <x v="1"/>
  </r>
  <r>
    <x v="5"/>
    <s v="COLL"/>
    <n v="869"/>
    <n v="29.8"/>
    <n v="6.3"/>
    <n v="7.28"/>
    <n v="1.86"/>
    <n v="4.7301587301587302"/>
    <n v="4.0934065934065931"/>
    <n v="32.619999999999997"/>
    <n v="8.89"/>
    <n v="7.27"/>
    <n v="16.021505376344084"/>
    <s v="NO"/>
    <n v="0.83814230662930134"/>
    <n v="0.94046180068475382"/>
    <n v="1.365528061992306"/>
    <n v="1.2188119753049418"/>
    <n v="13.663408351716138"/>
    <n v="2.6595714600504485"/>
    <x v="0"/>
    <x v="0"/>
    <x v="1"/>
    <x v="0"/>
    <x v="1"/>
    <x v="0"/>
  </r>
  <r>
    <x v="5"/>
    <s v="CRMD"/>
    <n v="792"/>
    <n v="11.63"/>
    <n v="-0.86"/>
    <n v="1.31"/>
    <n v="-0.3"/>
    <n v="-13.52325581395349"/>
    <n v="8.8778625954198471"/>
    <n v="-23.16"/>
    <n v="-13.91"/>
    <n v="1.4"/>
    <n v="-38.766666666666673"/>
    <s v="NO"/>
    <n v="-0.7409135842296608"/>
    <n v="3.1955027614458391"/>
    <n v="-0.12740597566197079"/>
    <n v="-0.18305016982815667"/>
    <n v="1.0058179600987678E-2"/>
    <n v="-4.1123802090339279"/>
    <x v="0"/>
    <x v="0"/>
    <x v="1"/>
    <x v="0"/>
    <x v="0"/>
    <x v="1"/>
  </r>
  <r>
    <x v="5"/>
    <s v="CRON"/>
    <n v="708"/>
    <n v="2.04"/>
    <n v="0.01"/>
    <n v="2.78"/>
    <n v="0.11"/>
    <n v="204"/>
    <n v="0.73381294964028787"/>
    <n v="3.63"/>
    <n v="-2.94"/>
    <n v="1.1000000000000001"/>
    <n v="18.545454545454547"/>
    <s v="NO"/>
    <n v="18.076463168035946"/>
    <n v="-0.64300375423260481"/>
    <n v="0.58961989147245153"/>
    <n v="0.49144227456263684"/>
    <n v="-0.68772803021750339"/>
    <n v="2.9715377321688874"/>
    <x v="1"/>
    <x v="0"/>
    <x v="1"/>
    <x v="0"/>
    <x v="0"/>
    <x v="1"/>
  </r>
  <r>
    <x v="5"/>
    <s v="ELVN"/>
    <n v="896"/>
    <n v="20.03"/>
    <n v="-1.56"/>
    <n v="6.33"/>
    <n v="-1.89"/>
    <n v="-12.839743589743589"/>
    <n v="3.1642969984202214"/>
    <n v="-32.04"/>
    <n v="-21.87"/>
    <n v="1.05"/>
    <n v="-10.5978835978836"/>
    <s v="NO"/>
    <n v="-0.68178470171266936"/>
    <n v="0.50254781571994722"/>
    <n v="-0.36507636387226083"/>
    <n v="-0.67247221698865955"/>
    <n v="-0.80402573185391868"/>
    <n v="-0.63064993029841154"/>
    <x v="0"/>
    <x v="0"/>
    <x v="1"/>
    <x v="0"/>
    <x v="0"/>
    <x v="0"/>
  </r>
  <r>
    <x v="5"/>
    <s v="EOLS"/>
    <n v="748"/>
    <n v="10.130000000000001"/>
    <n v="-0.37"/>
    <n v="0.09"/>
    <n v="-0.81"/>
    <n v="-27.378378378378383"/>
    <n v="112.55555555555557"/>
    <n v="664.86"/>
    <n v="-8.08"/>
    <n v="42.12"/>
    <n v="-12.506172839506172"/>
    <s v="NO"/>
    <n v="-1.9394845612409168"/>
    <n v="52.061548189376943"/>
    <n v="18.287231467631248"/>
    <n v="0.17540844008964879"/>
    <n v="94.72290639229756"/>
    <n v="-0.86651913405203973"/>
    <x v="0"/>
    <x v="1"/>
    <x v="0"/>
    <x v="0"/>
    <x v="1"/>
    <x v="0"/>
  </r>
  <r>
    <x v="5"/>
    <s v="ETON"/>
    <n v="462"/>
    <n v="17.07"/>
    <n v="-0.35"/>
    <n v="0.91"/>
    <n v="-0.15"/>
    <n v="-48.771428571428572"/>
    <n v="18.758241758241759"/>
    <n v="-19.16"/>
    <n v="-2.5299999999999998"/>
    <n v="3.12"/>
    <n v="-113.80000000000001"/>
    <s v="NO"/>
    <n v="-3.7901422477324358"/>
    <n v="7.8523874126242044"/>
    <n v="-2.0347242233912214E-2"/>
    <n v="0.51665119910231094"/>
    <n v="4.0106991158936722"/>
    <n v="-13.386683182762205"/>
    <x v="1"/>
    <x v="1"/>
    <x v="1"/>
    <x v="0"/>
    <x v="1"/>
    <x v="1"/>
  </r>
  <r>
    <x v="5"/>
    <s v="EWTX"/>
    <n v="1527"/>
    <n v="14.89"/>
    <n v="-1.19"/>
    <n v="4.84"/>
    <n v="-1.45"/>
    <n v="-12.512605042016808"/>
    <n v="3.0764462809917359"/>
    <n v="-34.4"/>
    <n v="-24.01"/>
    <n v="1.06"/>
    <n v="-10.26896551724138"/>
    <s v="NO"/>
    <n v="-0.65348478830925394"/>
    <n v="0.46114144346986891"/>
    <n v="-0.42824101659481539"/>
    <n v="-0.80405050604939776"/>
    <n v="-0.78076619152663562"/>
    <n v="-0.58999485344261682"/>
    <x v="0"/>
    <x v="0"/>
    <x v="1"/>
    <x v="0"/>
    <x v="0"/>
    <x v="0"/>
  </r>
  <r>
    <x v="5"/>
    <s v="FULC"/>
    <n v="274"/>
    <n v="5.79"/>
    <n v="0.12"/>
    <n v="4.2300000000000004"/>
    <n v="-0.01"/>
    <n v="48.25"/>
    <n v="1.3687943262411346"/>
    <n v="-0.23"/>
    <n v="-2.74"/>
    <n v="1.06"/>
    <n v="-579"/>
    <s v="NO"/>
    <n v="4.6029317141298325"/>
    <n v="-0.34372019661334019"/>
    <n v="0.48630821371437505"/>
    <n v="0.50373931092345348"/>
    <n v="-0.78076619152663562"/>
    <n v="-70.886537603620411"/>
    <x v="1"/>
    <x v="0"/>
    <x v="1"/>
    <x v="0"/>
    <x v="0"/>
    <x v="1"/>
  </r>
  <r>
    <x v="5"/>
    <s v="GHRS"/>
    <n v="637"/>
    <n v="10.06"/>
    <n v="-0.81"/>
    <n v="3.44"/>
    <n v="-0.75"/>
    <n v="-12.419753086419753"/>
    <n v="2.9244186046511631"/>
    <n v="-19.579999999999998"/>
    <n v="-15.15"/>
    <n v="1.05"/>
    <n v="-13.413333333333334"/>
    <s v="NO"/>
    <n v="-0.64545240471828369"/>
    <n v="0.38948676900467127"/>
    <n v="-3.1588409243858313E-2"/>
    <n v="-0.25929179526521995"/>
    <n v="-0.80402573185391868"/>
    <n v="-0.97864638325972597"/>
    <x v="0"/>
    <x v="0"/>
    <x v="1"/>
    <x v="0"/>
    <x v="0"/>
    <x v="0"/>
  </r>
  <r>
    <x v="5"/>
    <s v="GPCR"/>
    <n v="1530"/>
    <n v="23.89"/>
    <n v="-2.2400000000000002"/>
    <n v="15.1"/>
    <n v="-2.33"/>
    <n v="-10.665178571428571"/>
    <n v="1.5821192052980133"/>
    <n v="-18.600000000000001"/>
    <n v="-14.28"/>
    <n v="1.04"/>
    <n v="-10.253218884120171"/>
    <s v="NO"/>
    <n v="-0.49366868134136066"/>
    <n v="-0.2431745253771031"/>
    <n v="-5.3590195539840449E-3"/>
    <n v="-0.20579968709566743"/>
    <n v="-0.82728527218120185"/>
    <n v="-0.58804853118963274"/>
    <x v="0"/>
    <x v="0"/>
    <x v="1"/>
    <x v="0"/>
    <x v="0"/>
    <x v="0"/>
  </r>
  <r>
    <x v="5"/>
    <s v="HRMY"/>
    <n v="1919"/>
    <n v="34.369999999999997"/>
    <n v="3.38"/>
    <n v="11.53"/>
    <n v="2.5099999999999998"/>
    <n v="10.168639053254438"/>
    <n v="2.9809193408499568"/>
    <n v="25.84"/>
    <n v="13.17"/>
    <n v="1.52"/>
    <n v="13.693227091633466"/>
    <s v="NO"/>
    <n v="1.3086112356481103"/>
    <n v="0.41611706394056847"/>
    <n v="1.1840635088317468"/>
    <n v="1.4819685534264182"/>
    <n v="0.2891726635283845"/>
    <n v="2.3717905864001776"/>
    <x v="0"/>
    <x v="0"/>
    <x v="1"/>
    <x v="0"/>
    <x v="0"/>
    <x v="0"/>
  </r>
  <r>
    <x v="5"/>
    <s v="HROW"/>
    <n v="902"/>
    <n v="26.27"/>
    <n v="-1.71"/>
    <n v="1.96"/>
    <n v="-0.49"/>
    <n v="-15.362573099415204"/>
    <n v="13.403061224489797"/>
    <n v="-25.02"/>
    <n v="1.62"/>
    <n v="5.58"/>
    <n v="-53.612244897959187"/>
    <s v="NO"/>
    <n v="-0.90002818647288152"/>
    <n v="5.3283488488251951"/>
    <n v="-0.17718828670601802"/>
    <n v="0.77181470358925641"/>
    <n v="9.7325460364053029"/>
    <n v="-5.9473298803425712"/>
    <x v="0"/>
    <x v="1"/>
    <x v="1"/>
    <x v="0"/>
    <x v="1"/>
    <x v="1"/>
  </r>
  <r>
    <x v="5"/>
    <s v="INDV"/>
    <n v="1432"/>
    <n v="11.19"/>
    <n v="0.79"/>
    <n v="-2.2799999999999998"/>
    <n v="-0.48"/>
    <n v="14.164556962025316"/>
    <n v="-4.9078947368421053"/>
    <n v="45.09"/>
    <n v="12.6"/>
    <n v="-4.82"/>
    <n v="-23.3125"/>
    <s v="NO"/>
    <n v="1.6542878047078289"/>
    <n v="-3.3020901616120519"/>
    <n v="1.6992836634542789"/>
    <n v="1.4469219997980907"/>
    <n v="-14.457375903969069"/>
    <n v="-2.20220752303003"/>
    <x v="0"/>
    <x v="1"/>
    <x v="1"/>
    <x v="0"/>
    <x v="1"/>
    <x v="0"/>
  </r>
  <r>
    <x v="5"/>
    <s v="INVA"/>
    <n v="1176"/>
    <n v="18.260000000000002"/>
    <n v="2.94"/>
    <n v="11.03"/>
    <n v="0.36"/>
    <n v="6.2108843537414975"/>
    <n v="1.6554850407978243"/>
    <n v="3.42"/>
    <n v="8.8800000000000008"/>
    <n v="1.88"/>
    <n v="50.722222222222229"/>
    <s v="NO"/>
    <n v="0.96623606755352076"/>
    <n v="-0.20859526200778447"/>
    <n v="0.58399930796747845"/>
    <n v="1.2181971234869011"/>
    <n v="1.1265161153105741"/>
    <n v="6.9486646821859068"/>
    <x v="0"/>
    <x v="0"/>
    <x v="1"/>
    <x v="0"/>
    <x v="0"/>
    <x v="1"/>
  </r>
  <r>
    <x v="5"/>
    <s v="LENZ"/>
    <n v="698"/>
    <n v="28.96"/>
    <n v="-2.81"/>
    <n v="7.42"/>
    <n v="-2.34"/>
    <n v="-10.306049822064058"/>
    <n v="3.9029649595687332"/>
    <n v="-38.94"/>
    <n v="-25.64"/>
    <n v="1.06"/>
    <n v="-12.376068376068377"/>
    <s v="NO"/>
    <n v="-0.46260137796694817"/>
    <n v="0.85070160960808217"/>
    <n v="-0.54975267903566183"/>
    <n v="-0.90427135239005341"/>
    <n v="-0.78076619152663562"/>
    <n v="-0.8504379051028198"/>
    <x v="0"/>
    <x v="0"/>
    <x v="1"/>
    <x v="0"/>
    <x v="0"/>
    <x v="0"/>
  </r>
  <r>
    <x v="5"/>
    <s v="LQDA"/>
    <n v="1325"/>
    <n v="15.99"/>
    <n v="-1.29"/>
    <n v="0.91"/>
    <n v="-1.66"/>
    <n v="-12.395348837209303"/>
    <n v="17.571428571428569"/>
    <n v="-209.35"/>
    <n v="-43.49"/>
    <n v="2.98"/>
    <n v="-9.6325301204819276"/>
    <s v="NO"/>
    <n v="-0.64334125595843794"/>
    <n v="7.2930108925122061"/>
    <n v="-5.1107223699045274"/>
    <n v="-2.0017818475929401"/>
    <n v="3.6850655513117094"/>
    <n v="-0.51132988641349031"/>
    <x v="0"/>
    <x v="1"/>
    <x v="0"/>
    <x v="0"/>
    <x v="0"/>
    <x v="0"/>
  </r>
  <r>
    <x v="5"/>
    <s v="MAZE"/>
    <n v="416"/>
    <n v="9.86"/>
    <m/>
    <m/>
    <m/>
    <s v=""/>
    <s v=""/>
    <n v="50.48"/>
    <n v="23.07"/>
    <n v="-0.77"/>
    <s v=""/>
    <s v="NO"/>
    <e v="#VALUE!"/>
    <e v="#VALUE!"/>
    <n v="1.8435453067485876"/>
    <n v="2.0906718532868425"/>
    <n v="-5.0372620714194341"/>
    <e v="#VALUE!"/>
    <x v="1"/>
    <x v="1"/>
    <x v="1"/>
    <x v="0"/>
    <x v="1"/>
    <x v="1"/>
  </r>
  <r>
    <x v="5"/>
    <s v="MBX"/>
    <n v="362"/>
    <n v="10.27"/>
    <n v="-5.22"/>
    <n v="7.7"/>
    <n v="-5.82"/>
    <n v="-1.9674329501915708"/>
    <n v="1.3337662337662337"/>
    <n v="-36.71"/>
    <n v="-24.17"/>
    <n v="1.04"/>
    <n v="-1.7646048109965635"/>
    <s v="NO"/>
    <n v="0.25875089622403841"/>
    <n v="-0.36022986527263828"/>
    <n v="-0.49006743514951928"/>
    <n v="-0.81388813513805114"/>
    <n v="-0.82728527218120185"/>
    <n v="0.4611648682932899"/>
    <x v="0"/>
    <x v="0"/>
    <x v="1"/>
    <x v="0"/>
    <x v="0"/>
    <x v="0"/>
  </r>
  <r>
    <x v="5"/>
    <s v="MNMD"/>
    <n v="498"/>
    <n v="6.37"/>
    <n v="-1.1200000000000001"/>
    <n v="3.21"/>
    <n v="-1.54"/>
    <n v="-5.6874999999999991"/>
    <n v="1.9844236760124612"/>
    <n v="-68.010000000000005"/>
    <n v="-30.44"/>
    <n v="1.25"/>
    <n v="-4.1363636363636367"/>
    <s v="NO"/>
    <n v="-6.3062525324812838E-2"/>
    <n v="-5.3557762305890468E-2"/>
    <n v="-1.3278020242240778"/>
    <n v="-1.1994002250496529"/>
    <n v="-0.33883492530825787"/>
    <n v="0.16800969378771732"/>
    <x v="0"/>
    <x v="0"/>
    <x v="1"/>
    <x v="0"/>
    <x v="0"/>
    <x v="0"/>
  </r>
  <r>
    <x v="5"/>
    <s v="NUVB"/>
    <n v="693"/>
    <n v="2.19"/>
    <n v="-0.49"/>
    <n v="1.37"/>
    <n v="-2.11"/>
    <n v="-4.4693877551020407"/>
    <n v="1.5985401459854014"/>
    <n v="-106.27"/>
    <n v="-18.02"/>
    <n v="1.17"/>
    <n v="-1.0379146919431279"/>
    <s v="NO"/>
    <n v="4.2313228421709356E-2"/>
    <n v="-0.23543490067395889"/>
    <n v="-2.3518188094634578"/>
    <n v="-0.43575426704293885"/>
    <n v="-0.52491124792652244"/>
    <n v="0.550985539090041"/>
    <x v="0"/>
    <x v="0"/>
    <x v="1"/>
    <x v="0"/>
    <x v="0"/>
    <x v="0"/>
  </r>
  <r>
    <x v="5"/>
    <s v="OCUL"/>
    <n v="1123"/>
    <n v="7"/>
    <n v="-0.89"/>
    <n v="1.67"/>
    <n v="-1.1499999999999999"/>
    <n v="-7.8651685393258424"/>
    <n v="4.1916167664670656"/>
    <n v="-57.19"/>
    <n v="-27.21"/>
    <n v="1.53"/>
    <n v="-6.0869565217391308"/>
    <s v="NO"/>
    <n v="-0.25144702330740376"/>
    <n v="0.98675085902735504"/>
    <n v="-1.0382081503011791"/>
    <n v="-1.0008030878224643"/>
    <n v="0.31243220385566756"/>
    <n v="-7.3088343493995178E-2"/>
    <x v="0"/>
    <x v="0"/>
    <x v="1"/>
    <x v="0"/>
    <x v="0"/>
    <x v="0"/>
  </r>
  <r>
    <x v="5"/>
    <s v="OMER"/>
    <n v="370"/>
    <n v="4.43"/>
    <n v="-2.56"/>
    <n v="-3.15"/>
    <n v="-3.14"/>
    <n v="-1.7304687499999998"/>
    <n v="-1.4063492063492062"/>
    <n v="175.95"/>
    <n v="-32.28"/>
    <n v="-1.52"/>
    <n v="-1.4108280254777068"/>
    <s v="NO"/>
    <n v="0.27925005901524763"/>
    <n v="-1.651718919007088"/>
    <n v="5.2017101275532154"/>
    <n v="-1.3125329595691664"/>
    <n v="-6.7817275959656627"/>
    <n v="0.50489254169142717"/>
    <x v="0"/>
    <x v="0"/>
    <x v="0"/>
    <x v="0"/>
    <x v="1"/>
    <x v="0"/>
  </r>
  <r>
    <x v="5"/>
    <s v="PAHC"/>
    <n v="785"/>
    <n v="24.6"/>
    <n v="0.38"/>
    <n v="6.09"/>
    <n v="0.48"/>
    <n v="64.736842105263165"/>
    <n v="4.0394088669950738"/>
    <n v="7.46"/>
    <n v="5.6"/>
    <n v="5.21"/>
    <n v="51.250000000000007"/>
    <s v="NO"/>
    <n v="6.0291659721127981"/>
    <n v="0.91501124062218697"/>
    <n v="0.69212862872981773"/>
    <n v="1.0165257271695078"/>
    <n v="8.8719430442958291"/>
    <n v="7.0138993025401337"/>
    <x v="1"/>
    <x v="0"/>
    <x v="1"/>
    <x v="0"/>
    <x v="1"/>
    <x v="1"/>
  </r>
  <r>
    <x v="5"/>
    <s v="PCRX"/>
    <n v="1166"/>
    <n v="23.4"/>
    <n v="3.87"/>
    <n v="16.829999999999998"/>
    <n v="-2.15"/>
    <n v="6.0465116279069759"/>
    <n v="1.3903743315508021"/>
    <n v="-12.08"/>
    <n v="3.9"/>
    <n v="2"/>
    <n v="-10.883720930232558"/>
    <s v="NO"/>
    <n v="0.9520166062906269"/>
    <n v="-0.33354896797496109"/>
    <n v="0.1691467159337515"/>
    <n v="0.91200091810256634"/>
    <n v="1.4056305992379707"/>
    <n v="-0.66598012160991538"/>
    <x v="0"/>
    <x v="0"/>
    <x v="1"/>
    <x v="0"/>
    <x v="0"/>
    <x v="0"/>
  </r>
  <r>
    <x v="5"/>
    <s v="PHVS"/>
    <n v="932"/>
    <n v="16.11"/>
    <n v="-2.31"/>
    <n v="5.0999999999999996"/>
    <n v="-2.57"/>
    <n v="-6.9740259740259738"/>
    <n v="3.158823529411765"/>
    <n v="-41.18"/>
    <n v="-26.39"/>
    <n v="1.0900000000000001"/>
    <n v="-6.2684824902723735"/>
    <s v="NO"/>
    <n v="-0.17435657461730833"/>
    <n v="0.49996802466191859"/>
    <n v="-0.60970556975537471"/>
    <n v="-0.95038523874311587"/>
    <n v="-0.71098757054478645"/>
    <n v="-9.5525395867741392E-2"/>
    <x v="0"/>
    <x v="0"/>
    <x v="1"/>
    <x v="0"/>
    <x v="0"/>
    <x v="0"/>
  </r>
  <r>
    <x v="5"/>
    <s v="RAPP"/>
    <n v="373"/>
    <n v="9.99"/>
    <n v="-3.24"/>
    <n v="8.35"/>
    <n v="-3.78"/>
    <n v="-3.083333333333333"/>
    <n v="1.1964071856287426"/>
    <n v="-35.090000000000003"/>
    <n v="-22.07"/>
    <n v="1.03"/>
    <n v="-2.6428571428571432"/>
    <s v="NO"/>
    <n v="0.16221722744916575"/>
    <n v="-0.42497082636640859"/>
    <n v="-0.44670864811115563"/>
    <n v="-0.68476925334947614"/>
    <n v="-0.8505448125084849"/>
    <n v="0.35261073839913132"/>
    <x v="0"/>
    <x v="0"/>
    <x v="1"/>
    <x v="0"/>
    <x v="0"/>
    <x v="0"/>
  </r>
  <r>
    <x v="5"/>
    <s v="SEPN"/>
    <n v="314"/>
    <n v="6.73"/>
    <n v="-7.03"/>
    <n v="9.4600000000000009"/>
    <n v="-7.26"/>
    <n v="-0.95732574679943105"/>
    <n v="0.71141649048625788"/>
    <n v="-27.05"/>
    <n v="-17.2"/>
    <n v="1.0900000000000001"/>
    <n v="-0.92699724517906346"/>
    <s v="NO"/>
    <n v="0.34613266942931059"/>
    <n v="-0.65355979921391472"/>
    <n v="-0.2315205939207578"/>
    <n v="-0.38533641796359058"/>
    <n v="-0.71098757054478645"/>
    <n v="0.56469520598958323"/>
    <x v="0"/>
    <x v="0"/>
    <x v="1"/>
    <x v="0"/>
    <x v="0"/>
    <x v="0"/>
  </r>
  <r>
    <x v="5"/>
    <s v="SIGA"/>
    <n v="375"/>
    <n v="5.94"/>
    <n v="0.68"/>
    <n v="3.02"/>
    <n v="0.82"/>
    <n v="8.735294117647058"/>
    <n v="1.9668874172185431"/>
    <n v="28.7"/>
    <n v="17.54"/>
    <n v="1.1299999999999999"/>
    <n v="7.2439024390243913"/>
    <s v="NO"/>
    <n v="1.1846162560384599"/>
    <n v="-6.1823066002309017E-2"/>
    <n v="1.2606105032328088"/>
    <n v="1.7506587979102619"/>
    <n v="-0.61794940923565467"/>
    <n v="1.5746383322344992"/>
    <x v="0"/>
    <x v="0"/>
    <x v="1"/>
    <x v="0"/>
    <x v="0"/>
    <x v="0"/>
  </r>
  <r>
    <x v="5"/>
    <s v="SNDL"/>
    <n v="334"/>
    <n v="1.32"/>
    <n v="0.13"/>
    <n v="3.12"/>
    <n v="-0.28000000000000003"/>
    <n v="10.153846153846153"/>
    <n v="0.42307692307692307"/>
    <n v="-9.09"/>
    <n v="-1.1599999999999999"/>
    <n v="1.19"/>
    <n v="-4.7142857142857144"/>
    <s v="NO"/>
    <n v="1.307331540011051"/>
    <n v="-0.78946188188383093"/>
    <n v="0.24917311917122528"/>
    <n v="0.60088589817390503"/>
    <n v="-0.47839216727195627"/>
    <n v="9.6577115655474555E-2"/>
    <x v="0"/>
    <x v="0"/>
    <x v="1"/>
    <x v="0"/>
    <x v="0"/>
    <x v="0"/>
  </r>
  <r>
    <x v="5"/>
    <s v="SUPN"/>
    <n v="1732"/>
    <n v="32.274999999999999"/>
    <n v="3.11"/>
    <n v="18.579999999999998"/>
    <n v="1.32"/>
    <n v="10.377813504823152"/>
    <n v="1.7370828848223898"/>
    <n v="7.55"/>
    <n v="2.9"/>
    <n v="1.32"/>
    <n v="24.450757575757574"/>
    <s v="NO"/>
    <n v="1.3267063788427469"/>
    <n v="-0.17013603477113287"/>
    <n v="0.69453745023194902"/>
    <n v="0.85051573629848309"/>
    <n v="-0.17601814301727636"/>
    <n v="3.7014475871849597"/>
    <x v="0"/>
    <x v="0"/>
    <x v="1"/>
    <x v="0"/>
    <x v="0"/>
    <x v="1"/>
  </r>
  <r>
    <x v="5"/>
    <s v="TARS"/>
    <n v="1989"/>
    <n v="41.46"/>
    <n v="-1.89"/>
    <n v="8.15"/>
    <n v="-2.72"/>
    <n v="-21.936507936507937"/>
    <n v="5.0871165644171779"/>
    <n v="-33.979999999999997"/>
    <n v="-16.05"/>
    <n v="1.46"/>
    <n v="-15.242647058823529"/>
    <s v="NO"/>
    <n v="-1.4687223617762402"/>
    <n v="1.408823655575393"/>
    <n v="-0.41699984958486919"/>
    <n v="-0.3146284588888949"/>
    <n v="0.1496154215646861"/>
    <n v="-1.2047540206323912"/>
    <x v="0"/>
    <x v="0"/>
    <x v="1"/>
    <x v="0"/>
    <x v="0"/>
    <x v="0"/>
  </r>
  <r>
    <x v="5"/>
    <s v="TBPH"/>
    <n v="500"/>
    <n v="8.91"/>
    <n v="-0.24"/>
    <n v="3.55"/>
    <n v="-1.1499999999999999"/>
    <n v="-37.125"/>
    <n v="2.5098591549295777"/>
    <n v="-29.04"/>
    <n v="-7.21"/>
    <n v="2.02"/>
    <n v="-7.7478260869565228"/>
    <s v="NO"/>
    <n v="-2.7826397008122834"/>
    <n v="0.19409390941951146"/>
    <n v="-0.28478231380121688"/>
    <n v="0.22890054825920123"/>
    <n v="1.4521496798925371"/>
    <n v="-0.27837587189475632"/>
    <x v="0"/>
    <x v="0"/>
    <x v="1"/>
    <x v="0"/>
    <x v="0"/>
    <x v="0"/>
  </r>
  <r>
    <x v="5"/>
    <s v="TERN"/>
    <n v="264"/>
    <n v="2.9"/>
    <n v="-0.88"/>
    <n v="3.97"/>
    <n v="-1.1200000000000001"/>
    <n v="-3.2954545454545454"/>
    <n v="0.7304785894206548"/>
    <n v="-29.56"/>
    <n v="-20.13"/>
    <n v="1.05"/>
    <n v="-2.589285714285714"/>
    <s v="NO"/>
    <n v="0.14386716758684892"/>
    <n v="-0.64457532660573169"/>
    <n v="-0.29869994914686449"/>
    <n v="-0.56548800064955451"/>
    <n v="-0.80402573185391868"/>
    <n v="0.35923229760801906"/>
    <x v="0"/>
    <x v="0"/>
    <x v="1"/>
    <x v="0"/>
    <x v="0"/>
    <x v="0"/>
  </r>
  <r>
    <x v="5"/>
    <s v="TLRY"/>
    <n v="439"/>
    <n v="0.45040000000000002"/>
    <n v="-0.1"/>
    <n v="2.8"/>
    <n v="-1.1200000000000001"/>
    <n v="-4.5039999999999996"/>
    <n v="0.16085714285714287"/>
    <n v="-30.73"/>
    <n v="-1.63"/>
    <n v="1.25"/>
    <n v="-0.40214285714285714"/>
    <s v="NO"/>
    <n v="3.9319012239860555E-2"/>
    <n v="-0.91305301635524283"/>
    <n v="-0.33001462867457171"/>
    <n v="0.57198786272598579"/>
    <n v="-0.33883492530825787"/>
    <n v="0.62956848824287326"/>
    <x v="0"/>
    <x v="0"/>
    <x v="1"/>
    <x v="0"/>
    <x v="0"/>
    <x v="0"/>
  </r>
  <r>
    <x v="5"/>
    <s v="TRVI"/>
    <n v="644"/>
    <n v="6.4550000000000001"/>
    <n v="-0.38"/>
    <n v="1.06"/>
    <n v="-0.47"/>
    <n v="-16.986842105263158"/>
    <n v="6.0896226415094334"/>
    <n v="-52.59"/>
    <n v="-32.15"/>
    <n v="1.1100000000000001"/>
    <n v="-13.73404255319149"/>
    <s v="NO"/>
    <n v="-1.040539515782013"/>
    <n v="1.8813313484674727"/>
    <n v="-0.91509060685891186"/>
    <n v="-1.3045398859346355"/>
    <n v="-0.66446848989022034"/>
    <n v="-1.0182868249047623"/>
    <x v="0"/>
    <x v="0"/>
    <x v="1"/>
    <x v="0"/>
    <x v="0"/>
    <x v="0"/>
  </r>
  <r>
    <x v="5"/>
    <s v="WVE"/>
    <n v="1000"/>
    <n v="6.39"/>
    <n v="-1.1000000000000001"/>
    <n v="1.37"/>
    <n v="-0.7"/>
    <n v="-5.8090909090909086"/>
    <n v="4.6642335766423351"/>
    <n v="-73.239999999999995"/>
    <n v="-22"/>
    <n v="1.68"/>
    <n v="-9.1285714285714281"/>
    <s v="NO"/>
    <n v="-7.3581041781605183E-2"/>
    <n v="1.2095076918294569"/>
    <n v="-1.467781318181264"/>
    <n v="-0.68046529062319028"/>
    <n v="0.66132530876491313"/>
    <n v="-0.44903936315686982"/>
    <x v="0"/>
    <x v="0"/>
    <x v="1"/>
    <x v="0"/>
    <x v="0"/>
    <x v="0"/>
  </r>
  <r>
    <x v="5"/>
    <s v="XERS"/>
    <n v="701"/>
    <n v="4.9000000000000004"/>
    <n v="-0.26"/>
    <n v="-0.2"/>
    <n v="-0.37"/>
    <n v="-18.846153846153847"/>
    <n v="-24.5"/>
    <n v="301.32"/>
    <n v="-5.33"/>
    <n v="-10.91"/>
    <n v="-13.243243243243244"/>
    <s v="NO"/>
    <n v="-1.2013837868799753"/>
    <n v="-12.53636880423578"/>
    <n v="8.5571984800221408"/>
    <n v="0.34449269005087779"/>
    <n v="-28.622435963284449"/>
    <n v="-0.95762283334869669"/>
    <x v="0"/>
    <x v="1"/>
    <x v="0"/>
    <x v="0"/>
    <x v="1"/>
    <x v="0"/>
  </r>
  <r>
    <x v="5"/>
    <s v="ZVRA"/>
    <n v="411"/>
    <n v="7.87"/>
    <n v="-1.51"/>
    <n v="0.74"/>
    <n v="-2.2799999999999998"/>
    <n v="-5.2119205298013247"/>
    <n v="10.635135135135135"/>
    <n v="-207.84"/>
    <n v="-31.03"/>
    <n v="4.49"/>
    <n v="-3.4517543859649127"/>
    <s v="NO"/>
    <n v="-2.1921369944049782E-2"/>
    <n v="4.0237518987795635"/>
    <n v="-5.0703076980354362"/>
    <n v="-1.2356764823140625"/>
    <n v="7.1972561407314508"/>
    <n v="0.2526290666017747"/>
    <x v="0"/>
    <x v="1"/>
    <x v="0"/>
    <x v="0"/>
    <x v="1"/>
    <x v="0"/>
  </r>
  <r>
    <x v="5"/>
    <s v="ZYBT"/>
    <n v="546"/>
    <n v="7.41"/>
    <m/>
    <m/>
    <m/>
    <s v=""/>
    <s v=""/>
    <n v="7.15"/>
    <n v="3.82"/>
    <n v="1.73"/>
    <s v=""/>
    <s v="NO"/>
    <e v="#VALUE!"/>
    <e v="#VALUE!"/>
    <n v="0.6838315768891432"/>
    <n v="0.90708210355823971"/>
    <n v="0.77762301040132842"/>
    <e v="#VALUE!"/>
    <x v="1"/>
    <x v="1"/>
    <x v="1"/>
    <x v="0"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C84801-102E-4C37-8560-F938FC21BCC4}" name="PivotTable1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2" showAll="0"/>
    <pivotField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0E771-8D8C-40A3-A257-A5C33EA82892}" name="PivotTable2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dataField="1" showAll="0"/>
    <pivotField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7" numFmtId="2"/>
    <dataField name="StdDevp of P/B" fld="8" subtotal="stdDevp" baseField="0" baseItem="7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35A8AE6-DC6C-4B19-8032-04D5D0183A50}" name="PivotTable3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dataField="1" showAll="0"/>
    <pivotField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34D68E-4AF6-49FE-80B9-8288F8934083}" name="PivotTable4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dataField="1" showAll="0"/>
    <pivotField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C96544-0E1B-4AD0-9EEF-13BE1677F031}" name="PivotTable5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dataField="1" showAll="0"/>
    <pivotField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4AD83-0107-4E11-9496-253AE5F4ECE5}" name="PivotTable6" cacheId="9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59">
        <item x="0"/>
        <item x="1"/>
        <item x="2"/>
        <item x="3"/>
        <item x="4"/>
        <item x="5"/>
        <item m="1" x="18"/>
        <item m="1" x="19"/>
        <item m="1" x="20"/>
        <item m="1" x="21"/>
        <item m="1" x="22"/>
        <item m="1" x="23"/>
        <item m="1" x="53"/>
        <item m="1" x="54"/>
        <item m="1" x="55"/>
        <item m="1" x="56"/>
        <item m="1" x="57"/>
        <item m="1" x="33"/>
        <item m="1" x="34"/>
        <item m="1" x="35"/>
        <item m="1" x="36"/>
        <item m="1" x="37"/>
        <item m="1" x="38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48"/>
        <item m="1" x="49"/>
        <item m="1" x="50"/>
        <item m="1" x="51"/>
        <item m="1" x="52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31"/>
        <item m="1" x="32"/>
        <item m="1" x="30"/>
        <item m="1" x="24"/>
        <item m="1" x="25"/>
        <item m="1" x="26"/>
        <item m="1" x="27"/>
        <item m="1" x="28"/>
        <item m="1" x="29"/>
        <item t="default"/>
      </items>
    </pivotField>
    <pivotField showAll="0"/>
    <pivotField showAll="0"/>
    <pivotField showAll="0"/>
    <pivotField showAll="0"/>
    <pivotField showAll="0"/>
    <pivotField showAll="0"/>
    <pivotField numFmtId="2" showAll="0"/>
    <pivotField showAll="0"/>
    <pivotField showAll="0"/>
    <pivotField showAll="0"/>
    <pivotField showAll="0"/>
    <pivotField dataField="1" numFmtId="2" showAll="0"/>
    <pivotField showAll="0"/>
    <pivotField numFmtId="2" showAll="0"/>
    <pivotField numFmtId="2" showAll="0"/>
    <pivotField numFmtId="2" showAll="0"/>
    <pivotField numFmtId="2" showAll="0"/>
    <pivotField numFmtId="2" showAll="0"/>
    <pivotField numFmtId="2"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3" numFmtId="2"/>
    <dataField name="StdDevp of P/E" fld="12" subtotal="stdDevp" baseField="0" baseItem="3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B78ED-8281-409F-B6A4-5ECFEBADC554}" name="PivotTable12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223830-A9B5-4DB6-9D33-8B43732388BE}" name="PivotTable11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FB9E3F-AA64-4A67-B90F-619AA980102E}" name="PivotTable10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4F5758-9BD1-4847-AE9E-D0276B5B9C8C}" name="PivotTable9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7776E-7C7E-402C-B296-4D93FD39F0DF}" name="PivotTable7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1"/>
        <item x="0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7D752-2C3F-43DB-BC07-248E77950594}" name="PivotTable8" cacheId="15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0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4"/>
        <item m="1" x="55"/>
        <item m="1" x="56"/>
        <item m="1" x="57"/>
        <item m="1" x="58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49"/>
        <item m="1" x="50"/>
        <item m="1" x="51"/>
        <item m="1" x="52"/>
        <item m="1" x="53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m="1" x="3"/>
        <item x="1"/>
        <item x="0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1" hier="-1"/>
  </pageFields>
  <dataFields count="2">
    <dataField name="Average of P/B" fld="8" subtotal="average" baseField="0" baseItem="8" numFmtId="2"/>
    <dataField name="StdDevp of P/B" fld="8" subtotal="stdDevp" baseField="0" baseItem="8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6196AD-A949-492C-A608-C48A1F76FC08}" name="PivotTable14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4:G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m="1" x="2"/>
        <item t="default"/>
      </items>
    </pivotField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1" item="0" hier="-1"/>
  </pageFields>
  <dataFields count="2">
    <dataField name="Average of P/B" fld="8" subtotal="average" baseField="0" baseItem="9" numFmtId="2"/>
    <dataField name="StdDevp of P/B" fld="8" subtotal="stdDevp" baseField="0" baseItem="9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C9DE58-9145-4A38-9D87-BB993A306C05}" name="PivotTable18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24:K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5" item="0" hier="-1"/>
  </pageFields>
  <dataFields count="2">
    <dataField name="Average of P/E" fld="12" subtotal="average" baseField="0" baseItem="0" numFmtId="2"/>
    <dataField name="StdDevp of P/E" fld="12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225C56-22CE-417F-B876-CBEEB96F76CA}" name="PivotTable17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E24:G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4" item="0" hier="-1"/>
  </pageFields>
  <dataFields count="2">
    <dataField name="Average of A/E" fld="11" subtotal="average" baseField="0" baseItem="0" numFmtId="2"/>
    <dataField name="StdDevp of A/E" fld="11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94F80-7952-4D43-A79C-D494CF193FB3}" name="PivotTable16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24:C3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3" item="0" hier="-1"/>
  </pageFields>
  <dataFields count="2">
    <dataField name="Average of ROA" fld="10" subtotal="average" baseField="0" baseItem="0" numFmtId="2"/>
    <dataField name="StdDevp of ROA" fld="10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D0308A-0527-477A-9E60-ED92EDA45CE6}" name="PivotTable15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I4:K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2" item="0" hier="-1"/>
  </pageFields>
  <dataFields count="2">
    <dataField name="Average of ROE" fld="9" subtotal="average" baseField="0" baseItem="0" numFmtId="2"/>
    <dataField name="StdDevp of ROE" fld="9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4021F3-AE23-44CA-B4F3-CC1FD8F04DE9}" name="PivotTable13" cacheId="21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4:C10" firstHeaderRow="0" firstDataRow="1" firstDataCol="1" rowPageCount="1" colPageCount="1"/>
  <pivotFields count="26">
    <pivotField axis="axisRow" showAll="0">
      <items count="61">
        <item x="0"/>
        <item x="1"/>
        <item x="2"/>
        <item x="3"/>
        <item x="4"/>
        <item x="5"/>
        <item m="1" x="20"/>
        <item m="1" x="21"/>
        <item m="1" x="22"/>
        <item m="1" x="23"/>
        <item m="1" x="24"/>
        <item m="1" x="25"/>
        <item m="1" x="55"/>
        <item m="1" x="56"/>
        <item m="1" x="57"/>
        <item m="1" x="58"/>
        <item m="1" x="59"/>
        <item m="1" x="34"/>
        <item m="1" x="35"/>
        <item m="1" x="36"/>
        <item m="1" x="37"/>
        <item m="1" x="38"/>
        <item m="1" x="39"/>
        <item m="1" x="6"/>
        <item m="1" x="7"/>
        <item m="1" x="8"/>
        <item m="1" x="9"/>
        <item m="1" x="10"/>
        <item m="1" x="11"/>
        <item m="1" x="12"/>
        <item m="1" x="13"/>
        <item m="1" x="14"/>
        <item m="1" x="15"/>
        <item m="1" x="16"/>
        <item m="1" x="17"/>
        <item m="1" x="18"/>
        <item m="1" x="19"/>
        <item m="1" x="50"/>
        <item m="1" x="51"/>
        <item m="1" x="52"/>
        <item m="1" x="53"/>
        <item m="1" x="54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49"/>
        <item m="1" x="32"/>
        <item m="1" x="33"/>
        <item m="1" x="26"/>
        <item m="1" x="27"/>
        <item m="1" x="28"/>
        <item m="1" x="29"/>
        <item m="1" x="30"/>
        <item m="1" x="31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5">
        <item x="0"/>
        <item x="1"/>
        <item m="1" x="3"/>
        <item m="1" x="2"/>
        <item t="default"/>
      </items>
    </pivotField>
    <pivotField showAll="0"/>
    <pivotField showAll="0"/>
    <pivotField showAll="0"/>
    <pivotField showAll="0"/>
    <pivotField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pageFields count="1">
    <pageField fld="20" item="0" hier="-1"/>
  </pageFields>
  <dataFields count="2">
    <dataField name="Average of P/FCF" fld="7" subtotal="average" baseField="0" baseItem="0" numFmtId="2"/>
    <dataField name="StdDevp of P/FCF" fld="7" subtotal="stdDevp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9" xr16:uid="{D32EA3CB-BE38-416D-9CDC-630CA7437C5A}" autoFormatId="16" applyNumberFormats="0" applyBorderFormats="0" applyFontFormats="0" applyPatternFormats="0" applyAlignmentFormats="0" applyWidthHeightFormats="0">
  <queryTableRefresh nextId="48" unboundColumnsRight="13">
    <queryTableFields count="26">
      <queryTableField id="1" name="Industry" tableColumnId="1"/>
      <queryTableField id="2" name="Symbol" tableColumnId="2"/>
      <queryTableField id="44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6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8" dataBound="0" tableColumnId="14"/>
      <queryTableField id="29" dataBound="0" tableColumnId="15"/>
      <queryTableField id="30" dataBound="0" tableColumnId="16"/>
      <queryTableField id="31" dataBound="0" tableColumnId="17"/>
      <queryTableField id="32" dataBound="0" tableColumnId="18"/>
      <queryTableField id="34" dataBound="0" tableColumnId="20"/>
      <queryTableField id="33" dataBound="0" tableColumnId="19"/>
      <queryTableField id="35" dataBound="0" tableColumnId="21"/>
      <queryTableField id="36" dataBound="0" tableColumnId="22"/>
      <queryTableField id="37" dataBound="0" tableColumnId="23"/>
      <queryTableField id="38" dataBound="0" tableColumnId="24"/>
      <queryTableField id="40" dataBound="0" tableColumnId="26"/>
      <queryTableField id="39" dataBound="0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0" xr16:uid="{8D69D8E8-A8D7-45B1-9C88-2D4B75DE819C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1" xr16:uid="{1D322613-0263-476D-865E-3ED9D756CED7}" autoFormatId="16" applyNumberFormats="0" applyBorderFormats="0" applyFontFormats="0" applyPatternFormats="0" applyAlignmentFormats="0" applyWidthHeightFormats="0">
  <queryTableRefresh nextId="47" unboundColumnsRight="13">
    <queryTableFields count="26">
      <queryTableField id="1" name="Industry" tableColumnId="1"/>
      <queryTableField id="2" name="Symbol" tableColumnId="2"/>
      <queryTableField id="43" name="Market Cap (M)" tableColumnId="3"/>
      <queryTableField id="4" name="Current Price" tableColumnId="4"/>
      <queryTableField id="5" name="Free CF" tableColumnId="5"/>
      <queryTableField id="6" name="BVPS" tableColumnId="6"/>
      <queryTableField id="7" name="EPS" tableColumnId="7"/>
      <queryTableField id="8" name="P/FCF" tableColumnId="8"/>
      <queryTableField id="45" name="P/B" tableColumnId="9"/>
      <queryTableField id="10" name="ROE" tableColumnId="10"/>
      <queryTableField id="11" name="ROA" tableColumnId="11"/>
      <queryTableField id="13" name="A/E" tableColumnId="13"/>
      <queryTableField id="12" name="P/E" tableColumnId="12"/>
      <queryTableField id="27" dataBound="0" tableColumnId="14"/>
      <queryTableField id="28" dataBound="0" tableColumnId="15"/>
      <queryTableField id="29" dataBound="0" tableColumnId="16"/>
      <queryTableField id="30" dataBound="0" tableColumnId="17"/>
      <queryTableField id="31" dataBound="0" tableColumnId="18"/>
      <queryTableField id="33" dataBound="0" tableColumnId="20"/>
      <queryTableField id="32" dataBound="0" tableColumnId="19"/>
      <queryTableField id="34" dataBound="0" tableColumnId="21"/>
      <queryTableField id="35" dataBound="0" tableColumnId="22"/>
      <queryTableField id="36" dataBound="0" tableColumnId="23"/>
      <queryTableField id="37" dataBound="0" tableColumnId="24"/>
      <queryTableField id="39" dataBound="0" tableColumnId="26"/>
      <queryTableField id="38" dataBound="0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41" xr16:uid="{2A3DD76B-3B32-4587-BDD7-433C5119B98E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42" xr16:uid="{1104BD5D-D315-4F66-94E6-5B0693021F92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43" xr16:uid="{14E5BAAC-5265-4112-9064-4EF86CDFE054}" autoFormatId="16" applyNumberFormats="0" applyBorderFormats="0" applyFontFormats="0" applyPatternFormats="0" applyAlignmentFormats="0" applyWidthHeightFormats="0">
  <queryTableRefresh nextId="26">
    <queryTableFields count="25">
      <queryTableField id="1" name="Industry" tableColumnId="1"/>
      <queryTableField id="2" name="P/FCF Q1" tableColumnId="2"/>
      <queryTableField id="3" name="P/FCF Q3" tableColumnId="3"/>
      <queryTableField id="4" name="P/FCF LB" tableColumnId="4"/>
      <queryTableField id="5" name="P/FCF UB" tableColumnId="5"/>
      <queryTableField id="6" name="P/B Q1" tableColumnId="6"/>
      <queryTableField id="7" name="P/B Q3" tableColumnId="7"/>
      <queryTableField id="8" name="P/B LB" tableColumnId="8"/>
      <queryTableField id="9" name="P/B UB" tableColumnId="9"/>
      <queryTableField id="10" name="ROE Q1" tableColumnId="10"/>
      <queryTableField id="11" name="ROE Q3" tableColumnId="11"/>
      <queryTableField id="12" name="ROE LB" tableColumnId="12"/>
      <queryTableField id="13" name="ROE UB" tableColumnId="13"/>
      <queryTableField id="14" name="ROA Q1" tableColumnId="14"/>
      <queryTableField id="15" name="ROA Q3" tableColumnId="15"/>
      <queryTableField id="16" name="ROA LB" tableColumnId="16"/>
      <queryTableField id="17" name="ROA UB" tableColumnId="17"/>
      <queryTableField id="18" name="P/E Q1" tableColumnId="18"/>
      <queryTableField id="19" name="P/E Q3" tableColumnId="19"/>
      <queryTableField id="20" name="P/E LB" tableColumnId="20"/>
      <queryTableField id="21" name="P/E UB" tableColumnId="21"/>
      <queryTableField id="22" name="A/E Q1" tableColumnId="22"/>
      <queryTableField id="23" name="A/E Q3" tableColumnId="23"/>
      <queryTableField id="24" name="A/E LB" tableColumnId="24"/>
      <queryTableField id="25" name="A/E UB" tableColumnId="2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3099FB-6B0A-4C40-9407-89EC83C9DBE4}" name="DynamicPath" displayName="DynamicPath" ref="A1:A2" totalsRowShown="0">
  <autoFilter ref="A1:A2" xr:uid="{EB3099FB-6B0A-4C40-9407-89EC83C9DBE4}"/>
  <tableColumns count="1">
    <tableColumn id="1" xr3:uid="{72CF0EC1-9118-4F51-B3B2-06BCDC74DB25}" name="Path">
      <calculatedColumnFormula array="1">LEFT(CELL("filename"),SEARCH("\M",CELL("filename")))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B3BB95A-07C7-4768-8185-A2A759A39458}" name="Main_L" displayName="Main_L" ref="A1:Z94" tableType="queryTable" totalsRowShown="0">
  <autoFilter ref="A1:Z94" xr:uid="{1B3BB95A-07C7-4768-8185-A2A759A39458}"/>
  <sortState xmlns:xlrd2="http://schemas.microsoft.com/office/spreadsheetml/2017/richdata2" ref="A2:Z94">
    <sortCondition ref="A1:A94"/>
  </sortState>
  <tableColumns count="26">
    <tableColumn id="1" xr3:uid="{FDA9EBBF-F574-44F1-B885-6A5ED1C1C8A3}" uniqueName="1" name="Industry" queryTableFieldId="1" dataDxfId="146"/>
    <tableColumn id="2" xr3:uid="{8F96E341-8F97-4BC1-90E1-73E9D5DAC8C9}" uniqueName="2" name="Symbol" queryTableFieldId="2" dataDxfId="145"/>
    <tableColumn id="3" xr3:uid="{F543FE77-4EA4-4170-A3F2-7D6D401D6817}" uniqueName="3" name="Market Cap (M)" queryTableFieldId="44" dataDxfId="139"/>
    <tableColumn id="4" xr3:uid="{D2480B0A-A335-4942-BCC8-5B641403DC2B}" uniqueName="4" name="Current Price" queryTableFieldId="4"/>
    <tableColumn id="5" xr3:uid="{720C3F4D-C635-4D4E-9155-738C72CE1044}" uniqueName="5" name="Free CF" queryTableFieldId="5"/>
    <tableColumn id="6" xr3:uid="{1BF86AC4-6154-48CF-AE5D-28B545E17514}" uniqueName="6" name="BVPS" queryTableFieldId="6"/>
    <tableColumn id="7" xr3:uid="{AE4742F3-E34E-4DC7-86A0-26BD37855B44}" uniqueName="7" name="EPS" queryTableFieldId="7"/>
    <tableColumn id="8" xr3:uid="{EDCA5355-465F-4050-92F2-EF8C3D568FEB}" uniqueName="8" name="P/FCF" queryTableFieldId="8" dataDxfId="138"/>
    <tableColumn id="9" xr3:uid="{92CA53A2-ADA4-45CE-B0FD-3AD68E123166}" uniqueName="9" name="P/B" queryTableFieldId="46" dataDxfId="137"/>
    <tableColumn id="10" xr3:uid="{0F3AADEE-F89A-40C7-BCB2-1F6E4395C5A8}" uniqueName="10" name="ROE" queryTableFieldId="10"/>
    <tableColumn id="11" xr3:uid="{8EB3611A-D40B-43FC-B57A-5DE27BFFEC7B}" uniqueName="11" name="ROA" queryTableFieldId="11"/>
    <tableColumn id="13" xr3:uid="{7CCDC820-7CD2-44AF-837F-E7A822FFB771}" uniqueName="13" name="A/E" queryTableFieldId="13"/>
    <tableColumn id="12" xr3:uid="{0DC01881-794E-4375-9285-108B89105E86}" uniqueName="12" name="P/E" queryTableFieldId="12" dataDxfId="136"/>
    <tableColumn id="14" xr3:uid="{ADA8B331-0D92-4BD4-AA99-F51061DC5068}" uniqueName="14" name="Preliminary Criteria" queryTableFieldId="28">
      <calculatedColumnFormula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calculatedColumnFormula>
    </tableColumn>
    <tableColumn id="15" xr3:uid="{B45ED73C-689C-4C77-89EB-99104D4657D6}" uniqueName="15" name="P/FCF Z-Score" queryTableFieldId="29" dataDxfId="135">
      <calculatedColumnFormula>(Main_L[[#This Row],[P/FCF]]-VLOOKUP(Main_L[[#This Row],[Industry]], Mean_PFCF_L, 2, FALSE))/(VLOOKUP(Main_L[[#This Row],[Industry]], Mean_PFCF_L, 3, FALSE))</calculatedColumnFormula>
    </tableColumn>
    <tableColumn id="16" xr3:uid="{080B9365-919D-47BA-8A56-96DFF3796262}" uniqueName="16" name="P/B Z-Score" queryTableFieldId="30" dataDxfId="134">
      <calculatedColumnFormula>(Main_L[[#This Row],[P/B]]-VLOOKUP(Main_L[[#This Row],[Industry]], Mean_PB_L, 2, FALSE))/(VLOOKUP(Main_L[[#This Row],[Industry]], Mean_PB_L, 3, FALSE))</calculatedColumnFormula>
    </tableColumn>
    <tableColumn id="17" xr3:uid="{45C38654-5156-4CDD-B790-6B274E590EC6}" uniqueName="17" name="ROE Z-Score" queryTableFieldId="31" dataDxfId="133">
      <calculatedColumnFormula>(Main_L[[#This Row],[ROE]]-VLOOKUP(Main_L[[#This Row],[Industry]], Mean_ROE_L, 2, FALSE))/(VLOOKUP(Main_L[[#This Row],[Industry]], Mean_ROE_L, 3, FALSE))</calculatedColumnFormula>
    </tableColumn>
    <tableColumn id="18" xr3:uid="{3C7295D9-1028-4428-B7DA-9EE1A954EF49}" uniqueName="18" name="ROA Z-Score" queryTableFieldId="32" dataDxfId="132">
      <calculatedColumnFormula>(Main_L[[#This Row],[ROA]]-VLOOKUP(Main_L[[#This Row],[Industry]], Mean_ROA_L, 2, FALSE))/(VLOOKUP(Main_L[[#This Row],[Industry]], Mean_ROA_L, 3, FALSE))</calculatedColumnFormula>
    </tableColumn>
    <tableColumn id="20" xr3:uid="{E4637726-26C6-4C24-BF10-0827D14B65BD}" uniqueName="20" name="A/E Z-Score" queryTableFieldId="34" dataDxfId="131">
      <calculatedColumnFormula>(Main_L[[#This Row],[A/E]]-VLOOKUP(Main_L[[#This Row],[Industry]], Mean_AE_L, 2, FALSE))/(VLOOKUP(Main_L[[#This Row],[Industry]], Mean_AE_L, 3, FALSE))</calculatedColumnFormula>
    </tableColumn>
    <tableColumn id="19" xr3:uid="{CD34899F-DB8F-4F0C-A283-548D3119A76B}" uniqueName="19" name="P/E Z-Score" queryTableFieldId="33" dataDxfId="130">
      <calculatedColumnFormula>(Main_L[[#This Row],[P/E]]-VLOOKUP(Main_L[[#This Row],[Industry]], Mean_PE_L, 2, FALSE))/(VLOOKUP(Main_L[[#This Row],[Industry]], Mean_PE_L, 3, FALSE))</calculatedColumnFormula>
    </tableColumn>
    <tableColumn id="21" xr3:uid="{B8EED667-9033-483B-905E-1DA4798C856D}" uniqueName="21" name="P/FCF Outlier" queryTableFieldId="35">
      <calculatedColumnFormula>IF(OR(Main_L[[#This Row],[P/FCF]]&lt;_xlfn.XLOOKUP(Main_L[[#This Row],[Industry]], Quartile_L[Industry], Quartile_L[P/FCF LB]), Main_L[[#This Row],[P/FCF]]&gt;_xlfn.XLOOKUP(Main_L[[#This Row],[Industry]], Quartile_L[Industry], Quartile_L[P/FCF UB])), "Yes", "No")</calculatedColumnFormula>
    </tableColumn>
    <tableColumn id="22" xr3:uid="{2111912A-D4BE-498A-BE98-FC4140F1FE20}" uniqueName="22" name="P/B Outlier" queryTableFieldId="36">
      <calculatedColumnFormula>IF(OR(Main_L[[#This Row],[P/B]]&lt;_xlfn.XLOOKUP(Main_L[[#This Row],[Industry]],Quartile_L[Industry],Quartile_L[P/B LB]),Main_L[[#This Row],[P/B]]&gt;_xlfn.XLOOKUP(Main_L[[#This Row],[Industry]],Quartile_L[Industry],Quartile_L[P/B UB])),"Yes","No")</calculatedColumnFormula>
    </tableColumn>
    <tableColumn id="23" xr3:uid="{E09174D4-F8A8-44DF-BAED-F71867CB52D9}" uniqueName="23" name="ROE Outlier" queryTableFieldId="37">
      <calculatedColumnFormula>IF(OR(Main_L[[#This Row],[ROE]]&lt;_xlfn.XLOOKUP(Main_L[[#This Row],[Industry]],Quartile_L[Industry],Quartile_L[ROE LB]),Main_L[[#This Row],[ROE]]&gt;_xlfn.XLOOKUP(Main_L[[#This Row],[Industry]],Quartile_L[Industry],Quartile_L[ROE UB])),"Yes","No")</calculatedColumnFormula>
    </tableColumn>
    <tableColumn id="24" xr3:uid="{EAC875A6-B1C3-4281-B62E-B64F07AA66FC}" uniqueName="24" name="ROA Outlier" queryTableFieldId="38">
      <calculatedColumnFormula>IF(OR(Main_L[[#This Row],[ROA]]&lt;_xlfn.XLOOKUP(Main_L[[#This Row],[Industry]],Quartile_L[Industry],Quartile_L[ROA LB]),Main_L[[#This Row],[ROA]]&gt;_xlfn.XLOOKUP(Main_L[[#This Row],[Industry]],Quartile_L[Industry],Quartile_L[ROA UB])),"Yes","No")</calculatedColumnFormula>
    </tableColumn>
    <tableColumn id="26" xr3:uid="{3295BE9F-81DF-457D-A9E7-B30BEC3A883D}" uniqueName="26" name="A/E Outlier" queryTableFieldId="40">
      <calculatedColumnFormula>IF(OR(Main_L[[#This Row],[A/E]]&lt;_xlfn.XLOOKUP(Main_L[[#This Row],[Industry]],Quartile_L[Industry],Quartile_L[A/E LB]),Main_L[[#This Row],[A/E]]&gt;_xlfn.XLOOKUP(Main_L[[#This Row],[Industry]],Quartile_L[Industry],Quartile_L[A/E UB])),"Yes","No")</calculatedColumnFormula>
    </tableColumn>
    <tableColumn id="25" xr3:uid="{DC78815E-40EE-4655-B536-DCB9E645779C}" uniqueName="25" name="P/E Outlier" queryTableFieldId="39">
      <calculatedColumnFormula>IF(OR(Main_L[[#This Row],[P/E]]&lt;_xlfn.XLOOKUP(Main_L[[#This Row],[Industry]],Quartile_L[Industry],Quartile_L[P/E LB]),Main_L[[#This Row],[P/E]]&gt;_xlfn.XLOOKUP(Main_L[[#This Row],[Industry]],Quartile_L[Industry],Quartile_L[P/E UB])),"Yes","No")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A05384F-F989-4428-B033-1A9B3ACA4EBB}" name="Main_M" displayName="Main_M" ref="A1:Z111" tableType="queryTable" totalsRowShown="0">
  <autoFilter ref="A1:Z111" xr:uid="{8A05384F-F989-4428-B033-1A9B3ACA4EBB}"/>
  <sortState xmlns:xlrd2="http://schemas.microsoft.com/office/spreadsheetml/2017/richdata2" ref="A2:Z111">
    <sortCondition ref="A1:A111"/>
  </sortState>
  <tableColumns count="26">
    <tableColumn id="1" xr3:uid="{3547F496-7B67-42E8-9760-1F3941836443}" uniqueName="1" name="Industry" queryTableFieldId="1" dataDxfId="144"/>
    <tableColumn id="2" xr3:uid="{0A09E186-076D-4A57-B743-EBD7817F4082}" uniqueName="2" name="Symbol" queryTableFieldId="2" dataDxfId="143"/>
    <tableColumn id="3" xr3:uid="{C567BD69-49B3-415C-87A5-73BCB80F1796}" uniqueName="3" name="Market Cap (M)" queryTableFieldId="43" dataDxfId="129"/>
    <tableColumn id="4" xr3:uid="{4087682F-874F-4DAE-BAEC-138B7CABA861}" uniqueName="4" name="Current Price" queryTableFieldId="4"/>
    <tableColumn id="5" xr3:uid="{F7C5403B-3B7F-48E6-B20A-A8985D69DCA6}" uniqueName="5" name="Free CF" queryTableFieldId="5"/>
    <tableColumn id="6" xr3:uid="{0920E6C9-A031-45AE-AC78-DF5C9ACB89C8}" uniqueName="6" name="BVPS" queryTableFieldId="6"/>
    <tableColumn id="7" xr3:uid="{7F4BE925-C945-4781-8167-81541AF47A3C}" uniqueName="7" name="EPS" queryTableFieldId="7"/>
    <tableColumn id="8" xr3:uid="{22055AE5-DCAA-431A-BB58-FDE6663E7511}" uniqueName="8" name="P/FCF" queryTableFieldId="8" dataDxfId="128"/>
    <tableColumn id="9" xr3:uid="{F1DC44A8-3710-4CCA-B495-699F6ACADE85}" uniqueName="9" name="P/B" queryTableFieldId="45" dataDxfId="127"/>
    <tableColumn id="10" xr3:uid="{0316F646-5D0C-4D89-BBE5-559FC2836E25}" uniqueName="10" name="ROE" queryTableFieldId="10"/>
    <tableColumn id="11" xr3:uid="{4F083877-E4AF-420C-949F-710C1B627C04}" uniqueName="11" name="ROA" queryTableFieldId="11"/>
    <tableColumn id="13" xr3:uid="{57B80CA9-D107-4FD7-B08F-B230D181D163}" uniqueName="13" name="A/E" queryTableFieldId="13"/>
    <tableColumn id="12" xr3:uid="{CC835683-DCE2-4109-80DD-DE5E7A99A2F4}" uniqueName="12" name="P/E" queryTableFieldId="12" dataDxfId="126"/>
    <tableColumn id="14" xr3:uid="{748A606C-A5FD-438C-807A-2C5137C87528}" uniqueName="14" name="Preliminary Criteria" queryTableFieldId="27">
      <calculatedColumnFormula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calculatedColumnFormula>
    </tableColumn>
    <tableColumn id="15" xr3:uid="{8DBD4B33-6A20-4DEB-9596-BEAEA7FCD5C6}" uniqueName="15" name="P/FCF Z-Score" queryTableFieldId="28" dataDxfId="125">
      <calculatedColumnFormula>(Main_M[[#This Row],[P/FCF]]-VLOOKUP(Main_M[[#This Row],[Industry]], Mean_PFCF_M, 2, FALSE))/(VLOOKUP(Main_M[[#This Row],[Industry]], Mean_PFCF_M, 3, FALSE))</calculatedColumnFormula>
    </tableColumn>
    <tableColumn id="16" xr3:uid="{9E97918F-BB4B-4F88-A428-5A1A279239B2}" uniqueName="16" name="P/B Z-Score" queryTableFieldId="29" dataDxfId="124">
      <calculatedColumnFormula>(Main_M[[#This Row],[P/B]]-VLOOKUP(Main_M[[#This Row],[Industry]], Mean_PB_M, 2, FALSE))/(VLOOKUP(Main_M[[#This Row],[Industry]], Mean_PB_M, 3, FALSE))</calculatedColumnFormula>
    </tableColumn>
    <tableColumn id="17" xr3:uid="{11EE28ED-72CA-481E-B33F-2CF1EB757823}" uniqueName="17" name="ROE Z-Score" queryTableFieldId="30" dataDxfId="123">
      <calculatedColumnFormula>(Main_M[[#This Row],[ROE]]-VLOOKUP(Main_M[[#This Row],[Industry]], Mean_ROE_M, 2, FALSE))/(VLOOKUP(Main_M[[#This Row],[Industry]], Mean_ROE_M, 3, FALSE))</calculatedColumnFormula>
    </tableColumn>
    <tableColumn id="18" xr3:uid="{635EB97C-188F-4205-9857-00D3D350B32D}" uniqueName="18" name="ROA Z-Score" queryTableFieldId="31" dataDxfId="122">
      <calculatedColumnFormula>(Main_M[[#This Row],[ROA]]-VLOOKUP(Main_M[[#This Row],[Industry]], Mean_ROA_M, 2, FALSE))/(VLOOKUP(Main_M[[#This Row],[Industry]], Mean_ROA_M, 3, FALSE))</calculatedColumnFormula>
    </tableColumn>
    <tableColumn id="20" xr3:uid="{118AB99B-E87A-4721-99E0-5041A9ACACB5}" uniqueName="20" name="A/E Z-Score" queryTableFieldId="33" dataDxfId="121">
      <calculatedColumnFormula>(Main_M[[#This Row],[A/E]]-VLOOKUP(Main_M[[#This Row],[Industry]], Mean_AE_M, 2, FALSE))/(VLOOKUP(Main_M[[#This Row],[Industry]], Mean_AE_M, 3, FALSE))</calculatedColumnFormula>
    </tableColumn>
    <tableColumn id="19" xr3:uid="{27A37C9A-3957-4ABD-BA38-E258FE504892}" uniqueName="19" name="P/E Z-Score" queryTableFieldId="32" dataDxfId="120">
      <calculatedColumnFormula>(Main_M[[#This Row],[P/E]]-VLOOKUP(Main_M[[#This Row],[Industry]], Mean_PE_M, 2, FALSE))/(VLOOKUP(Main_M[[#This Row],[Industry]], Mean_PE_M, 3, FALSE))</calculatedColumnFormula>
    </tableColumn>
    <tableColumn id="21" xr3:uid="{1219C7A9-AB23-4567-8019-077342A2D565}" uniqueName="21" name="P/FCF Outlier" queryTableFieldId="34">
      <calculatedColumnFormula>IF(OR(Main_M[[#This Row],[P/FCF]]&lt;_xlfn.XLOOKUP(Main_M[[#This Row],[Industry]], Quartile_M[Industry], Quartile_M[P/FCF LB]), Main_M[[#This Row],[P/FCF]]&gt;_xlfn.XLOOKUP(Main_M[[#This Row],[Industry]], Quartile_M[Industry], Quartile_M[P/FCF UB])), "Yes", "No")</calculatedColumnFormula>
    </tableColumn>
    <tableColumn id="22" xr3:uid="{81369071-E61A-45A3-8DA9-A692581BA198}" uniqueName="22" name="P/B Outlier" queryTableFieldId="35">
      <calculatedColumnFormula>IF(OR(Main_M[[#This Row],[P/B]]&lt;_xlfn.XLOOKUP(Main_M[[#This Row],[Industry]],Quartile_M[Industry],Quartile_M[P/B LB]),Main_M[[#This Row],[P/B]]&gt;_xlfn.XLOOKUP(Main_M[[#This Row],[Industry]],Quartile_M[Industry],Quartile_M[P/B UB])),"Yes","No")</calculatedColumnFormula>
    </tableColumn>
    <tableColumn id="23" xr3:uid="{CDA4E768-55A6-4FC5-8A2D-99FE07B7A7F3}" uniqueName="23" name="ROE Outlier" queryTableFieldId="36">
      <calculatedColumnFormula>IF(OR(Main_M[[#This Row],[ROA]]&lt;_xlfn.XLOOKUP(Main_M[[#This Row],[Industry]],Quartile_M[Industry],Quartile_M[ROA LB]),Main_M[[#This Row],[ROA]]&gt;_xlfn.XLOOKUP(Main_M[[#This Row],[Industry]],Quartile_M[Industry],Quartile_M[ROA UB])),"Yes","No")</calculatedColumnFormula>
    </tableColumn>
    <tableColumn id="24" xr3:uid="{7828AE38-C299-4609-816E-49E350A922CB}" uniqueName="24" name="ROA Outlier" queryTableFieldId="37">
      <calculatedColumnFormula>IF(OR(Main_M[[#This Row],[ROE]]&lt;_xlfn.XLOOKUP(Main_M[[#This Row],[Industry]],Quartile_M[Industry],Quartile_M[ROE LB]),Main_M[[#This Row],[ROE]]&gt;_xlfn.XLOOKUP(Main_M[[#This Row],[Industry]],Quartile_M[Industry],Quartile_M[ROE UB])),"Yes","No")</calculatedColumnFormula>
    </tableColumn>
    <tableColumn id="26" xr3:uid="{A06F209E-A224-4F74-8C3C-CAB1CB61E937}" uniqueName="26" name="A/E Outlier" queryTableFieldId="39">
      <calculatedColumnFormula>IF(OR(Main_M[[#This Row],[A/E]]&lt;_xlfn.XLOOKUP(Main_M[[#This Row],[Industry]],Quartile_M[Industry],Quartile_M[A/E LB]),Main_M[[#This Row],[A/E]]&gt;_xlfn.XLOOKUP(Main_M[[#This Row],[Industry]],Quartile_M[Industry],Quartile_M[A/E UB])),"Yes","No")</calculatedColumnFormula>
    </tableColumn>
    <tableColumn id="25" xr3:uid="{956CA899-4888-4E58-AFBD-20889570CED8}" uniqueName="25" name="P/E Outlier" queryTableFieldId="38">
      <calculatedColumnFormula>IF(OR(Main_M[[#This Row],[P/E]]&lt;_xlfn.XLOOKUP(Main_M[[#This Row],[Industry]],Quartile_M[Industry],Quartile_M[P/E LB]),Main_M[[#This Row],[P/E]]&gt;_xlfn.XLOOKUP(Main_M[[#This Row],[Industry]],Quartile_M[Industry],Quartile_M[P/E UB])),"Yes","No")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7CBD96-9DC7-4F09-9B11-F8C87451A82B}" name="Main_S" displayName="Main_S" ref="A1:Z279" tableType="queryTable" totalsRowShown="0">
  <autoFilter ref="A1:Z279" xr:uid="{DE7CBD96-9DC7-4F09-9B11-F8C87451A82B}"/>
  <sortState xmlns:xlrd2="http://schemas.microsoft.com/office/spreadsheetml/2017/richdata2" ref="A2:Z279">
    <sortCondition ref="A1:A279"/>
  </sortState>
  <tableColumns count="26">
    <tableColumn id="1" xr3:uid="{261FC5A1-AB9E-4068-9D87-D85D75FE0DD5}" uniqueName="1" name="Industry" queryTableFieldId="1" dataDxfId="119"/>
    <tableColumn id="2" xr3:uid="{4D1C6415-A4DE-450C-A6A0-32BD8F91DEB2}" uniqueName="2" name="Symbol" queryTableFieldId="2" dataDxfId="118"/>
    <tableColumn id="3" xr3:uid="{1913483F-1018-45E5-BBAD-415B97CDE58A}" uniqueName="3" name="Market Cap (M)" queryTableFieldId="43" dataDxfId="117"/>
    <tableColumn id="4" xr3:uid="{7E1635D0-4161-41FC-8D5D-5E03248D8D6C}" uniqueName="4" name="Current Price" queryTableFieldId="4"/>
    <tableColumn id="5" xr3:uid="{BFCEC97F-F42F-47E0-AE26-1709930A540B}" uniqueName="5" name="Free CF" queryTableFieldId="5"/>
    <tableColumn id="6" xr3:uid="{BCF39D81-8D8C-4AD8-9282-1C38028E3882}" uniqueName="6" name="BVPS" queryTableFieldId="6"/>
    <tableColumn id="7" xr3:uid="{EA83C4F8-920B-446E-81C2-B27D7026DC52}" uniqueName="7" name="EPS" queryTableFieldId="7"/>
    <tableColumn id="8" xr3:uid="{8E353476-C9B7-45A7-9139-76A9351BCA3B}" uniqueName="8" name="P/FCF" queryTableFieldId="8" dataDxfId="116"/>
    <tableColumn id="9" xr3:uid="{A85952D4-A3AB-4C1A-90DC-2E32ECE72481}" uniqueName="9" name="P/B" queryTableFieldId="45" dataDxfId="115"/>
    <tableColumn id="10" xr3:uid="{01C97A02-D515-4709-AAB2-49B06E62230D}" uniqueName="10" name="ROE" queryTableFieldId="10"/>
    <tableColumn id="11" xr3:uid="{94550A35-0E2A-4175-B54D-9D47C831DD48}" uniqueName="11" name="ROA" queryTableFieldId="11"/>
    <tableColumn id="13" xr3:uid="{94B8BA82-09F9-47C7-85B4-949FB0DF2A91}" uniqueName="13" name="A/E" queryTableFieldId="13"/>
    <tableColumn id="12" xr3:uid="{09F2AC5A-FBF9-4E80-AA6A-45689E659B60}" uniqueName="12" name="P/E" queryTableFieldId="12" dataDxfId="114"/>
    <tableColumn id="14" xr3:uid="{75658179-B2A8-47DA-8E22-05CB7BD8FE28}" uniqueName="14" name="Preliminary Criteria" queryTableFieldId="27">
      <calculatedColumnFormula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calculatedColumnFormula>
    </tableColumn>
    <tableColumn id="15" xr3:uid="{AE789B69-7955-4C5D-B0D8-BE506B154C66}" uniqueName="15" name="P/FCF Z-Score" queryTableFieldId="28" dataDxfId="113">
      <calculatedColumnFormula>(Main_S[[#This Row],[P/FCF]]-VLOOKUP(Main_S[[#This Row],[Industry]], Mean_PFCF_S, 2, FALSE))/(VLOOKUP(Main_S[[#This Row],[Industry]], Mean_PFCF_S, 3, FALSE))</calculatedColumnFormula>
    </tableColumn>
    <tableColumn id="16" xr3:uid="{6292DB1C-BF6D-4741-96E6-E3A145286F0A}" uniqueName="16" name="P/B Z-Score" queryTableFieldId="29" dataDxfId="112">
      <calculatedColumnFormula>(Main_S[[#This Row],[P/B]]-VLOOKUP(Main_S[[#This Row],[Industry]], Mean_PB_S, 2, FALSE))/(VLOOKUP(Main_S[[#This Row],[Industry]], Mean_PB_S, 3, FALSE))</calculatedColumnFormula>
    </tableColumn>
    <tableColumn id="17" xr3:uid="{DC5AB4EF-1E9A-4D34-B743-84444CD7A0DD}" uniqueName="17" name="ROE Z-Score" queryTableFieldId="30" dataDxfId="111">
      <calculatedColumnFormula>(Main_S[[#This Row],[ROE]]-VLOOKUP(Main_S[[#This Row],[Industry]], Mean_ROE_S, 2, FALSE))/(VLOOKUP(Main_S[[#This Row],[Industry]], Mean_ROE_S, 3, FALSE))</calculatedColumnFormula>
    </tableColumn>
    <tableColumn id="18" xr3:uid="{F8312DD8-C161-4C81-B590-85BC95BC6C2A}" uniqueName="18" name="ROA Z-Score" queryTableFieldId="31" dataDxfId="110">
      <calculatedColumnFormula>(Main_S[[#This Row],[ROA]]-VLOOKUP(Main_S[[#This Row],[Industry]], Mean_ROA_S, 2, FALSE))/(VLOOKUP(Main_S[[#This Row],[Industry]], Mean_ROA_S, 3, FALSE))</calculatedColumnFormula>
    </tableColumn>
    <tableColumn id="20" xr3:uid="{B2499DBE-D709-4AF4-AD2E-3CBB0EB50568}" uniqueName="20" name="A/E Z-Score" queryTableFieldId="33" dataDxfId="109">
      <calculatedColumnFormula>(Main_S[[#This Row],[A/E]]-VLOOKUP(Main_S[[#This Row],[Industry]], Mean_AE_S, 2, FALSE))/(VLOOKUP(Main_S[[#This Row],[Industry]], Mean_AE_S, 3, FALSE))</calculatedColumnFormula>
    </tableColumn>
    <tableColumn id="19" xr3:uid="{9CD668E1-B037-4423-81E4-CD131B72FC22}" uniqueName="19" name="P/E Z-Score" queryTableFieldId="32" dataDxfId="108">
      <calculatedColumnFormula>(Main_S[[#This Row],[P/E]]-VLOOKUP(Main_S[[#This Row],[Industry]], Mean_PE_S, 2, FALSE))/(VLOOKUP(Main_S[[#This Row],[Industry]], Mean_PE_S, 3, FALSE))</calculatedColumnFormula>
    </tableColumn>
    <tableColumn id="21" xr3:uid="{4B9DCA2A-2DD7-47E5-BE49-5397A59B85D5}" uniqueName="21" name="P/FCF Outlier" queryTableFieldId="34">
      <calculatedColumnFormula>IF(OR(Main_S[[#This Row],[P/FCF]]&lt;_xlfn.XLOOKUP(Main_S[[#This Row],[Industry]], Quartile_S[Industry], Quartile_S[P/FCF LB]), Main_S[[#This Row],[P/FCF]]&gt;_xlfn.XLOOKUP(Main_S[[#This Row],[Industry]], Quartile_S[Industry], Quartile_S[P/FCF UB])), "Yes", "No")</calculatedColumnFormula>
    </tableColumn>
    <tableColumn id="22" xr3:uid="{D6112E0B-D69F-47CE-948E-32CCD6C1EB14}" uniqueName="22" name="P/B Outlier" queryTableFieldId="35">
      <calculatedColumnFormula>IF(OR(Main_S[[#This Row],[P/B]]&lt;_xlfn.XLOOKUP(Main_S[[#This Row],[Industry]],Quartile_S[Industry],Quartile_S[P/B LB]),Main_S[[#This Row],[P/B]]&gt;_xlfn.XLOOKUP(Main_S[[#This Row],[Industry]],Quartile_S[Industry],Quartile_S[P/B UB])),"Yes","No")</calculatedColumnFormula>
    </tableColumn>
    <tableColumn id="23" xr3:uid="{70FBC285-BF41-49BB-887F-AFB1C19C5B62}" uniqueName="23" name="ROE Outlier" queryTableFieldId="36">
      <calculatedColumnFormula>IF(OR(Main_S[[#This Row],[ROE]]&lt;_xlfn.XLOOKUP(Main_S[[#This Row],[Industry]],Quartile_S[Industry],Quartile_S[ROE LB]),Main_S[[#This Row],[ROE]]&gt;_xlfn.XLOOKUP(Main_S[[#This Row],[Industry]],Quartile_S[Industry],Quartile_S[ROE UB])),"Yes","No")</calculatedColumnFormula>
    </tableColumn>
    <tableColumn id="24" xr3:uid="{C8DF68EE-BC04-4A1D-8CE7-C9115FA2FA9C}" uniqueName="24" name="ROA Outlier" queryTableFieldId="37">
      <calculatedColumnFormula>IF(OR(Main_S[[#This Row],[ROA]]&lt;_xlfn.XLOOKUP(Main_S[[#This Row],[Industry]],Quartile_S[Industry],Quartile_S[ROA LB]),Main_S[[#This Row],[ROA]]&gt;_xlfn.XLOOKUP(Main_S[[#This Row],[Industry]],Quartile_S[Industry],Quartile_S[ROA UB])),"Yes","No")</calculatedColumnFormula>
    </tableColumn>
    <tableColumn id="26" xr3:uid="{CAEB1F13-C76E-4164-AE70-884EC5A28B82}" uniqueName="26" name="A/E Outlier" queryTableFieldId="39">
      <calculatedColumnFormula>IF(OR(Main_S[[#This Row],[A/E]]&lt;_xlfn.XLOOKUP(Main_S[[#This Row],[Industry]],Quartile_S[Industry],Quartile_S[A/E LB]),Main_S[[#This Row],[A/E]]&gt;_xlfn.XLOOKUP(Main_S[[#This Row],[Industry]],Quartile_S[Industry],Quartile_S[A/E UB])),"Yes","No")</calculatedColumnFormula>
    </tableColumn>
    <tableColumn id="25" xr3:uid="{0C4DC875-A443-4C26-8D18-71F5BA699597}" uniqueName="25" name="P/E Outlier" queryTableFieldId="38">
      <calculatedColumnFormula>IF(OR(Main_S[[#This Row],[P/E]]&lt;_xlfn.XLOOKUP(Main_S[[#This Row],[Industry]],Quartile_S[Industry],Quartile_S[P/E LB]),Main_S[[#This Row],[P/E]]&gt;_xlfn.XLOOKUP(Main_S[[#This Row],[Industry]],Quartile_S[Industry],Quartile_S[P/E UB])),"Yes","No")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08F30B-5B6A-425F-B235-3500A3319B88}" name="Quartile_L" displayName="Quartile_L" ref="A2:Y8" tableType="queryTable" totalsRowShown="0">
  <autoFilter ref="A2:Y8" xr:uid="{CF08F30B-5B6A-425F-B235-3500A3319B88}"/>
  <tableColumns count="25">
    <tableColumn id="1" xr3:uid="{FD842081-B64F-4301-AA21-FB7B05A836D4}" uniqueName="1" name="Industry" queryTableFieldId="1" dataDxfId="142"/>
    <tableColumn id="2" xr3:uid="{E59C1D9B-F213-4C25-84A0-0FA886F9704F}" uniqueName="2" name="P/FCF Q1" queryTableFieldId="2" dataDxfId="23"/>
    <tableColumn id="3" xr3:uid="{04B713EC-FD8B-48E2-A2D2-C366A9A339B7}" uniqueName="3" name="P/FCF Q3" queryTableFieldId="3" dataDxfId="22"/>
    <tableColumn id="4" xr3:uid="{9DCEA951-E29F-4D9E-B9F0-5DC32A557DF0}" uniqueName="4" name="P/FCF LB" queryTableFieldId="4" dataDxfId="21"/>
    <tableColumn id="5" xr3:uid="{C2B6F391-AB27-4C2B-B68A-D2B47E1AA772}" uniqueName="5" name="P/FCF UB" queryTableFieldId="5" dataDxfId="20"/>
    <tableColumn id="6" xr3:uid="{1FD6B89C-F582-4857-A32F-326E69C5DFFD}" uniqueName="6" name="P/B Q1" queryTableFieldId="6" dataDxfId="19"/>
    <tableColumn id="7" xr3:uid="{A3697E12-D8D4-4284-AE2B-01C3BA154C99}" uniqueName="7" name="P/B Q3" queryTableFieldId="7" dataDxfId="18"/>
    <tableColumn id="8" xr3:uid="{A270BB2A-00C0-4246-AFBA-EDE9D5F40C76}" uniqueName="8" name="P/B LB" queryTableFieldId="8" dataDxfId="17"/>
    <tableColumn id="9" xr3:uid="{F99BB669-75E9-428A-88A3-E037E705383F}" uniqueName="9" name="P/B UB" queryTableFieldId="9" dataDxfId="16"/>
    <tableColumn id="10" xr3:uid="{D3A49932-F6DE-43A8-B449-B1C4E41499CF}" uniqueName="10" name="ROE Q1" queryTableFieldId="10" dataDxfId="15"/>
    <tableColumn id="11" xr3:uid="{BD8F2597-7442-49AD-BA3A-A3F29A6E60DD}" uniqueName="11" name="ROE Q3" queryTableFieldId="11" dataDxfId="14"/>
    <tableColumn id="12" xr3:uid="{3B29ED46-D0C8-4AF8-BFC0-41462C6C29EB}" uniqueName="12" name="ROE LB" queryTableFieldId="12" dataDxfId="13"/>
    <tableColumn id="13" xr3:uid="{F62F045D-EA3F-4608-85C5-21D743180D21}" uniqueName="13" name="ROE UB" queryTableFieldId="13" dataDxfId="12"/>
    <tableColumn id="14" xr3:uid="{9D898AB4-6F4D-4D03-BA61-39B91E78C9C6}" uniqueName="14" name="ROA Q1" queryTableFieldId="14" dataDxfId="11"/>
    <tableColumn id="15" xr3:uid="{2D1DFB04-09CE-4BEC-AD50-26246811DCDA}" uniqueName="15" name="ROA Q3" queryTableFieldId="15" dataDxfId="10"/>
    <tableColumn id="16" xr3:uid="{753F114C-61F5-4444-9EB0-76DCEA7F1F1B}" uniqueName="16" name="ROA LB" queryTableFieldId="16" dataDxfId="9"/>
    <tableColumn id="17" xr3:uid="{AA60DB6D-6DE2-4BF0-A375-18A578568BBF}" uniqueName="17" name="ROA UB" queryTableFieldId="17" dataDxfId="8"/>
    <tableColumn id="18" xr3:uid="{5357CEC7-DB8C-48BE-BDAD-FCBB1FB43389}" uniqueName="18" name="P/E Q1" queryTableFieldId="18" dataDxfId="7"/>
    <tableColumn id="19" xr3:uid="{C18FE8DB-95D8-42EC-BC42-C15678D7CE64}" uniqueName="19" name="P/E Q3" queryTableFieldId="19" dataDxfId="6"/>
    <tableColumn id="20" xr3:uid="{B7040099-49E4-464B-9BD8-1326A00D0599}" uniqueName="20" name="P/E LB" queryTableFieldId="20" dataDxfId="5"/>
    <tableColumn id="21" xr3:uid="{E8713F96-91B8-41CB-AA45-CCA61FACA752}" uniqueName="21" name="P/E UB" queryTableFieldId="21" dataDxfId="4"/>
    <tableColumn id="22" xr3:uid="{91693169-B783-4EDC-94CF-D23F08159B62}" uniqueName="22" name="A/E Q1" queryTableFieldId="22" dataDxfId="3"/>
    <tableColumn id="23" xr3:uid="{F98A9AC1-1CAF-483B-A342-F3A466AEB043}" uniqueName="23" name="A/E Q3" queryTableFieldId="23" dataDxfId="2"/>
    <tableColumn id="24" xr3:uid="{04D140EC-A8E6-4894-B430-208F20D411DB}" uniqueName="24" name="A/E LB" queryTableFieldId="24" dataDxfId="1"/>
    <tableColumn id="25" xr3:uid="{3E6CFD0C-10B0-4D91-A289-A353306CC102}" uniqueName="25" name="A/E UB" queryTableFieldId="25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F54F15-11E6-4F5B-BF51-37096268E20C}" name="Quartile_M" displayName="Quartile_M" ref="A12:Y18" tableType="queryTable" totalsRowShown="0">
  <autoFilter ref="A12:Y18" xr:uid="{89F54F15-11E6-4F5B-BF51-37096268E20C}"/>
  <tableColumns count="25">
    <tableColumn id="1" xr3:uid="{1DD86F6C-5649-4964-82C3-51A7F8B44C8D}" uniqueName="1" name="Industry" queryTableFieldId="1" dataDxfId="141"/>
    <tableColumn id="2" xr3:uid="{E9710093-0C0E-47F6-BA82-6DF1689DE3FF}" uniqueName="2" name="P/FCF Q1" queryTableFieldId="2" dataDxfId="83"/>
    <tableColumn id="3" xr3:uid="{BB549C0D-7552-41A2-B049-C1E0C569FC5B}" uniqueName="3" name="P/FCF Q3" queryTableFieldId="3" dataDxfId="82"/>
    <tableColumn id="4" xr3:uid="{F8874757-4F98-4408-A256-B3DBB97E40A5}" uniqueName="4" name="P/FCF LB" queryTableFieldId="4" dataDxfId="81"/>
    <tableColumn id="5" xr3:uid="{7F92E8F9-91DF-48EA-A8F2-F3E13D8104D3}" uniqueName="5" name="P/FCF UB" queryTableFieldId="5" dataDxfId="80"/>
    <tableColumn id="6" xr3:uid="{837AC52A-2B15-4BFB-A555-2456F010C7C9}" uniqueName="6" name="P/B Q1" queryTableFieldId="6" dataDxfId="79"/>
    <tableColumn id="7" xr3:uid="{C672A3A3-8D6C-4E08-B6E3-1D85CD510A41}" uniqueName="7" name="P/B Q3" queryTableFieldId="7" dataDxfId="78"/>
    <tableColumn id="8" xr3:uid="{47FBFC34-1D36-49FE-8583-28072989EA1C}" uniqueName="8" name="P/B LB" queryTableFieldId="8" dataDxfId="77"/>
    <tableColumn id="9" xr3:uid="{98DADD72-A76B-4DE4-AB34-515EBE2E4A04}" uniqueName="9" name="P/B UB" queryTableFieldId="9" dataDxfId="76"/>
    <tableColumn id="10" xr3:uid="{C06AFB5F-1921-4B19-AFA7-04514BD3BC35}" uniqueName="10" name="ROE Q1" queryTableFieldId="10" dataDxfId="75"/>
    <tableColumn id="11" xr3:uid="{38FF7E38-2AC1-4486-B824-BCBE4156ADA7}" uniqueName="11" name="ROE Q3" queryTableFieldId="11" dataDxfId="74"/>
    <tableColumn id="12" xr3:uid="{1BBD6DC1-3C0C-48AF-9986-81D1F4A26368}" uniqueName="12" name="ROE LB" queryTableFieldId="12" dataDxfId="73"/>
    <tableColumn id="13" xr3:uid="{5775303C-3550-4762-86D0-7A82C106A3F0}" uniqueName="13" name="ROE UB" queryTableFieldId="13" dataDxfId="72"/>
    <tableColumn id="14" xr3:uid="{9FE06177-2E94-4066-A65B-77414C97B4DC}" uniqueName="14" name="ROA Q1" queryTableFieldId="14" dataDxfId="71"/>
    <tableColumn id="15" xr3:uid="{386179E5-15F0-4AED-9E0C-1EB211C80CEE}" uniqueName="15" name="ROA Q3" queryTableFieldId="15" dataDxfId="70"/>
    <tableColumn id="16" xr3:uid="{C7DC1506-2223-42A0-AC4B-68B0E14D2B9D}" uniqueName="16" name="ROA LB" queryTableFieldId="16" dataDxfId="69"/>
    <tableColumn id="17" xr3:uid="{C45AE1E6-1326-44B3-972F-838B081A78FC}" uniqueName="17" name="ROA UB" queryTableFieldId="17" dataDxfId="68"/>
    <tableColumn id="18" xr3:uid="{17D85B47-F40C-47C3-996F-C47242CFB7D2}" uniqueName="18" name="P/E Q1" queryTableFieldId="18" dataDxfId="67"/>
    <tableColumn id="19" xr3:uid="{44248722-1EBA-4DF8-B99D-B6B2F31E253B}" uniqueName="19" name="P/E Q3" queryTableFieldId="19" dataDxfId="66"/>
    <tableColumn id="20" xr3:uid="{93299C7A-5544-43AE-ACC5-72F0CB129F08}" uniqueName="20" name="P/E LB" queryTableFieldId="20" dataDxfId="65"/>
    <tableColumn id="21" xr3:uid="{3E027012-2DA9-4754-8880-25FEEDEFA94A}" uniqueName="21" name="P/E UB" queryTableFieldId="21" dataDxfId="64"/>
    <tableColumn id="22" xr3:uid="{FF2638EF-6EA0-401C-B7D8-A2BC49ECD2B0}" uniqueName="22" name="A/E Q1" queryTableFieldId="22" dataDxfId="63"/>
    <tableColumn id="23" xr3:uid="{546FB46A-BFEC-4020-A8E1-97073EBE991F}" uniqueName="23" name="A/E Q3" queryTableFieldId="23" dataDxfId="62"/>
    <tableColumn id="24" xr3:uid="{41F03CE5-975A-469D-B609-D8C5D8D172FA}" uniqueName="24" name="A/E LB" queryTableFieldId="24" dataDxfId="61"/>
    <tableColumn id="25" xr3:uid="{1863137D-3C8C-4A15-9A63-5E253392AFAD}" uniqueName="25" name="A/E UB" queryTableFieldId="25" dataDxfId="6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F689D08-98E7-4B08-8D8B-630159DED978}" name="Quartile_S" displayName="Quartile_S" ref="A22:Y28" tableType="queryTable" totalsRowShown="0">
  <autoFilter ref="A22:Y28" xr:uid="{CF689D08-98E7-4B08-8D8B-630159DED978}"/>
  <tableColumns count="25">
    <tableColumn id="1" xr3:uid="{1B5FE8EC-4B8C-444E-96DC-3618818E7D45}" uniqueName="1" name="Industry" queryTableFieldId="1" dataDxfId="140"/>
    <tableColumn id="2" xr3:uid="{0E20A80F-BE74-42F8-83EF-419A13269CF8}" uniqueName="2" name="P/FCF Q1" queryTableFieldId="2" dataDxfId="107"/>
    <tableColumn id="3" xr3:uid="{6D66145B-6613-41BC-8233-7356853CCFEF}" uniqueName="3" name="P/FCF Q3" queryTableFieldId="3" dataDxfId="106"/>
    <tableColumn id="4" xr3:uid="{90A69125-3CA2-4D0A-8F1A-65993DFA9D46}" uniqueName="4" name="P/FCF LB" queryTableFieldId="4" dataDxfId="105"/>
    <tableColumn id="5" xr3:uid="{BED6E3D4-DC60-428F-B5E8-4C3C64096FD7}" uniqueName="5" name="P/FCF UB" queryTableFieldId="5" dataDxfId="104"/>
    <tableColumn id="6" xr3:uid="{FC33B186-B76E-4D86-8EBD-E25B773D256E}" uniqueName="6" name="P/B Q1" queryTableFieldId="6" dataDxfId="103"/>
    <tableColumn id="7" xr3:uid="{D82D1432-7C03-4449-BD2D-F895D50A5F32}" uniqueName="7" name="P/B Q3" queryTableFieldId="7" dataDxfId="102"/>
    <tableColumn id="8" xr3:uid="{D3389429-24FB-4947-AACF-CAA92D678F94}" uniqueName="8" name="P/B LB" queryTableFieldId="8" dataDxfId="101"/>
    <tableColumn id="9" xr3:uid="{452E932D-DD5B-4C62-A8B3-25C90C8C7751}" uniqueName="9" name="P/B UB" queryTableFieldId="9" dataDxfId="100"/>
    <tableColumn id="10" xr3:uid="{99E11285-9679-47B1-9540-1BD10239596C}" uniqueName="10" name="ROE Q1" queryTableFieldId="10" dataDxfId="99"/>
    <tableColumn id="11" xr3:uid="{B4F1825A-C678-4C01-BB96-B04FAB1938BD}" uniqueName="11" name="ROE Q3" queryTableFieldId="11" dataDxfId="98"/>
    <tableColumn id="12" xr3:uid="{9F07026D-928C-42B1-8DD2-9BD3176C8B6A}" uniqueName="12" name="ROE LB" queryTableFieldId="12" dataDxfId="97"/>
    <tableColumn id="13" xr3:uid="{47360B1B-7AC4-49FA-9F18-2F1F1B72CA28}" uniqueName="13" name="ROE UB" queryTableFieldId="13" dataDxfId="96"/>
    <tableColumn id="14" xr3:uid="{58B0248D-BCFF-4737-ADF5-EE087C03D561}" uniqueName="14" name="ROA Q1" queryTableFieldId="14" dataDxfId="95"/>
    <tableColumn id="15" xr3:uid="{CCD6E6AE-6BBB-4675-8C50-0F87AF280A3C}" uniqueName="15" name="ROA Q3" queryTableFieldId="15" dataDxfId="94"/>
    <tableColumn id="16" xr3:uid="{BB86731C-A605-4988-A848-B35835CAF73E}" uniqueName="16" name="ROA LB" queryTableFieldId="16" dataDxfId="93"/>
    <tableColumn id="17" xr3:uid="{9760AC7A-70E9-4457-8DC8-4BDA6646C74E}" uniqueName="17" name="ROA UB" queryTableFieldId="17" dataDxfId="92"/>
    <tableColumn id="18" xr3:uid="{931D5CA9-41B9-424B-87E6-FA364034B249}" uniqueName="18" name="P/E Q1" queryTableFieldId="18" dataDxfId="91"/>
    <tableColumn id="19" xr3:uid="{23E1DD3D-5F02-4A6D-9773-5EA3466661AF}" uniqueName="19" name="P/E Q3" queryTableFieldId="19" dataDxfId="90"/>
    <tableColumn id="20" xr3:uid="{478DC28A-5ACD-47E8-8720-6EEE2D43205B}" uniqueName="20" name="P/E LB" queryTableFieldId="20" dataDxfId="89"/>
    <tableColumn id="21" xr3:uid="{AC7D613F-0AC5-4542-BBED-886B4C332840}" uniqueName="21" name="P/E UB" queryTableFieldId="21" dataDxfId="88"/>
    <tableColumn id="22" xr3:uid="{1E3F527B-4B19-4D38-9A78-D4BBA95224B9}" uniqueName="22" name="A/E Q1" queryTableFieldId="22" dataDxfId="87"/>
    <tableColumn id="23" xr3:uid="{1256121C-1427-4F44-988A-E08E26F80A67}" uniqueName="23" name="A/E Q3" queryTableFieldId="23" dataDxfId="86"/>
    <tableColumn id="24" xr3:uid="{3F6A6F05-B80E-47C0-9039-80E1A481FF30}" uniqueName="24" name="A/E LB" queryTableFieldId="24" dataDxfId="85"/>
    <tableColumn id="25" xr3:uid="{08969B40-89DA-4EAE-925B-3C841EB86C63}" uniqueName="25" name="A/E UB" queryTableFieldId="25" dataDxfId="8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pivotTable" Target="../pivotTables/pivotTable18.xml"/><Relationship Id="rId5" Type="http://schemas.openxmlformats.org/officeDocument/2006/relationships/pivotTable" Target="../pivotTables/pivotTable17.xml"/><Relationship Id="rId4" Type="http://schemas.openxmlformats.org/officeDocument/2006/relationships/pivotTable" Target="../pivotTables/pivotTable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16758-3ABF-45AA-95BE-571D40518C86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38.42578125" bestFit="1" customWidth="1"/>
  </cols>
  <sheetData>
    <row r="1" spans="1:1" x14ac:dyDescent="0.25">
      <c r="A1" t="s">
        <v>70</v>
      </c>
    </row>
    <row r="2" spans="1:1" x14ac:dyDescent="0.25">
      <c r="A2" t="str" cm="1">
        <f t="array" aca="1" ref="A2" ca="1">LEFT(CELL("filename"),SEARCH("\M",CELL("filename")))</f>
        <v>D:\PROJECTS\Undervalued Stock Scanner\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EAB8-3883-4B73-9311-1CC6D851AC56}">
  <sheetPr codeName="Sheet2"/>
  <dimension ref="A1:Z94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152</v>
      </c>
      <c r="B2" t="s">
        <v>153</v>
      </c>
      <c r="C2" s="2">
        <v>332727</v>
      </c>
      <c r="D2">
        <f>RTD("tos.rtd", , "LAST", Main_L[[#This Row],[Symbol]])</f>
        <v>188</v>
      </c>
      <c r="E2">
        <v>10.08</v>
      </c>
      <c r="F2">
        <v>1.88</v>
      </c>
      <c r="G2">
        <v>2.34</v>
      </c>
      <c r="H2" s="1">
        <f>IF(ISNUMBER(Main_L[[#This Row],[Free CF]]),IF(Main_L[[#This Row],[Free CF]]&lt;&gt;0,Main_L[[#This Row],[Current Price]]/Main_L[[#This Row],[Free CF]],""),"")</f>
        <v>18.650793650793652</v>
      </c>
      <c r="I2" s="1">
        <f>IF(ISNUMBER(Main_L[[#This Row],[BVPS]]),IF(Main_L[[#This Row],[BVPS]]&lt;&gt;0,Main_L[[#This Row],[Current Price]]/Main_L[[#This Row],[BVPS]],""),"")</f>
        <v>100</v>
      </c>
      <c r="J2">
        <v>62.29</v>
      </c>
      <c r="K2">
        <v>8.49</v>
      </c>
      <c r="L2">
        <v>40.65</v>
      </c>
      <c r="M2" s="1">
        <f>IF(ISNUMBER(Main_L[[#This Row],[EPS]]),IF(Main_L[[#This Row],[EPS]]&lt;&gt;0,Main_L[[#This Row],[Current Price]]/Main_L[[#This Row],[EPS]],""),"")</f>
        <v>80.341880341880341</v>
      </c>
      <c r="N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" s="1">
        <f>(Main_L[[#This Row],[P/FCF]]-VLOOKUP(Main_L[[#This Row],[Industry]], Mean_PFCF_L, 2, FALSE))/(VLOOKUP(Main_L[[#This Row],[Industry]], Mean_PFCF_L, 3, FALSE))</f>
        <v>0.34338115103089556</v>
      </c>
      <c r="P2" s="1">
        <f>(Main_L[[#This Row],[P/B]]-VLOOKUP(Main_L[[#This Row],[Industry]], Mean_PB_L, 2, FALSE))/(VLOOKUP(Main_L[[#This Row],[Industry]], Mean_PB_L, 3, FALSE))</f>
        <v>9.0596643174397293</v>
      </c>
      <c r="Q2" s="1">
        <f>(Main_L[[#This Row],[ROE]]-VLOOKUP(Main_L[[#This Row],[Industry]], Mean_ROE_L, 2, FALSE))/(VLOOKUP(Main_L[[#This Row],[Industry]], Mean_ROE_L, 3, FALSE))</f>
        <v>2.3635666130337052</v>
      </c>
      <c r="R2" s="1">
        <f>(Main_L[[#This Row],[ROA]]-VLOOKUP(Main_L[[#This Row],[Industry]], Mean_ROA_L, 2, FALSE))/(VLOOKUP(Main_L[[#This Row],[Industry]], Mean_ROA_L, 3, FALSE))</f>
        <v>0.55227481478694618</v>
      </c>
      <c r="S2" s="1">
        <f>(Main_L[[#This Row],[A/E]]-VLOOKUP(Main_L[[#This Row],[Industry]], Mean_AE_L, 2, FALSE))/(VLOOKUP(Main_L[[#This Row],[Industry]], Mean_AE_L, 3, FALSE))</f>
        <v>80.185265033004868</v>
      </c>
      <c r="T2" s="1">
        <f>(Main_L[[#This Row],[P/E]]-VLOOKUP(Main_L[[#This Row],[Industry]], Mean_PE_L, 2, FALSE))/(VLOOKUP(Main_L[[#This Row],[Industry]], Mean_PE_L, 3, FALSE))</f>
        <v>1.849382727203295</v>
      </c>
      <c r="U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" spans="1:26" x14ac:dyDescent="0.25">
      <c r="A3" t="s">
        <v>152</v>
      </c>
      <c r="B3" t="s">
        <v>154</v>
      </c>
      <c r="C3" s="2">
        <v>36059</v>
      </c>
      <c r="D3">
        <f>RTD("tos.rtd", , "LAST", Main_L[[#This Row],[Symbol]])</f>
        <v>266.86</v>
      </c>
      <c r="E3">
        <v>-0.59</v>
      </c>
      <c r="F3">
        <v>0.89</v>
      </c>
      <c r="G3">
        <v>-2.1</v>
      </c>
      <c r="H3" s="1">
        <f>IF(ISNUMBER(Main_L[[#This Row],[Free CF]]),IF(Main_L[[#This Row],[Free CF]]&lt;&gt;0,Main_L[[#This Row],[Current Price]]/Main_L[[#This Row],[Free CF]],""),"")</f>
        <v>-452.30508474576277</v>
      </c>
      <c r="I3" s="1">
        <f>IF(ISNUMBER(Main_L[[#This Row],[BVPS]]),IF(Main_L[[#This Row],[BVPS]]&lt;&gt;0,Main_L[[#This Row],[Current Price]]/Main_L[[#This Row],[BVPS]],""),"")</f>
        <v>299.84269662921349</v>
      </c>
      <c r="J3">
        <v>519.47</v>
      </c>
      <c r="K3">
        <v>-1.79</v>
      </c>
      <c r="L3">
        <v>36.5</v>
      </c>
      <c r="M3" s="1">
        <f>IF(ISNUMBER(Main_L[[#This Row],[EPS]]),IF(Main_L[[#This Row],[EPS]]&lt;&gt;0,Main_L[[#This Row],[Current Price]]/Main_L[[#This Row],[EPS]],""),"")</f>
        <v>-127.07619047619048</v>
      </c>
      <c r="N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" s="1">
        <f>(Main_L[[#This Row],[P/FCF]]-VLOOKUP(Main_L[[#This Row],[Industry]], Mean_PFCF_L, 2, FALSE))/(VLOOKUP(Main_L[[#This Row],[Industry]], Mean_PFCF_L, 3, FALSE))</f>
        <v>-21.854401016858954</v>
      </c>
      <c r="P3" s="1">
        <f>(Main_L[[#This Row],[P/B]]-VLOOKUP(Main_L[[#This Row],[Industry]], Mean_PB_L, 2, FALSE))/(VLOOKUP(Main_L[[#This Row],[Industry]], Mean_PB_L, 3, FALSE))</f>
        <v>28.705722666478405</v>
      </c>
      <c r="Q3" s="1">
        <f>(Main_L[[#This Row],[ROE]]-VLOOKUP(Main_L[[#This Row],[Industry]], Mean_ROE_L, 2, FALSE))/(VLOOKUP(Main_L[[#This Row],[Industry]], Mean_ROE_L, 3, FALSE))</f>
        <v>22.57871305545822</v>
      </c>
      <c r="R3" s="1">
        <f>(Main_L[[#This Row],[ROA]]-VLOOKUP(Main_L[[#This Row],[Industry]], Mean_ROA_L, 2, FALSE))/(VLOOKUP(Main_L[[#This Row],[Industry]], Mean_ROA_L, 3, FALSE))</f>
        <v>-0.95144695872948237</v>
      </c>
      <c r="S3" s="1">
        <f>(Main_L[[#This Row],[A/E]]-VLOOKUP(Main_L[[#This Row],[Industry]], Mean_AE_L, 2, FALSE))/(VLOOKUP(Main_L[[#This Row],[Industry]], Mean_AE_L, 3, FALSE))</f>
        <v>71.683386233497444</v>
      </c>
      <c r="T3" s="1">
        <f>(Main_L[[#This Row],[P/E]]-VLOOKUP(Main_L[[#This Row],[Industry]], Mean_PE_L, 2, FALSE))/(VLOOKUP(Main_L[[#This Row],[Industry]], Mean_PE_L, 3, FALSE))</f>
        <v>-3.021716641467703</v>
      </c>
      <c r="U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" spans="1:26" x14ac:dyDescent="0.25">
      <c r="A4" t="s">
        <v>152</v>
      </c>
      <c r="B4" t="s">
        <v>155</v>
      </c>
      <c r="C4" s="2">
        <v>148321</v>
      </c>
      <c r="D4">
        <f>RTD("tos.rtd", , "LAST", Main_L[[#This Row],[Symbol]])</f>
        <v>270.45</v>
      </c>
      <c r="E4">
        <v>20.309999999999999</v>
      </c>
      <c r="F4">
        <v>11.54</v>
      </c>
      <c r="G4">
        <v>10.94</v>
      </c>
      <c r="H4" s="1">
        <f>IF(ISNUMBER(Main_L[[#This Row],[Free CF]]),IF(Main_L[[#This Row],[Free CF]]&lt;&gt;0,Main_L[[#This Row],[Current Price]]/Main_L[[#This Row],[Free CF]],""),"")</f>
        <v>13.316100443131463</v>
      </c>
      <c r="I4" s="1">
        <f>IF(ISNUMBER(Main_L[[#This Row],[BVPS]]),IF(Main_L[[#This Row],[BVPS]]&lt;&gt;0,Main_L[[#This Row],[Current Price]]/Main_L[[#This Row],[BVPS]],""),"")</f>
        <v>23.435875216637783</v>
      </c>
      <c r="J4">
        <v>105.67</v>
      </c>
      <c r="K4">
        <v>7.04</v>
      </c>
      <c r="L4">
        <v>14.4</v>
      </c>
      <c r="M4" s="1">
        <f>IF(ISNUMBER(Main_L[[#This Row],[EPS]]),IF(Main_L[[#This Row],[EPS]]&lt;&gt;0,Main_L[[#This Row],[Current Price]]/Main_L[[#This Row],[EPS]],""),"")</f>
        <v>24.721206581352835</v>
      </c>
      <c r="N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" s="1">
        <f>(Main_L[[#This Row],[P/FCF]]-VLOOKUP(Main_L[[#This Row],[Industry]], Mean_PFCF_L, 2, FALSE))/(VLOOKUP(Main_L[[#This Row],[Industry]], Mean_PFCF_L, 3, FALSE))</f>
        <v>9.1938578195026419E-2</v>
      </c>
      <c r="P4" s="1">
        <f>(Main_L[[#This Row],[P/B]]-VLOOKUP(Main_L[[#This Row],[Industry]], Mean_PB_L, 2, FALSE))/(VLOOKUP(Main_L[[#This Row],[Industry]], Mean_PB_L, 3, FALSE))</f>
        <v>1.5328280191492718</v>
      </c>
      <c r="Q4" s="1">
        <f>(Main_L[[#This Row],[ROE]]-VLOOKUP(Main_L[[#This Row],[Industry]], Mean_ROE_L, 2, FALSE))/(VLOOKUP(Main_L[[#This Row],[Industry]], Mean_ROE_L, 3, FALSE))</f>
        <v>4.281701817269183</v>
      </c>
      <c r="R4" s="1">
        <f>(Main_L[[#This Row],[ROA]]-VLOOKUP(Main_L[[#This Row],[Industry]], Mean_ROA_L, 2, FALSE))/(VLOOKUP(Main_L[[#This Row],[Industry]], Mean_ROA_L, 3, FALSE))</f>
        <v>0.34017398097383122</v>
      </c>
      <c r="S4" s="1">
        <f>(Main_L[[#This Row],[A/E]]-VLOOKUP(Main_L[[#This Row],[Industry]], Mean_AE_L, 2, FALSE))/(VLOOKUP(Main_L[[#This Row],[Industry]], Mean_AE_L, 3, FALSE))</f>
        <v>26.408320819253102</v>
      </c>
      <c r="T4" s="1">
        <f>(Main_L[[#This Row],[P/E]]-VLOOKUP(Main_L[[#This Row],[Industry]], Mean_PE_L, 2, FALSE))/(VLOOKUP(Main_L[[#This Row],[Industry]], Mean_PE_L, 3, FALSE))</f>
        <v>0.54316178043920704</v>
      </c>
      <c r="U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" spans="1:26" x14ac:dyDescent="0.25">
      <c r="A5" t="s">
        <v>152</v>
      </c>
      <c r="B5" t="s">
        <v>156</v>
      </c>
      <c r="C5" s="2">
        <v>38036</v>
      </c>
      <c r="D5">
        <f>RTD("tos.rtd", , "LAST", Main_L[[#This Row],[Symbol]])</f>
        <v>542.47</v>
      </c>
      <c r="E5">
        <v>-2.52</v>
      </c>
      <c r="F5">
        <v>90.49</v>
      </c>
      <c r="G5">
        <v>12.78</v>
      </c>
      <c r="H5" s="1">
        <f>IF(ISNUMBER(Main_L[[#This Row],[Free CF]]),IF(Main_L[[#This Row],[Free CF]]&lt;&gt;0,Main_L[[#This Row],[Current Price]]/Main_L[[#This Row],[Free CF]],""),"")</f>
        <v>-215.26587301587301</v>
      </c>
      <c r="I5" s="1">
        <f>IF(ISNUMBER(Main_L[[#This Row],[BVPS]]),IF(Main_L[[#This Row],[BVPS]]&lt;&gt;0,Main_L[[#This Row],[Current Price]]/Main_L[[#This Row],[BVPS]],""),"")</f>
        <v>5.994806055917782</v>
      </c>
      <c r="J5">
        <v>17.36</v>
      </c>
      <c r="K5">
        <v>-0.21</v>
      </c>
      <c r="L5">
        <v>1.1299999999999999</v>
      </c>
      <c r="M5" s="1">
        <f>IF(ISNUMBER(Main_L[[#This Row],[EPS]]),IF(Main_L[[#This Row],[EPS]]&lt;&gt;0,Main_L[[#This Row],[Current Price]]/Main_L[[#This Row],[EPS]],""),"")</f>
        <v>42.446791862284826</v>
      </c>
      <c r="N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" s="1">
        <f>(Main_L[[#This Row],[P/FCF]]-VLOOKUP(Main_L[[#This Row],[Industry]], Mean_PFCF_L, 2, FALSE))/(VLOOKUP(Main_L[[#This Row],[Industry]], Mean_PFCF_L, 3, FALSE))</f>
        <v>-10.681921749495624</v>
      </c>
      <c r="P5" s="1">
        <f>(Main_L[[#This Row],[P/B]]-VLOOKUP(Main_L[[#This Row],[Industry]], Mean_PB_L, 2, FALSE))/(VLOOKUP(Main_L[[#This Row],[Industry]], Mean_PB_L, 3, FALSE))</f>
        <v>-0.18176184668340817</v>
      </c>
      <c r="Q5" s="1">
        <f>(Main_L[[#This Row],[ROE]]-VLOOKUP(Main_L[[#This Row],[Industry]], Mean_ROE_L, 2, FALSE))/(VLOOKUP(Main_L[[#This Row],[Industry]], Mean_ROE_L, 3, FALSE))</f>
        <v>0.37689499647538377</v>
      </c>
      <c r="R5" s="1">
        <f>(Main_L[[#This Row],[ROA]]-VLOOKUP(Main_L[[#This Row],[Industry]], Mean_ROA_L, 2, FALSE))/(VLOOKUP(Main_L[[#This Row],[Industry]], Mean_ROA_L, 3, FALSE))</f>
        <v>-0.72033018809174332</v>
      </c>
      <c r="S5" s="1">
        <f>(Main_L[[#This Row],[A/E]]-VLOOKUP(Main_L[[#This Row],[Industry]], Mean_AE_L, 2, FALSE))/(VLOOKUP(Main_L[[#This Row],[Industry]], Mean_AE_L, 3, FALSE))</f>
        <v>-0.77720488423208012</v>
      </c>
      <c r="T5" s="1">
        <f>(Main_L[[#This Row],[P/E]]-VLOOKUP(Main_L[[#This Row],[Industry]], Mean_PE_L, 2, FALSE))/(VLOOKUP(Main_L[[#This Row],[Industry]], Mean_PE_L, 3, FALSE))</f>
        <v>0.95943740642844133</v>
      </c>
      <c r="U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" spans="1:26" x14ac:dyDescent="0.25">
      <c r="A6" t="s">
        <v>152</v>
      </c>
      <c r="B6" t="s">
        <v>157</v>
      </c>
      <c r="C6" s="2">
        <v>17175</v>
      </c>
      <c r="D6">
        <f>RTD("tos.rtd", , "LAST", Main_L[[#This Row],[Symbol]])</f>
        <v>123.16</v>
      </c>
      <c r="E6">
        <v>16.350000000000001</v>
      </c>
      <c r="F6">
        <v>115.9</v>
      </c>
      <c r="G6">
        <v>10.119999999999999</v>
      </c>
      <c r="H6" s="1">
        <f>IF(ISNUMBER(Main_L[[#This Row],[Free CF]]),IF(Main_L[[#This Row],[Free CF]]&lt;&gt;0,Main_L[[#This Row],[Current Price]]/Main_L[[#This Row],[Free CF]],""),"")</f>
        <v>7.5327217125382253</v>
      </c>
      <c r="I6" s="1">
        <f>IF(ISNUMBER(Main_L[[#This Row],[BVPS]]),IF(Main_L[[#This Row],[BVPS]]&lt;&gt;0,Main_L[[#This Row],[Current Price]]/Main_L[[#This Row],[BVPS]],""),"")</f>
        <v>1.0626402070750647</v>
      </c>
      <c r="J6">
        <v>9.19</v>
      </c>
      <c r="K6">
        <v>5.43</v>
      </c>
      <c r="L6">
        <v>1.65</v>
      </c>
      <c r="M6" s="1">
        <f>IF(ISNUMBER(Main_L[[#This Row],[EPS]]),IF(Main_L[[#This Row],[EPS]]&lt;&gt;0,Main_L[[#This Row],[Current Price]]/Main_L[[#This Row],[EPS]],""),"")</f>
        <v>12.169960474308301</v>
      </c>
      <c r="N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" s="1">
        <f>(Main_L[[#This Row],[P/FCF]]-VLOOKUP(Main_L[[#This Row],[Industry]], Mean_PFCF_L, 2, FALSE))/(VLOOKUP(Main_L[[#This Row],[Industry]], Mean_PFCF_L, 3, FALSE))</f>
        <v>-0.1806520978003551</v>
      </c>
      <c r="P6" s="1">
        <f>(Main_L[[#This Row],[P/B]]-VLOOKUP(Main_L[[#This Row],[Industry]], Mean_PB_L, 2, FALSE))/(VLOOKUP(Main_L[[#This Row],[Industry]], Mean_PB_L, 3, FALSE))</f>
        <v>-0.66663129494392148</v>
      </c>
      <c r="Q6" s="1">
        <f>(Main_L[[#This Row],[ROE]]-VLOOKUP(Main_L[[#This Row],[Industry]], Mean_ROE_L, 2, FALSE))/(VLOOKUP(Main_L[[#This Row],[Industry]], Mean_ROE_L, 3, FALSE))</f>
        <v>1.5641777973681412E-2</v>
      </c>
      <c r="R6" s="1">
        <f>(Main_L[[#This Row],[ROA]]-VLOOKUP(Main_L[[#This Row],[Industry]], Mean_ROA_L, 2, FALSE))/(VLOOKUP(Main_L[[#This Row],[Industry]], Mean_ROA_L, 3, FALSE))</f>
        <v>0.10466891722271737</v>
      </c>
      <c r="S6" s="1">
        <f>(Main_L[[#This Row],[A/E]]-VLOOKUP(Main_L[[#This Row],[Industry]], Mean_AE_L, 2, FALSE))/(VLOOKUP(Main_L[[#This Row],[Industry]], Mean_AE_L, 3, FALSE))</f>
        <v>0.28809077257366927</v>
      </c>
      <c r="T6" s="1">
        <f>(Main_L[[#This Row],[P/E]]-VLOOKUP(Main_L[[#This Row],[Industry]], Mean_PE_L, 2, FALSE))/(VLOOKUP(Main_L[[#This Row],[Industry]], Mean_PE_L, 3, FALSE))</f>
        <v>0.24840266544539233</v>
      </c>
      <c r="U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" spans="1:26" x14ac:dyDescent="0.25">
      <c r="A7" t="s">
        <v>152</v>
      </c>
      <c r="B7" t="s">
        <v>158</v>
      </c>
      <c r="C7" s="2">
        <v>11376</v>
      </c>
      <c r="D7">
        <f>RTD("tos.rtd", , "LAST", Main_L[[#This Row],[Symbol]])</f>
        <v>59.78</v>
      </c>
      <c r="E7">
        <v>3.25</v>
      </c>
      <c r="F7">
        <v>30.21</v>
      </c>
      <c r="G7">
        <v>2.71</v>
      </c>
      <c r="H7" s="1">
        <f>IF(ISNUMBER(Main_L[[#This Row],[Free CF]]),IF(Main_L[[#This Row],[Free CF]]&lt;&gt;0,Main_L[[#This Row],[Current Price]]/Main_L[[#This Row],[Free CF]],""),"")</f>
        <v>18.393846153846155</v>
      </c>
      <c r="I7" s="1">
        <f>IF(ISNUMBER(Main_L[[#This Row],[BVPS]]),IF(Main_L[[#This Row],[BVPS]]&lt;&gt;0,Main_L[[#This Row],[Current Price]]/Main_L[[#This Row],[BVPS]],""),"")</f>
        <v>1.9788149619331348</v>
      </c>
      <c r="J7">
        <v>9.64</v>
      </c>
      <c r="K7">
        <v>6.38</v>
      </c>
      <c r="L7">
        <v>1.23</v>
      </c>
      <c r="M7" s="1">
        <f>IF(ISNUMBER(Main_L[[#This Row],[EPS]]),IF(Main_L[[#This Row],[EPS]]&lt;&gt;0,Main_L[[#This Row],[Current Price]]/Main_L[[#This Row],[EPS]],""),"")</f>
        <v>22.059040590405903</v>
      </c>
      <c r="N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" s="1">
        <f>(Main_L[[#This Row],[P/FCF]]-VLOOKUP(Main_L[[#This Row],[Industry]], Mean_PFCF_L, 2, FALSE))/(VLOOKUP(Main_L[[#This Row],[Industry]], Mean_PFCF_L, 3, FALSE))</f>
        <v>0.33127032530929268</v>
      </c>
      <c r="P7" s="1">
        <f>(Main_L[[#This Row],[P/B]]-VLOOKUP(Main_L[[#This Row],[Industry]], Mean_PB_L, 2, FALSE))/(VLOOKUP(Main_L[[#This Row],[Industry]], Mean_PB_L, 3, FALSE))</f>
        <v>-0.57656434230840203</v>
      </c>
      <c r="Q7" s="1">
        <f>(Main_L[[#This Row],[ROE]]-VLOOKUP(Main_L[[#This Row],[Industry]], Mean_ROE_L, 2, FALSE))/(VLOOKUP(Main_L[[#This Row],[Industry]], Mean_ROE_L, 3, FALSE))</f>
        <v>3.5539446067410475E-2</v>
      </c>
      <c r="R7" s="1">
        <f>(Main_L[[#This Row],[ROA]]-VLOOKUP(Main_L[[#This Row],[Industry]], Mean_ROA_L, 2, FALSE))/(VLOOKUP(Main_L[[#This Row],[Industry]], Mean_ROA_L, 3, FALSE))</f>
        <v>0.2436315324795858</v>
      </c>
      <c r="S7" s="1">
        <f>(Main_L[[#This Row],[A/E]]-VLOOKUP(Main_L[[#This Row],[Industry]], Mean_AE_L, 2, FALSE))/(VLOOKUP(Main_L[[#This Row],[Industry]], Mean_AE_L, 3, FALSE))</f>
        <v>-0.57234033484635893</v>
      </c>
      <c r="T7" s="1">
        <f>(Main_L[[#This Row],[P/E]]-VLOOKUP(Main_L[[#This Row],[Industry]], Mean_PE_L, 2, FALSE))/(VLOOKUP(Main_L[[#This Row],[Industry]], Mean_PE_L, 3, FALSE))</f>
        <v>0.48064227562145601</v>
      </c>
      <c r="U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" spans="1:26" x14ac:dyDescent="0.25">
      <c r="A8" t="s">
        <v>152</v>
      </c>
      <c r="B8" t="s">
        <v>159</v>
      </c>
      <c r="C8" s="2">
        <v>22308</v>
      </c>
      <c r="D8">
        <f>RTD("tos.rtd", , "LAST", Main_L[[#This Row],[Symbol]])</f>
        <v>94.5</v>
      </c>
      <c r="E8">
        <v>-5.35</v>
      </c>
      <c r="F8">
        <v>85.18</v>
      </c>
      <c r="G8">
        <v>-3.45</v>
      </c>
      <c r="H8" s="1">
        <f>IF(ISNUMBER(Main_L[[#This Row],[Free CF]]),IF(Main_L[[#This Row],[Free CF]]&lt;&gt;0,Main_L[[#This Row],[Current Price]]/Main_L[[#This Row],[Free CF]],""),"")</f>
        <v>-17.66355140186916</v>
      </c>
      <c r="I8" s="1">
        <f>IF(ISNUMBER(Main_L[[#This Row],[BVPS]]),IF(Main_L[[#This Row],[BVPS]]&lt;&gt;0,Main_L[[#This Row],[Current Price]]/Main_L[[#This Row],[BVPS]],""),"")</f>
        <v>1.1094153557173045</v>
      </c>
      <c r="J8">
        <v>-3.94</v>
      </c>
      <c r="K8">
        <v>-3.67</v>
      </c>
      <c r="L8">
        <v>1.1200000000000001</v>
      </c>
      <c r="M8" s="1">
        <f>IF(ISNUMBER(Main_L[[#This Row],[EPS]]),IF(Main_L[[#This Row],[EPS]]&lt;&gt;0,Main_L[[#This Row],[Current Price]]/Main_L[[#This Row],[EPS]],""),"")</f>
        <v>-27.391304347826086</v>
      </c>
      <c r="N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" s="1">
        <f>(Main_L[[#This Row],[P/FCF]]-VLOOKUP(Main_L[[#This Row],[Industry]], Mean_PFCF_L, 2, FALSE))/(VLOOKUP(Main_L[[#This Row],[Industry]], Mean_PFCF_L, 3, FALSE))</f>
        <v>-1.3682397417650181</v>
      </c>
      <c r="P8" s="1">
        <f>(Main_L[[#This Row],[P/B]]-VLOOKUP(Main_L[[#This Row],[Industry]], Mean_PB_L, 2, FALSE))/(VLOOKUP(Main_L[[#This Row],[Industry]], Mean_PB_L, 3, FALSE))</f>
        <v>-0.66203294176409322</v>
      </c>
      <c r="Q8" s="1">
        <f>(Main_L[[#This Row],[ROE]]-VLOOKUP(Main_L[[#This Row],[Industry]], Mean_ROE_L, 2, FALSE))/(VLOOKUP(Main_L[[#This Row],[Industry]], Mean_ROE_L, 3, FALSE))</f>
        <v>-0.56492795996112288</v>
      </c>
      <c r="R8" s="1">
        <f>(Main_L[[#This Row],[ROA]]-VLOOKUP(Main_L[[#This Row],[Industry]], Mean_ROA_L, 2, FALSE))/(VLOOKUP(Main_L[[#This Row],[Industry]], Mean_ROA_L, 3, FALSE))</f>
        <v>-1.2264466605009694</v>
      </c>
      <c r="S8" s="1">
        <f>(Main_L[[#This Row],[A/E]]-VLOOKUP(Main_L[[#This Row],[Industry]], Mean_AE_L, 2, FALSE))/(VLOOKUP(Main_L[[#This Row],[Industry]], Mean_AE_L, 3, FALSE))</f>
        <v>-0.79769133917065171</v>
      </c>
      <c r="T8" s="1">
        <f>(Main_L[[#This Row],[P/E]]-VLOOKUP(Main_L[[#This Row],[Industry]], Mean_PE_L, 2, FALSE))/(VLOOKUP(Main_L[[#This Row],[Industry]], Mean_PE_L, 3, FALSE))</f>
        <v>-0.68067189078240486</v>
      </c>
      <c r="U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" spans="1:26" x14ac:dyDescent="0.25">
      <c r="A9" t="s">
        <v>152</v>
      </c>
      <c r="B9" t="s">
        <v>160</v>
      </c>
      <c r="C9" s="2">
        <v>10051</v>
      </c>
      <c r="D9">
        <f>RTD("tos.rtd", , "LAST", Main_L[[#This Row],[Symbol]])</f>
        <v>53.67</v>
      </c>
      <c r="E9">
        <v>1.05</v>
      </c>
      <c r="F9">
        <v>12.71</v>
      </c>
      <c r="G9">
        <v>-5.51</v>
      </c>
      <c r="H9" s="1">
        <f>IF(ISNUMBER(Main_L[[#This Row],[Free CF]]),IF(Main_L[[#This Row],[Free CF]]&lt;&gt;0,Main_L[[#This Row],[Current Price]]/Main_L[[#This Row],[Free CF]],""),"")</f>
        <v>51.114285714285714</v>
      </c>
      <c r="I9" s="1">
        <f>IF(ISNUMBER(Main_L[[#This Row],[BVPS]]),IF(Main_L[[#This Row],[BVPS]]&lt;&gt;0,Main_L[[#This Row],[Current Price]]/Main_L[[#This Row],[BVPS]],""),"")</f>
        <v>4.2226593233674272</v>
      </c>
      <c r="J9">
        <v>-36.89</v>
      </c>
      <c r="K9">
        <v>-1.76</v>
      </c>
      <c r="L9">
        <v>2.38</v>
      </c>
      <c r="M9" s="1">
        <f>IF(ISNUMBER(Main_L[[#This Row],[EPS]]),IF(Main_L[[#This Row],[EPS]]&lt;&gt;0,Main_L[[#This Row],[Current Price]]/Main_L[[#This Row],[EPS]],""),"")</f>
        <v>-9.7404718693284948</v>
      </c>
      <c r="N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" s="1">
        <f>(Main_L[[#This Row],[P/FCF]]-VLOOKUP(Main_L[[#This Row],[Industry]], Mean_PFCF_L, 2, FALSE))/(VLOOKUP(Main_L[[#This Row],[Industry]], Mean_PFCF_L, 3, FALSE))</f>
        <v>1.8734980012289946</v>
      </c>
      <c r="P9" s="1">
        <f>(Main_L[[#This Row],[P/B]]-VLOOKUP(Main_L[[#This Row],[Industry]], Mean_PB_L, 2, FALSE))/(VLOOKUP(Main_L[[#This Row],[Industry]], Mean_PB_L, 3, FALSE))</f>
        <v>-0.35597736067509167</v>
      </c>
      <c r="Q9" s="1">
        <f>(Main_L[[#This Row],[ROE]]-VLOOKUP(Main_L[[#This Row],[Industry]], Mean_ROE_L, 2, FALSE))/(VLOOKUP(Main_L[[#This Row],[Industry]], Mean_ROE_L, 3, FALSE))</f>
        <v>-2.0218794348241698</v>
      </c>
      <c r="R9" s="1">
        <f>(Main_L[[#This Row],[ROA]]-VLOOKUP(Main_L[[#This Row],[Industry]], Mean_ROA_L, 2, FALSE))/(VLOOKUP(Main_L[[#This Row],[Industry]], Mean_ROA_L, 3, FALSE))</f>
        <v>-0.94705866561610752</v>
      </c>
      <c r="S9" s="1">
        <f>(Main_L[[#This Row],[A/E]]-VLOOKUP(Main_L[[#This Row],[Industry]], Mean_AE_L, 2, FALSE))/(VLOOKUP(Main_L[[#This Row],[Industry]], Mean_AE_L, 3, FALSE))</f>
        <v>1.7836019830894327</v>
      </c>
      <c r="T9" s="1">
        <f>(Main_L[[#This Row],[P/E]]-VLOOKUP(Main_L[[#This Row],[Industry]], Mean_PE_L, 2, FALSE))/(VLOOKUP(Main_L[[#This Row],[Industry]], Mean_PE_L, 3, FALSE))</f>
        <v>-0.26615179326428429</v>
      </c>
      <c r="U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0" spans="1:26" x14ac:dyDescent="0.25">
      <c r="A10" t="s">
        <v>152</v>
      </c>
      <c r="B10" t="s">
        <v>161</v>
      </c>
      <c r="C10" s="2">
        <v>10144</v>
      </c>
      <c r="D10">
        <f>RTD("tos.rtd", , "LAST", Main_L[[#This Row],[Symbol]])</f>
        <v>36.950000000000003</v>
      </c>
      <c r="E10">
        <v>2.19</v>
      </c>
      <c r="F10">
        <v>7.97</v>
      </c>
      <c r="G10">
        <v>1.76</v>
      </c>
      <c r="H10" s="1">
        <f>IF(ISNUMBER(Main_L[[#This Row],[Free CF]]),IF(Main_L[[#This Row],[Free CF]]&lt;&gt;0,Main_L[[#This Row],[Current Price]]/Main_L[[#This Row],[Free CF]],""),"")</f>
        <v>16.872146118721464</v>
      </c>
      <c r="I10" s="1">
        <f>IF(ISNUMBER(Main_L[[#This Row],[BVPS]]),IF(Main_L[[#This Row],[BVPS]]&lt;&gt;0,Main_L[[#This Row],[Current Price]]/Main_L[[#This Row],[BVPS]],""),"")</f>
        <v>4.6361355081555837</v>
      </c>
      <c r="J10">
        <v>23.13</v>
      </c>
      <c r="K10">
        <v>14.64</v>
      </c>
      <c r="L10">
        <v>1.31</v>
      </c>
      <c r="M10" s="1">
        <f>IF(ISNUMBER(Main_L[[#This Row],[EPS]]),IF(Main_L[[#This Row],[EPS]]&lt;&gt;0,Main_L[[#This Row],[Current Price]]/Main_L[[#This Row],[EPS]],""),"")</f>
        <v>20.994318181818183</v>
      </c>
      <c r="N1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0" s="1">
        <f>(Main_L[[#This Row],[P/FCF]]-VLOOKUP(Main_L[[#This Row],[Industry]], Mean_PFCF_L, 2, FALSE))/(VLOOKUP(Main_L[[#This Row],[Industry]], Mean_PFCF_L, 3, FALSE))</f>
        <v>0.25954733074858777</v>
      </c>
      <c r="P10" s="1">
        <f>(Main_L[[#This Row],[P/B]]-VLOOKUP(Main_L[[#This Row],[Industry]], Mean_PB_L, 2, FALSE))/(VLOOKUP(Main_L[[#This Row],[Industry]], Mean_PB_L, 3, FALSE))</f>
        <v>-0.31532950418945943</v>
      </c>
      <c r="Q10" s="1">
        <f>(Main_L[[#This Row],[ROE]]-VLOOKUP(Main_L[[#This Row],[Industry]], Mean_ROE_L, 2, FALSE))/(VLOOKUP(Main_L[[#This Row],[Industry]], Mean_ROE_L, 3, FALSE))</f>
        <v>0.63202731847719795</v>
      </c>
      <c r="R10" s="1">
        <f>(Main_L[[#This Row],[ROA]]-VLOOKUP(Main_L[[#This Row],[Industry]], Mean_ROA_L, 2, FALSE))/(VLOOKUP(Main_L[[#This Row],[Industry]], Mean_ROA_L, 3, FALSE))</f>
        <v>1.4518749030287785</v>
      </c>
      <c r="S10" s="1">
        <f>(Main_L[[#This Row],[A/E]]-VLOOKUP(Main_L[[#This Row],[Industry]], Mean_AE_L, 2, FALSE))/(VLOOKUP(Main_L[[#This Row],[Industry]], Mean_AE_L, 3, FALSE))</f>
        <v>-0.40844869533778194</v>
      </c>
      <c r="T10" s="1">
        <f>(Main_L[[#This Row],[P/E]]-VLOOKUP(Main_L[[#This Row],[Industry]], Mean_PE_L, 2, FALSE))/(VLOOKUP(Main_L[[#This Row],[Industry]], Mean_PE_L, 3, FALSE))</f>
        <v>0.45563785516847372</v>
      </c>
      <c r="U1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1" spans="1:26" x14ac:dyDescent="0.25">
      <c r="A11" t="s">
        <v>152</v>
      </c>
      <c r="B11" t="s">
        <v>162</v>
      </c>
      <c r="C11" s="2">
        <v>123131</v>
      </c>
      <c r="D11">
        <f>RTD("tos.rtd", , "LAST", Main_L[[#This Row],[Symbol]])</f>
        <v>101.43</v>
      </c>
      <c r="E11">
        <v>7.9</v>
      </c>
      <c r="F11">
        <v>15.32</v>
      </c>
      <c r="G11">
        <v>4.7300000000000004</v>
      </c>
      <c r="H11" s="1">
        <f>IF(ISNUMBER(Main_L[[#This Row],[Free CF]]),IF(Main_L[[#This Row],[Free CF]]&lt;&gt;0,Main_L[[#This Row],[Current Price]]/Main_L[[#This Row],[Free CF]],""),"")</f>
        <v>12.839240506329114</v>
      </c>
      <c r="I11" s="1">
        <f>IF(ISNUMBER(Main_L[[#This Row],[BVPS]]),IF(Main_L[[#This Row],[BVPS]]&lt;&gt;0,Main_L[[#This Row],[Current Price]]/Main_L[[#This Row],[BVPS]],""),"")</f>
        <v>6.6207571801566587</v>
      </c>
      <c r="J11">
        <v>32.659999999999997</v>
      </c>
      <c r="K11">
        <v>12</v>
      </c>
      <c r="L11">
        <v>2.96</v>
      </c>
      <c r="M11" s="1">
        <f>IF(ISNUMBER(Main_L[[#This Row],[EPS]]),IF(Main_L[[#This Row],[EPS]]&lt;&gt;0,Main_L[[#This Row],[Current Price]]/Main_L[[#This Row],[EPS]],""),"")</f>
        <v>21.443974630021142</v>
      </c>
      <c r="N1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1" s="1">
        <f>(Main_L[[#This Row],[P/FCF]]-VLOOKUP(Main_L[[#This Row],[Industry]], Mean_PFCF_L, 2, FALSE))/(VLOOKUP(Main_L[[#This Row],[Industry]], Mean_PFCF_L, 3, FALSE))</f>
        <v>6.9462517299956256E-2</v>
      </c>
      <c r="P11" s="1">
        <f>(Main_L[[#This Row],[P/B]]-VLOOKUP(Main_L[[#This Row],[Industry]], Mean_PB_L, 2, FALSE))/(VLOOKUP(Main_L[[#This Row],[Industry]], Mean_PB_L, 3, FALSE))</f>
        <v>-0.12022608621846631</v>
      </c>
      <c r="Q11" s="1">
        <f>(Main_L[[#This Row],[ROE]]-VLOOKUP(Main_L[[#This Row],[Industry]], Mean_ROE_L, 2, FALSE))/(VLOOKUP(Main_L[[#This Row],[Industry]], Mean_ROE_L, 3, FALSE))</f>
        <v>1.0534157116621701</v>
      </c>
      <c r="R11" s="1">
        <f>(Main_L[[#This Row],[ROA]]-VLOOKUP(Main_L[[#This Row],[Industry]], Mean_ROA_L, 2, FALSE))/(VLOOKUP(Main_L[[#This Row],[Industry]], Mean_ROA_L, 3, FALSE))</f>
        <v>1.0657051090517968</v>
      </c>
      <c r="S11" s="1">
        <f>(Main_L[[#This Row],[A/E]]-VLOOKUP(Main_L[[#This Row],[Industry]], Mean_AE_L, 2, FALSE))/(VLOOKUP(Main_L[[#This Row],[Industry]], Mean_AE_L, 3, FALSE))</f>
        <v>2.9718163695266147</v>
      </c>
      <c r="T11" s="1">
        <f>(Main_L[[#This Row],[P/E]]-VLOOKUP(Main_L[[#This Row],[Industry]], Mean_PE_L, 2, FALSE))/(VLOOKUP(Main_L[[#This Row],[Industry]], Mean_PE_L, 3, FALSE))</f>
        <v>0.46619778966367703</v>
      </c>
      <c r="U1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2" spans="1:26" x14ac:dyDescent="0.25">
      <c r="A12" t="s">
        <v>152</v>
      </c>
      <c r="B12" t="s">
        <v>163</v>
      </c>
      <c r="C12" s="2">
        <v>12808</v>
      </c>
      <c r="D12">
        <f>RTD("tos.rtd", , "LAST", Main_L[[#This Row],[Symbol]])</f>
        <v>19.309999999999999</v>
      </c>
      <c r="E12">
        <v>16.16</v>
      </c>
      <c r="F12">
        <v>80.22</v>
      </c>
      <c r="G12">
        <v>16.86</v>
      </c>
      <c r="H12" s="1">
        <f>IF(ISNUMBER(Main_L[[#This Row],[Free CF]]),IF(Main_L[[#This Row],[Free CF]]&lt;&gt;0,Main_L[[#This Row],[Current Price]]/Main_L[[#This Row],[Free CF]],""),"")</f>
        <v>1.1949257425742574</v>
      </c>
      <c r="I12" s="1">
        <f>IF(ISNUMBER(Main_L[[#This Row],[BVPS]]),IF(Main_L[[#This Row],[BVPS]]&lt;&gt;0,Main_L[[#This Row],[Current Price]]/Main_L[[#This Row],[BVPS]],""),"")</f>
        <v>0.2407130391423585</v>
      </c>
      <c r="J12">
        <v>22.97</v>
      </c>
      <c r="K12">
        <v>10.91</v>
      </c>
      <c r="L12">
        <v>1.25</v>
      </c>
      <c r="M12" s="1">
        <f>IF(ISNUMBER(Main_L[[#This Row],[EPS]]),IF(Main_L[[#This Row],[EPS]]&lt;&gt;0,Main_L[[#This Row],[Current Price]]/Main_L[[#This Row],[EPS]],""),"")</f>
        <v>1.1453143534994068</v>
      </c>
      <c r="N1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12" s="1">
        <f>(Main_L[[#This Row],[P/FCF]]-VLOOKUP(Main_L[[#This Row],[Industry]], Mean_PFCF_L, 2, FALSE))/(VLOOKUP(Main_L[[#This Row],[Industry]], Mean_PFCF_L, 3, FALSE))</f>
        <v>-0.47937437905688096</v>
      </c>
      <c r="P12" s="1">
        <f>(Main_L[[#This Row],[P/B]]-VLOOKUP(Main_L[[#This Row],[Industry]], Mean_PB_L, 2, FALSE))/(VLOOKUP(Main_L[[#This Row],[Industry]], Mean_PB_L, 3, FALSE))</f>
        <v>-0.7474329923400802</v>
      </c>
      <c r="Q12" s="1">
        <f>(Main_L[[#This Row],[ROE]]-VLOOKUP(Main_L[[#This Row],[Industry]], Mean_ROE_L, 2, FALSE))/(VLOOKUP(Main_L[[#This Row],[Industry]], Mean_ROE_L, 3, FALSE))</f>
        <v>0.6249525920438721</v>
      </c>
      <c r="R12" s="1">
        <f>(Main_L[[#This Row],[ROA]]-VLOOKUP(Main_L[[#This Row],[Industry]], Mean_ROA_L, 2, FALSE))/(VLOOKUP(Main_L[[#This Row],[Industry]], Mean_ROA_L, 3, FALSE))</f>
        <v>0.90626379259917933</v>
      </c>
      <c r="S12" s="1">
        <f>(Main_L[[#This Row],[A/E]]-VLOOKUP(Main_L[[#This Row],[Industry]], Mean_AE_L, 2, FALSE))/(VLOOKUP(Main_L[[#This Row],[Industry]], Mean_AE_L, 3, FALSE))</f>
        <v>-0.53136742496921463</v>
      </c>
      <c r="T12" s="1">
        <f>(Main_L[[#This Row],[P/E]]-VLOOKUP(Main_L[[#This Row],[Industry]], Mean_PE_L, 2, FALSE))/(VLOOKUP(Main_L[[#This Row],[Industry]], Mean_PE_L, 3, FALSE))</f>
        <v>-1.0505088093576039E-2</v>
      </c>
      <c r="U1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3" spans="1:26" x14ac:dyDescent="0.25">
      <c r="A13" t="s">
        <v>152</v>
      </c>
      <c r="B13" t="s">
        <v>164</v>
      </c>
      <c r="C13" s="2">
        <v>11527</v>
      </c>
      <c r="D13">
        <f>RTD("tos.rtd", , "LAST", Main_L[[#This Row],[Symbol]])</f>
        <v>60.81</v>
      </c>
      <c r="E13">
        <v>1.45</v>
      </c>
      <c r="F13">
        <v>18.93</v>
      </c>
      <c r="G13">
        <v>0.1</v>
      </c>
      <c r="H13" s="1">
        <f>IF(ISNUMBER(Main_L[[#This Row],[Free CF]]),IF(Main_L[[#This Row],[Free CF]]&lt;&gt;0,Main_L[[#This Row],[Current Price]]/Main_L[[#This Row],[Free CF]],""),"")</f>
        <v>41.937931034482759</v>
      </c>
      <c r="I13" s="1">
        <f>IF(ISNUMBER(Main_L[[#This Row],[BVPS]]),IF(Main_L[[#This Row],[BVPS]]&lt;&gt;0,Main_L[[#This Row],[Current Price]]/Main_L[[#This Row],[BVPS]],""),"")</f>
        <v>3.2123613312202854</v>
      </c>
      <c r="J13">
        <v>0.47</v>
      </c>
      <c r="K13">
        <v>2.0299999999999998</v>
      </c>
      <c r="L13">
        <v>1.57</v>
      </c>
      <c r="M13" s="1">
        <f>IF(ISNUMBER(Main_L[[#This Row],[EPS]]),IF(Main_L[[#This Row],[EPS]]&lt;&gt;0,Main_L[[#This Row],[Current Price]]/Main_L[[#This Row],[EPS]],""),"")</f>
        <v>608.1</v>
      </c>
      <c r="N1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3" s="1">
        <f>(Main_L[[#This Row],[P/FCF]]-VLOOKUP(Main_L[[#This Row],[Industry]], Mean_PFCF_L, 2, FALSE))/(VLOOKUP(Main_L[[#This Row],[Industry]], Mean_PFCF_L, 3, FALSE))</f>
        <v>1.4409846138367965</v>
      </c>
      <c r="P13" s="1">
        <f>(Main_L[[#This Row],[P/B]]-VLOOKUP(Main_L[[#This Row],[Industry]], Mean_PB_L, 2, FALSE))/(VLOOKUP(Main_L[[#This Row],[Industry]], Mean_PB_L, 3, FALSE))</f>
        <v>-0.45529734403413269</v>
      </c>
      <c r="Q13" s="1">
        <f>(Main_L[[#This Row],[ROE]]-VLOOKUP(Main_L[[#This Row],[Industry]], Mean_ROE_L, 2, FALSE))/(VLOOKUP(Main_L[[#This Row],[Industry]], Mean_ROE_L, 3, FALSE))</f>
        <v>-0.36993081264257854</v>
      </c>
      <c r="R13" s="1">
        <f>(Main_L[[#This Row],[ROA]]-VLOOKUP(Main_L[[#This Row],[Industry]], Mean_ROA_L, 2, FALSE))/(VLOOKUP(Main_L[[#This Row],[Industry]], Mean_ROA_L, 3, FALSE))</f>
        <v>-0.39267096895975895</v>
      </c>
      <c r="S13" s="1">
        <f>(Main_L[[#This Row],[A/E]]-VLOOKUP(Main_L[[#This Row],[Industry]], Mean_AE_L, 2, FALSE))/(VLOOKUP(Main_L[[#This Row],[Industry]], Mean_AE_L, 3, FALSE))</f>
        <v>0.12419913306509277</v>
      </c>
      <c r="T13" s="1">
        <f>(Main_L[[#This Row],[P/E]]-VLOOKUP(Main_L[[#This Row],[Industry]], Mean_PE_L, 2, FALSE))/(VLOOKUP(Main_L[[#This Row],[Industry]], Mean_PE_L, 3, FALSE))</f>
        <v>14.243492041490137</v>
      </c>
      <c r="U1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14" spans="1:26" x14ac:dyDescent="0.25">
      <c r="A14" t="s">
        <v>152</v>
      </c>
      <c r="B14" t="s">
        <v>165</v>
      </c>
      <c r="C14" s="2">
        <v>12415</v>
      </c>
      <c r="D14">
        <f>RTD("tos.rtd", , "LAST", Main_L[[#This Row],[Symbol]])</f>
        <v>65.709999999999994</v>
      </c>
      <c r="E14">
        <v>-4.3</v>
      </c>
      <c r="F14">
        <v>1.59</v>
      </c>
      <c r="G14">
        <v>-5.57</v>
      </c>
      <c r="H14" s="1">
        <f>IF(ISNUMBER(Main_L[[#This Row],[Free CF]]),IF(Main_L[[#This Row],[Free CF]]&lt;&gt;0,Main_L[[#This Row],[Current Price]]/Main_L[[#This Row],[Free CF]],""),"")</f>
        <v>-15.281395348837208</v>
      </c>
      <c r="I14" s="1">
        <f>IF(ISNUMBER(Main_L[[#This Row],[BVPS]]),IF(Main_L[[#This Row],[BVPS]]&lt;&gt;0,Main_L[[#This Row],[Current Price]]/Main_L[[#This Row],[BVPS]],""),"")</f>
        <v>41.327044025157228</v>
      </c>
      <c r="J14">
        <v>3926.5</v>
      </c>
      <c r="K14">
        <v>-29.3</v>
      </c>
      <c r="L14">
        <v>7.1</v>
      </c>
      <c r="M14" s="1">
        <f>IF(ISNUMBER(Main_L[[#This Row],[EPS]]),IF(Main_L[[#This Row],[EPS]]&lt;&gt;0,Main_L[[#This Row],[Current Price]]/Main_L[[#This Row],[EPS]],""),"")</f>
        <v>-11.797127468581685</v>
      </c>
      <c r="N1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4" s="1">
        <f>(Main_L[[#This Row],[P/FCF]]-VLOOKUP(Main_L[[#This Row],[Industry]], Mean_PFCF_L, 2, FALSE))/(VLOOKUP(Main_L[[#This Row],[Industry]], Mean_PFCF_L, 3, FALSE))</f>
        <v>-1.25596047404432</v>
      </c>
      <c r="P14" s="1">
        <f>(Main_L[[#This Row],[P/B]]-VLOOKUP(Main_L[[#This Row],[Industry]], Mean_PB_L, 2, FALSE))/(VLOOKUP(Main_L[[#This Row],[Industry]], Mean_PB_L, 3, FALSE))</f>
        <v>3.2916661066718156</v>
      </c>
      <c r="Q14" s="1">
        <f>(Main_L[[#This Row],[ROE]]-VLOOKUP(Main_L[[#This Row],[Industry]], Mean_ROE_L, 2, FALSE))/(VLOOKUP(Main_L[[#This Row],[Industry]], Mean_ROE_L, 3, FALSE))</f>
        <v>173.22749555629727</v>
      </c>
      <c r="R14" s="1">
        <f>(Main_L[[#This Row],[ROA]]-VLOOKUP(Main_L[[#This Row],[Industry]], Mean_ROA_L, 2, FALSE))/(VLOOKUP(Main_L[[#This Row],[Industry]], Mean_ROA_L, 3, FALSE))</f>
        <v>-4.9755117436941658</v>
      </c>
      <c r="S14" s="1">
        <f>(Main_L[[#This Row],[A/E]]-VLOOKUP(Main_L[[#This Row],[Industry]], Mean_AE_L, 2, FALSE))/(VLOOKUP(Main_L[[#This Row],[Industry]], Mean_AE_L, 3, FALSE))</f>
        <v>11.453208714095465</v>
      </c>
      <c r="T14" s="1">
        <f>(Main_L[[#This Row],[P/E]]-VLOOKUP(Main_L[[#This Row],[Industry]], Mean_PE_L, 2, FALSE))/(VLOOKUP(Main_L[[#This Row],[Industry]], Mean_PE_L, 3, FALSE))</f>
        <v>-0.31445121940195658</v>
      </c>
      <c r="U1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1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5" spans="1:26" x14ac:dyDescent="0.25">
      <c r="A15" t="s">
        <v>152</v>
      </c>
      <c r="B15" t="s">
        <v>166</v>
      </c>
      <c r="C15" s="2">
        <v>12035</v>
      </c>
      <c r="D15">
        <f>RTD("tos.rtd", , "LAST", Main_L[[#This Row],[Symbol]])</f>
        <v>116.87</v>
      </c>
      <c r="E15">
        <v>4.9000000000000004</v>
      </c>
      <c r="F15">
        <v>25.61</v>
      </c>
      <c r="G15">
        <v>2.96</v>
      </c>
      <c r="H15" s="1">
        <f>IF(ISNUMBER(Main_L[[#This Row],[Free CF]]),IF(Main_L[[#This Row],[Free CF]]&lt;&gt;0,Main_L[[#This Row],[Current Price]]/Main_L[[#This Row],[Free CF]],""),"")</f>
        <v>23.851020408163265</v>
      </c>
      <c r="I15" s="1">
        <f>IF(ISNUMBER(Main_L[[#This Row],[BVPS]]),IF(Main_L[[#This Row],[BVPS]]&lt;&gt;0,Main_L[[#This Row],[Current Price]]/Main_L[[#This Row],[BVPS]],""),"")</f>
        <v>4.5634517766497469</v>
      </c>
      <c r="J15">
        <v>12.43</v>
      </c>
      <c r="K15">
        <v>8.75</v>
      </c>
      <c r="L15">
        <v>1.45</v>
      </c>
      <c r="M15" s="1">
        <f>IF(ISNUMBER(Main_L[[#This Row],[EPS]]),IF(Main_L[[#This Row],[EPS]]&lt;&gt;0,Main_L[[#This Row],[Current Price]]/Main_L[[#This Row],[EPS]],""),"")</f>
        <v>39.483108108108112</v>
      </c>
      <c r="N1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5" s="1">
        <f>(Main_L[[#This Row],[P/FCF]]-VLOOKUP(Main_L[[#This Row],[Industry]], Mean_PFCF_L, 2, FALSE))/(VLOOKUP(Main_L[[#This Row],[Industry]], Mean_PFCF_L, 3, FALSE))</f>
        <v>0.58848585420762289</v>
      </c>
      <c r="P15" s="1">
        <f>(Main_L[[#This Row],[P/B]]-VLOOKUP(Main_L[[#This Row],[Industry]], Mean_PB_L, 2, FALSE))/(VLOOKUP(Main_L[[#This Row],[Industry]], Mean_PB_L, 3, FALSE))</f>
        <v>-0.3224748682896994</v>
      </c>
      <c r="Q15" s="1">
        <f>(Main_L[[#This Row],[ROE]]-VLOOKUP(Main_L[[#This Row],[Industry]], Mean_ROE_L, 2, FALSE))/(VLOOKUP(Main_L[[#This Row],[Industry]], Mean_ROE_L, 3, FALSE))</f>
        <v>0.15890498824853033</v>
      </c>
      <c r="R15" s="1">
        <f>(Main_L[[#This Row],[ROA]]-VLOOKUP(Main_L[[#This Row],[Industry]], Mean_ROA_L, 2, FALSE))/(VLOOKUP(Main_L[[#This Row],[Industry]], Mean_ROA_L, 3, FALSE))</f>
        <v>0.59030668843619427</v>
      </c>
      <c r="S15" s="1">
        <f>(Main_L[[#This Row],[A/E]]-VLOOKUP(Main_L[[#This Row],[Industry]], Mean_AE_L, 2, FALSE))/(VLOOKUP(Main_L[[#This Row],[Industry]], Mean_AE_L, 3, FALSE))</f>
        <v>-0.12163832619777268</v>
      </c>
      <c r="T15" s="1">
        <f>(Main_L[[#This Row],[P/E]]-VLOOKUP(Main_L[[#This Row],[Industry]], Mean_PE_L, 2, FALSE))/(VLOOKUP(Main_L[[#This Row],[Industry]], Mean_PE_L, 3, FALSE))</f>
        <v>0.88983692269540604</v>
      </c>
      <c r="U1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6" spans="1:26" x14ac:dyDescent="0.25">
      <c r="A16" t="s">
        <v>152</v>
      </c>
      <c r="B16" t="s">
        <v>167</v>
      </c>
      <c r="C16" s="2">
        <v>21766</v>
      </c>
      <c r="D16">
        <f>RTD("tos.rtd", , "LAST", Main_L[[#This Row],[Symbol]])</f>
        <v>152.28</v>
      </c>
      <c r="E16">
        <v>0.47</v>
      </c>
      <c r="F16">
        <v>9.01</v>
      </c>
      <c r="G16">
        <v>-1.53</v>
      </c>
      <c r="H16" s="1">
        <f>IF(ISNUMBER(Main_L[[#This Row],[Free CF]]),IF(Main_L[[#This Row],[Free CF]]&lt;&gt;0,Main_L[[#This Row],[Current Price]]/Main_L[[#This Row],[Free CF]],""),"")</f>
        <v>324</v>
      </c>
      <c r="I16" s="1">
        <f>IF(ISNUMBER(Main_L[[#This Row],[BVPS]]),IF(Main_L[[#This Row],[BVPS]]&lt;&gt;0,Main_L[[#This Row],[Current Price]]/Main_L[[#This Row],[BVPS]],""),"")</f>
        <v>16.901220865704772</v>
      </c>
      <c r="J16">
        <v>-19.420000000000002</v>
      </c>
      <c r="K16">
        <v>-8.9600000000000009</v>
      </c>
      <c r="L16">
        <v>1.39</v>
      </c>
      <c r="M16" s="1">
        <f>IF(ISNUMBER(Main_L[[#This Row],[EPS]]),IF(Main_L[[#This Row],[EPS]]&lt;&gt;0,Main_L[[#This Row],[Current Price]]/Main_L[[#This Row],[EPS]],""),"")</f>
        <v>-99.529411764705884</v>
      </c>
      <c r="N1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6" s="1">
        <f>(Main_L[[#This Row],[P/FCF]]-VLOOKUP(Main_L[[#This Row],[Industry]], Mean_PFCF_L, 2, FALSE))/(VLOOKUP(Main_L[[#This Row],[Industry]], Mean_PFCF_L, 3, FALSE))</f>
        <v>14.735547123679455</v>
      </c>
      <c r="P16" s="1">
        <f>(Main_L[[#This Row],[P/B]]-VLOOKUP(Main_L[[#This Row],[Industry]], Mean_PB_L, 2, FALSE))/(VLOOKUP(Main_L[[#This Row],[Industry]], Mean_PB_L, 3, FALSE))</f>
        <v>0.89042175244729194</v>
      </c>
      <c r="Q16" s="1">
        <f>(Main_L[[#This Row],[ROE]]-VLOOKUP(Main_L[[#This Row],[Industry]], Mean_ROE_L, 2, FALSE))/(VLOOKUP(Main_L[[#This Row],[Industry]], Mean_ROE_L, 3, FALSE))</f>
        <v>-1.2494077423854011</v>
      </c>
      <c r="R16" s="1">
        <f>(Main_L[[#This Row],[ROA]]-VLOOKUP(Main_L[[#This Row],[Industry]], Mean_ROA_L, 2, FALSE))/(VLOOKUP(Main_L[[#This Row],[Industry]], Mean_ROA_L, 3, FALSE))</f>
        <v>-2.0002490128260577</v>
      </c>
      <c r="S16" s="1">
        <f>(Main_L[[#This Row],[A/E]]-VLOOKUP(Main_L[[#This Row],[Industry]], Mean_AE_L, 2, FALSE))/(VLOOKUP(Main_L[[#This Row],[Industry]], Mean_AE_L, 3, FALSE))</f>
        <v>-0.24455705582920539</v>
      </c>
      <c r="T16" s="1">
        <f>(Main_L[[#This Row],[P/E]]-VLOOKUP(Main_L[[#This Row],[Industry]], Mean_PE_L, 2, FALSE))/(VLOOKUP(Main_L[[#This Row],[Industry]], Mean_PE_L, 3, FALSE))</f>
        <v>-2.3747956867928997</v>
      </c>
      <c r="U1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7" spans="1:26" x14ac:dyDescent="0.25">
      <c r="A17" t="s">
        <v>152</v>
      </c>
      <c r="B17" t="s">
        <v>168</v>
      </c>
      <c r="C17" s="2">
        <v>25059</v>
      </c>
      <c r="D17">
        <f>RTD("tos.rtd", , "LAST", Main_L[[#This Row],[Symbol]])</f>
        <v>224.73</v>
      </c>
      <c r="E17">
        <v>-6.36</v>
      </c>
      <c r="F17">
        <v>31.22</v>
      </c>
      <c r="G17">
        <v>-6.12</v>
      </c>
      <c r="H17" s="1">
        <f>IF(ISNUMBER(Main_L[[#This Row],[Free CF]]),IF(Main_L[[#This Row],[Free CF]]&lt;&gt;0,Main_L[[#This Row],[Current Price]]/Main_L[[#This Row],[Free CF]],""),"")</f>
        <v>-35.334905660377352</v>
      </c>
      <c r="I17" s="1">
        <f>IF(ISNUMBER(Main_L[[#This Row],[BVPS]]),IF(Main_L[[#This Row],[BVPS]]&lt;&gt;0,Main_L[[#This Row],[Current Price]]/Main_L[[#This Row],[BVPS]],""),"")</f>
        <v>7.1982703395259451</v>
      </c>
      <c r="J17">
        <v>-18.77</v>
      </c>
      <c r="K17">
        <v>-6.07</v>
      </c>
      <c r="L17">
        <v>1.78</v>
      </c>
      <c r="M17" s="1">
        <f>IF(ISNUMBER(Main_L[[#This Row],[EPS]]),IF(Main_L[[#This Row],[EPS]]&lt;&gt;0,Main_L[[#This Row],[Current Price]]/Main_L[[#This Row],[EPS]],""),"")</f>
        <v>-36.720588235294116</v>
      </c>
      <c r="N1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7" s="1">
        <f>(Main_L[[#This Row],[P/FCF]]-VLOOKUP(Main_L[[#This Row],[Industry]], Mean_PFCF_L, 2, FALSE))/(VLOOKUP(Main_L[[#This Row],[Industry]], Mean_PFCF_L, 3, FALSE))</f>
        <v>-2.2011518900908977</v>
      </c>
      <c r="P17" s="1">
        <f>(Main_L[[#This Row],[P/B]]-VLOOKUP(Main_L[[#This Row],[Industry]], Mean_PB_L, 2, FALSE))/(VLOOKUP(Main_L[[#This Row],[Industry]], Mean_PB_L, 3, FALSE))</f>
        <v>-6.3452146426422357E-2</v>
      </c>
      <c r="Q17" s="1">
        <f>(Main_L[[#This Row],[ROE]]-VLOOKUP(Main_L[[#This Row],[Industry]], Mean_ROE_L, 2, FALSE))/(VLOOKUP(Main_L[[#This Row],[Industry]], Mean_ROE_L, 3, FALSE))</f>
        <v>-1.2206666662500147</v>
      </c>
      <c r="R17" s="1">
        <f>(Main_L[[#This Row],[ROA]]-VLOOKUP(Main_L[[#This Row],[Industry]], Mean_ROA_L, 2, FALSE))/(VLOOKUP(Main_L[[#This Row],[Industry]], Mean_ROA_L, 3, FALSE))</f>
        <v>-1.5775101095709525</v>
      </c>
      <c r="S17" s="1">
        <f>(Main_L[[#This Row],[A/E]]-VLOOKUP(Main_L[[#This Row],[Industry]], Mean_AE_L, 2, FALSE))/(VLOOKUP(Main_L[[#This Row],[Industry]], Mean_AE_L, 3, FALSE))</f>
        <v>0.55441468677510686</v>
      </c>
      <c r="T17" s="1">
        <f>(Main_L[[#This Row],[P/E]]-VLOOKUP(Main_L[[#This Row],[Industry]], Mean_PE_L, 2, FALSE))/(VLOOKUP(Main_L[[#This Row],[Industry]], Mean_PE_L, 3, FALSE))</f>
        <v>-0.89976499426738266</v>
      </c>
      <c r="U1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8" spans="1:26" x14ac:dyDescent="0.25">
      <c r="A18" t="s">
        <v>152</v>
      </c>
      <c r="B18" t="s">
        <v>169</v>
      </c>
      <c r="C18" s="2">
        <v>60561</v>
      </c>
      <c r="D18">
        <f>RTD("tos.rtd", , "LAST", Main_L[[#This Row],[Symbol]])</f>
        <v>574.16</v>
      </c>
      <c r="E18">
        <v>27.52</v>
      </c>
      <c r="F18">
        <v>277.5</v>
      </c>
      <c r="G18">
        <v>39.43</v>
      </c>
      <c r="H18" s="1">
        <f>IF(ISNUMBER(Main_L[[#This Row],[Free CF]]),IF(Main_L[[#This Row],[Free CF]]&lt;&gt;0,Main_L[[#This Row],[Current Price]]/Main_L[[#This Row],[Free CF]],""),"")</f>
        <v>20.863372093023255</v>
      </c>
      <c r="I18" s="1">
        <f>IF(ISNUMBER(Main_L[[#This Row],[BVPS]]),IF(Main_L[[#This Row],[BVPS]]&lt;&gt;0,Main_L[[#This Row],[Current Price]]/Main_L[[#This Row],[BVPS]],""),"")</f>
        <v>2.0690450450450451</v>
      </c>
      <c r="J18">
        <v>15.96</v>
      </c>
      <c r="K18">
        <v>6.91</v>
      </c>
      <c r="L18">
        <v>1.28</v>
      </c>
      <c r="M18" s="1">
        <f>IF(ISNUMBER(Main_L[[#This Row],[EPS]]),IF(Main_L[[#This Row],[EPS]]&lt;&gt;0,Main_L[[#This Row],[Current Price]]/Main_L[[#This Row],[EPS]],""),"")</f>
        <v>14.561501394876997</v>
      </c>
      <c r="N1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8" s="1">
        <f>(Main_L[[#This Row],[P/FCF]]-VLOOKUP(Main_L[[#This Row],[Industry]], Mean_PFCF_L, 2, FALSE))/(VLOOKUP(Main_L[[#This Row],[Industry]], Mean_PFCF_L, 3, FALSE))</f>
        <v>0.44766763845557594</v>
      </c>
      <c r="P18" s="1">
        <f>(Main_L[[#This Row],[P/B]]-VLOOKUP(Main_L[[#This Row],[Industry]], Mean_PB_L, 2, FALSE))/(VLOOKUP(Main_L[[#This Row],[Industry]], Mean_PB_L, 3, FALSE))</f>
        <v>-0.56769403827650544</v>
      </c>
      <c r="Q18" s="1">
        <f>(Main_L[[#This Row],[ROE]]-VLOOKUP(Main_L[[#This Row],[Industry]], Mean_ROE_L, 2, FALSE))/(VLOOKUP(Main_L[[#This Row],[Industry]], Mean_ROE_L, 3, FALSE))</f>
        <v>0.31499114018378244</v>
      </c>
      <c r="R18" s="1">
        <f>(Main_L[[#This Row],[ROA]]-VLOOKUP(Main_L[[#This Row],[Industry]], Mean_ROA_L, 2, FALSE))/(VLOOKUP(Main_L[[#This Row],[Industry]], Mean_ROA_L, 3, FALSE))</f>
        <v>0.32115804414920712</v>
      </c>
      <c r="S18" s="1">
        <f>(Main_L[[#This Row],[A/E]]-VLOOKUP(Main_L[[#This Row],[Industry]], Mean_AE_L, 2, FALSE))/(VLOOKUP(Main_L[[#This Row],[Industry]], Mean_AE_L, 3, FALSE))</f>
        <v>-0.46990806015349829</v>
      </c>
      <c r="T18" s="1">
        <f>(Main_L[[#This Row],[P/E]]-VLOOKUP(Main_L[[#This Row],[Industry]], Mean_PE_L, 2, FALSE))/(VLOOKUP(Main_L[[#This Row],[Industry]], Mean_PE_L, 3, FALSE))</f>
        <v>0.30456668925675495</v>
      </c>
      <c r="U1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1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1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1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1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19" spans="1:26" x14ac:dyDescent="0.25">
      <c r="A19" t="s">
        <v>152</v>
      </c>
      <c r="B19" t="s">
        <v>170</v>
      </c>
      <c r="C19" s="2">
        <v>18039</v>
      </c>
      <c r="D19">
        <f>RTD("tos.rtd", , "LAST", Main_L[[#This Row],[Symbol]])</f>
        <v>24.61</v>
      </c>
      <c r="E19">
        <v>-0.22</v>
      </c>
      <c r="F19">
        <v>0.53</v>
      </c>
      <c r="G19">
        <v>-0.31</v>
      </c>
      <c r="H19" s="1">
        <f>IF(ISNUMBER(Main_L[[#This Row],[Free CF]]),IF(Main_L[[#This Row],[Free CF]]&lt;&gt;0,Main_L[[#This Row],[Current Price]]/Main_L[[#This Row],[Free CF]],""),"")</f>
        <v>-111.86363636363636</v>
      </c>
      <c r="I19" s="1">
        <f>IF(ISNUMBER(Main_L[[#This Row],[BVPS]]),IF(Main_L[[#This Row],[BVPS]]&lt;&gt;0,Main_L[[#This Row],[Current Price]]/Main_L[[#This Row],[BVPS]],""),"")</f>
        <v>46.433962264150942</v>
      </c>
      <c r="J19">
        <v>-94.9</v>
      </c>
      <c r="K19">
        <v>-41.3</v>
      </c>
      <c r="L19">
        <v>1.1200000000000001</v>
      </c>
      <c r="M19" s="1">
        <f>IF(ISNUMBER(Main_L[[#This Row],[EPS]]),IF(Main_L[[#This Row],[EPS]]&lt;&gt;0,Main_L[[#This Row],[Current Price]]/Main_L[[#This Row],[EPS]],""),"")</f>
        <v>-79.387096774193552</v>
      </c>
      <c r="N1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19" s="1">
        <f>(Main_L[[#This Row],[P/FCF]]-VLOOKUP(Main_L[[#This Row],[Industry]], Mean_PFCF_L, 2, FALSE))/(VLOOKUP(Main_L[[#This Row],[Industry]], Mean_PFCF_L, 3, FALSE))</f>
        <v>-5.808216100691201</v>
      </c>
      <c r="P19" s="1">
        <f>(Main_L[[#This Row],[P/B]]-VLOOKUP(Main_L[[#This Row],[Industry]], Mean_PB_L, 2, FALSE))/(VLOOKUP(Main_L[[#This Row],[Industry]], Mean_PB_L, 3, FALSE))</f>
        <v>3.7937150451586361</v>
      </c>
      <c r="Q19" s="1">
        <f>(Main_L[[#This Row],[ROE]]-VLOOKUP(Main_L[[#This Row],[Industry]], Mean_ROE_L, 2, FALSE))/(VLOOKUP(Main_L[[#This Row],[Industry]], Mean_ROE_L, 3, FALSE))</f>
        <v>-4.5869099373068813</v>
      </c>
      <c r="R19" s="1">
        <f>(Main_L[[#This Row],[ROA]]-VLOOKUP(Main_L[[#This Row],[Industry]], Mean_ROA_L, 2, FALSE))/(VLOOKUP(Main_L[[#This Row],[Industry]], Mean_ROA_L, 3, FALSE))</f>
        <v>-6.7308289890440829</v>
      </c>
      <c r="S19" s="1">
        <f>(Main_L[[#This Row],[A/E]]-VLOOKUP(Main_L[[#This Row],[Industry]], Mean_AE_L, 2, FALSE))/(VLOOKUP(Main_L[[#This Row],[Industry]], Mean_AE_L, 3, FALSE))</f>
        <v>-0.79769133917065171</v>
      </c>
      <c r="T19" s="1">
        <f>(Main_L[[#This Row],[P/E]]-VLOOKUP(Main_L[[#This Row],[Industry]], Mean_PE_L, 2, FALSE))/(VLOOKUP(Main_L[[#This Row],[Industry]], Mean_PE_L, 3, FALSE))</f>
        <v>-1.9017644921294647</v>
      </c>
      <c r="U1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1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1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1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1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1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0" spans="1:26" x14ac:dyDescent="0.25">
      <c r="A20" t="s">
        <v>152</v>
      </c>
      <c r="B20" t="s">
        <v>171</v>
      </c>
      <c r="C20" s="2">
        <v>13844</v>
      </c>
      <c r="D20">
        <f>RTD("tos.rtd", , "LAST", Main_L[[#This Row],[Symbol]])</f>
        <v>308.07</v>
      </c>
      <c r="E20">
        <v>25.26</v>
      </c>
      <c r="F20">
        <v>151.02000000000001</v>
      </c>
      <c r="G20">
        <v>25.1</v>
      </c>
      <c r="H20" s="1">
        <f>IF(ISNUMBER(Main_L[[#This Row],[Free CF]]),IF(Main_L[[#This Row],[Free CF]]&lt;&gt;0,Main_L[[#This Row],[Current Price]]/Main_L[[#This Row],[Free CF]],""),"")</f>
        <v>12.195961995249405</v>
      </c>
      <c r="I20" s="1">
        <f>IF(ISNUMBER(Main_L[[#This Row],[BVPS]]),IF(Main_L[[#This Row],[BVPS]]&lt;&gt;0,Main_L[[#This Row],[Current Price]]/Main_L[[#This Row],[BVPS]],""),"")</f>
        <v>2.0399284862932059</v>
      </c>
      <c r="J20">
        <v>19.940000000000001</v>
      </c>
      <c r="K20">
        <v>12.97</v>
      </c>
      <c r="L20">
        <v>1.1399999999999999</v>
      </c>
      <c r="M20" s="1">
        <f>IF(ISNUMBER(Main_L[[#This Row],[EPS]]),IF(Main_L[[#This Row],[EPS]]&lt;&gt;0,Main_L[[#This Row],[Current Price]]/Main_L[[#This Row],[EPS]],""),"")</f>
        <v>12.273705179282867</v>
      </c>
      <c r="N2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0" s="1">
        <f>(Main_L[[#This Row],[P/FCF]]-VLOOKUP(Main_L[[#This Row],[Industry]], Mean_PFCF_L, 2, FALSE))/(VLOOKUP(Main_L[[#This Row],[Industry]], Mean_PFCF_L, 3, FALSE))</f>
        <v>3.9142572444722232E-2</v>
      </c>
      <c r="P20" s="1">
        <f>(Main_L[[#This Row],[P/B]]-VLOOKUP(Main_L[[#This Row],[Industry]], Mean_PB_L, 2, FALSE))/(VLOOKUP(Main_L[[#This Row],[Industry]], Mean_PB_L, 3, FALSE))</f>
        <v>-0.57055641764693188</v>
      </c>
      <c r="Q20" s="1">
        <f>(Main_L[[#This Row],[ROE]]-VLOOKUP(Main_L[[#This Row],[Industry]], Mean_ROE_L, 2, FALSE))/(VLOOKUP(Main_L[[#This Row],[Industry]], Mean_ROE_L, 3, FALSE))</f>
        <v>0.49097496021276354</v>
      </c>
      <c r="R20" s="1">
        <f>(Main_L[[#This Row],[ROA]]-VLOOKUP(Main_L[[#This Row],[Industry]], Mean_ROA_L, 2, FALSE))/(VLOOKUP(Main_L[[#This Row],[Industry]], Mean_ROA_L, 3, FALSE))</f>
        <v>1.207593253050915</v>
      </c>
      <c r="S20" s="1">
        <f>(Main_L[[#This Row],[A/E]]-VLOOKUP(Main_L[[#This Row],[Industry]], Mean_AE_L, 2, FALSE))/(VLOOKUP(Main_L[[#This Row],[Industry]], Mean_AE_L, 3, FALSE))</f>
        <v>-0.75671842929350797</v>
      </c>
      <c r="T20" s="1">
        <f>(Main_L[[#This Row],[P/E]]-VLOOKUP(Main_L[[#This Row],[Industry]], Mean_PE_L, 2, FALSE))/(VLOOKUP(Main_L[[#This Row],[Industry]], Mean_PE_L, 3, FALSE))</f>
        <v>0.25083905280986563</v>
      </c>
      <c r="U2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1" spans="1:26" x14ac:dyDescent="0.25">
      <c r="A21" t="s">
        <v>152</v>
      </c>
      <c r="B21" t="s">
        <v>172</v>
      </c>
      <c r="C21" s="2">
        <v>111784</v>
      </c>
      <c r="D21">
        <f>RTD("tos.rtd", , "LAST", Main_L[[#This Row],[Symbol]])</f>
        <v>432</v>
      </c>
      <c r="E21">
        <v>-3.79</v>
      </c>
      <c r="F21">
        <v>64.19</v>
      </c>
      <c r="G21">
        <v>-3.84</v>
      </c>
      <c r="H21" s="1">
        <f>IF(ISNUMBER(Main_L[[#This Row],[Free CF]]),IF(Main_L[[#This Row],[Free CF]]&lt;&gt;0,Main_L[[#This Row],[Current Price]]/Main_L[[#This Row],[Free CF]],""),"")</f>
        <v>-113.98416886543535</v>
      </c>
      <c r="I21" s="1">
        <f>IF(ISNUMBER(Main_L[[#This Row],[BVPS]]),IF(Main_L[[#This Row],[BVPS]]&lt;&gt;0,Main_L[[#This Row],[Current Price]]/Main_L[[#This Row],[BVPS]],""),"")</f>
        <v>6.73002025237576</v>
      </c>
      <c r="J21">
        <v>-5.64</v>
      </c>
      <c r="K21">
        <v>11.77</v>
      </c>
      <c r="L21">
        <v>1.39</v>
      </c>
      <c r="M21" s="1">
        <f>IF(ISNUMBER(Main_L[[#This Row],[EPS]]),IF(Main_L[[#This Row],[EPS]]&lt;&gt;0,Main_L[[#This Row],[Current Price]]/Main_L[[#This Row],[EPS]],""),"")</f>
        <v>-112.5</v>
      </c>
      <c r="N2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1" s="1">
        <f>(Main_L[[#This Row],[P/FCF]]-VLOOKUP(Main_L[[#This Row],[Industry]], Mean_PFCF_L, 2, FALSE))/(VLOOKUP(Main_L[[#This Row],[Industry]], Mean_PFCF_L, 3, FALSE))</f>
        <v>-5.9081641440517085</v>
      </c>
      <c r="P21" s="1">
        <f>(Main_L[[#This Row],[P/B]]-VLOOKUP(Main_L[[#This Row],[Industry]], Mean_PB_L, 2, FALSE))/(VLOOKUP(Main_L[[#This Row],[Industry]], Mean_PB_L, 3, FALSE))</f>
        <v>-0.10948469447176438</v>
      </c>
      <c r="Q21" s="1">
        <f>(Main_L[[#This Row],[ROE]]-VLOOKUP(Main_L[[#This Row],[Industry]], Mean_ROE_L, 2, FALSE))/(VLOOKUP(Main_L[[#This Row],[Industry]], Mean_ROE_L, 3, FALSE))</f>
        <v>-0.64009692831521037</v>
      </c>
      <c r="R21" s="1">
        <f>(Main_L[[#This Row],[ROA]]-VLOOKUP(Main_L[[#This Row],[Industry]], Mean_ROA_L, 2, FALSE))/(VLOOKUP(Main_L[[#This Row],[Industry]], Mean_ROA_L, 3, FALSE))</f>
        <v>1.0320615285159234</v>
      </c>
      <c r="S21" s="1">
        <f>(Main_L[[#This Row],[A/E]]-VLOOKUP(Main_L[[#This Row],[Industry]], Mean_AE_L, 2, FALSE))/(VLOOKUP(Main_L[[#This Row],[Industry]], Mean_AE_L, 3, FALSE))</f>
        <v>-0.24455705582920539</v>
      </c>
      <c r="T21" s="1">
        <f>(Main_L[[#This Row],[P/E]]-VLOOKUP(Main_L[[#This Row],[Industry]], Mean_PE_L, 2, FALSE))/(VLOOKUP(Main_L[[#This Row],[Industry]], Mean_PE_L, 3, FALSE))</f>
        <v>-2.6794028211425851</v>
      </c>
      <c r="U2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2" spans="1:26" x14ac:dyDescent="0.25">
      <c r="A22" t="s">
        <v>105</v>
      </c>
      <c r="B22" t="s">
        <v>106</v>
      </c>
      <c r="C22" s="2">
        <v>233051</v>
      </c>
      <c r="D22">
        <f>RTD("tos.rtd", , "LAST", Main_L[[#This Row],[Symbol]])</f>
        <v>129.05000000000001</v>
      </c>
      <c r="E22">
        <v>3.83</v>
      </c>
      <c r="F22">
        <v>28.05</v>
      </c>
      <c r="G22">
        <v>7.7</v>
      </c>
      <c r="H22" s="1">
        <f>IF(ISNUMBER(Main_L[[#This Row],[Free CF]]),IF(Main_L[[#This Row],[Free CF]]&lt;&gt;0,Main_L[[#This Row],[Current Price]]/Main_L[[#This Row],[Free CF]],""),"")</f>
        <v>33.694516971279377</v>
      </c>
      <c r="I22" s="1">
        <f>IF(ISNUMBER(Main_L[[#This Row],[BVPS]]),IF(Main_L[[#This Row],[BVPS]]&lt;&gt;0,Main_L[[#This Row],[Current Price]]/Main_L[[#This Row],[BVPS]],""),"")</f>
        <v>4.6007130124777182</v>
      </c>
      <c r="J22">
        <v>30.65</v>
      </c>
      <c r="K22">
        <v>6.38</v>
      </c>
      <c r="L22">
        <v>1.67</v>
      </c>
      <c r="M22" s="1">
        <f>IF(ISNUMBER(Main_L[[#This Row],[EPS]]),IF(Main_L[[#This Row],[EPS]]&lt;&gt;0,Main_L[[#This Row],[Current Price]]/Main_L[[#This Row],[EPS]],""),"")</f>
        <v>16.759740259740262</v>
      </c>
      <c r="N2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2" s="1">
        <f>(Main_L[[#This Row],[P/FCF]]-VLOOKUP(Main_L[[#This Row],[Industry]], Mean_PFCF_L, 2, FALSE))/(VLOOKUP(Main_L[[#This Row],[Industry]], Mean_PFCF_L, 3, FALSE))</f>
        <v>-8.3582926983790329E-2</v>
      </c>
      <c r="P22" s="1">
        <f>(Main_L[[#This Row],[P/B]]-VLOOKUP(Main_L[[#This Row],[Industry]], Mean_PB_L, 2, FALSE))/(VLOOKUP(Main_L[[#This Row],[Industry]], Mean_PB_L, 3, FALSE))</f>
        <v>8.5634159021209466E-2</v>
      </c>
      <c r="Q22" s="1">
        <f>(Main_L[[#This Row],[ROE]]-VLOOKUP(Main_L[[#This Row],[Industry]], Mean_ROE_L, 2, FALSE))/(VLOOKUP(Main_L[[#This Row],[Industry]], Mean_ROE_L, 3, FALSE))</f>
        <v>2.0885862973646776</v>
      </c>
      <c r="R22" s="1">
        <f>(Main_L[[#This Row],[ROA]]-VLOOKUP(Main_L[[#This Row],[Industry]], Mean_ROA_L, 2, FALSE))/(VLOOKUP(Main_L[[#This Row],[Industry]], Mean_ROA_L, 3, FALSE))</f>
        <v>0.5342886229078222</v>
      </c>
      <c r="S22" s="1">
        <f>(Main_L[[#This Row],[A/E]]-VLOOKUP(Main_L[[#This Row],[Industry]], Mean_AE_L, 2, FALSE))/(VLOOKUP(Main_L[[#This Row],[Industry]], Mean_AE_L, 3, FALSE))</f>
        <v>-0.34633273006231258</v>
      </c>
      <c r="T22" s="1">
        <f>(Main_L[[#This Row],[P/E]]-VLOOKUP(Main_L[[#This Row],[Industry]], Mean_PE_L, 2, FALSE))/(VLOOKUP(Main_L[[#This Row],[Industry]], Mean_PE_L, 3, FALSE))</f>
        <v>-1.2982408346315457</v>
      </c>
      <c r="U2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3" spans="1:26" x14ac:dyDescent="0.25">
      <c r="A23" t="s">
        <v>105</v>
      </c>
      <c r="B23" t="s">
        <v>107</v>
      </c>
      <c r="C23" s="2">
        <v>15757</v>
      </c>
      <c r="D23">
        <f>RTD("tos.rtd", , "LAST", Main_L[[#This Row],[Symbol]])</f>
        <v>31.15</v>
      </c>
      <c r="E23">
        <v>1.1000000000000001</v>
      </c>
      <c r="F23">
        <v>13.63</v>
      </c>
      <c r="G23">
        <v>-0.54</v>
      </c>
      <c r="H23" s="1">
        <f>IF(ISNUMBER(Main_L[[#This Row],[Free CF]]),IF(Main_L[[#This Row],[Free CF]]&lt;&gt;0,Main_L[[#This Row],[Current Price]]/Main_L[[#This Row],[Free CF]],""),"")</f>
        <v>28.318181818181813</v>
      </c>
      <c r="I23" s="1">
        <f>IF(ISNUMBER(Main_L[[#This Row],[BVPS]]),IF(Main_L[[#This Row],[BVPS]]&lt;&gt;0,Main_L[[#This Row],[Current Price]]/Main_L[[#This Row],[BVPS]],""),"")</f>
        <v>2.2853998532648565</v>
      </c>
      <c r="J23">
        <v>-4.21</v>
      </c>
      <c r="K23">
        <v>2.0499999999999998</v>
      </c>
      <c r="L23">
        <v>3.7</v>
      </c>
      <c r="M23" s="1">
        <f>IF(ISNUMBER(Main_L[[#This Row],[EPS]]),IF(Main_L[[#This Row],[EPS]]&lt;&gt;0,Main_L[[#This Row],[Current Price]]/Main_L[[#This Row],[EPS]],""),"")</f>
        <v>-57.685185185185176</v>
      </c>
      <c r="N2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3" s="1">
        <f>(Main_L[[#This Row],[P/FCF]]-VLOOKUP(Main_L[[#This Row],[Industry]], Mean_PFCF_L, 2, FALSE))/(VLOOKUP(Main_L[[#This Row],[Industry]], Mean_PFCF_L, 3, FALSE))</f>
        <v>-0.38922252587803252</v>
      </c>
      <c r="P23" s="1">
        <f>(Main_L[[#This Row],[P/B]]-VLOOKUP(Main_L[[#This Row],[Industry]], Mean_PB_L, 2, FALSE))/(VLOOKUP(Main_L[[#This Row],[Industry]], Mean_PB_L, 3, FALSE))</f>
        <v>-0.77877419015500637</v>
      </c>
      <c r="Q23" s="1">
        <f>(Main_L[[#This Row],[ROE]]-VLOOKUP(Main_L[[#This Row],[Industry]], Mean_ROE_L, 2, FALSE))/(VLOOKUP(Main_L[[#This Row],[Industry]], Mean_ROE_L, 3, FALSE))</f>
        <v>-1.6406100071445568</v>
      </c>
      <c r="R23" s="1">
        <f>(Main_L[[#This Row],[ROA]]-VLOOKUP(Main_L[[#This Row],[Industry]], Mean_ROA_L, 2, FALSE))/(VLOOKUP(Main_L[[#This Row],[Industry]], Mean_ROA_L, 3, FALSE))</f>
        <v>-1.8601354520556208</v>
      </c>
      <c r="S23" s="1">
        <f>(Main_L[[#This Row],[A/E]]-VLOOKUP(Main_L[[#This Row],[Industry]], Mean_AE_L, 2, FALSE))/(VLOOKUP(Main_L[[#This Row],[Industry]], Mean_AE_L, 3, FALSE))</f>
        <v>4.0340750084205297</v>
      </c>
      <c r="T23" s="1">
        <f>(Main_L[[#This Row],[P/E]]-VLOOKUP(Main_L[[#This Row],[Industry]], Mean_PE_L, 2, FALSE))/(VLOOKUP(Main_L[[#This Row],[Industry]], Mean_PE_L, 3, FALSE))</f>
        <v>-5.3257784162578377</v>
      </c>
      <c r="U2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24" spans="1:26" x14ac:dyDescent="0.25">
      <c r="A24" t="s">
        <v>105</v>
      </c>
      <c r="B24" t="s">
        <v>108</v>
      </c>
      <c r="C24" s="2">
        <v>47904</v>
      </c>
      <c r="D24">
        <f>RTD("tos.rtd", , "LAST", Main_L[[#This Row],[Symbol]])</f>
        <v>175.34</v>
      </c>
      <c r="E24">
        <v>8.9700000000000006</v>
      </c>
      <c r="F24">
        <v>88.07</v>
      </c>
      <c r="G24">
        <v>5.16</v>
      </c>
      <c r="H24" s="1">
        <f>IF(ISNUMBER(Main_L[[#This Row],[Free CF]]),IF(Main_L[[#This Row],[Free CF]]&lt;&gt;0,Main_L[[#This Row],[Current Price]]/Main_L[[#This Row],[Free CF]],""),"")</f>
        <v>19.547380156075807</v>
      </c>
      <c r="I24" s="1">
        <f>IF(ISNUMBER(Main_L[[#This Row],[BVPS]]),IF(Main_L[[#This Row],[BVPS]]&lt;&gt;0,Main_L[[#This Row],[Current Price]]/Main_L[[#This Row],[BVPS]],""),"")</f>
        <v>1.9909163165663679</v>
      </c>
      <c r="J24">
        <v>5.89</v>
      </c>
      <c r="K24">
        <v>3.69</v>
      </c>
      <c r="L24">
        <v>2.16</v>
      </c>
      <c r="M24" s="1">
        <f>IF(ISNUMBER(Main_L[[#This Row],[EPS]]),IF(Main_L[[#This Row],[EPS]]&lt;&gt;0,Main_L[[#This Row],[Current Price]]/Main_L[[#This Row],[EPS]],""),"")</f>
        <v>33.980620155038757</v>
      </c>
      <c r="N2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4" s="1">
        <f>(Main_L[[#This Row],[P/FCF]]-VLOOKUP(Main_L[[#This Row],[Industry]], Mean_PFCF_L, 2, FALSE))/(VLOOKUP(Main_L[[#This Row],[Industry]], Mean_PFCF_L, 3, FALSE))</f>
        <v>-0.88783435450306736</v>
      </c>
      <c r="P24" s="1">
        <f>(Main_L[[#This Row],[P/B]]-VLOOKUP(Main_L[[#This Row],[Industry]], Mean_PB_L, 2, FALSE))/(VLOOKUP(Main_L[[#This Row],[Industry]], Mean_PB_L, 3, FALSE))</f>
        <v>-0.88871786097301997</v>
      </c>
      <c r="Q24" s="1">
        <f>(Main_L[[#This Row],[ROE]]-VLOOKUP(Main_L[[#This Row],[Industry]], Mean_ROE_L, 2, FALSE))/(VLOOKUP(Main_L[[#This Row],[Industry]], Mean_ROE_L, 3, FALSE))</f>
        <v>-0.56014865672736613</v>
      </c>
      <c r="R24" s="1">
        <f>(Main_L[[#This Row],[ROA]]-VLOOKUP(Main_L[[#This Row],[Industry]], Mean_ROA_L, 2, FALSE))/(VLOOKUP(Main_L[[#This Row],[Industry]], Mean_ROA_L, 3, FALSE))</f>
        <v>-0.95324042135353149</v>
      </c>
      <c r="S24" s="1">
        <f>(Main_L[[#This Row],[A/E]]-VLOOKUP(Main_L[[#This Row],[Industry]], Mean_AE_L, 2, FALSE))/(VLOOKUP(Main_L[[#This Row],[Industry]], Mean_AE_L, 3, FALSE))</f>
        <v>0.71100706888182208</v>
      </c>
      <c r="T24" s="1">
        <f>(Main_L[[#This Row],[P/E]]-VLOOKUP(Main_L[[#This Row],[Industry]], Mean_PE_L, 2, FALSE))/(VLOOKUP(Main_L[[#This Row],[Industry]], Mean_PE_L, 3, FALSE))</f>
        <v>-0.36657570698898562</v>
      </c>
      <c r="U2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5" spans="1:26" x14ac:dyDescent="0.25">
      <c r="A25" t="s">
        <v>105</v>
      </c>
      <c r="B25" t="s">
        <v>109</v>
      </c>
      <c r="C25" s="2">
        <v>155046</v>
      </c>
      <c r="D25">
        <f>RTD("tos.rtd", , "LAST", Main_L[[#This Row],[Symbol]])</f>
        <v>102.95</v>
      </c>
      <c r="E25">
        <v>2.06</v>
      </c>
      <c r="F25">
        <v>15.02</v>
      </c>
      <c r="G25">
        <v>1.37</v>
      </c>
      <c r="H25" s="1">
        <f>IF(ISNUMBER(Main_L[[#This Row],[Free CF]]),IF(Main_L[[#This Row],[Free CF]]&lt;&gt;0,Main_L[[#This Row],[Current Price]]/Main_L[[#This Row],[Free CF]],""),"")</f>
        <v>49.975728155339809</v>
      </c>
      <c r="I25" s="1">
        <f>IF(ISNUMBER(Main_L[[#This Row],[BVPS]]),IF(Main_L[[#This Row],[BVPS]]&lt;&gt;0,Main_L[[#This Row],[Current Price]]/Main_L[[#This Row],[BVPS]],""),"")</f>
        <v>6.8541944074567249</v>
      </c>
      <c r="J25">
        <v>9.5</v>
      </c>
      <c r="K25">
        <v>5.28</v>
      </c>
      <c r="L25">
        <v>1.81</v>
      </c>
      <c r="M25" s="1">
        <f>IF(ISNUMBER(Main_L[[#This Row],[EPS]]),IF(Main_L[[#This Row],[EPS]]&lt;&gt;0,Main_L[[#This Row],[Current Price]]/Main_L[[#This Row],[EPS]],""),"")</f>
        <v>75.145985401459853</v>
      </c>
      <c r="N2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5" s="1">
        <f>(Main_L[[#This Row],[P/FCF]]-VLOOKUP(Main_L[[#This Row],[Industry]], Mean_PFCF_L, 2, FALSE))/(VLOOKUP(Main_L[[#This Row],[Industry]], Mean_PFCF_L, 3, FALSE))</f>
        <v>0.84198862205583069</v>
      </c>
      <c r="P25" s="1">
        <f>(Main_L[[#This Row],[P/B]]-VLOOKUP(Main_L[[#This Row],[Industry]], Mean_PB_L, 2, FALSE))/(VLOOKUP(Main_L[[#This Row],[Industry]], Mean_PB_L, 3, FALSE))</f>
        <v>0.92695798806011032</v>
      </c>
      <c r="Q25" s="1">
        <f>(Main_L[[#This Row],[ROE]]-VLOOKUP(Main_L[[#This Row],[Industry]], Mean_ROE_L, 2, FALSE))/(VLOOKUP(Main_L[[#This Row],[Industry]], Mean_ROE_L, 3, FALSE))</f>
        <v>-0.17396395623171673</v>
      </c>
      <c r="R25" s="1">
        <f>(Main_L[[#This Row],[ROA]]-VLOOKUP(Main_L[[#This Row],[Industry]], Mean_ROA_L, 2, FALSE))/(VLOOKUP(Main_L[[#This Row],[Industry]], Mean_ROA_L, 3, FALSE))</f>
        <v>-7.3994629392359415E-2</v>
      </c>
      <c r="S25" s="1">
        <f>(Main_L[[#This Row],[A/E]]-VLOOKUP(Main_L[[#This Row],[Industry]], Mean_AE_L, 2, FALSE))/(VLOOKUP(Main_L[[#This Row],[Industry]], Mean_AE_L, 3, FALSE))</f>
        <v>-4.4235644649702539E-2</v>
      </c>
      <c r="T25" s="1">
        <f>(Main_L[[#This Row],[P/E]]-VLOOKUP(Main_L[[#This Row],[Industry]], Mean_PE_L, 2, FALSE))/(VLOOKUP(Main_L[[#This Row],[Industry]], Mean_PE_L, 3, FALSE))</f>
        <v>1.8605076650534711</v>
      </c>
      <c r="U2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6" spans="1:26" x14ac:dyDescent="0.25">
      <c r="A26" t="s">
        <v>105</v>
      </c>
      <c r="B26" t="s">
        <v>110</v>
      </c>
      <c r="C26" s="2">
        <v>32682</v>
      </c>
      <c r="D26">
        <f>RTD("tos.rtd", , "LAST", Main_L[[#This Row],[Symbol]])</f>
        <v>84.11</v>
      </c>
      <c r="E26">
        <v>1.46</v>
      </c>
      <c r="F26">
        <v>5.78</v>
      </c>
      <c r="G26">
        <v>1.33</v>
      </c>
      <c r="H26" s="1">
        <f>IF(ISNUMBER(Main_L[[#This Row],[Free CF]]),IF(Main_L[[#This Row],[Free CF]]&lt;&gt;0,Main_L[[#This Row],[Current Price]]/Main_L[[#This Row],[Free CF]],""),"")</f>
        <v>57.609589041095894</v>
      </c>
      <c r="I26" s="1">
        <f>IF(ISNUMBER(Main_L[[#This Row],[BVPS]]),IF(Main_L[[#This Row],[BVPS]]&lt;&gt;0,Main_L[[#This Row],[Current Price]]/Main_L[[#This Row],[BVPS]],""),"")</f>
        <v>14.551903114186851</v>
      </c>
      <c r="J26">
        <v>23.72</v>
      </c>
      <c r="K26">
        <v>5.98</v>
      </c>
      <c r="L26">
        <v>2.98</v>
      </c>
      <c r="M26" s="1">
        <f>IF(ISNUMBER(Main_L[[#This Row],[EPS]]),IF(Main_L[[#This Row],[EPS]]&lt;&gt;0,Main_L[[#This Row],[Current Price]]/Main_L[[#This Row],[EPS]],""),"")</f>
        <v>63.240601503759393</v>
      </c>
      <c r="N2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6" s="1">
        <f>(Main_L[[#This Row],[P/FCF]]-VLOOKUP(Main_L[[#This Row],[Industry]], Mean_PFCF_L, 2, FALSE))/(VLOOKUP(Main_L[[#This Row],[Industry]], Mean_PFCF_L, 3, FALSE))</f>
        <v>1.2759664364397909</v>
      </c>
      <c r="P26" s="1">
        <f>(Main_L[[#This Row],[P/B]]-VLOOKUP(Main_L[[#This Row],[Industry]], Mean_PB_L, 2, FALSE))/(VLOOKUP(Main_L[[#This Row],[Industry]], Mean_PB_L, 3, FALSE))</f>
        <v>3.8008515903778735</v>
      </c>
      <c r="Q26" s="1">
        <f>(Main_L[[#This Row],[ROE]]-VLOOKUP(Main_L[[#This Row],[Industry]], Mean_ROE_L, 2, FALSE))/(VLOOKUP(Main_L[[#This Row],[Industry]], Mean_ROE_L, 3, FALSE))</f>
        <v>1.3472400440586252</v>
      </c>
      <c r="R26" s="1">
        <f>(Main_L[[#This Row],[ROA]]-VLOOKUP(Main_L[[#This Row],[Industry]], Mean_ROA_L, 2, FALSE))/(VLOOKUP(Main_L[[#This Row],[Industry]], Mean_ROA_L, 3, FALSE))</f>
        <v>0.31309471298048364</v>
      </c>
      <c r="S26" s="1">
        <f>(Main_L[[#This Row],[A/E]]-VLOOKUP(Main_L[[#This Row],[Industry]], Mean_AE_L, 2, FALSE))/(VLOOKUP(Main_L[[#This Row],[Industry]], Mean_AE_L, 3, FALSE))</f>
        <v>2.4804328548699646</v>
      </c>
      <c r="T26" s="1">
        <f>(Main_L[[#This Row],[P/E]]-VLOOKUP(Main_L[[#This Row],[Industry]], Mean_PE_L, 2, FALSE))/(VLOOKUP(Main_L[[#This Row],[Industry]], Mean_PE_L, 3, FALSE))</f>
        <v>1.2164156630116369</v>
      </c>
      <c r="U2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2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7" spans="1:26" x14ac:dyDescent="0.25">
      <c r="A27" t="s">
        <v>105</v>
      </c>
      <c r="B27" t="s">
        <v>111</v>
      </c>
      <c r="C27" s="2">
        <v>43955</v>
      </c>
      <c r="D27">
        <f>RTD("tos.rtd", , "LAST", Main_L[[#This Row],[Symbol]])</f>
        <v>75.5</v>
      </c>
      <c r="E27">
        <v>0.43</v>
      </c>
      <c r="F27">
        <v>16.989999999999998</v>
      </c>
      <c r="G27">
        <v>2.42</v>
      </c>
      <c r="H27" s="1">
        <f>IF(ISNUMBER(Main_L[[#This Row],[Free CF]]),IF(Main_L[[#This Row],[Free CF]]&lt;&gt;0,Main_L[[#This Row],[Current Price]]/Main_L[[#This Row],[Free CF]],""),"")</f>
        <v>175.58139534883722</v>
      </c>
      <c r="I27" s="1">
        <f>IF(ISNUMBER(Main_L[[#This Row],[BVPS]]),IF(Main_L[[#This Row],[BVPS]]&lt;&gt;0,Main_L[[#This Row],[Current Price]]/Main_L[[#This Row],[BVPS]],""),"")</f>
        <v>4.4437904649793998</v>
      </c>
      <c r="J27">
        <v>16.64</v>
      </c>
      <c r="K27">
        <v>8.26</v>
      </c>
      <c r="L27">
        <v>1.31</v>
      </c>
      <c r="M27" s="1">
        <f>IF(ISNUMBER(Main_L[[#This Row],[EPS]]),IF(Main_L[[#This Row],[EPS]]&lt;&gt;0,Main_L[[#This Row],[Current Price]]/Main_L[[#This Row],[EPS]],""),"")</f>
        <v>31.198347107438018</v>
      </c>
      <c r="N2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7" s="1">
        <f>(Main_L[[#This Row],[P/FCF]]-VLOOKUP(Main_L[[#This Row],[Industry]], Mean_PFCF_L, 2, FALSE))/(VLOOKUP(Main_L[[#This Row],[Industry]], Mean_PFCF_L, 3, FALSE))</f>
        <v>7.9825527138881398</v>
      </c>
      <c r="P27" s="1">
        <f>(Main_L[[#This Row],[P/B]]-VLOOKUP(Main_L[[#This Row],[Industry]], Mean_PB_L, 2, FALSE))/(VLOOKUP(Main_L[[#This Row],[Industry]], Mean_PB_L, 3, FALSE))</f>
        <v>2.7048062496079731E-2</v>
      </c>
      <c r="Q27" s="1">
        <f>(Main_L[[#This Row],[ROE]]-VLOOKUP(Main_L[[#This Row],[Industry]], Mean_ROE_L, 2, FALSE))/(VLOOKUP(Main_L[[#This Row],[Industry]], Mean_ROE_L, 3, FALSE))</f>
        <v>0.58984733505330733</v>
      </c>
      <c r="R27" s="1">
        <f>(Main_L[[#This Row],[ROA]]-VLOOKUP(Main_L[[#This Row],[Industry]], Mean_ROA_L, 2, FALSE))/(VLOOKUP(Main_L[[#This Row],[Industry]], Mean_ROA_L, 3, FALSE))</f>
        <v>1.5738999995663148</v>
      </c>
      <c r="S27" s="1">
        <f>(Main_L[[#This Row],[A/E]]-VLOOKUP(Main_L[[#This Row],[Industry]], Mean_AE_L, 2, FALSE))/(VLOOKUP(Main_L[[#This Row],[Industry]], Mean_AE_L, 3, FALSE))</f>
        <v>-1.1231538068375946</v>
      </c>
      <c r="T27" s="1">
        <f>(Main_L[[#This Row],[P/E]]-VLOOKUP(Main_L[[#This Row],[Industry]], Mean_PE_L, 2, FALSE))/(VLOOKUP(Main_L[[#This Row],[Industry]], Mean_PE_L, 3, FALSE))</f>
        <v>-0.51709918719379699</v>
      </c>
      <c r="U2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2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8" spans="1:26" x14ac:dyDescent="0.25">
      <c r="A28" t="s">
        <v>105</v>
      </c>
      <c r="B28" t="s">
        <v>112</v>
      </c>
      <c r="C28" s="2">
        <v>31512</v>
      </c>
      <c r="D28">
        <f>RTD("tos.rtd", , "LAST", Main_L[[#This Row],[Symbol]])</f>
        <v>73.83</v>
      </c>
      <c r="E28">
        <v>3.01</v>
      </c>
      <c r="F28">
        <v>20.07</v>
      </c>
      <c r="G28">
        <v>4.76</v>
      </c>
      <c r="H28" s="1">
        <f>IF(ISNUMBER(Main_L[[#This Row],[Free CF]]),IF(Main_L[[#This Row],[Free CF]]&lt;&gt;0,Main_L[[#This Row],[Current Price]]/Main_L[[#This Row],[Free CF]],""),"")</f>
        <v>24.528239202657808</v>
      </c>
      <c r="I28" s="1">
        <f>IF(ISNUMBER(Main_L[[#This Row],[BVPS]]),IF(Main_L[[#This Row],[BVPS]]&lt;&gt;0,Main_L[[#This Row],[Current Price]]/Main_L[[#This Row],[BVPS]],""),"")</f>
        <v>3.6786248131539612</v>
      </c>
      <c r="J28">
        <v>26.44</v>
      </c>
      <c r="K28">
        <v>5.87</v>
      </c>
      <c r="L28">
        <v>3.66</v>
      </c>
      <c r="M28" s="1">
        <f>IF(ISNUMBER(Main_L[[#This Row],[EPS]]),IF(Main_L[[#This Row],[EPS]]&lt;&gt;0,Main_L[[#This Row],[Current Price]]/Main_L[[#This Row],[EPS]],""),"")</f>
        <v>15.510504201680673</v>
      </c>
      <c r="N2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8" s="1">
        <f>(Main_L[[#This Row],[P/FCF]]-VLOOKUP(Main_L[[#This Row],[Industry]], Mean_PFCF_L, 2, FALSE))/(VLOOKUP(Main_L[[#This Row],[Industry]], Mean_PFCF_L, 3, FALSE))</f>
        <v>-0.60467720045753071</v>
      </c>
      <c r="P28" s="1">
        <f>(Main_L[[#This Row],[P/B]]-VLOOKUP(Main_L[[#This Row],[Industry]], Mean_PB_L, 2, FALSE))/(VLOOKUP(Main_L[[#This Row],[Industry]], Mean_PB_L, 3, FALSE))</f>
        <v>-0.25862196676494359</v>
      </c>
      <c r="Q28" s="1">
        <f>(Main_L[[#This Row],[ROE]]-VLOOKUP(Main_L[[#This Row],[Industry]], Mean_ROE_L, 2, FALSE))/(VLOOKUP(Main_L[[#This Row],[Industry]], Mean_ROE_L, 3, FALSE))</f>
        <v>1.6382157740719678</v>
      </c>
      <c r="R28" s="1">
        <f>(Main_L[[#This Row],[ROA]]-VLOOKUP(Main_L[[#This Row],[Industry]], Mean_ROA_L, 2, FALSE))/(VLOOKUP(Main_L[[#This Row],[Industry]], Mean_ROA_L, 3, FALSE))</f>
        <v>0.25226638775046528</v>
      </c>
      <c r="S28" s="1">
        <f>(Main_L[[#This Row],[A/E]]-VLOOKUP(Main_L[[#This Row],[Industry]], Mean_AE_L, 2, FALSE))/(VLOOKUP(Main_L[[#This Row],[Industry]], Mean_AE_L, 3, FALSE))</f>
        <v>3.9477615554454983</v>
      </c>
      <c r="T28" s="1">
        <f>(Main_L[[#This Row],[P/E]]-VLOOKUP(Main_L[[#This Row],[Industry]], Mean_PE_L, 2, FALSE))/(VLOOKUP(Main_L[[#This Row],[Industry]], Mean_PE_L, 3, FALSE))</f>
        <v>-1.3658256316084718</v>
      </c>
      <c r="U2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2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29" spans="1:26" x14ac:dyDescent="0.25">
      <c r="A29" t="s">
        <v>105</v>
      </c>
      <c r="B29" t="s">
        <v>113</v>
      </c>
      <c r="C29" s="2">
        <v>12352</v>
      </c>
      <c r="D29">
        <f>RTD("tos.rtd", , "LAST", Main_L[[#This Row],[Symbol]])</f>
        <v>57.12</v>
      </c>
      <c r="E29">
        <v>4.2</v>
      </c>
      <c r="F29">
        <v>20.73</v>
      </c>
      <c r="G29">
        <v>2.39</v>
      </c>
      <c r="H29" s="1">
        <f>IF(ISNUMBER(Main_L[[#This Row],[Free CF]]),IF(Main_L[[#This Row],[Free CF]]&lt;&gt;0,Main_L[[#This Row],[Current Price]]/Main_L[[#This Row],[Free CF]],""),"")</f>
        <v>13.6</v>
      </c>
      <c r="I29" s="1">
        <f>IF(ISNUMBER(Main_L[[#This Row],[BVPS]]),IF(Main_L[[#This Row],[BVPS]]&lt;&gt;0,Main_L[[#This Row],[Current Price]]/Main_L[[#This Row],[BVPS]],""),"")</f>
        <v>2.7554269175108534</v>
      </c>
      <c r="J29">
        <v>11.77</v>
      </c>
      <c r="K29">
        <v>6.92</v>
      </c>
      <c r="L29">
        <v>1.85</v>
      </c>
      <c r="M29" s="1">
        <f>IF(ISNUMBER(Main_L[[#This Row],[EPS]]),IF(Main_L[[#This Row],[EPS]]&lt;&gt;0,Main_L[[#This Row],[Current Price]]/Main_L[[#This Row],[EPS]],""),"")</f>
        <v>23.899581589958157</v>
      </c>
      <c r="N2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29" s="1">
        <f>(Main_L[[#This Row],[P/FCF]]-VLOOKUP(Main_L[[#This Row],[Industry]], Mean_PFCF_L, 2, FALSE))/(VLOOKUP(Main_L[[#This Row],[Industry]], Mean_PFCF_L, 3, FALSE))</f>
        <v>-1.2259373249488903</v>
      </c>
      <c r="P29" s="1">
        <f>(Main_L[[#This Row],[P/B]]-VLOOKUP(Main_L[[#This Row],[Industry]], Mean_PB_L, 2, FALSE))/(VLOOKUP(Main_L[[#This Row],[Industry]], Mean_PB_L, 3, FALSE))</f>
        <v>-0.60329239104876631</v>
      </c>
      <c r="Q29" s="1">
        <f>(Main_L[[#This Row],[ROE]]-VLOOKUP(Main_L[[#This Row],[Industry]], Mean_ROE_L, 2, FALSE))/(VLOOKUP(Main_L[[#This Row],[Industry]], Mean_ROE_L, 3, FALSE))</f>
        <v>6.8872406683830087E-2</v>
      </c>
      <c r="R29" s="1">
        <f>(Main_L[[#This Row],[ROA]]-VLOOKUP(Main_L[[#This Row],[Industry]], Mean_ROA_L, 2, FALSE))/(VLOOKUP(Main_L[[#This Row],[Industry]], Mean_ROA_L, 3, FALSE))</f>
        <v>0.83290040130972964</v>
      </c>
      <c r="S29" s="1">
        <f>(Main_L[[#This Row],[A/E]]-VLOOKUP(Main_L[[#This Row],[Industry]], Mean_AE_L, 2, FALSE))/(VLOOKUP(Main_L[[#This Row],[Industry]], Mean_AE_L, 3, FALSE))</f>
        <v>4.2077808325328904E-2</v>
      </c>
      <c r="T29" s="1">
        <f>(Main_L[[#This Row],[P/E]]-VLOOKUP(Main_L[[#This Row],[Industry]], Mean_PE_L, 2, FALSE))/(VLOOKUP(Main_L[[#This Row],[Industry]], Mean_PE_L, 3, FALSE))</f>
        <v>-0.91196898181633979</v>
      </c>
      <c r="U2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2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2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2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2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2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0" spans="1:26" x14ac:dyDescent="0.25">
      <c r="A30" t="s">
        <v>105</v>
      </c>
      <c r="B30" t="s">
        <v>114</v>
      </c>
      <c r="C30" s="2">
        <v>39134</v>
      </c>
      <c r="D30">
        <f>RTD("tos.rtd", , "LAST", Main_L[[#This Row],[Symbol]])</f>
        <v>509.13</v>
      </c>
      <c r="E30">
        <v>10.210000000000001</v>
      </c>
      <c r="F30">
        <v>17.93</v>
      </c>
      <c r="G30">
        <v>10.82</v>
      </c>
      <c r="H30" s="1">
        <f>IF(ISNUMBER(Main_L[[#This Row],[Free CF]]),IF(Main_L[[#This Row],[Free CF]]&lt;&gt;0,Main_L[[#This Row],[Current Price]]/Main_L[[#This Row],[Free CF]],""),"")</f>
        <v>49.865817825661111</v>
      </c>
      <c r="I30" s="1">
        <f>IF(ISNUMBER(Main_L[[#This Row],[BVPS]]),IF(Main_L[[#This Row],[BVPS]]&lt;&gt;0,Main_L[[#This Row],[Current Price]]/Main_L[[#This Row],[BVPS]],""),"")</f>
        <v>28.395426659230342</v>
      </c>
      <c r="J30">
        <v>59.33</v>
      </c>
      <c r="K30">
        <v>22.98</v>
      </c>
      <c r="L30">
        <v>2.2200000000000002</v>
      </c>
      <c r="M30" s="1">
        <f>IF(ISNUMBER(Main_L[[#This Row],[EPS]]),IF(Main_L[[#This Row],[EPS]]&lt;&gt;0,Main_L[[#This Row],[Current Price]]/Main_L[[#This Row],[EPS]],""),"")</f>
        <v>47.054528650646951</v>
      </c>
      <c r="N3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0" s="1">
        <f>(Main_L[[#This Row],[P/FCF]]-VLOOKUP(Main_L[[#This Row],[Industry]], Mean_PFCF_L, 2, FALSE))/(VLOOKUP(Main_L[[#This Row],[Industry]], Mean_PFCF_L, 3, FALSE))</f>
        <v>0.83574032314574942</v>
      </c>
      <c r="P30" s="1">
        <f>(Main_L[[#This Row],[P/B]]-VLOOKUP(Main_L[[#This Row],[Industry]], Mean_PB_L, 2, FALSE))/(VLOOKUP(Main_L[[#This Row],[Industry]], Mean_PB_L, 3, FALSE))</f>
        <v>8.9692484816309612</v>
      </c>
      <c r="Q30" s="1">
        <f>(Main_L[[#This Row],[ROE]]-VLOOKUP(Main_L[[#This Row],[Industry]], Mean_ROE_L, 2, FALSE))/(VLOOKUP(Main_L[[#This Row],[Industry]], Mean_ROE_L, 3, FALSE))</f>
        <v>5.1566686270641862</v>
      </c>
      <c r="R30" s="1">
        <f>(Main_L[[#This Row],[ROA]]-VLOOKUP(Main_L[[#This Row],[Industry]], Mean_ROA_L, 2, FALSE))/(VLOOKUP(Main_L[[#This Row],[Industry]], Mean_ROA_L, 3, FALSE))</f>
        <v>9.7138358848923847</v>
      </c>
      <c r="S30" s="1">
        <f>(Main_L[[#This Row],[A/E]]-VLOOKUP(Main_L[[#This Row],[Industry]], Mean_AE_L, 2, FALSE))/(VLOOKUP(Main_L[[#This Row],[Industry]], Mean_AE_L, 3, FALSE))</f>
        <v>0.84047724834436932</v>
      </c>
      <c r="T30" s="1">
        <f>(Main_L[[#This Row],[P/E]]-VLOOKUP(Main_L[[#This Row],[Industry]], Mean_PE_L, 2, FALSE))/(VLOOKUP(Main_L[[#This Row],[Industry]], Mean_PE_L, 3, FALSE))</f>
        <v>0.34073452927097359</v>
      </c>
      <c r="U3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1" spans="1:26" x14ac:dyDescent="0.25">
      <c r="A31" t="s">
        <v>105</v>
      </c>
      <c r="B31" t="s">
        <v>115</v>
      </c>
      <c r="C31" s="2">
        <v>192166</v>
      </c>
      <c r="D31">
        <f>RTD("tos.rtd", , "LAST", Main_L[[#This Row],[Symbol]])</f>
        <v>563.95000000000005</v>
      </c>
      <c r="E31">
        <v>4.9000000000000004</v>
      </c>
      <c r="F31">
        <v>47.73</v>
      </c>
      <c r="G31">
        <v>6.83</v>
      </c>
      <c r="H31" s="1">
        <f>IF(ISNUMBER(Main_L[[#This Row],[Free CF]]),IF(Main_L[[#This Row],[Free CF]]&lt;&gt;0,Main_L[[#This Row],[Current Price]]/Main_L[[#This Row],[Free CF]],""),"")</f>
        <v>115.09183673469389</v>
      </c>
      <c r="I31" s="1">
        <f>IF(ISNUMBER(Main_L[[#This Row],[BVPS]]),IF(Main_L[[#This Row],[BVPS]]&lt;&gt;0,Main_L[[#This Row],[Current Price]]/Main_L[[#This Row],[BVPS]],""),"")</f>
        <v>11.815420071234026</v>
      </c>
      <c r="J31">
        <v>15.96</v>
      </c>
      <c r="K31">
        <v>8.84</v>
      </c>
      <c r="L31">
        <v>1.1200000000000001</v>
      </c>
      <c r="M31" s="1">
        <f>IF(ISNUMBER(Main_L[[#This Row],[EPS]]),IF(Main_L[[#This Row],[EPS]]&lt;&gt;0,Main_L[[#This Row],[Current Price]]/Main_L[[#This Row],[EPS]],""),"")</f>
        <v>82.569546120058575</v>
      </c>
      <c r="N3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1" s="1">
        <f>(Main_L[[#This Row],[P/FCF]]-VLOOKUP(Main_L[[#This Row],[Industry]], Mean_PFCF_L, 2, FALSE))/(VLOOKUP(Main_L[[#This Row],[Industry]], Mean_PFCF_L, 3, FALSE))</f>
        <v>4.543778175908546</v>
      </c>
      <c r="P31" s="1">
        <f>(Main_L[[#This Row],[P/B]]-VLOOKUP(Main_L[[#This Row],[Industry]], Mean_PB_L, 2, FALSE))/(VLOOKUP(Main_L[[#This Row],[Industry]], Mean_PB_L, 3, FALSE))</f>
        <v>2.7792019788360212</v>
      </c>
      <c r="Q31" s="1">
        <f>(Main_L[[#This Row],[ROE]]-VLOOKUP(Main_L[[#This Row],[Industry]], Mean_ROE_L, 2, FALSE))/(VLOOKUP(Main_L[[#This Row],[Industry]], Mean_ROE_L, 3, FALSE))</f>
        <v>0.51710340254997178</v>
      </c>
      <c r="R31" s="1">
        <f>(Main_L[[#This Row],[ROA]]-VLOOKUP(Main_L[[#This Row],[Industry]], Mean_ROA_L, 2, FALSE))/(VLOOKUP(Main_L[[#This Row],[Industry]], Mean_ROA_L, 3, FALSE))</f>
        <v>1.8946311689609561</v>
      </c>
      <c r="S31" s="1">
        <f>(Main_L[[#This Row],[A/E]]-VLOOKUP(Main_L[[#This Row],[Industry]], Mean_AE_L, 2, FALSE))/(VLOOKUP(Main_L[[#This Row],[Industry]], Mean_AE_L, 3, FALSE))</f>
        <v>-1.5331427084689935</v>
      </c>
      <c r="T31" s="1">
        <f>(Main_L[[#This Row],[P/E]]-VLOOKUP(Main_L[[#This Row],[Industry]], Mean_PE_L, 2, FALSE))/(VLOOKUP(Main_L[[#This Row],[Industry]], Mean_PE_L, 3, FALSE))</f>
        <v>2.2621289925643726</v>
      </c>
      <c r="U3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3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2" spans="1:26" x14ac:dyDescent="0.25">
      <c r="A32" t="s">
        <v>105</v>
      </c>
      <c r="B32" t="s">
        <v>116</v>
      </c>
      <c r="C32" s="2">
        <v>106656</v>
      </c>
      <c r="D32">
        <f>RTD("tos.rtd", , "LAST", Main_L[[#This Row],[Symbol]])</f>
        <v>85.11</v>
      </c>
      <c r="E32">
        <v>4.22</v>
      </c>
      <c r="F32">
        <v>38.49</v>
      </c>
      <c r="G32">
        <v>3.27</v>
      </c>
      <c r="H32" s="1">
        <f>IF(ISNUMBER(Main_L[[#This Row],[Free CF]]),IF(Main_L[[#This Row],[Free CF]]&lt;&gt;0,Main_L[[#This Row],[Current Price]]/Main_L[[#This Row],[Free CF]],""),"")</f>
        <v>20.16824644549763</v>
      </c>
      <c r="I32" s="1">
        <f>IF(ISNUMBER(Main_L[[#This Row],[BVPS]]),IF(Main_L[[#This Row],[BVPS]]&lt;&gt;0,Main_L[[#This Row],[Current Price]]/Main_L[[#This Row],[BVPS]],""),"")</f>
        <v>2.2112236944660948</v>
      </c>
      <c r="J32">
        <v>8.44</v>
      </c>
      <c r="K32">
        <v>4.66</v>
      </c>
      <c r="L32">
        <v>1.82</v>
      </c>
      <c r="M32" s="1">
        <f>IF(ISNUMBER(Main_L[[#This Row],[EPS]]),IF(Main_L[[#This Row],[EPS]]&lt;&gt;0,Main_L[[#This Row],[Current Price]]/Main_L[[#This Row],[EPS]],""),"")</f>
        <v>26.027522935779817</v>
      </c>
      <c r="N3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2" s="1">
        <f>(Main_L[[#This Row],[P/FCF]]-VLOOKUP(Main_L[[#This Row],[Industry]], Mean_PFCF_L, 2, FALSE))/(VLOOKUP(Main_L[[#This Row],[Industry]], Mean_PFCF_L, 3, FALSE))</f>
        <v>-0.8525386896566316</v>
      </c>
      <c r="P32" s="1">
        <f>(Main_L[[#This Row],[P/B]]-VLOOKUP(Main_L[[#This Row],[Industry]], Mean_PB_L, 2, FALSE))/(VLOOKUP(Main_L[[#This Row],[Industry]], Mean_PB_L, 3, FALSE))</f>
        <v>-0.80646741632630703</v>
      </c>
      <c r="Q32" s="1">
        <f>(Main_L[[#This Row],[ROE]]-VLOOKUP(Main_L[[#This Row],[Industry]], Mean_ROE_L, 2, FALSE))/(VLOOKUP(Main_L[[#This Row],[Industry]], Mean_ROE_L, 3, FALSE))</f>
        <v>-0.28735890983985762</v>
      </c>
      <c r="R32" s="1">
        <f>(Main_L[[#This Row],[ROA]]-VLOOKUP(Main_L[[#This Row],[Industry]], Mean_ROA_L, 2, FALSE))/(VLOOKUP(Main_L[[#This Row],[Industry]], Mean_ROA_L, 3, FALSE))</f>
        <v>-0.41684518977973467</v>
      </c>
      <c r="S32" s="1">
        <f>(Main_L[[#This Row],[A/E]]-VLOOKUP(Main_L[[#This Row],[Industry]], Mean_AE_L, 2, FALSE))/(VLOOKUP(Main_L[[#This Row],[Industry]], Mean_AE_L, 3, FALSE))</f>
        <v>-2.2657281405944675E-2</v>
      </c>
      <c r="T32" s="1">
        <f>(Main_L[[#This Row],[P/E]]-VLOOKUP(Main_L[[#This Row],[Industry]], Mean_PE_L, 2, FALSE))/(VLOOKUP(Main_L[[#This Row],[Industry]], Mean_PE_L, 3, FALSE))</f>
        <v>-0.79684543658378326</v>
      </c>
      <c r="U3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3" spans="1:26" x14ac:dyDescent="0.25">
      <c r="A33" t="s">
        <v>105</v>
      </c>
      <c r="B33" t="s">
        <v>117</v>
      </c>
      <c r="C33" s="2">
        <v>11201</v>
      </c>
      <c r="D33">
        <f>RTD("tos.rtd", , "LAST", Main_L[[#This Row],[Symbol]])</f>
        <v>296.05</v>
      </c>
      <c r="E33">
        <v>3.9</v>
      </c>
      <c r="F33">
        <v>31.35</v>
      </c>
      <c r="G33">
        <v>1.08</v>
      </c>
      <c r="H33" s="1">
        <f>IF(ISNUMBER(Main_L[[#This Row],[Free CF]]),IF(Main_L[[#This Row],[Free CF]]&lt;&gt;0,Main_L[[#This Row],[Current Price]]/Main_L[[#This Row],[Free CF]],""),"")</f>
        <v>75.910256410256409</v>
      </c>
      <c r="I33" s="1">
        <f>IF(ISNUMBER(Main_L[[#This Row],[BVPS]]),IF(Main_L[[#This Row],[BVPS]]&lt;&gt;0,Main_L[[#This Row],[Current Price]]/Main_L[[#This Row],[BVPS]],""),"")</f>
        <v>9.4433811802232857</v>
      </c>
      <c r="J33">
        <v>3.5</v>
      </c>
      <c r="K33">
        <v>5.82</v>
      </c>
      <c r="L33">
        <v>1.31</v>
      </c>
      <c r="M33" s="1">
        <f>IF(ISNUMBER(Main_L[[#This Row],[EPS]]),IF(Main_L[[#This Row],[EPS]]&lt;&gt;0,Main_L[[#This Row],[Current Price]]/Main_L[[#This Row],[EPS]],""),"")</f>
        <v>274.12037037037038</v>
      </c>
      <c r="N3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3" s="1">
        <f>(Main_L[[#This Row],[P/FCF]]-VLOOKUP(Main_L[[#This Row],[Industry]], Mean_PFCF_L, 2, FALSE))/(VLOOKUP(Main_L[[#This Row],[Industry]], Mean_PFCF_L, 3, FALSE))</f>
        <v>2.3163421710114229</v>
      </c>
      <c r="P33" s="1">
        <f>(Main_L[[#This Row],[P/B]]-VLOOKUP(Main_L[[#This Row],[Industry]], Mean_PB_L, 2, FALSE))/(VLOOKUP(Main_L[[#This Row],[Industry]], Mean_PB_L, 3, FALSE))</f>
        <v>1.8936154162573957</v>
      </c>
      <c r="Q33" s="1">
        <f>(Main_L[[#This Row],[ROE]]-VLOOKUP(Main_L[[#This Row],[Industry]], Mean_ROE_L, 2, FALSE))/(VLOOKUP(Main_L[[#This Row],[Industry]], Mean_ROE_L, 3, FALSE))</f>
        <v>-0.81582218420232522</v>
      </c>
      <c r="R33" s="1">
        <f>(Main_L[[#This Row],[ROA]]-VLOOKUP(Main_L[[#This Row],[Industry]], Mean_ROA_L, 2, FALSE))/(VLOOKUP(Main_L[[#This Row],[Industry]], Mean_ROA_L, 3, FALSE))</f>
        <v>0.22461714900954804</v>
      </c>
      <c r="S33" s="1">
        <f>(Main_L[[#This Row],[A/E]]-VLOOKUP(Main_L[[#This Row],[Industry]], Mean_AE_L, 2, FALSE))/(VLOOKUP(Main_L[[#This Row],[Industry]], Mean_AE_L, 3, FALSE))</f>
        <v>-1.1231538068375946</v>
      </c>
      <c r="T33" s="1">
        <f>(Main_L[[#This Row],[P/E]]-VLOOKUP(Main_L[[#This Row],[Industry]], Mean_PE_L, 2, FALSE))/(VLOOKUP(Main_L[[#This Row],[Industry]], Mean_PE_L, 3, FALSE))</f>
        <v>12.625201275179061</v>
      </c>
      <c r="U3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4" spans="1:26" x14ac:dyDescent="0.25">
      <c r="A34" t="s">
        <v>105</v>
      </c>
      <c r="B34" t="s">
        <v>118</v>
      </c>
      <c r="C34" s="2">
        <v>22098</v>
      </c>
      <c r="D34">
        <f>RTD("tos.rtd", , "LAST", Main_L[[#This Row],[Symbol]])</f>
        <v>24.22</v>
      </c>
      <c r="E34">
        <v>0.98</v>
      </c>
      <c r="F34">
        <v>13.45</v>
      </c>
      <c r="G34">
        <v>-0.94</v>
      </c>
      <c r="H34" s="1">
        <f>IF(ISNUMBER(Main_L[[#This Row],[Free CF]]),IF(Main_L[[#This Row],[Free CF]]&lt;&gt;0,Main_L[[#This Row],[Current Price]]/Main_L[[#This Row],[Free CF]],""),"")</f>
        <v>24.714285714285715</v>
      </c>
      <c r="I34" s="1">
        <f>IF(ISNUMBER(Main_L[[#This Row],[BVPS]]),IF(Main_L[[#This Row],[BVPS]]&lt;&gt;0,Main_L[[#This Row],[Current Price]]/Main_L[[#This Row],[BVPS]],""),"")</f>
        <v>1.8007434944237919</v>
      </c>
      <c r="J34">
        <v>-6.98</v>
      </c>
      <c r="K34">
        <v>2.0099999999999998</v>
      </c>
      <c r="L34">
        <v>2.41</v>
      </c>
      <c r="M34" s="1">
        <f>IF(ISNUMBER(Main_L[[#This Row],[EPS]]),IF(Main_L[[#This Row],[EPS]]&lt;&gt;0,Main_L[[#This Row],[Current Price]]/Main_L[[#This Row],[EPS]],""),"")</f>
        <v>-25.76595744680851</v>
      </c>
      <c r="N3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4" s="1">
        <f>(Main_L[[#This Row],[P/FCF]]-VLOOKUP(Main_L[[#This Row],[Industry]], Mean_PFCF_L, 2, FALSE))/(VLOOKUP(Main_L[[#This Row],[Industry]], Mean_PFCF_L, 3, FALSE))</f>
        <v>-0.59410063118303802</v>
      </c>
      <c r="P34" s="1">
        <f>(Main_L[[#This Row],[P/B]]-VLOOKUP(Main_L[[#This Row],[Industry]], Mean_PB_L, 2, FALSE))/(VLOOKUP(Main_L[[#This Row],[Industry]], Mean_PB_L, 3, FALSE))</f>
        <v>-0.95971774908419594</v>
      </c>
      <c r="Q34" s="1">
        <f>(Main_L[[#This Row],[ROE]]-VLOOKUP(Main_L[[#This Row],[Industry]], Mean_ROE_L, 2, FALSE))/(VLOOKUP(Main_L[[#This Row],[Industry]], Mean_ROE_L, 3, FALSE))</f>
        <v>-1.9369345557243212</v>
      </c>
      <c r="R34" s="1">
        <f>(Main_L[[#This Row],[ROA]]-VLOOKUP(Main_L[[#This Row],[Industry]], Mean_ROA_L, 2, FALSE))/(VLOOKUP(Main_L[[#This Row],[Industry]], Mean_ROA_L, 3, FALSE))</f>
        <v>-1.8822548430483548</v>
      </c>
      <c r="S34" s="1">
        <f>(Main_L[[#This Row],[A/E]]-VLOOKUP(Main_L[[#This Row],[Industry]], Mean_AE_L, 2, FALSE))/(VLOOKUP(Main_L[[#This Row],[Industry]], Mean_AE_L, 3, FALSE))</f>
        <v>1.2504661499757681</v>
      </c>
      <c r="T34" s="1">
        <f>(Main_L[[#This Row],[P/E]]-VLOOKUP(Main_L[[#This Row],[Industry]], Mean_PE_L, 2, FALSE))/(VLOOKUP(Main_L[[#This Row],[Industry]], Mean_PE_L, 3, FALSE))</f>
        <v>-3.5989194191606293</v>
      </c>
      <c r="U3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35" spans="1:26" x14ac:dyDescent="0.25">
      <c r="A35" t="s">
        <v>105</v>
      </c>
      <c r="B35" t="s">
        <v>119</v>
      </c>
      <c r="C35" s="2">
        <v>18597</v>
      </c>
      <c r="D35">
        <f>RTD("tos.rtd", , "LAST", Main_L[[#This Row],[Symbol]])</f>
        <v>314.45999999999998</v>
      </c>
      <c r="E35">
        <v>4.2300000000000004</v>
      </c>
      <c r="F35">
        <v>17.260000000000002</v>
      </c>
      <c r="G35">
        <v>5.78</v>
      </c>
      <c r="H35" s="1">
        <f>IF(ISNUMBER(Main_L[[#This Row],[Free CF]]),IF(Main_L[[#This Row],[Free CF]]&lt;&gt;0,Main_L[[#This Row],[Current Price]]/Main_L[[#This Row],[Free CF]],""),"")</f>
        <v>74.340425531914875</v>
      </c>
      <c r="I35" s="1">
        <f>IF(ISNUMBER(Main_L[[#This Row],[BVPS]]),IF(Main_L[[#This Row],[BVPS]]&lt;&gt;0,Main_L[[#This Row],[Current Price]]/Main_L[[#This Row],[BVPS]],""),"")</f>
        <v>18.219003476245653</v>
      </c>
      <c r="J35">
        <v>43.03</v>
      </c>
      <c r="K35">
        <v>6.8</v>
      </c>
      <c r="L35">
        <v>2.5499999999999998</v>
      </c>
      <c r="M35" s="1">
        <f>IF(ISNUMBER(Main_L[[#This Row],[EPS]]),IF(Main_L[[#This Row],[EPS]]&lt;&gt;0,Main_L[[#This Row],[Current Price]]/Main_L[[#This Row],[EPS]],""),"")</f>
        <v>54.404844290657437</v>
      </c>
      <c r="N3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5" s="1">
        <f>(Main_L[[#This Row],[P/FCF]]-VLOOKUP(Main_L[[#This Row],[Industry]], Mean_PFCF_L, 2, FALSE))/(VLOOKUP(Main_L[[#This Row],[Industry]], Mean_PFCF_L, 3, FALSE))</f>
        <v>2.2270987614535822</v>
      </c>
      <c r="P35" s="1">
        <f>(Main_L[[#This Row],[P/B]]-VLOOKUP(Main_L[[#This Row],[Industry]], Mean_PB_L, 2, FALSE))/(VLOOKUP(Main_L[[#This Row],[Industry]], Mean_PB_L, 3, FALSE))</f>
        <v>5.1699416236710007</v>
      </c>
      <c r="Q35" s="1">
        <f>(Main_L[[#This Row],[ROE]]-VLOOKUP(Main_L[[#This Row],[Industry]], Mean_ROE_L, 2, FALSE))/(VLOOKUP(Main_L[[#This Row],[Industry]], Mean_ROE_L, 3, FALSE))</f>
        <v>3.4129537744106999</v>
      </c>
      <c r="R35" s="1">
        <f>(Main_L[[#This Row],[ROA]]-VLOOKUP(Main_L[[#This Row],[Industry]], Mean_ROA_L, 2, FALSE))/(VLOOKUP(Main_L[[#This Row],[Industry]], Mean_ROA_L, 3, FALSE))</f>
        <v>0.76654222833152796</v>
      </c>
      <c r="S35" s="1">
        <f>(Main_L[[#This Row],[A/E]]-VLOOKUP(Main_L[[#This Row],[Industry]], Mean_AE_L, 2, FALSE))/(VLOOKUP(Main_L[[#This Row],[Industry]], Mean_AE_L, 3, FALSE))</f>
        <v>1.5525632353883771</v>
      </c>
      <c r="T35" s="1">
        <f>(Main_L[[#This Row],[P/E]]-VLOOKUP(Main_L[[#This Row],[Industry]], Mean_PE_L, 2, FALSE))/(VLOOKUP(Main_L[[#This Row],[Industry]], Mean_PE_L, 3, FALSE))</f>
        <v>0.7383932319969051</v>
      </c>
      <c r="U3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3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3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6" spans="1:26" x14ac:dyDescent="0.25">
      <c r="A36" t="s">
        <v>105</v>
      </c>
      <c r="B36" t="s">
        <v>120</v>
      </c>
      <c r="C36" s="2">
        <v>35880</v>
      </c>
      <c r="D36">
        <f>RTD("tos.rtd", , "LAST", Main_L[[#This Row],[Symbol]])</f>
        <v>247.65</v>
      </c>
      <c r="E36">
        <v>10.62</v>
      </c>
      <c r="F36">
        <v>37.83</v>
      </c>
      <c r="G36">
        <v>8.91</v>
      </c>
      <c r="H36" s="1">
        <f>IF(ISNUMBER(Main_L[[#This Row],[Free CF]]),IF(Main_L[[#This Row],[Free CF]]&lt;&gt;0,Main_L[[#This Row],[Current Price]]/Main_L[[#This Row],[Free CF]],""),"")</f>
        <v>23.319209039548024</v>
      </c>
      <c r="I36" s="1">
        <f>IF(ISNUMBER(Main_L[[#This Row],[BVPS]]),IF(Main_L[[#This Row],[BVPS]]&lt;&gt;0,Main_L[[#This Row],[Current Price]]/Main_L[[#This Row],[BVPS]],""),"")</f>
        <v>6.5463917525773203</v>
      </c>
      <c r="J36">
        <v>25.81</v>
      </c>
      <c r="K36">
        <v>14.01</v>
      </c>
      <c r="L36">
        <v>1.36</v>
      </c>
      <c r="M36" s="1">
        <f>IF(ISNUMBER(Main_L[[#This Row],[EPS]]),IF(Main_L[[#This Row],[EPS]]&lt;&gt;0,Main_L[[#This Row],[Current Price]]/Main_L[[#This Row],[EPS]],""),"")</f>
        <v>27.794612794612796</v>
      </c>
      <c r="N3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6" s="1">
        <f>(Main_L[[#This Row],[P/FCF]]-VLOOKUP(Main_L[[#This Row],[Industry]], Mean_PFCF_L, 2, FALSE))/(VLOOKUP(Main_L[[#This Row],[Industry]], Mean_PFCF_L, 3, FALSE))</f>
        <v>-0.67340942856109531</v>
      </c>
      <c r="P36" s="1">
        <f>(Main_L[[#This Row],[P/B]]-VLOOKUP(Main_L[[#This Row],[Industry]], Mean_PB_L, 2, FALSE))/(VLOOKUP(Main_L[[#This Row],[Industry]], Mean_PB_L, 3, FALSE))</f>
        <v>0.81204170396365682</v>
      </c>
      <c r="Q36" s="1">
        <f>(Main_L[[#This Row],[ROE]]-VLOOKUP(Main_L[[#This Row],[Industry]], Mean_ROE_L, 2, FALSE))/(VLOOKUP(Main_L[[#This Row],[Industry]], Mean_ROE_L, 3, FALSE))</f>
        <v>1.5708206601350538</v>
      </c>
      <c r="R36" s="1">
        <f>(Main_L[[#This Row],[ROA]]-VLOOKUP(Main_L[[#This Row],[Industry]], Mean_ROA_L, 2, FALSE))/(VLOOKUP(Main_L[[#This Row],[Industry]], Mean_ROA_L, 3, FALSE))</f>
        <v>4.7535624547718101</v>
      </c>
      <c r="S36" s="1">
        <f>(Main_L[[#This Row],[A/E]]-VLOOKUP(Main_L[[#This Row],[Industry]], Mean_AE_L, 2, FALSE))/(VLOOKUP(Main_L[[#This Row],[Industry]], Mean_AE_L, 3, FALSE))</f>
        <v>-1.0152619906188054</v>
      </c>
      <c r="T36" s="1">
        <f>(Main_L[[#This Row],[P/E]]-VLOOKUP(Main_L[[#This Row],[Industry]], Mean_PE_L, 2, FALSE))/(VLOOKUP(Main_L[[#This Row],[Industry]], Mean_PE_L, 3, FALSE))</f>
        <v>-0.70124428211925616</v>
      </c>
      <c r="U3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3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7" spans="1:26" x14ac:dyDescent="0.25">
      <c r="A37" t="s">
        <v>105</v>
      </c>
      <c r="B37" t="s">
        <v>121</v>
      </c>
      <c r="C37" s="2">
        <v>12395</v>
      </c>
      <c r="D37">
        <f>RTD("tos.rtd", , "LAST", Main_L[[#This Row],[Symbol]])</f>
        <v>28.27</v>
      </c>
      <c r="E37">
        <v>0.69</v>
      </c>
      <c r="F37">
        <v>6.03</v>
      </c>
      <c r="G37">
        <v>0.47</v>
      </c>
      <c r="H37" s="1">
        <f>IF(ISNUMBER(Main_L[[#This Row],[Free CF]]),IF(Main_L[[#This Row],[Free CF]]&lt;&gt;0,Main_L[[#This Row],[Current Price]]/Main_L[[#This Row],[Free CF]],""),"")</f>
        <v>40.971014492753625</v>
      </c>
      <c r="I37" s="1">
        <f>IF(ISNUMBER(Main_L[[#This Row],[BVPS]]),IF(Main_L[[#This Row],[BVPS]]&lt;&gt;0,Main_L[[#This Row],[Current Price]]/Main_L[[#This Row],[BVPS]],""),"")</f>
        <v>4.6882255389718077</v>
      </c>
      <c r="J37">
        <v>7.86</v>
      </c>
      <c r="K37">
        <v>5.44</v>
      </c>
      <c r="L37">
        <v>1.97</v>
      </c>
      <c r="M37" s="1">
        <f>IF(ISNUMBER(Main_L[[#This Row],[EPS]]),IF(Main_L[[#This Row],[EPS]]&lt;&gt;0,Main_L[[#This Row],[Current Price]]/Main_L[[#This Row],[EPS]],""),"")</f>
        <v>60.148936170212771</v>
      </c>
      <c r="N3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7" s="1">
        <f>(Main_L[[#This Row],[P/FCF]]-VLOOKUP(Main_L[[#This Row],[Industry]], Mean_PFCF_L, 2, FALSE))/(VLOOKUP(Main_L[[#This Row],[Industry]], Mean_PFCF_L, 3, FALSE))</f>
        <v>0.33007911611577201</v>
      </c>
      <c r="P37" s="1">
        <f>(Main_L[[#This Row],[P/B]]-VLOOKUP(Main_L[[#This Row],[Industry]], Mean_PB_L, 2, FALSE))/(VLOOKUP(Main_L[[#This Row],[Industry]], Mean_PB_L, 3, FALSE))</f>
        <v>0.11830643847420291</v>
      </c>
      <c r="Q37" s="1">
        <f>(Main_L[[#This Row],[ROE]]-VLOOKUP(Main_L[[#This Row],[Industry]], Mean_ROE_L, 2, FALSE))/(VLOOKUP(Main_L[[#This Row],[Industry]], Mean_ROE_L, 3, FALSE))</f>
        <v>-0.34940520521034968</v>
      </c>
      <c r="R37" s="1">
        <f>(Main_L[[#This Row],[ROA]]-VLOOKUP(Main_L[[#This Row],[Industry]], Mean_ROA_L, 2, FALSE))/(VLOOKUP(Main_L[[#This Row],[Industry]], Mean_ROA_L, 3, FALSE))</f>
        <v>1.4482934578576197E-2</v>
      </c>
      <c r="S37" s="1">
        <f>(Main_L[[#This Row],[A/E]]-VLOOKUP(Main_L[[#This Row],[Industry]], Mean_AE_L, 2, FALSE))/(VLOOKUP(Main_L[[#This Row],[Industry]], Mean_AE_L, 3, FALSE))</f>
        <v>0.30101816725042274</v>
      </c>
      <c r="T37" s="1">
        <f>(Main_L[[#This Row],[P/E]]-VLOOKUP(Main_L[[#This Row],[Industry]], Mean_PE_L, 2, FALSE))/(VLOOKUP(Main_L[[#This Row],[Industry]], Mean_PE_L, 3, FALSE))</f>
        <v>1.0491537812077243</v>
      </c>
      <c r="U3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8" spans="1:26" x14ac:dyDescent="0.25">
      <c r="A38" t="s">
        <v>105</v>
      </c>
      <c r="B38" t="s">
        <v>122</v>
      </c>
      <c r="C38" s="2">
        <v>22108</v>
      </c>
      <c r="D38">
        <f>RTD("tos.rtd", , "LAST", Main_L[[#This Row],[Symbol]])</f>
        <v>231.15</v>
      </c>
      <c r="E38">
        <v>7.61</v>
      </c>
      <c r="F38">
        <v>65.31</v>
      </c>
      <c r="G38">
        <v>6.22</v>
      </c>
      <c r="H38" s="1">
        <f>IF(ISNUMBER(Main_L[[#This Row],[Free CF]]),IF(Main_L[[#This Row],[Free CF]]&lt;&gt;0,Main_L[[#This Row],[Current Price]]/Main_L[[#This Row],[Free CF]],""),"")</f>
        <v>30.374507227332458</v>
      </c>
      <c r="I38" s="1">
        <f>IF(ISNUMBER(Main_L[[#This Row],[BVPS]]),IF(Main_L[[#This Row],[BVPS]]&lt;&gt;0,Main_L[[#This Row],[Current Price]]/Main_L[[#This Row],[BVPS]],""),"")</f>
        <v>3.5392742305925586</v>
      </c>
      <c r="J38">
        <v>9.61</v>
      </c>
      <c r="K38">
        <v>5.59</v>
      </c>
      <c r="L38">
        <v>1.56</v>
      </c>
      <c r="M38" s="1">
        <f>IF(ISNUMBER(Main_L[[#This Row],[EPS]]),IF(Main_L[[#This Row],[EPS]]&lt;&gt;0,Main_L[[#This Row],[Current Price]]/Main_L[[#This Row],[EPS]],""),"")</f>
        <v>37.162379421221864</v>
      </c>
      <c r="N3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8" s="1">
        <f>(Main_L[[#This Row],[P/FCF]]-VLOOKUP(Main_L[[#This Row],[Industry]], Mean_PFCF_L, 2, FALSE))/(VLOOKUP(Main_L[[#This Row],[Industry]], Mean_PFCF_L, 3, FALSE))</f>
        <v>-0.27232235962133333</v>
      </c>
      <c r="P38" s="1">
        <f>(Main_L[[#This Row],[P/B]]-VLOOKUP(Main_L[[#This Row],[Industry]], Mean_PB_L, 2, FALSE))/(VLOOKUP(Main_L[[#This Row],[Industry]], Mean_PB_L, 3, FALSE))</f>
        <v>-0.31064767505815666</v>
      </c>
      <c r="Q38" s="1">
        <f>(Main_L[[#This Row],[ROE]]-VLOOKUP(Main_L[[#This Row],[Industry]], Mean_ROE_L, 2, FALSE))/(VLOOKUP(Main_L[[#This Row],[Industry]], Mean_ROE_L, 3, FALSE))</f>
        <v>-0.16219655538558897</v>
      </c>
      <c r="R38" s="1">
        <f>(Main_L[[#This Row],[ROA]]-VLOOKUP(Main_L[[#This Row],[Industry]], Mean_ROA_L, 2, FALSE))/(VLOOKUP(Main_L[[#This Row],[Industry]], Mean_ROA_L, 3, FALSE))</f>
        <v>9.743065080132797E-2</v>
      </c>
      <c r="S38" s="1">
        <f>(Main_L[[#This Row],[A/E]]-VLOOKUP(Main_L[[#This Row],[Industry]], Mean_AE_L, 2, FALSE))/(VLOOKUP(Main_L[[#This Row],[Industry]], Mean_AE_L, 3, FALSE))</f>
        <v>-0.58369472574364856</v>
      </c>
      <c r="T38" s="1">
        <f>(Main_L[[#This Row],[P/E]]-VLOOKUP(Main_L[[#This Row],[Industry]], Mean_PE_L, 2, FALSE))/(VLOOKUP(Main_L[[#This Row],[Industry]], Mean_PE_L, 3, FALSE))</f>
        <v>-0.19443966220618208</v>
      </c>
      <c r="U3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39" spans="1:26" x14ac:dyDescent="0.25">
      <c r="A39" t="s">
        <v>105</v>
      </c>
      <c r="B39" t="s">
        <v>123</v>
      </c>
      <c r="C39" s="2">
        <v>146774</v>
      </c>
      <c r="D39">
        <f>RTD("tos.rtd", , "LAST", Main_L[[#This Row],[Symbol]])</f>
        <v>387.53</v>
      </c>
      <c r="E39">
        <v>9.3800000000000008</v>
      </c>
      <c r="F39">
        <v>54.77</v>
      </c>
      <c r="G39">
        <v>7.4</v>
      </c>
      <c r="H39" s="1">
        <f>IF(ISNUMBER(Main_L[[#This Row],[Free CF]]),IF(Main_L[[#This Row],[Free CF]]&lt;&gt;0,Main_L[[#This Row],[Current Price]]/Main_L[[#This Row],[Free CF]],""),"")</f>
        <v>41.314498933901909</v>
      </c>
      <c r="I39" s="1">
        <f>IF(ISNUMBER(Main_L[[#This Row],[BVPS]]),IF(Main_L[[#This Row],[BVPS]]&lt;&gt;0,Main_L[[#This Row],[Current Price]]/Main_L[[#This Row],[BVPS]],""),"")</f>
        <v>7.0755888259996338</v>
      </c>
      <c r="J39">
        <v>14.26</v>
      </c>
      <c r="K39">
        <v>7.49</v>
      </c>
      <c r="L39">
        <v>2.2000000000000002</v>
      </c>
      <c r="M39" s="1">
        <f>IF(ISNUMBER(Main_L[[#This Row],[EPS]]),IF(Main_L[[#This Row],[EPS]]&lt;&gt;0,Main_L[[#This Row],[Current Price]]/Main_L[[#This Row],[EPS]],""),"")</f>
        <v>52.368918918918915</v>
      </c>
      <c r="N3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39" s="1">
        <f>(Main_L[[#This Row],[P/FCF]]-VLOOKUP(Main_L[[#This Row],[Industry]], Mean_PFCF_L, 2, FALSE))/(VLOOKUP(Main_L[[#This Row],[Industry]], Mean_PFCF_L, 3, FALSE))</f>
        <v>0.34960588366829137</v>
      </c>
      <c r="P39" s="1">
        <f>(Main_L[[#This Row],[P/B]]-VLOOKUP(Main_L[[#This Row],[Industry]], Mean_PB_L, 2, FALSE))/(VLOOKUP(Main_L[[#This Row],[Industry]], Mean_PB_L, 3, FALSE))</f>
        <v>1.0096142728430146</v>
      </c>
      <c r="Q39" s="1">
        <f>(Main_L[[#This Row],[ROE]]-VLOOKUP(Main_L[[#This Row],[Industry]], Mean_ROE_L, 2, FALSE))/(VLOOKUP(Main_L[[#This Row],[Industry]], Mean_ROE_L, 3, FALSE))</f>
        <v>0.33524357129163262</v>
      </c>
      <c r="R39" s="1">
        <f>(Main_L[[#This Row],[ROA]]-VLOOKUP(Main_L[[#This Row],[Industry]], Mean_ROA_L, 2, FALSE))/(VLOOKUP(Main_L[[#This Row],[Industry]], Mean_ROA_L, 3, FALSE))</f>
        <v>1.1481017229561876</v>
      </c>
      <c r="S39" s="1">
        <f>(Main_L[[#This Row],[A/E]]-VLOOKUP(Main_L[[#This Row],[Industry]], Mean_AE_L, 2, FALSE))/(VLOOKUP(Main_L[[#This Row],[Industry]], Mean_AE_L, 3, FALSE))</f>
        <v>0.79732052185685354</v>
      </c>
      <c r="T39" s="1">
        <f>(Main_L[[#This Row],[P/E]]-VLOOKUP(Main_L[[#This Row],[Industry]], Mean_PE_L, 2, FALSE))/(VLOOKUP(Main_L[[#This Row],[Industry]], Mean_PE_L, 3, FALSE))</f>
        <v>0.62824783391830019</v>
      </c>
      <c r="U3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3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3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3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3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3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0" spans="1:26" x14ac:dyDescent="0.25">
      <c r="A40" t="s">
        <v>105</v>
      </c>
      <c r="B40" t="s">
        <v>124</v>
      </c>
      <c r="C40" s="2">
        <v>18623</v>
      </c>
      <c r="D40">
        <f>RTD("tos.rtd", , "LAST", Main_L[[#This Row],[Symbol]])</f>
        <v>97.49</v>
      </c>
      <c r="E40">
        <v>5.61</v>
      </c>
      <c r="F40">
        <v>62.36</v>
      </c>
      <c r="G40">
        <v>4.51</v>
      </c>
      <c r="H40" s="1">
        <f>IF(ISNUMBER(Main_L[[#This Row],[Free CF]]),IF(Main_L[[#This Row],[Free CF]]&lt;&gt;0,Main_L[[#This Row],[Current Price]]/Main_L[[#This Row],[Free CF]],""),"")</f>
        <v>17.377896613190728</v>
      </c>
      <c r="I40" s="1">
        <f>IF(ISNUMBER(Main_L[[#This Row],[BVPS]]),IF(Main_L[[#This Row],[BVPS]]&lt;&gt;0,Main_L[[#This Row],[Current Price]]/Main_L[[#This Row],[BVPS]],""),"")</f>
        <v>1.5633418858242463</v>
      </c>
      <c r="J40">
        <v>7.32</v>
      </c>
      <c r="K40">
        <v>4.43</v>
      </c>
      <c r="L40">
        <v>1.79</v>
      </c>
      <c r="M40" s="1">
        <f>IF(ISNUMBER(Main_L[[#This Row],[EPS]]),IF(Main_L[[#This Row],[EPS]]&lt;&gt;0,Main_L[[#This Row],[Current Price]]/Main_L[[#This Row],[EPS]],""),"")</f>
        <v>21.616407982261642</v>
      </c>
      <c r="N4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0" s="1">
        <f>(Main_L[[#This Row],[P/FCF]]-VLOOKUP(Main_L[[#This Row],[Industry]], Mean_PFCF_L, 2, FALSE))/(VLOOKUP(Main_L[[#This Row],[Industry]], Mean_PFCF_L, 3, FALSE))</f>
        <v>-1.0111674542769946</v>
      </c>
      <c r="P40" s="1">
        <f>(Main_L[[#This Row],[P/B]]-VLOOKUP(Main_L[[#This Row],[Industry]], Mean_PB_L, 2, FALSE))/(VLOOKUP(Main_L[[#This Row],[Industry]], Mean_PB_L, 3, FALSE))</f>
        <v>-1.0483502227367352</v>
      </c>
      <c r="Q40" s="1">
        <f>(Main_L[[#This Row],[ROE]]-VLOOKUP(Main_L[[#This Row],[Industry]], Mean_ROE_L, 2, FALSE))/(VLOOKUP(Main_L[[#This Row],[Industry]], Mean_ROE_L, 3, FALSE))</f>
        <v>-0.40717244572770445</v>
      </c>
      <c r="R40" s="1">
        <f>(Main_L[[#This Row],[ROA]]-VLOOKUP(Main_L[[#This Row],[Industry]], Mean_ROA_L, 2, FALSE))/(VLOOKUP(Main_L[[#This Row],[Industry]], Mean_ROA_L, 3, FALSE))</f>
        <v>-0.54403168798795476</v>
      </c>
      <c r="S40" s="1">
        <f>(Main_L[[#This Row],[A/E]]-VLOOKUP(Main_L[[#This Row],[Industry]], Mean_AE_L, 2, FALSE))/(VLOOKUP(Main_L[[#This Row],[Industry]], Mean_AE_L, 3, FALSE))</f>
        <v>-8.7392371137218261E-2</v>
      </c>
      <c r="T40" s="1">
        <f>(Main_L[[#This Row],[P/E]]-VLOOKUP(Main_L[[#This Row],[Industry]], Mean_PE_L, 2, FALSE))/(VLOOKUP(Main_L[[#This Row],[Industry]], Mean_PE_L, 3, FALSE))</f>
        <v>-1.0354907323643727</v>
      </c>
      <c r="U4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1" spans="1:26" x14ac:dyDescent="0.25">
      <c r="A41" t="s">
        <v>105</v>
      </c>
      <c r="B41" t="s">
        <v>125</v>
      </c>
      <c r="C41" s="2">
        <v>47533</v>
      </c>
      <c r="D41">
        <f>RTD("tos.rtd", , "LAST", Main_L[[#This Row],[Symbol]])</f>
        <v>93.25</v>
      </c>
      <c r="E41">
        <v>2.85</v>
      </c>
      <c r="F41">
        <v>43.58</v>
      </c>
      <c r="G41">
        <v>2.0499999999999998</v>
      </c>
      <c r="H41" s="1">
        <f>IF(ISNUMBER(Main_L[[#This Row],[Free CF]]),IF(Main_L[[#This Row],[Free CF]]&lt;&gt;0,Main_L[[#This Row],[Current Price]]/Main_L[[#This Row],[Free CF]],""),"")</f>
        <v>32.719298245614034</v>
      </c>
      <c r="I41" s="1">
        <f>IF(ISNUMBER(Main_L[[#This Row],[BVPS]]),IF(Main_L[[#This Row],[BVPS]]&lt;&gt;0,Main_L[[#This Row],[Current Price]]/Main_L[[#This Row],[BVPS]],""),"")</f>
        <v>2.1397430013767784</v>
      </c>
      <c r="J41">
        <v>4.83</v>
      </c>
      <c r="K41">
        <v>2.85</v>
      </c>
      <c r="L41">
        <v>1.41</v>
      </c>
      <c r="M41" s="1">
        <f>IF(ISNUMBER(Main_L[[#This Row],[EPS]]),IF(Main_L[[#This Row],[EPS]]&lt;&gt;0,Main_L[[#This Row],[Current Price]]/Main_L[[#This Row],[EPS]],""),"")</f>
        <v>45.487804878048784</v>
      </c>
      <c r="N4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1" s="1">
        <f>(Main_L[[#This Row],[P/FCF]]-VLOOKUP(Main_L[[#This Row],[Industry]], Mean_PFCF_L, 2, FALSE))/(VLOOKUP(Main_L[[#This Row],[Industry]], Mean_PFCF_L, 3, FALSE))</f>
        <v>-0.13902319468636828</v>
      </c>
      <c r="P41" s="1">
        <f>(Main_L[[#This Row],[P/B]]-VLOOKUP(Main_L[[#This Row],[Industry]], Mean_PB_L, 2, FALSE))/(VLOOKUP(Main_L[[#This Row],[Industry]], Mean_PB_L, 3, FALSE))</f>
        <v>-0.83315430646272126</v>
      </c>
      <c r="Q41" s="1">
        <f>(Main_L[[#This Row],[ROE]]-VLOOKUP(Main_L[[#This Row],[Industry]], Mean_ROE_L, 2, FALSE))/(VLOOKUP(Main_L[[#This Row],[Industry]], Mean_ROE_L, 3, FALSE))</f>
        <v>-0.67354361033550691</v>
      </c>
      <c r="R41" s="1">
        <f>(Main_L[[#This Row],[ROA]]-VLOOKUP(Main_L[[#This Row],[Industry]], Mean_ROA_L, 2, FALSE))/(VLOOKUP(Main_L[[#This Row],[Industry]], Mean_ROA_L, 3, FALSE))</f>
        <v>-1.417747632200943</v>
      </c>
      <c r="S41" s="1">
        <f>(Main_L[[#This Row],[A/E]]-VLOOKUP(Main_L[[#This Row],[Industry]], Mean_AE_L, 2, FALSE))/(VLOOKUP(Main_L[[#This Row],[Industry]], Mean_AE_L, 3, FALSE))</f>
        <v>-0.90737017440001644</v>
      </c>
      <c r="T41" s="1">
        <f>(Main_L[[#This Row],[P/E]]-VLOOKUP(Main_L[[#This Row],[Industry]], Mean_PE_L, 2, FALSE))/(VLOOKUP(Main_L[[#This Row],[Industry]], Mean_PE_L, 3, FALSE))</f>
        <v>0.25597336070973126</v>
      </c>
      <c r="U4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2" spans="1:26" x14ac:dyDescent="0.25">
      <c r="A42" t="s">
        <v>105</v>
      </c>
      <c r="B42" t="s">
        <v>126</v>
      </c>
      <c r="C42" s="2">
        <v>12608</v>
      </c>
      <c r="D42">
        <f>RTD("tos.rtd", , "LAST", Main_L[[#This Row],[Symbol]])</f>
        <v>190.42</v>
      </c>
      <c r="E42">
        <v>8.68</v>
      </c>
      <c r="F42">
        <v>51.58</v>
      </c>
      <c r="G42">
        <v>5.5</v>
      </c>
      <c r="H42" s="1">
        <f>IF(ISNUMBER(Main_L[[#This Row],[Free CF]]),IF(Main_L[[#This Row],[Free CF]]&lt;&gt;0,Main_L[[#This Row],[Current Price]]/Main_L[[#This Row],[Free CF]],""),"")</f>
        <v>21.937788018433178</v>
      </c>
      <c r="I42" s="1">
        <f>IF(ISNUMBER(Main_L[[#This Row],[BVPS]]),IF(Main_L[[#This Row],[BVPS]]&lt;&gt;0,Main_L[[#This Row],[Current Price]]/Main_L[[#This Row],[BVPS]],""),"")</f>
        <v>3.6917409848778595</v>
      </c>
      <c r="J42">
        <v>10.84</v>
      </c>
      <c r="K42">
        <v>6.72</v>
      </c>
      <c r="L42">
        <v>1.61</v>
      </c>
      <c r="M42" s="1">
        <f>IF(ISNUMBER(Main_L[[#This Row],[EPS]]),IF(Main_L[[#This Row],[EPS]]&lt;&gt;0,Main_L[[#This Row],[Current Price]]/Main_L[[#This Row],[EPS]],""),"")</f>
        <v>34.621818181818178</v>
      </c>
      <c r="N4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42" s="1">
        <f>(Main_L[[#This Row],[P/FCF]]-VLOOKUP(Main_L[[#This Row],[Industry]], Mean_PFCF_L, 2, FALSE))/(VLOOKUP(Main_L[[#This Row],[Industry]], Mean_PFCF_L, 3, FALSE))</f>
        <v>-0.75194191486905115</v>
      </c>
      <c r="P42" s="1">
        <f>(Main_L[[#This Row],[P/B]]-VLOOKUP(Main_L[[#This Row],[Industry]], Mean_PB_L, 2, FALSE))/(VLOOKUP(Main_L[[#This Row],[Industry]], Mean_PB_L, 3, FALSE))</f>
        <v>-0.25372512233495675</v>
      </c>
      <c r="Q42" s="1">
        <f>(Main_L[[#This Row],[ROE]]-VLOOKUP(Main_L[[#This Row],[Industry]], Mean_ROE_L, 2, FALSE))/(VLOOKUP(Main_L[[#This Row],[Industry]], Mean_ROE_L, 3, FALSE))</f>
        <v>-3.0615618651614194E-2</v>
      </c>
      <c r="R42" s="1">
        <f>(Main_L[[#This Row],[ROA]]-VLOOKUP(Main_L[[#This Row],[Industry]], Mean_ROA_L, 2, FALSE))/(VLOOKUP(Main_L[[#This Row],[Industry]], Mean_ROA_L, 3, FALSE))</f>
        <v>0.72230344634606014</v>
      </c>
      <c r="S42" s="1">
        <f>(Main_L[[#This Row],[A/E]]-VLOOKUP(Main_L[[#This Row],[Industry]], Mean_AE_L, 2, FALSE))/(VLOOKUP(Main_L[[#This Row],[Industry]], Mean_AE_L, 3, FALSE))</f>
        <v>-0.47580290952485926</v>
      </c>
      <c r="T42" s="1">
        <f>(Main_L[[#This Row],[P/E]]-VLOOKUP(Main_L[[#This Row],[Industry]], Mean_PE_L, 2, FALSE))/(VLOOKUP(Main_L[[#This Row],[Industry]], Mean_PE_L, 3, FALSE))</f>
        <v>-0.33188631567474164</v>
      </c>
      <c r="U4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3" spans="1:26" x14ac:dyDescent="0.25">
      <c r="A43" t="s">
        <v>105</v>
      </c>
      <c r="B43" t="s">
        <v>127</v>
      </c>
      <c r="C43" s="2">
        <v>16246</v>
      </c>
      <c r="D43">
        <f>RTD("tos.rtd", , "LAST", Main_L[[#This Row],[Symbol]])</f>
        <v>81.760000000000005</v>
      </c>
      <c r="E43">
        <v>1.93</v>
      </c>
      <c r="F43">
        <v>40.659999999999997</v>
      </c>
      <c r="G43">
        <v>2.0699999999999998</v>
      </c>
      <c r="H43" s="1">
        <f>IF(ISNUMBER(Main_L[[#This Row],[Free CF]]),IF(Main_L[[#This Row],[Free CF]]&lt;&gt;0,Main_L[[#This Row],[Current Price]]/Main_L[[#This Row],[Free CF]],""),"")</f>
        <v>42.362694300518136</v>
      </c>
      <c r="I43" s="1">
        <f>IF(ISNUMBER(Main_L[[#This Row],[BVPS]]),IF(Main_L[[#This Row],[BVPS]]&lt;&gt;0,Main_L[[#This Row],[Current Price]]/Main_L[[#This Row],[BVPS]],""),"")</f>
        <v>2.0108214461387117</v>
      </c>
      <c r="J43">
        <v>5.25</v>
      </c>
      <c r="K43">
        <v>3.8</v>
      </c>
      <c r="L43">
        <v>1.5</v>
      </c>
      <c r="M43" s="1">
        <f>IF(ISNUMBER(Main_L[[#This Row],[EPS]]),IF(Main_L[[#This Row],[EPS]]&lt;&gt;0,Main_L[[#This Row],[Current Price]]/Main_L[[#This Row],[EPS]],""),"")</f>
        <v>39.497584541062807</v>
      </c>
      <c r="N4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3" s="1">
        <f>(Main_L[[#This Row],[P/FCF]]-VLOOKUP(Main_L[[#This Row],[Industry]], Mean_PFCF_L, 2, FALSE))/(VLOOKUP(Main_L[[#This Row],[Industry]], Mean_PFCF_L, 3, FALSE))</f>
        <v>0.40919480479996712</v>
      </c>
      <c r="P43" s="1">
        <f>(Main_L[[#This Row],[P/B]]-VLOOKUP(Main_L[[#This Row],[Industry]], Mean_PB_L, 2, FALSE))/(VLOOKUP(Main_L[[#This Row],[Industry]], Mean_PB_L, 3, FALSE))</f>
        <v>-0.8812863996498278</v>
      </c>
      <c r="Q43" s="1">
        <f>(Main_L[[#This Row],[ROE]]-VLOOKUP(Main_L[[#This Row],[Industry]], Mean_ROE_L, 2, FALSE))/(VLOOKUP(Main_L[[#This Row],[Industry]], Mean_ROE_L, 3, FALSE))</f>
        <v>-0.6286135343775644</v>
      </c>
      <c r="R43" s="1">
        <f>(Main_L[[#This Row],[ROA]]-VLOOKUP(Main_L[[#This Row],[Industry]], Mean_ROA_L, 2, FALSE))/(VLOOKUP(Main_L[[#This Row],[Industry]], Mean_ROA_L, 3, FALSE))</f>
        <v>-0.89241209612351335</v>
      </c>
      <c r="S43" s="1">
        <f>(Main_L[[#This Row],[A/E]]-VLOOKUP(Main_L[[#This Row],[Industry]], Mean_AE_L, 2, FALSE))/(VLOOKUP(Main_L[[#This Row],[Industry]], Mean_AE_L, 3, FALSE))</f>
        <v>-0.7131649052061958</v>
      </c>
      <c r="T43" s="1">
        <f>(Main_L[[#This Row],[P/E]]-VLOOKUP(Main_L[[#This Row],[Industry]], Mean_PE_L, 2, FALSE))/(VLOOKUP(Main_L[[#This Row],[Industry]], Mean_PE_L, 3, FALSE))</f>
        <v>-6.8102959942661592E-2</v>
      </c>
      <c r="U4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4" spans="1:26" x14ac:dyDescent="0.25">
      <c r="A44" t="s">
        <v>105</v>
      </c>
      <c r="B44" t="s">
        <v>128</v>
      </c>
      <c r="C44" s="2">
        <v>11330</v>
      </c>
      <c r="D44">
        <f>RTD("tos.rtd", , "LAST", Main_L[[#This Row],[Symbol]])</f>
        <v>73.52</v>
      </c>
      <c r="E44">
        <v>4.6500000000000004</v>
      </c>
      <c r="F44">
        <v>17.13</v>
      </c>
      <c r="G44">
        <v>2.76</v>
      </c>
      <c r="H44" s="1">
        <f>IF(ISNUMBER(Main_L[[#This Row],[Free CF]]),IF(Main_L[[#This Row],[Free CF]]&lt;&gt;0,Main_L[[#This Row],[Current Price]]/Main_L[[#This Row],[Free CF]],""),"")</f>
        <v>15.810752688172041</v>
      </c>
      <c r="I44" s="1">
        <f>IF(ISNUMBER(Main_L[[#This Row],[BVPS]]),IF(Main_L[[#This Row],[BVPS]]&lt;&gt;0,Main_L[[#This Row],[Current Price]]/Main_L[[#This Row],[BVPS]],""),"")</f>
        <v>4.2918855808523055</v>
      </c>
      <c r="J44">
        <v>6.55</v>
      </c>
      <c r="K44">
        <v>4.8099999999999996</v>
      </c>
      <c r="L44">
        <v>4.8899999999999997</v>
      </c>
      <c r="M44" s="1">
        <f>IF(ISNUMBER(Main_L[[#This Row],[EPS]]),IF(Main_L[[#This Row],[EPS]]&lt;&gt;0,Main_L[[#This Row],[Current Price]]/Main_L[[#This Row],[EPS]],""),"")</f>
        <v>26.637681159420289</v>
      </c>
      <c r="N4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4" s="1">
        <f>(Main_L[[#This Row],[P/FCF]]-VLOOKUP(Main_L[[#This Row],[Industry]], Mean_PFCF_L, 2, FALSE))/(VLOOKUP(Main_L[[#This Row],[Industry]], Mean_PFCF_L, 3, FALSE))</f>
        <v>-1.1002581130645697</v>
      </c>
      <c r="P44" s="1">
        <f>(Main_L[[#This Row],[P/B]]-VLOOKUP(Main_L[[#This Row],[Industry]], Mean_PB_L, 2, FALSE))/(VLOOKUP(Main_L[[#This Row],[Industry]], Mean_PB_L, 3, FALSE))</f>
        <v>-2.9664719357044057E-2</v>
      </c>
      <c r="Q44" s="1">
        <f>(Main_L[[#This Row],[ROE]]-VLOOKUP(Main_L[[#This Row],[Industry]], Mean_ROE_L, 2, FALSE))/(VLOOKUP(Main_L[[#This Row],[Industry]], Mean_ROE_L, 3, FALSE))</f>
        <v>-0.48954425165059923</v>
      </c>
      <c r="R44" s="1">
        <f>(Main_L[[#This Row],[ROA]]-VLOOKUP(Main_L[[#This Row],[Industry]], Mean_ROA_L, 2, FALSE))/(VLOOKUP(Main_L[[#This Row],[Industry]], Mean_ROA_L, 3, FALSE))</f>
        <v>-0.3338974735569829</v>
      </c>
      <c r="S44" s="1">
        <f>(Main_L[[#This Row],[A/E]]-VLOOKUP(Main_L[[#This Row],[Industry]], Mean_AE_L, 2, FALSE))/(VLOOKUP(Main_L[[#This Row],[Industry]], Mean_AE_L, 3, FALSE))</f>
        <v>6.6019002344277116</v>
      </c>
      <c r="T44" s="1">
        <f>(Main_L[[#This Row],[P/E]]-VLOOKUP(Main_L[[#This Row],[Industry]], Mean_PE_L, 2, FALSE))/(VLOOKUP(Main_L[[#This Row],[Industry]], Mean_PE_L, 3, FALSE))</f>
        <v>-0.76383532660297127</v>
      </c>
      <c r="U4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5" spans="1:26" x14ac:dyDescent="0.25">
      <c r="A45" t="s">
        <v>129</v>
      </c>
      <c r="B45" t="s">
        <v>130</v>
      </c>
      <c r="C45" s="2">
        <v>36632</v>
      </c>
      <c r="D45">
        <f>RTD("tos.rtd", , "LAST", Main_L[[#This Row],[Symbol]])</f>
        <v>148.26</v>
      </c>
      <c r="E45">
        <v>10.07</v>
      </c>
      <c r="F45">
        <v>-12.33</v>
      </c>
      <c r="G45">
        <v>6.38</v>
      </c>
      <c r="H45" s="1">
        <f>IF(ISNUMBER(Main_L[[#This Row],[Free CF]]),IF(Main_L[[#This Row],[Free CF]]&lt;&gt;0,Main_L[[#This Row],[Current Price]]/Main_L[[#This Row],[Free CF]],""),"")</f>
        <v>14.722939424031777</v>
      </c>
      <c r="I45" s="1">
        <f>IF(ISNUMBER(Main_L[[#This Row],[BVPS]]),IF(Main_L[[#This Row],[BVPS]]&lt;&gt;0,Main_L[[#This Row],[Current Price]]/Main_L[[#This Row],[BVPS]],""),"")</f>
        <v>-12.024330900243308</v>
      </c>
      <c r="J45">
        <v>-60.43</v>
      </c>
      <c r="K45">
        <v>3.13</v>
      </c>
      <c r="L45">
        <v>-16.920000000000002</v>
      </c>
      <c r="M45" s="1">
        <f>IF(ISNUMBER(Main_L[[#This Row],[EPS]]),IF(Main_L[[#This Row],[EPS]]&lt;&gt;0,Main_L[[#This Row],[Current Price]]/Main_L[[#This Row],[EPS]],""),"")</f>
        <v>23.238244514106583</v>
      </c>
      <c r="N4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5" s="1">
        <f>(Main_L[[#This Row],[P/FCF]]-VLOOKUP(Main_L[[#This Row],[Industry]], Mean_PFCF_L, 2, FALSE))/(VLOOKUP(Main_L[[#This Row],[Industry]], Mean_PFCF_L, 3, FALSE))</f>
        <v>-0.23342568093036126</v>
      </c>
      <c r="P45" s="1">
        <f>(Main_L[[#This Row],[P/B]]-VLOOKUP(Main_L[[#This Row],[Industry]], Mean_PB_L, 2, FALSE))/(VLOOKUP(Main_L[[#This Row],[Industry]], Mean_PB_L, 3, FALSE))</f>
        <v>-11.085692483395412</v>
      </c>
      <c r="Q45" s="1">
        <f>(Main_L[[#This Row],[ROE]]-VLOOKUP(Main_L[[#This Row],[Industry]], Mean_ROE_L, 2, FALSE))/(VLOOKUP(Main_L[[#This Row],[Industry]], Mean_ROE_L, 3, FALSE))</f>
        <v>-6.5616361281966666</v>
      </c>
      <c r="R45" s="1">
        <f>(Main_L[[#This Row],[ROA]]-VLOOKUP(Main_L[[#This Row],[Industry]], Mean_ROA_L, 2, FALSE))/(VLOOKUP(Main_L[[#This Row],[Industry]], Mean_ROA_L, 3, FALSE))</f>
        <v>-1.0576209603013798</v>
      </c>
      <c r="S45" s="1">
        <f>(Main_L[[#This Row],[A/E]]-VLOOKUP(Main_L[[#This Row],[Industry]], Mean_AE_L, 2, FALSE))/(VLOOKUP(Main_L[[#This Row],[Industry]], Mean_AE_L, 3, FALSE))</f>
        <v>-31.236128430645433</v>
      </c>
      <c r="T45" s="1">
        <f>(Main_L[[#This Row],[P/E]]-VLOOKUP(Main_L[[#This Row],[Industry]], Mean_PE_L, 2, FALSE))/(VLOOKUP(Main_L[[#This Row],[Industry]], Mean_PE_L, 3, FALSE))</f>
        <v>0.94530866360011212</v>
      </c>
      <c r="U4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6" spans="1:26" x14ac:dyDescent="0.25">
      <c r="A46" t="s">
        <v>129</v>
      </c>
      <c r="B46" t="s">
        <v>131</v>
      </c>
      <c r="C46" s="2">
        <v>59001</v>
      </c>
      <c r="D46">
        <f>RTD("tos.rtd", , "LAST", Main_L[[#This Row],[Symbol]])</f>
        <v>279</v>
      </c>
      <c r="E46">
        <v>-3.24</v>
      </c>
      <c r="F46">
        <v>1.17</v>
      </c>
      <c r="G46">
        <v>7.02</v>
      </c>
      <c r="H46" s="1">
        <f>IF(ISNUMBER(Main_L[[#This Row],[Free CF]]),IF(Main_L[[#This Row],[Free CF]]&lt;&gt;0,Main_L[[#This Row],[Current Price]]/Main_L[[#This Row],[Free CF]],""),"")</f>
        <v>-86.1111111111111</v>
      </c>
      <c r="I46" s="1">
        <f>IF(ISNUMBER(Main_L[[#This Row],[BVPS]]),IF(Main_L[[#This Row],[BVPS]]&lt;&gt;0,Main_L[[#This Row],[Current Price]]/Main_L[[#This Row],[BVPS]],""),"")</f>
        <v>238.46153846153848</v>
      </c>
      <c r="J46">
        <v>198.15</v>
      </c>
      <c r="K46">
        <v>2.86</v>
      </c>
      <c r="L46">
        <v>304.77</v>
      </c>
      <c r="M46" s="1">
        <f>IF(ISNUMBER(Main_L[[#This Row],[EPS]]),IF(Main_L[[#This Row],[EPS]]&lt;&gt;0,Main_L[[#This Row],[Current Price]]/Main_L[[#This Row],[EPS]],""),"")</f>
        <v>39.743589743589745</v>
      </c>
      <c r="N4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6" s="1">
        <f>(Main_L[[#This Row],[P/FCF]]-VLOOKUP(Main_L[[#This Row],[Industry]], Mean_PFCF_L, 2, FALSE))/(VLOOKUP(Main_L[[#This Row],[Industry]], Mean_PFCF_L, 3, FALSE))</f>
        <v>-13.755007241112054</v>
      </c>
      <c r="P46" s="1">
        <f>(Main_L[[#This Row],[P/B]]-VLOOKUP(Main_L[[#This Row],[Industry]], Mean_PB_L, 2, FALSE))/(VLOOKUP(Main_L[[#This Row],[Industry]], Mean_PB_L, 3, FALSE))</f>
        <v>181.55748104599525</v>
      </c>
      <c r="Q46" s="1">
        <f>(Main_L[[#This Row],[ROE]]-VLOOKUP(Main_L[[#This Row],[Industry]], Mean_ROE_L, 2, FALSE))/(VLOOKUP(Main_L[[#This Row],[Industry]], Mean_ROE_L, 3, FALSE))</f>
        <v>14.629729370630477</v>
      </c>
      <c r="R46" s="1">
        <f>(Main_L[[#This Row],[ROA]]-VLOOKUP(Main_L[[#This Row],[Industry]], Mean_ROA_L, 2, FALSE))/(VLOOKUP(Main_L[[#This Row],[Industry]], Mean_ROA_L, 3, FALSE))</f>
        <v>-1.1626663722345081</v>
      </c>
      <c r="S46" s="1">
        <f>(Main_L[[#This Row],[A/E]]-VLOOKUP(Main_L[[#This Row],[Industry]], Mean_AE_L, 2, FALSE))/(VLOOKUP(Main_L[[#This Row],[Industry]], Mean_AE_L, 3, FALSE))</f>
        <v>478.4343827402725</v>
      </c>
      <c r="T46" s="1">
        <f>(Main_L[[#This Row],[P/E]]-VLOOKUP(Main_L[[#This Row],[Industry]], Mean_PE_L, 2, FALSE))/(VLOOKUP(Main_L[[#This Row],[Industry]], Mean_PE_L, 3, FALSE))</f>
        <v>3.584269387019269</v>
      </c>
      <c r="U4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47" spans="1:26" x14ac:dyDescent="0.25">
      <c r="A47" t="s">
        <v>129</v>
      </c>
      <c r="B47" t="s">
        <v>132</v>
      </c>
      <c r="C47" s="2">
        <v>90532</v>
      </c>
      <c r="D47">
        <f>RTD("tos.rtd", , "LAST", Main_L[[#This Row],[Symbol]])</f>
        <v>687.78</v>
      </c>
      <c r="E47">
        <v>12.68</v>
      </c>
      <c r="F47">
        <v>-24.48</v>
      </c>
      <c r="G47">
        <v>21.82</v>
      </c>
      <c r="H47" s="1">
        <f>IF(ISNUMBER(Main_L[[#This Row],[Free CF]]),IF(Main_L[[#This Row],[Free CF]]&lt;&gt;0,Main_L[[#This Row],[Current Price]]/Main_L[[#This Row],[Free CF]],""),"")</f>
        <v>54.241324921135643</v>
      </c>
      <c r="I47" s="1">
        <f>IF(ISNUMBER(Main_L[[#This Row],[BVPS]]),IF(Main_L[[#This Row],[BVPS]]&lt;&gt;0,Main_L[[#This Row],[Current Price]]/Main_L[[#This Row],[BVPS]],""),"")</f>
        <v>-28.095588235294116</v>
      </c>
      <c r="J47">
        <v>-137.03</v>
      </c>
      <c r="K47">
        <v>5.24</v>
      </c>
      <c r="L47">
        <v>-23.05</v>
      </c>
      <c r="M47" s="1">
        <f>IF(ISNUMBER(Main_L[[#This Row],[EPS]]),IF(Main_L[[#This Row],[EPS]]&lt;&gt;0,Main_L[[#This Row],[Current Price]]/Main_L[[#This Row],[EPS]],""),"")</f>
        <v>31.520623281393217</v>
      </c>
      <c r="N4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7" s="1">
        <f>(Main_L[[#This Row],[P/FCF]]-VLOOKUP(Main_L[[#This Row],[Industry]], Mean_PFCF_L, 2, FALSE))/(VLOOKUP(Main_L[[#This Row],[Industry]], Mean_PFCF_L, 3, FALSE))</f>
        <v>5.0658861070014165</v>
      </c>
      <c r="P47" s="1">
        <f>(Main_L[[#This Row],[P/B]]-VLOOKUP(Main_L[[#This Row],[Industry]], Mean_PB_L, 2, FALSE))/(VLOOKUP(Main_L[[#This Row],[Industry]], Mean_PB_L, 3, FALSE))</f>
        <v>-23.445743066368795</v>
      </c>
      <c r="Q47" s="1">
        <f>(Main_L[[#This Row],[ROE]]-VLOOKUP(Main_L[[#This Row],[Industry]], Mean_ROE_L, 2, FALSE))/(VLOOKUP(Main_L[[#This Row],[Industry]], Mean_ROE_L, 3, FALSE))</f>
        <v>-12.839223711189005</v>
      </c>
      <c r="R47" s="1">
        <f>(Main_L[[#This Row],[ROA]]-VLOOKUP(Main_L[[#This Row],[Industry]], Mean_ROA_L, 2, FALSE))/(VLOOKUP(Main_L[[#This Row],[Industry]], Mean_ROA_L, 3, FALSE))</f>
        <v>-0.23671051889804351</v>
      </c>
      <c r="S47" s="1">
        <f>(Main_L[[#This Row],[A/E]]-VLOOKUP(Main_L[[#This Row],[Industry]], Mean_AE_L, 2, FALSE))/(VLOOKUP(Main_L[[#This Row],[Industry]], Mean_AE_L, 3, FALSE))</f>
        <v>-40.948212217762617</v>
      </c>
      <c r="T47" s="1">
        <f>(Main_L[[#This Row],[P/E]]-VLOOKUP(Main_L[[#This Row],[Industry]], Mean_PE_L, 2, FALSE))/(VLOOKUP(Main_L[[#This Row],[Industry]], Mean_PE_L, 3, FALSE))</f>
        <v>2.2695385999911255</v>
      </c>
      <c r="U4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4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4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4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4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8" spans="1:26" x14ac:dyDescent="0.25">
      <c r="A48" t="s">
        <v>129</v>
      </c>
      <c r="B48" t="s">
        <v>133</v>
      </c>
      <c r="C48" s="2">
        <v>89343</v>
      </c>
      <c r="D48">
        <f>RTD("tos.rtd", , "LAST", Main_L[[#This Row],[Symbol]])</f>
        <v>301.89</v>
      </c>
      <c r="E48">
        <v>21.74</v>
      </c>
      <c r="F48">
        <v>149.04</v>
      </c>
      <c r="G48">
        <v>17.989999999999998</v>
      </c>
      <c r="H48" s="1">
        <f>IF(ISNUMBER(Main_L[[#This Row],[Free CF]]),IF(Main_L[[#This Row],[Free CF]]&lt;&gt;0,Main_L[[#This Row],[Current Price]]/Main_L[[#This Row],[Free CF]],""),"")</f>
        <v>13.886384544618215</v>
      </c>
      <c r="I48" s="1">
        <f>IF(ISNUMBER(Main_L[[#This Row],[BVPS]]),IF(Main_L[[#This Row],[BVPS]]&lt;&gt;0,Main_L[[#This Row],[Current Price]]/Main_L[[#This Row],[BVPS]],""),"")</f>
        <v>2.0255636070853464</v>
      </c>
      <c r="J48">
        <v>13.21</v>
      </c>
      <c r="K48">
        <v>3.94</v>
      </c>
      <c r="L48">
        <v>3.75</v>
      </c>
      <c r="M48" s="1">
        <f>IF(ISNUMBER(Main_L[[#This Row],[EPS]]),IF(Main_L[[#This Row],[EPS]]&lt;&gt;0,Main_L[[#This Row],[Current Price]]/Main_L[[#This Row],[EPS]],""),"")</f>
        <v>16.780989438576988</v>
      </c>
      <c r="N4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8" s="1">
        <f>(Main_L[[#This Row],[P/FCF]]-VLOOKUP(Main_L[[#This Row],[Industry]], Mean_PFCF_L, 2, FALSE))/(VLOOKUP(Main_L[[#This Row],[Industry]], Mean_PFCF_L, 3, FALSE))</f>
        <v>-0.34560549490714998</v>
      </c>
      <c r="P48" s="1">
        <f>(Main_L[[#This Row],[P/B]]-VLOOKUP(Main_L[[#This Row],[Industry]], Mean_PB_L, 2, FALSE))/(VLOOKUP(Main_L[[#This Row],[Industry]], Mean_PB_L, 3, FALSE))</f>
        <v>-0.28022759812587195</v>
      </c>
      <c r="Q48" s="1">
        <f>(Main_L[[#This Row],[ROE]]-VLOOKUP(Main_L[[#This Row],[Industry]], Mean_ROE_L, 2, FALSE))/(VLOOKUP(Main_L[[#This Row],[Industry]], Mean_ROE_L, 3, FALSE))</f>
        <v>-0.52662895311108038</v>
      </c>
      <c r="R48" s="1">
        <f>(Main_L[[#This Row],[ROA]]-VLOOKUP(Main_L[[#This Row],[Industry]], Mean_ROA_L, 2, FALSE))/(VLOOKUP(Main_L[[#This Row],[Industry]], Mean_ROA_L, 3, FALSE))</f>
        <v>-0.74248472450199476</v>
      </c>
      <c r="S48" s="1">
        <f>(Main_L[[#This Row],[A/E]]-VLOOKUP(Main_L[[#This Row],[Industry]], Mean_AE_L, 2, FALSE))/(VLOOKUP(Main_L[[#This Row],[Industry]], Mean_AE_L, 3, FALSE))</f>
        <v>1.5124477324397569</v>
      </c>
      <c r="T48" s="1">
        <f>(Main_L[[#This Row],[P/E]]-VLOOKUP(Main_L[[#This Row],[Industry]], Mean_PE_L, 2, FALSE))/(VLOOKUP(Main_L[[#This Row],[Industry]], Mean_PE_L, 3, FALSE))</f>
        <v>-8.7110973099313371E-2</v>
      </c>
      <c r="U4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49" spans="1:26" x14ac:dyDescent="0.25">
      <c r="A49" t="s">
        <v>129</v>
      </c>
      <c r="B49" t="s">
        <v>134</v>
      </c>
      <c r="C49" s="2">
        <v>84478</v>
      </c>
      <c r="D49">
        <f>RTD("tos.rtd", , "LAST", Main_L[[#This Row],[Symbol]])</f>
        <v>60.5</v>
      </c>
      <c r="E49">
        <v>4.72</v>
      </c>
      <c r="F49">
        <v>60.96</v>
      </c>
      <c r="G49">
        <v>4.1900000000000004</v>
      </c>
      <c r="H49" s="1">
        <f>IF(ISNUMBER(Main_L[[#This Row],[Free CF]]),IF(Main_L[[#This Row],[Free CF]]&lt;&gt;0,Main_L[[#This Row],[Current Price]]/Main_L[[#This Row],[Free CF]],""),"")</f>
        <v>12.817796610169491</v>
      </c>
      <c r="I49" s="1">
        <f>IF(ISNUMBER(Main_L[[#This Row],[BVPS]]),IF(Main_L[[#This Row],[BVPS]]&lt;&gt;0,Main_L[[#This Row],[Current Price]]/Main_L[[#This Row],[BVPS]],""),"")</f>
        <v>0.99245406824146976</v>
      </c>
      <c r="J49">
        <v>6.93</v>
      </c>
      <c r="K49">
        <v>2.31</v>
      </c>
      <c r="L49">
        <v>3.32</v>
      </c>
      <c r="M49" s="1">
        <f>IF(ISNUMBER(Main_L[[#This Row],[EPS]]),IF(Main_L[[#This Row],[EPS]]&lt;&gt;0,Main_L[[#This Row],[Current Price]]/Main_L[[#This Row],[EPS]],""),"")</f>
        <v>14.439140811455847</v>
      </c>
      <c r="N4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49" s="1">
        <f>(Main_L[[#This Row],[P/FCF]]-VLOOKUP(Main_L[[#This Row],[Industry]], Mean_PFCF_L, 2, FALSE))/(VLOOKUP(Main_L[[#This Row],[Industry]], Mean_PFCF_L, 3, FALSE))</f>
        <v>-0.48890033264491112</v>
      </c>
      <c r="P49" s="1">
        <f>(Main_L[[#This Row],[P/B]]-VLOOKUP(Main_L[[#This Row],[Industry]], Mean_PB_L, 2, FALSE))/(VLOOKUP(Main_L[[#This Row],[Industry]], Mean_PB_L, 3, FALSE))</f>
        <v>-1.0747694246706618</v>
      </c>
      <c r="Q49" s="1">
        <f>(Main_L[[#This Row],[ROE]]-VLOOKUP(Main_L[[#This Row],[Industry]], Mean_ROE_L, 2, FALSE))/(VLOOKUP(Main_L[[#This Row],[Industry]], Mean_ROE_L, 3, FALSE))</f>
        <v>-1.0412927915078416</v>
      </c>
      <c r="R49" s="1">
        <f>(Main_L[[#This Row],[ROA]]-VLOOKUP(Main_L[[#This Row],[Industry]], Mean_ROA_L, 2, FALSE))/(VLOOKUP(Main_L[[#This Row],[Industry]], Mean_ROA_L, 3, FALSE))</f>
        <v>-1.3766477669131025</v>
      </c>
      <c r="S49" s="1">
        <f>(Main_L[[#This Row],[A/E]]-VLOOKUP(Main_L[[#This Row],[Industry]], Mean_AE_L, 2, FALSE))/(VLOOKUP(Main_L[[#This Row],[Industry]], Mean_AE_L, 3, FALSE))</f>
        <v>0.83117594965665886</v>
      </c>
      <c r="T49" s="1">
        <f>(Main_L[[#This Row],[P/E]]-VLOOKUP(Main_L[[#This Row],[Industry]], Mean_PE_L, 2, FALSE))/(VLOOKUP(Main_L[[#This Row],[Industry]], Mean_PE_L, 3, FALSE))</f>
        <v>-0.46153795182899637</v>
      </c>
      <c r="U4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4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4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4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4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4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0" spans="1:26" x14ac:dyDescent="0.25">
      <c r="A50" t="s">
        <v>129</v>
      </c>
      <c r="B50" t="s">
        <v>135</v>
      </c>
      <c r="C50" s="2">
        <v>19711</v>
      </c>
      <c r="D50">
        <f>RTD("tos.rtd", , "LAST", Main_L[[#This Row],[Symbol]])</f>
        <v>174.49</v>
      </c>
      <c r="E50">
        <v>9.51</v>
      </c>
      <c r="F50">
        <v>61.87</v>
      </c>
      <c r="G50">
        <v>7.91</v>
      </c>
      <c r="H50" s="1">
        <f>IF(ISNUMBER(Main_L[[#This Row],[Free CF]]),IF(Main_L[[#This Row],[Free CF]]&lt;&gt;0,Main_L[[#This Row],[Current Price]]/Main_L[[#This Row],[Free CF]],""),"")</f>
        <v>18.348054679284964</v>
      </c>
      <c r="I50" s="1">
        <f>IF(ISNUMBER(Main_L[[#This Row],[BVPS]]),IF(Main_L[[#This Row],[BVPS]]&lt;&gt;0,Main_L[[#This Row],[Current Price]]/Main_L[[#This Row],[BVPS]],""),"")</f>
        <v>2.8202683045094554</v>
      </c>
      <c r="J50">
        <v>13.95</v>
      </c>
      <c r="K50">
        <v>6.13</v>
      </c>
      <c r="L50">
        <v>2.2799999999999998</v>
      </c>
      <c r="M50" s="1">
        <f>IF(ISNUMBER(Main_L[[#This Row],[EPS]]),IF(Main_L[[#This Row],[EPS]]&lt;&gt;0,Main_L[[#This Row],[Current Price]]/Main_L[[#This Row],[EPS]],""),"")</f>
        <v>22.059418457648547</v>
      </c>
      <c r="N5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0" s="1">
        <f>(Main_L[[#This Row],[P/FCF]]-VLOOKUP(Main_L[[#This Row],[Industry]], Mean_PFCF_L, 2, FALSE))/(VLOOKUP(Main_L[[#This Row],[Industry]], Mean_PFCF_L, 3, FALSE))</f>
        <v>0.25269276148886138</v>
      </c>
      <c r="P50" s="1">
        <f>(Main_L[[#This Row],[P/B]]-VLOOKUP(Main_L[[#This Row],[Industry]], Mean_PB_L, 2, FALSE))/(VLOOKUP(Main_L[[#This Row],[Industry]], Mean_PB_L, 3, FALSE))</f>
        <v>0.33096230779803132</v>
      </c>
      <c r="Q50" s="1">
        <f>(Main_L[[#This Row],[ROE]]-VLOOKUP(Main_L[[#This Row],[Industry]], Mean_ROE_L, 2, FALSE))/(VLOOKUP(Main_L[[#This Row],[Industry]], Mean_ROE_L, 3, FALSE))</f>
        <v>-0.46598385113439217</v>
      </c>
      <c r="R50" s="1">
        <f>(Main_L[[#This Row],[ROA]]-VLOOKUP(Main_L[[#This Row],[Industry]], Mean_ROA_L, 2, FALSE))/(VLOOKUP(Main_L[[#This Row],[Industry]], Mean_ROA_L, 3, FALSE))</f>
        <v>0.10955028340004595</v>
      </c>
      <c r="S50" s="1">
        <f>(Main_L[[#This Row],[A/E]]-VLOOKUP(Main_L[[#This Row],[Industry]], Mean_AE_L, 2, FALSE))/(VLOOKUP(Main_L[[#This Row],[Industry]], Mean_AE_L, 3, FALSE))</f>
        <v>-0.81655115288850777</v>
      </c>
      <c r="T50" s="1">
        <f>(Main_L[[#This Row],[P/E]]-VLOOKUP(Main_L[[#This Row],[Industry]], Mean_PE_L, 2, FALSE))/(VLOOKUP(Main_L[[#This Row],[Industry]], Mean_PE_L, 3, FALSE))</f>
        <v>0.75683180234797942</v>
      </c>
      <c r="U5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1" spans="1:26" x14ac:dyDescent="0.25">
      <c r="A51" t="s">
        <v>129</v>
      </c>
      <c r="B51" t="s">
        <v>136</v>
      </c>
      <c r="C51" s="2">
        <v>11065</v>
      </c>
      <c r="D51">
        <f>RTD("tos.rtd", , "LAST", Main_L[[#This Row],[Symbol]])</f>
        <v>143.97999999999999</v>
      </c>
      <c r="E51">
        <v>17.260000000000002</v>
      </c>
      <c r="F51">
        <v>1.5</v>
      </c>
      <c r="G51">
        <v>10.73</v>
      </c>
      <c r="H51" s="1">
        <f>IF(ISNUMBER(Main_L[[#This Row],[Free CF]]),IF(Main_L[[#This Row],[Free CF]]&lt;&gt;0,Main_L[[#This Row],[Current Price]]/Main_L[[#This Row],[Free CF]],""),"")</f>
        <v>8.3418308227114704</v>
      </c>
      <c r="I51" s="1">
        <f>IF(ISNUMBER(Main_L[[#This Row],[BVPS]]),IF(Main_L[[#This Row],[BVPS]]&lt;&gt;0,Main_L[[#This Row],[Current Price]]/Main_L[[#This Row],[BVPS]],""),"")</f>
        <v>95.986666666666665</v>
      </c>
      <c r="J51">
        <v>51.74</v>
      </c>
      <c r="K51">
        <v>7.15</v>
      </c>
      <c r="L51">
        <v>142.71</v>
      </c>
      <c r="M51" s="1">
        <f>IF(ISNUMBER(Main_L[[#This Row],[EPS]]),IF(Main_L[[#This Row],[EPS]]&lt;&gt;0,Main_L[[#This Row],[Current Price]]/Main_L[[#This Row],[EPS]],""),"")</f>
        <v>13.418452935694313</v>
      </c>
      <c r="N5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1" s="1">
        <f>(Main_L[[#This Row],[P/FCF]]-VLOOKUP(Main_L[[#This Row],[Industry]], Mean_PFCF_L, 2, FALSE))/(VLOOKUP(Main_L[[#This Row],[Industry]], Mean_PFCF_L, 3, FALSE))</f>
        <v>-1.0891155985644649</v>
      </c>
      <c r="P51" s="1">
        <f>(Main_L[[#This Row],[P/B]]-VLOOKUP(Main_L[[#This Row],[Industry]], Mean_PB_L, 2, FALSE))/(VLOOKUP(Main_L[[#This Row],[Industry]], Mean_PB_L, 3, FALSE))</f>
        <v>71.983190405611083</v>
      </c>
      <c r="Q51" s="1">
        <f>(Main_L[[#This Row],[ROE]]-VLOOKUP(Main_L[[#This Row],[Industry]], Mean_ROE_L, 2, FALSE))/(VLOOKUP(Main_L[[#This Row],[Industry]], Mean_ROE_L, 3, FALSE))</f>
        <v>2.6310139917021678</v>
      </c>
      <c r="R51" s="1">
        <f>(Main_L[[#This Row],[ROA]]-VLOOKUP(Main_L[[#This Row],[Industry]], Mean_ROA_L, 2, FALSE))/(VLOOKUP(Main_L[[#This Row],[Industry]], Mean_ROA_L, 3, FALSE))</f>
        <v>0.50638850625853082</v>
      </c>
      <c r="S51" s="1">
        <f>(Main_L[[#This Row],[A/E]]-VLOOKUP(Main_L[[#This Row],[Industry]], Mean_AE_L, 2, FALSE))/(VLOOKUP(Main_L[[#This Row],[Industry]], Mean_AE_L, 3, FALSE))</f>
        <v>221.67413828020548</v>
      </c>
      <c r="T51" s="1">
        <f>(Main_L[[#This Row],[P/E]]-VLOOKUP(Main_L[[#This Row],[Industry]], Mean_PE_L, 2, FALSE))/(VLOOKUP(Main_L[[#This Row],[Industry]], Mean_PE_L, 3, FALSE))</f>
        <v>-0.62473085555532226</v>
      </c>
      <c r="U5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2" spans="1:26" x14ac:dyDescent="0.25">
      <c r="A52" t="s">
        <v>129</v>
      </c>
      <c r="B52" t="s">
        <v>137</v>
      </c>
      <c r="C52" s="2">
        <v>16572</v>
      </c>
      <c r="D52">
        <f>RTD("tos.rtd", , "LAST", Main_L[[#This Row],[Symbol]])</f>
        <v>28</v>
      </c>
      <c r="E52">
        <v>5.93</v>
      </c>
      <c r="F52">
        <v>51.47</v>
      </c>
      <c r="G52">
        <v>1.9</v>
      </c>
      <c r="H52" s="1">
        <f>IF(ISNUMBER(Main_L[[#This Row],[Free CF]]),IF(Main_L[[#This Row],[Free CF]]&lt;&gt;0,Main_L[[#This Row],[Current Price]]/Main_L[[#This Row],[Free CF]],""),"")</f>
        <v>4.7217537942664425</v>
      </c>
      <c r="I52" s="1">
        <f>IF(ISNUMBER(Main_L[[#This Row],[BVPS]]),IF(Main_L[[#This Row],[BVPS]]&lt;&gt;0,Main_L[[#This Row],[Current Price]]/Main_L[[#This Row],[BVPS]],""),"")</f>
        <v>0.54400621721391107</v>
      </c>
      <c r="J52">
        <v>4.84</v>
      </c>
      <c r="K52">
        <v>2.85</v>
      </c>
      <c r="L52">
        <v>2.2999999999999998</v>
      </c>
      <c r="M52" s="1">
        <f>IF(ISNUMBER(Main_L[[#This Row],[EPS]]),IF(Main_L[[#This Row],[EPS]]&lt;&gt;0,Main_L[[#This Row],[Current Price]]/Main_L[[#This Row],[EPS]],""),"")</f>
        <v>14.736842105263159</v>
      </c>
      <c r="N5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2" s="1">
        <f>(Main_L[[#This Row],[P/FCF]]-VLOOKUP(Main_L[[#This Row],[Industry]], Mean_PFCF_L, 2, FALSE))/(VLOOKUP(Main_L[[#This Row],[Industry]], Mean_PFCF_L, 3, FALSE))</f>
        <v>-1.5745584279904212</v>
      </c>
      <c r="P52" s="1">
        <f>(Main_L[[#This Row],[P/B]]-VLOOKUP(Main_L[[#This Row],[Industry]], Mean_PB_L, 2, FALSE))/(VLOOKUP(Main_L[[#This Row],[Industry]], Mean_PB_L, 3, FALSE))</f>
        <v>-1.4196608047892301</v>
      </c>
      <c r="Q52" s="1">
        <f>(Main_L[[#This Row],[ROE]]-VLOOKUP(Main_L[[#This Row],[Industry]], Mean_ROE_L, 2, FALSE))/(VLOOKUP(Main_L[[#This Row],[Industry]], Mean_ROE_L, 3, FALSE))</f>
        <v>-1.2125742281717318</v>
      </c>
      <c r="R52" s="1">
        <f>(Main_L[[#This Row],[ROA]]-VLOOKUP(Main_L[[#This Row],[Industry]], Mean_ROA_L, 2, FALSE))/(VLOOKUP(Main_L[[#This Row],[Industry]], Mean_ROA_L, 3, FALSE))</f>
        <v>-1.1665569430468459</v>
      </c>
      <c r="S52" s="1">
        <f>(Main_L[[#This Row],[A/E]]-VLOOKUP(Main_L[[#This Row],[Industry]], Mean_AE_L, 2, FALSE))/(VLOOKUP(Main_L[[#This Row],[Industry]], Mean_AE_L, 3, FALSE))</f>
        <v>-0.78486409322417761</v>
      </c>
      <c r="T52" s="1">
        <f>(Main_L[[#This Row],[P/E]]-VLOOKUP(Main_L[[#This Row],[Industry]], Mean_PE_L, 2, FALSE))/(VLOOKUP(Main_L[[#This Row],[Industry]], Mean_PE_L, 3, FALSE))</f>
        <v>-0.41393991551132975</v>
      </c>
      <c r="U5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3" spans="1:26" x14ac:dyDescent="0.25">
      <c r="A53" t="s">
        <v>129</v>
      </c>
      <c r="B53" t="s">
        <v>138</v>
      </c>
      <c r="C53" s="2">
        <v>11718</v>
      </c>
      <c r="D53">
        <f>RTD("tos.rtd", , "LAST", Main_L[[#This Row],[Symbol]])</f>
        <v>64</v>
      </c>
      <c r="E53">
        <v>0.98</v>
      </c>
      <c r="F53">
        <v>2.46</v>
      </c>
      <c r="G53">
        <v>0.68</v>
      </c>
      <c r="H53" s="1">
        <f>IF(ISNUMBER(Main_L[[#This Row],[Free CF]]),IF(Main_L[[#This Row],[Free CF]]&lt;&gt;0,Main_L[[#This Row],[Current Price]]/Main_L[[#This Row],[Free CF]],""),"")</f>
        <v>65.306122448979593</v>
      </c>
      <c r="I53" s="1">
        <f>IF(ISNUMBER(Main_L[[#This Row],[BVPS]]),IF(Main_L[[#This Row],[BVPS]]&lt;&gt;0,Main_L[[#This Row],[Current Price]]/Main_L[[#This Row],[BVPS]],""),"")</f>
        <v>26.016260162601625</v>
      </c>
      <c r="J53">
        <v>36.79</v>
      </c>
      <c r="K53">
        <v>10.64</v>
      </c>
      <c r="L53">
        <v>1.62</v>
      </c>
      <c r="M53" s="1">
        <f>IF(ISNUMBER(Main_L[[#This Row],[EPS]]),IF(Main_L[[#This Row],[EPS]]&lt;&gt;0,Main_L[[#This Row],[Current Price]]/Main_L[[#This Row],[EPS]],""),"")</f>
        <v>94.117647058823522</v>
      </c>
      <c r="N5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3" s="1">
        <f>(Main_L[[#This Row],[P/FCF]]-VLOOKUP(Main_L[[#This Row],[Industry]], Mean_PFCF_L, 2, FALSE))/(VLOOKUP(Main_L[[#This Row],[Industry]], Mean_PFCF_L, 3, FALSE))</f>
        <v>6.549646418380509</v>
      </c>
      <c r="P53" s="1">
        <f>(Main_L[[#This Row],[P/B]]-VLOOKUP(Main_L[[#This Row],[Industry]], Mean_PB_L, 2, FALSE))/(VLOOKUP(Main_L[[#This Row],[Industry]], Mean_PB_L, 3, FALSE))</f>
        <v>18.170489527797681</v>
      </c>
      <c r="Q53" s="1">
        <f>(Main_L[[#This Row],[ROE]]-VLOOKUP(Main_L[[#This Row],[Industry]], Mean_ROE_L, 2, FALSE))/(VLOOKUP(Main_L[[#This Row],[Industry]], Mean_ROE_L, 3, FALSE))</f>
        <v>1.4058190260920442</v>
      </c>
      <c r="R53" s="1">
        <f>(Main_L[[#This Row],[ROA]]-VLOOKUP(Main_L[[#This Row],[Industry]], Mean_ROA_L, 2, FALSE))/(VLOOKUP(Main_L[[#This Row],[Industry]], Mean_ROA_L, 3, FALSE))</f>
        <v>1.8641977197645228</v>
      </c>
      <c r="S53" s="1">
        <f>(Main_L[[#This Row],[A/E]]-VLOOKUP(Main_L[[#This Row],[Industry]], Mean_AE_L, 2, FALSE))/(VLOOKUP(Main_L[[#This Row],[Industry]], Mean_AE_L, 3, FALSE))</f>
        <v>-1.8622241218114015</v>
      </c>
      <c r="T53" s="1">
        <f>(Main_L[[#This Row],[P/E]]-VLOOKUP(Main_L[[#This Row],[Industry]], Mean_PE_L, 2, FALSE))/(VLOOKUP(Main_L[[#This Row],[Industry]], Mean_PE_L, 3, FALSE))</f>
        <v>12.277877405076897</v>
      </c>
      <c r="U5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5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54" spans="1:26" x14ac:dyDescent="0.25">
      <c r="A54" t="s">
        <v>129</v>
      </c>
      <c r="B54" t="s">
        <v>139</v>
      </c>
      <c r="C54" s="2">
        <v>20582</v>
      </c>
      <c r="D54">
        <f>RTD("tos.rtd", , "LAST", Main_L[[#This Row],[Symbol]])</f>
        <v>250.01</v>
      </c>
      <c r="E54">
        <v>13.75</v>
      </c>
      <c r="F54">
        <v>99.13</v>
      </c>
      <c r="G54">
        <v>8.67</v>
      </c>
      <c r="H54" s="1">
        <f>IF(ISNUMBER(Main_L[[#This Row],[Free CF]]),IF(Main_L[[#This Row],[Free CF]]&lt;&gt;0,Main_L[[#This Row],[Current Price]]/Main_L[[#This Row],[Free CF]],""),"")</f>
        <v>18.182545454545455</v>
      </c>
      <c r="I54" s="1">
        <f>IF(ISNUMBER(Main_L[[#This Row],[BVPS]]),IF(Main_L[[#This Row],[BVPS]]&lt;&gt;0,Main_L[[#This Row],[Current Price]]/Main_L[[#This Row],[BVPS]],""),"")</f>
        <v>2.5220417633410674</v>
      </c>
      <c r="J54">
        <v>8.98</v>
      </c>
      <c r="K54">
        <v>4.18</v>
      </c>
      <c r="L54">
        <v>2.12</v>
      </c>
      <c r="M54" s="1">
        <f>IF(ISNUMBER(Main_L[[#This Row],[EPS]]),IF(Main_L[[#This Row],[EPS]]&lt;&gt;0,Main_L[[#This Row],[Current Price]]/Main_L[[#This Row],[EPS]],""),"")</f>
        <v>28.836216839677046</v>
      </c>
      <c r="N5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4" s="1">
        <f>(Main_L[[#This Row],[P/FCF]]-VLOOKUP(Main_L[[#This Row],[Industry]], Mean_PFCF_L, 2, FALSE))/(VLOOKUP(Main_L[[#This Row],[Industry]], Mean_PFCF_L, 3, FALSE))</f>
        <v>0.23049840879351133</v>
      </c>
      <c r="P54" s="1">
        <f>(Main_L[[#This Row],[P/B]]-VLOOKUP(Main_L[[#This Row],[Industry]], Mean_PB_L, 2, FALSE))/(VLOOKUP(Main_L[[#This Row],[Industry]], Mean_PB_L, 3, FALSE))</f>
        <v>0.10160283347816995</v>
      </c>
      <c r="Q54" s="1">
        <f>(Main_L[[#This Row],[ROE]]-VLOOKUP(Main_L[[#This Row],[Industry]], Mean_ROE_L, 2, FALSE))/(VLOOKUP(Main_L[[#This Row],[Industry]], Mean_ROE_L, 3, FALSE))</f>
        <v>-0.87328946846431277</v>
      </c>
      <c r="R54" s="1">
        <f>(Main_L[[#This Row],[ROA]]-VLOOKUP(Main_L[[#This Row],[Industry]], Mean_ROA_L, 2, FALSE))/(VLOOKUP(Main_L[[#This Row],[Industry]], Mean_ROA_L, 3, FALSE))</f>
        <v>-0.6491110250058808</v>
      </c>
      <c r="S54" s="1">
        <f>(Main_L[[#This Row],[A/E]]-VLOOKUP(Main_L[[#This Row],[Industry]], Mean_AE_L, 2, FALSE))/(VLOOKUP(Main_L[[#This Row],[Industry]], Mean_AE_L, 3, FALSE))</f>
        <v>-1.0700476302031483</v>
      </c>
      <c r="T54" s="1">
        <f>(Main_L[[#This Row],[P/E]]-VLOOKUP(Main_L[[#This Row],[Industry]], Mean_PE_L, 2, FALSE))/(VLOOKUP(Main_L[[#This Row],[Industry]], Mean_PE_L, 3, FALSE))</f>
        <v>1.8403416903301104</v>
      </c>
      <c r="U5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5" spans="1:26" x14ac:dyDescent="0.25">
      <c r="A55" t="s">
        <v>129</v>
      </c>
      <c r="B55" t="s">
        <v>140</v>
      </c>
      <c r="C55" s="2">
        <v>11842</v>
      </c>
      <c r="D55">
        <f>RTD("tos.rtd", , "LAST", Main_L[[#This Row],[Symbol]])</f>
        <v>117.61</v>
      </c>
      <c r="E55">
        <v>3.86</v>
      </c>
      <c r="F55">
        <v>21.4</v>
      </c>
      <c r="G55">
        <v>4.8600000000000003</v>
      </c>
      <c r="H55" s="1">
        <f>IF(ISNUMBER(Main_L[[#This Row],[Free CF]]),IF(Main_L[[#This Row],[Free CF]]&lt;&gt;0,Main_L[[#This Row],[Current Price]]/Main_L[[#This Row],[Free CF]],""),"")</f>
        <v>30.468911917098445</v>
      </c>
      <c r="I55" s="1">
        <f>IF(ISNUMBER(Main_L[[#This Row],[BVPS]]),IF(Main_L[[#This Row],[BVPS]]&lt;&gt;0,Main_L[[#This Row],[Current Price]]/Main_L[[#This Row],[BVPS]],""),"")</f>
        <v>5.495794392523365</v>
      </c>
      <c r="J55">
        <v>24.58</v>
      </c>
      <c r="K55">
        <v>8.9700000000000006</v>
      </c>
      <c r="L55">
        <v>3.08</v>
      </c>
      <c r="M55" s="1">
        <f>IF(ISNUMBER(Main_L[[#This Row],[EPS]]),IF(Main_L[[#This Row],[EPS]]&lt;&gt;0,Main_L[[#This Row],[Current Price]]/Main_L[[#This Row],[EPS]],""),"")</f>
        <v>24.199588477366252</v>
      </c>
      <c r="N5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5" s="1">
        <f>(Main_L[[#This Row],[P/FCF]]-VLOOKUP(Main_L[[#This Row],[Industry]], Mean_PFCF_L, 2, FALSE))/(VLOOKUP(Main_L[[#This Row],[Industry]], Mean_PFCF_L, 3, FALSE))</f>
        <v>1.8780679085805991</v>
      </c>
      <c r="P55" s="1">
        <f>(Main_L[[#This Row],[P/B]]-VLOOKUP(Main_L[[#This Row],[Industry]], Mean_PB_L, 2, FALSE))/(VLOOKUP(Main_L[[#This Row],[Industry]], Mean_PB_L, 3, FALSE))</f>
        <v>2.3886505828649223</v>
      </c>
      <c r="Q55" s="1">
        <f>(Main_L[[#This Row],[ROE]]-VLOOKUP(Main_L[[#This Row],[Industry]], Mean_ROE_L, 2, FALSE))/(VLOOKUP(Main_L[[#This Row],[Industry]], Mean_ROE_L, 3, FALSE))</f>
        <v>0.40517484347668564</v>
      </c>
      <c r="R55" s="1">
        <f>(Main_L[[#This Row],[ROA]]-VLOOKUP(Main_L[[#This Row],[Industry]], Mean_ROA_L, 2, FALSE))/(VLOOKUP(Main_L[[#This Row],[Industry]], Mean_ROA_L, 3, FALSE))</f>
        <v>1.2144723941040625</v>
      </c>
      <c r="S55" s="1">
        <f>(Main_L[[#This Row],[A/E]]-VLOOKUP(Main_L[[#This Row],[Industry]], Mean_AE_L, 2, FALSE))/(VLOOKUP(Main_L[[#This Row],[Industry]], Mean_AE_L, 3, FALSE))</f>
        <v>0.45093123368469779</v>
      </c>
      <c r="T55" s="1">
        <f>(Main_L[[#This Row],[P/E]]-VLOOKUP(Main_L[[#This Row],[Industry]], Mean_PE_L, 2, FALSE))/(VLOOKUP(Main_L[[#This Row],[Industry]], Mean_PE_L, 3, FALSE))</f>
        <v>1.0990133529274626</v>
      </c>
      <c r="U5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6" spans="1:26" x14ac:dyDescent="0.25">
      <c r="A56" t="s">
        <v>129</v>
      </c>
      <c r="B56" t="s">
        <v>141</v>
      </c>
      <c r="C56" s="2">
        <v>86842</v>
      </c>
      <c r="D56">
        <f>RTD("tos.rtd", , "LAST", Main_L[[#This Row],[Symbol]])</f>
        <v>368.1</v>
      </c>
      <c r="E56">
        <v>19.46</v>
      </c>
      <c r="F56">
        <v>-14.48</v>
      </c>
      <c r="G56">
        <v>22.47</v>
      </c>
      <c r="H56" s="1">
        <f>IF(ISNUMBER(Main_L[[#This Row],[Free CF]]),IF(Main_L[[#This Row],[Free CF]]&lt;&gt;0,Main_L[[#This Row],[Current Price]]/Main_L[[#This Row],[Free CF]],""),"")</f>
        <v>18.915724563206577</v>
      </c>
      <c r="I56" s="1">
        <f>IF(ISNUMBER(Main_L[[#This Row],[BVPS]]),IF(Main_L[[#This Row],[BVPS]]&lt;&gt;0,Main_L[[#This Row],[Current Price]]/Main_L[[#This Row],[BVPS]],""),"")</f>
        <v>-25.421270718232044</v>
      </c>
      <c r="J56">
        <v>1605.8</v>
      </c>
      <c r="K56">
        <v>11.61</v>
      </c>
      <c r="L56">
        <v>-16.989999999999998</v>
      </c>
      <c r="M56" s="1">
        <f>IF(ISNUMBER(Main_L[[#This Row],[EPS]]),IF(Main_L[[#This Row],[EPS]]&lt;&gt;0,Main_L[[#This Row],[Current Price]]/Main_L[[#This Row],[EPS]],""),"")</f>
        <v>16.381842456608812</v>
      </c>
      <c r="N5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6" s="1">
        <f>(Main_L[[#This Row],[P/FCF]]-VLOOKUP(Main_L[[#This Row],[Industry]], Mean_PFCF_L, 2, FALSE))/(VLOOKUP(Main_L[[#This Row],[Industry]], Mean_PFCF_L, 3, FALSE))</f>
        <v>0.32881580319915932</v>
      </c>
      <c r="P56" s="1">
        <f>(Main_L[[#This Row],[P/B]]-VLOOKUP(Main_L[[#This Row],[Industry]], Mean_PB_L, 2, FALSE))/(VLOOKUP(Main_L[[#This Row],[Industry]], Mean_PB_L, 3, FALSE))</f>
        <v>-21.3889842766425</v>
      </c>
      <c r="Q56" s="1">
        <f>(Main_L[[#This Row],[ROE]]-VLOOKUP(Main_L[[#This Row],[Industry]], Mean_ROE_L, 2, FALSE))/(VLOOKUP(Main_L[[#This Row],[Industry]], Mean_ROE_L, 3, FALSE))</f>
        <v>129.99064531317833</v>
      </c>
      <c r="R56" s="1">
        <f>(Main_L[[#This Row],[ROA]]-VLOOKUP(Main_L[[#This Row],[Industry]], Mean_ROA_L, 2, FALSE))/(VLOOKUP(Main_L[[#This Row],[Industry]], Mean_ROA_L, 3, FALSE))</f>
        <v>2.2415830885613164</v>
      </c>
      <c r="S56" s="1">
        <f>(Main_L[[#This Row],[A/E]]-VLOOKUP(Main_L[[#This Row],[Industry]], Mean_AE_L, 2, FALSE))/(VLOOKUP(Main_L[[#This Row],[Industry]], Mean_AE_L, 3, FALSE))</f>
        <v>-31.347033139470582</v>
      </c>
      <c r="T56" s="1">
        <f>(Main_L[[#This Row],[P/E]]-VLOOKUP(Main_L[[#This Row],[Industry]], Mean_PE_L, 2, FALSE))/(VLOOKUP(Main_L[[#This Row],[Industry]], Mean_PE_L, 3, FALSE))</f>
        <v>-0.15092867540364102</v>
      </c>
      <c r="U5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5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5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7" spans="1:26" x14ac:dyDescent="0.25">
      <c r="A57" t="s">
        <v>129</v>
      </c>
      <c r="B57" t="s">
        <v>142</v>
      </c>
      <c r="C57" s="2">
        <v>14148</v>
      </c>
      <c r="D57">
        <f>RTD("tos.rtd", , "LAST", Main_L[[#This Row],[Symbol]])</f>
        <v>157.69999999999999</v>
      </c>
      <c r="E57">
        <v>14.77</v>
      </c>
      <c r="F57">
        <v>45.01</v>
      </c>
      <c r="G57">
        <v>15.09</v>
      </c>
      <c r="H57" s="1">
        <f>IF(ISNUMBER(Main_L[[#This Row],[Free CF]]),IF(Main_L[[#This Row],[Free CF]]&lt;&gt;0,Main_L[[#This Row],[Current Price]]/Main_L[[#This Row],[Free CF]],""),"")</f>
        <v>10.677048070412999</v>
      </c>
      <c r="I57" s="1">
        <f>IF(ISNUMBER(Main_L[[#This Row],[BVPS]]),IF(Main_L[[#This Row],[BVPS]]&lt;&gt;0,Main_L[[#This Row],[Current Price]]/Main_L[[#This Row],[BVPS]],""),"")</f>
        <v>3.5036658520328814</v>
      </c>
      <c r="J57">
        <v>28.82</v>
      </c>
      <c r="K57">
        <v>7.26</v>
      </c>
      <c r="L57">
        <v>6.99</v>
      </c>
      <c r="M57" s="1">
        <f>IF(ISNUMBER(Main_L[[#This Row],[EPS]]),IF(Main_L[[#This Row],[EPS]]&lt;&gt;0,Main_L[[#This Row],[Current Price]]/Main_L[[#This Row],[EPS]],""),"")</f>
        <v>10.450629555997349</v>
      </c>
      <c r="N5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7" s="1">
        <f>(Main_L[[#This Row],[P/FCF]]-VLOOKUP(Main_L[[#This Row],[Industry]], Mean_PFCF_L, 2, FALSE))/(VLOOKUP(Main_L[[#This Row],[Industry]], Mean_PFCF_L, 3, FALSE))</f>
        <v>-0.77596909390694979</v>
      </c>
      <c r="P57" s="1">
        <f>(Main_L[[#This Row],[P/B]]-VLOOKUP(Main_L[[#This Row],[Industry]], Mean_PB_L, 2, FALSE))/(VLOOKUP(Main_L[[#This Row],[Industry]], Mean_PB_L, 3, FALSE))</f>
        <v>0.85654833256084095</v>
      </c>
      <c r="Q57" s="1">
        <f>(Main_L[[#This Row],[ROE]]-VLOOKUP(Main_L[[#This Row],[Industry]], Mean_ROE_L, 2, FALSE))/(VLOOKUP(Main_L[[#This Row],[Industry]], Mean_ROE_L, 3, FALSE))</f>
        <v>0.75265488723500851</v>
      </c>
      <c r="R57" s="1">
        <f>(Main_L[[#This Row],[ROA]]-VLOOKUP(Main_L[[#This Row],[Industry]], Mean_ROA_L, 2, FALSE))/(VLOOKUP(Main_L[[#This Row],[Industry]], Mean_ROA_L, 3, FALSE))</f>
        <v>0.54918478519424951</v>
      </c>
      <c r="S57" s="1">
        <f>(Main_L[[#This Row],[A/E]]-VLOOKUP(Main_L[[#This Row],[Industry]], Mean_AE_L, 2, FALSE))/(VLOOKUP(Main_L[[#This Row],[Industry]], Mean_AE_L, 3, FALSE))</f>
        <v>6.6457513980612379</v>
      </c>
      <c r="T57" s="1">
        <f>(Main_L[[#This Row],[P/E]]-VLOOKUP(Main_L[[#This Row],[Industry]], Mean_PE_L, 2, FALSE))/(VLOOKUP(Main_L[[#This Row],[Industry]], Mean_PE_L, 3, FALSE))</f>
        <v>-1.0992419441858892</v>
      </c>
      <c r="U5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5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8" spans="1:26" x14ac:dyDescent="0.25">
      <c r="A58" t="s">
        <v>129</v>
      </c>
      <c r="B58" t="s">
        <v>143</v>
      </c>
      <c r="C58" s="2">
        <v>12166</v>
      </c>
      <c r="D58">
        <f>RTD("tos.rtd", , "LAST", Main_L[[#This Row],[Symbol]])</f>
        <v>192.17</v>
      </c>
      <c r="E58">
        <v>16.010000000000002</v>
      </c>
      <c r="F58">
        <v>104.44</v>
      </c>
      <c r="G58">
        <v>17.8</v>
      </c>
      <c r="H58" s="1">
        <f>IF(ISNUMBER(Main_L[[#This Row],[Free CF]]),IF(Main_L[[#This Row],[Free CF]]&lt;&gt;0,Main_L[[#This Row],[Current Price]]/Main_L[[#This Row],[Free CF]],""),"")</f>
        <v>12.003123048094938</v>
      </c>
      <c r="I58" s="1">
        <f>IF(ISNUMBER(Main_L[[#This Row],[BVPS]]),IF(Main_L[[#This Row],[BVPS]]&lt;&gt;0,Main_L[[#This Row],[Current Price]]/Main_L[[#This Row],[BVPS]],""),"")</f>
        <v>1.8400038299502106</v>
      </c>
      <c r="J58">
        <v>18.47</v>
      </c>
      <c r="K58">
        <v>7.57</v>
      </c>
      <c r="L58">
        <v>2.19</v>
      </c>
      <c r="M58" s="1">
        <f>IF(ISNUMBER(Main_L[[#This Row],[EPS]]),IF(Main_L[[#This Row],[EPS]]&lt;&gt;0,Main_L[[#This Row],[Current Price]]/Main_L[[#This Row],[EPS]],""),"")</f>
        <v>10.796067415730336</v>
      </c>
      <c r="N5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YES</v>
      </c>
      <c r="O58" s="1">
        <f>(Main_L[[#This Row],[P/FCF]]-VLOOKUP(Main_L[[#This Row],[Industry]], Mean_PFCF_L, 2, FALSE))/(VLOOKUP(Main_L[[#This Row],[Industry]], Mean_PFCF_L, 3, FALSE))</f>
        <v>-0.59814591938919848</v>
      </c>
      <c r="P58" s="1">
        <f>(Main_L[[#This Row],[P/B]]-VLOOKUP(Main_L[[#This Row],[Industry]], Mean_PB_L, 2, FALSE))/(VLOOKUP(Main_L[[#This Row],[Industry]], Mean_PB_L, 3, FALSE))</f>
        <v>-0.42293754195543454</v>
      </c>
      <c r="Q58" s="1">
        <f>(Main_L[[#This Row],[ROE]]-VLOOKUP(Main_L[[#This Row],[Industry]], Mean_ROE_L, 2, FALSE))/(VLOOKUP(Main_L[[#This Row],[Industry]], Mean_ROE_L, 3, FALSE))</f>
        <v>-9.5557012033538766E-2</v>
      </c>
      <c r="R58" s="1">
        <f>(Main_L[[#This Row],[ROA]]-VLOOKUP(Main_L[[#This Row],[Industry]], Mean_ROA_L, 2, FALSE))/(VLOOKUP(Main_L[[#This Row],[Industry]], Mean_ROA_L, 3, FALSE))</f>
        <v>0.66979248037673045</v>
      </c>
      <c r="S58" s="1">
        <f>(Main_L[[#This Row],[A/E]]-VLOOKUP(Main_L[[#This Row],[Industry]], Mean_AE_L, 2, FALSE))/(VLOOKUP(Main_L[[#This Row],[Industry]], Mean_AE_L, 3, FALSE))</f>
        <v>-0.95914292137799306</v>
      </c>
      <c r="T58" s="1">
        <f>(Main_L[[#This Row],[P/E]]-VLOOKUP(Main_L[[#This Row],[Industry]], Mean_PE_L, 2, FALSE))/(VLOOKUP(Main_L[[#This Row],[Industry]], Mean_PE_L, 3, FALSE))</f>
        <v>-1.0440115366092597</v>
      </c>
      <c r="U5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59" spans="1:26" x14ac:dyDescent="0.25">
      <c r="A59" t="s">
        <v>129</v>
      </c>
      <c r="B59" t="s">
        <v>144</v>
      </c>
      <c r="C59" s="2">
        <v>31309</v>
      </c>
      <c r="D59">
        <f>RTD("tos.rtd", , "LAST", Main_L[[#This Row],[Symbol]])</f>
        <v>58.97</v>
      </c>
      <c r="E59">
        <v>2.91</v>
      </c>
      <c r="F59">
        <v>56.11</v>
      </c>
      <c r="G59">
        <v>6.72</v>
      </c>
      <c r="H59" s="1">
        <f>IF(ISNUMBER(Main_L[[#This Row],[Free CF]]),IF(Main_L[[#This Row],[Free CF]]&lt;&gt;0,Main_L[[#This Row],[Current Price]]/Main_L[[#This Row],[Free CF]],""),"")</f>
        <v>20.264604810996563</v>
      </c>
      <c r="I59" s="1">
        <f>IF(ISNUMBER(Main_L[[#This Row],[BVPS]]),IF(Main_L[[#This Row],[BVPS]]&lt;&gt;0,Main_L[[#This Row],[Current Price]]/Main_L[[#This Row],[BVPS]],""),"")</f>
        <v>1.0509713063625021</v>
      </c>
      <c r="J59">
        <v>12.53</v>
      </c>
      <c r="K59">
        <v>3.86</v>
      </c>
      <c r="L59">
        <v>3.12</v>
      </c>
      <c r="M59" s="1">
        <f>IF(ISNUMBER(Main_L[[#This Row],[EPS]]),IF(Main_L[[#This Row],[EPS]]&lt;&gt;0,Main_L[[#This Row],[Current Price]]/Main_L[[#This Row],[EPS]],""),"")</f>
        <v>8.7752976190476186</v>
      </c>
      <c r="N5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59" s="1">
        <f>(Main_L[[#This Row],[P/FCF]]-VLOOKUP(Main_L[[#This Row],[Industry]], Mean_PFCF_L, 2, FALSE))/(VLOOKUP(Main_L[[#This Row],[Industry]], Mean_PFCF_L, 3, FALSE))</f>
        <v>0.50969710459103079</v>
      </c>
      <c r="P59" s="1">
        <f>(Main_L[[#This Row],[P/B]]-VLOOKUP(Main_L[[#This Row],[Industry]], Mean_PB_L, 2, FALSE))/(VLOOKUP(Main_L[[#This Row],[Industry]], Mean_PB_L, 3, FALSE))</f>
        <v>-1.0297651037222055</v>
      </c>
      <c r="Q59" s="1">
        <f>(Main_L[[#This Row],[ROE]]-VLOOKUP(Main_L[[#This Row],[Industry]], Mean_ROE_L, 2, FALSE))/(VLOOKUP(Main_L[[#This Row],[Industry]], Mean_ROE_L, 3, FALSE))</f>
        <v>-0.58235688465722668</v>
      </c>
      <c r="R59" s="1">
        <f>(Main_L[[#This Row],[ROA]]-VLOOKUP(Main_L[[#This Row],[Industry]], Mean_ROA_L, 2, FALSE))/(VLOOKUP(Main_L[[#This Row],[Industry]], Mean_ROA_L, 3, FALSE))</f>
        <v>-0.77360929100069942</v>
      </c>
      <c r="S59" s="1">
        <f>(Main_L[[#This Row],[A/E]]-VLOOKUP(Main_L[[#This Row],[Industry]], Mean_AE_L, 2, FALSE))/(VLOOKUP(Main_L[[#This Row],[Industry]], Mean_AE_L, 3, FALSE))</f>
        <v>0.51430535301335811</v>
      </c>
      <c r="T59" s="1">
        <f>(Main_L[[#This Row],[P/E]]-VLOOKUP(Main_L[[#This Row],[Industry]], Mean_PE_L, 2, FALSE))/(VLOOKUP(Main_L[[#This Row],[Industry]], Mean_PE_L, 3, FALSE))</f>
        <v>-1.3671027564761218</v>
      </c>
      <c r="U5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5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5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5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5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5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0" spans="1:26" x14ac:dyDescent="0.25">
      <c r="A60" t="s">
        <v>129</v>
      </c>
      <c r="B60" t="s">
        <v>145</v>
      </c>
      <c r="C60" s="2">
        <v>94312</v>
      </c>
      <c r="D60">
        <f>RTD("tos.rtd", , "LAST", Main_L[[#This Row],[Symbol]])</f>
        <v>375.4</v>
      </c>
      <c r="E60">
        <v>15.97</v>
      </c>
      <c r="F60">
        <v>188.37</v>
      </c>
      <c r="G60">
        <v>25.6</v>
      </c>
      <c r="H60" s="1">
        <f>IF(ISNUMBER(Main_L[[#This Row],[Free CF]]),IF(Main_L[[#This Row],[Free CF]]&lt;&gt;0,Main_L[[#This Row],[Current Price]]/Main_L[[#This Row],[Free CF]],""),"")</f>
        <v>23.506574827802126</v>
      </c>
      <c r="I60" s="1">
        <f>IF(ISNUMBER(Main_L[[#This Row],[BVPS]]),IF(Main_L[[#This Row],[BVPS]]&lt;&gt;0,Main_L[[#This Row],[Current Price]]/Main_L[[#This Row],[BVPS]],""),"")</f>
        <v>1.9928863407124275</v>
      </c>
      <c r="J60">
        <v>14.18</v>
      </c>
      <c r="K60">
        <v>4.93</v>
      </c>
      <c r="L60">
        <v>2.82</v>
      </c>
      <c r="M60" s="1">
        <f>IF(ISNUMBER(Main_L[[#This Row],[EPS]]),IF(Main_L[[#This Row],[EPS]]&lt;&gt;0,Main_L[[#This Row],[Current Price]]/Main_L[[#This Row],[EPS]],""),"")</f>
        <v>14.664062499999998</v>
      </c>
      <c r="N6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0" s="1">
        <f>(Main_L[[#This Row],[P/FCF]]-VLOOKUP(Main_L[[#This Row],[Industry]], Mean_PFCF_L, 2, FALSE))/(VLOOKUP(Main_L[[#This Row],[Industry]], Mean_PFCF_L, 3, FALSE))</f>
        <v>0.94443677601404907</v>
      </c>
      <c r="P60" s="1">
        <f>(Main_L[[#This Row],[P/B]]-VLOOKUP(Main_L[[#This Row],[Industry]], Mean_PB_L, 2, FALSE))/(VLOOKUP(Main_L[[#This Row],[Industry]], Mean_PB_L, 3, FALSE))</f>
        <v>-0.30535896506638494</v>
      </c>
      <c r="Q60" s="1">
        <f>(Main_L[[#This Row],[ROE]]-VLOOKUP(Main_L[[#This Row],[Industry]], Mean_ROE_L, 2, FALSE))/(VLOOKUP(Main_L[[#This Row],[Industry]], Mean_ROE_L, 3, FALSE))</f>
        <v>-0.4471346978173133</v>
      </c>
      <c r="R60" s="1">
        <f>(Main_L[[#This Row],[ROA]]-VLOOKUP(Main_L[[#This Row],[Industry]], Mean_ROA_L, 2, FALSE))/(VLOOKUP(Main_L[[#This Row],[Industry]], Mean_ROA_L, 3, FALSE))</f>
        <v>-0.35731821408052439</v>
      </c>
      <c r="S60" s="1">
        <f>(Main_L[[#This Row],[A/E]]-VLOOKUP(Main_L[[#This Row],[Industry]], Mean_AE_L, 2, FALSE))/(VLOOKUP(Main_L[[#This Row],[Industry]], Mean_AE_L, 3, FALSE))</f>
        <v>3.8999458048405752E-2</v>
      </c>
      <c r="T60" s="1">
        <f>(Main_L[[#This Row],[P/E]]-VLOOKUP(Main_L[[#This Row],[Industry]], Mean_PE_L, 2, FALSE))/(VLOOKUP(Main_L[[#This Row],[Industry]], Mean_PE_L, 3, FALSE))</f>
        <v>-0.42557629857906193</v>
      </c>
      <c r="U6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1" spans="1:26" x14ac:dyDescent="0.25">
      <c r="A61" t="s">
        <v>129</v>
      </c>
      <c r="B61" t="s">
        <v>146</v>
      </c>
      <c r="C61" s="2">
        <v>30550</v>
      </c>
      <c r="D61">
        <f>RTD("tos.rtd", , "LAST", Main_L[[#This Row],[Symbol]])</f>
        <v>228.89</v>
      </c>
      <c r="E61">
        <v>19.760000000000002</v>
      </c>
      <c r="F61">
        <v>147.08000000000001</v>
      </c>
      <c r="G61">
        <v>14.16</v>
      </c>
      <c r="H61" s="1">
        <f>IF(ISNUMBER(Main_L[[#This Row],[Free CF]]),IF(Main_L[[#This Row],[Free CF]]&lt;&gt;0,Main_L[[#This Row],[Current Price]]/Main_L[[#This Row],[Free CF]],""),"")</f>
        <v>11.583502024291496</v>
      </c>
      <c r="I61" s="1">
        <f>IF(ISNUMBER(Main_L[[#This Row],[BVPS]]),IF(Main_L[[#This Row],[BVPS]]&lt;&gt;0,Main_L[[#This Row],[Current Price]]/Main_L[[#This Row],[BVPS]],""),"")</f>
        <v>1.5562279031819415</v>
      </c>
      <c r="J61">
        <v>10.1</v>
      </c>
      <c r="K61">
        <v>4.72</v>
      </c>
      <c r="L61">
        <v>2.87</v>
      </c>
      <c r="M61" s="1">
        <f>IF(ISNUMBER(Main_L[[#This Row],[EPS]]),IF(Main_L[[#This Row],[EPS]]&lt;&gt;0,Main_L[[#This Row],[Current Price]]/Main_L[[#This Row],[EPS]],""),"")</f>
        <v>16.164548022598868</v>
      </c>
      <c r="N6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1" s="1">
        <f>(Main_L[[#This Row],[P/FCF]]-VLOOKUP(Main_L[[#This Row],[Industry]], Mean_PFCF_L, 2, FALSE))/(VLOOKUP(Main_L[[#This Row],[Industry]], Mean_PFCF_L, 3, FALSE))</f>
        <v>-0.65441599747901691</v>
      </c>
      <c r="P61" s="1">
        <f>(Main_L[[#This Row],[P/B]]-VLOOKUP(Main_L[[#This Row],[Industry]], Mean_PB_L, 2, FALSE))/(VLOOKUP(Main_L[[#This Row],[Industry]], Mean_PB_L, 3, FALSE))</f>
        <v>-0.6411833665329717</v>
      </c>
      <c r="Q61" s="1">
        <f>(Main_L[[#This Row],[ROE]]-VLOOKUP(Main_L[[#This Row],[Industry]], Mean_ROE_L, 2, FALSE))/(VLOOKUP(Main_L[[#This Row],[Industry]], Mean_ROE_L, 3, FALSE))</f>
        <v>-0.7815022870941899</v>
      </c>
      <c r="R61" s="1">
        <f>(Main_L[[#This Row],[ROA]]-VLOOKUP(Main_L[[#This Row],[Industry]], Mean_ROA_L, 2, FALSE))/(VLOOKUP(Main_L[[#This Row],[Industry]], Mean_ROA_L, 3, FALSE))</f>
        <v>-0.43902020113962414</v>
      </c>
      <c r="S61" s="1">
        <f>(Main_L[[#This Row],[A/E]]-VLOOKUP(Main_L[[#This Row],[Industry]], Mean_AE_L, 2, FALSE))/(VLOOKUP(Main_L[[#This Row],[Industry]], Mean_AE_L, 3, FALSE))</f>
        <v>0.11821710720923148</v>
      </c>
      <c r="T61" s="1">
        <f>(Main_L[[#This Row],[P/E]]-VLOOKUP(Main_L[[#This Row],[Industry]], Mean_PE_L, 2, FALSE))/(VLOOKUP(Main_L[[#This Row],[Industry]], Mean_PE_L, 3, FALSE))</f>
        <v>-0.18567084339813578</v>
      </c>
      <c r="U6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2" spans="1:26" x14ac:dyDescent="0.25">
      <c r="A62" t="s">
        <v>129</v>
      </c>
      <c r="B62" t="s">
        <v>147</v>
      </c>
      <c r="C62" s="2">
        <v>17724</v>
      </c>
      <c r="D62">
        <f>RTD("tos.rtd", , "LAST", Main_L[[#This Row],[Symbol]])</f>
        <v>310.45</v>
      </c>
      <c r="E62">
        <v>9.2799999999999994</v>
      </c>
      <c r="F62">
        <v>79.81</v>
      </c>
      <c r="G62">
        <v>20.69</v>
      </c>
      <c r="H62" s="1">
        <f>IF(ISNUMBER(Main_L[[#This Row],[Free CF]]),IF(Main_L[[#This Row],[Free CF]]&lt;&gt;0,Main_L[[#This Row],[Current Price]]/Main_L[[#This Row],[Free CF]],""),"")</f>
        <v>33.453663793103452</v>
      </c>
      <c r="I62" s="1">
        <f>IF(ISNUMBER(Main_L[[#This Row],[BVPS]]),IF(Main_L[[#This Row],[BVPS]]&lt;&gt;0,Main_L[[#This Row],[Current Price]]/Main_L[[#This Row],[BVPS]],""),"")</f>
        <v>3.8898634256358848</v>
      </c>
      <c r="J62">
        <v>26.72</v>
      </c>
      <c r="K62">
        <v>6.73</v>
      </c>
      <c r="L62">
        <v>3.8</v>
      </c>
      <c r="M62" s="1">
        <f>IF(ISNUMBER(Main_L[[#This Row],[EPS]]),IF(Main_L[[#This Row],[EPS]]&lt;&gt;0,Main_L[[#This Row],[Current Price]]/Main_L[[#This Row],[EPS]],""),"")</f>
        <v>15.004833252779118</v>
      </c>
      <c r="N6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2" s="1">
        <f>(Main_L[[#This Row],[P/FCF]]-VLOOKUP(Main_L[[#This Row],[Industry]], Mean_PFCF_L, 2, FALSE))/(VLOOKUP(Main_L[[#This Row],[Industry]], Mean_PFCF_L, 3, FALSE))</f>
        <v>2.278315302334172</v>
      </c>
      <c r="P62" s="1">
        <f>(Main_L[[#This Row],[P/B]]-VLOOKUP(Main_L[[#This Row],[Industry]], Mean_PB_L, 2, FALSE))/(VLOOKUP(Main_L[[#This Row],[Industry]], Mean_PB_L, 3, FALSE))</f>
        <v>1.1535643932982953</v>
      </c>
      <c r="Q62" s="1">
        <f>(Main_L[[#This Row],[ROE]]-VLOOKUP(Main_L[[#This Row],[Industry]], Mean_ROE_L, 2, FALSE))/(VLOOKUP(Main_L[[#This Row],[Industry]], Mean_ROE_L, 3, FALSE))</f>
        <v>0.58055392216602775</v>
      </c>
      <c r="R62" s="1">
        <f>(Main_L[[#This Row],[ROA]]-VLOOKUP(Main_L[[#This Row],[Industry]], Mean_ROA_L, 2, FALSE))/(VLOOKUP(Main_L[[#This Row],[Industry]], Mean_ROA_L, 3, FALSE))</f>
        <v>0.34298453214033131</v>
      </c>
      <c r="S62" s="1">
        <f>(Main_L[[#This Row],[A/E]]-VLOOKUP(Main_L[[#This Row],[Industry]], Mean_AE_L, 2, FALSE))/(VLOOKUP(Main_L[[#This Row],[Industry]], Mean_AE_L, 3, FALSE))</f>
        <v>1.5916653816005819</v>
      </c>
      <c r="T62" s="1">
        <f>(Main_L[[#This Row],[P/E]]-VLOOKUP(Main_L[[#This Row],[Industry]], Mean_PE_L, 2, FALSE))/(VLOOKUP(Main_L[[#This Row],[Industry]], Mean_PE_L, 3, FALSE))</f>
        <v>-0.37109209241609664</v>
      </c>
      <c r="U6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3" spans="1:26" x14ac:dyDescent="0.25">
      <c r="A63" t="s">
        <v>129</v>
      </c>
      <c r="B63" t="s">
        <v>148</v>
      </c>
      <c r="C63" s="2">
        <v>355952</v>
      </c>
      <c r="D63">
        <f>RTD("tos.rtd", , "LAST", Main_L[[#This Row],[Symbol]])</f>
        <v>311.38</v>
      </c>
      <c r="E63">
        <v>27.02</v>
      </c>
      <c r="F63">
        <v>109.82</v>
      </c>
      <c r="G63">
        <v>23.82</v>
      </c>
      <c r="H63" s="1">
        <f>IF(ISNUMBER(Main_L[[#This Row],[Free CF]]),IF(Main_L[[#This Row],[Free CF]]&lt;&gt;0,Main_L[[#This Row],[Current Price]]/Main_L[[#This Row],[Free CF]],""),"")</f>
        <v>11.524056254626203</v>
      </c>
      <c r="I63" s="1">
        <f>IF(ISNUMBER(Main_L[[#This Row],[BVPS]]),IF(Main_L[[#This Row],[BVPS]]&lt;&gt;0,Main_L[[#This Row],[Current Price]]/Main_L[[#This Row],[BVPS]],""),"")</f>
        <v>2.8353669641231107</v>
      </c>
      <c r="J63">
        <v>22.7</v>
      </c>
      <c r="K63">
        <v>7.04</v>
      </c>
      <c r="L63">
        <v>3.07</v>
      </c>
      <c r="M63" s="1">
        <f>IF(ISNUMBER(Main_L[[#This Row],[EPS]]),IF(Main_L[[#This Row],[EPS]]&lt;&gt;0,Main_L[[#This Row],[Current Price]]/Main_L[[#This Row],[EPS]],""),"")</f>
        <v>13.072208228379512</v>
      </c>
      <c r="N6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3" s="1">
        <f>(Main_L[[#This Row],[P/FCF]]-VLOOKUP(Main_L[[#This Row],[Industry]], Mean_PFCF_L, 2, FALSE))/(VLOOKUP(Main_L[[#This Row],[Industry]], Mean_PFCF_L, 3, FALSE))</f>
        <v>-0.66238751918890693</v>
      </c>
      <c r="P63" s="1">
        <f>(Main_L[[#This Row],[P/B]]-VLOOKUP(Main_L[[#This Row],[Industry]], Mean_PB_L, 2, FALSE))/(VLOOKUP(Main_L[[#This Row],[Industry]], Mean_PB_L, 3, FALSE))</f>
        <v>0.34257435486250493</v>
      </c>
      <c r="Q63" s="1">
        <f>(Main_L[[#This Row],[ROE]]-VLOOKUP(Main_L[[#This Row],[Industry]], Mean_ROE_L, 2, FALSE))/(VLOOKUP(Main_L[[#This Row],[Industry]], Mean_ROE_L, 3, FALSE))</f>
        <v>0.25110350331969356</v>
      </c>
      <c r="R63" s="1">
        <f>(Main_L[[#This Row],[ROA]]-VLOOKUP(Main_L[[#This Row],[Industry]], Mean_ROA_L, 2, FALSE))/(VLOOKUP(Main_L[[#This Row],[Industry]], Mean_ROA_L, 3, FALSE))</f>
        <v>0.4635922273228118</v>
      </c>
      <c r="S63" s="1">
        <f>(Main_L[[#This Row],[A/E]]-VLOOKUP(Main_L[[#This Row],[Industry]], Mean_AE_L, 2, FALSE))/(VLOOKUP(Main_L[[#This Row],[Industry]], Mean_AE_L, 3, FALSE))</f>
        <v>0.43508770385253231</v>
      </c>
      <c r="T63" s="1">
        <f>(Main_L[[#This Row],[P/E]]-VLOOKUP(Main_L[[#This Row],[Industry]], Mean_PE_L, 2, FALSE))/(VLOOKUP(Main_L[[#This Row],[Industry]], Mean_PE_L, 3, FALSE))</f>
        <v>-0.68009026613362089</v>
      </c>
      <c r="U6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4" spans="1:26" x14ac:dyDescent="0.25">
      <c r="A64" t="s">
        <v>149</v>
      </c>
      <c r="B64" t="s">
        <v>150</v>
      </c>
      <c r="C64" s="2">
        <v>10951</v>
      </c>
      <c r="D64">
        <f>RTD("tos.rtd", , "LAST", Main_L[[#This Row],[Symbol]])</f>
        <v>60.43</v>
      </c>
      <c r="E64">
        <v>1.24</v>
      </c>
      <c r="F64">
        <v>5.5</v>
      </c>
      <c r="G64">
        <v>1</v>
      </c>
      <c r="H64" s="1">
        <f>IF(ISNUMBER(Main_L[[#This Row],[Free CF]]),IF(Main_L[[#This Row],[Free CF]]&lt;&gt;0,Main_L[[#This Row],[Current Price]]/Main_L[[#This Row],[Free CF]],""),"")</f>
        <v>48.733870967741936</v>
      </c>
      <c r="I64" s="1">
        <f>IF(ISNUMBER(Main_L[[#This Row],[BVPS]]),IF(Main_L[[#This Row],[BVPS]]&lt;&gt;0,Main_L[[#This Row],[Current Price]]/Main_L[[#This Row],[BVPS]],""),"")</f>
        <v>10.987272727272726</v>
      </c>
      <c r="J64">
        <v>21.24</v>
      </c>
      <c r="K64">
        <v>12.88</v>
      </c>
      <c r="L64">
        <v>1.1399999999999999</v>
      </c>
      <c r="M64" s="1">
        <f>IF(ISNUMBER(Main_L[[#This Row],[EPS]]),IF(Main_L[[#This Row],[EPS]]&lt;&gt;0,Main_L[[#This Row],[Current Price]]/Main_L[[#This Row],[EPS]],""),"")</f>
        <v>60.43</v>
      </c>
      <c r="N6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4" s="1">
        <f>(Main_L[[#This Row],[P/FCF]]-VLOOKUP(Main_L[[#This Row],[Industry]], Mean_PFCF_L, 2, FALSE))/(VLOOKUP(Main_L[[#This Row],[Industry]], Mean_PFCF_L, 3, FALSE))</f>
        <v>1.0000000000000002</v>
      </c>
      <c r="P64" s="1">
        <f>(Main_L[[#This Row],[P/B]]-VLOOKUP(Main_L[[#This Row],[Industry]], Mean_PB_L, 2, FALSE))/(VLOOKUP(Main_L[[#This Row],[Industry]], Mean_PB_L, 3, FALSE))</f>
        <v>1.0000000000000013</v>
      </c>
      <c r="Q64" s="1">
        <f>(Main_L[[#This Row],[ROE]]-VLOOKUP(Main_L[[#This Row],[Industry]], Mean_ROE_L, 2, FALSE))/(VLOOKUP(Main_L[[#This Row],[Industry]], Mean_ROE_L, 3, FALSE))</f>
        <v>0.99999999999999989</v>
      </c>
      <c r="R64" s="1">
        <f>(Main_L[[#This Row],[ROA]]-VLOOKUP(Main_L[[#This Row],[Industry]], Mean_ROA_L, 2, FALSE))/(VLOOKUP(Main_L[[#This Row],[Industry]], Mean_ROA_L, 3, FALSE))</f>
        <v>1.0000000000000011</v>
      </c>
      <c r="S64" s="1">
        <f>(Main_L[[#This Row],[A/E]]-VLOOKUP(Main_L[[#This Row],[Industry]], Mean_AE_L, 2, FALSE))/(VLOOKUP(Main_L[[#This Row],[Industry]], Mean_AE_L, 3, FALSE))</f>
        <v>-0.99999999999999434</v>
      </c>
      <c r="T64" s="1">
        <f>(Main_L[[#This Row],[P/E]]-VLOOKUP(Main_L[[#This Row],[Industry]], Mean_PE_L, 2, FALSE))/(VLOOKUP(Main_L[[#This Row],[Industry]], Mean_PE_L, 3, FALSE))</f>
        <v>0.99999999999997879</v>
      </c>
      <c r="U6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5" spans="1:26" x14ac:dyDescent="0.25">
      <c r="A65" t="s">
        <v>149</v>
      </c>
      <c r="B65" t="s">
        <v>151</v>
      </c>
      <c r="C65" s="2">
        <v>38835</v>
      </c>
      <c r="D65">
        <f>RTD("tos.rtd", , "LAST", Main_L[[#This Row],[Symbol]])</f>
        <v>241.2</v>
      </c>
      <c r="E65">
        <v>6.61</v>
      </c>
      <c r="F65">
        <v>35.869999999999997</v>
      </c>
      <c r="G65">
        <v>4.32</v>
      </c>
      <c r="H65" s="1">
        <f>IF(ISNUMBER(Main_L[[#This Row],[Free CF]]),IF(Main_L[[#This Row],[Free CF]]&lt;&gt;0,Main_L[[#This Row],[Current Price]]/Main_L[[#This Row],[Free CF]],""),"")</f>
        <v>36.490166414523443</v>
      </c>
      <c r="I65" s="1">
        <f>IF(ISNUMBER(Main_L[[#This Row],[BVPS]]),IF(Main_L[[#This Row],[BVPS]]&lt;&gt;0,Main_L[[#This Row],[Current Price]]/Main_L[[#This Row],[BVPS]],""),"")</f>
        <v>6.7242821299135773</v>
      </c>
      <c r="J65">
        <v>13.63</v>
      </c>
      <c r="K65">
        <v>6.57</v>
      </c>
      <c r="L65">
        <v>1.26</v>
      </c>
      <c r="M65" s="1">
        <f>IF(ISNUMBER(Main_L[[#This Row],[EPS]]),IF(Main_L[[#This Row],[EPS]]&lt;&gt;0,Main_L[[#This Row],[Current Price]]/Main_L[[#This Row],[EPS]],""),"")</f>
        <v>55.833333333333329</v>
      </c>
      <c r="N6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5" s="1">
        <f>(Main_L[[#This Row],[P/FCF]]-VLOOKUP(Main_L[[#This Row],[Industry]], Mean_PFCF_L, 2, FALSE))/(VLOOKUP(Main_L[[#This Row],[Industry]], Mean_PFCF_L, 3, FALSE))</f>
        <v>-1.0000000000000002</v>
      </c>
      <c r="P65" s="1">
        <f>(Main_L[[#This Row],[P/B]]-VLOOKUP(Main_L[[#This Row],[Industry]], Mean_PB_L, 2, FALSE))/(VLOOKUP(Main_L[[#This Row],[Industry]], Mean_PB_L, 3, FALSE))</f>
        <v>-1.0000000000000013</v>
      </c>
      <c r="Q65" s="1">
        <f>(Main_L[[#This Row],[ROE]]-VLOOKUP(Main_L[[#This Row],[Industry]], Mean_ROE_L, 2, FALSE))/(VLOOKUP(Main_L[[#This Row],[Industry]], Mean_ROE_L, 3, FALSE))</f>
        <v>-0.99999999999999944</v>
      </c>
      <c r="R65" s="1">
        <f>(Main_L[[#This Row],[ROA]]-VLOOKUP(Main_L[[#This Row],[Industry]], Mean_ROA_L, 2, FALSE))/(VLOOKUP(Main_L[[#This Row],[Industry]], Mean_ROA_L, 3, FALSE))</f>
        <v>-1.0000000000000018</v>
      </c>
      <c r="S65" s="1">
        <f>(Main_L[[#This Row],[A/E]]-VLOOKUP(Main_L[[#This Row],[Industry]], Mean_AE_L, 2, FALSE))/(VLOOKUP(Main_L[[#This Row],[Industry]], Mean_AE_L, 3, FALSE))</f>
        <v>0.99999999999999434</v>
      </c>
      <c r="T65" s="1">
        <f>(Main_L[[#This Row],[P/E]]-VLOOKUP(Main_L[[#This Row],[Industry]], Mean_PE_L, 2, FALSE))/(VLOOKUP(Main_L[[#This Row],[Industry]], Mean_PE_L, 3, FALSE))</f>
        <v>-0.99999999999997569</v>
      </c>
      <c r="U6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6" spans="1:26" x14ac:dyDescent="0.25">
      <c r="A66" t="s">
        <v>191</v>
      </c>
      <c r="B66" t="s">
        <v>192</v>
      </c>
      <c r="C66" s="2">
        <v>30654</v>
      </c>
      <c r="D66">
        <f>RTD("tos.rtd", , "LAST", Main_L[[#This Row],[Symbol]])</f>
        <v>115.42</v>
      </c>
      <c r="E66">
        <v>4.5599999999999996</v>
      </c>
      <c r="F66">
        <v>21.13</v>
      </c>
      <c r="G66">
        <v>4.3600000000000003</v>
      </c>
      <c r="H66" s="1">
        <f>IF(ISNUMBER(Main_L[[#This Row],[Free CF]]),IF(Main_L[[#This Row],[Free CF]]&lt;&gt;0,Main_L[[#This Row],[Current Price]]/Main_L[[#This Row],[Free CF]],""),"")</f>
        <v>25.311403508771932</v>
      </c>
      <c r="I66" s="1">
        <f>IF(ISNUMBER(Main_L[[#This Row],[BVPS]]),IF(Main_L[[#This Row],[BVPS]]&lt;&gt;0,Main_L[[#This Row],[Current Price]]/Main_L[[#This Row],[BVPS]],""),"")</f>
        <v>5.4623757690487462</v>
      </c>
      <c r="J66">
        <v>20.61</v>
      </c>
      <c r="K66">
        <v>8.39</v>
      </c>
      <c r="L66">
        <v>1.98</v>
      </c>
      <c r="M66" s="1">
        <f>IF(ISNUMBER(Main_L[[#This Row],[EPS]]),IF(Main_L[[#This Row],[EPS]]&lt;&gt;0,Main_L[[#This Row],[Current Price]]/Main_L[[#This Row],[EPS]],""),"")</f>
        <v>26.472477064220183</v>
      </c>
      <c r="N6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6" s="1">
        <f>(Main_L[[#This Row],[P/FCF]]-VLOOKUP(Main_L[[#This Row],[Industry]], Mean_PFCF_L, 2, FALSE))/(VLOOKUP(Main_L[[#This Row],[Industry]], Mean_PFCF_L, 3, FALSE))</f>
        <v>0.33336963854043677</v>
      </c>
      <c r="P66" s="1">
        <f>(Main_L[[#This Row],[P/B]]-VLOOKUP(Main_L[[#This Row],[Industry]], Mean_PB_L, 2, FALSE))/(VLOOKUP(Main_L[[#This Row],[Industry]], Mean_PB_L, 3, FALSE))</f>
        <v>1.0322914416812645</v>
      </c>
      <c r="Q66" s="1">
        <f>(Main_L[[#This Row],[ROE]]-VLOOKUP(Main_L[[#This Row],[Industry]], Mean_ROE_L, 2, FALSE))/(VLOOKUP(Main_L[[#This Row],[Industry]], Mean_ROE_L, 3, FALSE))</f>
        <v>0.31027271434305498</v>
      </c>
      <c r="R66" s="1">
        <f>(Main_L[[#This Row],[ROA]]-VLOOKUP(Main_L[[#This Row],[Industry]], Mean_ROA_L, 2, FALSE))/(VLOOKUP(Main_L[[#This Row],[Industry]], Mean_ROA_L, 3, FALSE))</f>
        <v>0.77975619907057525</v>
      </c>
      <c r="S66" s="1">
        <f>(Main_L[[#This Row],[A/E]]-VLOOKUP(Main_L[[#This Row],[Industry]], Mean_AE_L, 2, FALSE))/(VLOOKUP(Main_L[[#This Row],[Industry]], Mean_AE_L, 3, FALSE))</f>
        <v>0.12022736675607065</v>
      </c>
      <c r="T66" s="1">
        <f>(Main_L[[#This Row],[P/E]]-VLOOKUP(Main_L[[#This Row],[Industry]], Mean_PE_L, 2, FALSE))/(VLOOKUP(Main_L[[#This Row],[Industry]], Mean_PE_L, 3, FALSE))</f>
        <v>-0.33851941238355149</v>
      </c>
      <c r="U6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7" spans="1:26" x14ac:dyDescent="0.25">
      <c r="A67" t="s">
        <v>191</v>
      </c>
      <c r="B67" t="s">
        <v>193</v>
      </c>
      <c r="C67" s="2">
        <v>138189</v>
      </c>
      <c r="D67">
        <f>RTD("tos.rtd", , "LAST", Main_L[[#This Row],[Symbol]])</f>
        <v>196.61</v>
      </c>
      <c r="E67">
        <v>6.76</v>
      </c>
      <c r="F67">
        <v>71.06</v>
      </c>
      <c r="G67">
        <v>5.16</v>
      </c>
      <c r="H67" s="1">
        <f>IF(ISNUMBER(Main_L[[#This Row],[Free CF]]),IF(Main_L[[#This Row],[Free CF]]&lt;&gt;0,Main_L[[#This Row],[Current Price]]/Main_L[[#This Row],[Free CF]],""),"")</f>
        <v>29.084319526627223</v>
      </c>
      <c r="I67" s="1">
        <f>IF(ISNUMBER(Main_L[[#This Row],[BVPS]]),IF(Main_L[[#This Row],[BVPS]]&lt;&gt;0,Main_L[[#This Row],[Current Price]]/Main_L[[#This Row],[BVPS]],""),"")</f>
        <v>2.7668167745567129</v>
      </c>
      <c r="J67">
        <v>7.22</v>
      </c>
      <c r="K67">
        <v>3.93</v>
      </c>
      <c r="L67">
        <v>1.56</v>
      </c>
      <c r="M67" s="1">
        <f>IF(ISNUMBER(Main_L[[#This Row],[EPS]]),IF(Main_L[[#This Row],[EPS]]&lt;&gt;0,Main_L[[#This Row],[Current Price]]/Main_L[[#This Row],[EPS]],""),"")</f>
        <v>38.102713178294579</v>
      </c>
      <c r="N6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7" s="1">
        <f>(Main_L[[#This Row],[P/FCF]]-VLOOKUP(Main_L[[#This Row],[Industry]], Mean_PFCF_L, 2, FALSE))/(VLOOKUP(Main_L[[#This Row],[Industry]], Mean_PFCF_L, 3, FALSE))</f>
        <v>0.8510613269269317</v>
      </c>
      <c r="P67" s="1">
        <f>(Main_L[[#This Row],[P/B]]-VLOOKUP(Main_L[[#This Row],[Industry]], Mean_PB_L, 2, FALSE))/(VLOOKUP(Main_L[[#This Row],[Industry]], Mean_PB_L, 3, FALSE))</f>
        <v>-0.5621701854544976</v>
      </c>
      <c r="Q67" s="1">
        <f>(Main_L[[#This Row],[ROE]]-VLOOKUP(Main_L[[#This Row],[Industry]], Mean_ROE_L, 2, FALSE))/(VLOOKUP(Main_L[[#This Row],[Industry]], Mean_ROE_L, 3, FALSE))</f>
        <v>-0.84658120700842532</v>
      </c>
      <c r="R67" s="1">
        <f>(Main_L[[#This Row],[ROA]]-VLOOKUP(Main_L[[#This Row],[Industry]], Mean_ROA_L, 2, FALSE))/(VLOOKUP(Main_L[[#This Row],[Industry]], Mean_ROA_L, 3, FALSE))</f>
        <v>-0.64294442959728282</v>
      </c>
      <c r="S67" s="1">
        <f>(Main_L[[#This Row],[A/E]]-VLOOKUP(Main_L[[#This Row],[Industry]], Mean_AE_L, 2, FALSE))/(VLOOKUP(Main_L[[#This Row],[Industry]], Mean_AE_L, 3, FALSE))</f>
        <v>-0.86505056568392247</v>
      </c>
      <c r="T67" s="1">
        <f>(Main_L[[#This Row],[P/E]]-VLOOKUP(Main_L[[#This Row],[Industry]], Mean_PE_L, 2, FALSE))/(VLOOKUP(Main_L[[#This Row],[Industry]], Mean_PE_L, 3, FALSE))</f>
        <v>1.1740765342544162</v>
      </c>
      <c r="U6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8" spans="1:26" x14ac:dyDescent="0.25">
      <c r="A68" t="s">
        <v>191</v>
      </c>
      <c r="B68" t="s">
        <v>194</v>
      </c>
      <c r="C68" s="2">
        <v>11034</v>
      </c>
      <c r="D68">
        <f>RTD("tos.rtd", , "LAST", Main_L[[#This Row],[Symbol]])</f>
        <v>140.49</v>
      </c>
      <c r="E68">
        <v>12.91</v>
      </c>
      <c r="F68">
        <v>119.56</v>
      </c>
      <c r="G68">
        <v>9.19</v>
      </c>
      <c r="H68" s="1">
        <f>IF(ISNUMBER(Main_L[[#This Row],[Free CF]]),IF(Main_L[[#This Row],[Free CF]]&lt;&gt;0,Main_L[[#This Row],[Current Price]]/Main_L[[#This Row],[Free CF]],""),"")</f>
        <v>10.882261812548412</v>
      </c>
      <c r="I68" s="1">
        <f>IF(ISNUMBER(Main_L[[#This Row],[BVPS]]),IF(Main_L[[#This Row],[BVPS]]&lt;&gt;0,Main_L[[#This Row],[Current Price]]/Main_L[[#This Row],[BVPS]],""),"")</f>
        <v>1.1750585480093678</v>
      </c>
      <c r="J68">
        <v>8.01</v>
      </c>
      <c r="K68">
        <v>4.41</v>
      </c>
      <c r="L68">
        <v>1.76</v>
      </c>
      <c r="M68" s="1">
        <f>IF(ISNUMBER(Main_L[[#This Row],[EPS]]),IF(Main_L[[#This Row],[EPS]]&lt;&gt;0,Main_L[[#This Row],[Current Price]]/Main_L[[#This Row],[EPS]],""),"")</f>
        <v>15.287268770402614</v>
      </c>
      <c r="N6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8" s="1">
        <f>(Main_L[[#This Row],[P/FCF]]-VLOOKUP(Main_L[[#This Row],[Industry]], Mean_PFCF_L, 2, FALSE))/(VLOOKUP(Main_L[[#This Row],[Industry]], Mean_PFCF_L, 3, FALSE))</f>
        <v>-1.646490684704222</v>
      </c>
      <c r="P68" s="1">
        <f>(Main_L[[#This Row],[P/B]]-VLOOKUP(Main_L[[#This Row],[Industry]], Mean_PB_L, 2, FALSE))/(VLOOKUP(Main_L[[#This Row],[Industry]], Mean_PB_L, 3, FALSE))</f>
        <v>-1.5037179004529186</v>
      </c>
      <c r="Q68" s="1">
        <f>(Main_L[[#This Row],[ROE]]-VLOOKUP(Main_L[[#This Row],[Industry]], Mean_ROE_L, 2, FALSE))/(VLOOKUP(Main_L[[#This Row],[Industry]], Mean_ROE_L, 3, FALSE))</f>
        <v>-0.77832768961726251</v>
      </c>
      <c r="R68" s="1">
        <f>(Main_L[[#This Row],[ROA]]-VLOOKUP(Main_L[[#This Row],[Industry]], Mean_ROA_L, 2, FALSE))/(VLOOKUP(Main_L[[#This Row],[Industry]], Mean_ROA_L, 3, FALSE))</f>
        <v>-0.48982866687069726</v>
      </c>
      <c r="S68" s="1">
        <f>(Main_L[[#This Row],[A/E]]-VLOOKUP(Main_L[[#This Row],[Industry]], Mean_AE_L, 2, FALSE))/(VLOOKUP(Main_L[[#This Row],[Industry]], Mean_AE_L, 3, FALSE))</f>
        <v>-0.39587059785535433</v>
      </c>
      <c r="T68" s="1">
        <f>(Main_L[[#This Row],[P/E]]-VLOOKUP(Main_L[[#This Row],[Industry]], Mean_PE_L, 2, FALSE))/(VLOOKUP(Main_L[[#This Row],[Industry]], Mean_PE_L, 3, FALSE))</f>
        <v>-1.7932362867087057</v>
      </c>
      <c r="U6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6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69" spans="1:26" x14ac:dyDescent="0.25">
      <c r="A69" t="s">
        <v>191</v>
      </c>
      <c r="B69" t="s">
        <v>195</v>
      </c>
      <c r="C69" s="2">
        <v>12083</v>
      </c>
      <c r="D69">
        <f>RTD("tos.rtd", , "LAST", Main_L[[#This Row],[Symbol]])</f>
        <v>80.3</v>
      </c>
      <c r="E69">
        <v>4.46</v>
      </c>
      <c r="F69">
        <v>14.92</v>
      </c>
      <c r="G69">
        <v>-7.69</v>
      </c>
      <c r="H69" s="1">
        <f>IF(ISNUMBER(Main_L[[#This Row],[Free CF]]),IF(Main_L[[#This Row],[Free CF]]&lt;&gt;0,Main_L[[#This Row],[Current Price]]/Main_L[[#This Row],[Free CF]],""),"")</f>
        <v>18.004484304932735</v>
      </c>
      <c r="I69" s="1">
        <f>IF(ISNUMBER(Main_L[[#This Row],[BVPS]]),IF(Main_L[[#This Row],[BVPS]]&lt;&gt;0,Main_L[[#This Row],[Current Price]]/Main_L[[#This Row],[BVPS]],""),"")</f>
        <v>5.3820375335120643</v>
      </c>
      <c r="J69">
        <v>-30.13</v>
      </c>
      <c r="K69">
        <v>2.64</v>
      </c>
      <c r="L69">
        <v>2.66</v>
      </c>
      <c r="M69" s="1">
        <f>IF(ISNUMBER(Main_L[[#This Row],[EPS]]),IF(Main_L[[#This Row],[EPS]]&lt;&gt;0,Main_L[[#This Row],[Current Price]]/Main_L[[#This Row],[EPS]],""),"")</f>
        <v>-10.442132639791936</v>
      </c>
      <c r="N6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69" s="1">
        <f>(Main_L[[#This Row],[P/FCF]]-VLOOKUP(Main_L[[#This Row],[Industry]], Mean_PFCF_L, 2, FALSE))/(VLOOKUP(Main_L[[#This Row],[Industry]], Mean_PFCF_L, 3, FALSE))</f>
        <v>-0.6692318828391739</v>
      </c>
      <c r="P69" s="1">
        <f>(Main_L[[#This Row],[P/B]]-VLOOKUP(Main_L[[#This Row],[Industry]], Mean_PB_L, 2, FALSE))/(VLOOKUP(Main_L[[#This Row],[Industry]], Mean_PB_L, 3, FALSE))</f>
        <v>0.98477022844987927</v>
      </c>
      <c r="Q69" s="1">
        <f>(Main_L[[#This Row],[ROE]]-VLOOKUP(Main_L[[#This Row],[Industry]], Mean_ROE_L, 2, FALSE))/(VLOOKUP(Main_L[[#This Row],[Industry]], Mean_ROE_L, 3, FALSE))</f>
        <v>-4.0735038330336515</v>
      </c>
      <c r="R69" s="1">
        <f>(Main_L[[#This Row],[ROA]]-VLOOKUP(Main_L[[#This Row],[Industry]], Mean_ROA_L, 2, FALSE))/(VLOOKUP(Main_L[[#This Row],[Industry]], Mean_ROA_L, 3, FALSE))</f>
        <v>-1.0544430419249817</v>
      </c>
      <c r="S69" s="1">
        <f>(Main_L[[#This Row],[A/E]]-VLOOKUP(Main_L[[#This Row],[Industry]], Mean_AE_L, 2, FALSE))/(VLOOKUP(Main_L[[#This Row],[Industry]], Mean_AE_L, 3, FALSE))</f>
        <v>1.7154392573732031</v>
      </c>
      <c r="T69" s="1">
        <f>(Main_L[[#This Row],[P/E]]-VLOOKUP(Main_L[[#This Row],[Industry]], Mean_PE_L, 2, FALSE))/(VLOOKUP(Main_L[[#This Row],[Industry]], Mean_PE_L, 3, FALSE))</f>
        <v>-5.1395301968886056</v>
      </c>
      <c r="U6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6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6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6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6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6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0" spans="1:26" x14ac:dyDescent="0.25">
      <c r="A70" t="s">
        <v>191</v>
      </c>
      <c r="B70" t="s">
        <v>196</v>
      </c>
      <c r="C70" s="2">
        <v>27029</v>
      </c>
      <c r="D70">
        <f>RTD("tos.rtd", , "LAST", Main_L[[#This Row],[Symbol]])</f>
        <v>150.68</v>
      </c>
      <c r="E70">
        <v>11.66</v>
      </c>
      <c r="F70">
        <v>34.450000000000003</v>
      </c>
      <c r="G70">
        <v>7.49</v>
      </c>
      <c r="H70" s="1">
        <f>IF(ISNUMBER(Main_L[[#This Row],[Free CF]]),IF(Main_L[[#This Row],[Free CF]]&lt;&gt;0,Main_L[[#This Row],[Current Price]]/Main_L[[#This Row],[Free CF]],""),"")</f>
        <v>12.922813036020584</v>
      </c>
      <c r="I70" s="1">
        <f>IF(ISNUMBER(Main_L[[#This Row],[BVPS]]),IF(Main_L[[#This Row],[BVPS]]&lt;&gt;0,Main_L[[#This Row],[Current Price]]/Main_L[[#This Row],[BVPS]],""),"")</f>
        <v>4.3738751814223509</v>
      </c>
      <c r="J70">
        <v>22.55</v>
      </c>
      <c r="K70">
        <v>5.32</v>
      </c>
      <c r="L70">
        <v>4.43</v>
      </c>
      <c r="M70" s="1">
        <f>IF(ISNUMBER(Main_L[[#This Row],[EPS]]),IF(Main_L[[#This Row],[EPS]]&lt;&gt;0,Main_L[[#This Row],[Current Price]]/Main_L[[#This Row],[EPS]],""),"")</f>
        <v>20.117489986648867</v>
      </c>
      <c r="N7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0" s="1">
        <f>(Main_L[[#This Row],[P/FCF]]-VLOOKUP(Main_L[[#This Row],[Industry]], Mean_PFCF_L, 2, FALSE))/(VLOOKUP(Main_L[[#This Row],[Industry]], Mean_PFCF_L, 3, FALSE))</f>
        <v>-1.3665013069605498</v>
      </c>
      <c r="P70" s="1">
        <f>(Main_L[[#This Row],[P/B]]-VLOOKUP(Main_L[[#This Row],[Industry]], Mean_PB_L, 2, FALSE))/(VLOOKUP(Main_L[[#This Row],[Industry]], Mean_PB_L, 3, FALSE))</f>
        <v>0.38842780462809851</v>
      </c>
      <c r="Q70" s="1">
        <f>(Main_L[[#This Row],[ROE]]-VLOOKUP(Main_L[[#This Row],[Industry]], Mean_ROE_L, 2, FALSE))/(VLOOKUP(Main_L[[#This Row],[Industry]], Mean_ROE_L, 3, FALSE))</f>
        <v>0.47788261780996111</v>
      </c>
      <c r="R70" s="1">
        <f>(Main_L[[#This Row],[ROA]]-VLOOKUP(Main_L[[#This Row],[Industry]], Mean_ROA_L, 2, FALSE))/(VLOOKUP(Main_L[[#This Row],[Industry]], Mean_ROA_L, 3, FALSE))</f>
        <v>-0.19954670003487868</v>
      </c>
      <c r="S70" s="1">
        <f>(Main_L[[#This Row],[A/E]]-VLOOKUP(Main_L[[#This Row],[Industry]], Mean_AE_L, 2, FALSE))/(VLOOKUP(Main_L[[#This Row],[Industry]], Mean_AE_L, 3, FALSE))</f>
        <v>5.8676819726560305</v>
      </c>
      <c r="T70" s="1">
        <f>(Main_L[[#This Row],[P/E]]-VLOOKUP(Main_L[[#This Row],[Industry]], Mean_PE_L, 2, FALSE))/(VLOOKUP(Main_L[[#This Row],[Industry]], Mean_PE_L, 3, FALSE))</f>
        <v>-1.1650312389868294</v>
      </c>
      <c r="U7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1" spans="1:26" x14ac:dyDescent="0.25">
      <c r="A71" t="s">
        <v>191</v>
      </c>
      <c r="B71" t="s">
        <v>197</v>
      </c>
      <c r="C71" s="2">
        <v>22538</v>
      </c>
      <c r="D71">
        <f>RTD("tos.rtd", , "LAST", Main_L[[#This Row],[Symbol]])</f>
        <v>1177.05</v>
      </c>
      <c r="E71">
        <v>41.23</v>
      </c>
      <c r="F71">
        <v>-8.76</v>
      </c>
      <c r="G71">
        <v>40.11</v>
      </c>
      <c r="H71" s="1">
        <f>IF(ISNUMBER(Main_L[[#This Row],[Free CF]]),IF(Main_L[[#This Row],[Free CF]]&lt;&gt;0,Main_L[[#This Row],[Current Price]]/Main_L[[#This Row],[Free CF]],""),"")</f>
        <v>28.548387096774196</v>
      </c>
      <c r="I71" s="1">
        <f>IF(ISNUMBER(Main_L[[#This Row],[BVPS]]),IF(Main_L[[#This Row],[BVPS]]&lt;&gt;0,Main_L[[#This Row],[Current Price]]/Main_L[[#This Row],[BVPS]],""),"")</f>
        <v>-134.36643835616439</v>
      </c>
      <c r="J71">
        <v>-498.52</v>
      </c>
      <c r="K71">
        <v>21.22</v>
      </c>
      <c r="L71">
        <v>-17.78</v>
      </c>
      <c r="M71" s="1">
        <f>IF(ISNUMBER(Main_L[[#This Row],[EPS]]),IF(Main_L[[#This Row],[EPS]]&lt;&gt;0,Main_L[[#This Row],[Current Price]]/Main_L[[#This Row],[EPS]],""),"")</f>
        <v>29.345549738219894</v>
      </c>
      <c r="N7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1" s="1">
        <f>(Main_L[[#This Row],[P/FCF]]-VLOOKUP(Main_L[[#This Row],[Industry]], Mean_PFCF_L, 2, FALSE))/(VLOOKUP(Main_L[[#This Row],[Industry]], Mean_PFCF_L, 3, FALSE))</f>
        <v>0.77752463457579768</v>
      </c>
      <c r="P71" s="1">
        <f>(Main_L[[#This Row],[P/B]]-VLOOKUP(Main_L[[#This Row],[Industry]], Mean_PB_L, 2, FALSE))/(VLOOKUP(Main_L[[#This Row],[Industry]], Mean_PB_L, 3, FALSE))</f>
        <v>-81.678448314383942</v>
      </c>
      <c r="Q71" s="1">
        <f>(Main_L[[#This Row],[ROE]]-VLOOKUP(Main_L[[#This Row],[Industry]], Mean_ROE_L, 2, FALSE))/(VLOOKUP(Main_L[[#This Row],[Industry]], Mean_ROE_L, 3, FALSE))</f>
        <v>-44.540927897396593</v>
      </c>
      <c r="R71" s="1">
        <f>(Main_L[[#This Row],[ROA]]-VLOOKUP(Main_L[[#This Row],[Industry]], Mean_ROA_L, 2, FALSE))/(VLOOKUP(Main_L[[#This Row],[Industry]], Mean_ROA_L, 3, FALSE))</f>
        <v>4.8724129402832697</v>
      </c>
      <c r="S71" s="1">
        <f>(Main_L[[#This Row],[A/E]]-VLOOKUP(Main_L[[#This Row],[Industry]], Mean_AE_L, 2, FALSE))/(VLOOKUP(Main_L[[#This Row],[Industry]], Mean_AE_L, 3, FALSE))</f>
        <v>-46.234753454706478</v>
      </c>
      <c r="T71" s="1">
        <f>(Main_L[[#This Row],[P/E]]-VLOOKUP(Main_L[[#This Row],[Industry]], Mean_PE_L, 2, FALSE))/(VLOOKUP(Main_L[[#This Row],[Industry]], Mean_PE_L, 3, FALSE))</f>
        <v>3.5144375562178934E-2</v>
      </c>
      <c r="U7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2" spans="1:26" x14ac:dyDescent="0.25">
      <c r="A72" t="s">
        <v>191</v>
      </c>
      <c r="B72" t="s">
        <v>198</v>
      </c>
      <c r="C72" s="2">
        <v>11004</v>
      </c>
      <c r="D72">
        <f>RTD("tos.rtd", , "LAST", Main_L[[#This Row],[Symbol]])</f>
        <v>96.71</v>
      </c>
      <c r="E72">
        <v>4.3</v>
      </c>
      <c r="F72">
        <v>63.52</v>
      </c>
      <c r="G72">
        <v>2.4300000000000002</v>
      </c>
      <c r="H72" s="1">
        <f>IF(ISNUMBER(Main_L[[#This Row],[Free CF]]),IF(Main_L[[#This Row],[Free CF]]&lt;&gt;0,Main_L[[#This Row],[Current Price]]/Main_L[[#This Row],[Free CF]],""),"")</f>
        <v>22.490697674418605</v>
      </c>
      <c r="I72" s="1">
        <f>IF(ISNUMBER(Main_L[[#This Row],[BVPS]]),IF(Main_L[[#This Row],[BVPS]]&lt;&gt;0,Main_L[[#This Row],[Current Price]]/Main_L[[#This Row],[BVPS]],""),"")</f>
        <v>1.5225125944584381</v>
      </c>
      <c r="J72">
        <v>3.82</v>
      </c>
      <c r="K72">
        <v>2.09</v>
      </c>
      <c r="L72">
        <v>1.62</v>
      </c>
      <c r="M72" s="1">
        <f>IF(ISNUMBER(Main_L[[#This Row],[EPS]]),IF(Main_L[[#This Row],[EPS]]&lt;&gt;0,Main_L[[#This Row],[Current Price]]/Main_L[[#This Row],[EPS]],""),"")</f>
        <v>39.798353909465014</v>
      </c>
      <c r="N7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2" s="1">
        <f>(Main_L[[#This Row],[P/FCF]]-VLOOKUP(Main_L[[#This Row],[Industry]], Mean_PFCF_L, 2, FALSE))/(VLOOKUP(Main_L[[#This Row],[Industry]], Mean_PFCF_L, 3, FALSE))</f>
        <v>-5.3666796651166263E-2</v>
      </c>
      <c r="P72" s="1">
        <f>(Main_L[[#This Row],[P/B]]-VLOOKUP(Main_L[[#This Row],[Industry]], Mean_PB_L, 2, FALSE))/(VLOOKUP(Main_L[[#This Row],[Industry]], Mean_PB_L, 3, FALSE))</f>
        <v>-1.2981938717122719</v>
      </c>
      <c r="Q72" s="1">
        <f>(Main_L[[#This Row],[ROE]]-VLOOKUP(Main_L[[#This Row],[Industry]], Mean_ROE_L, 2, FALSE))/(VLOOKUP(Main_L[[#This Row],[Industry]], Mean_ROE_L, 3, FALSE))</f>
        <v>-1.1403305223627966</v>
      </c>
      <c r="R72" s="1">
        <f>(Main_L[[#This Row],[ROA]]-VLOOKUP(Main_L[[#This Row],[Industry]], Mean_ROA_L, 2, FALSE))/(VLOOKUP(Main_L[[#This Row],[Industry]], Mean_ROA_L, 3, FALSE))</f>
        <v>-1.2298881867158611</v>
      </c>
      <c r="S72" s="1">
        <f>(Main_L[[#This Row],[A/E]]-VLOOKUP(Main_L[[#This Row],[Industry]], Mean_AE_L, 2, FALSE))/(VLOOKUP(Main_L[[#This Row],[Industry]], Mean_AE_L, 3, FALSE))</f>
        <v>-0.72429657533535186</v>
      </c>
      <c r="T72" s="1">
        <f>(Main_L[[#This Row],[P/E]]-VLOOKUP(Main_L[[#This Row],[Industry]], Mean_PE_L, 2, FALSE))/(VLOOKUP(Main_L[[#This Row],[Industry]], Mean_PE_L, 3, FALSE))</f>
        <v>1.3946068202921011</v>
      </c>
      <c r="U7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3" spans="1:26" x14ac:dyDescent="0.25">
      <c r="A73" t="s">
        <v>191</v>
      </c>
      <c r="B73" t="s">
        <v>199</v>
      </c>
      <c r="C73" s="2">
        <v>14536</v>
      </c>
      <c r="D73">
        <f>RTD("tos.rtd", , "LAST", Main_L[[#This Row],[Symbol]])</f>
        <v>42.51</v>
      </c>
      <c r="H73" s="1" t="str">
        <f>IF(ISNUMBER(Main_L[[#This Row],[Free CF]]),IF(Main_L[[#This Row],[Free CF]]&lt;&gt;0,Main_L[[#This Row],[Current Price]]/Main_L[[#This Row],[Free CF]],""),"")</f>
        <v/>
      </c>
      <c r="I73" s="1" t="str">
        <f>IF(ISNUMBER(Main_L[[#This Row],[BVPS]]),IF(Main_L[[#This Row],[BVPS]]&lt;&gt;0,Main_L[[#This Row],[Current Price]]/Main_L[[#This Row],[BVPS]],""),"")</f>
        <v/>
      </c>
      <c r="M73" s="1" t="str">
        <f>IF(ISNUMBER(Main_L[[#This Row],[EPS]]),IF(Main_L[[#This Row],[EPS]]&lt;&gt;0,Main_L[[#This Row],[Current Price]]/Main_L[[#This Row],[EPS]],""),"")</f>
        <v/>
      </c>
      <c r="N7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3" s="1" t="e">
        <f>(Main_L[[#This Row],[P/FCF]]-VLOOKUP(Main_L[[#This Row],[Industry]], Mean_PFCF_L, 2, FALSE))/(VLOOKUP(Main_L[[#This Row],[Industry]], Mean_PFCF_L, 3, FALSE))</f>
        <v>#VALUE!</v>
      </c>
      <c r="P73" s="1" t="e">
        <f>(Main_L[[#This Row],[P/B]]-VLOOKUP(Main_L[[#This Row],[Industry]], Mean_PB_L, 2, FALSE))/(VLOOKUP(Main_L[[#This Row],[Industry]], Mean_PB_L, 3, FALSE))</f>
        <v>#VALUE!</v>
      </c>
      <c r="Q73" s="1">
        <f>(Main_L[[#This Row],[ROE]]-VLOOKUP(Main_L[[#This Row],[Industry]], Mean_ROE_L, 2, FALSE))/(VLOOKUP(Main_L[[#This Row],[Industry]], Mean_ROE_L, 3, FALSE))</f>
        <v>-1.4703665178491787</v>
      </c>
      <c r="R73" s="1">
        <f>(Main_L[[#This Row],[ROA]]-VLOOKUP(Main_L[[#This Row],[Industry]], Mean_ROA_L, 2, FALSE))/(VLOOKUP(Main_L[[#This Row],[Industry]], Mean_ROA_L, 3, FALSE))</f>
        <v>-1.8965797369212025</v>
      </c>
      <c r="S73" s="1">
        <f>(Main_L[[#This Row],[A/E]]-VLOOKUP(Main_L[[#This Row],[Industry]], Mean_AE_L, 2, FALSE))/(VLOOKUP(Main_L[[#This Row],[Industry]], Mean_AE_L, 3, FALSE))</f>
        <v>-4.5246543147467548</v>
      </c>
      <c r="T73" s="1" t="e">
        <f>(Main_L[[#This Row],[P/E]]-VLOOKUP(Main_L[[#This Row],[Industry]], Mean_PE_L, 2, FALSE))/(VLOOKUP(Main_L[[#This Row],[Industry]], Mean_PE_L, 3, FALSE))</f>
        <v>#VALUE!</v>
      </c>
      <c r="U7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4" spans="1:26" x14ac:dyDescent="0.25">
      <c r="A74" t="s">
        <v>191</v>
      </c>
      <c r="B74" t="s">
        <v>200</v>
      </c>
      <c r="C74" s="2">
        <v>10167</v>
      </c>
      <c r="D74">
        <f>RTD("tos.rtd", , "LAST", Main_L[[#This Row],[Symbol]])</f>
        <v>68.91</v>
      </c>
      <c r="E74">
        <v>-1.76</v>
      </c>
      <c r="F74">
        <v>0.35</v>
      </c>
      <c r="G74">
        <v>-6.23</v>
      </c>
      <c r="H74" s="1">
        <f>IF(ISNUMBER(Main_L[[#This Row],[Free CF]]),IF(Main_L[[#This Row],[Free CF]]&lt;&gt;0,Main_L[[#This Row],[Current Price]]/Main_L[[#This Row],[Free CF]],""),"")</f>
        <v>-39.153409090909086</v>
      </c>
      <c r="I74" s="1">
        <f>IF(ISNUMBER(Main_L[[#This Row],[BVPS]]),IF(Main_L[[#This Row],[BVPS]]&lt;&gt;0,Main_L[[#This Row],[Current Price]]/Main_L[[#This Row],[BVPS]],""),"")</f>
        <v>196.8857142857143</v>
      </c>
      <c r="J74">
        <v>640.83000000000004</v>
      </c>
      <c r="K74">
        <v>-57.96</v>
      </c>
      <c r="L74">
        <v>16.440000000000001</v>
      </c>
      <c r="M74" s="1">
        <f>IF(ISNUMBER(Main_L[[#This Row],[EPS]]),IF(Main_L[[#This Row],[EPS]]&lt;&gt;0,Main_L[[#This Row],[Current Price]]/Main_L[[#This Row],[EPS]],""),"")</f>
        <v>-11.06099518459069</v>
      </c>
      <c r="N7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4" s="1">
        <f>(Main_L[[#This Row],[P/FCF]]-VLOOKUP(Main_L[[#This Row],[Industry]], Mean_PFCF_L, 2, FALSE))/(VLOOKUP(Main_L[[#This Row],[Industry]], Mean_PFCF_L, 3, FALSE))</f>
        <v>-8.5120161368945109</v>
      </c>
      <c r="P74" s="1">
        <f>(Main_L[[#This Row],[P/B]]-VLOOKUP(Main_L[[#This Row],[Industry]], Mean_PB_L, 2, FALSE))/(VLOOKUP(Main_L[[#This Row],[Industry]], Mean_PB_L, 3, FALSE))</f>
        <v>114.26192894051078</v>
      </c>
      <c r="Q74" s="1">
        <f>(Main_L[[#This Row],[ROE]]-VLOOKUP(Main_L[[#This Row],[Industry]], Mean_ROE_L, 2, FALSE))/(VLOOKUP(Main_L[[#This Row],[Industry]], Mean_ROE_L, 3, FALSE))</f>
        <v>53.895331646427834</v>
      </c>
      <c r="R74" s="1">
        <f>(Main_L[[#This Row],[ROA]]-VLOOKUP(Main_L[[#This Row],[Industry]], Mean_ROA_L, 2, FALSE))/(VLOOKUP(Main_L[[#This Row],[Industry]], Mean_ROA_L, 3, FALSE))</f>
        <v>-20.385308086156417</v>
      </c>
      <c r="S74" s="1">
        <f>(Main_L[[#This Row],[A/E]]-VLOOKUP(Main_L[[#This Row],[Industry]], Mean_AE_L, 2, FALSE))/(VLOOKUP(Main_L[[#This Row],[Industry]], Mean_AE_L, 3, FALSE))</f>
        <v>34.041939040761555</v>
      </c>
      <c r="T74" s="1">
        <f>(Main_L[[#This Row],[P/E]]-VLOOKUP(Main_L[[#This Row],[Industry]], Mean_PE_L, 2, FALSE))/(VLOOKUP(Main_L[[#This Row],[Industry]], Mean_PE_L, 3, FALSE))</f>
        <v>-5.2200177267725287</v>
      </c>
      <c r="U7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7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7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75" spans="1:26" x14ac:dyDescent="0.25">
      <c r="A75" t="s">
        <v>191</v>
      </c>
      <c r="B75" t="s">
        <v>201</v>
      </c>
      <c r="C75" s="2">
        <v>153961</v>
      </c>
      <c r="D75">
        <f>RTD("tos.rtd", , "LAST", Main_L[[#This Row],[Symbol]])</f>
        <v>428.95</v>
      </c>
      <c r="E75">
        <v>17.649999999999999</v>
      </c>
      <c r="F75">
        <v>130.84</v>
      </c>
      <c r="G75">
        <v>17.059999999999999</v>
      </c>
      <c r="H75" s="1">
        <f>IF(ISNUMBER(Main_L[[#This Row],[Free CF]]),IF(Main_L[[#This Row],[Free CF]]&lt;&gt;0,Main_L[[#This Row],[Current Price]]/Main_L[[#This Row],[Free CF]],""),"")</f>
        <v>24.303116147308785</v>
      </c>
      <c r="I75" s="1">
        <f>IF(ISNUMBER(Main_L[[#This Row],[BVPS]]),IF(Main_L[[#This Row],[BVPS]]&lt;&gt;0,Main_L[[#This Row],[Current Price]]/Main_L[[#This Row],[BVPS]],""),"")</f>
        <v>3.2784316722714766</v>
      </c>
      <c r="J75">
        <v>13.7</v>
      </c>
      <c r="K75">
        <v>5</v>
      </c>
      <c r="L75">
        <v>2.0099999999999998</v>
      </c>
      <c r="M75" s="1">
        <f>IF(ISNUMBER(Main_L[[#This Row],[EPS]]),IF(Main_L[[#This Row],[EPS]]&lt;&gt;0,Main_L[[#This Row],[Current Price]]/Main_L[[#This Row],[EPS]],""),"")</f>
        <v>25.143610785463071</v>
      </c>
      <c r="N7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5" s="1">
        <f>(Main_L[[#This Row],[P/FCF]]-VLOOKUP(Main_L[[#This Row],[Industry]], Mean_PFCF_L, 2, FALSE))/(VLOOKUP(Main_L[[#This Row],[Industry]], Mean_PFCF_L, 3, FALSE))</f>
        <v>0.19501988888676161</v>
      </c>
      <c r="P75" s="1">
        <f>(Main_L[[#This Row],[P/B]]-VLOOKUP(Main_L[[#This Row],[Industry]], Mean_PB_L, 2, FALSE))/(VLOOKUP(Main_L[[#This Row],[Industry]], Mean_PB_L, 3, FALSE))</f>
        <v>-0.25954266962418526</v>
      </c>
      <c r="Q75" s="1">
        <f>(Main_L[[#This Row],[ROE]]-VLOOKUP(Main_L[[#This Row],[Industry]], Mean_ROE_L, 2, FALSE))/(VLOOKUP(Main_L[[#This Row],[Industry]], Mean_ROE_L, 3, FALSE))</f>
        <v>-0.28672957068597632</v>
      </c>
      <c r="R75" s="1">
        <f>(Main_L[[#This Row],[ROA]]-VLOOKUP(Main_L[[#This Row],[Industry]], Mean_ROA_L, 2, FALSE))/(VLOOKUP(Main_L[[#This Row],[Industry]], Mean_ROA_L, 3, FALSE))</f>
        <v>-0.30162387518593586</v>
      </c>
      <c r="S75" s="1">
        <f>(Main_L[[#This Row],[A/E]]-VLOOKUP(Main_L[[#This Row],[Industry]], Mean_AE_L, 2, FALSE))/(VLOOKUP(Main_L[[#This Row],[Industry]], Mean_AE_L, 3, FALSE))</f>
        <v>0.19060436193035543</v>
      </c>
      <c r="T75" s="1">
        <f>(Main_L[[#This Row],[P/E]]-VLOOKUP(Main_L[[#This Row],[Industry]], Mean_PE_L, 2, FALSE))/(VLOOKUP(Main_L[[#This Row],[Industry]], Mean_PE_L, 3, FALSE))</f>
        <v>-0.5113480400362117</v>
      </c>
      <c r="U7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6" spans="1:26" x14ac:dyDescent="0.25">
      <c r="A76" t="s">
        <v>191</v>
      </c>
      <c r="B76" t="s">
        <v>202</v>
      </c>
      <c r="C76" s="2">
        <v>20553</v>
      </c>
      <c r="D76">
        <f>RTD("tos.rtd", , "LAST", Main_L[[#This Row],[Symbol]])</f>
        <v>359.02</v>
      </c>
      <c r="E76">
        <v>10.44</v>
      </c>
      <c r="F76">
        <v>30.79</v>
      </c>
      <c r="G76">
        <v>10.71</v>
      </c>
      <c r="H76" s="1">
        <f>IF(ISNUMBER(Main_L[[#This Row],[Free CF]]),IF(Main_L[[#This Row],[Free CF]]&lt;&gt;0,Main_L[[#This Row],[Current Price]]/Main_L[[#This Row],[Free CF]],""),"")</f>
        <v>34.388888888888886</v>
      </c>
      <c r="I76" s="1">
        <f>IF(ISNUMBER(Main_L[[#This Row],[BVPS]]),IF(Main_L[[#This Row],[BVPS]]&lt;&gt;0,Main_L[[#This Row],[Current Price]]/Main_L[[#This Row],[BVPS]],""),"")</f>
        <v>11.660279311464761</v>
      </c>
      <c r="J76">
        <v>42.82</v>
      </c>
      <c r="K76">
        <v>11.4</v>
      </c>
      <c r="L76">
        <v>2.4900000000000002</v>
      </c>
      <c r="M76" s="1">
        <f>IF(ISNUMBER(Main_L[[#This Row],[EPS]]),IF(Main_L[[#This Row],[EPS]]&lt;&gt;0,Main_L[[#This Row],[Current Price]]/Main_L[[#This Row],[EPS]],""),"")</f>
        <v>33.521942110177399</v>
      </c>
      <c r="N7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6" s="1">
        <f>(Main_L[[#This Row],[P/FCF]]-VLOOKUP(Main_L[[#This Row],[Industry]], Mean_PFCF_L, 2, FALSE))/(VLOOKUP(Main_L[[#This Row],[Industry]], Mean_PFCF_L, 3, FALSE))</f>
        <v>1.5789151822251866</v>
      </c>
      <c r="P76" s="1">
        <f>(Main_L[[#This Row],[P/B]]-VLOOKUP(Main_L[[#This Row],[Industry]], Mean_PB_L, 2, FALSE))/(VLOOKUP(Main_L[[#This Row],[Industry]], Mean_PB_L, 3, FALSE))</f>
        <v>4.6984398685063367</v>
      </c>
      <c r="Q76" s="1">
        <f>(Main_L[[#This Row],[ROE]]-VLOOKUP(Main_L[[#This Row],[Industry]], Mean_ROE_L, 2, FALSE))/(VLOOKUP(Main_L[[#This Row],[Industry]], Mean_ROE_L, 3, FALSE))</f>
        <v>2.2291469184667578</v>
      </c>
      <c r="R76" s="1">
        <f>(Main_L[[#This Row],[ROA]]-VLOOKUP(Main_L[[#This Row],[Industry]], Mean_ROA_L, 2, FALSE))/(VLOOKUP(Main_L[[#This Row],[Industry]], Mean_ROA_L, 3, FALSE))</f>
        <v>1.7399196278352058</v>
      </c>
      <c r="S76" s="1">
        <f>(Main_L[[#This Row],[A/E]]-VLOOKUP(Main_L[[#This Row],[Industry]], Mean_AE_L, 2, FALSE))/(VLOOKUP(Main_L[[#This Row],[Industry]], Mean_AE_L, 3, FALSE))</f>
        <v>1.3166362847189201</v>
      </c>
      <c r="T76" s="1">
        <f>(Main_L[[#This Row],[P/E]]-VLOOKUP(Main_L[[#This Row],[Industry]], Mean_PE_L, 2, FALSE))/(VLOOKUP(Main_L[[#This Row],[Industry]], Mean_PE_L, 3, FALSE))</f>
        <v>0.57831427438717875</v>
      </c>
      <c r="U7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7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7" spans="1:26" x14ac:dyDescent="0.25">
      <c r="A77" t="s">
        <v>191</v>
      </c>
      <c r="B77" t="s">
        <v>203</v>
      </c>
      <c r="C77" s="2">
        <v>15314</v>
      </c>
      <c r="D77">
        <f>RTD("tos.rtd", , "LAST", Main_L[[#This Row],[Symbol]])</f>
        <v>215.87</v>
      </c>
      <c r="E77">
        <v>4.22</v>
      </c>
      <c r="F77">
        <v>37.369999999999997</v>
      </c>
      <c r="G77">
        <v>6.37</v>
      </c>
      <c r="H77" s="1">
        <f>IF(ISNUMBER(Main_L[[#This Row],[Free CF]]),IF(Main_L[[#This Row],[Free CF]]&lt;&gt;0,Main_L[[#This Row],[Current Price]]/Main_L[[#This Row],[Free CF]],""),"")</f>
        <v>51.154028436018962</v>
      </c>
      <c r="I77" s="1">
        <f>IF(ISNUMBER(Main_L[[#This Row],[BVPS]]),IF(Main_L[[#This Row],[BVPS]]&lt;&gt;0,Main_L[[#This Row],[Current Price]]/Main_L[[#This Row],[BVPS]],""),"")</f>
        <v>5.7765587369547768</v>
      </c>
      <c r="J77">
        <v>17.420000000000002</v>
      </c>
      <c r="K77">
        <v>10.33</v>
      </c>
      <c r="L77">
        <v>1.35</v>
      </c>
      <c r="M77" s="1">
        <f>IF(ISNUMBER(Main_L[[#This Row],[EPS]]),IF(Main_L[[#This Row],[EPS]]&lt;&gt;0,Main_L[[#This Row],[Current Price]]/Main_L[[#This Row],[EPS]],""),"")</f>
        <v>33.888540031397177</v>
      </c>
      <c r="N7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7" s="1">
        <f>(Main_L[[#This Row],[P/FCF]]-VLOOKUP(Main_L[[#This Row],[Industry]], Mean_PFCF_L, 2, FALSE))/(VLOOKUP(Main_L[[#This Row],[Industry]], Mean_PFCF_L, 3, FALSE))</f>
        <v>3.8793038887627445</v>
      </c>
      <c r="P77" s="1">
        <f>(Main_L[[#This Row],[P/B]]-VLOOKUP(Main_L[[#This Row],[Industry]], Mean_PB_L, 2, FALSE))/(VLOOKUP(Main_L[[#This Row],[Industry]], Mean_PB_L, 3, FALSE))</f>
        <v>1.2181351524846316</v>
      </c>
      <c r="Q77" s="1">
        <f>(Main_L[[#This Row],[ROE]]-VLOOKUP(Main_L[[#This Row],[Industry]], Mean_ROE_L, 2, FALSE))/(VLOOKUP(Main_L[[#This Row],[Industry]], Mean_ROE_L, 3, FALSE))</f>
        <v>3.4666739054689075E-2</v>
      </c>
      <c r="R77" s="1">
        <f>(Main_L[[#This Row],[ROA]]-VLOOKUP(Main_L[[#This Row],[Industry]], Mean_ROA_L, 2, FALSE))/(VLOOKUP(Main_L[[#This Row],[Industry]], Mean_ROA_L, 3, FALSE))</f>
        <v>1.3985990734238585</v>
      </c>
      <c r="S77" s="1">
        <f>(Main_L[[#This Row],[A/E]]-VLOOKUP(Main_L[[#This Row],[Industry]], Mean_AE_L, 2, FALSE))/(VLOOKUP(Main_L[[#This Row],[Industry]], Mean_AE_L, 3, FALSE))</f>
        <v>-1.3576895319039191</v>
      </c>
      <c r="T77" s="1">
        <f>(Main_L[[#This Row],[P/E]]-VLOOKUP(Main_L[[#This Row],[Industry]], Mean_PE_L, 2, FALSE))/(VLOOKUP(Main_L[[#This Row],[Industry]], Mean_PE_L, 3, FALSE))</f>
        <v>0.6259929736194233</v>
      </c>
      <c r="U7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7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8" spans="1:26" x14ac:dyDescent="0.25">
      <c r="A78" t="s">
        <v>173</v>
      </c>
      <c r="B78" t="s">
        <v>174</v>
      </c>
      <c r="C78" s="2">
        <v>217244</v>
      </c>
      <c r="D78">
        <f>RTD("tos.rtd", , "LAST", Main_L[[#This Row],[Symbol]])</f>
        <v>67.72</v>
      </c>
      <c r="E78">
        <v>5.93</v>
      </c>
      <c r="F78">
        <v>26.48</v>
      </c>
      <c r="G78">
        <v>4.97</v>
      </c>
      <c r="H78" s="1">
        <f>IF(ISNUMBER(Main_L[[#This Row],[Free CF]]),IF(Main_L[[#This Row],[Free CF]]&lt;&gt;0,Main_L[[#This Row],[Current Price]]/Main_L[[#This Row],[Free CF]],""),"")</f>
        <v>11.419898819561551</v>
      </c>
      <c r="I78" s="1">
        <f>IF(ISNUMBER(Main_L[[#This Row],[BVPS]]),IF(Main_L[[#This Row],[BVPS]]&lt;&gt;0,Main_L[[#This Row],[Current Price]]/Main_L[[#This Row],[BVPS]],""),"")</f>
        <v>2.5574018126888216</v>
      </c>
      <c r="J78">
        <v>19.79</v>
      </c>
      <c r="K78">
        <v>8.16</v>
      </c>
      <c r="L78">
        <v>2.59</v>
      </c>
      <c r="M78" s="1">
        <f>IF(ISNUMBER(Main_L[[#This Row],[EPS]]),IF(Main_L[[#This Row],[EPS]]&lt;&gt;0,Main_L[[#This Row],[Current Price]]/Main_L[[#This Row],[EPS]],""),"")</f>
        <v>13.625754527162979</v>
      </c>
      <c r="N7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8" s="1">
        <f>(Main_L[[#This Row],[P/FCF]]-VLOOKUP(Main_L[[#This Row],[Industry]], Mean_PFCF_L, 2, FALSE))/(VLOOKUP(Main_L[[#This Row],[Industry]], Mean_PFCF_L, 3, FALSE))</f>
        <v>-0.64427372942639027</v>
      </c>
      <c r="P78" s="1">
        <f>(Main_L[[#This Row],[P/B]]-VLOOKUP(Main_L[[#This Row],[Industry]], Mean_PB_L, 2, FALSE))/(VLOOKUP(Main_L[[#This Row],[Industry]], Mean_PB_L, 3, FALSE))</f>
        <v>-0.374408130556876</v>
      </c>
      <c r="Q78" s="1">
        <f>(Main_L[[#This Row],[ROE]]-VLOOKUP(Main_L[[#This Row],[Industry]], Mean_ROE_L, 2, FALSE))/(VLOOKUP(Main_L[[#This Row],[Industry]], Mean_ROE_L, 3, FALSE))</f>
        <v>-5.3525233510916377E-2</v>
      </c>
      <c r="R78" s="1">
        <f>(Main_L[[#This Row],[ROA]]-VLOOKUP(Main_L[[#This Row],[Industry]], Mean_ROA_L, 2, FALSE))/(VLOOKUP(Main_L[[#This Row],[Industry]], Mean_ROA_L, 3, FALSE))</f>
        <v>8.4463134058597664E-2</v>
      </c>
      <c r="S78" s="1">
        <f>(Main_L[[#This Row],[A/E]]-VLOOKUP(Main_L[[#This Row],[Industry]], Mean_AE_L, 2, FALSE))/(VLOOKUP(Main_L[[#This Row],[Industry]], Mean_AE_L, 3, FALSE))</f>
        <v>0.11272111785593293</v>
      </c>
      <c r="T78" s="1">
        <f>(Main_L[[#This Row],[P/E]]-VLOOKUP(Main_L[[#This Row],[Industry]], Mean_PE_L, 2, FALSE))/(VLOOKUP(Main_L[[#This Row],[Industry]], Mean_PE_L, 3, FALSE))</f>
        <v>-0.70319265407799592</v>
      </c>
      <c r="U7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7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79" spans="1:26" x14ac:dyDescent="0.25">
      <c r="A79" t="s">
        <v>173</v>
      </c>
      <c r="B79" t="s">
        <v>175</v>
      </c>
      <c r="C79" s="2">
        <v>96911</v>
      </c>
      <c r="D79">
        <f>RTD("tos.rtd", , "LAST", Main_L[[#This Row],[Symbol]])</f>
        <v>46.59</v>
      </c>
      <c r="E79">
        <v>6.45</v>
      </c>
      <c r="F79">
        <v>8.5399999999999991</v>
      </c>
      <c r="G79">
        <v>2.67</v>
      </c>
      <c r="H79" s="1">
        <f>IF(ISNUMBER(Main_L[[#This Row],[Free CF]]),IF(Main_L[[#This Row],[Free CF]]&lt;&gt;0,Main_L[[#This Row],[Current Price]]/Main_L[[#This Row],[Free CF]],""),"")</f>
        <v>7.2232558139534886</v>
      </c>
      <c r="I79" s="1">
        <f>IF(ISNUMBER(Main_L[[#This Row],[BVPS]]),IF(Main_L[[#This Row],[BVPS]]&lt;&gt;0,Main_L[[#This Row],[Current Price]]/Main_L[[#This Row],[BVPS]],""),"")</f>
        <v>5.4555035128805631</v>
      </c>
      <c r="J79">
        <v>31.99</v>
      </c>
      <c r="K79">
        <v>7.24</v>
      </c>
      <c r="L79">
        <v>5.32</v>
      </c>
      <c r="M79" s="1">
        <f>IF(ISNUMBER(Main_L[[#This Row],[EPS]]),IF(Main_L[[#This Row],[EPS]]&lt;&gt;0,Main_L[[#This Row],[Current Price]]/Main_L[[#This Row],[EPS]],""),"")</f>
        <v>17.449438202247194</v>
      </c>
      <c r="N7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79" s="1">
        <f>(Main_L[[#This Row],[P/FCF]]-VLOOKUP(Main_L[[#This Row],[Industry]], Mean_PFCF_L, 2, FALSE))/(VLOOKUP(Main_L[[#This Row],[Industry]], Mean_PFCF_L, 3, FALSE))</f>
        <v>-0.95545366185255221</v>
      </c>
      <c r="P79" s="1">
        <f>(Main_L[[#This Row],[P/B]]-VLOOKUP(Main_L[[#This Row],[Industry]], Mean_PB_L, 2, FALSE))/(VLOOKUP(Main_L[[#This Row],[Industry]], Mean_PB_L, 3, FALSE))</f>
        <v>0.98170067509805137</v>
      </c>
      <c r="Q79" s="1">
        <f>(Main_L[[#This Row],[ROE]]-VLOOKUP(Main_L[[#This Row],[Industry]], Mean_ROE_L, 2, FALSE))/(VLOOKUP(Main_L[[#This Row],[Industry]], Mean_ROE_L, 3, FALSE))</f>
        <v>0.770088269521925</v>
      </c>
      <c r="R79" s="1">
        <f>(Main_L[[#This Row],[ROA]]-VLOOKUP(Main_L[[#This Row],[Industry]], Mean_ROA_L, 2, FALSE))/(VLOOKUP(Main_L[[#This Row],[Industry]], Mean_ROA_L, 3, FALSE))</f>
        <v>-0.13213918882338174</v>
      </c>
      <c r="S79" s="1">
        <f>(Main_L[[#This Row],[A/E]]-VLOOKUP(Main_L[[#This Row],[Industry]], Mean_AE_L, 2, FALSE))/(VLOOKUP(Main_L[[#This Row],[Industry]], Mean_AE_L, 3, FALSE))</f>
        <v>4.2552221990614685</v>
      </c>
      <c r="T79" s="1">
        <f>(Main_L[[#This Row],[P/E]]-VLOOKUP(Main_L[[#This Row],[Industry]], Mean_PE_L, 2, FALSE))/(VLOOKUP(Main_L[[#This Row],[Industry]], Mean_PE_L, 3, FALSE))</f>
        <v>9.3738901199456048E-2</v>
      </c>
      <c r="U7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7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7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7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7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7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0" spans="1:26" x14ac:dyDescent="0.25">
      <c r="A80" t="s">
        <v>173</v>
      </c>
      <c r="B80" t="s">
        <v>176</v>
      </c>
      <c r="C80" s="2">
        <v>75556</v>
      </c>
      <c r="D80">
        <f>RTD("tos.rtd", , "LAST", Main_L[[#This Row],[Symbol]])</f>
        <v>36.35</v>
      </c>
      <c r="E80">
        <v>1.28</v>
      </c>
      <c r="F80">
        <v>4.4800000000000004</v>
      </c>
      <c r="G80">
        <v>0.98</v>
      </c>
      <c r="H80" s="1">
        <f>IF(ISNUMBER(Main_L[[#This Row],[Free CF]]),IF(Main_L[[#This Row],[Free CF]]&lt;&gt;0,Main_L[[#This Row],[Current Price]]/Main_L[[#This Row],[Free CF]],""),"")</f>
        <v>28.3984375</v>
      </c>
      <c r="I80" s="1">
        <f>IF(ISNUMBER(Main_L[[#This Row],[BVPS]]),IF(Main_L[[#This Row],[BVPS]]&lt;&gt;0,Main_L[[#This Row],[Current Price]]/Main_L[[#This Row],[BVPS]],""),"")</f>
        <v>8.1138392857142847</v>
      </c>
      <c r="J80">
        <v>27.1</v>
      </c>
      <c r="K80">
        <v>6.55</v>
      </c>
      <c r="L80">
        <v>4.29</v>
      </c>
      <c r="M80" s="1">
        <f>IF(ISNUMBER(Main_L[[#This Row],[EPS]]),IF(Main_L[[#This Row],[EPS]]&lt;&gt;0,Main_L[[#This Row],[Current Price]]/Main_L[[#This Row],[EPS]],""),"")</f>
        <v>37.091836734693878</v>
      </c>
      <c r="N8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0" s="1">
        <f>(Main_L[[#This Row],[P/FCF]]-VLOOKUP(Main_L[[#This Row],[Industry]], Mean_PFCF_L, 2, FALSE))/(VLOOKUP(Main_L[[#This Row],[Industry]], Mean_PFCF_L, 3, FALSE))</f>
        <v>0.61468027552793203</v>
      </c>
      <c r="P80" s="1">
        <f>(Main_L[[#This Row],[P/B]]-VLOOKUP(Main_L[[#This Row],[Industry]], Mean_PB_L, 2, FALSE))/(VLOOKUP(Main_L[[#This Row],[Industry]], Mean_PB_L, 3, FALSE))</f>
        <v>2.2256158039870053</v>
      </c>
      <c r="Q80" s="1">
        <f>(Main_L[[#This Row],[ROE]]-VLOOKUP(Main_L[[#This Row],[Industry]], Mean_ROE_L, 2, FALSE))/(VLOOKUP(Main_L[[#This Row],[Industry]], Mean_ROE_L, 3, FALSE))</f>
        <v>0.43996777527351577</v>
      </c>
      <c r="R80" s="1">
        <f>(Main_L[[#This Row],[ROA]]-VLOOKUP(Main_L[[#This Row],[Industry]], Mean_ROA_L, 2, FALSE))/(VLOOKUP(Main_L[[#This Row],[Industry]], Mean_ROA_L, 3, FALSE))</f>
        <v>-0.29459093098486638</v>
      </c>
      <c r="S80" s="1">
        <f>(Main_L[[#This Row],[A/E]]-VLOOKUP(Main_L[[#This Row],[Industry]], Mean_AE_L, 2, FALSE))/(VLOOKUP(Main_L[[#This Row],[Industry]], Mean_AE_L, 3, FALSE))</f>
        <v>2.6923005457128597</v>
      </c>
      <c r="T80" s="1">
        <f>(Main_L[[#This Row],[P/E]]-VLOOKUP(Main_L[[#This Row],[Industry]], Mean_PE_L, 2, FALSE))/(VLOOKUP(Main_L[[#This Row],[Industry]], Mean_PE_L, 3, FALSE))</f>
        <v>4.1876045402020106</v>
      </c>
      <c r="U8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1" spans="1:26" x14ac:dyDescent="0.25">
      <c r="A81" t="s">
        <v>173</v>
      </c>
      <c r="B81" t="s">
        <v>177</v>
      </c>
      <c r="C81" s="2">
        <v>48503</v>
      </c>
      <c r="D81">
        <f>RTD("tos.rtd", , "LAST", Main_L[[#This Row],[Symbol]])</f>
        <v>10.45</v>
      </c>
      <c r="E81">
        <v>0.32</v>
      </c>
      <c r="F81">
        <v>2.2400000000000002</v>
      </c>
      <c r="G81">
        <v>0.2</v>
      </c>
      <c r="H81" s="1">
        <f>IF(ISNUMBER(Main_L[[#This Row],[Free CF]]),IF(Main_L[[#This Row],[Free CF]]&lt;&gt;0,Main_L[[#This Row],[Current Price]]/Main_L[[#This Row],[Free CF]],""),"")</f>
        <v>32.65625</v>
      </c>
      <c r="I81" s="1">
        <f>IF(ISNUMBER(Main_L[[#This Row],[BVPS]]),IF(Main_L[[#This Row],[BVPS]]&lt;&gt;0,Main_L[[#This Row],[Current Price]]/Main_L[[#This Row],[BVPS]],""),"")</f>
        <v>4.6651785714285703</v>
      </c>
      <c r="J81">
        <v>8.9499999999999993</v>
      </c>
      <c r="K81">
        <v>4.55</v>
      </c>
      <c r="L81">
        <v>2.12</v>
      </c>
      <c r="M81" s="1">
        <f>IF(ISNUMBER(Main_L[[#This Row],[EPS]]),IF(Main_L[[#This Row],[EPS]]&lt;&gt;0,Main_L[[#This Row],[Current Price]]/Main_L[[#This Row],[EPS]],""),"")</f>
        <v>52.249999999999993</v>
      </c>
      <c r="N8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1" s="1">
        <f>(Main_L[[#This Row],[P/FCF]]-VLOOKUP(Main_L[[#This Row],[Industry]], Mean_PFCF_L, 2, FALSE))/(VLOOKUP(Main_L[[#This Row],[Industry]], Mean_PFCF_L, 3, FALSE))</f>
        <v>0.930395909252963</v>
      </c>
      <c r="P81" s="1">
        <f>(Main_L[[#This Row],[P/B]]-VLOOKUP(Main_L[[#This Row],[Industry]], Mean_PB_L, 2, FALSE))/(VLOOKUP(Main_L[[#This Row],[Industry]], Mean_PB_L, 3, FALSE))</f>
        <v>0.61188390422322214</v>
      </c>
      <c r="Q81" s="1">
        <f>(Main_L[[#This Row],[ROE]]-VLOOKUP(Main_L[[#This Row],[Industry]], Mean_ROE_L, 2, FALSE))/(VLOOKUP(Main_L[[#This Row],[Industry]], Mean_ROE_L, 3, FALSE))</f>
        <v>-0.78532608374665414</v>
      </c>
      <c r="R81" s="1">
        <f>(Main_L[[#This Row],[ROA]]-VLOOKUP(Main_L[[#This Row],[Industry]], Mean_ROA_L, 2, FALSE))/(VLOOKUP(Main_L[[#This Row],[Industry]], Mean_ROA_L, 3, FALSE))</f>
        <v>-0.76546554594569127</v>
      </c>
      <c r="S81" s="1">
        <f>(Main_L[[#This Row],[A/E]]-VLOOKUP(Main_L[[#This Row],[Industry]], Mean_AE_L, 2, FALSE))/(VLOOKUP(Main_L[[#This Row],[Industry]], Mean_AE_L, 3, FALSE))</f>
        <v>-0.6004567239633346</v>
      </c>
      <c r="T81" s="1">
        <f>(Main_L[[#This Row],[P/E]]-VLOOKUP(Main_L[[#This Row],[Industry]], Mean_PE_L, 2, FALSE))/(VLOOKUP(Main_L[[#This Row],[Industry]], Mean_PE_L, 3, FALSE))</f>
        <v>7.3468665641203152</v>
      </c>
      <c r="U8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2" spans="1:26" x14ac:dyDescent="0.25">
      <c r="A82" t="s">
        <v>173</v>
      </c>
      <c r="B82" t="s">
        <v>178</v>
      </c>
      <c r="C82" s="2">
        <v>378475</v>
      </c>
      <c r="D82">
        <f>RTD("tos.rtd", , "LAST", Main_L[[#This Row],[Symbol]])</f>
        <v>148.44</v>
      </c>
      <c r="E82">
        <v>7.72</v>
      </c>
      <c r="F82">
        <v>32.47</v>
      </c>
      <c r="G82">
        <v>8.98</v>
      </c>
      <c r="H82" s="1">
        <f>IF(ISNUMBER(Main_L[[#This Row],[Free CF]]),IF(Main_L[[#This Row],[Free CF]]&lt;&gt;0,Main_L[[#This Row],[Current Price]]/Main_L[[#This Row],[Free CF]],""),"")</f>
        <v>19.2279792746114</v>
      </c>
      <c r="I82" s="1">
        <f>IF(ISNUMBER(Main_L[[#This Row],[BVPS]]),IF(Main_L[[#This Row],[BVPS]]&lt;&gt;0,Main_L[[#This Row],[Current Price]]/Main_L[[#This Row],[BVPS]],""),"")</f>
        <v>4.571604558053588</v>
      </c>
      <c r="J82">
        <v>29.45</v>
      </c>
      <c r="K82">
        <v>7.77</v>
      </c>
      <c r="L82">
        <v>2.48</v>
      </c>
      <c r="M82" s="1">
        <f>IF(ISNUMBER(Main_L[[#This Row],[EPS]]),IF(Main_L[[#This Row],[EPS]]&lt;&gt;0,Main_L[[#This Row],[Current Price]]/Main_L[[#This Row],[EPS]],""),"")</f>
        <v>16.530066815144764</v>
      </c>
      <c r="N8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2" s="1">
        <f>(Main_L[[#This Row],[P/FCF]]-VLOOKUP(Main_L[[#This Row],[Industry]], Mean_PFCF_L, 2, FALSE))/(VLOOKUP(Main_L[[#This Row],[Industry]], Mean_PFCF_L, 3, FALSE))</f>
        <v>-6.5306696697238611E-2</v>
      </c>
      <c r="P82" s="1">
        <f>(Main_L[[#This Row],[P/B]]-VLOOKUP(Main_L[[#This Row],[Industry]], Mean_PB_L, 2, FALSE))/(VLOOKUP(Main_L[[#This Row],[Industry]], Mean_PB_L, 3, FALSE))</f>
        <v>0.56809781365576906</v>
      </c>
      <c r="Q82" s="1">
        <f>(Main_L[[#This Row],[ROE]]-VLOOKUP(Main_L[[#This Row],[Industry]], Mean_ROE_L, 2, FALSE))/(VLOOKUP(Main_L[[#This Row],[Industry]], Mean_ROE_L, 3, FALSE))</f>
        <v>0.59861463856262853</v>
      </c>
      <c r="R82" s="1">
        <f>(Main_L[[#This Row],[ROA]]-VLOOKUP(Main_L[[#This Row],[Industry]], Mean_ROA_L, 2, FALSE))/(VLOOKUP(Main_L[[#This Row],[Industry]], Mean_ROA_L, 3, FALSE))</f>
        <v>-7.3574158587633061E-3</v>
      </c>
      <c r="S82" s="1">
        <f>(Main_L[[#This Row],[A/E]]-VLOOKUP(Main_L[[#This Row],[Industry]], Mean_AE_L, 2, FALSE))/(VLOOKUP(Main_L[[#This Row],[Industry]], Mean_AE_L, 3, FALSE))</f>
        <v>-5.4192845123044481E-2</v>
      </c>
      <c r="T82" s="1">
        <f>(Main_L[[#This Row],[P/E]]-VLOOKUP(Main_L[[#This Row],[Industry]], Mean_PE_L, 2, FALSE))/(VLOOKUP(Main_L[[#This Row],[Industry]], Mean_PE_L, 3, FALSE))</f>
        <v>-9.7876339929241912E-2</v>
      </c>
      <c r="U8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3" spans="1:26" x14ac:dyDescent="0.25">
      <c r="A83" t="s">
        <v>173</v>
      </c>
      <c r="B83" t="s">
        <v>179</v>
      </c>
      <c r="C83" s="2">
        <v>697289</v>
      </c>
      <c r="D83">
        <f>RTD("tos.rtd", , "LAST", Main_L[[#This Row],[Symbol]])</f>
        <v>746.06</v>
      </c>
      <c r="E83">
        <v>-0.74</v>
      </c>
      <c r="F83">
        <v>16.64</v>
      </c>
      <c r="G83">
        <v>12.29</v>
      </c>
      <c r="H83" s="1">
        <f>IF(ISNUMBER(Main_L[[#This Row],[Free CF]]),IF(Main_L[[#This Row],[Free CF]]&lt;&gt;0,Main_L[[#This Row],[Current Price]]/Main_L[[#This Row],[Free CF]],""),"")</f>
        <v>-1008.1891891891892</v>
      </c>
      <c r="I83" s="1">
        <f>IF(ISNUMBER(Main_L[[#This Row],[BVPS]]),IF(Main_L[[#This Row],[BVPS]]&lt;&gt;0,Main_L[[#This Row],[Current Price]]/Main_L[[#This Row],[BVPS]],""),"")</f>
        <v>44.835336538461533</v>
      </c>
      <c r="J83">
        <v>77.28</v>
      </c>
      <c r="K83">
        <v>16.45</v>
      </c>
      <c r="L83">
        <v>5.67</v>
      </c>
      <c r="M83" s="1">
        <f>IF(ISNUMBER(Main_L[[#This Row],[EPS]]),IF(Main_L[[#This Row],[EPS]]&lt;&gt;0,Main_L[[#This Row],[Current Price]]/Main_L[[#This Row],[EPS]],""),"")</f>
        <v>60.704637917005698</v>
      </c>
      <c r="N8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3" s="1">
        <f>(Main_L[[#This Row],[P/FCF]]-VLOOKUP(Main_L[[#This Row],[Industry]], Mean_PFCF_L, 2, FALSE))/(VLOOKUP(Main_L[[#This Row],[Industry]], Mean_PFCF_L, 3, FALSE))</f>
        <v>-76.248009068284915</v>
      </c>
      <c r="P83" s="1">
        <f>(Main_L[[#This Row],[P/B]]-VLOOKUP(Main_L[[#This Row],[Industry]], Mean_PB_L, 2, FALSE))/(VLOOKUP(Main_L[[#This Row],[Industry]], Mean_PB_L, 3, FALSE))</f>
        <v>19.408706990189703</v>
      </c>
      <c r="Q83" s="1">
        <f>(Main_L[[#This Row],[ROE]]-VLOOKUP(Main_L[[#This Row],[Industry]], Mean_ROE_L, 2, FALSE))/(VLOOKUP(Main_L[[#This Row],[Industry]], Mean_ROE_L, 3, FALSE))</f>
        <v>3.827584626272531</v>
      </c>
      <c r="R83" s="1">
        <f>(Main_L[[#This Row],[ROA]]-VLOOKUP(Main_L[[#This Row],[Industry]], Mean_ROA_L, 2, FALSE))/(VLOOKUP(Main_L[[#This Row],[Industry]], Mean_ROA_L, 3, FALSE))</f>
        <v>2.0362384130712163</v>
      </c>
      <c r="S83" s="1">
        <f>(Main_L[[#This Row],[A/E]]-VLOOKUP(Main_L[[#This Row],[Industry]], Mean_AE_L, 2, FALSE))/(VLOOKUP(Main_L[[#This Row],[Industry]], Mean_AE_L, 3, FALSE))</f>
        <v>4.7863120812673063</v>
      </c>
      <c r="T83" s="1">
        <f>(Main_L[[#This Row],[P/E]]-VLOOKUP(Main_L[[#This Row],[Industry]], Mean_PE_L, 2, FALSE))/(VLOOKUP(Main_L[[#This Row],[Industry]], Mean_PE_L, 3, FALSE))</f>
        <v>9.1089808803257952</v>
      </c>
      <c r="U8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8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84" spans="1:26" x14ac:dyDescent="0.25">
      <c r="A84" t="s">
        <v>173</v>
      </c>
      <c r="B84" t="s">
        <v>180</v>
      </c>
      <c r="C84" s="2">
        <v>198673</v>
      </c>
      <c r="D84">
        <f>RTD("tos.rtd", , "LAST", Main_L[[#This Row],[Symbol]])</f>
        <v>76.63</v>
      </c>
      <c r="E84">
        <v>6.74</v>
      </c>
      <c r="F84">
        <v>19.21</v>
      </c>
      <c r="G84">
        <v>6.88</v>
      </c>
      <c r="H84" s="1">
        <f>IF(ISNUMBER(Main_L[[#This Row],[Free CF]]),IF(Main_L[[#This Row],[Free CF]]&lt;&gt;0,Main_L[[#This Row],[Current Price]]/Main_L[[#This Row],[Free CF]],""),"")</f>
        <v>11.369436201780415</v>
      </c>
      <c r="I84" s="1">
        <f>IF(ISNUMBER(Main_L[[#This Row],[BVPS]]),IF(Main_L[[#This Row],[BVPS]]&lt;&gt;0,Main_L[[#This Row],[Current Price]]/Main_L[[#This Row],[BVPS]],""),"")</f>
        <v>3.9890681936491408</v>
      </c>
      <c r="J84">
        <v>39.29</v>
      </c>
      <c r="K84">
        <v>13.81</v>
      </c>
      <c r="L84">
        <v>2.38</v>
      </c>
      <c r="M84" s="1">
        <f>IF(ISNUMBER(Main_L[[#This Row],[EPS]]),IF(Main_L[[#This Row],[EPS]]&lt;&gt;0,Main_L[[#This Row],[Current Price]]/Main_L[[#This Row],[EPS]],""),"")</f>
        <v>11.138081395348836</v>
      </c>
      <c r="N8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4" s="1">
        <f>(Main_L[[#This Row],[P/FCF]]-VLOOKUP(Main_L[[#This Row],[Industry]], Mean_PFCF_L, 2, FALSE))/(VLOOKUP(Main_L[[#This Row],[Industry]], Mean_PFCF_L, 3, FALSE))</f>
        <v>-0.64801551874947461</v>
      </c>
      <c r="P84" s="1">
        <f>(Main_L[[#This Row],[P/B]]-VLOOKUP(Main_L[[#This Row],[Industry]], Mean_PB_L, 2, FALSE))/(VLOOKUP(Main_L[[#This Row],[Industry]], Mean_PB_L, 3, FALSE))</f>
        <v>0.29551155716559396</v>
      </c>
      <c r="Q84" s="1">
        <f>(Main_L[[#This Row],[ROE]]-VLOOKUP(Main_L[[#This Row],[Industry]], Mean_ROE_L, 2, FALSE))/(VLOOKUP(Main_L[[#This Row],[Industry]], Mean_ROE_L, 3, FALSE))</f>
        <v>1.2629061852710841</v>
      </c>
      <c r="R84" s="1">
        <f>(Main_L[[#This Row],[ROA]]-VLOOKUP(Main_L[[#This Row],[Industry]], Mean_ROA_L, 2, FALSE))/(VLOOKUP(Main_L[[#This Row],[Industry]], Mean_ROA_L, 3, FALSE))</f>
        <v>1.4146839213229279</v>
      </c>
      <c r="S84" s="1">
        <f>(Main_L[[#This Row],[A/E]]-VLOOKUP(Main_L[[#This Row],[Industry]], Mean_AE_L, 2, FALSE))/(VLOOKUP(Main_L[[#This Row],[Industry]], Mean_AE_L, 3, FALSE))</f>
        <v>-0.2059328114675697</v>
      </c>
      <c r="T84" s="1">
        <f>(Main_L[[#This Row],[P/E]]-VLOOKUP(Main_L[[#This Row],[Industry]], Mean_PE_L, 2, FALSE))/(VLOOKUP(Main_L[[#This Row],[Industry]], Mean_PE_L, 3, FALSE))</f>
        <v>-1.2216731002710013</v>
      </c>
      <c r="U8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5" spans="1:26" x14ac:dyDescent="0.25">
      <c r="A85" t="s">
        <v>173</v>
      </c>
      <c r="B85" t="s">
        <v>181</v>
      </c>
      <c r="C85" s="2">
        <v>299858</v>
      </c>
      <c r="D85">
        <f>RTD("tos.rtd", , "LAST", Main_L[[#This Row],[Symbol]])</f>
        <v>65.400000000000006</v>
      </c>
      <c r="E85">
        <v>2.17</v>
      </c>
      <c r="F85">
        <v>4.49</v>
      </c>
      <c r="G85">
        <v>3.14</v>
      </c>
      <c r="H85" s="1">
        <f>IF(ISNUMBER(Main_L[[#This Row],[Free CF]]),IF(Main_L[[#This Row],[Free CF]]&lt;&gt;0,Main_L[[#This Row],[Current Price]]/Main_L[[#This Row],[Free CF]],""),"")</f>
        <v>30.13824884792627</v>
      </c>
      <c r="I85" s="1">
        <f>IF(ISNUMBER(Main_L[[#This Row],[BVPS]]),IF(Main_L[[#This Row],[BVPS]]&lt;&gt;0,Main_L[[#This Row],[Current Price]]/Main_L[[#This Row],[BVPS]],""),"")</f>
        <v>14.565701559020045</v>
      </c>
      <c r="J85">
        <v>80.78</v>
      </c>
      <c r="K85">
        <v>22.41</v>
      </c>
      <c r="L85">
        <v>3.25</v>
      </c>
      <c r="M85" s="1">
        <f>IF(ISNUMBER(Main_L[[#This Row],[EPS]]),IF(Main_L[[#This Row],[EPS]]&lt;&gt;0,Main_L[[#This Row],[Current Price]]/Main_L[[#This Row],[EPS]],""),"")</f>
        <v>20.828025477707008</v>
      </c>
      <c r="N85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5" s="1">
        <f>(Main_L[[#This Row],[P/FCF]]-VLOOKUP(Main_L[[#This Row],[Industry]], Mean_PFCF_L, 2, FALSE))/(VLOOKUP(Main_L[[#This Row],[Industry]], Mean_PFCF_L, 3, FALSE))</f>
        <v>0.74368681169469442</v>
      </c>
      <c r="P85" s="1">
        <f>(Main_L[[#This Row],[P/B]]-VLOOKUP(Main_L[[#This Row],[Industry]], Mean_PB_L, 2, FALSE))/(VLOOKUP(Main_L[[#This Row],[Industry]], Mean_PB_L, 3, FALSE))</f>
        <v>5.2446358891427085</v>
      </c>
      <c r="Q85" s="1">
        <f>(Main_L[[#This Row],[ROE]]-VLOOKUP(Main_L[[#This Row],[Industry]], Mean_ROE_L, 2, FALSE))/(VLOOKUP(Main_L[[#This Row],[Industry]], Mean_ROE_L, 3, FALSE))</f>
        <v>4.0638671886180182</v>
      </c>
      <c r="R85" s="1">
        <f>(Main_L[[#This Row],[ROA]]-VLOOKUP(Main_L[[#This Row],[Industry]], Mean_ROA_L, 2, FALSE))/(VLOOKUP(Main_L[[#This Row],[Industry]], Mean_ROA_L, 3, FALSE))</f>
        <v>3.4394447656544744</v>
      </c>
      <c r="S85" s="1">
        <f>(Main_L[[#This Row],[A/E]]-VLOOKUP(Main_L[[#This Row],[Industry]], Mean_AE_L, 2, FALSE))/(VLOOKUP(Main_L[[#This Row],[Industry]], Mean_AE_L, 3, FALSE))</f>
        <v>1.1142048957297987</v>
      </c>
      <c r="T85" s="1">
        <f>(Main_L[[#This Row],[P/E]]-VLOOKUP(Main_L[[#This Row],[Industry]], Mean_PE_L, 2, FALSE))/(VLOOKUP(Main_L[[#This Row],[Industry]], Mean_PE_L, 3, FALSE))</f>
        <v>0.79790353427766114</v>
      </c>
      <c r="U85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5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85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85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Yes</v>
      </c>
      <c r="Y85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5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6" spans="1:26" x14ac:dyDescent="0.25">
      <c r="A86" t="s">
        <v>173</v>
      </c>
      <c r="B86" t="s">
        <v>182</v>
      </c>
      <c r="C86" s="2">
        <v>220617</v>
      </c>
      <c r="D86">
        <f>RTD("tos.rtd", , "LAST", Main_L[[#This Row],[Symbol]])</f>
        <v>106.83</v>
      </c>
      <c r="E86">
        <v>7.47</v>
      </c>
      <c r="F86">
        <v>19.579999999999998</v>
      </c>
      <c r="G86">
        <v>6.38</v>
      </c>
      <c r="H86" s="1">
        <f>IF(ISNUMBER(Main_L[[#This Row],[Free CF]]),IF(Main_L[[#This Row],[Free CF]]&lt;&gt;0,Main_L[[#This Row],[Current Price]]/Main_L[[#This Row],[Free CF]],""),"")</f>
        <v>14.301204819277109</v>
      </c>
      <c r="I86" s="1">
        <f>IF(ISNUMBER(Main_L[[#This Row],[BVPS]]),IF(Main_L[[#This Row],[BVPS]]&lt;&gt;0,Main_L[[#This Row],[Current Price]]/Main_L[[#This Row],[BVPS]],""),"")</f>
        <v>5.4560776302349341</v>
      </c>
      <c r="J86">
        <v>32.89</v>
      </c>
      <c r="K86">
        <v>11.42</v>
      </c>
      <c r="L86">
        <v>2.6</v>
      </c>
      <c r="M86" s="1">
        <f>IF(ISNUMBER(Main_L[[#This Row],[EPS]]),IF(Main_L[[#This Row],[EPS]]&lt;&gt;0,Main_L[[#This Row],[Current Price]]/Main_L[[#This Row],[EPS]],""),"")</f>
        <v>16.744514106583072</v>
      </c>
      <c r="N86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6" s="1">
        <f>(Main_L[[#This Row],[P/FCF]]-VLOOKUP(Main_L[[#This Row],[Industry]], Mean_PFCF_L, 2, FALSE))/(VLOOKUP(Main_L[[#This Row],[Industry]], Mean_PFCF_L, 3, FALSE))</f>
        <v>-0.43062567666316237</v>
      </c>
      <c r="P86" s="1">
        <f>(Main_L[[#This Row],[P/B]]-VLOOKUP(Main_L[[#This Row],[Industry]], Mean_PB_L, 2, FALSE))/(VLOOKUP(Main_L[[#This Row],[Industry]], Mean_PB_L, 3, FALSE))</f>
        <v>0.98196932184695274</v>
      </c>
      <c r="Q86" s="1">
        <f>(Main_L[[#This Row],[ROE]]-VLOOKUP(Main_L[[#This Row],[Industry]], Mean_ROE_L, 2, FALSE))/(VLOOKUP(Main_L[[#This Row],[Industry]], Mean_ROE_L, 3, FALSE))</f>
        <v>0.83084664269647901</v>
      </c>
      <c r="R86" s="1">
        <f>(Main_L[[#This Row],[ROA]]-VLOOKUP(Main_L[[#This Row],[Industry]], Mean_ROA_L, 2, FALSE))/(VLOOKUP(Main_L[[#This Row],[Industry]], Mean_ROA_L, 3, FALSE))</f>
        <v>0.85198875644474215</v>
      </c>
      <c r="S86" s="1">
        <f>(Main_L[[#This Row],[A/E]]-VLOOKUP(Main_L[[#This Row],[Industry]], Mean_AE_L, 2, FALSE))/(VLOOKUP(Main_L[[#This Row],[Industry]], Mean_AE_L, 3, FALSE))</f>
        <v>0.12789511449038579</v>
      </c>
      <c r="T86" s="1">
        <f>(Main_L[[#This Row],[P/E]]-VLOOKUP(Main_L[[#This Row],[Industry]], Mean_PE_L, 2, FALSE))/(VLOOKUP(Main_L[[#This Row],[Industry]], Mean_PE_L, 3, FALSE))</f>
        <v>-5.3181268889610535E-2</v>
      </c>
      <c r="U86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6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6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6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6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6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7" spans="1:26" x14ac:dyDescent="0.25">
      <c r="A87" t="s">
        <v>173</v>
      </c>
      <c r="B87" t="s">
        <v>183</v>
      </c>
      <c r="C87" s="2">
        <v>129569</v>
      </c>
      <c r="D87">
        <f>RTD("tos.rtd", , "LAST", Main_L[[#This Row],[Symbol]])</f>
        <v>22.87</v>
      </c>
      <c r="E87">
        <v>1.74</v>
      </c>
      <c r="F87">
        <v>15.56</v>
      </c>
      <c r="G87">
        <v>1.38</v>
      </c>
      <c r="H87" s="1">
        <f>IF(ISNUMBER(Main_L[[#This Row],[Free CF]]),IF(Main_L[[#This Row],[Free CF]]&lt;&gt;0,Main_L[[#This Row],[Current Price]]/Main_L[[#This Row],[Free CF]],""),"")</f>
        <v>13.14367816091954</v>
      </c>
      <c r="I87" s="1">
        <f>IF(ISNUMBER(Main_L[[#This Row],[BVPS]]),IF(Main_L[[#This Row],[BVPS]]&lt;&gt;0,Main_L[[#This Row],[Current Price]]/Main_L[[#This Row],[BVPS]],""),"")</f>
        <v>1.4697943444730077</v>
      </c>
      <c r="J87">
        <v>9.06</v>
      </c>
      <c r="K87">
        <v>4.6399999999999997</v>
      </c>
      <c r="L87">
        <v>2.42</v>
      </c>
      <c r="M87" s="1">
        <f>IF(ISNUMBER(Main_L[[#This Row],[EPS]]),IF(Main_L[[#This Row],[EPS]]&lt;&gt;0,Main_L[[#This Row],[Current Price]]/Main_L[[#This Row],[EPS]],""),"")</f>
        <v>16.572463768115945</v>
      </c>
      <c r="N87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7" s="1">
        <f>(Main_L[[#This Row],[P/FCF]]-VLOOKUP(Main_L[[#This Row],[Industry]], Mean_PFCF_L, 2, FALSE))/(VLOOKUP(Main_L[[#This Row],[Industry]], Mean_PFCF_L, 3, FALSE))</f>
        <v>-0.5164559621670396</v>
      </c>
      <c r="P87" s="1">
        <f>(Main_L[[#This Row],[P/B]]-VLOOKUP(Main_L[[#This Row],[Industry]], Mean_PB_L, 2, FALSE))/(VLOOKUP(Main_L[[#This Row],[Industry]], Mean_PB_L, 3, FALSE))</f>
        <v>-0.88333232208747159</v>
      </c>
      <c r="Q87" s="1">
        <f>(Main_L[[#This Row],[ROE]]-VLOOKUP(Main_L[[#This Row],[Industry]], Mean_ROE_L, 2, FALSE))/(VLOOKUP(Main_L[[#This Row],[Industry]], Mean_ROE_L, 3, FALSE))</f>
        <v>-0.777900060358653</v>
      </c>
      <c r="R87" s="1">
        <f>(Main_L[[#This Row],[ROA]]-VLOOKUP(Main_L[[#This Row],[Industry]], Mean_ROA_L, 2, FALSE))/(VLOOKUP(Main_L[[#This Row],[Industry]], Mean_ROA_L, 3, FALSE))</f>
        <v>-0.74427618827245412</v>
      </c>
      <c r="S87" s="1">
        <f>(Main_L[[#This Row],[A/E]]-VLOOKUP(Main_L[[#This Row],[Industry]], Mean_AE_L, 2, FALSE))/(VLOOKUP(Main_L[[#This Row],[Industry]], Mean_AE_L, 3, FALSE))</f>
        <v>-0.14523682492975962</v>
      </c>
      <c r="T87" s="1">
        <f>(Main_L[[#This Row],[P/E]]-VLOOKUP(Main_L[[#This Row],[Industry]], Mean_PE_L, 2, FALSE))/(VLOOKUP(Main_L[[#This Row],[Industry]], Mean_PE_L, 3, FALSE))</f>
        <v>-8.9039973602572847E-2</v>
      </c>
      <c r="U87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7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7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7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7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7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8" spans="1:26" x14ac:dyDescent="0.25">
      <c r="A88" t="s">
        <v>173</v>
      </c>
      <c r="B88" t="s">
        <v>184</v>
      </c>
      <c r="C88" s="2">
        <v>11249</v>
      </c>
      <c r="D88">
        <f>RTD("tos.rtd", , "LAST", Main_L[[#This Row],[Symbol]])</f>
        <v>14.1</v>
      </c>
      <c r="E88">
        <v>0.1</v>
      </c>
      <c r="F88">
        <v>4.46</v>
      </c>
      <c r="G88">
        <v>0.75</v>
      </c>
      <c r="H88" s="1">
        <f>IF(ISNUMBER(Main_L[[#This Row],[Free CF]]),IF(Main_L[[#This Row],[Free CF]]&lt;&gt;0,Main_L[[#This Row],[Current Price]]/Main_L[[#This Row],[Free CF]],""),"")</f>
        <v>141</v>
      </c>
      <c r="I88" s="1">
        <f>IF(ISNUMBER(Main_L[[#This Row],[BVPS]]),IF(Main_L[[#This Row],[BVPS]]&lt;&gt;0,Main_L[[#This Row],[Current Price]]/Main_L[[#This Row],[BVPS]],""),"")</f>
        <v>3.1614349775784754</v>
      </c>
      <c r="J88">
        <v>18.47</v>
      </c>
      <c r="K88">
        <v>10.32</v>
      </c>
      <c r="L88">
        <v>1.51</v>
      </c>
      <c r="M88" s="1">
        <f>IF(ISNUMBER(Main_L[[#This Row],[EPS]]),IF(Main_L[[#This Row],[EPS]]&lt;&gt;0,Main_L[[#This Row],[Current Price]]/Main_L[[#This Row],[EPS]],""),"")</f>
        <v>18.8</v>
      </c>
      <c r="N88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8" s="1">
        <f>(Main_L[[#This Row],[P/FCF]]-VLOOKUP(Main_L[[#This Row],[Industry]], Mean_PFCF_L, 2, FALSE))/(VLOOKUP(Main_L[[#This Row],[Industry]], Mean_PFCF_L, 3, FALSE))</f>
        <v>8.964055374388245</v>
      </c>
      <c r="P88" s="1">
        <f>(Main_L[[#This Row],[P/B]]-VLOOKUP(Main_L[[#This Row],[Industry]], Mean_PB_L, 2, FALSE))/(VLOOKUP(Main_L[[#This Row],[Industry]], Mean_PB_L, 3, FALSE))</f>
        <v>-9.1762875643882635E-2</v>
      </c>
      <c r="Q88" s="1">
        <f>(Main_L[[#This Row],[ROE]]-VLOOKUP(Main_L[[#This Row],[Industry]], Mean_ROE_L, 2, FALSE))/(VLOOKUP(Main_L[[#This Row],[Industry]], Mean_ROE_L, 3, FALSE))</f>
        <v>-0.14263751416692874</v>
      </c>
      <c r="R88" s="1">
        <f>(Main_L[[#This Row],[ROA]]-VLOOKUP(Main_L[[#This Row],[Industry]], Mean_ROA_L, 2, FALSE))/(VLOOKUP(Main_L[[#This Row],[Industry]], Mean_ROA_L, 3, FALSE))</f>
        <v>0.5930077182162885</v>
      </c>
      <c r="S88" s="1">
        <f>(Main_L[[#This Row],[A/E]]-VLOOKUP(Main_L[[#This Row],[Industry]], Mean_AE_L, 2, FALSE))/(VLOOKUP(Main_L[[#This Row],[Industry]], Mean_AE_L, 3, FALSE))</f>
        <v>-1.5260705186649379</v>
      </c>
      <c r="T88" s="1">
        <f>(Main_L[[#This Row],[P/E]]-VLOOKUP(Main_L[[#This Row],[Industry]], Mean_PE_L, 2, FALSE))/(VLOOKUP(Main_L[[#This Row],[Industry]], Mean_PE_L, 3, FALSE))</f>
        <v>0.37522278047400159</v>
      </c>
      <c r="U88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Yes</v>
      </c>
      <c r="V88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8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8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8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8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89" spans="1:26" x14ac:dyDescent="0.25">
      <c r="A89" t="s">
        <v>173</v>
      </c>
      <c r="B89" t="s">
        <v>185</v>
      </c>
      <c r="C89" s="2">
        <v>14195</v>
      </c>
      <c r="D89">
        <f>RTD("tos.rtd", , "LAST", Main_L[[#This Row],[Symbol]])</f>
        <v>32.82</v>
      </c>
      <c r="E89">
        <v>0.59</v>
      </c>
      <c r="F89">
        <v>15.58</v>
      </c>
      <c r="G89">
        <v>1.91</v>
      </c>
      <c r="H89" s="1">
        <f>IF(ISNUMBER(Main_L[[#This Row],[Free CF]]),IF(Main_L[[#This Row],[Free CF]]&lt;&gt;0,Main_L[[#This Row],[Current Price]]/Main_L[[#This Row],[Free CF]],""),"")</f>
        <v>55.627118644067799</v>
      </c>
      <c r="I89" s="1">
        <f>IF(ISNUMBER(Main_L[[#This Row],[BVPS]]),IF(Main_L[[#This Row],[BVPS]]&lt;&gt;0,Main_L[[#This Row],[Current Price]]/Main_L[[#This Row],[BVPS]],""),"")</f>
        <v>2.1065468549422337</v>
      </c>
      <c r="J89">
        <v>13.03</v>
      </c>
      <c r="K89">
        <v>4.67</v>
      </c>
      <c r="L89">
        <v>2.62</v>
      </c>
      <c r="M89" s="1">
        <f>IF(ISNUMBER(Main_L[[#This Row],[EPS]]),IF(Main_L[[#This Row],[EPS]]&lt;&gt;0,Main_L[[#This Row],[Current Price]]/Main_L[[#This Row],[EPS]],""),"")</f>
        <v>17.183246073298431</v>
      </c>
      <c r="N89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89" s="1">
        <f>(Main_L[[#This Row],[P/FCF]]-VLOOKUP(Main_L[[#This Row],[Industry]], Mean_PFCF_L, 2, FALSE))/(VLOOKUP(Main_L[[#This Row],[Industry]], Mean_PFCF_L, 3, FALSE))</f>
        <v>2.6336795440246465</v>
      </c>
      <c r="P89" s="1">
        <f>(Main_L[[#This Row],[P/B]]-VLOOKUP(Main_L[[#This Row],[Industry]], Mean_PB_L, 2, FALSE))/(VLOOKUP(Main_L[[#This Row],[Industry]], Mean_PB_L, 3, FALSE))</f>
        <v>-0.58537670292715427</v>
      </c>
      <c r="Q89" s="1">
        <f>(Main_L[[#This Row],[ROE]]-VLOOKUP(Main_L[[#This Row],[Industry]], Mean_ROE_L, 2, FALSE))/(VLOOKUP(Main_L[[#This Row],[Industry]], Mean_ROE_L, 3, FALSE))</f>
        <v>-0.50988812535534322</v>
      </c>
      <c r="R89" s="1">
        <f>(Main_L[[#This Row],[ROA]]-VLOOKUP(Main_L[[#This Row],[Industry]], Mean_ROA_L, 2, FALSE))/(VLOOKUP(Main_L[[#This Row],[Industry]], Mean_ROA_L, 3, FALSE))</f>
        <v>-0.73721306904804174</v>
      </c>
      <c r="S89" s="1">
        <f>(Main_L[[#This Row],[A/E]]-VLOOKUP(Main_L[[#This Row],[Industry]], Mean_AE_L, 2, FALSE))/(VLOOKUP(Main_L[[#This Row],[Industry]], Mean_AE_L, 3, FALSE))</f>
        <v>0.15824310775929085</v>
      </c>
      <c r="T89" s="1">
        <f>(Main_L[[#This Row],[P/E]]-VLOOKUP(Main_L[[#This Row],[Industry]], Mean_PE_L, 2, FALSE))/(VLOOKUP(Main_L[[#This Row],[Industry]], Mean_PE_L, 3, FALSE))</f>
        <v>3.8259179195234173E-2</v>
      </c>
      <c r="U89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89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89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89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89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89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0" spans="1:26" x14ac:dyDescent="0.25">
      <c r="A90" t="s">
        <v>173</v>
      </c>
      <c r="B90" t="s">
        <v>186</v>
      </c>
      <c r="C90" s="2">
        <v>127660</v>
      </c>
      <c r="D90">
        <f>RTD("tos.rtd", , "LAST", Main_L[[#This Row],[Symbol]])</f>
        <v>49.96</v>
      </c>
      <c r="E90">
        <v>4.87</v>
      </c>
      <c r="F90">
        <v>66.89</v>
      </c>
      <c r="G90">
        <v>5.39</v>
      </c>
      <c r="H90" s="1">
        <f>IF(ISNUMBER(Main_L[[#This Row],[Free CF]]),IF(Main_L[[#This Row],[Free CF]]&lt;&gt;0,Main_L[[#This Row],[Current Price]]/Main_L[[#This Row],[Free CF]],""),"")</f>
        <v>10.258726899383984</v>
      </c>
      <c r="I90" s="1">
        <f>IF(ISNUMBER(Main_L[[#This Row],[BVPS]]),IF(Main_L[[#This Row],[BVPS]]&lt;&gt;0,Main_L[[#This Row],[Current Price]]/Main_L[[#This Row],[BVPS]],""),"")</f>
        <v>0.74689789206159363</v>
      </c>
      <c r="J90">
        <v>7.3</v>
      </c>
      <c r="K90">
        <v>4.28</v>
      </c>
      <c r="L90">
        <v>1.71</v>
      </c>
      <c r="M90" s="1">
        <f>IF(ISNUMBER(Main_L[[#This Row],[EPS]]),IF(Main_L[[#This Row],[EPS]]&lt;&gt;0,Main_L[[#This Row],[Current Price]]/Main_L[[#This Row],[EPS]],""),"")</f>
        <v>9.2690166975881265</v>
      </c>
      <c r="N90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0" s="1">
        <f>(Main_L[[#This Row],[P/FCF]]-VLOOKUP(Main_L[[#This Row],[Industry]], Mean_PFCF_L, 2, FALSE))/(VLOOKUP(Main_L[[#This Row],[Industry]], Mean_PFCF_L, 3, FALSE))</f>
        <v>-0.73037431009840703</v>
      </c>
      <c r="P90" s="1">
        <f>(Main_L[[#This Row],[P/B]]-VLOOKUP(Main_L[[#This Row],[Industry]], Mean_PB_L, 2, FALSE))/(VLOOKUP(Main_L[[#This Row],[Industry]], Mean_PB_L, 3, FALSE))</f>
        <v>-1.2215972782920683</v>
      </c>
      <c r="Q90" s="1">
        <f>(Main_L[[#This Row],[ROE]]-VLOOKUP(Main_L[[#This Row],[Industry]], Mean_ROE_L, 2, FALSE))/(VLOOKUP(Main_L[[#This Row],[Industry]], Mean_ROE_L, 3, FALSE))</f>
        <v>-0.8967164345666695</v>
      </c>
      <c r="R90" s="1">
        <f>(Main_L[[#This Row],[ROA]]-VLOOKUP(Main_L[[#This Row],[Industry]], Mean_ROA_L, 2, FALSE))/(VLOOKUP(Main_L[[#This Row],[Industry]], Mean_ROA_L, 3, FALSE))</f>
        <v>-0.82903361896540251</v>
      </c>
      <c r="S90" s="1">
        <f>(Main_L[[#This Row],[A/E]]-VLOOKUP(Main_L[[#This Row],[Industry]], Mean_AE_L, 2, FALSE))/(VLOOKUP(Main_L[[#This Row],[Industry]], Mean_AE_L, 3, FALSE))</f>
        <v>-1.2225905859758877</v>
      </c>
      <c r="T90" s="1">
        <f>(Main_L[[#This Row],[P/E]]-VLOOKUP(Main_L[[#This Row],[Industry]], Mean_PE_L, 2, FALSE))/(VLOOKUP(Main_L[[#This Row],[Industry]], Mean_PE_L, 3, FALSE))</f>
        <v>-1.611223273107361</v>
      </c>
      <c r="U90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0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0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0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0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0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1" spans="1:26" x14ac:dyDescent="0.25">
      <c r="A91" t="s">
        <v>173</v>
      </c>
      <c r="B91" t="s">
        <v>187</v>
      </c>
      <c r="C91" s="2">
        <v>47398</v>
      </c>
      <c r="D91">
        <f>RTD("tos.rtd", , "LAST", Main_L[[#This Row],[Symbol]])</f>
        <v>13.72</v>
      </c>
      <c r="E91">
        <v>3.2</v>
      </c>
      <c r="F91">
        <v>29.74</v>
      </c>
      <c r="G91">
        <v>0.83</v>
      </c>
      <c r="H91" s="1">
        <f>IF(ISNUMBER(Main_L[[#This Row],[Free CF]]),IF(Main_L[[#This Row],[Free CF]]&lt;&gt;0,Main_L[[#This Row],[Current Price]]/Main_L[[#This Row],[Free CF]],""),"")</f>
        <v>4.2874999999999996</v>
      </c>
      <c r="I91" s="1">
        <f>IF(ISNUMBER(Main_L[[#This Row],[BVPS]]),IF(Main_L[[#This Row],[BVPS]]&lt;&gt;0,Main_L[[#This Row],[Current Price]]/Main_L[[#This Row],[BVPS]],""),"")</f>
        <v>0.46133154001344995</v>
      </c>
      <c r="J91">
        <v>2.94</v>
      </c>
      <c r="K91">
        <v>2.5099999999999998</v>
      </c>
      <c r="L91">
        <v>2.04</v>
      </c>
      <c r="M91" s="1">
        <f>IF(ISNUMBER(Main_L[[#This Row],[EPS]]),IF(Main_L[[#This Row],[EPS]]&lt;&gt;0,Main_L[[#This Row],[Current Price]]/Main_L[[#This Row],[EPS]],""),"")</f>
        <v>16.530120481927714</v>
      </c>
      <c r="N91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1" s="1">
        <f>(Main_L[[#This Row],[P/FCF]]-VLOOKUP(Main_L[[#This Row],[Industry]], Mean_PFCF_L, 2, FALSE))/(VLOOKUP(Main_L[[#This Row],[Industry]], Mean_PFCF_L, 3, FALSE))</f>
        <v>-1.1731391534669129</v>
      </c>
      <c r="P91" s="1">
        <f>(Main_L[[#This Row],[P/B]]-VLOOKUP(Main_L[[#This Row],[Industry]], Mean_PB_L, 2, FALSE))/(VLOOKUP(Main_L[[#This Row],[Industry]], Mean_PB_L, 3, FALSE))</f>
        <v>-1.355222349001499</v>
      </c>
      <c r="Q91" s="1">
        <f>(Main_L[[#This Row],[ROE]]-VLOOKUP(Main_L[[#This Row],[Industry]], Mean_ROE_L, 2, FALSE))/(VLOOKUP(Main_L[[#This Row],[Industry]], Mean_ROE_L, 3, FALSE))</f>
        <v>-1.1910569979456194</v>
      </c>
      <c r="R91" s="1">
        <f>(Main_L[[#This Row],[ROA]]-VLOOKUP(Main_L[[#This Row],[Industry]], Mean_ROA_L, 2, FALSE))/(VLOOKUP(Main_L[[#This Row],[Industry]], Mean_ROA_L, 3, FALSE))</f>
        <v>-1.2457576532057326</v>
      </c>
      <c r="S91" s="1">
        <f>(Main_L[[#This Row],[A/E]]-VLOOKUP(Main_L[[#This Row],[Industry]], Mean_AE_L, 2, FALSE))/(VLOOKUP(Main_L[[#This Row],[Industry]], Mean_AE_L, 3, FALSE))</f>
        <v>-0.72184869703895482</v>
      </c>
      <c r="T91" s="1">
        <f>(Main_L[[#This Row],[P/E]]-VLOOKUP(Main_L[[#This Row],[Industry]], Mean_PE_L, 2, FALSE))/(VLOOKUP(Main_L[[#This Row],[Industry]], Mean_PE_L, 3, FALSE))</f>
        <v>-9.7865154706708521E-2</v>
      </c>
      <c r="U91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1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1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1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1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1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  <row r="92" spans="1:26" x14ac:dyDescent="0.25">
      <c r="A92" t="s">
        <v>173</v>
      </c>
      <c r="B92" t="s">
        <v>188</v>
      </c>
      <c r="C92" s="2">
        <v>20186</v>
      </c>
      <c r="D92">
        <f>RTD("tos.rtd", , "LAST", Main_L[[#This Row],[Symbol]])</f>
        <v>17.48</v>
      </c>
      <c r="E92">
        <v>0.66</v>
      </c>
      <c r="F92">
        <v>4.74</v>
      </c>
      <c r="G92">
        <v>-1.45</v>
      </c>
      <c r="H92" s="1">
        <f>IF(ISNUMBER(Main_L[[#This Row],[Free CF]]),IF(Main_L[[#This Row],[Free CF]]&lt;&gt;0,Main_L[[#This Row],[Current Price]]/Main_L[[#This Row],[Free CF]],""),"")</f>
        <v>26.484848484848484</v>
      </c>
      <c r="I92" s="1">
        <f>IF(ISNUMBER(Main_L[[#This Row],[BVPS]]),IF(Main_L[[#This Row],[BVPS]]&lt;&gt;0,Main_L[[#This Row],[Current Price]]/Main_L[[#This Row],[BVPS]],""),"")</f>
        <v>3.6877637130801686</v>
      </c>
      <c r="J92">
        <v>-28.3</v>
      </c>
      <c r="K92">
        <v>5.09</v>
      </c>
      <c r="L92">
        <v>7.32</v>
      </c>
      <c r="M92" s="1">
        <f>IF(ISNUMBER(Main_L[[#This Row],[EPS]]),IF(Main_L[[#This Row],[EPS]]&lt;&gt;0,Main_L[[#This Row],[Current Price]]/Main_L[[#This Row],[EPS]],""),"")</f>
        <v>-12.055172413793104</v>
      </c>
      <c r="N92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2" s="1">
        <f>(Main_L[[#This Row],[P/FCF]]-VLOOKUP(Main_L[[#This Row],[Industry]], Mean_PFCF_L, 2, FALSE))/(VLOOKUP(Main_L[[#This Row],[Industry]], Mean_PFCF_L, 3, FALSE))</f>
        <v>0.47278817280903151</v>
      </c>
      <c r="P92" s="1">
        <f>(Main_L[[#This Row],[P/B]]-VLOOKUP(Main_L[[#This Row],[Industry]], Mean_PB_L, 2, FALSE))/(VLOOKUP(Main_L[[#This Row],[Industry]], Mean_PB_L, 3, FALSE))</f>
        <v>0.15452214355880661</v>
      </c>
      <c r="Q92" s="1">
        <f>(Main_L[[#This Row],[ROE]]-VLOOKUP(Main_L[[#This Row],[Industry]], Mean_ROE_L, 2, FALSE))/(VLOOKUP(Main_L[[#This Row],[Industry]], Mean_ROE_L, 3, FALSE))</f>
        <v>-3.3000476401379117</v>
      </c>
      <c r="R92" s="1">
        <f>(Main_L[[#This Row],[ROA]]-VLOOKUP(Main_L[[#This Row],[Industry]], Mean_ROA_L, 2, FALSE))/(VLOOKUP(Main_L[[#This Row],[Industry]], Mean_ROA_L, 3, FALSE))</f>
        <v>-0.63832939990626847</v>
      </c>
      <c r="S92" s="1">
        <f>(Main_L[[#This Row],[A/E]]-VLOOKUP(Main_L[[#This Row],[Industry]], Mean_AE_L, 2, FALSE))/(VLOOKUP(Main_L[[#This Row],[Industry]], Mean_AE_L, 3, FALSE))</f>
        <v>7.2900215259519712</v>
      </c>
      <c r="T92" s="1">
        <f>(Main_L[[#This Row],[P/E]]-VLOOKUP(Main_L[[#This Row],[Industry]], Mean_PE_L, 2, FALSE))/(VLOOKUP(Main_L[[#This Row],[Industry]], Mean_PE_L, 3, FALSE))</f>
        <v>-6.055607442304952</v>
      </c>
      <c r="U92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2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2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Yes</v>
      </c>
      <c r="X92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2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Yes</v>
      </c>
      <c r="Z92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3" spans="1:26" x14ac:dyDescent="0.25">
      <c r="A93" t="s">
        <v>173</v>
      </c>
      <c r="B93" t="s">
        <v>189</v>
      </c>
      <c r="C93" s="2">
        <v>10198</v>
      </c>
      <c r="D93">
        <f>RTD("tos.rtd", , "LAST", Main_L[[#This Row],[Symbol]])</f>
        <v>8.7899999999999991</v>
      </c>
      <c r="E93">
        <v>1.63</v>
      </c>
      <c r="F93">
        <v>15.61</v>
      </c>
      <c r="G93">
        <v>-0.53</v>
      </c>
      <c r="H93" s="1">
        <f>IF(ISNUMBER(Main_L[[#This Row],[Free CF]]),IF(Main_L[[#This Row],[Free CF]]&lt;&gt;0,Main_L[[#This Row],[Current Price]]/Main_L[[#This Row],[Free CF]],""),"")</f>
        <v>5.3926380368098155</v>
      </c>
      <c r="I93" s="1">
        <f>IF(ISNUMBER(Main_L[[#This Row],[BVPS]]),IF(Main_L[[#This Row],[BVPS]]&lt;&gt;0,Main_L[[#This Row],[Current Price]]/Main_L[[#This Row],[BVPS]],""),"")</f>
        <v>0.56310057655349133</v>
      </c>
      <c r="J93">
        <v>-3.24</v>
      </c>
      <c r="K93">
        <v>2.4900000000000002</v>
      </c>
      <c r="L93">
        <v>2.23</v>
      </c>
      <c r="M93" s="1">
        <f>IF(ISNUMBER(Main_L[[#This Row],[EPS]]),IF(Main_L[[#This Row],[EPS]]&lt;&gt;0,Main_L[[#This Row],[Current Price]]/Main_L[[#This Row],[EPS]],""),"")</f>
        <v>-16.584905660377355</v>
      </c>
      <c r="N93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3" s="1">
        <f>(Main_L[[#This Row],[P/FCF]]-VLOOKUP(Main_L[[#This Row],[Industry]], Mean_PFCF_L, 2, FALSE))/(VLOOKUP(Main_L[[#This Row],[Industry]], Mean_PFCF_L, 3, FALSE))</f>
        <v>-1.0911934699392687</v>
      </c>
      <c r="P93" s="1">
        <f>(Main_L[[#This Row],[P/B]]-VLOOKUP(Main_L[[#This Row],[Industry]], Mean_PB_L, 2, FALSE))/(VLOOKUP(Main_L[[#This Row],[Industry]], Mean_PB_L, 3, FALSE))</f>
        <v>-1.3076015610264473</v>
      </c>
      <c r="Q93" s="1">
        <f>(Main_L[[#This Row],[ROE]]-VLOOKUP(Main_L[[#This Row],[Industry]], Mean_ROE_L, 2, FALSE))/(VLOOKUP(Main_L[[#This Row],[Industry]], Mean_ROE_L, 3, FALSE))</f>
        <v>-1.6082644937442225</v>
      </c>
      <c r="R93" s="1">
        <f>(Main_L[[#This Row],[ROA]]-VLOOKUP(Main_L[[#This Row],[Industry]], Mean_ROA_L, 2, FALSE))/(VLOOKUP(Main_L[[#This Row],[Industry]], Mean_ROA_L, 3, FALSE))</f>
        <v>-1.2504663993553407</v>
      </c>
      <c r="S93" s="1">
        <f>(Main_L[[#This Row],[A/E]]-VLOOKUP(Main_L[[#This Row],[Industry]], Mean_AE_L, 2, FALSE))/(VLOOKUP(Main_L[[#This Row],[Industry]], Mean_AE_L, 3, FALSE))</f>
        <v>-0.43354276098435723</v>
      </c>
      <c r="T93" s="1">
        <f>(Main_L[[#This Row],[P/E]]-VLOOKUP(Main_L[[#This Row],[Industry]], Mean_PE_L, 2, FALSE))/(VLOOKUP(Main_L[[#This Row],[Industry]], Mean_PE_L, 3, FALSE))</f>
        <v>-6.9996937391696799</v>
      </c>
      <c r="U93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3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No</v>
      </c>
      <c r="W93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3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3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3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Yes</v>
      </c>
    </row>
    <row r="94" spans="1:26" x14ac:dyDescent="0.25">
      <c r="A94" t="s">
        <v>173</v>
      </c>
      <c r="B94" t="s">
        <v>190</v>
      </c>
      <c r="C94" s="2">
        <v>69581</v>
      </c>
      <c r="D94">
        <f>RTD("tos.rtd", , "LAST", Main_L[[#This Row],[Symbol]])</f>
        <v>160.41</v>
      </c>
      <c r="E94">
        <v>5.0599999999999996</v>
      </c>
      <c r="F94">
        <v>10.64</v>
      </c>
      <c r="G94">
        <v>5.47</v>
      </c>
      <c r="H94" s="1">
        <f>IF(ISNUMBER(Main_L[[#This Row],[Free CF]]),IF(Main_L[[#This Row],[Free CF]]&lt;&gt;0,Main_L[[#This Row],[Current Price]]/Main_L[[#This Row],[Free CF]],""),"")</f>
        <v>31.701581027667984</v>
      </c>
      <c r="I94" s="1">
        <f>IF(ISNUMBER(Main_L[[#This Row],[BVPS]]),IF(Main_L[[#This Row],[BVPS]]&lt;&gt;0,Main_L[[#This Row],[Current Price]]/Main_L[[#This Row],[BVPS]],""),"")</f>
        <v>15.076127819548871</v>
      </c>
      <c r="J94">
        <v>51.14</v>
      </c>
      <c r="K94">
        <v>14.87</v>
      </c>
      <c r="L94">
        <v>2.98</v>
      </c>
      <c r="M94" s="1">
        <f>IF(ISNUMBER(Main_L[[#This Row],[EPS]]),IF(Main_L[[#This Row],[EPS]]&lt;&gt;0,Main_L[[#This Row],[Current Price]]/Main_L[[#This Row],[EPS]],""),"")</f>
        <v>29.325411334552104</v>
      </c>
      <c r="N94" t="str">
        <f>IF(AND(Main_L[[#This Row],[P/FCF]]&gt;0, Main_L[[#This Row],[P/FCF]]&lt;VLOOKUP(Main_L[[#This Row],[Industry]], Mean_PFCF_L, 2, FALSE), Main_L[[#This Row],[P/B]]&gt;0,  Main_L[[#This Row],[P/B]]&lt;VLOOKUP(Main_L[[#This Row],[Industry]], Mean_PB_L, 2, FALSE), Main_L[[#This Row],[ROE]]&gt;10, Main_L[[#This Row],[ROA]]&gt;5, Main_L[[#This Row],[A/E]]&gt;1, Main_L[[#This Row],[A/E]]&lt;VLOOKUP(Main_L[[#This Row],[Industry]], Mean_AE_L, 2, FALSE)), "YES", "NO")</f>
        <v>NO</v>
      </c>
      <c r="O94" s="1">
        <f>(Main_L[[#This Row],[P/FCF]]-VLOOKUP(Main_L[[#This Row],[Industry]], Mean_PFCF_L, 2, FALSE))/(VLOOKUP(Main_L[[#This Row],[Industry]], Mean_PFCF_L, 3, FALSE))</f>
        <v>0.85960746575118208</v>
      </c>
      <c r="P94" s="1">
        <f>(Main_L[[#This Row],[P/B]]-VLOOKUP(Main_L[[#This Row],[Industry]], Mean_PB_L, 2, FALSE))/(VLOOKUP(Main_L[[#This Row],[Industry]], Mean_PB_L, 3, FALSE))</f>
        <v>5.4834796628083673</v>
      </c>
      <c r="Q94" s="1">
        <f>(Main_L[[#This Row],[ROE]]-VLOOKUP(Main_L[[#This Row],[Industry]], Mean_ROE_L, 2, FALSE))/(VLOOKUP(Main_L[[#This Row],[Industry]], Mean_ROE_L, 3, FALSE))</f>
        <v>2.0628914320693768</v>
      </c>
      <c r="R94" s="1">
        <f>(Main_L[[#This Row],[ROA]]-VLOOKUP(Main_L[[#This Row],[Industry]], Mean_ROA_L, 2, FALSE))/(VLOOKUP(Main_L[[#This Row],[Industry]], Mean_ROA_L, 3, FALSE))</f>
        <v>1.6642474672521648</v>
      </c>
      <c r="S94" s="1">
        <f>(Main_L[[#This Row],[A/E]]-VLOOKUP(Main_L[[#This Row],[Industry]], Mean_AE_L, 2, FALSE))/(VLOOKUP(Main_L[[#This Row],[Industry]], Mean_AE_L, 3, FALSE))</f>
        <v>0.704506986599581</v>
      </c>
      <c r="T94" s="1">
        <f>(Main_L[[#This Row],[P/E]]-VLOOKUP(Main_L[[#This Row],[Industry]], Mean_PE_L, 2, FALSE))/(VLOOKUP(Main_L[[#This Row],[Industry]], Mean_PE_L, 3, FALSE))</f>
        <v>2.5689273694381463</v>
      </c>
      <c r="U94" t="str">
        <f>IF(OR(Main_L[[#This Row],[P/FCF]]&lt;_xlfn.XLOOKUP(Main_L[[#This Row],[Industry]], Quartile_L[Industry], Quartile_L[P/FCF LB]), Main_L[[#This Row],[P/FCF]]&gt;_xlfn.XLOOKUP(Main_L[[#This Row],[Industry]], Quartile_L[Industry], Quartile_L[P/FCF UB])), "Yes", "No")</f>
        <v>No</v>
      </c>
      <c r="V94" t="str">
        <f>IF(OR(Main_L[[#This Row],[P/B]]&lt;_xlfn.XLOOKUP(Main_L[[#This Row],[Industry]],Quartile_L[Industry],Quartile_L[P/B LB]),Main_L[[#This Row],[P/B]]&gt;_xlfn.XLOOKUP(Main_L[[#This Row],[Industry]],Quartile_L[Industry],Quartile_L[P/B UB])),"Yes","No")</f>
        <v>Yes</v>
      </c>
      <c r="W94" t="str">
        <f>IF(OR(Main_L[[#This Row],[ROE]]&lt;_xlfn.XLOOKUP(Main_L[[#This Row],[Industry]],Quartile_L[Industry],Quartile_L[ROE LB]),Main_L[[#This Row],[ROE]]&gt;_xlfn.XLOOKUP(Main_L[[#This Row],[Industry]],Quartile_L[Industry],Quartile_L[ROE UB])),"Yes","No")</f>
        <v>No</v>
      </c>
      <c r="X94" t="str">
        <f>IF(OR(Main_L[[#This Row],[ROA]]&lt;_xlfn.XLOOKUP(Main_L[[#This Row],[Industry]],Quartile_L[Industry],Quartile_L[ROA LB]),Main_L[[#This Row],[ROA]]&gt;_xlfn.XLOOKUP(Main_L[[#This Row],[Industry]],Quartile_L[Industry],Quartile_L[ROA UB])),"Yes","No")</f>
        <v>No</v>
      </c>
      <c r="Y94" t="str">
        <f>IF(OR(Main_L[[#This Row],[A/E]]&lt;_xlfn.XLOOKUP(Main_L[[#This Row],[Industry]],Quartile_L[Industry],Quartile_L[A/E LB]),Main_L[[#This Row],[A/E]]&gt;_xlfn.XLOOKUP(Main_L[[#This Row],[Industry]],Quartile_L[Industry],Quartile_L[A/E UB])),"Yes","No")</f>
        <v>No</v>
      </c>
      <c r="Z94" t="str">
        <f>IF(OR(Main_L[[#This Row],[P/E]]&lt;_xlfn.XLOOKUP(Main_L[[#This Row],[Industry]],Quartile_L[Industry],Quartile_L[P/E LB]),Main_L[[#This Row],[P/E]]&gt;_xlfn.XLOOKUP(Main_L[[#This Row],[Industry]],Quartile_L[Industry],Quartile_L[P/E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E163-3A46-4293-9585-D09BA5F26B8C}">
  <sheetPr codeName="Sheet3"/>
  <dimension ref="A1:Z111"/>
  <sheetViews>
    <sheetView topLeftCell="H1"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75.85546875" bestFit="1" customWidth="1"/>
    <col min="9" max="9" width="66.42578125" bestFit="1" customWidth="1"/>
    <col min="10" max="10" width="7.7109375" bestFit="1" customWidth="1"/>
    <col min="11" max="11" width="7.140625" bestFit="1" customWidth="1"/>
    <col min="12" max="12" width="6.7109375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8" width="13" bestFit="1" customWidth="1"/>
    <col min="30" max="30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s="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t="s">
        <v>152</v>
      </c>
      <c r="B2" t="s">
        <v>242</v>
      </c>
      <c r="C2" s="2">
        <v>2104</v>
      </c>
      <c r="D2">
        <f>RTD("tos.rtd", , "LAST", Main_M[[#This Row],[Symbol]])</f>
        <v>24.04</v>
      </c>
      <c r="H2" s="1" t="str">
        <f>IF(ISNUMBER(Main_M[[#This Row],[Free CF]]),IF(Main_M[[#This Row],[Free CF]]&lt;&gt;0,Main_M[[#This Row],[Current Price]]/Main_M[[#This Row],[Free CF]],""),"")</f>
        <v/>
      </c>
      <c r="I2" s="1" t="str">
        <f>IF(ISNUMBER(Main_M[[#This Row],[BVPS]]),IF(Main_M[[#This Row],[BVPS]]&lt;&gt;0,Main_M[[#This Row],[Current Price]]/Main_M[[#This Row],[BVPS]],""),"")</f>
        <v/>
      </c>
      <c r="J2">
        <v>-235.32</v>
      </c>
      <c r="K2">
        <v>-9.25</v>
      </c>
      <c r="L2">
        <v>9.91</v>
      </c>
      <c r="M2" s="1" t="str">
        <f>IF(ISNUMBER(Main_M[[#This Row],[EPS]]),IF(Main_M[[#This Row],[EPS]]&lt;&gt;0,Main_M[[#This Row],[Current Price]]/Main_M[[#This Row],[EPS]],""),"")</f>
        <v/>
      </c>
      <c r="N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" s="1" t="e">
        <f>(Main_M[[#This Row],[P/FCF]]-VLOOKUP(Main_M[[#This Row],[Industry]], Mean_PFCF_M, 2, FALSE))/(VLOOKUP(Main_M[[#This Row],[Industry]], Mean_PFCF_M, 3, FALSE))</f>
        <v>#VALUE!</v>
      </c>
      <c r="P2" s="1" t="e">
        <f>(Main_M[[#This Row],[P/B]]-VLOOKUP(Main_M[[#This Row],[Industry]], Mean_PB_M, 2, FALSE))/(VLOOKUP(Main_M[[#This Row],[Industry]], Mean_PB_M, 3, FALSE))</f>
        <v>#VALUE!</v>
      </c>
      <c r="Q2" s="1">
        <f>(Main_M[[#This Row],[ROE]]-VLOOKUP(Main_M[[#This Row],[Industry]], Mean_ROE_M, 2, FALSE))/(VLOOKUP(Main_M[[#This Row],[Industry]], Mean_ROE_M, 3, FALSE))</f>
        <v>-2.7351235808729788</v>
      </c>
      <c r="R2" s="1">
        <f>(Main_M[[#This Row],[ROA]]-VLOOKUP(Main_M[[#This Row],[Industry]], Mean_ROA_M, 2, FALSE))/(VLOOKUP(Main_M[[#This Row],[Industry]], Mean_ROA_M, 3, FALSE))</f>
        <v>0.14588964810461486</v>
      </c>
      <c r="S2" s="1">
        <f>(Main_M[[#This Row],[A/E]]-VLOOKUP(Main_M[[#This Row],[Industry]], Mean_AE_M, 2, FALSE))/(VLOOKUP(Main_M[[#This Row],[Industry]], Mean_AE_M, 3, FALSE))</f>
        <v>50.779474996294347</v>
      </c>
      <c r="T2" s="1" t="e">
        <f>(Main_M[[#This Row],[P/E]]-VLOOKUP(Main_M[[#This Row],[Industry]], Mean_PE_M, 2, FALSE))/(VLOOKUP(Main_M[[#This Row],[Industry]], Mean_PE_M, 3, FALSE))</f>
        <v>#VALUE!</v>
      </c>
      <c r="U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" spans="1:26" x14ac:dyDescent="0.25">
      <c r="A3" t="s">
        <v>152</v>
      </c>
      <c r="B3" t="s">
        <v>243</v>
      </c>
      <c r="C3" s="2">
        <v>2470</v>
      </c>
      <c r="D3">
        <f>RTD("tos.rtd", , "LAST", Main_M[[#This Row],[Symbol]])</f>
        <v>17.2</v>
      </c>
      <c r="E3">
        <v>0.95</v>
      </c>
      <c r="F3">
        <v>4.4000000000000004</v>
      </c>
      <c r="G3">
        <v>1.36</v>
      </c>
      <c r="H3" s="1">
        <f>IF(ISNUMBER(Main_M[[#This Row],[Free CF]]),IF(Main_M[[#This Row],[Free CF]]&lt;&gt;0,Main_M[[#This Row],[Current Price]]/Main_M[[#This Row],[Free CF]],""),"")</f>
        <v>18.105263157894736</v>
      </c>
      <c r="I3" s="1">
        <f>IF(ISNUMBER(Main_M[[#This Row],[BVPS]]),IF(Main_M[[#This Row],[BVPS]]&lt;&gt;0,Main_M[[#This Row],[Current Price]]/Main_M[[#This Row],[BVPS]],""),"")</f>
        <v>3.9090909090909087</v>
      </c>
      <c r="J3">
        <v>38.89</v>
      </c>
      <c r="K3">
        <v>5.44</v>
      </c>
      <c r="L3">
        <v>1.62</v>
      </c>
      <c r="M3" s="1">
        <f>IF(ISNUMBER(Main_M[[#This Row],[EPS]]),IF(Main_M[[#This Row],[EPS]]&lt;&gt;0,Main_M[[#This Row],[Current Price]]/Main_M[[#This Row],[EPS]],""),"")</f>
        <v>12.647058823529409</v>
      </c>
      <c r="N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" s="1">
        <f>(Main_M[[#This Row],[P/FCF]]-VLOOKUP(Main_M[[#This Row],[Industry]], Mean_PFCF_M, 2, FALSE))/(VLOOKUP(Main_M[[#This Row],[Industry]], Mean_PFCF_M, 3, FALSE))</f>
        <v>2.1135516612666549</v>
      </c>
      <c r="P3" s="1">
        <f>(Main_M[[#This Row],[P/B]]-VLOOKUP(Main_M[[#This Row],[Industry]], Mean_PB_M, 2, FALSE))/(VLOOKUP(Main_M[[#This Row],[Industry]], Mean_PB_M, 3, FALSE))</f>
        <v>-0.23233104299450852</v>
      </c>
      <c r="Q3" s="1">
        <f>(Main_M[[#This Row],[ROE]]-VLOOKUP(Main_M[[#This Row],[Industry]], Mean_ROE_M, 2, FALSE))/(VLOOKUP(Main_M[[#This Row],[Industry]], Mean_ROE_M, 3, FALSE))</f>
        <v>0.70180394180811456</v>
      </c>
      <c r="R3" s="1">
        <f>(Main_M[[#This Row],[ROA]]-VLOOKUP(Main_M[[#This Row],[Industry]], Mean_ROA_M, 2, FALSE))/(VLOOKUP(Main_M[[#This Row],[Industry]], Mean_ROA_M, 3, FALSE))</f>
        <v>1.015034852498591</v>
      </c>
      <c r="S3" s="1">
        <f>(Main_M[[#This Row],[A/E]]-VLOOKUP(Main_M[[#This Row],[Industry]], Mean_AE_M, 2, FALSE))/(VLOOKUP(Main_M[[#This Row],[Industry]], Mean_AE_M, 3, FALSE))</f>
        <v>2.3164618756404245</v>
      </c>
      <c r="T3" s="1">
        <f>(Main_M[[#This Row],[P/E]]-VLOOKUP(Main_M[[#This Row],[Industry]], Mean_PE_M, 2, FALSE))/(VLOOKUP(Main_M[[#This Row],[Industry]], Mean_PE_M, 3, FALSE))</f>
        <v>1.1815600067230989</v>
      </c>
      <c r="U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" spans="1:26" x14ac:dyDescent="0.25">
      <c r="A4" t="s">
        <v>152</v>
      </c>
      <c r="B4" t="s">
        <v>244</v>
      </c>
      <c r="C4" s="2">
        <v>2916</v>
      </c>
      <c r="D4">
        <f>RTD("tos.rtd", , "LAST", Main_M[[#This Row],[Symbol]])</f>
        <v>58.25</v>
      </c>
      <c r="E4">
        <v>-1.81</v>
      </c>
      <c r="F4">
        <v>8.3800000000000008</v>
      </c>
      <c r="G4">
        <v>-2</v>
      </c>
      <c r="H4" s="1">
        <f>IF(ISNUMBER(Main_M[[#This Row],[Free CF]]),IF(Main_M[[#This Row],[Free CF]]&lt;&gt;0,Main_M[[#This Row],[Current Price]]/Main_M[[#This Row],[Free CF]],""),"")</f>
        <v>-32.182320441988949</v>
      </c>
      <c r="I4" s="1">
        <f>IF(ISNUMBER(Main_M[[#This Row],[BVPS]]),IF(Main_M[[#This Row],[BVPS]]&lt;&gt;0,Main_M[[#This Row],[Current Price]]/Main_M[[#This Row],[BVPS]],""),"")</f>
        <v>6.95107398568019</v>
      </c>
      <c r="J4">
        <v>-22.84</v>
      </c>
      <c r="K4">
        <v>-11.19</v>
      </c>
      <c r="L4">
        <v>1.56</v>
      </c>
      <c r="M4" s="1">
        <f>IF(ISNUMBER(Main_M[[#This Row],[EPS]]),IF(Main_M[[#This Row],[EPS]]&lt;&gt;0,Main_M[[#This Row],[Current Price]]/Main_M[[#This Row],[EPS]],""),"")</f>
        <v>-29.125</v>
      </c>
      <c r="N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" s="1">
        <f>(Main_M[[#This Row],[P/FCF]]-VLOOKUP(Main_M[[#This Row],[Industry]], Mean_PFCF_M, 2, FALSE))/(VLOOKUP(Main_M[[#This Row],[Industry]], Mean_PFCF_M, 3, FALSE))</f>
        <v>-1.2860903013864566</v>
      </c>
      <c r="P4" s="1">
        <f>(Main_M[[#This Row],[P/B]]-VLOOKUP(Main_M[[#This Row],[Industry]], Mean_PB_M, 2, FALSE))/(VLOOKUP(Main_M[[#This Row],[Industry]], Mean_PB_M, 3, FALSE))</f>
        <v>0.40827258628266566</v>
      </c>
      <c r="Q4" s="1">
        <f>(Main_M[[#This Row],[ROE]]-VLOOKUP(Main_M[[#This Row],[Industry]], Mean_ROE_M, 2, FALSE))/(VLOOKUP(Main_M[[#This Row],[Industry]], Mean_ROE_M, 3, FALSE))</f>
        <v>-7.1915236832722385E-2</v>
      </c>
      <c r="R4" s="1">
        <f>(Main_M[[#This Row],[ROA]]-VLOOKUP(Main_M[[#This Row],[Industry]], Mean_ROA_M, 2, FALSE))/(VLOOKUP(Main_M[[#This Row],[Industry]], Mean_ROA_M, 3, FALSE))</f>
        <v>3.1108048613511158E-2</v>
      </c>
      <c r="S4" s="1">
        <f>(Main_M[[#This Row],[A/E]]-VLOOKUP(Main_M[[#This Row],[Industry]], Mean_AE_M, 2, FALSE))/(VLOOKUP(Main_M[[#This Row],[Industry]], Mean_AE_M, 3, FALSE))</f>
        <v>1.9657042414740507</v>
      </c>
      <c r="T4" s="1">
        <f>(Main_M[[#This Row],[P/E]]-VLOOKUP(Main_M[[#This Row],[Industry]], Mean_PE_M, 2, FALSE))/(VLOOKUP(Main_M[[#This Row],[Industry]], Mean_PE_M, 3, FALSE))</f>
        <v>-1.2727065730210791</v>
      </c>
      <c r="U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" spans="1:26" x14ac:dyDescent="0.25">
      <c r="A5" t="s">
        <v>152</v>
      </c>
      <c r="B5" t="s">
        <v>245</v>
      </c>
      <c r="C5" s="2">
        <v>5632</v>
      </c>
      <c r="D5">
        <f>RTD("tos.rtd", , "LAST", Main_M[[#This Row],[Symbol]])</f>
        <v>19.88</v>
      </c>
      <c r="E5">
        <v>0.47</v>
      </c>
      <c r="F5">
        <v>1.48</v>
      </c>
      <c r="G5">
        <v>0.81</v>
      </c>
      <c r="H5" s="1">
        <f>IF(ISNUMBER(Main_M[[#This Row],[Free CF]]),IF(Main_M[[#This Row],[Free CF]]&lt;&gt;0,Main_M[[#This Row],[Current Price]]/Main_M[[#This Row],[Free CF]],""),"")</f>
        <v>42.297872340425535</v>
      </c>
      <c r="I5" s="1">
        <f>IF(ISNUMBER(Main_M[[#This Row],[BVPS]]),IF(Main_M[[#This Row],[BVPS]]&lt;&gt;0,Main_M[[#This Row],[Current Price]]/Main_M[[#This Row],[BVPS]],""),"")</f>
        <v>13.432432432432432</v>
      </c>
      <c r="J5">
        <v>81.64</v>
      </c>
      <c r="K5">
        <v>21.24</v>
      </c>
      <c r="L5">
        <v>1.4</v>
      </c>
      <c r="M5" s="1">
        <f>IF(ISNUMBER(Main_M[[#This Row],[EPS]]),IF(Main_M[[#This Row],[EPS]]&lt;&gt;0,Main_M[[#This Row],[Current Price]]/Main_M[[#This Row],[EPS]],""),"")</f>
        <v>24.543209876543209</v>
      </c>
      <c r="N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" s="1">
        <f>(Main_M[[#This Row],[P/FCF]]-VLOOKUP(Main_M[[#This Row],[Industry]], Mean_PFCF_M, 2, FALSE))/(VLOOKUP(Main_M[[#This Row],[Industry]], Mean_PFCF_M, 3, FALSE))</f>
        <v>3.7490688898810935</v>
      </c>
      <c r="P5" s="1">
        <f>(Main_M[[#This Row],[P/B]]-VLOOKUP(Main_M[[#This Row],[Industry]], Mean_PB_M, 2, FALSE))/(VLOOKUP(Main_M[[#This Row],[Industry]], Mean_PB_M, 3, FALSE))</f>
        <v>1.7731656968291654</v>
      </c>
      <c r="Q5" s="1">
        <f>(Main_M[[#This Row],[ROE]]-VLOOKUP(Main_M[[#This Row],[Industry]], Mean_ROE_M, 2, FALSE))/(VLOOKUP(Main_M[[#This Row],[Industry]], Mean_ROE_M, 3, FALSE))</f>
        <v>1.2376292275183978</v>
      </c>
      <c r="R5" s="1">
        <f>(Main_M[[#This Row],[ROA]]-VLOOKUP(Main_M[[#This Row],[Industry]], Mean_ROA_M, 2, FALSE))/(VLOOKUP(Main_M[[#This Row],[Industry]], Mean_ROA_M, 3, FALSE))</f>
        <v>1.9498540648488172</v>
      </c>
      <c r="S5" s="1">
        <f>(Main_M[[#This Row],[A/E]]-VLOOKUP(Main_M[[#This Row],[Industry]], Mean_AE_M, 2, FALSE))/(VLOOKUP(Main_M[[#This Row],[Industry]], Mean_AE_M, 3, FALSE))</f>
        <v>1.0303505503637207</v>
      </c>
      <c r="T5" s="1">
        <f>(Main_M[[#This Row],[P/E]]-VLOOKUP(Main_M[[#This Row],[Industry]], Mean_PE_M, 2, FALSE))/(VLOOKUP(Main_M[[#This Row],[Industry]], Mean_PE_M, 3, FALSE))</f>
        <v>1.8805039127523262</v>
      </c>
      <c r="U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" spans="1:26" x14ac:dyDescent="0.25">
      <c r="A6" t="s">
        <v>152</v>
      </c>
      <c r="B6" t="s">
        <v>246</v>
      </c>
      <c r="C6" s="2">
        <v>3409</v>
      </c>
      <c r="D6">
        <f>RTD("tos.rtd", , "LAST", Main_M[[#This Row],[Symbol]])</f>
        <v>40.01</v>
      </c>
      <c r="E6">
        <v>-3.44</v>
      </c>
      <c r="F6">
        <v>10.36</v>
      </c>
      <c r="G6">
        <v>-3.75</v>
      </c>
      <c r="H6" s="1">
        <f>IF(ISNUMBER(Main_M[[#This Row],[Free CF]]),IF(Main_M[[#This Row],[Free CF]]&lt;&gt;0,Main_M[[#This Row],[Current Price]]/Main_M[[#This Row],[Free CF]],""),"")</f>
        <v>-11.630813953488373</v>
      </c>
      <c r="I6" s="1">
        <f>IF(ISNUMBER(Main_M[[#This Row],[BVPS]]),IF(Main_M[[#This Row],[BVPS]]&lt;&gt;0,Main_M[[#This Row],[Current Price]]/Main_M[[#This Row],[BVPS]],""),"")</f>
        <v>3.861969111969112</v>
      </c>
      <c r="J6">
        <v>-39.22</v>
      </c>
      <c r="K6">
        <v>-25.37</v>
      </c>
      <c r="L6">
        <v>1.1000000000000001</v>
      </c>
      <c r="M6" s="1">
        <f>IF(ISNUMBER(Main_M[[#This Row],[EPS]]),IF(Main_M[[#This Row],[EPS]]&lt;&gt;0,Main_M[[#This Row],[Current Price]]/Main_M[[#This Row],[EPS]],""),"")</f>
        <v>-10.669333333333332</v>
      </c>
      <c r="N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" s="1">
        <f>(Main_M[[#This Row],[P/FCF]]-VLOOKUP(Main_M[[#This Row],[Industry]], Mean_PFCF_M, 2, FALSE))/(VLOOKUP(Main_M[[#This Row],[Industry]], Mean_PFCF_M, 3, FALSE))</f>
        <v>0.1032738090458819</v>
      </c>
      <c r="P6" s="1">
        <f>(Main_M[[#This Row],[P/B]]-VLOOKUP(Main_M[[#This Row],[Industry]], Mean_PB_M, 2, FALSE))/(VLOOKUP(Main_M[[#This Row],[Industry]], Mean_PB_M, 3, FALSE))</f>
        <v>-0.24225430472682924</v>
      </c>
      <c r="Q6" s="1">
        <f>(Main_M[[#This Row],[ROE]]-VLOOKUP(Main_M[[#This Row],[Industry]], Mean_ROE_M, 2, FALSE))/(VLOOKUP(Main_M[[#This Row],[Industry]], Mean_ROE_M, 3, FALSE))</f>
        <v>-0.2772209252522414</v>
      </c>
      <c r="R6" s="1">
        <f>(Main_M[[#This Row],[ROA]]-VLOOKUP(Main_M[[#This Row],[Industry]], Mean_ROA_M, 2, FALSE))/(VLOOKUP(Main_M[[#This Row],[Industry]], Mean_ROA_M, 3, FALSE))</f>
        <v>-0.80786261158435024</v>
      </c>
      <c r="S6" s="1">
        <f>(Main_M[[#This Row],[A/E]]-VLOOKUP(Main_M[[#This Row],[Industry]], Mean_AE_M, 2, FALSE))/(VLOOKUP(Main_M[[#This Row],[Industry]], Mean_AE_M, 3, FALSE))</f>
        <v>-0.7234376204681453</v>
      </c>
      <c r="T6" s="1">
        <f>(Main_M[[#This Row],[P/E]]-VLOOKUP(Main_M[[#This Row],[Industry]], Mean_PE_M, 2, FALSE))/(VLOOKUP(Main_M[[#This Row],[Industry]], Mean_PE_M, 3, FALSE))</f>
        <v>-0.18836629431341939</v>
      </c>
      <c r="U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" spans="1:26" x14ac:dyDescent="0.25">
      <c r="A7" t="s">
        <v>152</v>
      </c>
      <c r="B7" t="s">
        <v>247</v>
      </c>
      <c r="C7" s="2">
        <v>5010</v>
      </c>
      <c r="D7">
        <f>RTD("tos.rtd", , "LAST", Main_M[[#This Row],[Symbol]])</f>
        <v>30.84</v>
      </c>
      <c r="E7">
        <v>2.93</v>
      </c>
      <c r="F7">
        <v>9.17</v>
      </c>
      <c r="G7">
        <v>2.11</v>
      </c>
      <c r="H7" s="1">
        <f>IF(ISNUMBER(Main_M[[#This Row],[Free CF]]),IF(Main_M[[#This Row],[Free CF]]&lt;&gt;0,Main_M[[#This Row],[Current Price]]/Main_M[[#This Row],[Free CF]],""),"")</f>
        <v>10.525597269624573</v>
      </c>
      <c r="I7" s="1">
        <f>IF(ISNUMBER(Main_M[[#This Row],[BVPS]]),IF(Main_M[[#This Row],[BVPS]]&lt;&gt;0,Main_M[[#This Row],[Current Price]]/Main_M[[#This Row],[BVPS]],""),"")</f>
        <v>3.3631406761177756</v>
      </c>
      <c r="J7">
        <v>25.71</v>
      </c>
      <c r="K7">
        <v>11.62</v>
      </c>
      <c r="L7">
        <v>1.38</v>
      </c>
      <c r="M7" s="1">
        <f>IF(ISNUMBER(Main_M[[#This Row],[EPS]]),IF(Main_M[[#This Row],[EPS]]&lt;&gt;0,Main_M[[#This Row],[Current Price]]/Main_M[[#This Row],[EPS]],""),"")</f>
        <v>14.616113744075831</v>
      </c>
      <c r="N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" s="1">
        <f>(Main_M[[#This Row],[P/FCF]]-VLOOKUP(Main_M[[#This Row],[Industry]], Mean_PFCF_M, 2, FALSE))/(VLOOKUP(Main_M[[#This Row],[Industry]], Mean_PFCF_M, 3, FALSE))</f>
        <v>1.601135904294128</v>
      </c>
      <c r="P7" s="1">
        <f>(Main_M[[#This Row],[P/B]]-VLOOKUP(Main_M[[#This Row],[Industry]], Mean_PB_M, 2, FALSE))/(VLOOKUP(Main_M[[#This Row],[Industry]], Mean_PB_M, 3, FALSE))</f>
        <v>-0.34730134093562631</v>
      </c>
      <c r="Q7" s="1">
        <f>(Main_M[[#This Row],[ROE]]-VLOOKUP(Main_M[[#This Row],[Industry]], Mean_ROE_M, 2, FALSE))/(VLOOKUP(Main_M[[#This Row],[Industry]], Mean_ROE_M, 3, FALSE))</f>
        <v>0.53660681278679212</v>
      </c>
      <c r="R7" s="1">
        <f>(Main_M[[#This Row],[ROA]]-VLOOKUP(Main_M[[#This Row],[Industry]], Mean_ROA_M, 2, FALSE))/(VLOOKUP(Main_M[[#This Row],[Industry]], Mean_ROA_M, 3, FALSE))</f>
        <v>1.3806793292279833</v>
      </c>
      <c r="S7" s="1">
        <f>(Main_M[[#This Row],[A/E]]-VLOOKUP(Main_M[[#This Row],[Industry]], Mean_AE_M, 2, FALSE))/(VLOOKUP(Main_M[[#This Row],[Industry]], Mean_AE_M, 3, FALSE))</f>
        <v>0.91343133897492945</v>
      </c>
      <c r="T7" s="1">
        <f>(Main_M[[#This Row],[P/E]]-VLOOKUP(Main_M[[#This Row],[Industry]], Mean_PE_M, 2, FALSE))/(VLOOKUP(Main_M[[#This Row],[Industry]], Mean_PE_M, 3, FALSE))</f>
        <v>1.2972494369614718</v>
      </c>
      <c r="U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" spans="1:26" x14ac:dyDescent="0.25">
      <c r="A8" t="s">
        <v>152</v>
      </c>
      <c r="B8" t="s">
        <v>248</v>
      </c>
      <c r="C8" s="2">
        <v>2396</v>
      </c>
      <c r="D8">
        <f>RTD("tos.rtd", , "LAST", Main_M[[#This Row],[Symbol]])</f>
        <v>10.56</v>
      </c>
      <c r="E8">
        <v>-1.1000000000000001</v>
      </c>
      <c r="F8">
        <v>-1.37</v>
      </c>
      <c r="G8">
        <v>-0.87</v>
      </c>
      <c r="H8" s="1">
        <f>IF(ISNUMBER(Main_M[[#This Row],[Free CF]]),IF(Main_M[[#This Row],[Free CF]]&lt;&gt;0,Main_M[[#This Row],[Current Price]]/Main_M[[#This Row],[Free CF]],""),"")</f>
        <v>-9.6</v>
      </c>
      <c r="I8" s="1">
        <f>IF(ISNUMBER(Main_M[[#This Row],[BVPS]]),IF(Main_M[[#This Row],[BVPS]]&lt;&gt;0,Main_M[[#This Row],[Current Price]]/Main_M[[#This Row],[BVPS]],""),"")</f>
        <v>-7.7080291970802914</v>
      </c>
      <c r="J8">
        <v>34.47</v>
      </c>
      <c r="K8">
        <v>4.0599999999999996</v>
      </c>
      <c r="L8">
        <v>-2.96</v>
      </c>
      <c r="M8" s="1">
        <f>IF(ISNUMBER(Main_M[[#This Row],[EPS]]),IF(Main_M[[#This Row],[EPS]]&lt;&gt;0,Main_M[[#This Row],[Current Price]]/Main_M[[#This Row],[EPS]],""),"")</f>
        <v>-12.13793103448276</v>
      </c>
      <c r="N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" s="1">
        <f>(Main_M[[#This Row],[P/FCF]]-VLOOKUP(Main_M[[#This Row],[Industry]], Mean_PFCF_M, 2, FALSE))/(VLOOKUP(Main_M[[#This Row],[Industry]], Mean_PFCF_M, 3, FALSE))</f>
        <v>0.24056496205798458</v>
      </c>
      <c r="P8" s="1">
        <f>(Main_M[[#This Row],[P/B]]-VLOOKUP(Main_M[[#This Row],[Industry]], Mean_PB_M, 2, FALSE))/(VLOOKUP(Main_M[[#This Row],[Industry]], Mean_PB_M, 3, FALSE))</f>
        <v>-2.6787513926126771</v>
      </c>
      <c r="Q8" s="1">
        <f>(Main_M[[#This Row],[ROE]]-VLOOKUP(Main_M[[#This Row],[Industry]], Mean_ROE_M, 2, FALSE))/(VLOOKUP(Main_M[[#This Row],[Industry]], Mean_ROE_M, 3, FALSE))</f>
        <v>0.64640399413935545</v>
      </c>
      <c r="R8" s="1">
        <f>(Main_M[[#This Row],[ROA]]-VLOOKUP(Main_M[[#This Row],[Industry]], Mean_ROA_M, 2, FALSE))/(VLOOKUP(Main_M[[#This Row],[Industry]], Mean_ROA_M, 3, FALSE))</f>
        <v>0.93338608585028027</v>
      </c>
      <c r="S8" s="1">
        <f>(Main_M[[#This Row],[A/E]]-VLOOKUP(Main_M[[#This Row],[Industry]], Mean_AE_M, 2, FALSE))/(VLOOKUP(Main_M[[#This Row],[Industry]], Mean_AE_M, 3, FALSE))</f>
        <v>-24.458037532392744</v>
      </c>
      <c r="T8" s="1">
        <f>(Main_M[[#This Row],[P/E]]-VLOOKUP(Main_M[[#This Row],[Industry]], Mean_PE_M, 2, FALSE))/(VLOOKUP(Main_M[[#This Row],[Industry]], Mean_PE_M, 3, FALSE))</f>
        <v>-0.27465196848253448</v>
      </c>
      <c r="U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" spans="1:26" x14ac:dyDescent="0.25">
      <c r="A9" t="s">
        <v>152</v>
      </c>
      <c r="B9" t="s">
        <v>249</v>
      </c>
      <c r="C9" s="2">
        <v>2057</v>
      </c>
      <c r="D9">
        <f>RTD("tos.rtd", , "LAST", Main_M[[#This Row],[Symbol]])</f>
        <v>39.74</v>
      </c>
      <c r="E9">
        <v>-3.12</v>
      </c>
      <c r="F9">
        <v>12.35</v>
      </c>
      <c r="G9">
        <v>-3.3</v>
      </c>
      <c r="H9" s="1">
        <f>IF(ISNUMBER(Main_M[[#This Row],[Free CF]]),IF(Main_M[[#This Row],[Free CF]]&lt;&gt;0,Main_M[[#This Row],[Current Price]]/Main_M[[#This Row],[Free CF]],""),"")</f>
        <v>-12.737179487179487</v>
      </c>
      <c r="I9" s="1">
        <f>IF(ISNUMBER(Main_M[[#This Row],[BVPS]]),IF(Main_M[[#This Row],[BVPS]]&lt;&gt;0,Main_M[[#This Row],[Current Price]]/Main_M[[#This Row],[BVPS]],""),"")</f>
        <v>3.2178137651821865</v>
      </c>
      <c r="J9">
        <v>-33.22</v>
      </c>
      <c r="K9">
        <v>-23.46</v>
      </c>
      <c r="L9">
        <v>1.05</v>
      </c>
      <c r="M9" s="1">
        <f>IF(ISNUMBER(Main_M[[#This Row],[EPS]]),IF(Main_M[[#This Row],[EPS]]&lt;&gt;0,Main_M[[#This Row],[Current Price]]/Main_M[[#This Row],[EPS]],""),"")</f>
        <v>-12.042424242424243</v>
      </c>
      <c r="N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" s="1">
        <f>(Main_M[[#This Row],[P/FCF]]-VLOOKUP(Main_M[[#This Row],[Industry]], Mean_PFCF_M, 2, FALSE))/(VLOOKUP(Main_M[[#This Row],[Industry]], Mean_PFCF_M, 3, FALSE))</f>
        <v>2.8479069964839284E-2</v>
      </c>
      <c r="P9" s="1">
        <f>(Main_M[[#This Row],[P/B]]-VLOOKUP(Main_M[[#This Row],[Industry]], Mean_PB_M, 2, FALSE))/(VLOOKUP(Main_M[[#This Row],[Industry]], Mean_PB_M, 3, FALSE))</f>
        <v>-0.37790537265869584</v>
      </c>
      <c r="Q9" s="1">
        <f>(Main_M[[#This Row],[ROE]]-VLOOKUP(Main_M[[#This Row],[Industry]], Mean_ROE_M, 2, FALSE))/(VLOOKUP(Main_M[[#This Row],[Industry]], Mean_ROE_M, 3, FALSE))</f>
        <v>-0.2020173763806227</v>
      </c>
      <c r="R9" s="1">
        <f>(Main_M[[#This Row],[ROA]]-VLOOKUP(Main_M[[#This Row],[Industry]], Mean_ROA_M, 2, FALSE))/(VLOOKUP(Main_M[[#This Row],[Industry]], Mean_ROA_M, 3, FALSE))</f>
        <v>-0.69485598528125325</v>
      </c>
      <c r="S9" s="1">
        <f>(Main_M[[#This Row],[A/E]]-VLOOKUP(Main_M[[#This Row],[Industry]], Mean_AE_M, 2, FALSE))/(VLOOKUP(Main_M[[#This Row],[Industry]], Mean_AE_M, 3, FALSE))</f>
        <v>-1.0157356489401235</v>
      </c>
      <c r="T9" s="1">
        <f>(Main_M[[#This Row],[P/E]]-VLOOKUP(Main_M[[#This Row],[Industry]], Mean_PE_M, 2, FALSE))/(VLOOKUP(Main_M[[#This Row],[Industry]], Mean_PE_M, 3, FALSE))</f>
        <v>-0.2690405829178909</v>
      </c>
      <c r="U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" spans="1:26" x14ac:dyDescent="0.25">
      <c r="A10" t="s">
        <v>152</v>
      </c>
      <c r="B10" t="s">
        <v>250</v>
      </c>
      <c r="C10" s="2">
        <v>2261</v>
      </c>
      <c r="D10">
        <f>RTD("tos.rtd", , "LAST", Main_M[[#This Row],[Symbol]])</f>
        <v>17.28</v>
      </c>
      <c r="E10">
        <v>-0.71</v>
      </c>
      <c r="F10">
        <v>1.84</v>
      </c>
      <c r="G10">
        <v>-1.6</v>
      </c>
      <c r="H10" s="1">
        <f>IF(ISNUMBER(Main_M[[#This Row],[Free CF]]),IF(Main_M[[#This Row],[Free CF]]&lt;&gt;0,Main_M[[#This Row],[Current Price]]/Main_M[[#This Row],[Free CF]],""),"")</f>
        <v>-24.338028169014088</v>
      </c>
      <c r="I10" s="1">
        <f>IF(ISNUMBER(Main_M[[#This Row],[BVPS]]),IF(Main_M[[#This Row],[BVPS]]&lt;&gt;0,Main_M[[#This Row],[Current Price]]/Main_M[[#This Row],[BVPS]],""),"")</f>
        <v>9.3913043478260878</v>
      </c>
      <c r="J10">
        <v>-93.55</v>
      </c>
      <c r="K10">
        <v>-12.32</v>
      </c>
      <c r="L10">
        <v>3.87</v>
      </c>
      <c r="M10" s="1">
        <f>IF(ISNUMBER(Main_M[[#This Row],[EPS]]),IF(Main_M[[#This Row],[EPS]]&lt;&gt;0,Main_M[[#This Row],[Current Price]]/Main_M[[#This Row],[EPS]],""),"")</f>
        <v>-10.8</v>
      </c>
      <c r="N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" s="1">
        <f>(Main_M[[#This Row],[P/FCF]]-VLOOKUP(Main_M[[#This Row],[Industry]], Mean_PFCF_M, 2, FALSE))/(VLOOKUP(Main_M[[#This Row],[Industry]], Mean_PFCF_M, 3, FALSE))</f>
        <v>-0.75578474145530539</v>
      </c>
      <c r="P10" s="1">
        <f>(Main_M[[#This Row],[P/B]]-VLOOKUP(Main_M[[#This Row],[Industry]], Mean_PB_M, 2, FALSE))/(VLOOKUP(Main_M[[#This Row],[Industry]], Mean_PB_M, 3, FALSE))</f>
        <v>0.92215461221941819</v>
      </c>
      <c r="Q10" s="1">
        <f>(Main_M[[#This Row],[ROE]]-VLOOKUP(Main_M[[#This Row],[Industry]], Mean_ROE_M, 2, FALSE))/(VLOOKUP(Main_M[[#This Row],[Industry]], Mean_ROE_M, 3, FALSE))</f>
        <v>-0.95818906028474848</v>
      </c>
      <c r="R10" s="1">
        <f>(Main_M[[#This Row],[ROA]]-VLOOKUP(Main_M[[#This Row],[Industry]], Mean_ROA_M, 2, FALSE))/(VLOOKUP(Main_M[[#This Row],[Industry]], Mean_ROA_M, 3, FALSE))</f>
        <v>-3.5749274801410137E-2</v>
      </c>
      <c r="S10" s="1">
        <f>(Main_M[[#This Row],[A/E]]-VLOOKUP(Main_M[[#This Row],[Industry]], Mean_AE_M, 2, FALSE))/(VLOOKUP(Main_M[[#This Row],[Industry]], Mean_AE_M, 3, FALSE))</f>
        <v>15.469873156879428</v>
      </c>
      <c r="T10" s="1">
        <f>(Main_M[[#This Row],[P/E]]-VLOOKUP(Main_M[[#This Row],[Industry]], Mean_PE_M, 2, FALSE))/(VLOOKUP(Main_M[[#This Row],[Industry]], Mean_PE_M, 3, FALSE))</f>
        <v>-0.19604345560540573</v>
      </c>
      <c r="U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" spans="1:26" x14ac:dyDescent="0.25">
      <c r="A11" t="s">
        <v>152</v>
      </c>
      <c r="B11" t="s">
        <v>251</v>
      </c>
      <c r="C11" s="2">
        <v>9720</v>
      </c>
      <c r="D11">
        <f>RTD("tos.rtd", , "LAST", Main_M[[#This Row],[Symbol]])</f>
        <v>161.52000000000001</v>
      </c>
      <c r="E11">
        <v>-4.07</v>
      </c>
      <c r="F11">
        <v>-3.4</v>
      </c>
      <c r="G11">
        <v>-6.3</v>
      </c>
      <c r="H11" s="1">
        <f>IF(ISNUMBER(Main_M[[#This Row],[Free CF]]),IF(Main_M[[#This Row],[Free CF]]&lt;&gt;0,Main_M[[#This Row],[Current Price]]/Main_M[[#This Row],[Free CF]],""),"")</f>
        <v>-39.685503685503683</v>
      </c>
      <c r="I11" s="1">
        <f>IF(ISNUMBER(Main_M[[#This Row],[BVPS]]),IF(Main_M[[#This Row],[BVPS]]&lt;&gt;0,Main_M[[#This Row],[Current Price]]/Main_M[[#This Row],[BVPS]],""),"")</f>
        <v>-47.505882352941178</v>
      </c>
      <c r="J11">
        <v>159.66999999999999</v>
      </c>
      <c r="K11">
        <v>-22.39</v>
      </c>
      <c r="L11">
        <v>-5.59</v>
      </c>
      <c r="M11" s="1">
        <f>IF(ISNUMBER(Main_M[[#This Row],[EPS]]),IF(Main_M[[#This Row],[EPS]]&lt;&gt;0,Main_M[[#This Row],[Current Price]]/Main_M[[#This Row],[EPS]],""),"")</f>
        <v>-25.638095238095239</v>
      </c>
      <c r="N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" s="1">
        <f>(Main_M[[#This Row],[P/FCF]]-VLOOKUP(Main_M[[#This Row],[Industry]], Mean_PFCF_M, 2, FALSE))/(VLOOKUP(Main_M[[#This Row],[Industry]], Mean_PFCF_M, 3, FALSE))</f>
        <v>-1.7933355253981225</v>
      </c>
      <c r="P11" s="1">
        <f>(Main_M[[#This Row],[P/B]]-VLOOKUP(Main_M[[#This Row],[Industry]], Mean_PB_M, 2, FALSE))/(VLOOKUP(Main_M[[#This Row],[Industry]], Mean_PB_M, 3, FALSE))</f>
        <v>-11.059682031342437</v>
      </c>
      <c r="Q11" s="1">
        <f>(Main_M[[#This Row],[ROE]]-VLOOKUP(Main_M[[#This Row],[Industry]], Mean_ROE_M, 2, FALSE))/(VLOOKUP(Main_M[[#This Row],[Industry]], Mean_ROE_M, 3, FALSE))</f>
        <v>2.2156513805937985</v>
      </c>
      <c r="R11" s="1">
        <f>(Main_M[[#This Row],[ROA]]-VLOOKUP(Main_M[[#This Row],[Industry]], Mean_ROA_M, 2, FALSE))/(VLOOKUP(Main_M[[#This Row],[Industry]], Mean_ROA_M, 3, FALSE))</f>
        <v>-0.63154860824234549</v>
      </c>
      <c r="S11" s="1">
        <f>(Main_M[[#This Row],[A/E]]-VLOOKUP(Main_M[[#This Row],[Industry]], Mean_AE_M, 2, FALSE))/(VLOOKUP(Main_M[[#This Row],[Industry]], Mean_AE_M, 3, FALSE))</f>
        <v>-39.832913830018782</v>
      </c>
      <c r="T11" s="1">
        <f>(Main_M[[#This Row],[P/E]]-VLOOKUP(Main_M[[#This Row],[Industry]], Mean_PE_M, 2, FALSE))/(VLOOKUP(Main_M[[#This Row],[Industry]], Mean_PE_M, 3, FALSE))</f>
        <v>-1.0678377189373718</v>
      </c>
      <c r="U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2" spans="1:26" x14ac:dyDescent="0.25">
      <c r="A12" t="s">
        <v>152</v>
      </c>
      <c r="B12" t="s">
        <v>252</v>
      </c>
      <c r="C12" s="2">
        <v>6802</v>
      </c>
      <c r="D12">
        <f>RTD("tos.rtd", , "LAST", Main_M[[#This Row],[Symbol]])</f>
        <v>33.26</v>
      </c>
      <c r="E12">
        <v>-2.7</v>
      </c>
      <c r="F12">
        <v>-8.68</v>
      </c>
      <c r="G12">
        <v>-3.54</v>
      </c>
      <c r="H12" s="1">
        <f>IF(ISNUMBER(Main_M[[#This Row],[Free CF]]),IF(Main_M[[#This Row],[Free CF]]&lt;&gt;0,Main_M[[#This Row],[Current Price]]/Main_M[[#This Row],[Free CF]],""),"")</f>
        <v>-12.318518518518516</v>
      </c>
      <c r="I12" s="1">
        <f>IF(ISNUMBER(Main_M[[#This Row],[BVPS]]),IF(Main_M[[#This Row],[BVPS]]&lt;&gt;0,Main_M[[#This Row],[Current Price]]/Main_M[[#This Row],[BVPS]],""),"")</f>
        <v>-3.8317972350230414</v>
      </c>
      <c r="J12">
        <v>50.59</v>
      </c>
      <c r="K12">
        <v>-48.27</v>
      </c>
      <c r="L12">
        <v>-0.53</v>
      </c>
      <c r="M12" s="1">
        <f>IF(ISNUMBER(Main_M[[#This Row],[EPS]]),IF(Main_M[[#This Row],[EPS]]&lt;&gt;0,Main_M[[#This Row],[Current Price]]/Main_M[[#This Row],[EPS]],""),"")</f>
        <v>-9.3954802259887007</v>
      </c>
      <c r="N1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2" s="1">
        <f>(Main_M[[#This Row],[P/FCF]]-VLOOKUP(Main_M[[#This Row],[Industry]], Mean_PFCF_M, 2, FALSE))/(VLOOKUP(Main_M[[#This Row],[Industry]], Mean_PFCF_M, 3, FALSE))</f>
        <v>5.6782227430296192E-2</v>
      </c>
      <c r="P12" s="1">
        <f>(Main_M[[#This Row],[P/B]]-VLOOKUP(Main_M[[#This Row],[Industry]], Mean_PB_M, 2, FALSE))/(VLOOKUP(Main_M[[#This Row],[Industry]], Mean_PB_M, 3, FALSE))</f>
        <v>-1.8624653711933279</v>
      </c>
      <c r="Q12" s="1">
        <f>(Main_M[[#This Row],[ROE]]-VLOOKUP(Main_M[[#This Row],[Industry]], Mean_ROE_M, 2, FALSE))/(VLOOKUP(Main_M[[#This Row],[Industry]], Mean_ROE_M, 3, FALSE))</f>
        <v>0.8484508621077711</v>
      </c>
      <c r="R12" s="1">
        <f>(Main_M[[#This Row],[ROA]]-VLOOKUP(Main_M[[#This Row],[Industry]], Mean_ROA_M, 2, FALSE))/(VLOOKUP(Main_M[[#This Row],[Industry]], Mean_ROA_M, 3, FALSE))</f>
        <v>-2.1627588117628429</v>
      </c>
      <c r="S12" s="1">
        <f>(Main_M[[#This Row],[A/E]]-VLOOKUP(Main_M[[#This Row],[Industry]], Mean_AE_M, 2, FALSE))/(VLOOKUP(Main_M[[#This Row],[Industry]], Mean_AE_M, 3, FALSE))</f>
        <v>-10.252353348654625</v>
      </c>
      <c r="T12" s="1">
        <f>(Main_M[[#This Row],[P/E]]-VLOOKUP(Main_M[[#This Row],[Industry]], Mean_PE_M, 2, FALSE))/(VLOOKUP(Main_M[[#This Row],[Industry]], Mean_PE_M, 3, FALSE))</f>
        <v>-0.11352260221610348</v>
      </c>
      <c r="U1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3" spans="1:26" x14ac:dyDescent="0.25">
      <c r="A13" t="s">
        <v>152</v>
      </c>
      <c r="B13" t="s">
        <v>253</v>
      </c>
      <c r="C13" s="2">
        <v>2109</v>
      </c>
      <c r="D13">
        <f>RTD("tos.rtd", , "LAST", Main_M[[#This Row],[Symbol]])</f>
        <v>10.06</v>
      </c>
      <c r="E13">
        <v>-0.26</v>
      </c>
      <c r="F13">
        <v>-2.2799999999999998</v>
      </c>
      <c r="G13">
        <v>-0.26</v>
      </c>
      <c r="H13" s="1">
        <f>IF(ISNUMBER(Main_M[[#This Row],[Free CF]]),IF(Main_M[[#This Row],[Free CF]]&lt;&gt;0,Main_M[[#This Row],[Current Price]]/Main_M[[#This Row],[Free CF]],""),"")</f>
        <v>-38.692307692307693</v>
      </c>
      <c r="I13" s="1">
        <f>IF(ISNUMBER(Main_M[[#This Row],[BVPS]]),IF(Main_M[[#This Row],[BVPS]]&lt;&gt;0,Main_M[[#This Row],[Current Price]]/Main_M[[#This Row],[BVPS]],""),"")</f>
        <v>-4.4122807017543861</v>
      </c>
      <c r="J13">
        <v>19.079999999999998</v>
      </c>
      <c r="K13">
        <v>-0.16</v>
      </c>
      <c r="L13">
        <v>-1.03</v>
      </c>
      <c r="M13" s="1">
        <f>IF(ISNUMBER(Main_M[[#This Row],[EPS]]),IF(Main_M[[#This Row],[EPS]]&lt;&gt;0,Main_M[[#This Row],[Current Price]]/Main_M[[#This Row],[EPS]],""),"")</f>
        <v>-38.692307692307693</v>
      </c>
      <c r="N1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3" s="1">
        <f>(Main_M[[#This Row],[P/FCF]]-VLOOKUP(Main_M[[#This Row],[Industry]], Mean_PFCF_M, 2, FALSE))/(VLOOKUP(Main_M[[#This Row],[Industry]], Mean_PFCF_M, 3, FALSE))</f>
        <v>-1.726191500294959</v>
      </c>
      <c r="P13" s="1">
        <f>(Main_M[[#This Row],[P/B]]-VLOOKUP(Main_M[[#This Row],[Industry]], Mean_PB_M, 2, FALSE))/(VLOOKUP(Main_M[[#This Row],[Industry]], Mean_PB_M, 3, FALSE))</f>
        <v>-1.9847079367043861</v>
      </c>
      <c r="Q13" s="1">
        <f>(Main_M[[#This Row],[ROE]]-VLOOKUP(Main_M[[#This Row],[Industry]], Mean_ROE_M, 2, FALSE))/(VLOOKUP(Main_M[[#This Row],[Industry]], Mean_ROE_M, 3, FALSE))</f>
        <v>0.45350689128365351</v>
      </c>
      <c r="R13" s="1">
        <f>(Main_M[[#This Row],[ROA]]-VLOOKUP(Main_M[[#This Row],[Industry]], Mean_ROA_M, 2, FALSE))/(VLOOKUP(Main_M[[#This Row],[Industry]], Mean_ROA_M, 3, FALSE))</f>
        <v>0.68370652407066279</v>
      </c>
      <c r="S13" s="1">
        <f>(Main_M[[#This Row],[A/E]]-VLOOKUP(Main_M[[#This Row],[Industry]], Mean_AE_M, 2, FALSE))/(VLOOKUP(Main_M[[#This Row],[Industry]], Mean_AE_M, 3, FALSE))</f>
        <v>-13.175333633374402</v>
      </c>
      <c r="T13" s="1">
        <f>(Main_M[[#This Row],[P/E]]-VLOOKUP(Main_M[[#This Row],[Industry]], Mean_PE_M, 2, FALSE))/(VLOOKUP(Main_M[[#This Row],[Industry]], Mean_PE_M, 3, FALSE))</f>
        <v>-1.8348221160101628</v>
      </c>
      <c r="U1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4" spans="1:26" x14ac:dyDescent="0.25">
      <c r="A14" t="s">
        <v>152</v>
      </c>
      <c r="B14" t="s">
        <v>254</v>
      </c>
      <c r="C14" s="2">
        <v>6445</v>
      </c>
      <c r="D14">
        <f>RTD("tos.rtd", , "LAST", Main_M[[#This Row],[Symbol]])</f>
        <v>99.405000000000001</v>
      </c>
      <c r="E14">
        <v>-2.38</v>
      </c>
      <c r="F14">
        <v>5.3</v>
      </c>
      <c r="G14">
        <v>-2.4500000000000002</v>
      </c>
      <c r="H14" s="1">
        <f>IF(ISNUMBER(Main_M[[#This Row],[Free CF]]),IF(Main_M[[#This Row],[Free CF]]&lt;&gt;0,Main_M[[#This Row],[Current Price]]/Main_M[[#This Row],[Free CF]],""),"")</f>
        <v>-41.766806722689076</v>
      </c>
      <c r="I14" s="1">
        <f>IF(ISNUMBER(Main_M[[#This Row],[BVPS]]),IF(Main_M[[#This Row],[BVPS]]&lt;&gt;0,Main_M[[#This Row],[Current Price]]/Main_M[[#This Row],[BVPS]],""),"")</f>
        <v>18.755660377358492</v>
      </c>
      <c r="J14">
        <v>-47.71</v>
      </c>
      <c r="K14">
        <v>-9.75</v>
      </c>
      <c r="L14">
        <v>3.49</v>
      </c>
      <c r="M14" s="1">
        <f>IF(ISNUMBER(Main_M[[#This Row],[EPS]]),IF(Main_M[[#This Row],[EPS]]&lt;&gt;0,Main_M[[#This Row],[Current Price]]/Main_M[[#This Row],[EPS]],""),"")</f>
        <v>-40.573469387755097</v>
      </c>
      <c r="N1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4" s="1">
        <f>(Main_M[[#This Row],[P/FCF]]-VLOOKUP(Main_M[[#This Row],[Industry]], Mean_PFCF_M, 2, FALSE))/(VLOOKUP(Main_M[[#This Row],[Industry]], Mean_PFCF_M, 3, FALSE))</f>
        <v>-1.9340399425860899</v>
      </c>
      <c r="P14" s="1">
        <f>(Main_M[[#This Row],[P/B]]-VLOOKUP(Main_M[[#This Row],[Industry]], Mean_PB_M, 2, FALSE))/(VLOOKUP(Main_M[[#This Row],[Industry]], Mean_PB_M, 3, FALSE))</f>
        <v>2.894170993417712</v>
      </c>
      <c r="Q14" s="1">
        <f>(Main_M[[#This Row],[ROE]]-VLOOKUP(Main_M[[#This Row],[Industry]], Mean_ROE_M, 2, FALSE))/(VLOOKUP(Main_M[[#This Row],[Industry]], Mean_ROE_M, 3, FALSE))</f>
        <v>-0.38363394690558184</v>
      </c>
      <c r="R14" s="1">
        <f>(Main_M[[#This Row],[ROA]]-VLOOKUP(Main_M[[#This Row],[Industry]], Mean_ROA_M, 2, FALSE))/(VLOOKUP(Main_M[[#This Row],[Industry]], Mean_ROA_M, 3, FALSE))</f>
        <v>0.11630676163783556</v>
      </c>
      <c r="S14" s="1">
        <f>(Main_M[[#This Row],[A/E]]-VLOOKUP(Main_M[[#This Row],[Industry]], Mean_AE_M, 2, FALSE))/(VLOOKUP(Main_M[[#This Row],[Industry]], Mean_AE_M, 3, FALSE))</f>
        <v>13.248408140492398</v>
      </c>
      <c r="T14" s="1">
        <f>(Main_M[[#This Row],[P/E]]-VLOOKUP(Main_M[[#This Row],[Industry]], Mean_PE_M, 2, FALSE))/(VLOOKUP(Main_M[[#This Row],[Industry]], Mean_PE_M, 3, FALSE))</f>
        <v>-1.9453474865631426</v>
      </c>
      <c r="U1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5" spans="1:26" x14ac:dyDescent="0.25">
      <c r="A15" t="s">
        <v>152</v>
      </c>
      <c r="B15" t="s">
        <v>255</v>
      </c>
      <c r="C15" s="2">
        <v>2861</v>
      </c>
      <c r="D15">
        <f>RTD("tos.rtd", , "LAST", Main_M[[#This Row],[Symbol]])</f>
        <v>23.65</v>
      </c>
      <c r="E15">
        <v>2.02</v>
      </c>
      <c r="F15">
        <v>6.02</v>
      </c>
      <c r="G15">
        <v>1.31</v>
      </c>
      <c r="H15" s="1">
        <f>IF(ISNUMBER(Main_M[[#This Row],[Free CF]]),IF(Main_M[[#This Row],[Free CF]]&lt;&gt;0,Main_M[[#This Row],[Current Price]]/Main_M[[#This Row],[Free CF]],""),"")</f>
        <v>11.707920792079207</v>
      </c>
      <c r="I15" s="1">
        <f>IF(ISNUMBER(Main_M[[#This Row],[BVPS]]),IF(Main_M[[#This Row],[BVPS]]&lt;&gt;0,Main_M[[#This Row],[Current Price]]/Main_M[[#This Row],[BVPS]],""),"")</f>
        <v>3.9285714285714288</v>
      </c>
      <c r="J15">
        <v>29.38</v>
      </c>
      <c r="K15">
        <v>18.46</v>
      </c>
      <c r="L15">
        <v>1.17</v>
      </c>
      <c r="M15" s="1">
        <f>IF(ISNUMBER(Main_M[[#This Row],[EPS]]),IF(Main_M[[#This Row],[EPS]]&lt;&gt;0,Main_M[[#This Row],[Current Price]]/Main_M[[#This Row],[EPS]],""),"")</f>
        <v>18.053435114503817</v>
      </c>
      <c r="N1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5" s="1">
        <f>(Main_M[[#This Row],[P/FCF]]-VLOOKUP(Main_M[[#This Row],[Industry]], Mean_PFCF_M, 2, FALSE))/(VLOOKUP(Main_M[[#This Row],[Industry]], Mean_PFCF_M, 3, FALSE))</f>
        <v>1.6810657074906752</v>
      </c>
      <c r="P15" s="1">
        <f>(Main_M[[#This Row],[P/B]]-VLOOKUP(Main_M[[#This Row],[Industry]], Mean_PB_M, 2, FALSE))/(VLOOKUP(Main_M[[#This Row],[Industry]], Mean_PB_M, 3, FALSE))</f>
        <v>-0.22822868898226403</v>
      </c>
      <c r="Q15" s="1">
        <f>(Main_M[[#This Row],[ROE]]-VLOOKUP(Main_M[[#This Row],[Industry]], Mean_ROE_M, 2, FALSE))/(VLOOKUP(Main_M[[#This Row],[Industry]], Mean_ROE_M, 3, FALSE))</f>
        <v>0.58260631684659892</v>
      </c>
      <c r="R15" s="1">
        <f>(Main_M[[#This Row],[ROA]]-VLOOKUP(Main_M[[#This Row],[Industry]], Mean_ROA_M, 2, FALSE))/(VLOOKUP(Main_M[[#This Row],[Industry]], Mean_ROA_M, 3, FALSE))</f>
        <v>1.7853732160935245</v>
      </c>
      <c r="S15" s="1">
        <f>(Main_M[[#This Row],[A/E]]-VLOOKUP(Main_M[[#This Row],[Industry]], Mean_AE_M, 2, FALSE))/(VLOOKUP(Main_M[[#This Row],[Industry]], Mean_AE_M, 3, FALSE))</f>
        <v>-0.31422038060737728</v>
      </c>
      <c r="T15" s="1">
        <f>(Main_M[[#This Row],[P/E]]-VLOOKUP(Main_M[[#This Row],[Industry]], Mean_PE_M, 2, FALSE))/(VLOOKUP(Main_M[[#This Row],[Industry]], Mean_PE_M, 3, FALSE))</f>
        <v>1.4992050791030549</v>
      </c>
      <c r="U1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6" spans="1:26" x14ac:dyDescent="0.25">
      <c r="A16" t="s">
        <v>152</v>
      </c>
      <c r="B16" t="s">
        <v>256</v>
      </c>
      <c r="C16" s="2">
        <v>2939</v>
      </c>
      <c r="D16">
        <f>RTD("tos.rtd", , "LAST", Main_M[[#This Row],[Symbol]])</f>
        <v>30.95</v>
      </c>
      <c r="E16">
        <v>-2.84</v>
      </c>
      <c r="F16">
        <v>14.26</v>
      </c>
      <c r="G16">
        <v>-3.69</v>
      </c>
      <c r="H16" s="1">
        <f>IF(ISNUMBER(Main_M[[#This Row],[Free CF]]),IF(Main_M[[#This Row],[Free CF]]&lt;&gt;0,Main_M[[#This Row],[Current Price]]/Main_M[[#This Row],[Free CF]],""),"")</f>
        <v>-10.897887323943662</v>
      </c>
      <c r="I16" s="1">
        <f>IF(ISNUMBER(Main_M[[#This Row],[BVPS]]),IF(Main_M[[#This Row],[BVPS]]&lt;&gt;0,Main_M[[#This Row],[Current Price]]/Main_M[[#This Row],[BVPS]],""),"")</f>
        <v>2.170406732117812</v>
      </c>
      <c r="J16">
        <v>-32.020000000000003</v>
      </c>
      <c r="K16">
        <v>-20.46</v>
      </c>
      <c r="L16">
        <v>1.08</v>
      </c>
      <c r="M16" s="1">
        <f>IF(ISNUMBER(Main_M[[#This Row],[EPS]]),IF(Main_M[[#This Row],[EPS]]&lt;&gt;0,Main_M[[#This Row],[Current Price]]/Main_M[[#This Row],[EPS]],""),"")</f>
        <v>-8.3875338753387538</v>
      </c>
      <c r="N1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6" s="1">
        <f>(Main_M[[#This Row],[P/FCF]]-VLOOKUP(Main_M[[#This Row],[Industry]], Mean_PFCF_M, 2, FALSE))/(VLOOKUP(Main_M[[#This Row],[Industry]], Mean_PFCF_M, 3, FALSE))</f>
        <v>0.15282258325566264</v>
      </c>
      <c r="P16" s="1">
        <f>(Main_M[[#This Row],[P/B]]-VLOOKUP(Main_M[[#This Row],[Industry]], Mean_PB_M, 2, FALSE))/(VLOOKUP(Main_M[[#This Row],[Industry]], Mean_PB_M, 3, FALSE))</f>
        <v>-0.59847620747865171</v>
      </c>
      <c r="Q16" s="1">
        <f>(Main_M[[#This Row],[ROE]]-VLOOKUP(Main_M[[#This Row],[Industry]], Mean_ROE_M, 2, FALSE))/(VLOOKUP(Main_M[[#This Row],[Industry]], Mean_ROE_M, 3, FALSE))</f>
        <v>-0.186976666606299</v>
      </c>
      <c r="R16" s="1">
        <f>(Main_M[[#This Row],[ROA]]-VLOOKUP(Main_M[[#This Row],[Industry]], Mean_ROA_M, 2, FALSE))/(VLOOKUP(Main_M[[#This Row],[Industry]], Mean_ROA_M, 3, FALSE))</f>
        <v>-0.51735866648057738</v>
      </c>
      <c r="S16" s="1">
        <f>(Main_M[[#This Row],[A/E]]-VLOOKUP(Main_M[[#This Row],[Industry]], Mean_AE_M, 2, FALSE))/(VLOOKUP(Main_M[[#This Row],[Industry]], Mean_AE_M, 3, FALSE))</f>
        <v>-0.84035683185693655</v>
      </c>
      <c r="T16" s="1">
        <f>(Main_M[[#This Row],[P/E]]-VLOOKUP(Main_M[[#This Row],[Industry]], Mean_PE_M, 2, FALSE))/(VLOOKUP(Main_M[[#This Row],[Industry]], Mean_PE_M, 3, FALSE))</f>
        <v>-5.4301938637466463E-2</v>
      </c>
      <c r="U1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7" spans="1:26" x14ac:dyDescent="0.25">
      <c r="A17" t="s">
        <v>152</v>
      </c>
      <c r="B17" t="s">
        <v>257</v>
      </c>
      <c r="C17" s="2">
        <v>2958</v>
      </c>
      <c r="D17">
        <f>RTD("tos.rtd", , "LAST", Main_M[[#This Row],[Symbol]])</f>
        <v>37.22</v>
      </c>
      <c r="E17">
        <v>-1.71</v>
      </c>
      <c r="F17">
        <v>22.53</v>
      </c>
      <c r="G17">
        <v>-4.34</v>
      </c>
      <c r="H17" s="1">
        <f>IF(ISNUMBER(Main_M[[#This Row],[Free CF]]),IF(Main_M[[#This Row],[Free CF]]&lt;&gt;0,Main_M[[#This Row],[Current Price]]/Main_M[[#This Row],[Free CF]],""),"")</f>
        <v>-21.76608187134503</v>
      </c>
      <c r="I17" s="1">
        <f>IF(ISNUMBER(Main_M[[#This Row],[BVPS]]),IF(Main_M[[#This Row],[BVPS]]&lt;&gt;0,Main_M[[#This Row],[Current Price]]/Main_M[[#This Row],[BVPS]],""),"")</f>
        <v>1.6520195295162006</v>
      </c>
      <c r="J17">
        <v>-19.2</v>
      </c>
      <c r="K17">
        <v>-13.04</v>
      </c>
      <c r="L17">
        <v>1.1599999999999999</v>
      </c>
      <c r="M17" s="1">
        <f>IF(ISNUMBER(Main_M[[#This Row],[EPS]]),IF(Main_M[[#This Row],[EPS]]&lt;&gt;0,Main_M[[#This Row],[Current Price]]/Main_M[[#This Row],[EPS]],""),"")</f>
        <v>-8.5760368663594466</v>
      </c>
      <c r="N1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7" s="1">
        <f>(Main_M[[#This Row],[P/FCF]]-VLOOKUP(Main_M[[#This Row],[Industry]], Mean_PFCF_M, 2, FALSE))/(VLOOKUP(Main_M[[#This Row],[Industry]], Mean_PFCF_M, 3, FALSE))</f>
        <v>-0.58191087571508993</v>
      </c>
      <c r="P17" s="1">
        <f>(Main_M[[#This Row],[P/B]]-VLOOKUP(Main_M[[#This Row],[Industry]], Mean_PB_M, 2, FALSE))/(VLOOKUP(Main_M[[#This Row],[Industry]], Mean_PB_M, 3, FALSE))</f>
        <v>-0.70764207559707926</v>
      </c>
      <c r="Q17" s="1">
        <f>(Main_M[[#This Row],[ROE]]-VLOOKUP(Main_M[[#This Row],[Industry]], Mean_ROE_M, 2, FALSE))/(VLOOKUP(Main_M[[#This Row],[Industry]], Mean_ROE_M, 3, FALSE))</f>
        <v>-2.6291750517273702E-2</v>
      </c>
      <c r="R17" s="1">
        <f>(Main_M[[#This Row],[ROA]]-VLOOKUP(Main_M[[#This Row],[Industry]], Mean_ROA_M, 2, FALSE))/(VLOOKUP(Main_M[[#This Row],[Industry]], Mean_ROA_M, 3, FALSE))</f>
        <v>-7.8348631313572281E-2</v>
      </c>
      <c r="S17" s="1">
        <f>(Main_M[[#This Row],[A/E]]-VLOOKUP(Main_M[[#This Row],[Industry]], Mean_AE_M, 2, FALSE))/(VLOOKUP(Main_M[[#This Row],[Industry]], Mean_AE_M, 3, FALSE))</f>
        <v>-0.3726799863017729</v>
      </c>
      <c r="T17" s="1">
        <f>(Main_M[[#This Row],[P/E]]-VLOOKUP(Main_M[[#This Row],[Industry]], Mean_PE_M, 2, FALSE))/(VLOOKUP(Main_M[[#This Row],[Industry]], Mean_PE_M, 3, FALSE))</f>
        <v>-6.5377202918749835E-2</v>
      </c>
      <c r="U1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8" spans="1:26" x14ac:dyDescent="0.25">
      <c r="A18" t="s">
        <v>152</v>
      </c>
      <c r="B18" t="s">
        <v>258</v>
      </c>
      <c r="C18" s="2">
        <v>3938</v>
      </c>
      <c r="D18">
        <f>RTD("tos.rtd", , "LAST", Main_M[[#This Row],[Symbol]])</f>
        <v>30.61</v>
      </c>
      <c r="E18">
        <v>-3.57</v>
      </c>
      <c r="F18">
        <v>-1.1499999999999999</v>
      </c>
      <c r="G18">
        <v>-5.26</v>
      </c>
      <c r="H18" s="1">
        <f>IF(ISNUMBER(Main_M[[#This Row],[Free CF]]),IF(Main_M[[#This Row],[Free CF]]&lt;&gt;0,Main_M[[#This Row],[Current Price]]/Main_M[[#This Row],[Free CF]],""),"")</f>
        <v>-8.5742296918767504</v>
      </c>
      <c r="I18" s="1">
        <f>IF(ISNUMBER(Main_M[[#This Row],[BVPS]]),IF(Main_M[[#This Row],[BVPS]]&lt;&gt;0,Main_M[[#This Row],[Current Price]]/Main_M[[#This Row],[BVPS]],""),"")</f>
        <v>-26.617391304347827</v>
      </c>
      <c r="J18">
        <v>226</v>
      </c>
      <c r="K18">
        <v>-30.11</v>
      </c>
      <c r="L18">
        <v>-10.35</v>
      </c>
      <c r="M18" s="1">
        <f>IF(ISNUMBER(Main_M[[#This Row],[EPS]]),IF(Main_M[[#This Row],[EPS]]&lt;&gt;0,Main_M[[#This Row],[Current Price]]/Main_M[[#This Row],[EPS]],""),"")</f>
        <v>-5.8193916349809891</v>
      </c>
      <c r="N1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8" s="1">
        <f>(Main_M[[#This Row],[P/FCF]]-VLOOKUP(Main_M[[#This Row],[Industry]], Mean_PFCF_M, 2, FALSE))/(VLOOKUP(Main_M[[#This Row],[Industry]], Mean_PFCF_M, 3, FALSE))</f>
        <v>0.30991114125175828</v>
      </c>
      <c r="P18" s="1">
        <f>(Main_M[[#This Row],[P/B]]-VLOOKUP(Main_M[[#This Row],[Industry]], Mean_PB_M, 2, FALSE))/(VLOOKUP(Main_M[[#This Row],[Industry]], Mean_PB_M, 3, FALSE))</f>
        <v>-6.6608267981121694</v>
      </c>
      <c r="Q18" s="1">
        <f>(Main_M[[#This Row],[ROE]]-VLOOKUP(Main_M[[#This Row],[Industry]], Mean_ROE_M, 2, FALSE))/(VLOOKUP(Main_M[[#This Row],[Industry]], Mean_ROE_M, 3, FALSE))</f>
        <v>3.0470266133695429</v>
      </c>
      <c r="R18" s="1">
        <f>(Main_M[[#This Row],[ROA]]-VLOOKUP(Main_M[[#This Row],[Industry]], Mean_ROA_M, 2, FALSE))/(VLOOKUP(Main_M[[#This Row],[Industry]], Mean_ROA_M, 3, FALSE))</f>
        <v>-1.088308375289418</v>
      </c>
      <c r="S18" s="1">
        <f>(Main_M[[#This Row],[A/E]]-VLOOKUP(Main_M[[#This Row],[Industry]], Mean_AE_M, 2, FALSE))/(VLOOKUP(Main_M[[#This Row],[Industry]], Mean_AE_M, 3, FALSE))</f>
        <v>-67.659686140551074</v>
      </c>
      <c r="T18" s="1">
        <f>(Main_M[[#This Row],[P/E]]-VLOOKUP(Main_M[[#This Row],[Industry]], Mean_PE_M, 2, FALSE))/(VLOOKUP(Main_M[[#This Row],[Industry]], Mean_PE_M, 3, FALSE))</f>
        <v>9.6586139423677497E-2</v>
      </c>
      <c r="U1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9" spans="1:26" x14ac:dyDescent="0.25">
      <c r="A19" t="s">
        <v>152</v>
      </c>
      <c r="B19" t="s">
        <v>259</v>
      </c>
      <c r="C19" s="2">
        <v>2080</v>
      </c>
      <c r="D19">
        <f>RTD("tos.rtd", , "LAST", Main_M[[#This Row],[Symbol]])</f>
        <v>14.26</v>
      </c>
      <c r="E19">
        <v>-2.21</v>
      </c>
      <c r="F19">
        <v>8.5299999999999994</v>
      </c>
      <c r="G19">
        <v>-2.57</v>
      </c>
      <c r="H19" s="1">
        <f>IF(ISNUMBER(Main_M[[#This Row],[Free CF]]),IF(Main_M[[#This Row],[Free CF]]&lt;&gt;0,Main_M[[#This Row],[Current Price]]/Main_M[[#This Row],[Free CF]],""),"")</f>
        <v>-6.4524886877828056</v>
      </c>
      <c r="I19" s="1">
        <f>IF(ISNUMBER(Main_M[[#This Row],[BVPS]]),IF(Main_M[[#This Row],[BVPS]]&lt;&gt;0,Main_M[[#This Row],[Current Price]]/Main_M[[#This Row],[BVPS]],""),"")</f>
        <v>1.671746776084408</v>
      </c>
      <c r="J19">
        <v>-37.4</v>
      </c>
      <c r="K19">
        <v>-24.82</v>
      </c>
      <c r="L19">
        <v>1.1200000000000001</v>
      </c>
      <c r="M19" s="1">
        <f>IF(ISNUMBER(Main_M[[#This Row],[EPS]]),IF(Main_M[[#This Row],[EPS]]&lt;&gt;0,Main_M[[#This Row],[Current Price]]/Main_M[[#This Row],[EPS]],""),"")</f>
        <v>-5.5486381322957197</v>
      </c>
      <c r="N1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9" s="1">
        <f>(Main_M[[#This Row],[P/FCF]]-VLOOKUP(Main_M[[#This Row],[Industry]], Mean_PFCF_M, 2, FALSE))/(VLOOKUP(Main_M[[#This Row],[Industry]], Mean_PFCF_M, 3, FALSE))</f>
        <v>0.45334932688405033</v>
      </c>
      <c r="P19" s="1">
        <f>(Main_M[[#This Row],[P/B]]-VLOOKUP(Main_M[[#This Row],[Industry]], Mean_PB_M, 2, FALSE))/(VLOOKUP(Main_M[[#This Row],[Industry]], Mean_PB_M, 3, FALSE))</f>
        <v>-0.70348776394278545</v>
      </c>
      <c r="Q19" s="1">
        <f>(Main_M[[#This Row],[ROE]]-VLOOKUP(Main_M[[#This Row],[Industry]], Mean_ROE_M, 2, FALSE))/(VLOOKUP(Main_M[[#This Row],[Industry]], Mean_ROE_M, 3, FALSE))</f>
        <v>-0.25440918209451702</v>
      </c>
      <c r="R19" s="1">
        <f>(Main_M[[#This Row],[ROA]]-VLOOKUP(Main_M[[#This Row],[Industry]], Mean_ROA_M, 2, FALSE))/(VLOOKUP(Main_M[[#This Row],[Industry]], Mean_ROA_M, 3, FALSE))</f>
        <v>-0.77532143647089302</v>
      </c>
      <c r="S19" s="1">
        <f>(Main_M[[#This Row],[A/E]]-VLOOKUP(Main_M[[#This Row],[Industry]], Mean_AE_M, 2, FALSE))/(VLOOKUP(Main_M[[#This Row],[Industry]], Mean_AE_M, 3, FALSE))</f>
        <v>-0.60651840907935406</v>
      </c>
      <c r="T19" s="1">
        <f>(Main_M[[#This Row],[P/E]]-VLOOKUP(Main_M[[#This Row],[Industry]], Mean_PE_M, 2, FALSE))/(VLOOKUP(Main_M[[#This Row],[Industry]], Mean_PE_M, 3, FALSE))</f>
        <v>0.1124939326161651</v>
      </c>
      <c r="U1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0" spans="1:26" x14ac:dyDescent="0.25">
      <c r="A20" t="s">
        <v>152</v>
      </c>
      <c r="B20" t="s">
        <v>260</v>
      </c>
      <c r="C20" s="2">
        <v>4981</v>
      </c>
      <c r="D20">
        <f>RTD("tos.rtd", , "LAST", Main_M[[#This Row],[Symbol]])</f>
        <v>7.86</v>
      </c>
      <c r="E20">
        <v>0.81</v>
      </c>
      <c r="F20">
        <v>8.9600000000000009</v>
      </c>
      <c r="G20">
        <v>0.24</v>
      </c>
      <c r="H20" s="1">
        <f>IF(ISNUMBER(Main_M[[#This Row],[Free CF]]),IF(Main_M[[#This Row],[Free CF]]&lt;&gt;0,Main_M[[#This Row],[Current Price]]/Main_M[[#This Row],[Free CF]],""),"")</f>
        <v>9.7037037037037042</v>
      </c>
      <c r="I20" s="1">
        <f>IF(ISNUMBER(Main_M[[#This Row],[BVPS]]),IF(Main_M[[#This Row],[BVPS]]&lt;&gt;0,Main_M[[#This Row],[Current Price]]/Main_M[[#This Row],[BVPS]],""),"")</f>
        <v>0.87723214285714279</v>
      </c>
      <c r="J20">
        <v>2.64</v>
      </c>
      <c r="K20">
        <v>3.89</v>
      </c>
      <c r="L20">
        <v>3.64</v>
      </c>
      <c r="M20" s="1">
        <f>IF(ISNUMBER(Main_M[[#This Row],[EPS]]),IF(Main_M[[#This Row],[EPS]]&lt;&gt;0,Main_M[[#This Row],[Current Price]]/Main_M[[#This Row],[EPS]],""),"")</f>
        <v>32.75</v>
      </c>
      <c r="N2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0" s="1">
        <f>(Main_M[[#This Row],[P/FCF]]-VLOOKUP(Main_M[[#This Row],[Industry]], Mean_PFCF_M, 2, FALSE))/(VLOOKUP(Main_M[[#This Row],[Industry]], Mean_PFCF_M, 3, FALSE))</f>
        <v>1.5455726090327975</v>
      </c>
      <c r="P20" s="1">
        <f>(Main_M[[#This Row],[P/B]]-VLOOKUP(Main_M[[#This Row],[Industry]], Mean_PB_M, 2, FALSE))/(VLOOKUP(Main_M[[#This Row],[Industry]], Mean_PB_M, 3, FALSE))</f>
        <v>-0.87080261900433065</v>
      </c>
      <c r="Q20" s="1">
        <f>(Main_M[[#This Row],[ROE]]-VLOOKUP(Main_M[[#This Row],[Industry]], Mean_ROE_M, 2, FALSE))/(VLOOKUP(Main_M[[#This Row],[Industry]], Mean_ROE_M, 3, FALSE))</f>
        <v>0.24744916737541831</v>
      </c>
      <c r="R20" s="1">
        <f>(Main_M[[#This Row],[ROA]]-VLOOKUP(Main_M[[#This Row],[Industry]], Mean_ROA_M, 2, FALSE))/(VLOOKUP(Main_M[[#This Row],[Industry]], Mean_ROA_M, 3, FALSE))</f>
        <v>0.92332790445157531</v>
      </c>
      <c r="S20" s="1">
        <f>(Main_M[[#This Row],[A/E]]-VLOOKUP(Main_M[[#This Row],[Industry]], Mean_AE_M, 2, FALSE))/(VLOOKUP(Main_M[[#This Row],[Industry]], Mean_AE_M, 3, FALSE))</f>
        <v>14.125302225908328</v>
      </c>
      <c r="T20" s="1">
        <f>(Main_M[[#This Row],[P/E]]-VLOOKUP(Main_M[[#This Row],[Industry]], Mean_PE_M, 2, FALSE))/(VLOOKUP(Main_M[[#This Row],[Industry]], Mean_PE_M, 3, FALSE))</f>
        <v>2.362683898471134</v>
      </c>
      <c r="U2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1" spans="1:26" x14ac:dyDescent="0.25">
      <c r="A21" t="s">
        <v>152</v>
      </c>
      <c r="B21" t="s">
        <v>261</v>
      </c>
      <c r="C21" s="2">
        <v>8665</v>
      </c>
      <c r="D21">
        <f>RTD("tos.rtd", , "LAST", Main_M[[#This Row],[Symbol]])</f>
        <v>50.23</v>
      </c>
      <c r="E21">
        <v>3.69</v>
      </c>
      <c r="F21">
        <v>2.95</v>
      </c>
      <c r="G21">
        <v>3.43</v>
      </c>
      <c r="H21" s="1">
        <f>IF(ISNUMBER(Main_M[[#This Row],[Free CF]]),IF(Main_M[[#This Row],[Free CF]]&lt;&gt;0,Main_M[[#This Row],[Current Price]]/Main_M[[#This Row],[Free CF]],""),"")</f>
        <v>13.612466124661246</v>
      </c>
      <c r="I21" s="1">
        <f>IF(ISNUMBER(Main_M[[#This Row],[BVPS]]),IF(Main_M[[#This Row],[BVPS]]&lt;&gt;0,Main_M[[#This Row],[Current Price]]/Main_M[[#This Row],[BVPS]],""),"")</f>
        <v>17.027118644067794</v>
      </c>
      <c r="J21">
        <v>198.42</v>
      </c>
      <c r="K21">
        <v>18.16</v>
      </c>
      <c r="L21">
        <v>5.67</v>
      </c>
      <c r="M21" s="1">
        <f>IF(ISNUMBER(Main_M[[#This Row],[EPS]]),IF(Main_M[[#This Row],[EPS]]&lt;&gt;0,Main_M[[#This Row],[Current Price]]/Main_M[[#This Row],[EPS]],""),"")</f>
        <v>14.644314868804663</v>
      </c>
      <c r="N2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1" s="1">
        <f>(Main_M[[#This Row],[P/FCF]]-VLOOKUP(Main_M[[#This Row],[Industry]], Mean_PFCF_M, 2, FALSE))/(VLOOKUP(Main_M[[#This Row],[Industry]], Mean_PFCF_M, 3, FALSE))</f>
        <v>1.8098205962508502</v>
      </c>
      <c r="P21" s="1">
        <f>(Main_M[[#This Row],[P/B]]-VLOOKUP(Main_M[[#This Row],[Industry]], Mean_PB_M, 2, FALSE))/(VLOOKUP(Main_M[[#This Row],[Industry]], Mean_PB_M, 3, FALSE))</f>
        <v>2.5301617008530042</v>
      </c>
      <c r="Q21" s="1">
        <f>(Main_M[[#This Row],[ROE]]-VLOOKUP(Main_M[[#This Row],[Industry]], Mean_ROE_M, 2, FALSE))/(VLOOKUP(Main_M[[#This Row],[Industry]], Mean_ROE_M, 3, FALSE))</f>
        <v>2.7013409670563355</v>
      </c>
      <c r="R21" s="1">
        <f>(Main_M[[#This Row],[ROA]]-VLOOKUP(Main_M[[#This Row],[Industry]], Mean_ROA_M, 2, FALSE))/(VLOOKUP(Main_M[[#This Row],[Industry]], Mean_ROA_M, 3, FALSE))</f>
        <v>1.7676234842134568</v>
      </c>
      <c r="S21" s="1">
        <f>(Main_M[[#This Row],[A/E]]-VLOOKUP(Main_M[[#This Row],[Industry]], Mean_AE_M, 2, FALSE))/(VLOOKUP(Main_M[[#This Row],[Industry]], Mean_AE_M, 3, FALSE))</f>
        <v>25.99260218187063</v>
      </c>
      <c r="T21" s="1">
        <f>(Main_M[[#This Row],[P/E]]-VLOOKUP(Main_M[[#This Row],[Industry]], Mean_PE_M, 2, FALSE))/(VLOOKUP(Main_M[[#This Row],[Industry]], Mean_PE_M, 3, FALSE))</f>
        <v>1.2989063597917678</v>
      </c>
      <c r="U2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2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2" spans="1:26" x14ac:dyDescent="0.25">
      <c r="A22" t="s">
        <v>152</v>
      </c>
      <c r="B22" t="s">
        <v>262</v>
      </c>
      <c r="C22" s="2">
        <v>2358</v>
      </c>
      <c r="D22">
        <f>RTD("tos.rtd", , "LAST", Main_M[[#This Row],[Symbol]])</f>
        <v>14.02</v>
      </c>
      <c r="E22">
        <v>-2.23</v>
      </c>
      <c r="F22">
        <v>2.4</v>
      </c>
      <c r="G22">
        <v>-2.62</v>
      </c>
      <c r="H22" s="1">
        <f>IF(ISNUMBER(Main_M[[#This Row],[Free CF]]),IF(Main_M[[#This Row],[Free CF]]&lt;&gt;0,Main_M[[#This Row],[Current Price]]/Main_M[[#This Row],[Free CF]],""),"")</f>
        <v>-6.2869955156950672</v>
      </c>
      <c r="I22" s="1">
        <f>IF(ISNUMBER(Main_M[[#This Row],[BVPS]]),IF(Main_M[[#This Row],[BVPS]]&lt;&gt;0,Main_M[[#This Row],[Current Price]]/Main_M[[#This Row],[BVPS]],""),"")</f>
        <v>5.8416666666666668</v>
      </c>
      <c r="J22">
        <v>-74.17</v>
      </c>
      <c r="K22">
        <v>-44.73</v>
      </c>
      <c r="L22">
        <v>1.19</v>
      </c>
      <c r="M22" s="1">
        <f>IF(ISNUMBER(Main_M[[#This Row],[EPS]]),IF(Main_M[[#This Row],[EPS]]&lt;&gt;0,Main_M[[#This Row],[Current Price]]/Main_M[[#This Row],[EPS]],""),"")</f>
        <v>-5.3511450381679388</v>
      </c>
      <c r="N2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2" s="1">
        <f>(Main_M[[#This Row],[P/FCF]]-VLOOKUP(Main_M[[#This Row],[Industry]], Mean_PFCF_M, 2, FALSE))/(VLOOKUP(Main_M[[#This Row],[Industry]], Mean_PFCF_M, 3, FALSE))</f>
        <v>0.46453732781960039</v>
      </c>
      <c r="P22" s="1">
        <f>(Main_M[[#This Row],[P/B]]-VLOOKUP(Main_M[[#This Row],[Industry]], Mean_PB_M, 2, FALSE))/(VLOOKUP(Main_M[[#This Row],[Industry]], Mean_PB_M, 3, FALSE))</f>
        <v>0.17464526587575538</v>
      </c>
      <c r="Q22" s="1">
        <f>(Main_M[[#This Row],[ROE]]-VLOOKUP(Main_M[[#This Row],[Industry]], Mean_ROE_M, 2, FALSE))/(VLOOKUP(Main_M[[#This Row],[Industry]], Mean_ROE_M, 3, FALSE))</f>
        <v>-0.71528159742942021</v>
      </c>
      <c r="R22" s="1">
        <f>(Main_M[[#This Row],[ROA]]-VLOOKUP(Main_M[[#This Row],[Industry]], Mean_ROA_M, 2, FALSE))/(VLOOKUP(Main_M[[#This Row],[Industry]], Mean_ROA_M, 3, FALSE))</f>
        <v>-1.953311975578045</v>
      </c>
      <c r="S22" s="1">
        <f>(Main_M[[#This Row],[A/E]]-VLOOKUP(Main_M[[#This Row],[Industry]], Mean_AE_M, 2, FALSE))/(VLOOKUP(Main_M[[#This Row],[Industry]], Mean_AE_M, 3, FALSE))</f>
        <v>-0.19730116921858604</v>
      </c>
      <c r="T22" s="1">
        <f>(Main_M[[#This Row],[P/E]]-VLOOKUP(Main_M[[#This Row],[Industry]], Mean_PE_M, 2, FALSE))/(VLOOKUP(Main_M[[#This Row],[Industry]], Mean_PE_M, 3, FALSE))</f>
        <v>0.12409739948610689</v>
      </c>
      <c r="U2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3" spans="1:26" x14ac:dyDescent="0.25">
      <c r="A23" t="s">
        <v>152</v>
      </c>
      <c r="B23" t="s">
        <v>263</v>
      </c>
      <c r="C23" s="2">
        <v>5263</v>
      </c>
      <c r="D23">
        <f>RTD("tos.rtd", , "LAST", Main_M[[#This Row],[Symbol]])</f>
        <v>32.53</v>
      </c>
      <c r="E23">
        <v>-3.66</v>
      </c>
      <c r="F23">
        <v>2.99</v>
      </c>
      <c r="G23">
        <v>-3</v>
      </c>
      <c r="H23" s="1">
        <f>IF(ISNUMBER(Main_M[[#This Row],[Free CF]]),IF(Main_M[[#This Row],[Free CF]]&lt;&gt;0,Main_M[[#This Row],[Current Price]]/Main_M[[#This Row],[Free CF]],""),"")</f>
        <v>-8.8879781420765021</v>
      </c>
      <c r="I23" s="1">
        <f>IF(ISNUMBER(Main_M[[#This Row],[BVPS]]),IF(Main_M[[#This Row],[BVPS]]&lt;&gt;0,Main_M[[#This Row],[Current Price]]/Main_M[[#This Row],[BVPS]],""),"")</f>
        <v>10.879598662207357</v>
      </c>
      <c r="J23">
        <v>-118.62</v>
      </c>
      <c r="K23">
        <v>-10.59</v>
      </c>
      <c r="L23">
        <v>5.91</v>
      </c>
      <c r="M23" s="1">
        <f>IF(ISNUMBER(Main_M[[#This Row],[EPS]]),IF(Main_M[[#This Row],[EPS]]&lt;&gt;0,Main_M[[#This Row],[Current Price]]/Main_M[[#This Row],[EPS]],""),"")</f>
        <v>-10.843333333333334</v>
      </c>
      <c r="N2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3" s="1">
        <f>(Main_M[[#This Row],[P/FCF]]-VLOOKUP(Main_M[[#This Row],[Industry]], Mean_PFCF_M, 2, FALSE))/(VLOOKUP(Main_M[[#This Row],[Industry]], Mean_PFCF_M, 3, FALSE))</f>
        <v>0.28870049002017034</v>
      </c>
      <c r="P23" s="1">
        <f>(Main_M[[#This Row],[P/B]]-VLOOKUP(Main_M[[#This Row],[Industry]], Mean_PB_M, 2, FALSE))/(VLOOKUP(Main_M[[#This Row],[Industry]], Mean_PB_M, 3, FALSE))</f>
        <v>1.2355708000222112</v>
      </c>
      <c r="Q23" s="1">
        <f>(Main_M[[#This Row],[ROE]]-VLOOKUP(Main_M[[#This Row],[Industry]], Mean_ROE_M, 2, FALSE))/(VLOOKUP(Main_M[[#This Row],[Industry]], Mean_ROE_M, 3, FALSE))</f>
        <v>-1.2724145553199953</v>
      </c>
      <c r="R23" s="1">
        <f>(Main_M[[#This Row],[ROA]]-VLOOKUP(Main_M[[#This Row],[Industry]], Mean_ROA_M, 2, FALSE))/(VLOOKUP(Main_M[[#This Row],[Industry]], Mean_ROA_M, 3, FALSE))</f>
        <v>6.6607512373646316E-2</v>
      </c>
      <c r="S23" s="1">
        <f>(Main_M[[#This Row],[A/E]]-VLOOKUP(Main_M[[#This Row],[Industry]], Mean_AE_M, 2, FALSE))/(VLOOKUP(Main_M[[#This Row],[Industry]], Mean_AE_M, 3, FALSE))</f>
        <v>27.395632718536124</v>
      </c>
      <c r="T23" s="1">
        <f>(Main_M[[#This Row],[P/E]]-VLOOKUP(Main_M[[#This Row],[Industry]], Mean_PE_M, 2, FALSE))/(VLOOKUP(Main_M[[#This Row],[Industry]], Mean_PE_M, 3, FALSE))</f>
        <v>-0.19858945297264605</v>
      </c>
      <c r="U2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4" spans="1:26" x14ac:dyDescent="0.25">
      <c r="A24" t="s">
        <v>152</v>
      </c>
      <c r="B24" t="s">
        <v>264</v>
      </c>
      <c r="C24" s="2">
        <v>3953</v>
      </c>
      <c r="D24">
        <f>RTD("tos.rtd", , "LAST", Main_M[[#This Row],[Symbol]])</f>
        <v>134.53</v>
      </c>
      <c r="E24">
        <v>4.17</v>
      </c>
      <c r="F24">
        <v>32.869999999999997</v>
      </c>
      <c r="G24">
        <v>3</v>
      </c>
      <c r="H24" s="1">
        <f>IF(ISNUMBER(Main_M[[#This Row],[Free CF]]),IF(Main_M[[#This Row],[Free CF]]&lt;&gt;0,Main_M[[#This Row],[Current Price]]/Main_M[[#This Row],[Free CF]],""),"")</f>
        <v>32.261390887290169</v>
      </c>
      <c r="I24" s="1">
        <f>IF(ISNUMBER(Main_M[[#This Row],[BVPS]]),IF(Main_M[[#This Row],[BVPS]]&lt;&gt;0,Main_M[[#This Row],[Current Price]]/Main_M[[#This Row],[BVPS]],""),"")</f>
        <v>4.0927897779129907</v>
      </c>
      <c r="J24">
        <v>10.34</v>
      </c>
      <c r="K24">
        <v>6.88</v>
      </c>
      <c r="L24">
        <v>1.1200000000000001</v>
      </c>
      <c r="M24" s="1">
        <f>IF(ISNUMBER(Main_M[[#This Row],[EPS]]),IF(Main_M[[#This Row],[EPS]]&lt;&gt;0,Main_M[[#This Row],[Current Price]]/Main_M[[#This Row],[EPS]],""),"")</f>
        <v>44.843333333333334</v>
      </c>
      <c r="N2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4" s="1">
        <f>(Main_M[[#This Row],[P/FCF]]-VLOOKUP(Main_M[[#This Row],[Industry]], Mean_PFCF_M, 2, FALSE))/(VLOOKUP(Main_M[[#This Row],[Industry]], Mean_PFCF_M, 3, FALSE))</f>
        <v>3.0705625655973479</v>
      </c>
      <c r="P24" s="1">
        <f>(Main_M[[#This Row],[P/B]]-VLOOKUP(Main_M[[#This Row],[Industry]], Mean_PB_M, 2, FALSE))/(VLOOKUP(Main_M[[#This Row],[Industry]], Mean_PB_M, 3, FALSE))</f>
        <v>-0.19364635636124827</v>
      </c>
      <c r="Q24" s="1">
        <f>(Main_M[[#This Row],[ROE]]-VLOOKUP(Main_M[[#This Row],[Industry]], Mean_ROE_M, 2, FALSE))/(VLOOKUP(Main_M[[#This Row],[Industry]], Mean_ROE_M, 3, FALSE))</f>
        <v>0.34396038842732896</v>
      </c>
      <c r="R24" s="1">
        <f>(Main_M[[#This Row],[ROA]]-VLOOKUP(Main_M[[#This Row],[Industry]], Mean_ROA_M, 2, FALSE))/(VLOOKUP(Main_M[[#This Row],[Industry]], Mean_ROA_M, 3, FALSE))</f>
        <v>1.1002335655229156</v>
      </c>
      <c r="S24" s="1">
        <f>(Main_M[[#This Row],[A/E]]-VLOOKUP(Main_M[[#This Row],[Industry]], Mean_AE_M, 2, FALSE))/(VLOOKUP(Main_M[[#This Row],[Industry]], Mean_AE_M, 3, FALSE))</f>
        <v>-0.60651840907935406</v>
      </c>
      <c r="T24" s="1">
        <f>(Main_M[[#This Row],[P/E]]-VLOOKUP(Main_M[[#This Row],[Industry]], Mean_PE_M, 2, FALSE))/(VLOOKUP(Main_M[[#This Row],[Industry]], Mean_PE_M, 3, FALSE))</f>
        <v>3.0732130098825143</v>
      </c>
      <c r="U2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5" spans="1:26" x14ac:dyDescent="0.25">
      <c r="A25" t="s">
        <v>152</v>
      </c>
      <c r="B25" t="s">
        <v>265</v>
      </c>
      <c r="C25" s="2">
        <v>5779</v>
      </c>
      <c r="D25">
        <f>RTD("tos.rtd", , "LAST", Main_M[[#This Row],[Symbol]])</f>
        <v>31.08</v>
      </c>
      <c r="E25">
        <v>-0.86</v>
      </c>
      <c r="F25">
        <v>5.67</v>
      </c>
      <c r="G25">
        <v>-0.97</v>
      </c>
      <c r="H25" s="1">
        <f>IF(ISNUMBER(Main_M[[#This Row],[Free CF]]),IF(Main_M[[#This Row],[Free CF]]&lt;&gt;0,Main_M[[#This Row],[Current Price]]/Main_M[[#This Row],[Free CF]],""),"")</f>
        <v>-36.139534883720927</v>
      </c>
      <c r="I25" s="1">
        <f>IF(ISNUMBER(Main_M[[#This Row],[BVPS]]),IF(Main_M[[#This Row],[BVPS]]&lt;&gt;0,Main_M[[#This Row],[Current Price]]/Main_M[[#This Row],[BVPS]],""),"")</f>
        <v>5.481481481481481</v>
      </c>
      <c r="J25">
        <v>-15.45</v>
      </c>
      <c r="K25">
        <v>-10.84</v>
      </c>
      <c r="L25">
        <v>1.61</v>
      </c>
      <c r="M25" s="1">
        <f>IF(ISNUMBER(Main_M[[#This Row],[EPS]]),IF(Main_M[[#This Row],[EPS]]&lt;&gt;0,Main_M[[#This Row],[Current Price]]/Main_M[[#This Row],[EPS]],""),"")</f>
        <v>-32.041237113402062</v>
      </c>
      <c r="N2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5" s="1">
        <f>(Main_M[[#This Row],[P/FCF]]-VLOOKUP(Main_M[[#This Row],[Industry]], Mean_PFCF_M, 2, FALSE))/(VLOOKUP(Main_M[[#This Row],[Industry]], Mean_PFCF_M, 3, FALSE))</f>
        <v>-1.5536138391720355</v>
      </c>
      <c r="P25" s="1">
        <f>(Main_M[[#This Row],[P/B]]-VLOOKUP(Main_M[[#This Row],[Industry]], Mean_PB_M, 2, FALSE))/(VLOOKUP(Main_M[[#This Row],[Industry]], Mean_PB_M, 3, FALSE))</f>
        <v>9.8794766043190291E-2</v>
      </c>
      <c r="Q25" s="1">
        <f>(Main_M[[#This Row],[ROE]]-VLOOKUP(Main_M[[#This Row],[Industry]], Mean_ROE_M, 2, FALSE))/(VLOOKUP(Main_M[[#This Row],[Industry]], Mean_ROE_M, 3, FALSE))</f>
        <v>2.0710467527487973E-2</v>
      </c>
      <c r="R25" s="1">
        <f>(Main_M[[#This Row],[ROA]]-VLOOKUP(Main_M[[#This Row],[Industry]], Mean_ROA_M, 2, FALSE))/(VLOOKUP(Main_M[[#This Row],[Industry]], Mean_ROA_M, 3, FALSE))</f>
        <v>5.181606914025666E-2</v>
      </c>
      <c r="S25" s="1">
        <f>(Main_M[[#This Row],[A/E]]-VLOOKUP(Main_M[[#This Row],[Industry]], Mean_AE_M, 2, FALSE))/(VLOOKUP(Main_M[[#This Row],[Industry]], Mean_AE_M, 3, FALSE))</f>
        <v>2.2580022699460289</v>
      </c>
      <c r="T25" s="1">
        <f>(Main_M[[#This Row],[P/E]]-VLOOKUP(Main_M[[#This Row],[Industry]], Mean_PE_M, 2, FALSE))/(VLOOKUP(Main_M[[#This Row],[Industry]], Mean_PE_M, 3, FALSE))</f>
        <v>-1.444046542551161</v>
      </c>
      <c r="U2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6" spans="1:26" x14ac:dyDescent="0.25">
      <c r="A26" t="s">
        <v>152</v>
      </c>
      <c r="B26" t="s">
        <v>266</v>
      </c>
      <c r="C26" s="2">
        <v>6635</v>
      </c>
      <c r="D26">
        <f>RTD("tos.rtd", , "LAST", Main_M[[#This Row],[Symbol]])</f>
        <v>295.36</v>
      </c>
      <c r="E26">
        <v>-18.420000000000002</v>
      </c>
      <c r="F26">
        <v>32.03</v>
      </c>
      <c r="G26">
        <v>-17.97</v>
      </c>
      <c r="H26" s="1">
        <f>IF(ISNUMBER(Main_M[[#This Row],[Free CF]]),IF(Main_M[[#This Row],[Free CF]]&lt;&gt;0,Main_M[[#This Row],[Current Price]]/Main_M[[#This Row],[Free CF]],""),"")</f>
        <v>-16.034744842562432</v>
      </c>
      <c r="I26" s="1">
        <f>IF(ISNUMBER(Main_M[[#This Row],[BVPS]]),IF(Main_M[[#This Row],[BVPS]]&lt;&gt;0,Main_M[[#This Row],[Current Price]]/Main_M[[#This Row],[BVPS]],""),"")</f>
        <v>9.2213549797065255</v>
      </c>
      <c r="J26">
        <v>-50.16</v>
      </c>
      <c r="K26">
        <v>-25.56</v>
      </c>
      <c r="L26">
        <v>1.4</v>
      </c>
      <c r="M26" s="1">
        <f>IF(ISNUMBER(Main_M[[#This Row],[EPS]]),IF(Main_M[[#This Row],[EPS]]&lt;&gt;0,Main_M[[#This Row],[Current Price]]/Main_M[[#This Row],[EPS]],""),"")</f>
        <v>-16.436282693377855</v>
      </c>
      <c r="N2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6" s="1">
        <f>(Main_M[[#This Row],[P/FCF]]-VLOOKUP(Main_M[[#This Row],[Industry]], Mean_PFCF_M, 2, FALSE))/(VLOOKUP(Main_M[[#This Row],[Industry]], Mean_PFCF_M, 3, FALSE))</f>
        <v>-0.19444954887571503</v>
      </c>
      <c r="P26" s="1">
        <f>(Main_M[[#This Row],[P/B]]-VLOOKUP(Main_M[[#This Row],[Industry]], Mean_PB_M, 2, FALSE))/(VLOOKUP(Main_M[[#This Row],[Industry]], Mean_PB_M, 3, FALSE))</f>
        <v>0.88636539864732256</v>
      </c>
      <c r="Q26" s="1">
        <f>(Main_M[[#This Row],[ROE]]-VLOOKUP(Main_M[[#This Row],[Industry]], Mean_ROE_M, 2, FALSE))/(VLOOKUP(Main_M[[#This Row],[Industry]], Mean_ROE_M, 3, FALSE))</f>
        <v>-0.41434206269482604</v>
      </c>
      <c r="R26" s="1">
        <f>(Main_M[[#This Row],[ROA]]-VLOOKUP(Main_M[[#This Row],[Industry]], Mean_ROA_M, 2, FALSE))/(VLOOKUP(Main_M[[#This Row],[Industry]], Mean_ROA_M, 3, FALSE))</f>
        <v>-0.81910410844172632</v>
      </c>
      <c r="S26" s="1">
        <f>(Main_M[[#This Row],[A/E]]-VLOOKUP(Main_M[[#This Row],[Industry]], Mean_AE_M, 2, FALSE))/(VLOOKUP(Main_M[[#This Row],[Industry]], Mean_AE_M, 3, FALSE))</f>
        <v>1.0303505503637207</v>
      </c>
      <c r="T26" s="1">
        <f>(Main_M[[#This Row],[P/E]]-VLOOKUP(Main_M[[#This Row],[Industry]], Mean_PE_M, 2, FALSE))/(VLOOKUP(Main_M[[#This Row],[Industry]], Mean_PE_M, 3, FALSE))</f>
        <v>-0.52719639941376639</v>
      </c>
      <c r="U2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7" spans="1:26" x14ac:dyDescent="0.25">
      <c r="A27" t="s">
        <v>152</v>
      </c>
      <c r="B27" t="s">
        <v>267</v>
      </c>
      <c r="C27" s="2">
        <v>2039</v>
      </c>
      <c r="D27">
        <f>RTD("tos.rtd", , "LAST", Main_M[[#This Row],[Symbol]])</f>
        <v>45.27</v>
      </c>
      <c r="E27">
        <v>-0.22</v>
      </c>
      <c r="F27">
        <v>4.67</v>
      </c>
      <c r="G27">
        <v>-1.85</v>
      </c>
      <c r="H27" s="1">
        <f>IF(ISNUMBER(Main_M[[#This Row],[Free CF]]),IF(Main_M[[#This Row],[Free CF]]&lt;&gt;0,Main_M[[#This Row],[Current Price]]/Main_M[[#This Row],[Free CF]],""),"")</f>
        <v>-205.77272727272728</v>
      </c>
      <c r="I27" s="1">
        <f>IF(ISNUMBER(Main_M[[#This Row],[BVPS]]),IF(Main_M[[#This Row],[BVPS]]&lt;&gt;0,Main_M[[#This Row],[Current Price]]/Main_M[[#This Row],[BVPS]],""),"")</f>
        <v>9.6937901498929353</v>
      </c>
      <c r="J27">
        <v>-37.08</v>
      </c>
      <c r="K27">
        <v>-8.31</v>
      </c>
      <c r="L27">
        <v>2.97</v>
      </c>
      <c r="M27" s="1">
        <f>IF(ISNUMBER(Main_M[[#This Row],[EPS]]),IF(Main_M[[#This Row],[EPS]]&lt;&gt;0,Main_M[[#This Row],[Current Price]]/Main_M[[#This Row],[EPS]],""),"")</f>
        <v>-24.470270270270269</v>
      </c>
      <c r="N2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7" s="1">
        <f>(Main_M[[#This Row],[P/FCF]]-VLOOKUP(Main_M[[#This Row],[Industry]], Mean_PFCF_M, 2, FALSE))/(VLOOKUP(Main_M[[#This Row],[Industry]], Mean_PFCF_M, 3, FALSE))</f>
        <v>-13.021496720420842</v>
      </c>
      <c r="P27" s="1">
        <f>(Main_M[[#This Row],[P/B]]-VLOOKUP(Main_M[[#This Row],[Industry]], Mean_PB_M, 2, FALSE))/(VLOOKUP(Main_M[[#This Row],[Industry]], Mean_PB_M, 3, FALSE))</f>
        <v>0.98585434286555351</v>
      </c>
      <c r="Q27" s="1">
        <f>(Main_M[[#This Row],[ROE]]-VLOOKUP(Main_M[[#This Row],[Industry]], Mean_ROE_M, 2, FALSE))/(VLOOKUP(Main_M[[#This Row],[Industry]], Mean_ROE_M, 3, FALSE))</f>
        <v>-0.25039832615469737</v>
      </c>
      <c r="R27" s="1">
        <f>(Main_M[[#This Row],[ROA]]-VLOOKUP(Main_M[[#This Row],[Industry]], Mean_ROA_M, 2, FALSE))/(VLOOKUP(Main_M[[#This Row],[Industry]], Mean_ROA_M, 3, FALSE))</f>
        <v>0.20150547466215996</v>
      </c>
      <c r="S27" s="1">
        <f>(Main_M[[#This Row],[A/E]]-VLOOKUP(Main_M[[#This Row],[Industry]], Mean_AE_M, 2, FALSE))/(VLOOKUP(Main_M[[#This Row],[Industry]], Mean_AE_M, 3, FALSE))</f>
        <v>10.208508644383826</v>
      </c>
      <c r="T27" s="1">
        <f>(Main_M[[#This Row],[P/E]]-VLOOKUP(Main_M[[#This Row],[Industry]], Mean_PE_M, 2, FALSE))/(VLOOKUP(Main_M[[#This Row],[Industry]], Mean_PE_M, 3, FALSE))</f>
        <v>-0.99922358139552792</v>
      </c>
      <c r="U2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2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2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8" spans="1:26" x14ac:dyDescent="0.25">
      <c r="A28" t="s">
        <v>152</v>
      </c>
      <c r="B28" t="s">
        <v>268</v>
      </c>
      <c r="C28" s="2">
        <v>2387</v>
      </c>
      <c r="D28">
        <f>RTD("tos.rtd", , "LAST", Main_M[[#This Row],[Symbol]])</f>
        <v>38.54</v>
      </c>
      <c r="E28">
        <v>-1.86</v>
      </c>
      <c r="F28">
        <v>7.08</v>
      </c>
      <c r="G28">
        <v>-1.89</v>
      </c>
      <c r="H28" s="1">
        <f>IF(ISNUMBER(Main_M[[#This Row],[Free CF]]),IF(Main_M[[#This Row],[Free CF]]&lt;&gt;0,Main_M[[#This Row],[Current Price]]/Main_M[[#This Row],[Free CF]],""),"")</f>
        <v>-20.72043010752688</v>
      </c>
      <c r="I28" s="1">
        <f>IF(ISNUMBER(Main_M[[#This Row],[BVPS]]),IF(Main_M[[#This Row],[BVPS]]&lt;&gt;0,Main_M[[#This Row],[Current Price]]/Main_M[[#This Row],[BVPS]],""),"")</f>
        <v>5.4435028248587569</v>
      </c>
      <c r="J28">
        <v>-25.08</v>
      </c>
      <c r="K28">
        <v>-17.809999999999999</v>
      </c>
      <c r="L28">
        <v>1.07</v>
      </c>
      <c r="M28" s="1">
        <f>IF(ISNUMBER(Main_M[[#This Row],[EPS]]),IF(Main_M[[#This Row],[EPS]]&lt;&gt;0,Main_M[[#This Row],[Current Price]]/Main_M[[#This Row],[EPS]],""),"")</f>
        <v>-20.391534391534393</v>
      </c>
      <c r="N2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8" s="1">
        <f>(Main_M[[#This Row],[P/FCF]]-VLOOKUP(Main_M[[#This Row],[Industry]], Mean_PFCF_M, 2, FALSE))/(VLOOKUP(Main_M[[#This Row],[Industry]], Mean_PFCF_M, 3, FALSE))</f>
        <v>-0.51122063052687927</v>
      </c>
      <c r="P28" s="1">
        <f>(Main_M[[#This Row],[P/B]]-VLOOKUP(Main_M[[#This Row],[Industry]], Mean_PB_M, 2, FALSE))/(VLOOKUP(Main_M[[#This Row],[Industry]], Mean_PB_M, 3, FALSE))</f>
        <v>9.0796935465228309E-2</v>
      </c>
      <c r="Q28" s="1">
        <f>(Main_M[[#This Row],[ROE]]-VLOOKUP(Main_M[[#This Row],[Industry]], Mean_ROE_M, 2, FALSE))/(VLOOKUP(Main_M[[#This Row],[Industry]], Mean_ROE_M, 3, FALSE))</f>
        <v>-9.9991228411460006E-2</v>
      </c>
      <c r="R28" s="1">
        <f>(Main_M[[#This Row],[ROA]]-VLOOKUP(Main_M[[#This Row],[Industry]], Mean_ROA_M, 2, FALSE))/(VLOOKUP(Main_M[[#This Row],[Industry]], Mean_ROA_M, 3, FALSE))</f>
        <v>-0.36056936820664692</v>
      </c>
      <c r="S28" s="1">
        <f>(Main_M[[#This Row],[A/E]]-VLOOKUP(Main_M[[#This Row],[Industry]], Mean_AE_M, 2, FALSE))/(VLOOKUP(Main_M[[#This Row],[Industry]], Mean_AE_M, 3, FALSE))</f>
        <v>-0.89881643755133223</v>
      </c>
      <c r="T28" s="1">
        <f>(Main_M[[#This Row],[P/E]]-VLOOKUP(Main_M[[#This Row],[Industry]], Mean_PE_M, 2, FALSE))/(VLOOKUP(Main_M[[#This Row],[Industry]], Mean_PE_M, 3, FALSE))</f>
        <v>-0.75958240888175299</v>
      </c>
      <c r="U2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29" spans="1:26" x14ac:dyDescent="0.25">
      <c r="A29" t="s">
        <v>152</v>
      </c>
      <c r="B29" t="s">
        <v>269</v>
      </c>
      <c r="C29" s="2">
        <v>9305</v>
      </c>
      <c r="D29">
        <f>RTD("tos.rtd", , "LAST", Main_M[[#This Row],[Symbol]])</f>
        <v>25.49</v>
      </c>
      <c r="E29">
        <v>-10.48</v>
      </c>
      <c r="F29">
        <v>26.01</v>
      </c>
      <c r="G29">
        <v>-8.73</v>
      </c>
      <c r="H29" s="1">
        <f>IF(ISNUMBER(Main_M[[#This Row],[Free CF]]),IF(Main_M[[#This Row],[Free CF]]&lt;&gt;0,Main_M[[#This Row],[Current Price]]/Main_M[[#This Row],[Free CF]],""),"")</f>
        <v>-2.4322519083969465</v>
      </c>
      <c r="I29" s="1">
        <f>IF(ISNUMBER(Main_M[[#This Row],[BVPS]]),IF(Main_M[[#This Row],[BVPS]]&lt;&gt;0,Main_M[[#This Row],[Current Price]]/Main_M[[#This Row],[BVPS]],""),"")</f>
        <v>0.98000768935024973</v>
      </c>
      <c r="J29">
        <v>-29.34</v>
      </c>
      <c r="K29">
        <v>-15.84</v>
      </c>
      <c r="L29">
        <v>1.26</v>
      </c>
      <c r="M29" s="1">
        <f>IF(ISNUMBER(Main_M[[#This Row],[EPS]]),IF(Main_M[[#This Row],[EPS]]&lt;&gt;0,Main_M[[#This Row],[Current Price]]/Main_M[[#This Row],[EPS]],""),"")</f>
        <v>-2.9198167239404351</v>
      </c>
      <c r="N2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29" s="1">
        <f>(Main_M[[#This Row],[P/FCF]]-VLOOKUP(Main_M[[#This Row],[Industry]], Mean_PFCF_M, 2, FALSE))/(VLOOKUP(Main_M[[#This Row],[Industry]], Mean_PFCF_M, 3, FALSE))</f>
        <v>0.72513342698611172</v>
      </c>
      <c r="P29" s="1">
        <f>(Main_M[[#This Row],[P/B]]-VLOOKUP(Main_M[[#This Row],[Industry]], Mean_PB_M, 2, FALSE))/(VLOOKUP(Main_M[[#This Row],[Industry]], Mean_PB_M, 3, FALSE))</f>
        <v>-0.84915937299447841</v>
      </c>
      <c r="Q29" s="1">
        <f>(Main_M[[#This Row],[ROE]]-VLOOKUP(Main_M[[#This Row],[Industry]], Mean_ROE_M, 2, FALSE))/(VLOOKUP(Main_M[[#This Row],[Industry]], Mean_ROE_M, 3, FALSE))</f>
        <v>-0.15338574811030928</v>
      </c>
      <c r="R29" s="1">
        <f>(Main_M[[#This Row],[ROA]]-VLOOKUP(Main_M[[#This Row],[Industry]], Mean_ROA_M, 2, FALSE))/(VLOOKUP(Main_M[[#This Row],[Industry]], Mean_ROA_M, 3, FALSE))</f>
        <v>-0.24401279552753649</v>
      </c>
      <c r="S29" s="1">
        <f>(Main_M[[#This Row],[A/E]]-VLOOKUP(Main_M[[#This Row],[Industry]], Mean_AE_M, 2, FALSE))/(VLOOKUP(Main_M[[#This Row],[Industry]], Mean_AE_M, 3, FALSE))</f>
        <v>0.21191607064218332</v>
      </c>
      <c r="T29" s="1">
        <f>(Main_M[[#This Row],[P/E]]-VLOOKUP(Main_M[[#This Row],[Industry]], Mean_PE_M, 2, FALSE))/(VLOOKUP(Main_M[[#This Row],[Industry]], Mean_PE_M, 3, FALSE))</f>
        <v>0.26694714149195564</v>
      </c>
      <c r="U2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2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2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2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2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2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0" spans="1:26" x14ac:dyDescent="0.25">
      <c r="A30" t="s">
        <v>152</v>
      </c>
      <c r="B30" t="s">
        <v>270</v>
      </c>
      <c r="C30" s="2">
        <v>2728</v>
      </c>
      <c r="D30">
        <f>RTD("tos.rtd", , "LAST", Main_M[[#This Row],[Symbol]])</f>
        <v>40.92</v>
      </c>
      <c r="E30">
        <v>-2.92</v>
      </c>
      <c r="F30">
        <v>9.41</v>
      </c>
      <c r="G30">
        <v>-3.35</v>
      </c>
      <c r="H30" s="1">
        <f>IF(ISNUMBER(Main_M[[#This Row],[Free CF]]),IF(Main_M[[#This Row],[Free CF]]&lt;&gt;0,Main_M[[#This Row],[Current Price]]/Main_M[[#This Row],[Free CF]],""),"")</f>
        <v>-14.013698630136988</v>
      </c>
      <c r="I30" s="1">
        <f>IF(ISNUMBER(Main_M[[#This Row],[BVPS]]),IF(Main_M[[#This Row],[BVPS]]&lt;&gt;0,Main_M[[#This Row],[Current Price]]/Main_M[[#This Row],[BVPS]],""),"")</f>
        <v>4.3485653560042508</v>
      </c>
      <c r="J30">
        <v>-42.88</v>
      </c>
      <c r="K30">
        <v>-27.47</v>
      </c>
      <c r="L30">
        <v>1.21</v>
      </c>
      <c r="M30" s="1">
        <f>IF(ISNUMBER(Main_M[[#This Row],[EPS]]),IF(Main_M[[#This Row],[EPS]]&lt;&gt;0,Main_M[[#This Row],[Current Price]]/Main_M[[#This Row],[EPS]],""),"")</f>
        <v>-12.214925373134328</v>
      </c>
      <c r="N3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0" s="1">
        <f>(Main_M[[#This Row],[P/FCF]]-VLOOKUP(Main_M[[#This Row],[Industry]], Mean_PFCF_M, 2, FALSE))/(VLOOKUP(Main_M[[#This Row],[Industry]], Mean_PFCF_M, 3, FALSE))</f>
        <v>-5.7818734261696314E-2</v>
      </c>
      <c r="P30" s="1">
        <f>(Main_M[[#This Row],[P/B]]-VLOOKUP(Main_M[[#This Row],[Industry]], Mean_PB_M, 2, FALSE))/(VLOOKUP(Main_M[[#This Row],[Industry]], Mean_PB_M, 3, FALSE))</f>
        <v>-0.1397832152850525</v>
      </c>
      <c r="Q30" s="1">
        <f>(Main_M[[#This Row],[ROE]]-VLOOKUP(Main_M[[#This Row],[Industry]], Mean_ROE_M, 2, FALSE))/(VLOOKUP(Main_M[[#This Row],[Industry]], Mean_ROE_M, 3, FALSE))</f>
        <v>-0.32309509006392884</v>
      </c>
      <c r="R30" s="1">
        <f>(Main_M[[#This Row],[ROA]]-VLOOKUP(Main_M[[#This Row],[Industry]], Mean_ROA_M, 2, FALSE))/(VLOOKUP(Main_M[[#This Row],[Industry]], Mean_ROA_M, 3, FALSE))</f>
        <v>-0.93211073474482331</v>
      </c>
      <c r="S30" s="1">
        <f>(Main_M[[#This Row],[A/E]]-VLOOKUP(Main_M[[#This Row],[Industry]], Mean_AE_M, 2, FALSE))/(VLOOKUP(Main_M[[#This Row],[Industry]], Mean_AE_M, 3, FALSE))</f>
        <v>-8.0381957829794792E-2</v>
      </c>
      <c r="T30" s="1">
        <f>(Main_M[[#This Row],[P/E]]-VLOOKUP(Main_M[[#This Row],[Industry]], Mean_PE_M, 2, FALSE))/(VLOOKUP(Main_M[[#This Row],[Industry]], Mean_PE_M, 3, FALSE))</f>
        <v>-0.27917567733251841</v>
      </c>
      <c r="U3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1" spans="1:26" x14ac:dyDescent="0.25">
      <c r="A31" t="s">
        <v>152</v>
      </c>
      <c r="B31" t="s">
        <v>271</v>
      </c>
      <c r="C31" s="2">
        <v>2431</v>
      </c>
      <c r="D31">
        <f>RTD("tos.rtd", , "LAST", Main_M[[#This Row],[Symbol]])</f>
        <v>26.1</v>
      </c>
      <c r="H31" s="1" t="str">
        <f>IF(ISNUMBER(Main_M[[#This Row],[Free CF]]),IF(Main_M[[#This Row],[Free CF]]&lt;&gt;0,Main_M[[#This Row],[Current Price]]/Main_M[[#This Row],[Free CF]],""),"")</f>
        <v/>
      </c>
      <c r="I31" s="1" t="str">
        <f>IF(ISNUMBER(Main_M[[#This Row],[BVPS]]),IF(Main_M[[#This Row],[BVPS]]&lt;&gt;0,Main_M[[#This Row],[Current Price]]/Main_M[[#This Row],[BVPS]],""),"")</f>
        <v/>
      </c>
      <c r="J31">
        <v>-108.4</v>
      </c>
      <c r="K31">
        <v>-27.09</v>
      </c>
      <c r="L31">
        <v>-1.78</v>
      </c>
      <c r="M31" s="1" t="str">
        <f>IF(ISNUMBER(Main_M[[#This Row],[EPS]]),IF(Main_M[[#This Row],[EPS]]&lt;&gt;0,Main_M[[#This Row],[Current Price]]/Main_M[[#This Row],[EPS]],""),"")</f>
        <v/>
      </c>
      <c r="N3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1" s="1" t="e">
        <f>(Main_M[[#This Row],[P/FCF]]-VLOOKUP(Main_M[[#This Row],[Industry]], Mean_PFCF_M, 2, FALSE))/(VLOOKUP(Main_M[[#This Row],[Industry]], Mean_PFCF_M, 3, FALSE))</f>
        <v>#VALUE!</v>
      </c>
      <c r="P31" s="1" t="e">
        <f>(Main_M[[#This Row],[P/B]]-VLOOKUP(Main_M[[#This Row],[Industry]], Mean_PB_M, 2, FALSE))/(VLOOKUP(Main_M[[#This Row],[Industry]], Mean_PB_M, 3, FALSE))</f>
        <v>#VALUE!</v>
      </c>
      <c r="Q31" s="1">
        <f>(Main_M[[#This Row],[ROE]]-VLOOKUP(Main_M[[#This Row],[Industry]], Mean_ROE_M, 2, FALSE))/(VLOOKUP(Main_M[[#This Row],[Industry]], Mean_ROE_M, 3, FALSE))</f>
        <v>-1.144317843742005</v>
      </c>
      <c r="R31" s="1">
        <f>(Main_M[[#This Row],[ROA]]-VLOOKUP(Main_M[[#This Row],[Industry]], Mean_ROA_M, 2, FALSE))/(VLOOKUP(Main_M[[#This Row],[Industry]], Mean_ROA_M, 3, FALSE))</f>
        <v>-0.90962774103007105</v>
      </c>
      <c r="S31" s="1">
        <f>(Main_M[[#This Row],[A/E]]-VLOOKUP(Main_M[[#This Row],[Industry]], Mean_AE_M, 2, FALSE))/(VLOOKUP(Main_M[[#This Row],[Industry]], Mean_AE_M, 3, FALSE))</f>
        <v>-17.55980406045407</v>
      </c>
      <c r="T31" s="1" t="e">
        <f>(Main_M[[#This Row],[P/E]]-VLOOKUP(Main_M[[#This Row],[Industry]], Mean_PE_M, 2, FALSE))/(VLOOKUP(Main_M[[#This Row],[Industry]], Mean_PE_M, 3, FALSE))</f>
        <v>#VALUE!</v>
      </c>
      <c r="U3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3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3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32" spans="1:26" x14ac:dyDescent="0.25">
      <c r="A32" t="s">
        <v>152</v>
      </c>
      <c r="B32" t="s">
        <v>272</v>
      </c>
      <c r="C32" s="2">
        <v>2078</v>
      </c>
      <c r="D32">
        <f>RTD("tos.rtd", , "LAST", Main_M[[#This Row],[Symbol]])</f>
        <v>18.75</v>
      </c>
      <c r="E32">
        <v>-1.69</v>
      </c>
      <c r="F32">
        <v>7.01</v>
      </c>
      <c r="G32">
        <v>-2.56</v>
      </c>
      <c r="H32" s="1">
        <f>IF(ISNUMBER(Main_M[[#This Row],[Free CF]]),IF(Main_M[[#This Row],[Free CF]]&lt;&gt;0,Main_M[[#This Row],[Current Price]]/Main_M[[#This Row],[Free CF]],""),"")</f>
        <v>-11.094674556213018</v>
      </c>
      <c r="I32" s="1">
        <f>IF(ISNUMBER(Main_M[[#This Row],[BVPS]]),IF(Main_M[[#This Row],[BVPS]]&lt;&gt;0,Main_M[[#This Row],[Current Price]]/Main_M[[#This Row],[BVPS]],""),"")</f>
        <v>2.674750356633381</v>
      </c>
      <c r="J32">
        <v>-46.2</v>
      </c>
      <c r="K32">
        <v>-18.190000000000001</v>
      </c>
      <c r="L32">
        <v>1.1399999999999999</v>
      </c>
      <c r="M32" s="1">
        <f>IF(ISNUMBER(Main_M[[#This Row],[EPS]]),IF(Main_M[[#This Row],[EPS]]&lt;&gt;0,Main_M[[#This Row],[Current Price]]/Main_M[[#This Row],[EPS]],""),"")</f>
        <v>-7.32421875</v>
      </c>
      <c r="N3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2" s="1">
        <f>(Main_M[[#This Row],[P/FCF]]-VLOOKUP(Main_M[[#This Row],[Industry]], Mean_PFCF_M, 2, FALSE))/(VLOOKUP(Main_M[[#This Row],[Industry]], Mean_PFCF_M, 3, FALSE))</f>
        <v>0.13951897857542472</v>
      </c>
      <c r="P32" s="1">
        <f>(Main_M[[#This Row],[P/B]]-VLOOKUP(Main_M[[#This Row],[Industry]], Mean_PB_M, 2, FALSE))/(VLOOKUP(Main_M[[#This Row],[Industry]], Mean_PB_M, 3, FALSE))</f>
        <v>-0.49226774144414465</v>
      </c>
      <c r="Q32" s="1">
        <f>(Main_M[[#This Row],[ROE]]-VLOOKUP(Main_M[[#This Row],[Industry]], Mean_ROE_M, 2, FALSE))/(VLOOKUP(Main_M[[#This Row],[Industry]], Mean_ROE_M, 3, FALSE))</f>
        <v>-0.36470772043955785</v>
      </c>
      <c r="R32" s="1">
        <f>(Main_M[[#This Row],[ROA]]-VLOOKUP(Main_M[[#This Row],[Industry]], Mean_ROA_M, 2, FALSE))/(VLOOKUP(Main_M[[#This Row],[Industry]], Mean_ROA_M, 3, FALSE))</f>
        <v>-0.38305236192139935</v>
      </c>
      <c r="S32" s="1">
        <f>(Main_M[[#This Row],[A/E]]-VLOOKUP(Main_M[[#This Row],[Industry]], Mean_AE_M, 2, FALSE))/(VLOOKUP(Main_M[[#This Row],[Industry]], Mean_AE_M, 3, FALSE))</f>
        <v>-0.48959919769056415</v>
      </c>
      <c r="T32" s="1">
        <f>(Main_M[[#This Row],[P/E]]-VLOOKUP(Main_M[[#This Row],[Industry]], Mean_PE_M, 2, FALSE))/(VLOOKUP(Main_M[[#This Row],[Industry]], Mean_PE_M, 3, FALSE))</f>
        <v>8.1718500469788527E-3</v>
      </c>
      <c r="U3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3" spans="1:26" x14ac:dyDescent="0.25">
      <c r="A33" t="s">
        <v>152</v>
      </c>
      <c r="B33" t="s">
        <v>273</v>
      </c>
      <c r="C33" s="2">
        <v>4790</v>
      </c>
      <c r="D33">
        <f>RTD("tos.rtd", , "LAST", Main_M[[#This Row],[Symbol]])</f>
        <v>71.42</v>
      </c>
      <c r="E33">
        <v>-2.79</v>
      </c>
      <c r="F33">
        <v>14.99</v>
      </c>
      <c r="G33">
        <v>-3.93</v>
      </c>
      <c r="H33" s="1">
        <f>IF(ISNUMBER(Main_M[[#This Row],[Free CF]]),IF(Main_M[[#This Row],[Free CF]]&lt;&gt;0,Main_M[[#This Row],[Current Price]]/Main_M[[#This Row],[Free CF]],""),"")</f>
        <v>-25.598566308243729</v>
      </c>
      <c r="I33" s="1">
        <f>IF(ISNUMBER(Main_M[[#This Row],[BVPS]]),IF(Main_M[[#This Row],[BVPS]]&lt;&gt;0,Main_M[[#This Row],[Current Price]]/Main_M[[#This Row],[BVPS]],""),"")</f>
        <v>4.76450967311541</v>
      </c>
      <c r="J33">
        <v>-29.46</v>
      </c>
      <c r="K33">
        <v>-18.7</v>
      </c>
      <c r="L33">
        <v>1.07</v>
      </c>
      <c r="M33" s="1">
        <f>IF(ISNUMBER(Main_M[[#This Row],[EPS]]),IF(Main_M[[#This Row],[EPS]]&lt;&gt;0,Main_M[[#This Row],[Current Price]]/Main_M[[#This Row],[EPS]],""),"")</f>
        <v>-18.173027989821882</v>
      </c>
      <c r="N3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3" s="1">
        <f>(Main_M[[#This Row],[P/FCF]]-VLOOKUP(Main_M[[#This Row],[Industry]], Mean_PFCF_M, 2, FALSE))/(VLOOKUP(Main_M[[#This Row],[Industry]], Mean_PFCF_M, 3, FALSE))</f>
        <v>-0.84100216585466891</v>
      </c>
      <c r="P33" s="1">
        <f>(Main_M[[#This Row],[P/B]]-VLOOKUP(Main_M[[#This Row],[Industry]], Mean_PB_M, 2, FALSE))/(VLOOKUP(Main_M[[#This Row],[Industry]], Mean_PB_M, 3, FALSE))</f>
        <v>-5.2190538925597413E-2</v>
      </c>
      <c r="Q33" s="1">
        <f>(Main_M[[#This Row],[ROE]]-VLOOKUP(Main_M[[#This Row],[Industry]], Mean_ROE_M, 2, FALSE))/(VLOOKUP(Main_M[[#This Row],[Industry]], Mean_ROE_M, 3, FALSE))</f>
        <v>-0.15488981908774169</v>
      </c>
      <c r="R33" s="1">
        <f>(Main_M[[#This Row],[ROA]]-VLOOKUP(Main_M[[#This Row],[Industry]], Mean_ROA_M, 2, FALSE))/(VLOOKUP(Main_M[[#This Row],[Industry]], Mean_ROA_M, 3, FALSE))</f>
        <v>-0.41322690611751411</v>
      </c>
      <c r="S33" s="1">
        <f>(Main_M[[#This Row],[A/E]]-VLOOKUP(Main_M[[#This Row],[Industry]], Mean_AE_M, 2, FALSE))/(VLOOKUP(Main_M[[#This Row],[Industry]], Mean_AE_M, 3, FALSE))</f>
        <v>-0.89881643755133223</v>
      </c>
      <c r="T33" s="1">
        <f>(Main_M[[#This Row],[P/E]]-VLOOKUP(Main_M[[#This Row],[Industry]], Mean_PE_M, 2, FALSE))/(VLOOKUP(Main_M[[#This Row],[Industry]], Mean_PE_M, 3, FALSE))</f>
        <v>-0.62923675985177108</v>
      </c>
      <c r="U3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4" spans="1:26" x14ac:dyDescent="0.25">
      <c r="A34" t="s">
        <v>152</v>
      </c>
      <c r="B34" t="s">
        <v>274</v>
      </c>
      <c r="C34" s="2">
        <v>3741</v>
      </c>
      <c r="D34">
        <f>RTD("tos.rtd", , "LAST", Main_M[[#This Row],[Symbol]])</f>
        <v>30.05</v>
      </c>
      <c r="E34">
        <v>-4.6900000000000004</v>
      </c>
      <c r="F34">
        <v>26.47</v>
      </c>
      <c r="G34">
        <v>-3.8</v>
      </c>
      <c r="H34" s="1">
        <f>IF(ISNUMBER(Main_M[[#This Row],[Free CF]]),IF(Main_M[[#This Row],[Free CF]]&lt;&gt;0,Main_M[[#This Row],[Current Price]]/Main_M[[#This Row],[Free CF]],""),"")</f>
        <v>-6.407249466950959</v>
      </c>
      <c r="I34" s="1">
        <f>IF(ISNUMBER(Main_M[[#This Row],[BVPS]]),IF(Main_M[[#This Row],[BVPS]]&lt;&gt;0,Main_M[[#This Row],[Current Price]]/Main_M[[#This Row],[BVPS]],""),"")</f>
        <v>1.135247449943332</v>
      </c>
      <c r="J34">
        <v>-20.41</v>
      </c>
      <c r="K34">
        <v>-14.47</v>
      </c>
      <c r="L34">
        <v>1.06</v>
      </c>
      <c r="M34" s="1">
        <f>IF(ISNUMBER(Main_M[[#This Row],[EPS]]),IF(Main_M[[#This Row],[EPS]]&lt;&gt;0,Main_M[[#This Row],[Current Price]]/Main_M[[#This Row],[EPS]],""),"")</f>
        <v>-7.9078947368421062</v>
      </c>
      <c r="N3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4" s="1">
        <f>(Main_M[[#This Row],[P/FCF]]-VLOOKUP(Main_M[[#This Row],[Industry]], Mean_PFCF_M, 2, FALSE))/(VLOOKUP(Main_M[[#This Row],[Industry]], Mean_PFCF_M, 3, FALSE))</f>
        <v>0.45640767931397369</v>
      </c>
      <c r="P34" s="1">
        <f>(Main_M[[#This Row],[P/B]]-VLOOKUP(Main_M[[#This Row],[Industry]], Mean_PB_M, 2, FALSE))/(VLOOKUP(Main_M[[#This Row],[Industry]], Mean_PB_M, 3, FALSE))</f>
        <v>-0.81646781898506227</v>
      </c>
      <c r="Q34" s="1">
        <f>(Main_M[[#This Row],[ROE]]-VLOOKUP(Main_M[[#This Row],[Industry]], Mean_ROE_M, 2, FALSE))/(VLOOKUP(Main_M[[#This Row],[Industry]], Mean_ROE_M, 3, FALSE))</f>
        <v>-4.1457799539716816E-2</v>
      </c>
      <c r="R34" s="1">
        <f>(Main_M[[#This Row],[ROA]]-VLOOKUP(Main_M[[#This Row],[Industry]], Mean_ROA_M, 2, FALSE))/(VLOOKUP(Main_M[[#This Row],[Industry]], Mean_ROA_M, 3, FALSE))</f>
        <v>-0.16295568660856122</v>
      </c>
      <c r="S34" s="1">
        <f>(Main_M[[#This Row],[A/E]]-VLOOKUP(Main_M[[#This Row],[Industry]], Mean_AE_M, 2, FALSE))/(VLOOKUP(Main_M[[#This Row],[Industry]], Mean_AE_M, 3, FALSE))</f>
        <v>-0.95727604324572779</v>
      </c>
      <c r="T34" s="1">
        <f>(Main_M[[#This Row],[P/E]]-VLOOKUP(Main_M[[#This Row],[Industry]], Mean_PE_M, 2, FALSE))/(VLOOKUP(Main_M[[#This Row],[Industry]], Mean_PE_M, 3, FALSE))</f>
        <v>-2.6121323625822881E-2</v>
      </c>
      <c r="U3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5" spans="1:26" x14ac:dyDescent="0.25">
      <c r="A35" t="s">
        <v>152</v>
      </c>
      <c r="B35" t="s">
        <v>275</v>
      </c>
      <c r="C35" s="2">
        <v>3230</v>
      </c>
      <c r="D35">
        <f>RTD("tos.rtd", , "LAST", Main_M[[#This Row],[Symbol]])</f>
        <v>46.39</v>
      </c>
      <c r="E35">
        <v>-2.37</v>
      </c>
      <c r="F35">
        <v>-14.13</v>
      </c>
      <c r="G35">
        <v>-4.7300000000000004</v>
      </c>
      <c r="H35" s="1">
        <f>IF(ISNUMBER(Main_M[[#This Row],[Free CF]]),IF(Main_M[[#This Row],[Free CF]]&lt;&gt;0,Main_M[[#This Row],[Current Price]]/Main_M[[#This Row],[Free CF]],""),"")</f>
        <v>-19.573839662447256</v>
      </c>
      <c r="I35" s="1">
        <f>IF(ISNUMBER(Main_M[[#This Row],[BVPS]]),IF(Main_M[[#This Row],[BVPS]]&lt;&gt;0,Main_M[[#This Row],[Current Price]]/Main_M[[#This Row],[BVPS]],""),"")</f>
        <v>-3.2830856334041045</v>
      </c>
      <c r="J35">
        <v>37.909999999999997</v>
      </c>
      <c r="K35">
        <v>-5.09</v>
      </c>
      <c r="L35">
        <v>-1.55</v>
      </c>
      <c r="M35" s="1">
        <f>IF(ISNUMBER(Main_M[[#This Row],[EPS]]),IF(Main_M[[#This Row],[EPS]]&lt;&gt;0,Main_M[[#This Row],[Current Price]]/Main_M[[#This Row],[EPS]],""),"")</f>
        <v>-9.8076109936575051</v>
      </c>
      <c r="N3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5" s="1">
        <f>(Main_M[[#This Row],[P/FCF]]-VLOOKUP(Main_M[[#This Row],[Industry]], Mean_PFCF_M, 2, FALSE))/(VLOOKUP(Main_M[[#This Row],[Industry]], Mean_PFCF_M, 3, FALSE))</f>
        <v>-0.43370652640757101</v>
      </c>
      <c r="P35" s="1">
        <f>(Main_M[[#This Row],[P/B]]-VLOOKUP(Main_M[[#This Row],[Industry]], Mean_PB_M, 2, FALSE))/(VLOOKUP(Main_M[[#This Row],[Industry]], Mean_PB_M, 3, FALSE))</f>
        <v>-1.7469135635160491</v>
      </c>
      <c r="Q35" s="1">
        <f>(Main_M[[#This Row],[ROE]]-VLOOKUP(Main_M[[#This Row],[Industry]], Mean_ROE_M, 2, FALSE))/(VLOOKUP(Main_M[[#This Row],[Industry]], Mean_ROE_M, 3, FALSE))</f>
        <v>0.68952069549241679</v>
      </c>
      <c r="R35" s="1">
        <f>(Main_M[[#This Row],[ROA]]-VLOOKUP(Main_M[[#This Row],[Industry]], Mean_ROA_M, 2, FALSE))/(VLOOKUP(Main_M[[#This Row],[Industry]], Mean_ROA_M, 3, FALSE))</f>
        <v>0.39201926350821875</v>
      </c>
      <c r="S35" s="1">
        <f>(Main_M[[#This Row],[A/E]]-VLOOKUP(Main_M[[#This Row],[Industry]], Mean_AE_M, 2, FALSE))/(VLOOKUP(Main_M[[#This Row],[Industry]], Mean_AE_M, 3, FALSE))</f>
        <v>-16.215233129482971</v>
      </c>
      <c r="T35" s="1">
        <f>(Main_M[[#This Row],[P/E]]-VLOOKUP(Main_M[[#This Row],[Industry]], Mean_PE_M, 2, FALSE))/(VLOOKUP(Main_M[[#This Row],[Industry]], Mean_PE_M, 3, FALSE))</f>
        <v>-0.13773684489556923</v>
      </c>
      <c r="U3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6" spans="1:26" x14ac:dyDescent="0.25">
      <c r="A36" t="s">
        <v>152</v>
      </c>
      <c r="B36" t="s">
        <v>276</v>
      </c>
      <c r="C36" s="2">
        <v>2670</v>
      </c>
      <c r="D36">
        <f>RTD("tos.rtd", , "LAST", Main_M[[#This Row],[Symbol]])</f>
        <v>44.27</v>
      </c>
      <c r="E36">
        <v>2.97</v>
      </c>
      <c r="F36">
        <v>11.06</v>
      </c>
      <c r="G36">
        <v>4.2300000000000004</v>
      </c>
      <c r="H36" s="1">
        <f>IF(ISNUMBER(Main_M[[#This Row],[Free CF]]),IF(Main_M[[#This Row],[Free CF]]&lt;&gt;0,Main_M[[#This Row],[Current Price]]/Main_M[[#This Row],[Free CF]],""),"")</f>
        <v>14.905723905723907</v>
      </c>
      <c r="I36" s="1">
        <f>IF(ISNUMBER(Main_M[[#This Row],[BVPS]]),IF(Main_M[[#This Row],[BVPS]]&lt;&gt;0,Main_M[[#This Row],[Current Price]]/Main_M[[#This Row],[BVPS]],""),"")</f>
        <v>4.0027124773960221</v>
      </c>
      <c r="J36">
        <v>54.39</v>
      </c>
      <c r="K36">
        <v>28.66</v>
      </c>
      <c r="L36">
        <v>1.1000000000000001</v>
      </c>
      <c r="M36" s="1">
        <f>IF(ISNUMBER(Main_M[[#This Row],[EPS]]),IF(Main_M[[#This Row],[EPS]]&lt;&gt;0,Main_M[[#This Row],[Current Price]]/Main_M[[#This Row],[EPS]],""),"")</f>
        <v>10.465721040189125</v>
      </c>
      <c r="N3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6" s="1">
        <f>(Main_M[[#This Row],[P/FCF]]-VLOOKUP(Main_M[[#This Row],[Industry]], Mean_PFCF_M, 2, FALSE))/(VLOOKUP(Main_M[[#This Row],[Industry]], Mean_PFCF_M, 3, FALSE))</f>
        <v>1.897249999421426</v>
      </c>
      <c r="P36" s="1">
        <f>(Main_M[[#This Row],[P/B]]-VLOOKUP(Main_M[[#This Row],[Industry]], Mean_PB_M, 2, FALSE))/(VLOOKUP(Main_M[[#This Row],[Industry]], Mean_PB_M, 3, FALSE))</f>
        <v>-0.21261551042089519</v>
      </c>
      <c r="Q36" s="1">
        <f>(Main_M[[#This Row],[ROE]]-VLOOKUP(Main_M[[#This Row],[Industry]], Mean_ROE_M, 2, FALSE))/(VLOOKUP(Main_M[[#This Row],[Industry]], Mean_ROE_M, 3, FALSE))</f>
        <v>0.89607977639312952</v>
      </c>
      <c r="R36" s="1">
        <f>(Main_M[[#This Row],[ROA]]-VLOOKUP(Main_M[[#This Row],[Industry]], Mean_ROA_M, 2, FALSE))/(VLOOKUP(Main_M[[#This Row],[Industry]], Mean_ROA_M, 3, FALSE))</f>
        <v>2.3888641000158222</v>
      </c>
      <c r="S36" s="1">
        <f>(Main_M[[#This Row],[A/E]]-VLOOKUP(Main_M[[#This Row],[Industry]], Mean_AE_M, 2, FALSE))/(VLOOKUP(Main_M[[#This Row],[Industry]], Mean_AE_M, 3, FALSE))</f>
        <v>-0.7234376204681453</v>
      </c>
      <c r="T36" s="1">
        <f>(Main_M[[#This Row],[P/E]]-VLOOKUP(Main_M[[#This Row],[Industry]], Mean_PE_M, 2, FALSE))/(VLOOKUP(Main_M[[#This Row],[Industry]], Mean_PE_M, 3, FALSE))</f>
        <v>1.0533981547204936</v>
      </c>
      <c r="U3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7" spans="1:26" x14ac:dyDescent="0.25">
      <c r="A37" t="s">
        <v>152</v>
      </c>
      <c r="B37" t="s">
        <v>277</v>
      </c>
      <c r="C37" s="2">
        <v>3138</v>
      </c>
      <c r="D37">
        <f>RTD("tos.rtd", , "LAST", Main_M[[#This Row],[Symbol]])</f>
        <v>35.4</v>
      </c>
      <c r="E37">
        <v>-4.8</v>
      </c>
      <c r="F37">
        <v>2.76</v>
      </c>
      <c r="G37">
        <v>-6.29</v>
      </c>
      <c r="H37" s="1">
        <f>IF(ISNUMBER(Main_M[[#This Row],[Free CF]]),IF(Main_M[[#This Row],[Free CF]]&lt;&gt;0,Main_M[[#This Row],[Current Price]]/Main_M[[#This Row],[Free CF]],""),"")</f>
        <v>-7.375</v>
      </c>
      <c r="I37" s="1">
        <f>IF(ISNUMBER(Main_M[[#This Row],[BVPS]]),IF(Main_M[[#This Row],[BVPS]]&lt;&gt;0,Main_M[[#This Row],[Current Price]]/Main_M[[#This Row],[BVPS]],""),"")</f>
        <v>12.82608695652174</v>
      </c>
      <c r="J37">
        <v>-211.71</v>
      </c>
      <c r="K37">
        <v>-22.37</v>
      </c>
      <c r="L37">
        <v>5.89</v>
      </c>
      <c r="M37" s="1">
        <f>IF(ISNUMBER(Main_M[[#This Row],[EPS]]),IF(Main_M[[#This Row],[EPS]]&lt;&gt;0,Main_M[[#This Row],[Current Price]]/Main_M[[#This Row],[EPS]],""),"")</f>
        <v>-5.627980922098569</v>
      </c>
      <c r="N3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7" s="1">
        <f>(Main_M[[#This Row],[P/FCF]]-VLOOKUP(Main_M[[#This Row],[Industry]], Mean_PFCF_M, 2, FALSE))/(VLOOKUP(Main_M[[#This Row],[Industry]], Mean_PFCF_M, 3, FALSE))</f>
        <v>0.39098386918003347</v>
      </c>
      <c r="P37" s="1">
        <f>(Main_M[[#This Row],[P/B]]-VLOOKUP(Main_M[[#This Row],[Industry]], Mean_PB_M, 2, FALSE))/(VLOOKUP(Main_M[[#This Row],[Industry]], Mean_PB_M, 3, FALSE))</f>
        <v>1.6454769153058653</v>
      </c>
      <c r="Q37" s="1">
        <f>(Main_M[[#This Row],[ROE]]-VLOOKUP(Main_M[[#This Row],[Industry]], Mean_ROE_M, 2, FALSE))/(VLOOKUP(Main_M[[#This Row],[Industry]], Mean_ROE_M, 3, FALSE))</f>
        <v>-2.4391976160631597</v>
      </c>
      <c r="R37" s="1">
        <f>(Main_M[[#This Row],[ROA]]-VLOOKUP(Main_M[[#This Row],[Industry]], Mean_ROA_M, 2, FALSE))/(VLOOKUP(Main_M[[#This Row],[Industry]], Mean_ROA_M, 3, FALSE))</f>
        <v>-0.63036529278367437</v>
      </c>
      <c r="S37" s="1">
        <f>(Main_M[[#This Row],[A/E]]-VLOOKUP(Main_M[[#This Row],[Industry]], Mean_AE_M, 2, FALSE))/(VLOOKUP(Main_M[[#This Row],[Industry]], Mean_AE_M, 3, FALSE))</f>
        <v>27.27871350714733</v>
      </c>
      <c r="T37" s="1">
        <f>(Main_M[[#This Row],[P/E]]-VLOOKUP(Main_M[[#This Row],[Industry]], Mean_PE_M, 2, FALSE))/(VLOOKUP(Main_M[[#This Row],[Industry]], Mean_PE_M, 3, FALSE))</f>
        <v>0.10783224337122145</v>
      </c>
      <c r="U3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3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3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8" spans="1:26" x14ac:dyDescent="0.25">
      <c r="A38" t="s">
        <v>152</v>
      </c>
      <c r="B38" t="s">
        <v>278</v>
      </c>
      <c r="C38" s="2">
        <v>3154</v>
      </c>
      <c r="D38">
        <f>RTD("tos.rtd", , "LAST", Main_M[[#This Row],[Symbol]])</f>
        <v>29.88</v>
      </c>
      <c r="E38">
        <v>-2.76</v>
      </c>
      <c r="F38">
        <v>11.89</v>
      </c>
      <c r="G38">
        <v>-2.89</v>
      </c>
      <c r="H38" s="1">
        <f>IF(ISNUMBER(Main_M[[#This Row],[Free CF]]),IF(Main_M[[#This Row],[Free CF]]&lt;&gt;0,Main_M[[#This Row],[Current Price]]/Main_M[[#This Row],[Free CF]],""),"")</f>
        <v>-10.82608695652174</v>
      </c>
      <c r="I38" s="1">
        <f>IF(ISNUMBER(Main_M[[#This Row],[BVPS]]),IF(Main_M[[#This Row],[BVPS]]&lt;&gt;0,Main_M[[#This Row],[Current Price]]/Main_M[[#This Row],[BVPS]],""),"")</f>
        <v>2.5130361648444071</v>
      </c>
      <c r="J38">
        <v>-33.47</v>
      </c>
      <c r="K38">
        <v>-21.6</v>
      </c>
      <c r="L38">
        <v>1.1000000000000001</v>
      </c>
      <c r="M38" s="1">
        <f>IF(ISNUMBER(Main_M[[#This Row],[EPS]]),IF(Main_M[[#This Row],[EPS]]&lt;&gt;0,Main_M[[#This Row],[Current Price]]/Main_M[[#This Row],[EPS]],""),"")</f>
        <v>-10.339100346020761</v>
      </c>
      <c r="N3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8" s="1">
        <f>(Main_M[[#This Row],[P/FCF]]-VLOOKUP(Main_M[[#This Row],[Industry]], Mean_PFCF_M, 2, FALSE))/(VLOOKUP(Main_M[[#This Row],[Industry]], Mean_PFCF_M, 3, FALSE))</f>
        <v>0.15767657552468153</v>
      </c>
      <c r="P38" s="1">
        <f>(Main_M[[#This Row],[P/B]]-VLOOKUP(Main_M[[#This Row],[Industry]], Mean_PB_M, 2, FALSE))/(VLOOKUP(Main_M[[#This Row],[Industry]], Mean_PB_M, 3, FALSE))</f>
        <v>-0.52632272977162531</v>
      </c>
      <c r="Q38" s="1">
        <f>(Main_M[[#This Row],[ROE]]-VLOOKUP(Main_M[[#This Row],[Industry]], Mean_ROE_M, 2, FALSE))/(VLOOKUP(Main_M[[#This Row],[Industry]], Mean_ROE_M, 3, FALSE))</f>
        <v>-0.20515085758360679</v>
      </c>
      <c r="R38" s="1">
        <f>(Main_M[[#This Row],[ROA]]-VLOOKUP(Main_M[[#This Row],[Industry]], Mean_ROA_M, 2, FALSE))/(VLOOKUP(Main_M[[#This Row],[Industry]], Mean_ROA_M, 3, FALSE))</f>
        <v>-0.58480764762483428</v>
      </c>
      <c r="S38" s="1">
        <f>(Main_M[[#This Row],[A/E]]-VLOOKUP(Main_M[[#This Row],[Industry]], Mean_AE_M, 2, FALSE))/(VLOOKUP(Main_M[[#This Row],[Industry]], Mean_AE_M, 3, FALSE))</f>
        <v>-0.7234376204681453</v>
      </c>
      <c r="T38" s="1">
        <f>(Main_M[[#This Row],[P/E]]-VLOOKUP(Main_M[[#This Row],[Industry]], Mean_PE_M, 2, FALSE))/(VLOOKUP(Main_M[[#This Row],[Industry]], Mean_PE_M, 3, FALSE))</f>
        <v>-0.16896385624556431</v>
      </c>
      <c r="U3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39" spans="1:26" x14ac:dyDescent="0.25">
      <c r="A39" t="s">
        <v>152</v>
      </c>
      <c r="B39" t="s">
        <v>279</v>
      </c>
      <c r="C39" s="2">
        <v>7970</v>
      </c>
      <c r="D39">
        <f>RTD("tos.rtd", , "LAST", Main_M[[#This Row],[Symbol]])</f>
        <v>10.76</v>
      </c>
      <c r="E39">
        <v>-1.04</v>
      </c>
      <c r="F39">
        <v>7.21</v>
      </c>
      <c r="G39">
        <v>-0.96</v>
      </c>
      <c r="H39" s="1">
        <f>IF(ISNUMBER(Main_M[[#This Row],[Free CF]]),IF(Main_M[[#This Row],[Free CF]]&lt;&gt;0,Main_M[[#This Row],[Current Price]]/Main_M[[#This Row],[Free CF]],""),"")</f>
        <v>-10.346153846153845</v>
      </c>
      <c r="I39" s="1">
        <f>IF(ISNUMBER(Main_M[[#This Row],[BVPS]]),IF(Main_M[[#This Row],[BVPS]]&lt;&gt;0,Main_M[[#This Row],[Current Price]]/Main_M[[#This Row],[BVPS]],""),"")</f>
        <v>1.492371705963939</v>
      </c>
      <c r="J39">
        <v>-14.64</v>
      </c>
      <c r="K39">
        <v>-11.62</v>
      </c>
      <c r="L39">
        <v>1.1200000000000001</v>
      </c>
      <c r="M39" s="1">
        <f>IF(ISNUMBER(Main_M[[#This Row],[EPS]]),IF(Main_M[[#This Row],[EPS]]&lt;&gt;0,Main_M[[#This Row],[Current Price]]/Main_M[[#This Row],[EPS]],""),"")</f>
        <v>-11.208333333333334</v>
      </c>
      <c r="N3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39" s="1">
        <f>(Main_M[[#This Row],[P/FCF]]-VLOOKUP(Main_M[[#This Row],[Industry]], Mean_PFCF_M, 2, FALSE))/(VLOOKUP(Main_M[[#This Row],[Industry]], Mean_PFCF_M, 3, FALSE))</f>
        <v>0.19012197505422063</v>
      </c>
      <c r="P39" s="1">
        <f>(Main_M[[#This Row],[P/B]]-VLOOKUP(Main_M[[#This Row],[Industry]], Mean_PB_M, 2, FALSE))/(VLOOKUP(Main_M[[#This Row],[Industry]], Mean_PB_M, 3, FALSE))</f>
        <v>-0.74126191259119179</v>
      </c>
      <c r="Q39" s="1">
        <f>(Main_M[[#This Row],[ROE]]-VLOOKUP(Main_M[[#This Row],[Industry]], Mean_ROE_M, 2, FALSE))/(VLOOKUP(Main_M[[#This Row],[Industry]], Mean_ROE_M, 3, FALSE))</f>
        <v>3.0862946625156481E-2</v>
      </c>
      <c r="R39" s="1">
        <f>(Main_M[[#This Row],[ROA]]-VLOOKUP(Main_M[[#This Row],[Industry]], Mean_ROA_M, 2, FALSE))/(VLOOKUP(Main_M[[#This Row],[Industry]], Mean_ROA_M, 3, FALSE))</f>
        <v>5.6667662520809665E-3</v>
      </c>
      <c r="S39" s="1">
        <f>(Main_M[[#This Row],[A/E]]-VLOOKUP(Main_M[[#This Row],[Industry]], Mean_AE_M, 2, FALSE))/(VLOOKUP(Main_M[[#This Row],[Industry]], Mean_AE_M, 3, FALSE))</f>
        <v>-0.60651840907935406</v>
      </c>
      <c r="T39" s="1">
        <f>(Main_M[[#This Row],[P/E]]-VLOOKUP(Main_M[[#This Row],[Industry]], Mean_PE_M, 2, FALSE))/(VLOOKUP(Main_M[[#This Row],[Industry]], Mean_PE_M, 3, FALSE))</f>
        <v>-0.22003458464286274</v>
      </c>
      <c r="U3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3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3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3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3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3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0" spans="1:26" x14ac:dyDescent="0.25">
      <c r="A40" t="s">
        <v>152</v>
      </c>
      <c r="B40" t="s">
        <v>280</v>
      </c>
      <c r="C40" s="2">
        <v>7001</v>
      </c>
      <c r="D40">
        <f>RTD("tos.rtd", , "LAST", Main_M[[#This Row],[Symbol]])</f>
        <v>39.950000000000003</v>
      </c>
      <c r="E40">
        <v>-3.38</v>
      </c>
      <c r="F40">
        <v>12.19</v>
      </c>
      <c r="G40">
        <v>-3.58</v>
      </c>
      <c r="H40" s="1">
        <f>IF(ISNUMBER(Main_M[[#This Row],[Free CF]]),IF(Main_M[[#This Row],[Free CF]]&lt;&gt;0,Main_M[[#This Row],[Current Price]]/Main_M[[#This Row],[Free CF]],""),"")</f>
        <v>-11.819526627218936</v>
      </c>
      <c r="I40" s="1">
        <f>IF(ISNUMBER(Main_M[[#This Row],[BVPS]]),IF(Main_M[[#This Row],[BVPS]]&lt;&gt;0,Main_M[[#This Row],[Current Price]]/Main_M[[#This Row],[BVPS]],""),"")</f>
        <v>3.2772764561115673</v>
      </c>
      <c r="J40">
        <v>-29.33</v>
      </c>
      <c r="K40">
        <v>-18.66</v>
      </c>
      <c r="L40">
        <v>1.1299999999999999</v>
      </c>
      <c r="M40" s="1">
        <f>IF(ISNUMBER(Main_M[[#This Row],[EPS]]),IF(Main_M[[#This Row],[EPS]]&lt;&gt;0,Main_M[[#This Row],[Current Price]]/Main_M[[#This Row],[EPS]],""),"")</f>
        <v>-11.159217877094973</v>
      </c>
      <c r="N4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0" s="1">
        <f>(Main_M[[#This Row],[P/FCF]]-VLOOKUP(Main_M[[#This Row],[Industry]], Mean_PFCF_M, 2, FALSE))/(VLOOKUP(Main_M[[#This Row],[Industry]], Mean_PFCF_M, 3, FALSE))</f>
        <v>9.0516076846946555E-2</v>
      </c>
      <c r="P40" s="1">
        <f>(Main_M[[#This Row],[P/B]]-VLOOKUP(Main_M[[#This Row],[Industry]], Mean_PB_M, 2, FALSE))/(VLOOKUP(Main_M[[#This Row],[Industry]], Mean_PB_M, 3, FALSE))</f>
        <v>-0.36538327287809563</v>
      </c>
      <c r="Q40" s="1">
        <f>(Main_M[[#This Row],[ROE]]-VLOOKUP(Main_M[[#This Row],[Industry]], Mean_ROE_M, 2, FALSE))/(VLOOKUP(Main_M[[#This Row],[Industry]], Mean_ROE_M, 3, FALSE))</f>
        <v>-0.15326040886218992</v>
      </c>
      <c r="R40" s="1">
        <f>(Main_M[[#This Row],[ROA]]-VLOOKUP(Main_M[[#This Row],[Industry]], Mean_ROA_M, 2, FALSE))/(VLOOKUP(Main_M[[#This Row],[Industry]], Mean_ROA_M, 3, FALSE))</f>
        <v>-0.41086027520017182</v>
      </c>
      <c r="S40" s="1">
        <f>(Main_M[[#This Row],[A/E]]-VLOOKUP(Main_M[[#This Row],[Industry]], Mean_AE_M, 2, FALSE))/(VLOOKUP(Main_M[[#This Row],[Industry]], Mean_AE_M, 3, FALSE))</f>
        <v>-0.54805880338495971</v>
      </c>
      <c r="T40" s="1">
        <f>(Main_M[[#This Row],[P/E]]-VLOOKUP(Main_M[[#This Row],[Industry]], Mean_PE_M, 2, FALSE))/(VLOOKUP(Main_M[[#This Row],[Industry]], Mean_PE_M, 3, FALSE))</f>
        <v>-0.21714886566731639</v>
      </c>
      <c r="U4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1" spans="1:26" x14ac:dyDescent="0.25">
      <c r="A41" t="s">
        <v>152</v>
      </c>
      <c r="B41" t="s">
        <v>281</v>
      </c>
      <c r="C41" s="2">
        <v>4110</v>
      </c>
      <c r="D41">
        <f>RTD("tos.rtd", , "LAST", Main_M[[#This Row],[Symbol]])</f>
        <v>56.79</v>
      </c>
      <c r="E41">
        <v>-2.5299999999999998</v>
      </c>
      <c r="F41">
        <v>0.35</v>
      </c>
      <c r="G41">
        <v>-4.34</v>
      </c>
      <c r="H41" s="1">
        <f>IF(ISNUMBER(Main_M[[#This Row],[Free CF]]),IF(Main_M[[#This Row],[Free CF]]&lt;&gt;0,Main_M[[#This Row],[Current Price]]/Main_M[[#This Row],[Free CF]],""),"")</f>
        <v>-22.446640316205535</v>
      </c>
      <c r="I41" s="1">
        <f>IF(ISNUMBER(Main_M[[#This Row],[BVPS]]),IF(Main_M[[#This Row],[BVPS]]&lt;&gt;0,Main_M[[#This Row],[Current Price]]/Main_M[[#This Row],[BVPS]],""),"")</f>
        <v>162.25714285714287</v>
      </c>
      <c r="J41">
        <v>-155.91</v>
      </c>
      <c r="K41">
        <v>-45.78</v>
      </c>
      <c r="L41">
        <v>18.05</v>
      </c>
      <c r="M41" s="1">
        <f>IF(ISNUMBER(Main_M[[#This Row],[EPS]]),IF(Main_M[[#This Row],[EPS]]&lt;&gt;0,Main_M[[#This Row],[Current Price]]/Main_M[[#This Row],[EPS]],""),"")</f>
        <v>-13.085253456221198</v>
      </c>
      <c r="N4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1" s="1">
        <f>(Main_M[[#This Row],[P/FCF]]-VLOOKUP(Main_M[[#This Row],[Industry]], Mean_PFCF_M, 2, FALSE))/(VLOOKUP(Main_M[[#This Row],[Industry]], Mean_PFCF_M, 3, FALSE))</f>
        <v>-0.62791935099985319</v>
      </c>
      <c r="P41" s="1">
        <f>(Main_M[[#This Row],[P/B]]-VLOOKUP(Main_M[[#This Row],[Industry]], Mean_PB_M, 2, FALSE))/(VLOOKUP(Main_M[[#This Row],[Industry]], Mean_PB_M, 3, FALSE))</f>
        <v>33.113790290667488</v>
      </c>
      <c r="Q41" s="1">
        <f>(Main_M[[#This Row],[ROE]]-VLOOKUP(Main_M[[#This Row],[Industry]], Mean_ROE_M, 2, FALSE))/(VLOOKUP(Main_M[[#This Row],[Industry]], Mean_ROE_M, 3, FALSE))</f>
        <v>-1.7398046115571055</v>
      </c>
      <c r="R41" s="1">
        <f>(Main_M[[#This Row],[ROA]]-VLOOKUP(Main_M[[#This Row],[Industry]], Mean_ROA_M, 2, FALSE))/(VLOOKUP(Main_M[[#This Row],[Industry]], Mean_ROA_M, 3, FALSE))</f>
        <v>-2.0154360371582816</v>
      </c>
      <c r="S41" s="1">
        <f>(Main_M[[#This Row],[A/E]]-VLOOKUP(Main_M[[#This Row],[Industry]], Mean_AE_M, 2, FALSE))/(VLOOKUP(Main_M[[#This Row],[Industry]], Mean_AE_M, 3, FALSE))</f>
        <v>98.365594031532353</v>
      </c>
      <c r="T41" s="1">
        <f>(Main_M[[#This Row],[P/E]]-VLOOKUP(Main_M[[#This Row],[Industry]], Mean_PE_M, 2, FALSE))/(VLOOKUP(Main_M[[#This Row],[Industry]], Mean_PE_M, 3, FALSE))</f>
        <v>-0.33031074675192995</v>
      </c>
      <c r="U4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4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2" spans="1:26" x14ac:dyDescent="0.25">
      <c r="A42" t="s">
        <v>152</v>
      </c>
      <c r="B42" t="s">
        <v>282</v>
      </c>
      <c r="C42" s="2">
        <v>3726</v>
      </c>
      <c r="D42">
        <f>RTD("tos.rtd", , "LAST", Main_M[[#This Row],[Symbol]])</f>
        <v>74.44</v>
      </c>
      <c r="E42">
        <v>-1.73</v>
      </c>
      <c r="F42">
        <v>5.36</v>
      </c>
      <c r="G42">
        <v>-4.38</v>
      </c>
      <c r="H42" s="1">
        <f>IF(ISNUMBER(Main_M[[#This Row],[Free CF]]),IF(Main_M[[#This Row],[Free CF]]&lt;&gt;0,Main_M[[#This Row],[Current Price]]/Main_M[[#This Row],[Free CF]],""),"")</f>
        <v>-43.028901734104046</v>
      </c>
      <c r="I42" s="1">
        <f>IF(ISNUMBER(Main_M[[#This Row],[BVPS]]),IF(Main_M[[#This Row],[BVPS]]&lt;&gt;0,Main_M[[#This Row],[Current Price]]/Main_M[[#This Row],[BVPS]],""),"")</f>
        <v>13.888059701492535</v>
      </c>
      <c r="J42">
        <v>-87.35</v>
      </c>
      <c r="K42">
        <v>-45.06</v>
      </c>
      <c r="L42">
        <v>1.35</v>
      </c>
      <c r="M42" s="1">
        <f>IF(ISNUMBER(Main_M[[#This Row],[EPS]]),IF(Main_M[[#This Row],[EPS]]&lt;&gt;0,Main_M[[#This Row],[Current Price]]/Main_M[[#This Row],[EPS]],""),"")</f>
        <v>-16.995433789954337</v>
      </c>
      <c r="N4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2" s="1">
        <f>(Main_M[[#This Row],[P/FCF]]-VLOOKUP(Main_M[[#This Row],[Industry]], Mean_PFCF_M, 2, FALSE))/(VLOOKUP(Main_M[[#This Row],[Industry]], Mean_PFCF_M, 3, FALSE))</f>
        <v>-2.019362617777654</v>
      </c>
      <c r="P42" s="1">
        <f>(Main_M[[#This Row],[P/B]]-VLOOKUP(Main_M[[#This Row],[Industry]], Mean_PB_M, 2, FALSE))/(VLOOKUP(Main_M[[#This Row],[Industry]], Mean_PB_M, 3, FALSE))</f>
        <v>1.8691151070687533</v>
      </c>
      <c r="Q42" s="1">
        <f>(Main_M[[#This Row],[ROE]]-VLOOKUP(Main_M[[#This Row],[Industry]], Mean_ROE_M, 2, FALSE))/(VLOOKUP(Main_M[[#This Row],[Industry]], Mean_ROE_M, 3, FALSE))</f>
        <v>-0.88047872645074254</v>
      </c>
      <c r="R42" s="1">
        <f>(Main_M[[#This Row],[ROA]]-VLOOKUP(Main_M[[#This Row],[Industry]], Mean_ROA_M, 2, FALSE))/(VLOOKUP(Main_M[[#This Row],[Industry]], Mean_ROA_M, 3, FALSE))</f>
        <v>-1.9728366806461195</v>
      </c>
      <c r="S42" s="1">
        <f>(Main_M[[#This Row],[A/E]]-VLOOKUP(Main_M[[#This Row],[Industry]], Mean_AE_M, 2, FALSE))/(VLOOKUP(Main_M[[#This Row],[Industry]], Mean_AE_M, 3, FALSE))</f>
        <v>0.73805252189174386</v>
      </c>
      <c r="T42" s="1">
        <f>(Main_M[[#This Row],[P/E]]-VLOOKUP(Main_M[[#This Row],[Industry]], Mean_PE_M, 2, FALSE))/(VLOOKUP(Main_M[[#This Row],[Industry]], Mean_PE_M, 3, FALSE))</f>
        <v>-0.56004864294699575</v>
      </c>
      <c r="U4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3" spans="1:26" x14ac:dyDescent="0.25">
      <c r="A43" t="s">
        <v>152</v>
      </c>
      <c r="B43" t="s">
        <v>283</v>
      </c>
      <c r="C43" s="2">
        <v>3608</v>
      </c>
      <c r="D43">
        <f>RTD("tos.rtd", , "LAST", Main_M[[#This Row],[Symbol]])</f>
        <v>36.200000000000003</v>
      </c>
      <c r="E43">
        <v>-3.71</v>
      </c>
      <c r="F43">
        <v>15.77</v>
      </c>
      <c r="G43">
        <v>2.34</v>
      </c>
      <c r="H43" s="1">
        <f>IF(ISNUMBER(Main_M[[#This Row],[Free CF]]),IF(Main_M[[#This Row],[Free CF]]&lt;&gt;0,Main_M[[#This Row],[Current Price]]/Main_M[[#This Row],[Free CF]],""),"")</f>
        <v>-9.7574123989218329</v>
      </c>
      <c r="I43" s="1">
        <f>IF(ISNUMBER(Main_M[[#This Row],[BVPS]]),IF(Main_M[[#This Row],[BVPS]]&lt;&gt;0,Main_M[[#This Row],[Current Price]]/Main_M[[#This Row],[BVPS]],""),"")</f>
        <v>2.2954977805960688</v>
      </c>
      <c r="J43">
        <v>19.71</v>
      </c>
      <c r="K43">
        <v>3.77</v>
      </c>
      <c r="L43">
        <v>2.59</v>
      </c>
      <c r="M43" s="1">
        <f>IF(ISNUMBER(Main_M[[#This Row],[EPS]]),IF(Main_M[[#This Row],[EPS]]&lt;&gt;0,Main_M[[#This Row],[Current Price]]/Main_M[[#This Row],[EPS]],""),"")</f>
        <v>15.470085470085472</v>
      </c>
      <c r="N4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3" s="1">
        <f>(Main_M[[#This Row],[P/FCF]]-VLOOKUP(Main_M[[#This Row],[Industry]], Mean_PFCF_M, 2, FALSE))/(VLOOKUP(Main_M[[#This Row],[Industry]], Mean_PFCF_M, 3, FALSE))</f>
        <v>0.22992325373740835</v>
      </c>
      <c r="P43" s="1">
        <f>(Main_M[[#This Row],[P/B]]-VLOOKUP(Main_M[[#This Row],[Industry]], Mean_PB_M, 2, FALSE))/(VLOOKUP(Main_M[[#This Row],[Industry]], Mean_PB_M, 3, FALSE))</f>
        <v>-0.57213359556145937</v>
      </c>
      <c r="Q43" s="1">
        <f>(Main_M[[#This Row],[ROE]]-VLOOKUP(Main_M[[#This Row],[Industry]], Mean_ROE_M, 2, FALSE))/(VLOOKUP(Main_M[[#This Row],[Industry]], Mean_ROE_M, 3, FALSE))</f>
        <v>0.46140326391517344</v>
      </c>
      <c r="R43" s="1">
        <f>(Main_M[[#This Row],[ROA]]-VLOOKUP(Main_M[[#This Row],[Industry]], Mean_ROA_M, 2, FALSE))/(VLOOKUP(Main_M[[#This Row],[Industry]], Mean_ROA_M, 3, FALSE))</f>
        <v>0.91622801169954815</v>
      </c>
      <c r="S43" s="1">
        <f>(Main_M[[#This Row],[A/E]]-VLOOKUP(Main_M[[#This Row],[Industry]], Mean_AE_M, 2, FALSE))/(VLOOKUP(Main_M[[#This Row],[Industry]], Mean_AE_M, 3, FALSE))</f>
        <v>7.9870436279967931</v>
      </c>
      <c r="T43" s="1">
        <f>(Main_M[[#This Row],[P/E]]-VLOOKUP(Main_M[[#This Row],[Industry]], Mean_PE_M, 2, FALSE))/(VLOOKUP(Main_M[[#This Row],[Industry]], Mean_PE_M, 3, FALSE))</f>
        <v>1.3474235084872774</v>
      </c>
      <c r="U4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4" spans="1:26" x14ac:dyDescent="0.25">
      <c r="A44" t="s">
        <v>152</v>
      </c>
      <c r="B44" t="s">
        <v>284</v>
      </c>
      <c r="C44" s="2">
        <v>2817</v>
      </c>
      <c r="D44">
        <f>RTD("tos.rtd", , "LAST", Main_M[[#This Row],[Symbol]])</f>
        <v>31.4</v>
      </c>
      <c r="E44">
        <v>-2.14</v>
      </c>
      <c r="F44">
        <v>3.93</v>
      </c>
      <c r="G44">
        <v>-2.63</v>
      </c>
      <c r="H44" s="1">
        <f>IF(ISNUMBER(Main_M[[#This Row],[Free CF]]),IF(Main_M[[#This Row],[Free CF]]&lt;&gt;0,Main_M[[#This Row],[Current Price]]/Main_M[[#This Row],[Free CF]],""),"")</f>
        <v>-14.672897196261681</v>
      </c>
      <c r="I44" s="1">
        <f>IF(ISNUMBER(Main_M[[#This Row],[BVPS]]),IF(Main_M[[#This Row],[BVPS]]&lt;&gt;0,Main_M[[#This Row],[Current Price]]/Main_M[[#This Row],[BVPS]],""),"")</f>
        <v>7.9898218829516532</v>
      </c>
      <c r="J44">
        <v>-82.95</v>
      </c>
      <c r="K44">
        <v>-40.090000000000003</v>
      </c>
      <c r="L44">
        <v>1.29</v>
      </c>
      <c r="M44" s="1">
        <f>IF(ISNUMBER(Main_M[[#This Row],[EPS]]),IF(Main_M[[#This Row],[EPS]]&lt;&gt;0,Main_M[[#This Row],[Current Price]]/Main_M[[#This Row],[EPS]],""),"")</f>
        <v>-11.939163498098859</v>
      </c>
      <c r="N4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4" s="1">
        <f>(Main_M[[#This Row],[P/FCF]]-VLOOKUP(Main_M[[#This Row],[Industry]], Mean_PFCF_M, 2, FALSE))/(VLOOKUP(Main_M[[#This Row],[Industry]], Mean_PFCF_M, 3, FALSE))</f>
        <v>-0.10238319623603255</v>
      </c>
      <c r="P44" s="1">
        <f>(Main_M[[#This Row],[P/B]]-VLOOKUP(Main_M[[#This Row],[Industry]], Mean_PB_M, 2, FALSE))/(VLOOKUP(Main_M[[#This Row],[Industry]], Mean_PB_M, 3, FALSE))</f>
        <v>0.62701991529220713</v>
      </c>
      <c r="Q44" s="1">
        <f>(Main_M[[#This Row],[ROE]]-VLOOKUP(Main_M[[#This Row],[Industry]], Mean_ROE_M, 2, FALSE))/(VLOOKUP(Main_M[[#This Row],[Industry]], Mean_ROE_M, 3, FALSE))</f>
        <v>-0.82532945727822227</v>
      </c>
      <c r="R44" s="1">
        <f>(Main_M[[#This Row],[ROA]]-VLOOKUP(Main_M[[#This Row],[Industry]], Mean_ROA_M, 2, FALSE))/(VLOOKUP(Main_M[[#This Row],[Industry]], Mean_ROA_M, 3, FALSE))</f>
        <v>-1.6787827891663334</v>
      </c>
      <c r="S44" s="1">
        <f>(Main_M[[#This Row],[A/E]]-VLOOKUP(Main_M[[#This Row],[Industry]], Mean_AE_M, 2, FALSE))/(VLOOKUP(Main_M[[#This Row],[Industry]], Mean_AE_M, 3, FALSE))</f>
        <v>0.38729488772537018</v>
      </c>
      <c r="T44" s="1">
        <f>(Main_M[[#This Row],[P/E]]-VLOOKUP(Main_M[[#This Row],[Industry]], Mean_PE_M, 2, FALSE))/(VLOOKUP(Main_M[[#This Row],[Industry]], Mean_PE_M, 3, FALSE))</f>
        <v>-0.26297362330577462</v>
      </c>
      <c r="U4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5" spans="1:26" x14ac:dyDescent="0.25">
      <c r="A45" t="s">
        <v>152</v>
      </c>
      <c r="B45" t="s">
        <v>285</v>
      </c>
      <c r="C45" s="2">
        <v>3466</v>
      </c>
      <c r="D45">
        <f>RTD("tos.rtd", , "LAST", Main_M[[#This Row],[Symbol]])</f>
        <v>46.22</v>
      </c>
      <c r="E45">
        <v>-2.65</v>
      </c>
      <c r="F45">
        <v>6.47</v>
      </c>
      <c r="G45">
        <v>-3.48</v>
      </c>
      <c r="H45" s="1">
        <f>IF(ISNUMBER(Main_M[[#This Row],[Free CF]]),IF(Main_M[[#This Row],[Free CF]]&lt;&gt;0,Main_M[[#This Row],[Current Price]]/Main_M[[#This Row],[Free CF]],""),"")</f>
        <v>-17.441509433962263</v>
      </c>
      <c r="I45" s="1">
        <f>IF(ISNUMBER(Main_M[[#This Row],[BVPS]]),IF(Main_M[[#This Row],[BVPS]]&lt;&gt;0,Main_M[[#This Row],[Current Price]]/Main_M[[#This Row],[BVPS]],""),"")</f>
        <v>7.1437403400309121</v>
      </c>
      <c r="J45">
        <v>-46.62</v>
      </c>
      <c r="K45">
        <v>-26.48</v>
      </c>
      <c r="L45">
        <v>1.22</v>
      </c>
      <c r="M45" s="1">
        <f>IF(ISNUMBER(Main_M[[#This Row],[EPS]]),IF(Main_M[[#This Row],[EPS]]&lt;&gt;0,Main_M[[#This Row],[Current Price]]/Main_M[[#This Row],[EPS]],""),"")</f>
        <v>-13.281609195402298</v>
      </c>
      <c r="N4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5" s="1">
        <f>(Main_M[[#This Row],[P/FCF]]-VLOOKUP(Main_M[[#This Row],[Industry]], Mean_PFCF_M, 2, FALSE))/(VLOOKUP(Main_M[[#This Row],[Industry]], Mean_PFCF_M, 3, FALSE))</f>
        <v>-0.28955246681565133</v>
      </c>
      <c r="P45" s="1">
        <f>(Main_M[[#This Row],[P/B]]-VLOOKUP(Main_M[[#This Row],[Industry]], Mean_PB_M, 2, FALSE))/(VLOOKUP(Main_M[[#This Row],[Industry]], Mean_PB_M, 3, FALSE))</f>
        <v>0.44884571332815143</v>
      </c>
      <c r="Q45" s="1">
        <f>(Main_M[[#This Row],[ROE]]-VLOOKUP(Main_M[[#This Row],[Industry]], Mean_ROE_M, 2, FALSE))/(VLOOKUP(Main_M[[#This Row],[Industry]], Mean_ROE_M, 3, FALSE))</f>
        <v>-0.36997196886057104</v>
      </c>
      <c r="R45" s="1">
        <f>(Main_M[[#This Row],[ROA]]-VLOOKUP(Main_M[[#This Row],[Industry]], Mean_ROA_M, 2, FALSE))/(VLOOKUP(Main_M[[#This Row],[Industry]], Mean_ROA_M, 3, FALSE))</f>
        <v>-0.87353661954060036</v>
      </c>
      <c r="S45" s="1">
        <f>(Main_M[[#This Row],[A/E]]-VLOOKUP(Main_M[[#This Row],[Industry]], Mean_AE_M, 2, FALSE))/(VLOOKUP(Main_M[[#This Row],[Industry]], Mean_AE_M, 3, FALSE))</f>
        <v>-2.192235213539917E-2</v>
      </c>
      <c r="T45" s="1">
        <f>(Main_M[[#This Row],[P/E]]-VLOOKUP(Main_M[[#This Row],[Industry]], Mean_PE_M, 2, FALSE))/(VLOOKUP(Main_M[[#This Row],[Industry]], Mean_PE_M, 3, FALSE))</f>
        <v>-0.34184738971341333</v>
      </c>
      <c r="U4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4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46" spans="1:26" x14ac:dyDescent="0.25">
      <c r="A46" t="s">
        <v>152</v>
      </c>
      <c r="B46" t="s">
        <v>286</v>
      </c>
      <c r="C46" s="2">
        <v>5533</v>
      </c>
      <c r="D46">
        <f>RTD("tos.rtd", , "LAST", Main_M[[#This Row],[Symbol]])</f>
        <v>33.369999999999997</v>
      </c>
      <c r="E46">
        <v>-0.28000000000000003</v>
      </c>
      <c r="F46">
        <v>1.54</v>
      </c>
      <c r="G46">
        <v>0.24</v>
      </c>
      <c r="H46" s="1">
        <f>IF(ISNUMBER(Main_M[[#This Row],[Free CF]]),IF(Main_M[[#This Row],[Free CF]]&lt;&gt;0,Main_M[[#This Row],[Current Price]]/Main_M[[#This Row],[Free CF]],""),"")</f>
        <v>-119.1785714285714</v>
      </c>
      <c r="I46" s="1">
        <f>IF(ISNUMBER(Main_M[[#This Row],[BVPS]]),IF(Main_M[[#This Row],[BVPS]]&lt;&gt;0,Main_M[[#This Row],[Current Price]]/Main_M[[#This Row],[BVPS]],""),"")</f>
        <v>21.668831168831165</v>
      </c>
      <c r="J46">
        <v>12.22</v>
      </c>
      <c r="K46">
        <v>5.78</v>
      </c>
      <c r="L46">
        <v>2.6</v>
      </c>
      <c r="M46" s="1">
        <f>IF(ISNUMBER(Main_M[[#This Row],[EPS]]),IF(Main_M[[#This Row],[EPS]]&lt;&gt;0,Main_M[[#This Row],[Current Price]]/Main_M[[#This Row],[EPS]],""),"")</f>
        <v>139.04166666666666</v>
      </c>
      <c r="N4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6" s="1">
        <f>(Main_M[[#This Row],[P/FCF]]-VLOOKUP(Main_M[[#This Row],[Industry]], Mean_PFCF_M, 2, FALSE))/(VLOOKUP(Main_M[[#This Row],[Industry]], Mean_PFCF_M, 3, FALSE))</f>
        <v>-7.16738513155149</v>
      </c>
      <c r="P46" s="1">
        <f>(Main_M[[#This Row],[P/B]]-VLOOKUP(Main_M[[#This Row],[Industry]], Mean_PB_M, 2, FALSE))/(VLOOKUP(Main_M[[#This Row],[Industry]], Mean_PB_M, 3, FALSE))</f>
        <v>3.5076483648349295</v>
      </c>
      <c r="Q46" s="1">
        <f>(Main_M[[#This Row],[ROE]]-VLOOKUP(Main_M[[#This Row],[Industry]], Mean_ROE_M, 2, FALSE))/(VLOOKUP(Main_M[[#This Row],[Industry]], Mean_ROE_M, 3, FALSE))</f>
        <v>0.3675241670737695</v>
      </c>
      <c r="R46" s="1">
        <f>(Main_M[[#This Row],[ROA]]-VLOOKUP(Main_M[[#This Row],[Industry]], Mean_ROA_M, 2, FALSE))/(VLOOKUP(Main_M[[#This Row],[Industry]], Mean_ROA_M, 3, FALSE))</f>
        <v>1.035151215296001</v>
      </c>
      <c r="S46" s="1">
        <f>(Main_M[[#This Row],[A/E]]-VLOOKUP(Main_M[[#This Row],[Industry]], Mean_AE_M, 2, FALSE))/(VLOOKUP(Main_M[[#This Row],[Industry]], Mean_AE_M, 3, FALSE))</f>
        <v>8.0455032336911891</v>
      </c>
      <c r="T46" s="1">
        <f>(Main_M[[#This Row],[P/E]]-VLOOKUP(Main_M[[#This Row],[Industry]], Mean_PE_M, 2, FALSE))/(VLOOKUP(Main_M[[#This Row],[Industry]], Mean_PE_M, 3, FALSE))</f>
        <v>8.6077216713846916</v>
      </c>
      <c r="U4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4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7" spans="1:26" x14ac:dyDescent="0.25">
      <c r="A47" t="s">
        <v>152</v>
      </c>
      <c r="B47" t="s">
        <v>287</v>
      </c>
      <c r="C47" s="2">
        <v>5941</v>
      </c>
      <c r="D47">
        <f>RTD("tos.rtd", , "LAST", Main_M[[#This Row],[Symbol]])</f>
        <v>16.71</v>
      </c>
      <c r="E47">
        <v>-0.01</v>
      </c>
      <c r="F47">
        <v>1.05</v>
      </c>
      <c r="G47">
        <v>0.09</v>
      </c>
      <c r="H47" s="1">
        <f>IF(ISNUMBER(Main_M[[#This Row],[Free CF]]),IF(Main_M[[#This Row],[Free CF]]&lt;&gt;0,Main_M[[#This Row],[Current Price]]/Main_M[[#This Row],[Free CF]],""),"")</f>
        <v>-1671</v>
      </c>
      <c r="I47" s="1">
        <f>IF(ISNUMBER(Main_M[[#This Row],[BVPS]]),IF(Main_M[[#This Row],[BVPS]]&lt;&gt;0,Main_M[[#This Row],[Current Price]]/Main_M[[#This Row],[BVPS]],""),"")</f>
        <v>15.914285714285715</v>
      </c>
      <c r="J47">
        <v>13.92</v>
      </c>
      <c r="K47">
        <v>5.33</v>
      </c>
      <c r="L47">
        <v>2.67</v>
      </c>
      <c r="M47" s="1">
        <f>IF(ISNUMBER(Main_M[[#This Row],[EPS]]),IF(Main_M[[#This Row],[EPS]]&lt;&gt;0,Main_M[[#This Row],[Current Price]]/Main_M[[#This Row],[EPS]],""),"")</f>
        <v>185.66666666666669</v>
      </c>
      <c r="N4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7" s="1">
        <f>(Main_M[[#This Row],[P/FCF]]-VLOOKUP(Main_M[[#This Row],[Industry]], Mean_PFCF_M, 2, FALSE))/(VLOOKUP(Main_M[[#This Row],[Industry]], Mean_PFCF_M, 3, FALSE))</f>
        <v>-112.07672595595191</v>
      </c>
      <c r="P47" s="1">
        <f>(Main_M[[#This Row],[P/B]]-VLOOKUP(Main_M[[#This Row],[Industry]], Mean_PB_M, 2, FALSE))/(VLOOKUP(Main_M[[#This Row],[Industry]], Mean_PB_M, 3, FALSE))</f>
        <v>2.2958129896179473</v>
      </c>
      <c r="Q47" s="1">
        <f>(Main_M[[#This Row],[ROE]]-VLOOKUP(Main_M[[#This Row],[Industry]], Mean_ROE_M, 2, FALSE))/(VLOOKUP(Main_M[[#This Row],[Industry]], Mean_ROE_M, 3, FALSE))</f>
        <v>0.3888318392540614</v>
      </c>
      <c r="R47" s="1">
        <f>(Main_M[[#This Row],[ROA]]-VLOOKUP(Main_M[[#This Row],[Industry]], Mean_ROA_M, 2, FALSE))/(VLOOKUP(Main_M[[#This Row],[Industry]], Mean_ROA_M, 3, FALSE))</f>
        <v>1.0085266174758996</v>
      </c>
      <c r="S47" s="1">
        <f>(Main_M[[#This Row],[A/E]]-VLOOKUP(Main_M[[#This Row],[Industry]], Mean_AE_M, 2, FALSE))/(VLOOKUP(Main_M[[#This Row],[Industry]], Mean_AE_M, 3, FALSE))</f>
        <v>8.4547204735519585</v>
      </c>
      <c r="T47" s="1">
        <f>(Main_M[[#This Row],[P/E]]-VLOOKUP(Main_M[[#This Row],[Industry]], Mean_PE_M, 2, FALSE))/(VLOOKUP(Main_M[[#This Row],[Industry]], Mean_PE_M, 3, FALSE))</f>
        <v>11.347116915559633</v>
      </c>
      <c r="U4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4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8" spans="1:26" x14ac:dyDescent="0.25">
      <c r="A48" t="s">
        <v>152</v>
      </c>
      <c r="B48" t="s">
        <v>288</v>
      </c>
      <c r="C48" s="2">
        <v>2029</v>
      </c>
      <c r="D48">
        <f>RTD("tos.rtd", , "LAST", Main_M[[#This Row],[Symbol]])</f>
        <v>43.64</v>
      </c>
      <c r="E48">
        <v>-0.12</v>
      </c>
      <c r="F48">
        <v>5.88</v>
      </c>
      <c r="G48">
        <v>0.2</v>
      </c>
      <c r="H48" s="1">
        <f>IF(ISNUMBER(Main_M[[#This Row],[Free CF]]),IF(Main_M[[#This Row],[Free CF]]&lt;&gt;0,Main_M[[#This Row],[Current Price]]/Main_M[[#This Row],[Free CF]],""),"")</f>
        <v>-363.66666666666669</v>
      </c>
      <c r="I48" s="1">
        <f>IF(ISNUMBER(Main_M[[#This Row],[BVPS]]),IF(Main_M[[#This Row],[BVPS]]&lt;&gt;0,Main_M[[#This Row],[Current Price]]/Main_M[[#This Row],[BVPS]],""),"")</f>
        <v>7.4217687074829932</v>
      </c>
      <c r="J48">
        <v>4</v>
      </c>
      <c r="K48">
        <v>0.72</v>
      </c>
      <c r="L48">
        <v>1.48</v>
      </c>
      <c r="M48" s="1">
        <f>IF(ISNUMBER(Main_M[[#This Row],[EPS]]),IF(Main_M[[#This Row],[EPS]]&lt;&gt;0,Main_M[[#This Row],[Current Price]]/Main_M[[#This Row],[EPS]],""),"")</f>
        <v>218.2</v>
      </c>
      <c r="N4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8" s="1">
        <f>(Main_M[[#This Row],[P/FCF]]-VLOOKUP(Main_M[[#This Row],[Industry]], Mean_PFCF_M, 2, FALSE))/(VLOOKUP(Main_M[[#This Row],[Industry]], Mean_PFCF_M, 3, FALSE))</f>
        <v>-23.695759104614726</v>
      </c>
      <c r="P48" s="1">
        <f>(Main_M[[#This Row],[P/B]]-VLOOKUP(Main_M[[#This Row],[Industry]], Mean_PB_M, 2, FALSE))/(VLOOKUP(Main_M[[#This Row],[Industry]], Mean_PB_M, 3, FALSE))</f>
        <v>0.50739501381653751</v>
      </c>
      <c r="Q48" s="1">
        <f>(Main_M[[#This Row],[ROE]]-VLOOKUP(Main_M[[#This Row],[Industry]], Mean_ROE_M, 2, FALSE))/(VLOOKUP(Main_M[[#This Row],[Industry]], Mean_ROE_M, 3, FALSE))</f>
        <v>0.26449530511965186</v>
      </c>
      <c r="R48" s="1">
        <f>(Main_M[[#This Row],[ROA]]-VLOOKUP(Main_M[[#This Row],[Industry]], Mean_ROA_M, 2, FALSE))/(VLOOKUP(Main_M[[#This Row],[Industry]], Mean_ROA_M, 3, FALSE))</f>
        <v>0.73577240425219437</v>
      </c>
      <c r="S48" s="1">
        <f>(Main_M[[#This Row],[A/E]]-VLOOKUP(Main_M[[#This Row],[Industry]], Mean_AE_M, 2, FALSE))/(VLOOKUP(Main_M[[#This Row],[Industry]], Mean_AE_M, 3, FALSE))</f>
        <v>1.4980273959188857</v>
      </c>
      <c r="T48" s="1">
        <f>(Main_M[[#This Row],[P/E]]-VLOOKUP(Main_M[[#This Row],[Industry]], Mean_PE_M, 2, FALSE))/(VLOOKUP(Main_M[[#This Row],[Industry]], Mean_PE_M, 3, FALSE))</f>
        <v>13.258573400503147</v>
      </c>
      <c r="U4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49" spans="1:26" x14ac:dyDescent="0.25">
      <c r="A49" t="s">
        <v>152</v>
      </c>
      <c r="B49" t="s">
        <v>289</v>
      </c>
      <c r="C49" s="2">
        <v>2415</v>
      </c>
      <c r="D49">
        <f>RTD("tos.rtd", , "LAST", Main_M[[#This Row],[Symbol]])</f>
        <v>29.31</v>
      </c>
      <c r="E49">
        <v>0.83</v>
      </c>
      <c r="F49">
        <v>15.12</v>
      </c>
      <c r="G49">
        <v>0.31</v>
      </c>
      <c r="H49" s="1">
        <f>IF(ISNUMBER(Main_M[[#This Row],[Free CF]]),IF(Main_M[[#This Row],[Free CF]]&lt;&gt;0,Main_M[[#This Row],[Current Price]]/Main_M[[#This Row],[Free CF]],""),"")</f>
        <v>35.313253012048193</v>
      </c>
      <c r="I49" s="1">
        <f>IF(ISNUMBER(Main_M[[#This Row],[BVPS]]),IF(Main_M[[#This Row],[BVPS]]&lt;&gt;0,Main_M[[#This Row],[Current Price]]/Main_M[[#This Row],[BVPS]],""),"")</f>
        <v>1.9384920634920635</v>
      </c>
      <c r="J49">
        <v>2.17</v>
      </c>
      <c r="K49">
        <v>1.39</v>
      </c>
      <c r="L49">
        <v>1.1100000000000001</v>
      </c>
      <c r="M49" s="1">
        <f>IF(ISNUMBER(Main_M[[#This Row],[EPS]]),IF(Main_M[[#This Row],[EPS]]&lt;&gt;0,Main_M[[#This Row],[Current Price]]/Main_M[[#This Row],[EPS]],""),"")</f>
        <v>94.548387096774192</v>
      </c>
      <c r="N4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49" s="1">
        <f>(Main_M[[#This Row],[P/FCF]]-VLOOKUP(Main_M[[#This Row],[Industry]], Mean_PFCF_M, 2, FALSE))/(VLOOKUP(Main_M[[#This Row],[Industry]], Mean_PFCF_M, 3, FALSE))</f>
        <v>3.2768806624482587</v>
      </c>
      <c r="P49" s="1">
        <f>(Main_M[[#This Row],[P/B]]-VLOOKUP(Main_M[[#This Row],[Industry]], Mean_PB_M, 2, FALSE))/(VLOOKUP(Main_M[[#This Row],[Industry]], Mean_PB_M, 3, FALSE))</f>
        <v>-0.64731453914052328</v>
      </c>
      <c r="Q49" s="1">
        <f>(Main_M[[#This Row],[ROE]]-VLOOKUP(Main_M[[#This Row],[Industry]], Mean_ROE_M, 2, FALSE))/(VLOOKUP(Main_M[[#This Row],[Industry]], Mean_ROE_M, 3, FALSE))</f>
        <v>0.24155822271380814</v>
      </c>
      <c r="R49" s="1">
        <f>(Main_M[[#This Row],[ROA]]-VLOOKUP(Main_M[[#This Row],[Industry]], Mean_ROA_M, 2, FALSE))/(VLOOKUP(Main_M[[#This Row],[Industry]], Mean_ROA_M, 3, FALSE))</f>
        <v>0.77541347211767875</v>
      </c>
      <c r="S49" s="1">
        <f>(Main_M[[#This Row],[A/E]]-VLOOKUP(Main_M[[#This Row],[Industry]], Mean_AE_M, 2, FALSE))/(VLOOKUP(Main_M[[#This Row],[Industry]], Mean_AE_M, 3, FALSE))</f>
        <v>-0.66497801477374974</v>
      </c>
      <c r="T49" s="1">
        <f>(Main_M[[#This Row],[P/E]]-VLOOKUP(Main_M[[#This Row],[Industry]], Mean_PE_M, 2, FALSE))/(VLOOKUP(Main_M[[#This Row],[Industry]], Mean_PE_M, 3, FALSE))</f>
        <v>5.9935730718885107</v>
      </c>
      <c r="U4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4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4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4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4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4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50" spans="1:26" x14ac:dyDescent="0.25">
      <c r="A50" t="s">
        <v>152</v>
      </c>
      <c r="B50" t="s">
        <v>290</v>
      </c>
      <c r="C50" s="2">
        <v>3095</v>
      </c>
      <c r="D50">
        <f>RTD("tos.rtd", , "LAST", Main_M[[#This Row],[Symbol]])</f>
        <v>27.734999999999999</v>
      </c>
      <c r="E50">
        <v>-1.21</v>
      </c>
      <c r="F50">
        <v>7.54</v>
      </c>
      <c r="G50">
        <v>-1.1499999999999999</v>
      </c>
      <c r="H50" s="1">
        <f>IF(ISNUMBER(Main_M[[#This Row],[Free CF]]),IF(Main_M[[#This Row],[Free CF]]&lt;&gt;0,Main_M[[#This Row],[Current Price]]/Main_M[[#This Row],[Free CF]],""),"")</f>
        <v>-22.921487603305785</v>
      </c>
      <c r="I50" s="1">
        <f>IF(ISNUMBER(Main_M[[#This Row],[BVPS]]),IF(Main_M[[#This Row],[BVPS]]&lt;&gt;0,Main_M[[#This Row],[Current Price]]/Main_M[[#This Row],[BVPS]],""),"")</f>
        <v>3.6783819628647212</v>
      </c>
      <c r="J50">
        <v>-14.4</v>
      </c>
      <c r="K50">
        <v>-11.74</v>
      </c>
      <c r="L50">
        <v>1.02</v>
      </c>
      <c r="M50" s="1">
        <f>IF(ISNUMBER(Main_M[[#This Row],[EPS]]),IF(Main_M[[#This Row],[EPS]]&lt;&gt;0,Main_M[[#This Row],[Current Price]]/Main_M[[#This Row],[EPS]],""),"")</f>
        <v>-24.117391304347827</v>
      </c>
      <c r="N5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0" s="1">
        <f>(Main_M[[#This Row],[P/FCF]]-VLOOKUP(Main_M[[#This Row],[Industry]], Mean_PFCF_M, 2, FALSE))/(VLOOKUP(Main_M[[#This Row],[Industry]], Mean_PFCF_M, 3, FALSE))</f>
        <v>-0.66002092851692706</v>
      </c>
      <c r="P50" s="1">
        <f>(Main_M[[#This Row],[P/B]]-VLOOKUP(Main_M[[#This Row],[Industry]], Mean_PB_M, 2, FALSE))/(VLOOKUP(Main_M[[#This Row],[Industry]], Mean_PB_M, 3, FALSE))</f>
        <v>-0.28091546458337413</v>
      </c>
      <c r="Q50" s="1">
        <f>(Main_M[[#This Row],[ROE]]-VLOOKUP(Main_M[[#This Row],[Industry]], Mean_ROE_M, 2, FALSE))/(VLOOKUP(Main_M[[#This Row],[Industry]], Mean_ROE_M, 3, FALSE))</f>
        <v>3.3871088580021233E-2</v>
      </c>
      <c r="R50" s="1">
        <f>(Main_M[[#This Row],[ROA]]-VLOOKUP(Main_M[[#This Row],[Industry]], Mean_ROA_M, 2, FALSE))/(VLOOKUP(Main_M[[#This Row],[Industry]], Mean_ROA_M, 3, FALSE))</f>
        <v>-1.4331264999461275E-3</v>
      </c>
      <c r="S50" s="1">
        <f>(Main_M[[#This Row],[A/E]]-VLOOKUP(Main_M[[#This Row],[Industry]], Mean_AE_M, 2, FALSE))/(VLOOKUP(Main_M[[#This Row],[Industry]], Mean_AE_M, 3, FALSE))</f>
        <v>-1.1911144660233104</v>
      </c>
      <c r="T50" s="1">
        <f>(Main_M[[#This Row],[P/E]]-VLOOKUP(Main_M[[#This Row],[Industry]], Mean_PE_M, 2, FALSE))/(VLOOKUP(Main_M[[#This Row],[Industry]], Mean_PE_M, 3, FALSE))</f>
        <v>-0.97849060636030405</v>
      </c>
      <c r="U5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1" spans="1:26" x14ac:dyDescent="0.25">
      <c r="A51" t="s">
        <v>152</v>
      </c>
      <c r="B51" t="s">
        <v>291</v>
      </c>
      <c r="C51" s="2">
        <v>2706</v>
      </c>
      <c r="D51">
        <f>RTD("tos.rtd", , "LAST", Main_M[[#This Row],[Symbol]])</f>
        <v>29.6</v>
      </c>
      <c r="E51">
        <v>-2.37</v>
      </c>
      <c r="F51">
        <v>9.8800000000000008</v>
      </c>
      <c r="G51">
        <v>-3.01</v>
      </c>
      <c r="H51" s="1">
        <f>IF(ISNUMBER(Main_M[[#This Row],[Free CF]]),IF(Main_M[[#This Row],[Free CF]]&lt;&gt;0,Main_M[[#This Row],[Current Price]]/Main_M[[#This Row],[Free CF]],""),"")</f>
        <v>-12.489451476793249</v>
      </c>
      <c r="I51" s="1">
        <f>IF(ISNUMBER(Main_M[[#This Row],[BVPS]]),IF(Main_M[[#This Row],[BVPS]]&lt;&gt;0,Main_M[[#This Row],[Current Price]]/Main_M[[#This Row],[BVPS]],""),"")</f>
        <v>2.9959514170040484</v>
      </c>
      <c r="J51">
        <v>-27.85</v>
      </c>
      <c r="K51">
        <v>-19.8</v>
      </c>
      <c r="L51">
        <v>1.06</v>
      </c>
      <c r="M51" s="1">
        <f>IF(ISNUMBER(Main_M[[#This Row],[EPS]]),IF(Main_M[[#This Row],[EPS]]&lt;&gt;0,Main_M[[#This Row],[Current Price]]/Main_M[[#This Row],[EPS]],""),"")</f>
        <v>-9.8338870431893692</v>
      </c>
      <c r="N5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1" s="1">
        <f>(Main_M[[#This Row],[P/FCF]]-VLOOKUP(Main_M[[#This Row],[Industry]], Mean_PFCF_M, 2, FALSE))/(VLOOKUP(Main_M[[#This Row],[Industry]], Mean_PFCF_M, 3, FALSE))</f>
        <v>4.522647517194827E-2</v>
      </c>
      <c r="P51" s="1">
        <f>(Main_M[[#This Row],[P/B]]-VLOOKUP(Main_M[[#This Row],[Industry]], Mean_PB_M, 2, FALSE))/(VLOOKUP(Main_M[[#This Row],[Industry]], Mean_PB_M, 3, FALSE))</f>
        <v>-0.42462681122837553</v>
      </c>
      <c r="Q51" s="1">
        <f>(Main_M[[#This Row],[ROE]]-VLOOKUP(Main_M[[#This Row],[Industry]], Mean_ROE_M, 2, FALSE))/(VLOOKUP(Main_M[[#This Row],[Industry]], Mean_ROE_M, 3, FALSE))</f>
        <v>-0.13471020014052401</v>
      </c>
      <c r="R51" s="1">
        <f>(Main_M[[#This Row],[ROA]]-VLOOKUP(Main_M[[#This Row],[Industry]], Mean_ROA_M, 2, FALSE))/(VLOOKUP(Main_M[[#This Row],[Industry]], Mean_ROA_M, 3, FALSE))</f>
        <v>-0.47830925634442867</v>
      </c>
      <c r="S51" s="1">
        <f>(Main_M[[#This Row],[A/E]]-VLOOKUP(Main_M[[#This Row],[Industry]], Mean_AE_M, 2, FALSE))/(VLOOKUP(Main_M[[#This Row],[Industry]], Mean_AE_M, 3, FALSE))</f>
        <v>-0.95727604324572779</v>
      </c>
      <c r="T51" s="1">
        <f>(Main_M[[#This Row],[P/E]]-VLOOKUP(Main_M[[#This Row],[Industry]], Mean_PE_M, 2, FALSE))/(VLOOKUP(Main_M[[#This Row],[Industry]], Mean_PE_M, 3, FALSE))</f>
        <v>-0.13928066227086774</v>
      </c>
      <c r="U5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2" spans="1:26" x14ac:dyDescent="0.25">
      <c r="A52" t="s">
        <v>152</v>
      </c>
      <c r="B52" t="s">
        <v>292</v>
      </c>
      <c r="C52" s="2">
        <v>3109</v>
      </c>
      <c r="D52">
        <f>RTD("tos.rtd", , "LAST", Main_M[[#This Row],[Symbol]])</f>
        <v>28.62</v>
      </c>
      <c r="E52">
        <v>-2.79</v>
      </c>
      <c r="F52">
        <v>7.8</v>
      </c>
      <c r="G52">
        <v>-2.6</v>
      </c>
      <c r="H52" s="1">
        <f>IF(ISNUMBER(Main_M[[#This Row],[Free CF]]),IF(Main_M[[#This Row],[Free CF]]&lt;&gt;0,Main_M[[#This Row],[Current Price]]/Main_M[[#This Row],[Free CF]],""),"")</f>
        <v>-10.258064516129032</v>
      </c>
      <c r="I52" s="1">
        <f>IF(ISNUMBER(Main_M[[#This Row],[BVPS]]),IF(Main_M[[#This Row],[BVPS]]&lt;&gt;0,Main_M[[#This Row],[Current Price]]/Main_M[[#This Row],[BVPS]],""),"")</f>
        <v>3.6692307692307695</v>
      </c>
      <c r="J52">
        <v>-31.41</v>
      </c>
      <c r="K52">
        <v>-15.87</v>
      </c>
      <c r="L52">
        <v>1.41</v>
      </c>
      <c r="M52" s="1">
        <f>IF(ISNUMBER(Main_M[[#This Row],[EPS]]),IF(Main_M[[#This Row],[EPS]]&lt;&gt;0,Main_M[[#This Row],[Current Price]]/Main_M[[#This Row],[EPS]],""),"")</f>
        <v>-11.007692307692308</v>
      </c>
      <c r="N5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2" s="1">
        <f>(Main_M[[#This Row],[P/FCF]]-VLOOKUP(Main_M[[#This Row],[Industry]], Mean_PFCF_M, 2, FALSE))/(VLOOKUP(Main_M[[#This Row],[Industry]], Mean_PFCF_M, 3, FALSE))</f>
        <v>0.19607716640318504</v>
      </c>
      <c r="P52" s="1">
        <f>(Main_M[[#This Row],[P/B]]-VLOOKUP(Main_M[[#This Row],[Industry]], Mean_PB_M, 2, FALSE))/(VLOOKUP(Main_M[[#This Row],[Industry]], Mean_PB_M, 3, FALSE))</f>
        <v>-0.28284259162732223</v>
      </c>
      <c r="Q52" s="1">
        <f>(Main_M[[#This Row],[ROE]]-VLOOKUP(Main_M[[#This Row],[Industry]], Mean_ROE_M, 2, FALSE))/(VLOOKUP(Main_M[[#This Row],[Industry]], Mean_ROE_M, 3, FALSE))</f>
        <v>-0.17933097247101773</v>
      </c>
      <c r="R52" s="1">
        <f>(Main_M[[#This Row],[ROA]]-VLOOKUP(Main_M[[#This Row],[Industry]], Mean_ROA_M, 2, FALSE))/(VLOOKUP(Main_M[[#This Row],[Industry]], Mean_ROA_M, 3, FALSE))</f>
        <v>-0.2457877687155432</v>
      </c>
      <c r="S52" s="1">
        <f>(Main_M[[#This Row],[A/E]]-VLOOKUP(Main_M[[#This Row],[Industry]], Mean_AE_M, 2, FALSE))/(VLOOKUP(Main_M[[#This Row],[Industry]], Mean_AE_M, 3, FALSE))</f>
        <v>1.0888101560581163</v>
      </c>
      <c r="T52" s="1">
        <f>(Main_M[[#This Row],[P/E]]-VLOOKUP(Main_M[[#This Row],[Industry]], Mean_PE_M, 2, FALSE))/(VLOOKUP(Main_M[[#This Row],[Industry]], Mean_PE_M, 3, FALSE))</f>
        <v>-0.20824616488034459</v>
      </c>
      <c r="U5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3" spans="1:26" x14ac:dyDescent="0.25">
      <c r="A53" t="s">
        <v>105</v>
      </c>
      <c r="B53" t="s">
        <v>204</v>
      </c>
      <c r="C53" s="2">
        <v>5042</v>
      </c>
      <c r="D53">
        <f>RTD("tos.rtd", , "LAST", Main_M[[#This Row],[Symbol]])</f>
        <v>92.36</v>
      </c>
      <c r="E53">
        <v>-0.98</v>
      </c>
      <c r="F53">
        <v>13.46</v>
      </c>
      <c r="G53">
        <v>-2.27</v>
      </c>
      <c r="H53" s="1">
        <f>IF(ISNUMBER(Main_M[[#This Row],[Free CF]]),IF(Main_M[[#This Row],[Free CF]]&lt;&gt;0,Main_M[[#This Row],[Current Price]]/Main_M[[#This Row],[Free CF]],""),"")</f>
        <v>-94.244897959183675</v>
      </c>
      <c r="I53" s="1">
        <f>IF(ISNUMBER(Main_M[[#This Row],[BVPS]]),IF(Main_M[[#This Row],[BVPS]]&lt;&gt;0,Main_M[[#This Row],[Current Price]]/Main_M[[#This Row],[BVPS]],""),"")</f>
        <v>6.8618127786032685</v>
      </c>
      <c r="J53">
        <v>-20.36</v>
      </c>
      <c r="K53">
        <v>-6.68</v>
      </c>
      <c r="L53">
        <v>1.26</v>
      </c>
      <c r="M53" s="1">
        <f>IF(ISNUMBER(Main_M[[#This Row],[EPS]]),IF(Main_M[[#This Row],[EPS]]&lt;&gt;0,Main_M[[#This Row],[Current Price]]/Main_M[[#This Row],[EPS]],""),"")</f>
        <v>-40.687224669603523</v>
      </c>
      <c r="N5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3" s="1">
        <f>(Main_M[[#This Row],[P/FCF]]-VLOOKUP(Main_M[[#This Row],[Industry]], Mean_PFCF_M, 2, FALSE))/(VLOOKUP(Main_M[[#This Row],[Industry]], Mean_PFCF_M, 3, FALSE))</f>
        <v>-2.6343277262972542</v>
      </c>
      <c r="P53" s="1">
        <f>(Main_M[[#This Row],[P/B]]-VLOOKUP(Main_M[[#This Row],[Industry]], Mean_PB_M, 2, FALSE))/(VLOOKUP(Main_M[[#This Row],[Industry]], Mean_PB_M, 3, FALSE))</f>
        <v>1.2297207414491256</v>
      </c>
      <c r="Q53" s="1">
        <f>(Main_M[[#This Row],[ROE]]-VLOOKUP(Main_M[[#This Row],[Industry]], Mean_ROE_M, 2, FALSE))/(VLOOKUP(Main_M[[#This Row],[Industry]], Mean_ROE_M, 3, FALSE))</f>
        <v>-0.3114967359491137</v>
      </c>
      <c r="R53" s="1">
        <f>(Main_M[[#This Row],[ROA]]-VLOOKUP(Main_M[[#This Row],[Industry]], Mean_ROA_M, 2, FALSE))/(VLOOKUP(Main_M[[#This Row],[Industry]], Mean_ROA_M, 3, FALSE))</f>
        <v>-1.5478157860437805</v>
      </c>
      <c r="S53" s="1">
        <f>(Main_M[[#This Row],[A/E]]-VLOOKUP(Main_M[[#This Row],[Industry]], Mean_AE_M, 2, FALSE))/(VLOOKUP(Main_M[[#This Row],[Industry]], Mean_AE_M, 3, FALSE))</f>
        <v>-1.1568543948239147</v>
      </c>
      <c r="T53" s="1">
        <f>(Main_M[[#This Row],[P/E]]-VLOOKUP(Main_M[[#This Row],[Industry]], Mean_PE_M, 2, FALSE))/(VLOOKUP(Main_M[[#This Row],[Industry]], Mean_PE_M, 3, FALSE))</f>
        <v>-1.2675540760570585</v>
      </c>
      <c r="U5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5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4" spans="1:26" x14ac:dyDescent="0.25">
      <c r="A54" t="s">
        <v>105</v>
      </c>
      <c r="B54" t="s">
        <v>205</v>
      </c>
      <c r="C54" s="2">
        <v>9836</v>
      </c>
      <c r="D54">
        <f>RTD("tos.rtd", , "LAST", Main_M[[#This Row],[Symbol]])</f>
        <v>58.25</v>
      </c>
      <c r="E54">
        <v>2.99</v>
      </c>
      <c r="F54">
        <v>30.4</v>
      </c>
      <c r="G54">
        <v>0.75</v>
      </c>
      <c r="H54" s="1">
        <f>IF(ISNUMBER(Main_M[[#This Row],[Free CF]]),IF(Main_M[[#This Row],[Free CF]]&lt;&gt;0,Main_M[[#This Row],[Current Price]]/Main_M[[#This Row],[Free CF]],""),"")</f>
        <v>19.481605351170568</v>
      </c>
      <c r="I54" s="1">
        <f>IF(ISNUMBER(Main_M[[#This Row],[BVPS]]),IF(Main_M[[#This Row],[BVPS]]&lt;&gt;0,Main_M[[#This Row],[Current Price]]/Main_M[[#This Row],[BVPS]],""),"")</f>
        <v>1.9161184210526316</v>
      </c>
      <c r="J54">
        <v>2.52</v>
      </c>
      <c r="K54">
        <v>5.33</v>
      </c>
      <c r="L54">
        <v>1.26</v>
      </c>
      <c r="M54" s="1">
        <f>IF(ISNUMBER(Main_M[[#This Row],[EPS]]),IF(Main_M[[#This Row],[EPS]]&lt;&gt;0,Main_M[[#This Row],[Current Price]]/Main_M[[#This Row],[EPS]],""),"")</f>
        <v>77.666666666666671</v>
      </c>
      <c r="N5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4" s="1">
        <f>(Main_M[[#This Row],[P/FCF]]-VLOOKUP(Main_M[[#This Row],[Industry]], Mean_PFCF_M, 2, FALSE))/(VLOOKUP(Main_M[[#This Row],[Industry]], Mean_PFCF_M, 3, FALSE))</f>
        <v>0.27675301150432169</v>
      </c>
      <c r="P54" s="1">
        <f>(Main_M[[#This Row],[P/B]]-VLOOKUP(Main_M[[#This Row],[Industry]], Mean_PB_M, 2, FALSE))/(VLOOKUP(Main_M[[#This Row],[Industry]], Mean_PB_M, 3, FALSE))</f>
        <v>-0.70623326967587297</v>
      </c>
      <c r="Q54" s="1">
        <f>(Main_M[[#This Row],[ROE]]-VLOOKUP(Main_M[[#This Row],[Industry]], Mean_ROE_M, 2, FALSE))/(VLOOKUP(Main_M[[#This Row],[Industry]], Mean_ROE_M, 3, FALSE))</f>
        <v>0.3971583383351201</v>
      </c>
      <c r="R54" s="1">
        <f>(Main_M[[#This Row],[ROA]]-VLOOKUP(Main_M[[#This Row],[Industry]], Mean_ROA_M, 2, FALSE))/(VLOOKUP(Main_M[[#This Row],[Industry]], Mean_ROA_M, 3, FALSE))</f>
        <v>0.4960838940426191</v>
      </c>
      <c r="S54" s="1">
        <f>(Main_M[[#This Row],[A/E]]-VLOOKUP(Main_M[[#This Row],[Industry]], Mean_AE_M, 2, FALSE))/(VLOOKUP(Main_M[[#This Row],[Industry]], Mean_AE_M, 3, FALSE))</f>
        <v>-1.1568543948239147</v>
      </c>
      <c r="T54" s="1">
        <f>(Main_M[[#This Row],[P/E]]-VLOOKUP(Main_M[[#This Row],[Industry]], Mean_PE_M, 2, FALSE))/(VLOOKUP(Main_M[[#This Row],[Industry]], Mean_PE_M, 3, FALSE))</f>
        <v>1.2902983407958308</v>
      </c>
      <c r="U5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5" spans="1:26" x14ac:dyDescent="0.25">
      <c r="A55" t="s">
        <v>105</v>
      </c>
      <c r="B55" t="s">
        <v>206</v>
      </c>
      <c r="C55" s="2">
        <v>4616</v>
      </c>
      <c r="D55">
        <f>RTD("tos.rtd", , "LAST", Main_M[[#This Row],[Symbol]])</f>
        <v>159.76</v>
      </c>
      <c r="E55">
        <v>3.06</v>
      </c>
      <c r="F55">
        <v>21.57</v>
      </c>
      <c r="G55">
        <v>2.17</v>
      </c>
      <c r="H55" s="1">
        <f>IF(ISNUMBER(Main_M[[#This Row],[Free CF]]),IF(Main_M[[#This Row],[Free CF]]&lt;&gt;0,Main_M[[#This Row],[Current Price]]/Main_M[[#This Row],[Free CF]],""),"")</f>
        <v>52.209150326797385</v>
      </c>
      <c r="I55" s="1">
        <f>IF(ISNUMBER(Main_M[[#This Row],[BVPS]]),IF(Main_M[[#This Row],[BVPS]]&lt;&gt;0,Main_M[[#This Row],[Current Price]]/Main_M[[#This Row],[BVPS]],""),"")</f>
        <v>7.4065832174316171</v>
      </c>
      <c r="J55">
        <v>10.86</v>
      </c>
      <c r="K55">
        <v>4.4000000000000004</v>
      </c>
      <c r="L55">
        <v>1.1499999999999999</v>
      </c>
      <c r="M55" s="1">
        <f>IF(ISNUMBER(Main_M[[#This Row],[EPS]]),IF(Main_M[[#This Row],[EPS]]&lt;&gt;0,Main_M[[#This Row],[Current Price]]/Main_M[[#This Row],[EPS]],""),"")</f>
        <v>73.622119815668199</v>
      </c>
      <c r="N5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5" s="1">
        <f>(Main_M[[#This Row],[P/FCF]]-VLOOKUP(Main_M[[#This Row],[Industry]], Mean_PFCF_M, 2, FALSE))/(VLOOKUP(Main_M[[#This Row],[Industry]], Mean_PFCF_M, 3, FALSE))</f>
        <v>1.1144867235317437</v>
      </c>
      <c r="P55" s="1">
        <f>(Main_M[[#This Row],[P/B]]-VLOOKUP(Main_M[[#This Row],[Industry]], Mean_PB_M, 2, FALSE))/(VLOOKUP(Main_M[[#This Row],[Industry]], Mean_PB_M, 3, FALSE))</f>
        <v>1.4429669390395452</v>
      </c>
      <c r="Q55" s="1">
        <f>(Main_M[[#This Row],[ROE]]-VLOOKUP(Main_M[[#This Row],[Industry]], Mean_ROE_M, 2, FALSE))/(VLOOKUP(Main_M[[#This Row],[Industry]], Mean_ROE_M, 3, FALSE))</f>
        <v>0.65547054635655844</v>
      </c>
      <c r="R55" s="1">
        <f>(Main_M[[#This Row],[ROA]]-VLOOKUP(Main_M[[#This Row],[Industry]], Mean_ROA_M, 2, FALSE))/(VLOOKUP(Main_M[[#This Row],[Industry]], Mean_ROA_M, 3, FALSE))</f>
        <v>0.33781356078030844</v>
      </c>
      <c r="S55" s="1">
        <f>(Main_M[[#This Row],[A/E]]-VLOOKUP(Main_M[[#This Row],[Industry]], Mean_AE_M, 2, FALSE))/(VLOOKUP(Main_M[[#This Row],[Industry]], Mean_AE_M, 3, FALSE))</f>
        <v>-1.3278085287357613</v>
      </c>
      <c r="T55" s="1">
        <f>(Main_M[[#This Row],[P/E]]-VLOOKUP(Main_M[[#This Row],[Industry]], Mean_PE_M, 2, FALSE))/(VLOOKUP(Main_M[[#This Row],[Industry]], Mean_PE_M, 3, FALSE))</f>
        <v>1.2028880003237317</v>
      </c>
      <c r="U5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6" spans="1:26" x14ac:dyDescent="0.25">
      <c r="A56" t="s">
        <v>105</v>
      </c>
      <c r="B56" t="s">
        <v>207</v>
      </c>
      <c r="C56" s="2">
        <v>4348</v>
      </c>
      <c r="D56">
        <f>RTD("tos.rtd", , "LAST", Main_M[[#This Row],[Symbol]])</f>
        <v>139.78</v>
      </c>
      <c r="E56">
        <v>-0.03</v>
      </c>
      <c r="F56">
        <v>2.72</v>
      </c>
      <c r="G56">
        <v>-3.14</v>
      </c>
      <c r="H56" s="1">
        <f>IF(ISNUMBER(Main_M[[#This Row],[Free CF]]),IF(Main_M[[#This Row],[Free CF]]&lt;&gt;0,Main_M[[#This Row],[Current Price]]/Main_M[[#This Row],[Free CF]],""),"")</f>
        <v>-4659.3333333333339</v>
      </c>
      <c r="I56" s="1">
        <f>IF(ISNUMBER(Main_M[[#This Row],[BVPS]]),IF(Main_M[[#This Row],[BVPS]]&lt;&gt;0,Main_M[[#This Row],[Current Price]]/Main_M[[#This Row],[BVPS]],""),"")</f>
        <v>51.389705882352935</v>
      </c>
      <c r="J56">
        <v>-111.13</v>
      </c>
      <c r="K56">
        <v>-4.37</v>
      </c>
      <c r="L56">
        <v>10.69</v>
      </c>
      <c r="M56" s="1">
        <f>IF(ISNUMBER(Main_M[[#This Row],[EPS]]),IF(Main_M[[#This Row],[EPS]]&lt;&gt;0,Main_M[[#This Row],[Current Price]]/Main_M[[#This Row],[EPS]],""),"")</f>
        <v>-44.515923566878982</v>
      </c>
      <c r="N5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6" s="1">
        <f>(Main_M[[#This Row],[P/FCF]]-VLOOKUP(Main_M[[#This Row],[Industry]], Mean_PFCF_M, 2, FALSE))/(VLOOKUP(Main_M[[#This Row],[Industry]], Mean_PFCF_M, 3, FALSE))</f>
        <v>-119.48783701174887</v>
      </c>
      <c r="P56" s="1">
        <f>(Main_M[[#This Row],[P/B]]-VLOOKUP(Main_M[[#This Row],[Industry]], Mean_PB_M, 2, FALSE))/(VLOOKUP(Main_M[[#This Row],[Industry]], Mean_PB_M, 3, FALSE))</f>
        <v>18.659821962633764</v>
      </c>
      <c r="Q56" s="1">
        <f>(Main_M[[#This Row],[ROE]]-VLOOKUP(Main_M[[#This Row],[Industry]], Mean_ROE_M, 2, FALSE))/(VLOOKUP(Main_M[[#This Row],[Industry]], Mean_ROE_M, 3, FALSE))</f>
        <v>-3.1228875179762072</v>
      </c>
      <c r="R56" s="1">
        <f>(Main_M[[#This Row],[ROA]]-VLOOKUP(Main_M[[#This Row],[Industry]], Mean_ROA_M, 2, FALSE))/(VLOOKUP(Main_M[[#This Row],[Industry]], Mean_ROA_M, 3, FALSE))</f>
        <v>-1.1546927001986864</v>
      </c>
      <c r="S56" s="1">
        <f>(Main_M[[#This Row],[A/E]]-VLOOKUP(Main_M[[#This Row],[Industry]], Mean_AE_M, 2, FALSE))/(VLOOKUP(Main_M[[#This Row],[Industry]], Mean_AE_M, 3, FALSE))</f>
        <v>13.49857726689164</v>
      </c>
      <c r="T56" s="1">
        <f>(Main_M[[#This Row],[P/E]]-VLOOKUP(Main_M[[#This Row],[Industry]], Mean_PE_M, 2, FALSE))/(VLOOKUP(Main_M[[#This Row],[Industry]], Mean_PE_M, 3, FALSE))</f>
        <v>-1.3502995322243863</v>
      </c>
      <c r="U5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5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5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5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5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7" spans="1:26" x14ac:dyDescent="0.25">
      <c r="A57" t="s">
        <v>105</v>
      </c>
      <c r="B57" t="s">
        <v>208</v>
      </c>
      <c r="C57" s="2">
        <v>4151</v>
      </c>
      <c r="D57">
        <f>RTD("tos.rtd", , "LAST", Main_M[[#This Row],[Symbol]])</f>
        <v>121</v>
      </c>
      <c r="E57">
        <v>3.31</v>
      </c>
      <c r="F57">
        <v>46.05</v>
      </c>
      <c r="G57">
        <v>2.21</v>
      </c>
      <c r="H57" s="1">
        <f>IF(ISNUMBER(Main_M[[#This Row],[Free CF]]),IF(Main_M[[#This Row],[Free CF]]&lt;&gt;0,Main_M[[#This Row],[Current Price]]/Main_M[[#This Row],[Free CF]],""),"")</f>
        <v>36.555891238670696</v>
      </c>
      <c r="I57" s="1">
        <f>IF(ISNUMBER(Main_M[[#This Row],[BVPS]]),IF(Main_M[[#This Row],[BVPS]]&lt;&gt;0,Main_M[[#This Row],[Current Price]]/Main_M[[#This Row],[BVPS]],""),"")</f>
        <v>2.6275787187839308</v>
      </c>
      <c r="J57">
        <v>4.9800000000000004</v>
      </c>
      <c r="K57">
        <v>4.51</v>
      </c>
      <c r="L57">
        <v>2.0499999999999998</v>
      </c>
      <c r="M57" s="1">
        <f>IF(ISNUMBER(Main_M[[#This Row],[EPS]]),IF(Main_M[[#This Row],[EPS]]&lt;&gt;0,Main_M[[#This Row],[Current Price]]/Main_M[[#This Row],[EPS]],""),"")</f>
        <v>54.751131221719454</v>
      </c>
      <c r="N5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7" s="1">
        <f>(Main_M[[#This Row],[P/FCF]]-VLOOKUP(Main_M[[#This Row],[Industry]], Mean_PFCF_M, 2, FALSE))/(VLOOKUP(Main_M[[#This Row],[Industry]], Mean_PFCF_M, 3, FALSE))</f>
        <v>0.71380702540622931</v>
      </c>
      <c r="P57" s="1">
        <f>(Main_M[[#This Row],[P/B]]-VLOOKUP(Main_M[[#This Row],[Industry]], Mean_PB_M, 2, FALSE))/(VLOOKUP(Main_M[[#This Row],[Industry]], Mean_PB_M, 3, FALSE))</f>
        <v>-0.42773760909258707</v>
      </c>
      <c r="Q57" s="1">
        <f>(Main_M[[#This Row],[ROE]]-VLOOKUP(Main_M[[#This Row],[Industry]], Mean_ROE_M, 2, FALSE))/(VLOOKUP(Main_M[[#This Row],[Industry]], Mean_ROE_M, 3, FALSE))</f>
        <v>0.4733511478954005</v>
      </c>
      <c r="R57" s="1">
        <f>(Main_M[[#This Row],[ROA]]-VLOOKUP(Main_M[[#This Row],[Industry]], Mean_ROA_M, 2, FALSE))/(VLOOKUP(Main_M[[#This Row],[Industry]], Mean_ROA_M, 3, FALSE))</f>
        <v>0.35653370772531284</v>
      </c>
      <c r="S57" s="1">
        <f>(Main_M[[#This Row],[A/E]]-VLOOKUP(Main_M[[#This Row],[Industry]], Mean_AE_M, 2, FALSE))/(VLOOKUP(Main_M[[#This Row],[Industry]], Mean_AE_M, 3, FALSE))</f>
        <v>7.0907112361163246E-2</v>
      </c>
      <c r="T57" s="1">
        <f>(Main_M[[#This Row],[P/E]]-VLOOKUP(Main_M[[#This Row],[Industry]], Mean_PE_M, 2, FALSE))/(VLOOKUP(Main_M[[#This Row],[Industry]], Mean_PE_M, 3, FALSE))</f>
        <v>0.79505008947472222</v>
      </c>
      <c r="U5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8" spans="1:26" x14ac:dyDescent="0.25">
      <c r="A58" t="s">
        <v>105</v>
      </c>
      <c r="B58" t="s">
        <v>209</v>
      </c>
      <c r="C58" s="2">
        <v>2372</v>
      </c>
      <c r="D58">
        <f>RTD("tos.rtd", , "LAST", Main_M[[#This Row],[Symbol]])</f>
        <v>44.06</v>
      </c>
      <c r="E58">
        <v>2.5099999999999998</v>
      </c>
      <c r="F58">
        <v>24.29</v>
      </c>
      <c r="G58">
        <v>1.1599999999999999</v>
      </c>
      <c r="H58" s="1">
        <f>IF(ISNUMBER(Main_M[[#This Row],[Free CF]]),IF(Main_M[[#This Row],[Free CF]]&lt;&gt;0,Main_M[[#This Row],[Current Price]]/Main_M[[#This Row],[Free CF]],""),"")</f>
        <v>17.553784860557773</v>
      </c>
      <c r="I58" s="1">
        <f>IF(ISNUMBER(Main_M[[#This Row],[BVPS]]),IF(Main_M[[#This Row],[BVPS]]&lt;&gt;0,Main_M[[#This Row],[Current Price]]/Main_M[[#This Row],[BVPS]],""),"")</f>
        <v>1.8139151914368055</v>
      </c>
      <c r="J58">
        <v>4.87</v>
      </c>
      <c r="K58">
        <v>4.1900000000000004</v>
      </c>
      <c r="L58">
        <v>1.9</v>
      </c>
      <c r="M58" s="1">
        <f>IF(ISNUMBER(Main_M[[#This Row],[EPS]]),IF(Main_M[[#This Row],[EPS]]&lt;&gt;0,Main_M[[#This Row],[Current Price]]/Main_M[[#This Row],[EPS]],""),"")</f>
        <v>37.982758620689658</v>
      </c>
      <c r="N5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8" s="1">
        <f>(Main_M[[#This Row],[P/FCF]]-VLOOKUP(Main_M[[#This Row],[Industry]], Mean_PFCF_M, 2, FALSE))/(VLOOKUP(Main_M[[#This Row],[Industry]], Mean_PFCF_M, 3, FALSE))</f>
        <v>0.22740619319190863</v>
      </c>
      <c r="P58" s="1">
        <f>(Main_M[[#This Row],[P/B]]-VLOOKUP(Main_M[[#This Row],[Industry]], Mean_PB_M, 2, FALSE))/(VLOOKUP(Main_M[[#This Row],[Industry]], Mean_PB_M, 3, FALSE))</f>
        <v>-0.74623993770270158</v>
      </c>
      <c r="Q58" s="1">
        <f>(Main_M[[#This Row],[ROE]]-VLOOKUP(Main_M[[#This Row],[Industry]], Mean_ROE_M, 2, FALSE))/(VLOOKUP(Main_M[[#This Row],[Industry]], Mean_ROE_M, 3, FALSE))</f>
        <v>0.46994415234595704</v>
      </c>
      <c r="R58" s="1">
        <f>(Main_M[[#This Row],[ROA]]-VLOOKUP(Main_M[[#This Row],[Industry]], Mean_ROA_M, 2, FALSE))/(VLOOKUP(Main_M[[#This Row],[Industry]], Mean_ROA_M, 3, FALSE))</f>
        <v>0.30207509843075442</v>
      </c>
      <c r="S58" s="1">
        <f>(Main_M[[#This Row],[A/E]]-VLOOKUP(Main_M[[#This Row],[Industry]], Mean_AE_M, 2, FALSE))/(VLOOKUP(Main_M[[#This Row],[Industry]], Mean_AE_M, 3, FALSE))</f>
        <v>-0.16221216115499074</v>
      </c>
      <c r="T58" s="1">
        <f>(Main_M[[#This Row],[P/E]]-VLOOKUP(Main_M[[#This Row],[Industry]], Mean_PE_M, 2, FALSE))/(VLOOKUP(Main_M[[#This Row],[Industry]], Mean_PE_M, 3, FALSE))</f>
        <v>0.43265370436245992</v>
      </c>
      <c r="U5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59" spans="1:26" x14ac:dyDescent="0.25">
      <c r="A59" t="s">
        <v>105</v>
      </c>
      <c r="B59" t="s">
        <v>210</v>
      </c>
      <c r="C59" s="2">
        <v>8111</v>
      </c>
      <c r="D59">
        <f>RTD("tos.rtd", , "LAST", Main_M[[#This Row],[Symbol]])</f>
        <v>161.56</v>
      </c>
      <c r="E59">
        <v>2.73</v>
      </c>
      <c r="F59">
        <v>19.63</v>
      </c>
      <c r="G59">
        <v>-5.72</v>
      </c>
      <c r="H59" s="1">
        <f>IF(ISNUMBER(Main_M[[#This Row],[Free CF]]),IF(Main_M[[#This Row],[Free CF]]&lt;&gt;0,Main_M[[#This Row],[Current Price]]/Main_M[[#This Row],[Free CF]],""),"")</f>
        <v>59.179487179487182</v>
      </c>
      <c r="I59" s="1">
        <f>IF(ISNUMBER(Main_M[[#This Row],[BVPS]]),IF(Main_M[[#This Row],[BVPS]]&lt;&gt;0,Main_M[[#This Row],[Current Price]]/Main_M[[#This Row],[BVPS]],""),"")</f>
        <v>8.2302598064187471</v>
      </c>
      <c r="J59">
        <v>-25.23</v>
      </c>
      <c r="K59">
        <v>0.61</v>
      </c>
      <c r="L59">
        <v>2.5</v>
      </c>
      <c r="M59" s="1">
        <f>IF(ISNUMBER(Main_M[[#This Row],[EPS]]),IF(Main_M[[#This Row],[EPS]]&lt;&gt;0,Main_M[[#This Row],[Current Price]]/Main_M[[#This Row],[EPS]],""),"")</f>
        <v>-28.244755244755247</v>
      </c>
      <c r="N5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59" s="1">
        <f>(Main_M[[#This Row],[P/FCF]]-VLOOKUP(Main_M[[#This Row],[Industry]], Mean_PFCF_M, 2, FALSE))/(VLOOKUP(Main_M[[#This Row],[Industry]], Mean_PFCF_M, 3, FALSE))</f>
        <v>1.292907872140173</v>
      </c>
      <c r="P59" s="1">
        <f>(Main_M[[#This Row],[P/B]]-VLOOKUP(Main_M[[#This Row],[Industry]], Mean_PB_M, 2, FALSE))/(VLOOKUP(Main_M[[#This Row],[Industry]], Mean_PB_M, 3, FALSE))</f>
        <v>1.7653888036023848</v>
      </c>
      <c r="Q59" s="1">
        <f>(Main_M[[#This Row],[ROE]]-VLOOKUP(Main_M[[#This Row],[Industry]], Mean_ROE_M, 2, FALSE))/(VLOOKUP(Main_M[[#This Row],[Industry]], Mean_ROE_M, 3, FALSE))</f>
        <v>-0.4623337207290184</v>
      </c>
      <c r="R59" s="1">
        <f>(Main_M[[#This Row],[ROA]]-VLOOKUP(Main_M[[#This Row],[Industry]], Mean_ROA_M, 2, FALSE))/(VLOOKUP(Main_M[[#This Row],[Industry]], Mean_ROA_M, 3, FALSE))</f>
        <v>-0.30718059305211926</v>
      </c>
      <c r="S59" s="1">
        <f>(Main_M[[#This Row],[A/E]]-VLOOKUP(Main_M[[#This Row],[Industry]], Mean_AE_M, 2, FALSE))/(VLOOKUP(Main_M[[#This Row],[Industry]], Mean_AE_M, 3, FALSE))</f>
        <v>0.77026493290962583</v>
      </c>
      <c r="T59" s="1">
        <f>(Main_M[[#This Row],[P/E]]-VLOOKUP(Main_M[[#This Row],[Industry]], Mean_PE_M, 2, FALSE))/(VLOOKUP(Main_M[[#This Row],[Industry]], Mean_PE_M, 3, FALSE))</f>
        <v>-0.99864867606863339</v>
      </c>
      <c r="U5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5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5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5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5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5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0" spans="1:26" x14ac:dyDescent="0.25">
      <c r="A60" t="s">
        <v>105</v>
      </c>
      <c r="B60" t="s">
        <v>211</v>
      </c>
      <c r="C60" s="2">
        <v>2854</v>
      </c>
      <c r="D60">
        <f>RTD("tos.rtd", , "LAST", Main_M[[#This Row],[Symbol]])</f>
        <v>18.61</v>
      </c>
      <c r="E60">
        <v>1.55</v>
      </c>
      <c r="F60">
        <v>17.7</v>
      </c>
      <c r="G60">
        <v>-6.54</v>
      </c>
      <c r="H60" s="1">
        <f>IF(ISNUMBER(Main_M[[#This Row],[Free CF]]),IF(Main_M[[#This Row],[Free CF]]&lt;&gt;0,Main_M[[#This Row],[Current Price]]/Main_M[[#This Row],[Free CF]],""),"")</f>
        <v>12.006451612903225</v>
      </c>
      <c r="I60" s="1">
        <f>IF(ISNUMBER(Main_M[[#This Row],[BVPS]]),IF(Main_M[[#This Row],[BVPS]]&lt;&gt;0,Main_M[[#This Row],[Current Price]]/Main_M[[#This Row],[BVPS]],""),"")</f>
        <v>1.0514124293785312</v>
      </c>
      <c r="J60">
        <v>-31.33</v>
      </c>
      <c r="K60">
        <v>1.57</v>
      </c>
      <c r="L60">
        <v>1.8</v>
      </c>
      <c r="M60" s="1">
        <f>IF(ISNUMBER(Main_M[[#This Row],[EPS]]),IF(Main_M[[#This Row],[EPS]]&lt;&gt;0,Main_M[[#This Row],[Current Price]]/Main_M[[#This Row],[EPS]],""),"")</f>
        <v>-2.8455657492354738</v>
      </c>
      <c r="N6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0" s="1">
        <f>(Main_M[[#This Row],[P/FCF]]-VLOOKUP(Main_M[[#This Row],[Industry]], Mean_PFCF_M, 2, FALSE))/(VLOOKUP(Main_M[[#This Row],[Industry]], Mean_PFCF_M, 3, FALSE))</f>
        <v>8.5409961061705189E-2</v>
      </c>
      <c r="P60" s="1">
        <f>(Main_M[[#This Row],[P/B]]-VLOOKUP(Main_M[[#This Row],[Industry]], Mean_PB_M, 2, FALSE))/(VLOOKUP(Main_M[[#This Row],[Industry]], Mean_PB_M, 3, FALSE))</f>
        <v>-1.0447157782986585</v>
      </c>
      <c r="Q60" s="1">
        <f>(Main_M[[#This Row],[ROE]]-VLOOKUP(Main_M[[#This Row],[Industry]], Mean_ROE_M, 2, FALSE))/(VLOOKUP(Main_M[[#This Row],[Industry]], Mean_ROE_M, 3, FALSE))</f>
        <v>-0.65126711028906326</v>
      </c>
      <c r="R60" s="1">
        <f>(Main_M[[#This Row],[ROA]]-VLOOKUP(Main_M[[#This Row],[Industry]], Mean_ROA_M, 2, FALSE))/(VLOOKUP(Main_M[[#This Row],[Industry]], Mean_ROA_M, 3, FALSE))</f>
        <v>-0.14380476516844362</v>
      </c>
      <c r="S60" s="1">
        <f>(Main_M[[#This Row],[A/E]]-VLOOKUP(Main_M[[#This Row],[Industry]], Mean_AE_M, 2, FALSE))/(VLOOKUP(Main_M[[#This Row],[Industry]], Mean_AE_M, 3, FALSE))</f>
        <v>-0.31762501016575995</v>
      </c>
      <c r="T60" s="1">
        <f>(Main_M[[#This Row],[P/E]]-VLOOKUP(Main_M[[#This Row],[Industry]], Mean_PE_M, 2, FALSE))/(VLOOKUP(Main_M[[#This Row],[Industry]], Mean_PE_M, 3, FALSE))</f>
        <v>-0.44972394276491173</v>
      </c>
      <c r="U6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1" spans="1:26" x14ac:dyDescent="0.25">
      <c r="A61" t="s">
        <v>105</v>
      </c>
      <c r="B61" t="s">
        <v>212</v>
      </c>
      <c r="C61" s="2">
        <v>2939</v>
      </c>
      <c r="D61">
        <f>RTD("tos.rtd", , "LAST", Main_M[[#This Row],[Symbol]])</f>
        <v>53.04</v>
      </c>
      <c r="E61">
        <v>-1.66</v>
      </c>
      <c r="F61">
        <v>7.04</v>
      </c>
      <c r="G61">
        <v>-1.7</v>
      </c>
      <c r="H61" s="1">
        <f>IF(ISNUMBER(Main_M[[#This Row],[Free CF]]),IF(Main_M[[#This Row],[Free CF]]&lt;&gt;0,Main_M[[#This Row],[Current Price]]/Main_M[[#This Row],[Free CF]],""),"")</f>
        <v>-31.951807228915662</v>
      </c>
      <c r="I61" s="1">
        <f>IF(ISNUMBER(Main_M[[#This Row],[BVPS]]),IF(Main_M[[#This Row],[BVPS]]&lt;&gt;0,Main_M[[#This Row],[Current Price]]/Main_M[[#This Row],[BVPS]],""),"")</f>
        <v>7.5340909090909092</v>
      </c>
      <c r="J61">
        <v>-27.62</v>
      </c>
      <c r="K61">
        <v>-13.36</v>
      </c>
      <c r="L61">
        <v>1.33</v>
      </c>
      <c r="M61" s="1">
        <f>IF(ISNUMBER(Main_M[[#This Row],[EPS]]),IF(Main_M[[#This Row],[EPS]]&lt;&gt;0,Main_M[[#This Row],[Current Price]]/Main_M[[#This Row],[EPS]],""),"")</f>
        <v>-31.2</v>
      </c>
      <c r="N6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1" s="1">
        <f>(Main_M[[#This Row],[P/FCF]]-VLOOKUP(Main_M[[#This Row],[Industry]], Mean_PFCF_M, 2, FALSE))/(VLOOKUP(Main_M[[#This Row],[Industry]], Mean_PFCF_M, 3, FALSE))</f>
        <v>-1.0397986478102434</v>
      </c>
      <c r="P61" s="1">
        <f>(Main_M[[#This Row],[P/B]]-VLOOKUP(Main_M[[#This Row],[Industry]], Mean_PB_M, 2, FALSE))/(VLOOKUP(Main_M[[#This Row],[Industry]], Mean_PB_M, 3, FALSE))</f>
        <v>1.4928788440767478</v>
      </c>
      <c r="Q61" s="1">
        <f>(Main_M[[#This Row],[ROE]]-VLOOKUP(Main_M[[#This Row],[Industry]], Mean_ROE_M, 2, FALSE))/(VLOOKUP(Main_M[[#This Row],[Industry]], Mean_ROE_M, 3, FALSE))</f>
        <v>-0.53635844221238016</v>
      </c>
      <c r="R61" s="1">
        <f>(Main_M[[#This Row],[ROA]]-VLOOKUP(Main_M[[#This Row],[Industry]], Mean_ROA_M, 2, FALSE))/(VLOOKUP(Main_M[[#This Row],[Industry]], Mean_ROA_M, 3, FALSE))</f>
        <v>-2.6846392550676899</v>
      </c>
      <c r="S61" s="1">
        <f>(Main_M[[#This Row],[A/E]]-VLOOKUP(Main_M[[#This Row],[Industry]], Mean_AE_M, 2, FALSE))/(VLOOKUP(Main_M[[#This Row],[Industry]], Mean_AE_M, 3, FALSE))</f>
        <v>-1.0480654005163761</v>
      </c>
      <c r="T61" s="1">
        <f>(Main_M[[#This Row],[P/E]]-VLOOKUP(Main_M[[#This Row],[Industry]], Mean_PE_M, 2, FALSE))/(VLOOKUP(Main_M[[#This Row],[Industry]], Mean_PE_M, 3, FALSE))</f>
        <v>-1.0625171290130115</v>
      </c>
      <c r="U6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2" spans="1:26" x14ac:dyDescent="0.25">
      <c r="A62" t="s">
        <v>105</v>
      </c>
      <c r="B62" t="s">
        <v>213</v>
      </c>
      <c r="C62" s="2">
        <v>5395</v>
      </c>
      <c r="D62">
        <f>RTD("tos.rtd", , "LAST", Main_M[[#This Row],[Symbol]])</f>
        <v>126.8</v>
      </c>
      <c r="E62">
        <v>10.32</v>
      </c>
      <c r="F62">
        <v>91.67</v>
      </c>
      <c r="G62">
        <v>3.2</v>
      </c>
      <c r="H62" s="1">
        <f>IF(ISNUMBER(Main_M[[#This Row],[Free CF]]),IF(Main_M[[#This Row],[Free CF]]&lt;&gt;0,Main_M[[#This Row],[Current Price]]/Main_M[[#This Row],[Free CF]],""),"")</f>
        <v>12.286821705426355</v>
      </c>
      <c r="I62" s="1">
        <f>IF(ISNUMBER(Main_M[[#This Row],[BVPS]]),IF(Main_M[[#This Row],[BVPS]]&lt;&gt;0,Main_M[[#This Row],[Current Price]]/Main_M[[#This Row],[BVPS]],""),"")</f>
        <v>1.3832224282753354</v>
      </c>
      <c r="J62">
        <v>3.48</v>
      </c>
      <c r="K62">
        <v>4.84</v>
      </c>
      <c r="L62">
        <v>1.75</v>
      </c>
      <c r="M62" s="1">
        <f>IF(ISNUMBER(Main_M[[#This Row],[EPS]]),IF(Main_M[[#This Row],[EPS]]&lt;&gt;0,Main_M[[#This Row],[Current Price]]/Main_M[[#This Row],[EPS]],""),"")</f>
        <v>39.625</v>
      </c>
      <c r="N6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2" s="1">
        <f>(Main_M[[#This Row],[P/FCF]]-VLOOKUP(Main_M[[#This Row],[Industry]], Mean_PFCF_M, 2, FALSE))/(VLOOKUP(Main_M[[#This Row],[Industry]], Mean_PFCF_M, 3, FALSE))</f>
        <v>9.2586652088355439E-2</v>
      </c>
      <c r="P62" s="1">
        <f>(Main_M[[#This Row],[P/B]]-VLOOKUP(Main_M[[#This Row],[Industry]], Mean_PB_M, 2, FALSE))/(VLOOKUP(Main_M[[#This Row],[Industry]], Mean_PB_M, 3, FALSE))</f>
        <v>-0.91483130670470736</v>
      </c>
      <c r="Q62" s="1">
        <f>(Main_M[[#This Row],[ROE]]-VLOOKUP(Main_M[[#This Row],[Industry]], Mean_ROE_M, 2, FALSE))/(VLOOKUP(Main_M[[#This Row],[Industry]], Mean_ROE_M, 3, FALSE))</f>
        <v>0.42689211767571733</v>
      </c>
      <c r="R62" s="1">
        <f>(Main_M[[#This Row],[ROA]]-VLOOKUP(Main_M[[#This Row],[Industry]], Mean_ROA_M, 2, FALSE))/(VLOOKUP(Main_M[[#This Row],[Industry]], Mean_ROA_M, 3, FALSE))</f>
        <v>0.41269414856032632</v>
      </c>
      <c r="S62" s="1">
        <f>(Main_M[[#This Row],[A/E]]-VLOOKUP(Main_M[[#This Row],[Industry]], Mean_AE_M, 2, FALSE))/(VLOOKUP(Main_M[[#This Row],[Industry]], Mean_AE_M, 3, FALSE))</f>
        <v>-0.39533143467114473</v>
      </c>
      <c r="T62" s="1">
        <f>(Main_M[[#This Row],[P/E]]-VLOOKUP(Main_M[[#This Row],[Industry]], Mean_PE_M, 2, FALSE))/(VLOOKUP(Main_M[[#This Row],[Industry]], Mean_PE_M, 3, FALSE))</f>
        <v>0.46814566017141507</v>
      </c>
      <c r="U6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3" spans="1:26" x14ac:dyDescent="0.25">
      <c r="A63" t="s">
        <v>105</v>
      </c>
      <c r="B63" t="s">
        <v>214</v>
      </c>
      <c r="C63" s="2">
        <v>3241</v>
      </c>
      <c r="D63">
        <f>RTD("tos.rtd", , "LAST", Main_M[[#This Row],[Symbol]])</f>
        <v>122.11</v>
      </c>
      <c r="E63">
        <v>-2.44</v>
      </c>
      <c r="F63">
        <v>6.8</v>
      </c>
      <c r="G63">
        <v>1.01</v>
      </c>
      <c r="H63" s="1">
        <f>IF(ISNUMBER(Main_M[[#This Row],[Free CF]]),IF(Main_M[[#This Row],[Free CF]]&lt;&gt;0,Main_M[[#This Row],[Current Price]]/Main_M[[#This Row],[Free CF]],""),"")</f>
        <v>-50.045081967213115</v>
      </c>
      <c r="I63" s="1">
        <f>IF(ISNUMBER(Main_M[[#This Row],[BVPS]]),IF(Main_M[[#This Row],[BVPS]]&lt;&gt;0,Main_M[[#This Row],[Current Price]]/Main_M[[#This Row],[BVPS]],""),"")</f>
        <v>17.95735294117647</v>
      </c>
      <c r="J63">
        <v>19.39</v>
      </c>
      <c r="K63">
        <v>3.1</v>
      </c>
      <c r="L63">
        <v>3.52</v>
      </c>
      <c r="M63" s="1">
        <f>IF(ISNUMBER(Main_M[[#This Row],[EPS]]),IF(Main_M[[#This Row],[EPS]]&lt;&gt;0,Main_M[[#This Row],[Current Price]]/Main_M[[#This Row],[EPS]],""),"")</f>
        <v>120.9009900990099</v>
      </c>
      <c r="N6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3" s="1">
        <f>(Main_M[[#This Row],[P/FCF]]-VLOOKUP(Main_M[[#This Row],[Industry]], Mean_PFCF_M, 2, FALSE))/(VLOOKUP(Main_M[[#This Row],[Industry]], Mean_PFCF_M, 3, FALSE))</f>
        <v>-1.502935929281678</v>
      </c>
      <c r="P63" s="1">
        <f>(Main_M[[#This Row],[P/B]]-VLOOKUP(Main_M[[#This Row],[Industry]], Mean_PB_M, 2, FALSE))/(VLOOKUP(Main_M[[#This Row],[Industry]], Mean_PB_M, 3, FALSE))</f>
        <v>5.572984584783419</v>
      </c>
      <c r="Q63" s="1">
        <f>(Main_M[[#This Row],[ROE]]-VLOOKUP(Main_M[[#This Row],[Industry]], Mean_ROE_M, 2, FALSE))/(VLOOKUP(Main_M[[#This Row],[Industry]], Mean_ROE_M, 3, FALSE))</f>
        <v>0.91966756487249002</v>
      </c>
      <c r="R63" s="1">
        <f>(Main_M[[#This Row],[ROA]]-VLOOKUP(Main_M[[#This Row],[Industry]], Mean_ROA_M, 2, FALSE))/(VLOOKUP(Main_M[[#This Row],[Industry]], Mean_ROA_M, 3, FALSE))</f>
        <v>0.11657546052116437</v>
      </c>
      <c r="S63" s="1">
        <f>(Main_M[[#This Row],[A/E]]-VLOOKUP(Main_M[[#This Row],[Industry]], Mean_AE_M, 2, FALSE))/(VLOOKUP(Main_M[[#This Row],[Industry]], Mean_AE_M, 3, FALSE))</f>
        <v>2.355475992819474</v>
      </c>
      <c r="T63" s="1">
        <f>(Main_M[[#This Row],[P/E]]-VLOOKUP(Main_M[[#This Row],[Industry]], Mean_PE_M, 2, FALSE))/(VLOOKUP(Main_M[[#This Row],[Industry]], Mean_PE_M, 3, FALSE))</f>
        <v>2.2246741980983664</v>
      </c>
      <c r="U6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6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4" spans="1:26" x14ac:dyDescent="0.25">
      <c r="A64" t="s">
        <v>105</v>
      </c>
      <c r="B64" t="s">
        <v>215</v>
      </c>
      <c r="C64" s="2">
        <v>4029</v>
      </c>
      <c r="D64">
        <f>RTD("tos.rtd", , "LAST", Main_M[[#This Row],[Symbol]])</f>
        <v>11.76</v>
      </c>
      <c r="E64">
        <v>-0.48</v>
      </c>
      <c r="F64">
        <v>18</v>
      </c>
      <c r="G64">
        <v>-1.03</v>
      </c>
      <c r="H64" s="1">
        <f>IF(ISNUMBER(Main_M[[#This Row],[Free CF]]),IF(Main_M[[#This Row],[Free CF]]&lt;&gt;0,Main_M[[#This Row],[Current Price]]/Main_M[[#This Row],[Free CF]],""),"")</f>
        <v>-24.5</v>
      </c>
      <c r="I64" s="1">
        <f>IF(ISNUMBER(Main_M[[#This Row],[BVPS]]),IF(Main_M[[#This Row],[BVPS]]&lt;&gt;0,Main_M[[#This Row],[Current Price]]/Main_M[[#This Row],[BVPS]],""),"")</f>
        <v>0.65333333333333332</v>
      </c>
      <c r="J64">
        <v>-5.36</v>
      </c>
      <c r="K64">
        <v>0.61</v>
      </c>
      <c r="L64">
        <v>2.11</v>
      </c>
      <c r="M64" s="1">
        <f>IF(ISNUMBER(Main_M[[#This Row],[EPS]]),IF(Main_M[[#This Row],[EPS]]&lt;&gt;0,Main_M[[#This Row],[Current Price]]/Main_M[[#This Row],[EPS]],""),"")</f>
        <v>-11.41747572815534</v>
      </c>
      <c r="N6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4" s="1">
        <f>(Main_M[[#This Row],[P/FCF]]-VLOOKUP(Main_M[[#This Row],[Industry]], Mean_PFCF_M, 2, FALSE))/(VLOOKUP(Main_M[[#This Row],[Industry]], Mean_PFCF_M, 3, FALSE))</f>
        <v>-0.8490532027778902</v>
      </c>
      <c r="P64" s="1">
        <f>(Main_M[[#This Row],[P/B]]-VLOOKUP(Main_M[[#This Row],[Industry]], Mean_PB_M, 2, FALSE))/(VLOOKUP(Main_M[[#This Row],[Industry]], Mean_PB_M, 3, FALSE))</f>
        <v>-1.2005407781911681</v>
      </c>
      <c r="Q64" s="1">
        <f>(Main_M[[#This Row],[ROE]]-VLOOKUP(Main_M[[#This Row],[Industry]], Mean_ROE_M, 2, FALSE))/(VLOOKUP(Main_M[[#This Row],[Industry]], Mean_ROE_M, 3, FALSE))</f>
        <v>0.15309356624771789</v>
      </c>
      <c r="R64" s="1">
        <f>(Main_M[[#This Row],[ROA]]-VLOOKUP(Main_M[[#This Row],[Industry]], Mean_ROA_M, 2, FALSE))/(VLOOKUP(Main_M[[#This Row],[Industry]], Mean_ROA_M, 3, FALSE))</f>
        <v>-0.30718059305211926</v>
      </c>
      <c r="S64" s="1">
        <f>(Main_M[[#This Row],[A/E]]-VLOOKUP(Main_M[[#This Row],[Industry]], Mean_AE_M, 2, FALSE))/(VLOOKUP(Main_M[[#This Row],[Industry]], Mean_AE_M, 3, FALSE))</f>
        <v>0.16415482176762497</v>
      </c>
      <c r="T64" s="1">
        <f>(Main_M[[#This Row],[P/E]]-VLOOKUP(Main_M[[#This Row],[Industry]], Mean_PE_M, 2, FALSE))/(VLOOKUP(Main_M[[#This Row],[Industry]], Mean_PE_M, 3, FALSE))</f>
        <v>-0.63497920061131208</v>
      </c>
      <c r="U6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5" spans="1:26" x14ac:dyDescent="0.25">
      <c r="A65" t="s">
        <v>105</v>
      </c>
      <c r="B65" t="s">
        <v>216</v>
      </c>
      <c r="C65" s="2">
        <v>3228</v>
      </c>
      <c r="D65">
        <f>RTD("tos.rtd", , "LAST", Main_M[[#This Row],[Symbol]])</f>
        <v>69.14</v>
      </c>
      <c r="E65">
        <v>1.64</v>
      </c>
      <c r="F65">
        <v>18.05</v>
      </c>
      <c r="G65">
        <v>2.54</v>
      </c>
      <c r="H65" s="1">
        <f>IF(ISNUMBER(Main_M[[#This Row],[Free CF]]),IF(Main_M[[#This Row],[Free CF]]&lt;&gt;0,Main_M[[#This Row],[Current Price]]/Main_M[[#This Row],[Free CF]],""),"")</f>
        <v>42.158536585365859</v>
      </c>
      <c r="I65" s="1">
        <f>IF(ISNUMBER(Main_M[[#This Row],[BVPS]]),IF(Main_M[[#This Row],[BVPS]]&lt;&gt;0,Main_M[[#This Row],[Current Price]]/Main_M[[#This Row],[BVPS]],""),"")</f>
        <v>3.8304709141274236</v>
      </c>
      <c r="J65">
        <v>14.06</v>
      </c>
      <c r="K65">
        <v>6.33</v>
      </c>
      <c r="L65">
        <v>2.79</v>
      </c>
      <c r="M65" s="1">
        <f>IF(ISNUMBER(Main_M[[#This Row],[EPS]]),IF(Main_M[[#This Row],[EPS]]&lt;&gt;0,Main_M[[#This Row],[Current Price]]/Main_M[[#This Row],[EPS]],""),"")</f>
        <v>27.220472440944881</v>
      </c>
      <c r="N6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5" s="1">
        <f>(Main_M[[#This Row],[P/FCF]]-VLOOKUP(Main_M[[#This Row],[Industry]], Mean_PFCF_M, 2, FALSE))/(VLOOKUP(Main_M[[#This Row],[Industry]], Mean_PFCF_M, 3, FALSE))</f>
        <v>0.85721909273225416</v>
      </c>
      <c r="P65" s="1">
        <f>(Main_M[[#This Row],[P/B]]-VLOOKUP(Main_M[[#This Row],[Industry]], Mean_PB_M, 2, FALSE))/(VLOOKUP(Main_M[[#This Row],[Industry]], Mean_PB_M, 3, FALSE))</f>
        <v>4.3125287432928164E-2</v>
      </c>
      <c r="Q65" s="1">
        <f>(Main_M[[#This Row],[ROE]]-VLOOKUP(Main_M[[#This Row],[Industry]], Mean_ROE_M, 2, FALSE))/(VLOOKUP(Main_M[[#This Row],[Industry]], Mean_ROE_M, 3, FALSE))</f>
        <v>0.75458314415854921</v>
      </c>
      <c r="R65" s="1">
        <f>(Main_M[[#This Row],[ROA]]-VLOOKUP(Main_M[[#This Row],[Industry]], Mean_ROA_M, 2, FALSE))/(VLOOKUP(Main_M[[#This Row],[Industry]], Mean_ROA_M, 3, FALSE))</f>
        <v>0.66626704808811454</v>
      </c>
      <c r="S65" s="1">
        <f>(Main_M[[#This Row],[A/E]]-VLOOKUP(Main_M[[#This Row],[Industry]], Mean_AE_M, 2, FALSE))/(VLOOKUP(Main_M[[#This Row],[Industry]], Mean_AE_M, 3, FALSE))</f>
        <v>1.2209621950408571</v>
      </c>
      <c r="T65" s="1">
        <f>(Main_M[[#This Row],[P/E]]-VLOOKUP(Main_M[[#This Row],[Industry]], Mean_PE_M, 2, FALSE))/(VLOOKUP(Main_M[[#This Row],[Industry]], Mean_PE_M, 3, FALSE))</f>
        <v>0.20006025597715607</v>
      </c>
      <c r="U6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6" spans="1:26" x14ac:dyDescent="0.25">
      <c r="A66" t="s">
        <v>105</v>
      </c>
      <c r="B66" t="s">
        <v>217</v>
      </c>
      <c r="C66" s="2">
        <v>3310</v>
      </c>
      <c r="D66">
        <f>RTD("tos.rtd", , "LAST", Main_M[[#This Row],[Symbol]])</f>
        <v>143.59</v>
      </c>
      <c r="E66">
        <v>4.67</v>
      </c>
      <c r="F66">
        <v>80.16</v>
      </c>
      <c r="G66">
        <v>-4.83</v>
      </c>
      <c r="H66" s="1">
        <f>IF(ISNUMBER(Main_M[[#This Row],[Free CF]]),IF(Main_M[[#This Row],[Free CF]]&lt;&gt;0,Main_M[[#This Row],[Current Price]]/Main_M[[#This Row],[Free CF]],""),"")</f>
        <v>30.747323340471095</v>
      </c>
      <c r="I66" s="1">
        <f>IF(ISNUMBER(Main_M[[#This Row],[BVPS]]),IF(Main_M[[#This Row],[BVPS]]&lt;&gt;0,Main_M[[#This Row],[Current Price]]/Main_M[[#This Row],[BVPS]],""),"")</f>
        <v>1.7912924151696608</v>
      </c>
      <c r="J66">
        <v>-5.76</v>
      </c>
      <c r="K66">
        <v>1.42</v>
      </c>
      <c r="L66">
        <v>2.14</v>
      </c>
      <c r="M66" s="1">
        <f>IF(ISNUMBER(Main_M[[#This Row],[EPS]]),IF(Main_M[[#This Row],[EPS]]&lt;&gt;0,Main_M[[#This Row],[Current Price]]/Main_M[[#This Row],[EPS]],""),"")</f>
        <v>-29.728778467908903</v>
      </c>
      <c r="N6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6" s="1">
        <f>(Main_M[[#This Row],[P/FCF]]-VLOOKUP(Main_M[[#This Row],[Industry]], Mean_PFCF_M, 2, FALSE))/(VLOOKUP(Main_M[[#This Row],[Industry]], Mean_PFCF_M, 3, FALSE))</f>
        <v>0.56512391610041501</v>
      </c>
      <c r="P66" s="1">
        <f>(Main_M[[#This Row],[P/B]]-VLOOKUP(Main_M[[#This Row],[Industry]], Mean_PB_M, 2, FALSE))/(VLOOKUP(Main_M[[#This Row],[Industry]], Mean_PB_M, 3, FALSE))</f>
        <v>-0.75509544944501084</v>
      </c>
      <c r="Q66" s="1">
        <f>(Main_M[[#This Row],[ROE]]-VLOOKUP(Main_M[[#This Row],[Industry]], Mean_ROE_M, 2, FALSE))/(VLOOKUP(Main_M[[#This Row],[Industry]], Mean_ROE_M, 3, FALSE))</f>
        <v>0.14070449152246906</v>
      </c>
      <c r="R66" s="1">
        <f>(Main_M[[#This Row],[ROA]]-VLOOKUP(Main_M[[#This Row],[Industry]], Mean_ROA_M, 2, FALSE))/(VLOOKUP(Main_M[[#This Row],[Industry]], Mean_ROA_M, 3, FALSE))</f>
        <v>-0.16933223827526794</v>
      </c>
      <c r="S66" s="1">
        <f>(Main_M[[#This Row],[A/E]]-VLOOKUP(Main_M[[#This Row],[Industry]], Mean_AE_M, 2, FALSE))/(VLOOKUP(Main_M[[#This Row],[Industry]], Mean_AE_M, 3, FALSE))</f>
        <v>0.21077867647085619</v>
      </c>
      <c r="T66" s="1">
        <f>(Main_M[[#This Row],[P/E]]-VLOOKUP(Main_M[[#This Row],[Industry]], Mean_PE_M, 2, FALSE))/(VLOOKUP(Main_M[[#This Row],[Industry]], Mean_PE_M, 3, FALSE))</f>
        <v>-1.0307212369718008</v>
      </c>
      <c r="U6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7" spans="1:26" x14ac:dyDescent="0.25">
      <c r="A67" t="s">
        <v>105</v>
      </c>
      <c r="B67" t="s">
        <v>218</v>
      </c>
      <c r="C67" s="2">
        <v>5523</v>
      </c>
      <c r="D67">
        <f>RTD("tos.rtd", , "LAST", Main_M[[#This Row],[Symbol]])</f>
        <v>78.95</v>
      </c>
      <c r="E67">
        <v>5.96</v>
      </c>
      <c r="F67">
        <v>15.89</v>
      </c>
      <c r="G67">
        <v>4.3600000000000003</v>
      </c>
      <c r="H67" s="1">
        <f>IF(ISNUMBER(Main_M[[#This Row],[Free CF]]),IF(Main_M[[#This Row],[Free CF]]&lt;&gt;0,Main_M[[#This Row],[Current Price]]/Main_M[[#This Row],[Free CF]],""),"")</f>
        <v>13.246644295302014</v>
      </c>
      <c r="I67" s="1">
        <f>IF(ISNUMBER(Main_M[[#This Row],[BVPS]]),IF(Main_M[[#This Row],[BVPS]]&lt;&gt;0,Main_M[[#This Row],[Current Price]]/Main_M[[#This Row],[BVPS]],""),"")</f>
        <v>4.9685336689741977</v>
      </c>
      <c r="J67">
        <v>32.82</v>
      </c>
      <c r="K67">
        <v>15.35</v>
      </c>
      <c r="L67">
        <v>1.82</v>
      </c>
      <c r="M67" s="1">
        <f>IF(ISNUMBER(Main_M[[#This Row],[EPS]]),IF(Main_M[[#This Row],[EPS]]&lt;&gt;0,Main_M[[#This Row],[Current Price]]/Main_M[[#This Row],[EPS]],""),"")</f>
        <v>18.107798165137613</v>
      </c>
      <c r="N6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7" s="1">
        <f>(Main_M[[#This Row],[P/FCF]]-VLOOKUP(Main_M[[#This Row],[Industry]], Mean_PFCF_M, 2, FALSE))/(VLOOKUP(Main_M[[#This Row],[Industry]], Mean_PFCF_M, 3, FALSE))</f>
        <v>0.11715542868626795</v>
      </c>
      <c r="P67" s="1">
        <f>(Main_M[[#This Row],[P/B]]-VLOOKUP(Main_M[[#This Row],[Industry]], Mean_PB_M, 2, FALSE))/(VLOOKUP(Main_M[[#This Row],[Industry]], Mean_PB_M, 3, FALSE))</f>
        <v>0.48861119818151211</v>
      </c>
      <c r="Q67" s="1">
        <f>(Main_M[[#This Row],[ROE]]-VLOOKUP(Main_M[[#This Row],[Industry]], Mean_ROE_M, 2, FALSE))/(VLOOKUP(Main_M[[#This Row],[Industry]], Mean_ROE_M, 3, FALSE))</f>
        <v>1.3356307487727199</v>
      </c>
      <c r="R67" s="1">
        <f>(Main_M[[#This Row],[ROA]]-VLOOKUP(Main_M[[#This Row],[Industry]], Mean_ROA_M, 2, FALSE))/(VLOOKUP(Main_M[[#This Row],[Industry]], Mean_ROA_M, 3, FALSE))</f>
        <v>2.2013190975784829</v>
      </c>
      <c r="S67" s="1">
        <f>(Main_M[[#This Row],[A/E]]-VLOOKUP(Main_M[[#This Row],[Industry]], Mean_AE_M, 2, FALSE))/(VLOOKUP(Main_M[[#This Row],[Industry]], Mean_AE_M, 3, FALSE))</f>
        <v>-0.28654244036360604</v>
      </c>
      <c r="T67" s="1">
        <f>(Main_M[[#This Row],[P/E]]-VLOOKUP(Main_M[[#This Row],[Industry]], Mean_PE_M, 2, FALSE))/(VLOOKUP(Main_M[[#This Row],[Industry]], Mean_PE_M, 3, FALSE))</f>
        <v>3.1180544390504677E-3</v>
      </c>
      <c r="U6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6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8" spans="1:26" x14ac:dyDescent="0.25">
      <c r="A68" t="s">
        <v>105</v>
      </c>
      <c r="B68" t="s">
        <v>219</v>
      </c>
      <c r="C68" s="2">
        <v>5568</v>
      </c>
      <c r="D68">
        <f>RTD("tos.rtd", , "LAST", Main_M[[#This Row],[Symbol]])</f>
        <v>97.61</v>
      </c>
      <c r="E68">
        <v>3.05</v>
      </c>
      <c r="F68">
        <v>24.18</v>
      </c>
      <c r="G68">
        <v>2.04</v>
      </c>
      <c r="H68" s="1">
        <f>IF(ISNUMBER(Main_M[[#This Row],[Free CF]]),IF(Main_M[[#This Row],[Free CF]]&lt;&gt;0,Main_M[[#This Row],[Current Price]]/Main_M[[#This Row],[Free CF]],""),"")</f>
        <v>32.003278688524588</v>
      </c>
      <c r="I68" s="1">
        <f>IF(ISNUMBER(Main_M[[#This Row],[BVPS]]),IF(Main_M[[#This Row],[BVPS]]&lt;&gt;0,Main_M[[#This Row],[Current Price]]/Main_M[[#This Row],[BVPS]],""),"")</f>
        <v>4.0368072787427627</v>
      </c>
      <c r="J68">
        <v>9.16</v>
      </c>
      <c r="K68">
        <v>4.3099999999999996</v>
      </c>
      <c r="L68">
        <v>1.73</v>
      </c>
      <c r="M68" s="1">
        <f>IF(ISNUMBER(Main_M[[#This Row],[EPS]]),IF(Main_M[[#This Row],[EPS]]&lt;&gt;0,Main_M[[#This Row],[Current Price]]/Main_M[[#This Row],[EPS]],""),"")</f>
        <v>47.848039215686271</v>
      </c>
      <c r="N6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8" s="1">
        <f>(Main_M[[#This Row],[P/FCF]]-VLOOKUP(Main_M[[#This Row],[Industry]], Mean_PFCF_M, 2, FALSE))/(VLOOKUP(Main_M[[#This Row],[Industry]], Mean_PFCF_M, 3, FALSE))</f>
        <v>0.59727286392553047</v>
      </c>
      <c r="P68" s="1">
        <f>(Main_M[[#This Row],[P/B]]-VLOOKUP(Main_M[[#This Row],[Industry]], Mean_PB_M, 2, FALSE))/(VLOOKUP(Main_M[[#This Row],[Industry]], Mean_PB_M, 3, FALSE))</f>
        <v>0.1238940701030825</v>
      </c>
      <c r="Q68" s="1">
        <f>(Main_M[[#This Row],[ROE]]-VLOOKUP(Main_M[[#This Row],[Industry]], Mean_ROE_M, 2, FALSE))/(VLOOKUP(Main_M[[#This Row],[Industry]], Mean_ROE_M, 3, FALSE))</f>
        <v>0.602816978774251</v>
      </c>
      <c r="R68" s="1">
        <f>(Main_M[[#This Row],[ROA]]-VLOOKUP(Main_M[[#This Row],[Industry]], Mean_ROA_M, 2, FALSE))/(VLOOKUP(Main_M[[#This Row],[Industry]], Mean_ROA_M, 3, FALSE))</f>
        <v>0.32249707691621371</v>
      </c>
      <c r="S68" s="1">
        <f>(Main_M[[#This Row],[A/E]]-VLOOKUP(Main_M[[#This Row],[Industry]], Mean_AE_M, 2, FALSE))/(VLOOKUP(Main_M[[#This Row],[Industry]], Mean_AE_M, 3, FALSE))</f>
        <v>-0.42641400447329864</v>
      </c>
      <c r="T68" s="1">
        <f>(Main_M[[#This Row],[P/E]]-VLOOKUP(Main_M[[#This Row],[Industry]], Mean_PE_M, 2, FALSE))/(VLOOKUP(Main_M[[#This Row],[Industry]], Mean_PE_M, 3, FALSE))</f>
        <v>0.64586115810936451</v>
      </c>
      <c r="U6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69" spans="1:26" x14ac:dyDescent="0.25">
      <c r="A69" t="s">
        <v>105</v>
      </c>
      <c r="B69" t="s">
        <v>220</v>
      </c>
      <c r="C69" s="2">
        <v>2726</v>
      </c>
      <c r="D69">
        <f>RTD("tos.rtd", , "LAST", Main_M[[#This Row],[Symbol]])</f>
        <v>16.600000000000001</v>
      </c>
      <c r="E69">
        <v>1.38</v>
      </c>
      <c r="F69">
        <v>9.77</v>
      </c>
      <c r="G69">
        <v>-4.4800000000000004</v>
      </c>
      <c r="H69" s="1">
        <f>IF(ISNUMBER(Main_M[[#This Row],[Free CF]]),IF(Main_M[[#This Row],[Free CF]]&lt;&gt;0,Main_M[[#This Row],[Current Price]]/Main_M[[#This Row],[Free CF]],""),"")</f>
        <v>12.028985507246379</v>
      </c>
      <c r="I69" s="1">
        <f>IF(ISNUMBER(Main_M[[#This Row],[BVPS]]),IF(Main_M[[#This Row],[BVPS]]&lt;&gt;0,Main_M[[#This Row],[Current Price]]/Main_M[[#This Row],[BVPS]],""),"")</f>
        <v>1.6990788126919143</v>
      </c>
      <c r="J69">
        <v>-34.75</v>
      </c>
      <c r="K69">
        <v>2.11</v>
      </c>
      <c r="L69">
        <v>2.96</v>
      </c>
      <c r="M69" s="1">
        <f>IF(ISNUMBER(Main_M[[#This Row],[EPS]]),IF(Main_M[[#This Row],[EPS]]&lt;&gt;0,Main_M[[#This Row],[Current Price]]/Main_M[[#This Row],[EPS]],""),"")</f>
        <v>-3.7053571428571428</v>
      </c>
      <c r="N6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69" s="1">
        <f>(Main_M[[#This Row],[P/FCF]]-VLOOKUP(Main_M[[#This Row],[Industry]], Mean_PFCF_M, 2, FALSE))/(VLOOKUP(Main_M[[#This Row],[Industry]], Mean_PFCF_M, 3, FALSE))</f>
        <v>8.5986765798161363E-2</v>
      </c>
      <c r="P69" s="1">
        <f>(Main_M[[#This Row],[P/B]]-VLOOKUP(Main_M[[#This Row],[Industry]], Mean_PB_M, 2, FALSE))/(VLOOKUP(Main_M[[#This Row],[Industry]], Mean_PB_M, 3, FALSE))</f>
        <v>-0.79119175477462123</v>
      </c>
      <c r="Q69" s="1">
        <f>(Main_M[[#This Row],[ROE]]-VLOOKUP(Main_M[[#This Row],[Industry]], Mean_ROE_M, 2, FALSE))/(VLOOKUP(Main_M[[#This Row],[Industry]], Mean_ROE_M, 3, FALSE))</f>
        <v>-0.75719369918994095</v>
      </c>
      <c r="R69" s="1">
        <f>(Main_M[[#This Row],[ROA]]-VLOOKUP(Main_M[[#This Row],[Industry]], Mean_ROA_M, 2, FALSE))/(VLOOKUP(Main_M[[#This Row],[Industry]], Mean_ROA_M, 3, FALSE))</f>
        <v>-5.1905861983876124E-2</v>
      </c>
      <c r="S69" s="1">
        <f>(Main_M[[#This Row],[A/E]]-VLOOKUP(Main_M[[#This Row],[Industry]], Mean_AE_M, 2, FALSE))/(VLOOKUP(Main_M[[#This Row],[Industry]], Mean_AE_M, 3, FALSE))</f>
        <v>1.4851640383591651</v>
      </c>
      <c r="T69" s="1">
        <f>(Main_M[[#This Row],[P/E]]-VLOOKUP(Main_M[[#This Row],[Industry]], Mean_PE_M, 2, FALSE))/(VLOOKUP(Main_M[[#This Row],[Industry]], Mean_PE_M, 3, FALSE))</f>
        <v>-0.46830566804098245</v>
      </c>
      <c r="U6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6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6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6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6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6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0" spans="1:26" x14ac:dyDescent="0.25">
      <c r="A70" t="s">
        <v>129</v>
      </c>
      <c r="B70" t="s">
        <v>221</v>
      </c>
      <c r="C70" s="2">
        <v>8103</v>
      </c>
      <c r="D70">
        <f>RTD("tos.rtd", , "LAST", Main_M[[#This Row],[Symbol]])</f>
        <v>70.540000000000006</v>
      </c>
      <c r="E70">
        <v>4.05</v>
      </c>
      <c r="F70">
        <v>27.08</v>
      </c>
      <c r="G70">
        <v>3.21</v>
      </c>
      <c r="H70" s="1">
        <f>IF(ISNUMBER(Main_M[[#This Row],[Free CF]]),IF(Main_M[[#This Row],[Free CF]]&lt;&gt;0,Main_M[[#This Row],[Current Price]]/Main_M[[#This Row],[Free CF]],""),"")</f>
        <v>17.417283950617286</v>
      </c>
      <c r="I70" s="1">
        <f>IF(ISNUMBER(Main_M[[#This Row],[BVPS]]),IF(Main_M[[#This Row],[BVPS]]&lt;&gt;0,Main_M[[#This Row],[Current Price]]/Main_M[[#This Row],[BVPS]],""),"")</f>
        <v>2.6048744460856725</v>
      </c>
      <c r="J70">
        <v>8.4700000000000006</v>
      </c>
      <c r="K70">
        <v>4.76</v>
      </c>
      <c r="L70">
        <v>3.17</v>
      </c>
      <c r="M70" s="1">
        <f>IF(ISNUMBER(Main_M[[#This Row],[EPS]]),IF(Main_M[[#This Row],[EPS]]&lt;&gt;0,Main_M[[#This Row],[Current Price]]/Main_M[[#This Row],[EPS]],""),"")</f>
        <v>21.975077881619939</v>
      </c>
      <c r="N7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0" s="1">
        <f>(Main_M[[#This Row],[P/FCF]]-VLOOKUP(Main_M[[#This Row],[Industry]], Mean_PFCF_M, 2, FALSE))/(VLOOKUP(Main_M[[#This Row],[Industry]], Mean_PFCF_M, 3, FALSE))</f>
        <v>5.2417364594403174E-2</v>
      </c>
      <c r="P70" s="1">
        <f>(Main_M[[#This Row],[P/B]]-VLOOKUP(Main_M[[#This Row],[Industry]], Mean_PB_M, 2, FALSE))/(VLOOKUP(Main_M[[#This Row],[Industry]], Mean_PB_M, 3, FALSE))</f>
        <v>-0.30388770630238199</v>
      </c>
      <c r="Q70" s="1">
        <f>(Main_M[[#This Row],[ROE]]-VLOOKUP(Main_M[[#This Row],[Industry]], Mean_ROE_M, 2, FALSE))/(VLOOKUP(Main_M[[#This Row],[Industry]], Mean_ROE_M, 3, FALSE))</f>
        <v>-0.12410469428550416</v>
      </c>
      <c r="R70" s="1">
        <f>(Main_M[[#This Row],[ROA]]-VLOOKUP(Main_M[[#This Row],[Industry]], Mean_ROA_M, 2, FALSE))/(VLOOKUP(Main_M[[#This Row],[Industry]], Mean_ROA_M, 3, FALSE))</f>
        <v>-0.23800805949092904</v>
      </c>
      <c r="S70" s="1">
        <f>(Main_M[[#This Row],[A/E]]-VLOOKUP(Main_M[[#This Row],[Industry]], Mean_AE_M, 2, FALSE))/(VLOOKUP(Main_M[[#This Row],[Industry]], Mean_AE_M, 3, FALSE))</f>
        <v>0.78139185590471594</v>
      </c>
      <c r="T70" s="1">
        <f>(Main_M[[#This Row],[P/E]]-VLOOKUP(Main_M[[#This Row],[Industry]], Mean_PE_M, 2, FALSE))/(VLOOKUP(Main_M[[#This Row],[Industry]], Mean_PE_M, 3, FALSE))</f>
        <v>-7.9671656076371042E-2</v>
      </c>
      <c r="U7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1" spans="1:26" x14ac:dyDescent="0.25">
      <c r="A71" t="s">
        <v>129</v>
      </c>
      <c r="B71" t="s">
        <v>222</v>
      </c>
      <c r="C71" s="2">
        <v>2066</v>
      </c>
      <c r="D71">
        <f>RTD("tos.rtd", , "LAST", Main_M[[#This Row],[Symbol]])</f>
        <v>109.74</v>
      </c>
      <c r="E71">
        <v>5.18</v>
      </c>
      <c r="F71">
        <v>54.36</v>
      </c>
      <c r="G71">
        <v>4.42</v>
      </c>
      <c r="H71" s="1">
        <f>IF(ISNUMBER(Main_M[[#This Row],[Free CF]]),IF(Main_M[[#This Row],[Free CF]]&lt;&gt;0,Main_M[[#This Row],[Current Price]]/Main_M[[#This Row],[Free CF]],""),"")</f>
        <v>21.185328185328185</v>
      </c>
      <c r="I71" s="1">
        <f>IF(ISNUMBER(Main_M[[#This Row],[BVPS]]),IF(Main_M[[#This Row],[BVPS]]&lt;&gt;0,Main_M[[#This Row],[Current Price]]/Main_M[[#This Row],[BVPS]],""),"")</f>
        <v>2.018763796909492</v>
      </c>
      <c r="J71">
        <v>9.18</v>
      </c>
      <c r="K71">
        <v>6.52</v>
      </c>
      <c r="L71">
        <v>1.41</v>
      </c>
      <c r="M71" s="1">
        <f>IF(ISNUMBER(Main_M[[#This Row],[EPS]]),IF(Main_M[[#This Row],[EPS]]&lt;&gt;0,Main_M[[#This Row],[Current Price]]/Main_M[[#This Row],[EPS]],""),"")</f>
        <v>24.828054298642535</v>
      </c>
      <c r="N7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1" s="1">
        <f>(Main_M[[#This Row],[P/FCF]]-VLOOKUP(Main_M[[#This Row],[Industry]], Mean_PFCF_M, 2, FALSE))/(VLOOKUP(Main_M[[#This Row],[Industry]], Mean_PFCF_M, 3, FALSE))</f>
        <v>0.44431189989613351</v>
      </c>
      <c r="P71" s="1">
        <f>(Main_M[[#This Row],[P/B]]-VLOOKUP(Main_M[[#This Row],[Industry]], Mean_PB_M, 2, FALSE))/(VLOOKUP(Main_M[[#This Row],[Industry]], Mean_PB_M, 3, FALSE))</f>
        <v>-0.66868192079271715</v>
      </c>
      <c r="Q71" s="1">
        <f>(Main_M[[#This Row],[ROE]]-VLOOKUP(Main_M[[#This Row],[Industry]], Mean_ROE_M, 2, FALSE))/(VLOOKUP(Main_M[[#This Row],[Industry]], Mean_ROE_M, 3, FALSE))</f>
        <v>-2.4951281371729282E-2</v>
      </c>
      <c r="R71" s="1">
        <f>(Main_M[[#This Row],[ROA]]-VLOOKUP(Main_M[[#This Row],[Industry]], Mean_ROA_M, 2, FALSE))/(VLOOKUP(Main_M[[#This Row],[Industry]], Mean_ROA_M, 3, FALSE))</f>
        <v>0.25002400035843214</v>
      </c>
      <c r="S71" s="1">
        <f>(Main_M[[#This Row],[A/E]]-VLOOKUP(Main_M[[#This Row],[Industry]], Mean_AE_M, 2, FALSE))/(VLOOKUP(Main_M[[#This Row],[Industry]], Mean_AE_M, 3, FALSE))</f>
        <v>-0.9724899391942422</v>
      </c>
      <c r="T71" s="1">
        <f>(Main_M[[#This Row],[P/E]]-VLOOKUP(Main_M[[#This Row],[Industry]], Mean_PE_M, 2, FALSE))/(VLOOKUP(Main_M[[#This Row],[Industry]], Mean_PE_M, 3, FALSE))</f>
        <v>-6.214980709405379E-4</v>
      </c>
      <c r="U7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2" spans="1:26" x14ac:dyDescent="0.25">
      <c r="A72" t="s">
        <v>129</v>
      </c>
      <c r="B72" t="s">
        <v>223</v>
      </c>
      <c r="C72" s="2">
        <v>3155</v>
      </c>
      <c r="D72">
        <f>RTD("tos.rtd", , "LAST", Main_M[[#This Row],[Symbol]])</f>
        <v>94.5</v>
      </c>
      <c r="E72">
        <v>6.68</v>
      </c>
      <c r="F72">
        <v>36.549999999999997</v>
      </c>
      <c r="G72">
        <v>2.72</v>
      </c>
      <c r="H72" s="1">
        <f>IF(ISNUMBER(Main_M[[#This Row],[Free CF]]),IF(Main_M[[#This Row],[Free CF]]&lt;&gt;0,Main_M[[#This Row],[Current Price]]/Main_M[[#This Row],[Free CF]],""),"")</f>
        <v>14.146706586826348</v>
      </c>
      <c r="I72" s="1">
        <f>IF(ISNUMBER(Main_M[[#This Row],[BVPS]]),IF(Main_M[[#This Row],[BVPS]]&lt;&gt;0,Main_M[[#This Row],[Current Price]]/Main_M[[#This Row],[BVPS]],""),"")</f>
        <v>2.585499316005472</v>
      </c>
      <c r="J72">
        <v>7.15</v>
      </c>
      <c r="K72">
        <v>6.36</v>
      </c>
      <c r="L72">
        <v>1.82</v>
      </c>
      <c r="M72" s="1">
        <f>IF(ISNUMBER(Main_M[[#This Row],[EPS]]),IF(Main_M[[#This Row],[EPS]]&lt;&gt;0,Main_M[[#This Row],[Current Price]]/Main_M[[#This Row],[EPS]],""),"")</f>
        <v>34.742647058823529</v>
      </c>
      <c r="N7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2" s="1">
        <f>(Main_M[[#This Row],[P/FCF]]-VLOOKUP(Main_M[[#This Row],[Industry]], Mean_PFCF_M, 2, FALSE))/(VLOOKUP(Main_M[[#This Row],[Industry]], Mean_PFCF_M, 3, FALSE))</f>
        <v>-0.28773824832120454</v>
      </c>
      <c r="P72" s="1">
        <f>(Main_M[[#This Row],[P/B]]-VLOOKUP(Main_M[[#This Row],[Industry]], Mean_PB_M, 2, FALSE))/(VLOOKUP(Main_M[[#This Row],[Industry]], Mean_PB_M, 3, FALSE))</f>
        <v>-0.31594675243674125</v>
      </c>
      <c r="Q72" s="1">
        <f>(Main_M[[#This Row],[ROE]]-VLOOKUP(Main_M[[#This Row],[Industry]], Mean_ROE_M, 2, FALSE))/(VLOOKUP(Main_M[[#This Row],[Industry]], Mean_ROE_M, 3, FALSE))</f>
        <v>-0.30844625068857889</v>
      </c>
      <c r="R72" s="1">
        <f>(Main_M[[#This Row],[ROA]]-VLOOKUP(Main_M[[#This Row],[Industry]], Mean_ROA_M, 2, FALSE))/(VLOOKUP(Main_M[[#This Row],[Industry]], Mean_ROA_M, 3, FALSE))</f>
        <v>0.20565744946303588</v>
      </c>
      <c r="S72" s="1">
        <f>(Main_M[[#This Row],[A/E]]-VLOOKUP(Main_M[[#This Row],[Industry]], Mean_AE_M, 2, FALSE))/(VLOOKUP(Main_M[[#This Row],[Industry]], Mean_AE_M, 3, FALSE))</f>
        <v>-0.56391520283596208</v>
      </c>
      <c r="T72" s="1">
        <f>(Main_M[[#This Row],[P/E]]-VLOOKUP(Main_M[[#This Row],[Industry]], Mean_PE_M, 2, FALSE))/(VLOOKUP(Main_M[[#This Row],[Industry]], Mean_PE_M, 3, FALSE))</f>
        <v>0.27409164697136479</v>
      </c>
      <c r="U7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3" spans="1:26" x14ac:dyDescent="0.25">
      <c r="A73" t="s">
        <v>129</v>
      </c>
      <c r="B73" t="s">
        <v>224</v>
      </c>
      <c r="C73" s="2">
        <v>4015</v>
      </c>
      <c r="D73">
        <f>RTD("tos.rtd", , "LAST", Main_M[[#This Row],[Symbol]])</f>
        <v>23.24</v>
      </c>
      <c r="E73">
        <v>0.64</v>
      </c>
      <c r="F73">
        <v>9.6300000000000008</v>
      </c>
      <c r="G73">
        <v>0.24</v>
      </c>
      <c r="H73" s="1">
        <f>IF(ISNUMBER(Main_M[[#This Row],[Free CF]]),IF(Main_M[[#This Row],[Free CF]]&lt;&gt;0,Main_M[[#This Row],[Current Price]]/Main_M[[#This Row],[Free CF]],""),"")</f>
        <v>36.3125</v>
      </c>
      <c r="I73" s="1">
        <f>IF(ISNUMBER(Main_M[[#This Row],[BVPS]]),IF(Main_M[[#This Row],[BVPS]]&lt;&gt;0,Main_M[[#This Row],[Current Price]]/Main_M[[#This Row],[BVPS]],""),"")</f>
        <v>2.4132917964693661</v>
      </c>
      <c r="J73">
        <v>2.74</v>
      </c>
      <c r="K73">
        <v>4.3899999999999997</v>
      </c>
      <c r="L73">
        <v>3.47</v>
      </c>
      <c r="M73" s="1">
        <f>IF(ISNUMBER(Main_M[[#This Row],[EPS]]),IF(Main_M[[#This Row],[EPS]]&lt;&gt;0,Main_M[[#This Row],[Current Price]]/Main_M[[#This Row],[EPS]],""),"")</f>
        <v>96.833333333333329</v>
      </c>
      <c r="N7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3" s="1">
        <f>(Main_M[[#This Row],[P/FCF]]-VLOOKUP(Main_M[[#This Row],[Industry]], Mean_PFCF_M, 2, FALSE))/(VLOOKUP(Main_M[[#This Row],[Industry]], Mean_PFCF_M, 3, FALSE))</f>
        <v>2.0176097699502216</v>
      </c>
      <c r="P73" s="1">
        <f>(Main_M[[#This Row],[P/B]]-VLOOKUP(Main_M[[#This Row],[Industry]], Mean_PB_M, 2, FALSE))/(VLOOKUP(Main_M[[#This Row],[Industry]], Mean_PB_M, 3, FALSE))</f>
        <v>-0.42312840304623134</v>
      </c>
      <c r="Q73" s="1">
        <f>(Main_M[[#This Row],[ROE]]-VLOOKUP(Main_M[[#This Row],[Industry]], Mean_ROE_M, 2, FALSE))/(VLOOKUP(Main_M[[#This Row],[Industry]], Mean_ROE_M, 3, FALSE))</f>
        <v>-0.92431463230794209</v>
      </c>
      <c r="R73" s="1">
        <f>(Main_M[[#This Row],[ROA]]-VLOOKUP(Main_M[[#This Row],[Industry]], Mean_ROA_M, 2, FALSE))/(VLOOKUP(Main_M[[#This Row],[Industry]], Mean_ROA_M, 3, FALSE))</f>
        <v>-0.34060570843653343</v>
      </c>
      <c r="S73" s="1">
        <f>(Main_M[[#This Row],[A/E]]-VLOOKUP(Main_M[[#This Row],[Industry]], Mean_AE_M, 2, FALSE))/(VLOOKUP(Main_M[[#This Row],[Industry]], Mean_AE_M, 3, FALSE))</f>
        <v>1.0803489800693113</v>
      </c>
      <c r="T73" s="1">
        <f>(Main_M[[#This Row],[P/E]]-VLOOKUP(Main_M[[#This Row],[Industry]], Mean_PE_M, 2, FALSE))/(VLOOKUP(Main_M[[#This Row],[Industry]], Mean_PE_M, 3, FALSE))</f>
        <v>1.9944979326244228</v>
      </c>
      <c r="U7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4" spans="1:26" x14ac:dyDescent="0.25">
      <c r="A74" t="s">
        <v>129</v>
      </c>
      <c r="B74" t="s">
        <v>225</v>
      </c>
      <c r="C74" s="2">
        <v>8448</v>
      </c>
      <c r="D74">
        <f>RTD("tos.rtd", , "LAST", Main_M[[#This Row],[Symbol]])</f>
        <v>557.16999999999996</v>
      </c>
      <c r="E74">
        <v>21.14</v>
      </c>
      <c r="F74">
        <v>81.09</v>
      </c>
      <c r="G74">
        <v>20.53</v>
      </c>
      <c r="H74" s="1">
        <f>IF(ISNUMBER(Main_M[[#This Row],[Free CF]]),IF(Main_M[[#This Row],[Free CF]]&lt;&gt;0,Main_M[[#This Row],[Current Price]]/Main_M[[#This Row],[Free CF]],""),"")</f>
        <v>26.356196783349098</v>
      </c>
      <c r="I74" s="1">
        <f>IF(ISNUMBER(Main_M[[#This Row],[BVPS]]),IF(Main_M[[#This Row],[BVPS]]&lt;&gt;0,Main_M[[#This Row],[Current Price]]/Main_M[[#This Row],[BVPS]],""),"")</f>
        <v>6.8710075225058569</v>
      </c>
      <c r="J74">
        <v>26.11</v>
      </c>
      <c r="K74">
        <v>14.09</v>
      </c>
      <c r="L74">
        <v>1.46</v>
      </c>
      <c r="M74" s="1">
        <f>IF(ISNUMBER(Main_M[[#This Row],[EPS]]),IF(Main_M[[#This Row],[EPS]]&lt;&gt;0,Main_M[[#This Row],[Current Price]]/Main_M[[#This Row],[EPS]],""),"")</f>
        <v>27.139308329274229</v>
      </c>
      <c r="N7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4" s="1">
        <f>(Main_M[[#This Row],[P/FCF]]-VLOOKUP(Main_M[[#This Row],[Industry]], Mean_PFCF_M, 2, FALSE))/(VLOOKUP(Main_M[[#This Row],[Industry]], Mean_PFCF_M, 3, FALSE))</f>
        <v>0.98210684605424103</v>
      </c>
      <c r="P74" s="1">
        <f>(Main_M[[#This Row],[P/B]]-VLOOKUP(Main_M[[#This Row],[Industry]], Mean_PB_M, 2, FALSE))/(VLOOKUP(Main_M[[#This Row],[Industry]], Mean_PB_M, 3, FALSE))</f>
        <v>2.3513458519197239</v>
      </c>
      <c r="Q74" s="1">
        <f>(Main_M[[#This Row],[ROE]]-VLOOKUP(Main_M[[#This Row],[Industry]], Mean_ROE_M, 2, FALSE))/(VLOOKUP(Main_M[[#This Row],[Industry]], Mean_ROE_M, 3, FALSE))</f>
        <v>2.3393688321919486</v>
      </c>
      <c r="R74" s="1">
        <f>(Main_M[[#This Row],[ROA]]-VLOOKUP(Main_M[[#This Row],[Industry]], Mean_ROA_M, 2, FALSE))/(VLOOKUP(Main_M[[#This Row],[Industry]], Mean_ROA_M, 3, FALSE))</f>
        <v>2.3491164395968784</v>
      </c>
      <c r="S74" s="1">
        <f>(Main_M[[#This Row],[A/E]]-VLOOKUP(Main_M[[#This Row],[Industry]], Mean_AE_M, 2, FALSE))/(VLOOKUP(Main_M[[#This Row],[Industry]], Mean_AE_M, 3, FALSE))</f>
        <v>-0.92266375183347626</v>
      </c>
      <c r="T74" s="1">
        <f>(Main_M[[#This Row],[P/E]]-VLOOKUP(Main_M[[#This Row],[Industry]], Mean_PE_M, 2, FALSE))/(VLOOKUP(Main_M[[#This Row],[Industry]], Mean_PE_M, 3, FALSE))</f>
        <v>6.3418637424745378E-2</v>
      </c>
      <c r="U7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5" spans="1:26" x14ac:dyDescent="0.25">
      <c r="A75" t="s">
        <v>129</v>
      </c>
      <c r="B75" t="s">
        <v>226</v>
      </c>
      <c r="C75" s="2">
        <v>5723</v>
      </c>
      <c r="D75">
        <f>RTD("tos.rtd", , "LAST", Main_M[[#This Row],[Symbol]])</f>
        <v>114.32</v>
      </c>
      <c r="E75">
        <v>1.61</v>
      </c>
      <c r="F75">
        <v>5.86</v>
      </c>
      <c r="G75">
        <v>1.7</v>
      </c>
      <c r="H75" s="1">
        <f>IF(ISNUMBER(Main_M[[#This Row],[Free CF]]),IF(Main_M[[#This Row],[Free CF]]&lt;&gt;0,Main_M[[#This Row],[Current Price]]/Main_M[[#This Row],[Free CF]],""),"")</f>
        <v>71.006211180124211</v>
      </c>
      <c r="I75" s="1">
        <f>IF(ISNUMBER(Main_M[[#This Row],[BVPS]]),IF(Main_M[[#This Row],[BVPS]]&lt;&gt;0,Main_M[[#This Row],[Current Price]]/Main_M[[#This Row],[BVPS]],""),"")</f>
        <v>19.508532423208187</v>
      </c>
      <c r="J75">
        <v>33.01</v>
      </c>
      <c r="K75">
        <v>13.99</v>
      </c>
      <c r="L75">
        <v>1.79</v>
      </c>
      <c r="M75" s="1">
        <f>IF(ISNUMBER(Main_M[[#This Row],[EPS]]),IF(Main_M[[#This Row],[EPS]]&lt;&gt;0,Main_M[[#This Row],[Current Price]]/Main_M[[#This Row],[EPS]],""),"")</f>
        <v>67.247058823529414</v>
      </c>
      <c r="N7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5" s="1">
        <f>(Main_M[[#This Row],[P/FCF]]-VLOOKUP(Main_M[[#This Row],[Industry]], Mean_PFCF_M, 2, FALSE))/(VLOOKUP(Main_M[[#This Row],[Industry]], Mean_PFCF_M, 3, FALSE))</f>
        <v>5.625920865552418</v>
      </c>
      <c r="P75" s="1">
        <f>(Main_M[[#This Row],[P/B]]-VLOOKUP(Main_M[[#This Row],[Industry]], Mean_PB_M, 2, FALSE))/(VLOOKUP(Main_M[[#This Row],[Industry]], Mean_PB_M, 3, FALSE))</f>
        <v>10.21691863366933</v>
      </c>
      <c r="Q75" s="1">
        <f>(Main_M[[#This Row],[ROE]]-VLOOKUP(Main_M[[#This Row],[Industry]], Mean_ROE_M, 2, FALSE))/(VLOOKUP(Main_M[[#This Row],[Industry]], Mean_ROE_M, 3, FALSE))</f>
        <v>3.3029724224807477</v>
      </c>
      <c r="R75" s="1">
        <f>(Main_M[[#This Row],[ROA]]-VLOOKUP(Main_M[[#This Row],[Industry]], Mean_ROA_M, 2, FALSE))/(VLOOKUP(Main_M[[#This Row],[Industry]], Mean_ROA_M, 3, FALSE))</f>
        <v>2.3213873452872549</v>
      </c>
      <c r="S75" s="1">
        <f>(Main_M[[#This Row],[A/E]]-VLOOKUP(Main_M[[#This Row],[Industry]], Mean_AE_M, 2, FALSE))/(VLOOKUP(Main_M[[#This Row],[Industry]], Mean_AE_M, 3, FALSE))</f>
        <v>-0.59381091525242158</v>
      </c>
      <c r="T75" s="1">
        <f>(Main_M[[#This Row],[P/E]]-VLOOKUP(Main_M[[#This Row],[Industry]], Mean_PE_M, 2, FALSE))/(VLOOKUP(Main_M[[#This Row],[Industry]], Mean_PE_M, 3, FALSE))</f>
        <v>1.1747226057632068</v>
      </c>
      <c r="U7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6" spans="1:26" x14ac:dyDescent="0.25">
      <c r="A76" t="s">
        <v>129</v>
      </c>
      <c r="B76" t="s">
        <v>227</v>
      </c>
      <c r="C76" s="2">
        <v>4923</v>
      </c>
      <c r="D76">
        <f>RTD("tos.rtd", , "LAST", Main_M[[#This Row],[Symbol]])</f>
        <v>41.36</v>
      </c>
      <c r="E76">
        <v>-2.4700000000000002</v>
      </c>
      <c r="F76">
        <v>-2.0299999999999998</v>
      </c>
      <c r="G76">
        <v>-3.38</v>
      </c>
      <c r="H76" s="1">
        <f>IF(ISNUMBER(Main_M[[#This Row],[Free CF]]),IF(Main_M[[#This Row],[Free CF]]&lt;&gt;0,Main_M[[#This Row],[Current Price]]/Main_M[[#This Row],[Free CF]],""),"")</f>
        <v>-16.74493927125506</v>
      </c>
      <c r="I76" s="1">
        <f>IF(ISNUMBER(Main_M[[#This Row],[BVPS]]),IF(Main_M[[#This Row],[BVPS]]&lt;&gt;0,Main_M[[#This Row],[Current Price]]/Main_M[[#This Row],[BVPS]],""),"")</f>
        <v>-20.374384236453203</v>
      </c>
      <c r="J76">
        <v>456.48</v>
      </c>
      <c r="K76">
        <v>-18.64</v>
      </c>
      <c r="L76">
        <v>-5.36</v>
      </c>
      <c r="M76" s="1">
        <f>IF(ISNUMBER(Main_M[[#This Row],[EPS]]),IF(Main_M[[#This Row],[EPS]]&lt;&gt;0,Main_M[[#This Row],[Current Price]]/Main_M[[#This Row],[EPS]],""),"")</f>
        <v>-12.236686390532544</v>
      </c>
      <c r="N7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6" s="1">
        <f>(Main_M[[#This Row],[P/FCF]]-VLOOKUP(Main_M[[#This Row],[Industry]], Mean_PFCF_M, 2, FALSE))/(VLOOKUP(Main_M[[#This Row],[Industry]], Mean_PFCF_M, 3, FALSE))</f>
        <v>-3.5006164536077944</v>
      </c>
      <c r="P76" s="1">
        <f>(Main_M[[#This Row],[P/B]]-VLOOKUP(Main_M[[#This Row],[Industry]], Mean_PB_M, 2, FALSE))/(VLOOKUP(Main_M[[#This Row],[Industry]], Mean_PB_M, 3, FALSE))</f>
        <v>-14.606137004194267</v>
      </c>
      <c r="Q76" s="1">
        <f>(Main_M[[#This Row],[ROE]]-VLOOKUP(Main_M[[#This Row],[Industry]], Mean_ROE_M, 2, FALSE))/(VLOOKUP(Main_M[[#This Row],[Industry]], Mean_ROE_M, 3, FALSE))</f>
        <v>62.44169885430653</v>
      </c>
      <c r="R76" s="1">
        <f>(Main_M[[#This Row],[ROA]]-VLOOKUP(Main_M[[#This Row],[Industry]], Mean_ROA_M, 2, FALSE))/(VLOOKUP(Main_M[[#This Row],[Industry]], Mean_ROA_M, 3, FALSE))</f>
        <v>-6.7266161279426635</v>
      </c>
      <c r="S76" s="1">
        <f>(Main_M[[#This Row],[A/E]]-VLOOKUP(Main_M[[#This Row],[Industry]], Mean_AE_M, 2, FALSE))/(VLOOKUP(Main_M[[#This Row],[Industry]], Mean_AE_M, 3, FALSE))</f>
        <v>-7.7189557078419382</v>
      </c>
      <c r="T76" s="1">
        <f>(Main_M[[#This Row],[P/E]]-VLOOKUP(Main_M[[#This Row],[Industry]], Mean_PE_M, 2, FALSE))/(VLOOKUP(Main_M[[#This Row],[Industry]], Mean_PE_M, 3, FALSE))</f>
        <v>-1.0276098707849914</v>
      </c>
      <c r="U7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7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7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7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7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7" spans="1:26" x14ac:dyDescent="0.25">
      <c r="A77" t="s">
        <v>129</v>
      </c>
      <c r="B77" t="s">
        <v>228</v>
      </c>
      <c r="C77" s="2">
        <v>2143</v>
      </c>
      <c r="D77">
        <f>RTD("tos.rtd", , "LAST", Main_M[[#This Row],[Symbol]])</f>
        <v>5.87</v>
      </c>
      <c r="E77">
        <v>0.23</v>
      </c>
      <c r="F77">
        <v>3.78</v>
      </c>
      <c r="G77">
        <v>-0.15</v>
      </c>
      <c r="H77" s="1">
        <f>IF(ISNUMBER(Main_M[[#This Row],[Free CF]]),IF(Main_M[[#This Row],[Free CF]]&lt;&gt;0,Main_M[[#This Row],[Current Price]]/Main_M[[#This Row],[Free CF]],""),"")</f>
        <v>25.521739130434781</v>
      </c>
      <c r="I77" s="1">
        <f>IF(ISNUMBER(Main_M[[#This Row],[BVPS]]),IF(Main_M[[#This Row],[BVPS]]&lt;&gt;0,Main_M[[#This Row],[Current Price]]/Main_M[[#This Row],[BVPS]],""),"")</f>
        <v>1.552910052910053</v>
      </c>
      <c r="J77">
        <v>-4</v>
      </c>
      <c r="K77">
        <v>-0.85</v>
      </c>
      <c r="L77">
        <v>1.46</v>
      </c>
      <c r="M77" s="1">
        <f>IF(ISNUMBER(Main_M[[#This Row],[EPS]]),IF(Main_M[[#This Row],[EPS]]&lt;&gt;0,Main_M[[#This Row],[Current Price]]/Main_M[[#This Row],[EPS]],""),"")</f>
        <v>-39.133333333333333</v>
      </c>
      <c r="N7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7" s="1">
        <f>(Main_M[[#This Row],[P/FCF]]-VLOOKUP(Main_M[[#This Row],[Industry]], Mean_PFCF_M, 2, FALSE))/(VLOOKUP(Main_M[[#This Row],[Industry]], Mean_PFCF_M, 3, FALSE))</f>
        <v>0.89531927835390612</v>
      </c>
      <c r="P77" s="1">
        <f>(Main_M[[#This Row],[P/B]]-VLOOKUP(Main_M[[#This Row],[Industry]], Mean_PB_M, 2, FALSE))/(VLOOKUP(Main_M[[#This Row],[Industry]], Mean_PB_M, 3, FALSE))</f>
        <v>-0.95862845366756022</v>
      </c>
      <c r="Q77" s="1">
        <f>(Main_M[[#This Row],[ROE]]-VLOOKUP(Main_M[[#This Row],[Industry]], Mean_ROE_M, 2, FALSE))/(VLOOKUP(Main_M[[#This Row],[Industry]], Mean_ROE_M, 3, FALSE))</f>
        <v>-1.865573791517581</v>
      </c>
      <c r="R77" s="1">
        <f>(Main_M[[#This Row],[ROA]]-VLOOKUP(Main_M[[#This Row],[Industry]], Mean_ROA_M, 2, FALSE))/(VLOOKUP(Main_M[[#This Row],[Industry]], Mean_ROA_M, 3, FALSE))</f>
        <v>-1.7936102502607678</v>
      </c>
      <c r="S77" s="1">
        <f>(Main_M[[#This Row],[A/E]]-VLOOKUP(Main_M[[#This Row],[Industry]], Mean_AE_M, 2, FALSE))/(VLOOKUP(Main_M[[#This Row],[Industry]], Mean_AE_M, 3, FALSE))</f>
        <v>-0.92266375183347626</v>
      </c>
      <c r="T77" s="1">
        <f>(Main_M[[#This Row],[P/E]]-VLOOKUP(Main_M[[#This Row],[Industry]], Mean_PE_M, 2, FALSE))/(VLOOKUP(Main_M[[#This Row],[Industry]], Mean_PE_M, 3, FALSE))</f>
        <v>-1.7728611031325745</v>
      </c>
      <c r="U7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7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8" spans="1:26" x14ac:dyDescent="0.25">
      <c r="A78" t="s">
        <v>129</v>
      </c>
      <c r="B78" t="s">
        <v>229</v>
      </c>
      <c r="C78" s="2">
        <v>5476</v>
      </c>
      <c r="D78">
        <f>RTD("tos.rtd", , "LAST", Main_M[[#This Row],[Symbol]])</f>
        <v>31.56</v>
      </c>
      <c r="E78">
        <v>2.04</v>
      </c>
      <c r="F78">
        <v>8.25</v>
      </c>
      <c r="G78">
        <v>1.25</v>
      </c>
      <c r="H78" s="1">
        <f>IF(ISNUMBER(Main_M[[#This Row],[Free CF]]),IF(Main_M[[#This Row],[Free CF]]&lt;&gt;0,Main_M[[#This Row],[Current Price]]/Main_M[[#This Row],[Free CF]],""),"")</f>
        <v>15.470588235294116</v>
      </c>
      <c r="I78" s="1">
        <f>IF(ISNUMBER(Main_M[[#This Row],[BVPS]]),IF(Main_M[[#This Row],[BVPS]]&lt;&gt;0,Main_M[[#This Row],[Current Price]]/Main_M[[#This Row],[BVPS]],""),"")</f>
        <v>3.8254545454545452</v>
      </c>
      <c r="J78">
        <v>15.38</v>
      </c>
      <c r="K78">
        <v>6.33</v>
      </c>
      <c r="L78">
        <v>2.4500000000000002</v>
      </c>
      <c r="M78" s="1">
        <f>IF(ISNUMBER(Main_M[[#This Row],[EPS]]),IF(Main_M[[#This Row],[EPS]]&lt;&gt;0,Main_M[[#This Row],[Current Price]]/Main_M[[#This Row],[EPS]],""),"")</f>
        <v>25.247999999999998</v>
      </c>
      <c r="N7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8" s="1">
        <f>(Main_M[[#This Row],[P/FCF]]-VLOOKUP(Main_M[[#This Row],[Industry]], Mean_PFCF_M, 2, FALSE))/(VLOOKUP(Main_M[[#This Row],[Industry]], Mean_PFCF_M, 3, FALSE))</f>
        <v>-0.1500482555548189</v>
      </c>
      <c r="P78" s="1">
        <f>(Main_M[[#This Row],[P/B]]-VLOOKUP(Main_M[[#This Row],[Industry]], Mean_PB_M, 2, FALSE))/(VLOOKUP(Main_M[[#This Row],[Industry]], Mean_PB_M, 3, FALSE))</f>
        <v>0.45579915350412048</v>
      </c>
      <c r="Q78" s="1">
        <f>(Main_M[[#This Row],[ROE]]-VLOOKUP(Main_M[[#This Row],[Industry]], Mean_ROE_M, 2, FALSE))/(VLOOKUP(Main_M[[#This Row],[Industry]], Mean_ROE_M, 3, FALSE))</f>
        <v>0.84089542294574282</v>
      </c>
      <c r="R78" s="1">
        <f>(Main_M[[#This Row],[ROA]]-VLOOKUP(Main_M[[#This Row],[Industry]], Mean_ROA_M, 2, FALSE))/(VLOOKUP(Main_M[[#This Row],[Industry]], Mean_ROA_M, 3, FALSE))</f>
        <v>0.19733872117014897</v>
      </c>
      <c r="S78" s="1">
        <f>(Main_M[[#This Row],[A/E]]-VLOOKUP(Main_M[[#This Row],[Industry]], Mean_AE_M, 2, FALSE))/(VLOOKUP(Main_M[[#This Row],[Industry]], Mean_AE_M, 3, FALSE))</f>
        <v>6.3894757909687835E-2</v>
      </c>
      <c r="T78" s="1">
        <f>(Main_M[[#This Row],[P/E]]-VLOOKUP(Main_M[[#This Row],[Industry]], Mean_PE_M, 2, FALSE))/(VLOOKUP(Main_M[[#This Row],[Industry]], Mean_PE_M, 3, FALSE))</f>
        <v>1.1014340854308404E-2</v>
      </c>
      <c r="U7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79" spans="1:26" x14ac:dyDescent="0.25">
      <c r="A79" t="s">
        <v>129</v>
      </c>
      <c r="B79" t="s">
        <v>230</v>
      </c>
      <c r="C79" s="2">
        <v>2111</v>
      </c>
      <c r="D79">
        <f>RTD("tos.rtd", , "LAST", Main_M[[#This Row],[Symbol]])</f>
        <v>22.86</v>
      </c>
      <c r="E79">
        <v>3.58</v>
      </c>
      <c r="F79">
        <v>18.739999999999998</v>
      </c>
      <c r="G79">
        <v>0.38</v>
      </c>
      <c r="H79" s="1">
        <f>IF(ISNUMBER(Main_M[[#This Row],[Free CF]]),IF(Main_M[[#This Row],[Free CF]]&lt;&gt;0,Main_M[[#This Row],[Current Price]]/Main_M[[#This Row],[Free CF]],""),"")</f>
        <v>6.3854748603351954</v>
      </c>
      <c r="I79" s="1">
        <f>IF(ISNUMBER(Main_M[[#This Row],[BVPS]]),IF(Main_M[[#This Row],[BVPS]]&lt;&gt;0,Main_M[[#This Row],[Current Price]]/Main_M[[#This Row],[BVPS]],""),"")</f>
        <v>1.2198505869797225</v>
      </c>
      <c r="J79">
        <v>2.0299999999999998</v>
      </c>
      <c r="K79">
        <v>4.0199999999999996</v>
      </c>
      <c r="L79">
        <v>1.83</v>
      </c>
      <c r="M79" s="1">
        <f>IF(ISNUMBER(Main_M[[#This Row],[EPS]]),IF(Main_M[[#This Row],[EPS]]&lt;&gt;0,Main_M[[#This Row],[Current Price]]/Main_M[[#This Row],[EPS]],""),"")</f>
        <v>60.157894736842103</v>
      </c>
      <c r="N7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79" s="1">
        <f>(Main_M[[#This Row],[P/FCF]]-VLOOKUP(Main_M[[#This Row],[Industry]], Mean_PFCF_M, 2, FALSE))/(VLOOKUP(Main_M[[#This Row],[Industry]], Mean_PFCF_M, 3, FALSE))</f>
        <v>-1.0949432892821049</v>
      </c>
      <c r="P79" s="1">
        <f>(Main_M[[#This Row],[P/B]]-VLOOKUP(Main_M[[#This Row],[Industry]], Mean_PB_M, 2, FALSE))/(VLOOKUP(Main_M[[#This Row],[Industry]], Mean_PB_M, 3, FALSE))</f>
        <v>-1.1659240665751225</v>
      </c>
      <c r="Q79" s="1">
        <f>(Main_M[[#This Row],[ROE]]-VLOOKUP(Main_M[[#This Row],[Industry]], Mean_ROE_M, 2, FALSE))/(VLOOKUP(Main_M[[#This Row],[Industry]], Mean_ROE_M, 3, FALSE))</f>
        <v>-1.0234680452217171</v>
      </c>
      <c r="R79" s="1">
        <f>(Main_M[[#This Row],[ROA]]-VLOOKUP(Main_M[[#This Row],[Industry]], Mean_ROA_M, 2, FALSE))/(VLOOKUP(Main_M[[#This Row],[Industry]], Mean_ROA_M, 3, FALSE))</f>
        <v>-0.44320335738213779</v>
      </c>
      <c r="S79" s="1">
        <f>(Main_M[[#This Row],[A/E]]-VLOOKUP(Main_M[[#This Row],[Industry]], Mean_AE_M, 2, FALSE))/(VLOOKUP(Main_M[[#This Row],[Industry]], Mean_AE_M, 3, FALSE))</f>
        <v>-0.55394996536380881</v>
      </c>
      <c r="T79" s="1">
        <f>(Main_M[[#This Row],[P/E]]-VLOOKUP(Main_M[[#This Row],[Industry]], Mean_PE_M, 2, FALSE))/(VLOOKUP(Main_M[[#This Row],[Industry]], Mean_PE_M, 3, FALSE))</f>
        <v>0.97829632693546376</v>
      </c>
      <c r="U7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7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7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7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7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7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0" spans="1:26" x14ac:dyDescent="0.25">
      <c r="A80" t="s">
        <v>129</v>
      </c>
      <c r="B80" t="s">
        <v>231</v>
      </c>
      <c r="C80" s="2">
        <v>2829</v>
      </c>
      <c r="D80">
        <f>RTD("tos.rtd", , "LAST", Main_M[[#This Row],[Symbol]])</f>
        <v>24.3</v>
      </c>
      <c r="E80">
        <v>0.92</v>
      </c>
      <c r="F80">
        <v>5.28</v>
      </c>
      <c r="G80">
        <v>0.11</v>
      </c>
      <c r="H80" s="1">
        <f>IF(ISNUMBER(Main_M[[#This Row],[Free CF]]),IF(Main_M[[#This Row],[Free CF]]&lt;&gt;0,Main_M[[#This Row],[Current Price]]/Main_M[[#This Row],[Free CF]],""),"")</f>
        <v>26.413043478260871</v>
      </c>
      <c r="I80" s="1">
        <f>IF(ISNUMBER(Main_M[[#This Row],[BVPS]]),IF(Main_M[[#This Row],[BVPS]]&lt;&gt;0,Main_M[[#This Row],[Current Price]]/Main_M[[#This Row],[BVPS]],""),"")</f>
        <v>4.6022727272727275</v>
      </c>
      <c r="J80">
        <v>2.64</v>
      </c>
      <c r="K80">
        <v>0.99</v>
      </c>
      <c r="L80">
        <v>1.79</v>
      </c>
      <c r="M80" s="1">
        <f>IF(ISNUMBER(Main_M[[#This Row],[EPS]]),IF(Main_M[[#This Row],[EPS]]&lt;&gt;0,Main_M[[#This Row],[Current Price]]/Main_M[[#This Row],[EPS]],""),"")</f>
        <v>220.90909090909091</v>
      </c>
      <c r="N8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0" s="1">
        <f>(Main_M[[#This Row],[P/FCF]]-VLOOKUP(Main_M[[#This Row],[Industry]], Mean_PFCF_M, 2, FALSE))/(VLOOKUP(Main_M[[#This Row],[Industry]], Mean_PFCF_M, 3, FALSE))</f>
        <v>0.98801917290026542</v>
      </c>
      <c r="P80" s="1">
        <f>(Main_M[[#This Row],[P/B]]-VLOOKUP(Main_M[[#This Row],[Industry]], Mean_PB_M, 2, FALSE))/(VLOOKUP(Main_M[[#This Row],[Industry]], Mean_PB_M, 3, FALSE))</f>
        <v>0.93928939350655494</v>
      </c>
      <c r="Q80" s="1">
        <f>(Main_M[[#This Row],[ROE]]-VLOOKUP(Main_M[[#This Row],[Industry]], Mean_ROE_M, 2, FALSE))/(VLOOKUP(Main_M[[#This Row],[Industry]], Mean_ROE_M, 3, FALSE))</f>
        <v>-0.93827990173241738</v>
      </c>
      <c r="R80" s="1">
        <f>(Main_M[[#This Row],[ROA]]-VLOOKUP(Main_M[[#This Row],[Industry]], Mean_ROA_M, 2, FALSE))/(VLOOKUP(Main_M[[#This Row],[Industry]], Mean_ROA_M, 3, FALSE))</f>
        <v>-1.2833949149637083</v>
      </c>
      <c r="S80" s="1">
        <f>(Main_M[[#This Row],[A/E]]-VLOOKUP(Main_M[[#This Row],[Industry]], Mean_AE_M, 2, FALSE))/(VLOOKUP(Main_M[[#This Row],[Industry]], Mean_AE_M, 3, FALSE))</f>
        <v>-0.59381091525242158</v>
      </c>
      <c r="T80" s="1">
        <f>(Main_M[[#This Row],[P/E]]-VLOOKUP(Main_M[[#This Row],[Industry]], Mean_PE_M, 2, FALSE))/(VLOOKUP(Main_M[[#This Row],[Industry]], Mean_PE_M, 3, FALSE))</f>
        <v>5.4323841284181844</v>
      </c>
      <c r="U8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1" spans="1:26" x14ac:dyDescent="0.25">
      <c r="A81" t="s">
        <v>129</v>
      </c>
      <c r="B81" t="s">
        <v>232</v>
      </c>
      <c r="C81" s="2">
        <v>4123</v>
      </c>
      <c r="D81">
        <f>RTD("tos.rtd", , "LAST", Main_M[[#This Row],[Symbol]])</f>
        <v>60.53</v>
      </c>
      <c r="E81">
        <v>0.62</v>
      </c>
      <c r="F81">
        <v>12.19</v>
      </c>
      <c r="G81">
        <v>0.04</v>
      </c>
      <c r="H81" s="1">
        <f>IF(ISNUMBER(Main_M[[#This Row],[Free CF]]),IF(Main_M[[#This Row],[Free CF]]&lt;&gt;0,Main_M[[#This Row],[Current Price]]/Main_M[[#This Row],[Free CF]],""),"")</f>
        <v>97.629032258064512</v>
      </c>
      <c r="I81" s="1">
        <f>IF(ISNUMBER(Main_M[[#This Row],[BVPS]]),IF(Main_M[[#This Row],[BVPS]]&lt;&gt;0,Main_M[[#This Row],[Current Price]]/Main_M[[#This Row],[BVPS]],""),"")</f>
        <v>4.9655455291222319</v>
      </c>
      <c r="J81">
        <v>3.99</v>
      </c>
      <c r="K81">
        <v>2.35</v>
      </c>
      <c r="L81">
        <v>3.64</v>
      </c>
      <c r="M81" s="1">
        <f>IF(ISNUMBER(Main_M[[#This Row],[EPS]]),IF(Main_M[[#This Row],[EPS]]&lt;&gt;0,Main_M[[#This Row],[Current Price]]/Main_M[[#This Row],[EPS]],""),"")</f>
        <v>1513.25</v>
      </c>
      <c r="N8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1" s="1">
        <f>(Main_M[[#This Row],[P/FCF]]-VLOOKUP(Main_M[[#This Row],[Industry]], Mean_PFCF_M, 2, FALSE))/(VLOOKUP(Main_M[[#This Row],[Industry]], Mean_PFCF_M, 3, FALSE))</f>
        <v>8.3948209752298766</v>
      </c>
      <c r="P81" s="1">
        <f>(Main_M[[#This Row],[P/B]]-VLOOKUP(Main_M[[#This Row],[Industry]], Mean_PB_M, 2, FALSE))/(VLOOKUP(Main_M[[#This Row],[Industry]], Mean_PB_M, 3, FALSE))</f>
        <v>1.1653897323805527</v>
      </c>
      <c r="Q81" s="1">
        <f>(Main_M[[#This Row],[ROE]]-VLOOKUP(Main_M[[#This Row],[Industry]], Mean_ROE_M, 2, FALSE))/(VLOOKUP(Main_M[[#This Row],[Industry]], Mean_ROE_M, 3, FALSE))</f>
        <v>-0.74974876450200012</v>
      </c>
      <c r="R81" s="1">
        <f>(Main_M[[#This Row],[ROA]]-VLOOKUP(Main_M[[#This Row],[Industry]], Mean_ROA_M, 2, FALSE))/(VLOOKUP(Main_M[[#This Row],[Industry]], Mean_ROA_M, 3, FALSE))</f>
        <v>-0.90627923235283836</v>
      </c>
      <c r="S81" s="1">
        <f>(Main_M[[#This Row],[A/E]]-VLOOKUP(Main_M[[#This Row],[Industry]], Mean_AE_M, 2, FALSE))/(VLOOKUP(Main_M[[#This Row],[Industry]], Mean_AE_M, 3, FALSE))</f>
        <v>1.2497580170959151</v>
      </c>
      <c r="T81" s="1">
        <f>(Main_M[[#This Row],[P/E]]-VLOOKUP(Main_M[[#This Row],[Industry]], Mean_PE_M, 2, FALSE))/(VLOOKUP(Main_M[[#This Row],[Industry]], Mean_PE_M, 3, FALSE))</f>
        <v>41.240515051257475</v>
      </c>
      <c r="U8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82" spans="1:26" x14ac:dyDescent="0.25">
      <c r="A82" t="s">
        <v>129</v>
      </c>
      <c r="B82" t="s">
        <v>233</v>
      </c>
      <c r="C82" s="2">
        <v>2226</v>
      </c>
      <c r="D82">
        <f>RTD("tos.rtd", , "LAST", Main_M[[#This Row],[Symbol]])</f>
        <v>26.94</v>
      </c>
      <c r="E82">
        <v>-6.12</v>
      </c>
      <c r="F82">
        <v>33.49</v>
      </c>
      <c r="G82">
        <v>2.78</v>
      </c>
      <c r="H82" s="1">
        <f>IF(ISNUMBER(Main_M[[#This Row],[Free CF]]),IF(Main_M[[#This Row],[Free CF]]&lt;&gt;0,Main_M[[#This Row],[Current Price]]/Main_M[[#This Row],[Free CF]],""),"")</f>
        <v>-4.4019607843137258</v>
      </c>
      <c r="I82" s="1">
        <f>IF(ISNUMBER(Main_M[[#This Row],[BVPS]]),IF(Main_M[[#This Row],[BVPS]]&lt;&gt;0,Main_M[[#This Row],[Current Price]]/Main_M[[#This Row],[BVPS]],""),"")</f>
        <v>0.80441922962078227</v>
      </c>
      <c r="J82">
        <v>8.6999999999999993</v>
      </c>
      <c r="K82">
        <v>5.77</v>
      </c>
      <c r="L82">
        <v>1.94</v>
      </c>
      <c r="M82" s="1">
        <f>IF(ISNUMBER(Main_M[[#This Row],[EPS]]),IF(Main_M[[#This Row],[EPS]]&lt;&gt;0,Main_M[[#This Row],[Current Price]]/Main_M[[#This Row],[EPS]],""),"")</f>
        <v>9.6906474820143895</v>
      </c>
      <c r="N8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2" s="1">
        <f>(Main_M[[#This Row],[P/FCF]]-VLOOKUP(Main_M[[#This Row],[Industry]], Mean_PFCF_M, 2, FALSE))/(VLOOKUP(Main_M[[#This Row],[Industry]], Mean_PFCF_M, 3, FALSE))</f>
        <v>-2.2168879416599361</v>
      </c>
      <c r="P82" s="1">
        <f>(Main_M[[#This Row],[P/B]]-VLOOKUP(Main_M[[#This Row],[Industry]], Mean_PB_M, 2, FALSE))/(VLOOKUP(Main_M[[#This Row],[Industry]], Mean_PB_M, 3, FALSE))</f>
        <v>-1.4244877966411402</v>
      </c>
      <c r="Q82" s="1">
        <f>(Main_M[[#This Row],[ROE]]-VLOOKUP(Main_M[[#This Row],[Industry]], Mean_ROE_M, 2, FALSE))/(VLOOKUP(Main_M[[#This Row],[Industry]], Mean_ROE_M, 3, FALSE))</f>
        <v>-9.1984574609211042E-2</v>
      </c>
      <c r="R82" s="1">
        <f>(Main_M[[#This Row],[ROA]]-VLOOKUP(Main_M[[#This Row],[Industry]], Mean_ROA_M, 2, FALSE))/(VLOOKUP(Main_M[[#This Row],[Industry]], Mean_ROA_M, 3, FALSE))</f>
        <v>4.2055793036261169E-2</v>
      </c>
      <c r="S82" s="1">
        <f>(Main_M[[#This Row],[A/E]]-VLOOKUP(Main_M[[#This Row],[Industry]], Mean_AE_M, 2, FALSE))/(VLOOKUP(Main_M[[#This Row],[Industry]], Mean_AE_M, 3, FALSE))</f>
        <v>-0.44433235317012409</v>
      </c>
      <c r="T82" s="1">
        <f>(Main_M[[#This Row],[P/E]]-VLOOKUP(Main_M[[#This Row],[Industry]], Mean_PE_M, 2, FALSE))/(VLOOKUP(Main_M[[#This Row],[Industry]], Mean_PE_M, 3, FALSE))</f>
        <v>-0.42004816893551722</v>
      </c>
      <c r="U8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3" spans="1:26" x14ac:dyDescent="0.25">
      <c r="A83" t="s">
        <v>129</v>
      </c>
      <c r="B83" t="s">
        <v>234</v>
      </c>
      <c r="C83" s="2">
        <v>2028</v>
      </c>
      <c r="D83">
        <f>RTD("tos.rtd", , "LAST", Main_M[[#This Row],[Symbol]])</f>
        <v>14.52</v>
      </c>
      <c r="E83">
        <v>0.96</v>
      </c>
      <c r="F83">
        <v>7.93</v>
      </c>
      <c r="G83">
        <v>1.58</v>
      </c>
      <c r="H83" s="1">
        <f>IF(ISNUMBER(Main_M[[#This Row],[Free CF]]),IF(Main_M[[#This Row],[Free CF]]&lt;&gt;0,Main_M[[#This Row],[Current Price]]/Main_M[[#This Row],[Free CF]],""),"")</f>
        <v>15.125</v>
      </c>
      <c r="I83" s="1">
        <f>IF(ISNUMBER(Main_M[[#This Row],[BVPS]]),IF(Main_M[[#This Row],[BVPS]]&lt;&gt;0,Main_M[[#This Row],[Current Price]]/Main_M[[#This Row],[BVPS]],""),"")</f>
        <v>1.8310214375788147</v>
      </c>
      <c r="J83">
        <v>23.01</v>
      </c>
      <c r="K83">
        <v>5.24</v>
      </c>
      <c r="L83">
        <v>4.38</v>
      </c>
      <c r="M83" s="1">
        <f>IF(ISNUMBER(Main_M[[#This Row],[EPS]]),IF(Main_M[[#This Row],[EPS]]&lt;&gt;0,Main_M[[#This Row],[Current Price]]/Main_M[[#This Row],[EPS]],""),"")</f>
        <v>9.1898734177215182</v>
      </c>
      <c r="N8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3" s="1">
        <f>(Main_M[[#This Row],[P/FCF]]-VLOOKUP(Main_M[[#This Row],[Industry]], Mean_PFCF_M, 2, FALSE))/(VLOOKUP(Main_M[[#This Row],[Industry]], Mean_PFCF_M, 3, FALSE))</f>
        <v>-0.18599107693380509</v>
      </c>
      <c r="P83" s="1">
        <f>(Main_M[[#This Row],[P/B]]-VLOOKUP(Main_M[[#This Row],[Industry]], Mean_PB_M, 2, FALSE))/(VLOOKUP(Main_M[[#This Row],[Industry]], Mean_PB_M, 3, FALSE))</f>
        <v>-0.78553242776586363</v>
      </c>
      <c r="Q83" s="1">
        <f>(Main_M[[#This Row],[ROE]]-VLOOKUP(Main_M[[#This Row],[Industry]], Mean_ROE_M, 2, FALSE))/(VLOOKUP(Main_M[[#This Row],[Industry]], Mean_ROE_M, 3, FALSE))</f>
        <v>1.9064454800332125</v>
      </c>
      <c r="R83" s="1">
        <f>(Main_M[[#This Row],[ROA]]-VLOOKUP(Main_M[[#This Row],[Industry]], Mean_ROA_M, 2, FALSE))/(VLOOKUP(Main_M[[#This Row],[Industry]], Mean_ROA_M, 3, FALSE))</f>
        <v>-0.10490840680473948</v>
      </c>
      <c r="S83" s="1">
        <f>(Main_M[[#This Row],[A/E]]-VLOOKUP(Main_M[[#This Row],[Industry]], Mean_AE_M, 2, FALSE))/(VLOOKUP(Main_M[[#This Row],[Industry]], Mean_AE_M, 3, FALSE))</f>
        <v>1.9871855900352495</v>
      </c>
      <c r="T83" s="1">
        <f>(Main_M[[#This Row],[P/E]]-VLOOKUP(Main_M[[#This Row],[Industry]], Mean_PE_M, 2, FALSE))/(VLOOKUP(Main_M[[#This Row],[Industry]], Mean_PE_M, 3, FALSE))</f>
        <v>-0.43392359695208871</v>
      </c>
      <c r="U8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4" spans="1:26" x14ac:dyDescent="0.25">
      <c r="A84" t="s">
        <v>129</v>
      </c>
      <c r="B84" t="s">
        <v>235</v>
      </c>
      <c r="C84" s="2">
        <v>2803</v>
      </c>
      <c r="D84">
        <f>RTD("tos.rtd", , "LAST", Main_M[[#This Row],[Symbol]])</f>
        <v>21.4</v>
      </c>
      <c r="E84">
        <v>1.84</v>
      </c>
      <c r="F84">
        <v>2.15</v>
      </c>
      <c r="G84">
        <v>1.46</v>
      </c>
      <c r="H84" s="1">
        <f>IF(ISNUMBER(Main_M[[#This Row],[Free CF]]),IF(Main_M[[#This Row],[Free CF]]&lt;&gt;0,Main_M[[#This Row],[Current Price]]/Main_M[[#This Row],[Free CF]],""),"")</f>
        <v>11.630434782608694</v>
      </c>
      <c r="I84" s="1">
        <f>IF(ISNUMBER(Main_M[[#This Row],[BVPS]]),IF(Main_M[[#This Row],[BVPS]]&lt;&gt;0,Main_M[[#This Row],[Current Price]]/Main_M[[#This Row],[BVPS]],""),"")</f>
        <v>9.9534883720930232</v>
      </c>
      <c r="J84">
        <v>23.29</v>
      </c>
      <c r="K84">
        <v>7.91</v>
      </c>
      <c r="L84">
        <v>9.15</v>
      </c>
      <c r="M84" s="1">
        <f>IF(ISNUMBER(Main_M[[#This Row],[EPS]]),IF(Main_M[[#This Row],[EPS]]&lt;&gt;0,Main_M[[#This Row],[Current Price]]/Main_M[[#This Row],[EPS]],""),"")</f>
        <v>14.657534246575342</v>
      </c>
      <c r="N8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4" s="1">
        <f>(Main_M[[#This Row],[P/FCF]]-VLOOKUP(Main_M[[#This Row],[Industry]], Mean_PFCF_M, 2, FALSE))/(VLOOKUP(Main_M[[#This Row],[Industry]], Mean_PFCF_M, 3, FALSE))</f>
        <v>-0.5494424927466639</v>
      </c>
      <c r="P84" s="1">
        <f>(Main_M[[#This Row],[P/B]]-VLOOKUP(Main_M[[#This Row],[Industry]], Mean_PB_M, 2, FALSE))/(VLOOKUP(Main_M[[#This Row],[Industry]], Mean_PB_M, 3, FALSE))</f>
        <v>4.2698763918223417</v>
      </c>
      <c r="Q84" s="1">
        <f>(Main_M[[#This Row],[ROE]]-VLOOKUP(Main_M[[#This Row],[Industry]], Mean_ROE_M, 2, FALSE))/(VLOOKUP(Main_M[[#This Row],[Industry]], Mean_ROE_M, 3, FALSE))</f>
        <v>1.9455482344217432</v>
      </c>
      <c r="R84" s="1">
        <f>(Main_M[[#This Row],[ROA]]-VLOOKUP(Main_M[[#This Row],[Industry]], Mean_ROA_M, 2, FALSE))/(VLOOKUP(Main_M[[#This Row],[Industry]], Mean_ROA_M, 3, FALSE))</f>
        <v>0.63545841126218916</v>
      </c>
      <c r="S84" s="1">
        <f>(Main_M[[#This Row],[A/E]]-VLOOKUP(Main_M[[#This Row],[Industry]], Mean_AE_M, 2, FALSE))/(VLOOKUP(Main_M[[#This Row],[Industry]], Mean_AE_M, 3, FALSE))</f>
        <v>6.7406038642523116</v>
      </c>
      <c r="T84" s="1">
        <f>(Main_M[[#This Row],[P/E]]-VLOOKUP(Main_M[[#This Row],[Industry]], Mean_PE_M, 2, FALSE))/(VLOOKUP(Main_M[[#This Row],[Industry]], Mean_PE_M, 3, FALSE))</f>
        <v>-0.28242586641982315</v>
      </c>
      <c r="U8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5" spans="1:26" x14ac:dyDescent="0.25">
      <c r="A85" t="s">
        <v>129</v>
      </c>
      <c r="B85" t="s">
        <v>236</v>
      </c>
      <c r="C85" s="2">
        <v>7873</v>
      </c>
      <c r="D85">
        <f>RTD("tos.rtd", , "LAST", Main_M[[#This Row],[Symbol]])</f>
        <v>143.56</v>
      </c>
      <c r="E85">
        <v>0.98</v>
      </c>
      <c r="F85">
        <v>33.729999999999997</v>
      </c>
      <c r="G85">
        <v>5.3</v>
      </c>
      <c r="H85" s="1">
        <f>IF(ISNUMBER(Main_M[[#This Row],[Free CF]]),IF(Main_M[[#This Row],[Free CF]]&lt;&gt;0,Main_M[[#This Row],[Current Price]]/Main_M[[#This Row],[Free CF]],""),"")</f>
        <v>146.48979591836735</v>
      </c>
      <c r="I85" s="1">
        <f>IF(ISNUMBER(Main_M[[#This Row],[BVPS]]),IF(Main_M[[#This Row],[BVPS]]&lt;&gt;0,Main_M[[#This Row],[Current Price]]/Main_M[[#This Row],[BVPS]],""),"")</f>
        <v>4.2561517936555004</v>
      </c>
      <c r="J85">
        <v>17.64</v>
      </c>
      <c r="K85">
        <v>5.23</v>
      </c>
      <c r="L85">
        <v>2.4700000000000002</v>
      </c>
      <c r="M85" s="1">
        <f>IF(ISNUMBER(Main_M[[#This Row],[EPS]]),IF(Main_M[[#This Row],[EPS]]&lt;&gt;0,Main_M[[#This Row],[Current Price]]/Main_M[[#This Row],[EPS]],""),"")</f>
        <v>27.086792452830188</v>
      </c>
      <c r="N8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5" s="1">
        <f>(Main_M[[#This Row],[P/FCF]]-VLOOKUP(Main_M[[#This Row],[Industry]], Mean_PFCF_M, 2, FALSE))/(VLOOKUP(Main_M[[#This Row],[Industry]], Mean_PFCF_M, 3, FALSE))</f>
        <v>13.476572960185326</v>
      </c>
      <c r="P85" s="1">
        <f>(Main_M[[#This Row],[P/B]]-VLOOKUP(Main_M[[#This Row],[Industry]], Mean_PB_M, 2, FALSE))/(VLOOKUP(Main_M[[#This Row],[Industry]], Mean_PB_M, 3, FALSE))</f>
        <v>0.72386434658916976</v>
      </c>
      <c r="Q85" s="1">
        <f>(Main_M[[#This Row],[ROE]]-VLOOKUP(Main_M[[#This Row],[Industry]], Mean_ROE_M, 2, FALSE))/(VLOOKUP(Main_M[[#This Row],[Industry]], Mean_ROE_M, 3, FALSE))</f>
        <v>1.1565105119388859</v>
      </c>
      <c r="R85" s="1">
        <f>(Main_M[[#This Row],[ROA]]-VLOOKUP(Main_M[[#This Row],[Industry]], Mean_ROA_M, 2, FALSE))/(VLOOKUP(Main_M[[#This Row],[Industry]], Mean_ROA_M, 3, FALSE))</f>
        <v>-0.10768131623570171</v>
      </c>
      <c r="S85" s="1">
        <f>(Main_M[[#This Row],[A/E]]-VLOOKUP(Main_M[[#This Row],[Industry]], Mean_AE_M, 2, FALSE))/(VLOOKUP(Main_M[[#This Row],[Industry]], Mean_AE_M, 3, FALSE))</f>
        <v>8.3825232853994194E-2</v>
      </c>
      <c r="T85" s="1">
        <f>(Main_M[[#This Row],[P/E]]-VLOOKUP(Main_M[[#This Row],[Industry]], Mean_PE_M, 2, FALSE))/(VLOOKUP(Main_M[[#This Row],[Industry]], Mean_PE_M, 3, FALSE))</f>
        <v>6.1963529592123499E-2</v>
      </c>
      <c r="U8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6" spans="1:26" x14ac:dyDescent="0.25">
      <c r="A86" t="s">
        <v>129</v>
      </c>
      <c r="B86" t="s">
        <v>237</v>
      </c>
      <c r="C86" s="2">
        <v>2969</v>
      </c>
      <c r="D86">
        <f>RTD("tos.rtd", , "LAST", Main_M[[#This Row],[Symbol]])</f>
        <v>22.93</v>
      </c>
      <c r="E86">
        <v>1.66</v>
      </c>
      <c r="F86">
        <v>14.18</v>
      </c>
      <c r="G86">
        <v>-1.33</v>
      </c>
      <c r="H86" s="1">
        <f>IF(ISNUMBER(Main_M[[#This Row],[Free CF]]),IF(Main_M[[#This Row],[Free CF]]&lt;&gt;0,Main_M[[#This Row],[Current Price]]/Main_M[[#This Row],[Free CF]],""),"")</f>
        <v>13.813253012048193</v>
      </c>
      <c r="I86" s="1">
        <f>IF(ISNUMBER(Main_M[[#This Row],[BVPS]]),IF(Main_M[[#This Row],[BVPS]]&lt;&gt;0,Main_M[[#This Row],[Current Price]]/Main_M[[#This Row],[BVPS]],""),"")</f>
        <v>1.6170662905500706</v>
      </c>
      <c r="J86">
        <v>0.36</v>
      </c>
      <c r="K86">
        <v>4.01</v>
      </c>
      <c r="L86">
        <v>4.41</v>
      </c>
      <c r="M86" s="1">
        <f>IF(ISNUMBER(Main_M[[#This Row],[EPS]]),IF(Main_M[[#This Row],[EPS]]&lt;&gt;0,Main_M[[#This Row],[Current Price]]/Main_M[[#This Row],[EPS]],""),"")</f>
        <v>-17.240601503759397</v>
      </c>
      <c r="N8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6" s="1">
        <f>(Main_M[[#This Row],[P/FCF]]-VLOOKUP(Main_M[[#This Row],[Industry]], Mean_PFCF_M, 2, FALSE))/(VLOOKUP(Main_M[[#This Row],[Industry]], Mean_PFCF_M, 3, FALSE))</f>
        <v>-0.3224190072487631</v>
      </c>
      <c r="P86" s="1">
        <f>(Main_M[[#This Row],[P/B]]-VLOOKUP(Main_M[[#This Row],[Industry]], Mean_PB_M, 2, FALSE))/(VLOOKUP(Main_M[[#This Row],[Industry]], Mean_PB_M, 3, FALSE))</f>
        <v>-0.91869772668377114</v>
      </c>
      <c r="Q86" s="1">
        <f>(Main_M[[#This Row],[ROE]]-VLOOKUP(Main_M[[#This Row],[Industry]], Mean_ROE_M, 2, FALSE))/(VLOOKUP(Main_M[[#This Row],[Industry]], Mean_ROE_M, 3, FALSE))</f>
        <v>-1.2566880446104556</v>
      </c>
      <c r="R86" s="1">
        <f>(Main_M[[#This Row],[ROA]]-VLOOKUP(Main_M[[#This Row],[Industry]], Mean_ROA_M, 2, FALSE))/(VLOOKUP(Main_M[[#This Row],[Industry]], Mean_ROA_M, 3, FALSE))</f>
        <v>-0.44597626681309999</v>
      </c>
      <c r="S86" s="1">
        <f>(Main_M[[#This Row],[A/E]]-VLOOKUP(Main_M[[#This Row],[Industry]], Mean_AE_M, 2, FALSE))/(VLOOKUP(Main_M[[#This Row],[Industry]], Mean_AE_M, 3, FALSE))</f>
        <v>2.0170813024517091</v>
      </c>
      <c r="T86" s="1">
        <f>(Main_M[[#This Row],[P/E]]-VLOOKUP(Main_M[[#This Row],[Industry]], Mean_PE_M, 2, FALSE))/(VLOOKUP(Main_M[[#This Row],[Industry]], Mean_PE_M, 3, FALSE))</f>
        <v>-1.1662581533246545</v>
      </c>
      <c r="U8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7" spans="1:26" x14ac:dyDescent="0.25">
      <c r="A87" t="s">
        <v>129</v>
      </c>
      <c r="B87" t="s">
        <v>238</v>
      </c>
      <c r="C87" s="2">
        <v>3071</v>
      </c>
      <c r="D87">
        <f>RTD("tos.rtd", , "LAST", Main_M[[#This Row],[Symbol]])</f>
        <v>14.05</v>
      </c>
      <c r="E87">
        <v>0.1</v>
      </c>
      <c r="F87">
        <v>0.55000000000000004</v>
      </c>
      <c r="G87">
        <v>-0.47</v>
      </c>
      <c r="H87" s="1">
        <f>IF(ISNUMBER(Main_M[[#This Row],[Free CF]]),IF(Main_M[[#This Row],[Free CF]]&lt;&gt;0,Main_M[[#This Row],[Current Price]]/Main_M[[#This Row],[Free CF]],""),"")</f>
        <v>140.5</v>
      </c>
      <c r="I87" s="1">
        <f>IF(ISNUMBER(Main_M[[#This Row],[BVPS]]),IF(Main_M[[#This Row],[BVPS]]&lt;&gt;0,Main_M[[#This Row],[Current Price]]/Main_M[[#This Row],[BVPS]],""),"")</f>
        <v>25.545454545454543</v>
      </c>
      <c r="J87">
        <v>-75.39</v>
      </c>
      <c r="K87">
        <v>-5.0599999999999996</v>
      </c>
      <c r="L87">
        <v>8.2799999999999994</v>
      </c>
      <c r="M87" s="1">
        <f>IF(ISNUMBER(Main_M[[#This Row],[EPS]]),IF(Main_M[[#This Row],[EPS]]&lt;&gt;0,Main_M[[#This Row],[Current Price]]/Main_M[[#This Row],[EPS]],""),"")</f>
        <v>-29.893617021276597</v>
      </c>
      <c r="N8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7" s="1">
        <f>(Main_M[[#This Row],[P/FCF]]-VLOOKUP(Main_M[[#This Row],[Industry]], Mean_PFCF_M, 2, FALSE))/(VLOOKUP(Main_M[[#This Row],[Industry]], Mean_PFCF_M, 3, FALSE))</f>
        <v>12.853605674834212</v>
      </c>
      <c r="P87" s="1">
        <f>(Main_M[[#This Row],[P/B]]-VLOOKUP(Main_M[[#This Row],[Industry]], Mean_PB_M, 2, FALSE))/(VLOOKUP(Main_M[[#This Row],[Industry]], Mean_PB_M, 3, FALSE))</f>
        <v>13.974288110950765</v>
      </c>
      <c r="Q87" s="1">
        <f>(Main_M[[#This Row],[ROE]]-VLOOKUP(Main_M[[#This Row],[Industry]], Mean_ROE_M, 2, FALSE))/(VLOOKUP(Main_M[[#This Row],[Industry]], Mean_ROE_M, 3, FALSE))</f>
        <v>-11.835379633650536</v>
      </c>
      <c r="R87" s="1">
        <f>(Main_M[[#This Row],[ROA]]-VLOOKUP(Main_M[[#This Row],[Industry]], Mean_ROA_M, 2, FALSE))/(VLOOKUP(Main_M[[#This Row],[Industry]], Mean_ROA_M, 3, FALSE))</f>
        <v>-2.9610051206958876</v>
      </c>
      <c r="S87" s="1">
        <f>(Main_M[[#This Row],[A/E]]-VLOOKUP(Main_M[[#This Row],[Industry]], Mean_AE_M, 2, FALSE))/(VLOOKUP(Main_M[[#This Row],[Industry]], Mean_AE_M, 3, FALSE))</f>
        <v>5.8736282041749854</v>
      </c>
      <c r="T87" s="1">
        <f>(Main_M[[#This Row],[P/E]]-VLOOKUP(Main_M[[#This Row],[Industry]], Mean_PE_M, 2, FALSE))/(VLOOKUP(Main_M[[#This Row],[Industry]], Mean_PE_M, 3, FALSE))</f>
        <v>-1.5168474080892433</v>
      </c>
      <c r="U8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8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8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8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8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8" spans="1:26" x14ac:dyDescent="0.25">
      <c r="A88" t="s">
        <v>129</v>
      </c>
      <c r="B88" t="s">
        <v>239</v>
      </c>
      <c r="C88" s="2">
        <v>7933</v>
      </c>
      <c r="D88">
        <f>RTD("tos.rtd", , "LAST", Main_M[[#This Row],[Symbol]])</f>
        <v>96.99</v>
      </c>
      <c r="E88">
        <v>-1.91</v>
      </c>
      <c r="F88">
        <v>24.44</v>
      </c>
      <c r="G88">
        <v>1.0900000000000001</v>
      </c>
      <c r="H88" s="1">
        <f>IF(ISNUMBER(Main_M[[#This Row],[Free CF]]),IF(Main_M[[#This Row],[Free CF]]&lt;&gt;0,Main_M[[#This Row],[Current Price]]/Main_M[[#This Row],[Free CF]],""),"")</f>
        <v>-50.780104712041883</v>
      </c>
      <c r="I88" s="1">
        <f>IF(ISNUMBER(Main_M[[#This Row],[BVPS]]),IF(Main_M[[#This Row],[BVPS]]&lt;&gt;0,Main_M[[#This Row],[Current Price]]/Main_M[[#This Row],[BVPS]],""),"")</f>
        <v>3.9684942716857607</v>
      </c>
      <c r="J88">
        <v>4.66</v>
      </c>
      <c r="K88">
        <v>3.84</v>
      </c>
      <c r="L88">
        <v>1.63</v>
      </c>
      <c r="M88" s="1">
        <f>IF(ISNUMBER(Main_M[[#This Row],[EPS]]),IF(Main_M[[#This Row],[EPS]]&lt;&gt;0,Main_M[[#This Row],[Current Price]]/Main_M[[#This Row],[EPS]],""),"")</f>
        <v>88.981651376146772</v>
      </c>
      <c r="N8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8" s="1">
        <f>(Main_M[[#This Row],[P/FCF]]-VLOOKUP(Main_M[[#This Row],[Industry]], Mean_PFCF_M, 2, FALSE))/(VLOOKUP(Main_M[[#This Row],[Industry]], Mean_PFCF_M, 3, FALSE))</f>
        <v>-7.0404356578157383</v>
      </c>
      <c r="P88" s="1">
        <f>(Main_M[[#This Row],[P/B]]-VLOOKUP(Main_M[[#This Row],[Industry]], Mean_PB_M, 2, FALSE))/(VLOOKUP(Main_M[[#This Row],[Industry]], Mean_PB_M, 3, FALSE))</f>
        <v>0.54482682199090127</v>
      </c>
      <c r="Q88" s="1">
        <f>(Main_M[[#This Row],[ROE]]-VLOOKUP(Main_M[[#This Row],[Industry]], Mean_ROE_M, 2, FALSE))/(VLOOKUP(Main_M[[#This Row],[Industry]], Mean_ROE_M, 3, FALSE))</f>
        <v>-0.6561814593580152</v>
      </c>
      <c r="R88" s="1">
        <f>(Main_M[[#This Row],[ROA]]-VLOOKUP(Main_M[[#This Row],[Industry]], Mean_ROA_M, 2, FALSE))/(VLOOKUP(Main_M[[#This Row],[Industry]], Mean_ROA_M, 3, FALSE))</f>
        <v>-0.49311572713945873</v>
      </c>
      <c r="S88" s="1">
        <f>(Main_M[[#This Row],[A/E]]-VLOOKUP(Main_M[[#This Row],[Industry]], Mean_AE_M, 2, FALSE))/(VLOOKUP(Main_M[[#This Row],[Industry]], Mean_AE_M, 3, FALSE))</f>
        <v>-0.75325471480687245</v>
      </c>
      <c r="T88" s="1">
        <f>(Main_M[[#This Row],[P/E]]-VLOOKUP(Main_M[[#This Row],[Industry]], Mean_PE_M, 2, FALSE))/(VLOOKUP(Main_M[[#This Row],[Industry]], Mean_PE_M, 3, FALSE))</f>
        <v>1.7769438387242249</v>
      </c>
      <c r="U8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8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89" spans="1:26" x14ac:dyDescent="0.25">
      <c r="A89" t="s">
        <v>129</v>
      </c>
      <c r="B89" t="s">
        <v>240</v>
      </c>
      <c r="C89" s="2">
        <v>2006</v>
      </c>
      <c r="D89">
        <f>RTD("tos.rtd", , "LAST", Main_M[[#This Row],[Symbol]])</f>
        <v>21.68</v>
      </c>
      <c r="E89">
        <v>1.9</v>
      </c>
      <c r="F89">
        <v>4.9800000000000004</v>
      </c>
      <c r="G89">
        <v>0.56999999999999995</v>
      </c>
      <c r="H89" s="1">
        <f>IF(ISNUMBER(Main_M[[#This Row],[Free CF]]),IF(Main_M[[#This Row],[Free CF]]&lt;&gt;0,Main_M[[#This Row],[Current Price]]/Main_M[[#This Row],[Free CF]],""),"")</f>
        <v>11.410526315789474</v>
      </c>
      <c r="I89" s="1">
        <f>IF(ISNUMBER(Main_M[[#This Row],[BVPS]]),IF(Main_M[[#This Row],[BVPS]]&lt;&gt;0,Main_M[[#This Row],[Current Price]]/Main_M[[#This Row],[BVPS]],""),"")</f>
        <v>4.3534136546184738</v>
      </c>
      <c r="J89">
        <v>11.14</v>
      </c>
      <c r="K89">
        <v>6.18</v>
      </c>
      <c r="L89">
        <v>1.44</v>
      </c>
      <c r="M89" s="1">
        <f>IF(ISNUMBER(Main_M[[#This Row],[EPS]]),IF(Main_M[[#This Row],[EPS]]&lt;&gt;0,Main_M[[#This Row],[Current Price]]/Main_M[[#This Row],[EPS]],""),"")</f>
        <v>38.035087719298247</v>
      </c>
      <c r="N8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89" s="1">
        <f>(Main_M[[#This Row],[P/FCF]]-VLOOKUP(Main_M[[#This Row],[Industry]], Mean_PFCF_M, 2, FALSE))/(VLOOKUP(Main_M[[#This Row],[Industry]], Mean_PFCF_M, 3, FALSE))</f>
        <v>-0.5723140200018757</v>
      </c>
      <c r="P89" s="1">
        <f>(Main_M[[#This Row],[P/B]]-VLOOKUP(Main_M[[#This Row],[Industry]], Mean_PB_M, 2, FALSE))/(VLOOKUP(Main_M[[#This Row],[Industry]], Mean_PB_M, 3, FALSE))</f>
        <v>0.78439995402050799</v>
      </c>
      <c r="Q89" s="1">
        <f>(Main_M[[#This Row],[ROE]]-VLOOKUP(Main_M[[#This Row],[Industry]], Mean_ROE_M, 2, FALSE))/(VLOOKUP(Main_M[[#This Row],[Industry]], Mean_ROE_M, 3, FALSE))</f>
        <v>0.24876799934798779</v>
      </c>
      <c r="R89" s="1">
        <f>(Main_M[[#This Row],[ROA]]-VLOOKUP(Main_M[[#This Row],[Industry]], Mean_ROA_M, 2, FALSE))/(VLOOKUP(Main_M[[#This Row],[Industry]], Mean_ROA_M, 3, FALSE))</f>
        <v>0.15574507970571469</v>
      </c>
      <c r="S89" s="1">
        <f>(Main_M[[#This Row],[A/E]]-VLOOKUP(Main_M[[#This Row],[Industry]], Mean_AE_M, 2, FALSE))/(VLOOKUP(Main_M[[#This Row],[Industry]], Mean_AE_M, 3, FALSE))</f>
        <v>-0.9425942267777826</v>
      </c>
      <c r="T89" s="1">
        <f>(Main_M[[#This Row],[P/E]]-VLOOKUP(Main_M[[#This Row],[Industry]], Mean_PE_M, 2, FALSE))/(VLOOKUP(Main_M[[#This Row],[Industry]], Mean_PE_M, 3, FALSE))</f>
        <v>0.36531846289634518</v>
      </c>
      <c r="U8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8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8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8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8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8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0" spans="1:26" x14ac:dyDescent="0.25">
      <c r="A90" t="s">
        <v>149</v>
      </c>
      <c r="B90" t="s">
        <v>241</v>
      </c>
      <c r="C90" s="2">
        <v>7099</v>
      </c>
      <c r="D90">
        <f>RTD("tos.rtd", , "LAST", Main_M[[#This Row],[Symbol]])</f>
        <v>39.11</v>
      </c>
      <c r="E90">
        <v>1.21</v>
      </c>
      <c r="F90">
        <v>18.07</v>
      </c>
      <c r="G90">
        <v>0.15</v>
      </c>
      <c r="H90" s="1">
        <f>IF(ISNUMBER(Main_M[[#This Row],[Free CF]]),IF(Main_M[[#This Row],[Free CF]]&lt;&gt;0,Main_M[[#This Row],[Current Price]]/Main_M[[#This Row],[Free CF]],""),"")</f>
        <v>32.32231404958678</v>
      </c>
      <c r="I90" s="1">
        <f>IF(ISNUMBER(Main_M[[#This Row],[BVPS]]),IF(Main_M[[#This Row],[BVPS]]&lt;&gt;0,Main_M[[#This Row],[Current Price]]/Main_M[[#This Row],[BVPS]],""),"")</f>
        <v>2.164360819037078</v>
      </c>
      <c r="J90">
        <v>1.01</v>
      </c>
      <c r="K90">
        <v>2.33</v>
      </c>
      <c r="L90">
        <v>1.48</v>
      </c>
      <c r="M90" s="1">
        <f>IF(ISNUMBER(Main_M[[#This Row],[EPS]]),IF(Main_M[[#This Row],[EPS]]&lt;&gt;0,Main_M[[#This Row],[Current Price]]/Main_M[[#This Row],[EPS]],""),"")</f>
        <v>260.73333333333335</v>
      </c>
      <c r="N9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0" s="1" t="e">
        <f>(Main_M[[#This Row],[P/FCF]]-VLOOKUP(Main_M[[#This Row],[Industry]], Mean_PFCF_M, 2, FALSE))/(VLOOKUP(Main_M[[#This Row],[Industry]], Mean_PFCF_M, 3, FALSE))</f>
        <v>#DIV/0!</v>
      </c>
      <c r="P90" s="1" t="e">
        <f>(Main_M[[#This Row],[P/B]]-VLOOKUP(Main_M[[#This Row],[Industry]], Mean_PB_M, 2, FALSE))/(VLOOKUP(Main_M[[#This Row],[Industry]], Mean_PB_M, 3, FALSE))</f>
        <v>#DIV/0!</v>
      </c>
      <c r="Q90" s="1" t="e">
        <f>(Main_M[[#This Row],[ROE]]-VLOOKUP(Main_M[[#This Row],[Industry]], Mean_ROE_M, 2, FALSE))/(VLOOKUP(Main_M[[#This Row],[Industry]], Mean_ROE_M, 3, FALSE))</f>
        <v>#DIV/0!</v>
      </c>
      <c r="R90" s="1" t="e">
        <f>(Main_M[[#This Row],[ROA]]-VLOOKUP(Main_M[[#This Row],[Industry]], Mean_ROA_M, 2, FALSE))/(VLOOKUP(Main_M[[#This Row],[Industry]], Mean_ROA_M, 3, FALSE))</f>
        <v>#DIV/0!</v>
      </c>
      <c r="S90" s="1" t="e">
        <f>(Main_M[[#This Row],[A/E]]-VLOOKUP(Main_M[[#This Row],[Industry]], Mean_AE_M, 2, FALSE))/(VLOOKUP(Main_M[[#This Row],[Industry]], Mean_AE_M, 3, FALSE))</f>
        <v>#DIV/0!</v>
      </c>
      <c r="T90" s="1" t="e">
        <f>(Main_M[[#This Row],[P/E]]-VLOOKUP(Main_M[[#This Row],[Industry]], Mean_PE_M, 2, FALSE))/(VLOOKUP(Main_M[[#This Row],[Industry]], Mean_PE_M, 3, FALSE))</f>
        <v>#DIV/0!</v>
      </c>
      <c r="U9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1" spans="1:26" x14ac:dyDescent="0.25">
      <c r="A91" t="s">
        <v>191</v>
      </c>
      <c r="B91" t="s">
        <v>304</v>
      </c>
      <c r="C91" s="2">
        <v>8136</v>
      </c>
      <c r="D91">
        <f>RTD("tos.rtd", , "LAST", Main_M[[#This Row],[Symbol]])</f>
        <v>13.3</v>
      </c>
      <c r="E91">
        <v>0.98</v>
      </c>
      <c r="F91">
        <v>8.9499999999999993</v>
      </c>
      <c r="G91">
        <v>1.04</v>
      </c>
      <c r="H91" s="1">
        <f>IF(ISNUMBER(Main_M[[#This Row],[Free CF]]),IF(Main_M[[#This Row],[Free CF]]&lt;&gt;0,Main_M[[#This Row],[Current Price]]/Main_M[[#This Row],[Free CF]],""),"")</f>
        <v>13.571428571428573</v>
      </c>
      <c r="I91" s="1">
        <f>IF(ISNUMBER(Main_M[[#This Row],[BVPS]]),IF(Main_M[[#This Row],[BVPS]]&lt;&gt;0,Main_M[[#This Row],[Current Price]]/Main_M[[#This Row],[BVPS]],""),"")</f>
        <v>1.4860335195530727</v>
      </c>
      <c r="J91">
        <v>12.52</v>
      </c>
      <c r="K91">
        <v>3.53</v>
      </c>
      <c r="L91">
        <v>2.02</v>
      </c>
      <c r="M91" s="1">
        <f>IF(ISNUMBER(Main_M[[#This Row],[EPS]]),IF(Main_M[[#This Row],[EPS]]&lt;&gt;0,Main_M[[#This Row],[Current Price]]/Main_M[[#This Row],[EPS]],""),"")</f>
        <v>12.788461538461538</v>
      </c>
      <c r="N9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1" s="1">
        <f>(Main_M[[#This Row],[P/FCF]]-VLOOKUP(Main_M[[#This Row],[Industry]], Mean_PFCF_M, 2, FALSE))/(VLOOKUP(Main_M[[#This Row],[Industry]], Mean_PFCF_M, 3, FALSE))</f>
        <v>-0.98393264727986018</v>
      </c>
      <c r="P91" s="1">
        <f>(Main_M[[#This Row],[P/B]]-VLOOKUP(Main_M[[#This Row],[Industry]], Mean_PB_M, 2, FALSE))/(VLOOKUP(Main_M[[#This Row],[Industry]], Mean_PB_M, 3, FALSE))</f>
        <v>-1.1654423188836225</v>
      </c>
      <c r="Q91" s="1">
        <f>(Main_M[[#This Row],[ROE]]-VLOOKUP(Main_M[[#This Row],[Industry]], Mean_ROE_M, 2, FALSE))/(VLOOKUP(Main_M[[#This Row],[Industry]], Mean_ROE_M, 3, FALSE))</f>
        <v>0.87146984302283725</v>
      </c>
      <c r="R91" s="1">
        <f>(Main_M[[#This Row],[ROA]]-VLOOKUP(Main_M[[#This Row],[Industry]], Mean_ROA_M, 2, FALSE))/(VLOOKUP(Main_M[[#This Row],[Industry]], Mean_ROA_M, 3, FALSE))</f>
        <v>-0.62289404574091711</v>
      </c>
      <c r="S91" s="1">
        <f>(Main_M[[#This Row],[A/E]]-VLOOKUP(Main_M[[#This Row],[Industry]], Mean_AE_M, 2, FALSE))/(VLOOKUP(Main_M[[#This Row],[Industry]], Mean_AE_M, 3, FALSE))</f>
        <v>2.0433836947639575E-2</v>
      </c>
      <c r="T91" s="1">
        <f>(Main_M[[#This Row],[P/E]]-VLOOKUP(Main_M[[#This Row],[Industry]], Mean_PE_M, 2, FALSE))/(VLOOKUP(Main_M[[#This Row],[Industry]], Mean_PE_M, 3, FALSE))</f>
        <v>-0.9195665543536079</v>
      </c>
      <c r="U9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2" spans="1:26" x14ac:dyDescent="0.25">
      <c r="A92" t="s">
        <v>191</v>
      </c>
      <c r="B92" t="s">
        <v>305</v>
      </c>
      <c r="C92" s="2">
        <v>6328</v>
      </c>
      <c r="D92">
        <f>RTD("tos.rtd", , "LAST", Main_M[[#This Row],[Symbol]])</f>
        <v>253.15</v>
      </c>
      <c r="E92">
        <v>11.83</v>
      </c>
      <c r="F92">
        <v>241.72</v>
      </c>
      <c r="G92">
        <v>-77.099999999999994</v>
      </c>
      <c r="H92" s="1">
        <f>IF(ISNUMBER(Main_M[[#This Row],[Free CF]]),IF(Main_M[[#This Row],[Free CF]]&lt;&gt;0,Main_M[[#This Row],[Current Price]]/Main_M[[#This Row],[Free CF]],""),"")</f>
        <v>21.398985629754861</v>
      </c>
      <c r="I92" s="1">
        <f>IF(ISNUMBER(Main_M[[#This Row],[BVPS]]),IF(Main_M[[#This Row],[BVPS]]&lt;&gt;0,Main_M[[#This Row],[Current Price]]/Main_M[[#This Row],[BVPS]],""),"")</f>
        <v>1.0472861161674665</v>
      </c>
      <c r="J92">
        <v>-27.52</v>
      </c>
      <c r="K92">
        <v>1.55</v>
      </c>
      <c r="L92">
        <v>1.43</v>
      </c>
      <c r="M92" s="1">
        <f>IF(ISNUMBER(Main_M[[#This Row],[EPS]]),IF(Main_M[[#This Row],[EPS]]&lt;&gt;0,Main_M[[#This Row],[Current Price]]/Main_M[[#This Row],[EPS]],""),"")</f>
        <v>-3.2833981841763946</v>
      </c>
      <c r="N9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2" s="1">
        <f>(Main_M[[#This Row],[P/FCF]]-VLOOKUP(Main_M[[#This Row],[Industry]], Mean_PFCF_M, 2, FALSE))/(VLOOKUP(Main_M[[#This Row],[Industry]], Mean_PFCF_M, 3, FALSE))</f>
        <v>-0.47824631500441839</v>
      </c>
      <c r="P92" s="1">
        <f>(Main_M[[#This Row],[P/B]]-VLOOKUP(Main_M[[#This Row],[Industry]], Mean_PB_M, 2, FALSE))/(VLOOKUP(Main_M[[#This Row],[Industry]], Mean_PB_M, 3, FALSE))</f>
        <v>-1.5425031841055399</v>
      </c>
      <c r="Q92" s="1">
        <f>(Main_M[[#This Row],[ROE]]-VLOOKUP(Main_M[[#This Row],[Industry]], Mean_ROE_M, 2, FALSE))/(VLOOKUP(Main_M[[#This Row],[Industry]], Mean_ROE_M, 3, FALSE))</f>
        <v>-2.526573006850263</v>
      </c>
      <c r="R92" s="1">
        <f>(Main_M[[#This Row],[ROA]]-VLOOKUP(Main_M[[#This Row],[Industry]], Mean_ROA_M, 2, FALSE))/(VLOOKUP(Main_M[[#This Row],[Industry]], Mean_ROA_M, 3, FALSE))</f>
        <v>-1.8059446074358965</v>
      </c>
      <c r="S92" s="1">
        <f>(Main_M[[#This Row],[A/E]]-VLOOKUP(Main_M[[#This Row],[Industry]], Mean_AE_M, 2, FALSE))/(VLOOKUP(Main_M[[#This Row],[Industry]], Mean_AE_M, 3, FALSE))</f>
        <v>-0.81420981068286713</v>
      </c>
      <c r="T92" s="1">
        <f>(Main_M[[#This Row],[P/E]]-VLOOKUP(Main_M[[#This Row],[Industry]], Mean_PE_M, 2, FALSE))/(VLOOKUP(Main_M[[#This Row],[Industry]], Mean_PE_M, 3, FALSE))</f>
        <v>-1.2605697551286243</v>
      </c>
      <c r="U9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3" spans="1:26" x14ac:dyDescent="0.25">
      <c r="A93" t="s">
        <v>191</v>
      </c>
      <c r="B93" t="s">
        <v>306</v>
      </c>
      <c r="C93" s="2">
        <v>6176</v>
      </c>
      <c r="D93">
        <f>RTD("tos.rtd", , "LAST", Main_M[[#This Row],[Symbol]])</f>
        <v>38.74</v>
      </c>
      <c r="E93">
        <v>0.91</v>
      </c>
      <c r="F93">
        <v>11.74</v>
      </c>
      <c r="G93">
        <v>0.76</v>
      </c>
      <c r="H93" s="1">
        <f>IF(ISNUMBER(Main_M[[#This Row],[Free CF]]),IF(Main_M[[#This Row],[Free CF]]&lt;&gt;0,Main_M[[#This Row],[Current Price]]/Main_M[[#This Row],[Free CF]],""),"")</f>
        <v>42.571428571428569</v>
      </c>
      <c r="I93" s="1">
        <f>IF(ISNUMBER(Main_M[[#This Row],[BVPS]]),IF(Main_M[[#This Row],[BVPS]]&lt;&gt;0,Main_M[[#This Row],[Current Price]]/Main_M[[#This Row],[BVPS]],""),"")</f>
        <v>3.2998296422487225</v>
      </c>
      <c r="J93">
        <v>7.05</v>
      </c>
      <c r="K93">
        <v>5.0999999999999996</v>
      </c>
      <c r="L93">
        <v>3.26</v>
      </c>
      <c r="M93" s="1">
        <f>IF(ISNUMBER(Main_M[[#This Row],[EPS]]),IF(Main_M[[#This Row],[EPS]]&lt;&gt;0,Main_M[[#This Row],[Current Price]]/Main_M[[#This Row],[EPS]],""),"")</f>
        <v>50.973684210526315</v>
      </c>
      <c r="N9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3" s="1">
        <f>(Main_M[[#This Row],[P/FCF]]-VLOOKUP(Main_M[[#This Row],[Industry]], Mean_PFCF_M, 2, FALSE))/(VLOOKUP(Main_M[[#This Row],[Industry]], Mean_PFCF_M, 3, FALSE))</f>
        <v>0.8895642211190149</v>
      </c>
      <c r="P93" s="1">
        <f>(Main_M[[#This Row],[P/B]]-VLOOKUP(Main_M[[#This Row],[Industry]], Mean_PB_M, 2, FALSE))/(VLOOKUP(Main_M[[#This Row],[Industry]], Mean_PB_M, 3, FALSE))</f>
        <v>0.39333963647920994</v>
      </c>
      <c r="Q93" s="1">
        <f>(Main_M[[#This Row],[ROE]]-VLOOKUP(Main_M[[#This Row],[Industry]], Mean_ROE_M, 2, FALSE))/(VLOOKUP(Main_M[[#This Row],[Industry]], Mean_ROE_M, 3, FALSE))</f>
        <v>0.40725170144426925</v>
      </c>
      <c r="R93" s="1">
        <f>(Main_M[[#This Row],[ROA]]-VLOOKUP(Main_M[[#This Row],[Industry]], Mean_ROA_M, 2, FALSE))/(VLOOKUP(Main_M[[#This Row],[Industry]], Mean_ROA_M, 3, FALSE))</f>
        <v>0.31518139964348557</v>
      </c>
      <c r="S93" s="1">
        <f>(Main_M[[#This Row],[A/E]]-VLOOKUP(Main_M[[#This Row],[Industry]], Mean_AE_M, 2, FALSE))/(VLOOKUP(Main_M[[#This Row],[Industry]], Mean_AE_M, 3, FALSE))</f>
        <v>1.7746001472219244</v>
      </c>
      <c r="T93" s="1">
        <f>(Main_M[[#This Row],[P/E]]-VLOOKUP(Main_M[[#This Row],[Industry]], Mean_PE_M, 2, FALSE))/(VLOOKUP(Main_M[[#This Row],[Industry]], Mean_PE_M, 3, FALSE))</f>
        <v>-0.10937511551596339</v>
      </c>
      <c r="U9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4" spans="1:26" x14ac:dyDescent="0.25">
      <c r="A94" t="s">
        <v>191</v>
      </c>
      <c r="B94" t="s">
        <v>307</v>
      </c>
      <c r="C94" s="2">
        <v>6727</v>
      </c>
      <c r="D94">
        <f>RTD("tos.rtd", , "LAST", Main_M[[#This Row],[Symbol]])</f>
        <v>144.02000000000001</v>
      </c>
      <c r="E94">
        <v>9.76</v>
      </c>
      <c r="F94">
        <v>67.69</v>
      </c>
      <c r="G94">
        <v>0.2</v>
      </c>
      <c r="H94" s="1">
        <f>IF(ISNUMBER(Main_M[[#This Row],[Free CF]]),IF(Main_M[[#This Row],[Free CF]]&lt;&gt;0,Main_M[[#This Row],[Current Price]]/Main_M[[#This Row],[Free CF]],""),"")</f>
        <v>14.756147540983608</v>
      </c>
      <c r="I94" s="1">
        <f>IF(ISNUMBER(Main_M[[#This Row],[BVPS]]),IF(Main_M[[#This Row],[BVPS]]&lt;&gt;0,Main_M[[#This Row],[Current Price]]/Main_M[[#This Row],[BVPS]],""),"")</f>
        <v>2.1276407150243761</v>
      </c>
      <c r="J94">
        <v>0.71</v>
      </c>
      <c r="K94">
        <v>4.34</v>
      </c>
      <c r="L94">
        <v>2.17</v>
      </c>
      <c r="M94" s="1">
        <f>IF(ISNUMBER(Main_M[[#This Row],[EPS]]),IF(Main_M[[#This Row],[EPS]]&lt;&gt;0,Main_M[[#This Row],[Current Price]]/Main_M[[#This Row],[EPS]],""),"")</f>
        <v>720.1</v>
      </c>
      <c r="N9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4" s="1">
        <f>(Main_M[[#This Row],[P/FCF]]-VLOOKUP(Main_M[[#This Row],[Industry]], Mean_PFCF_M, 2, FALSE))/(VLOOKUP(Main_M[[#This Row],[Industry]], Mean_PFCF_M, 3, FALSE))</f>
        <v>-0.90739584454213262</v>
      </c>
      <c r="P94" s="1">
        <f>(Main_M[[#This Row],[P/B]]-VLOOKUP(Main_M[[#This Row],[Industry]], Mean_PB_M, 2, FALSE))/(VLOOKUP(Main_M[[#This Row],[Industry]], Mean_PB_M, 3, FALSE))</f>
        <v>-0.61404312565718522</v>
      </c>
      <c r="Q94" s="1">
        <f>(Main_M[[#This Row],[ROE]]-VLOOKUP(Main_M[[#This Row],[Industry]], Mean_ROE_M, 2, FALSE))/(VLOOKUP(Main_M[[#This Row],[Industry]], Mean_ROE_M, 3, FALSE))</f>
        <v>-0.13080003852065222</v>
      </c>
      <c r="R94" s="1">
        <f>(Main_M[[#This Row],[ROA]]-VLOOKUP(Main_M[[#This Row],[Industry]], Mean_ROA_M, 2, FALSE))/(VLOOKUP(Main_M[[#This Row],[Industry]], Mean_ROA_M, 3, FALSE))</f>
        <v>-0.13891881595660738</v>
      </c>
      <c r="S94" s="1">
        <f>(Main_M[[#This Row],[A/E]]-VLOOKUP(Main_M[[#This Row],[Industry]], Mean_AE_M, 2, FALSE))/(VLOOKUP(Main_M[[#This Row],[Industry]], Mean_AE_M, 3, FALSE))</f>
        <v>0.23263137448081911</v>
      </c>
      <c r="T94" s="1">
        <f>(Main_M[[#This Row],[P/E]]-VLOOKUP(Main_M[[#This Row],[Industry]], Mean_PE_M, 2, FALSE))/(VLOOKUP(Main_M[[#This Row],[Industry]], Mean_PE_M, 3, FALSE))</f>
        <v>14.08775075197847</v>
      </c>
      <c r="U9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5" spans="1:26" x14ac:dyDescent="0.25">
      <c r="A95" t="s">
        <v>191</v>
      </c>
      <c r="B95" t="s">
        <v>308</v>
      </c>
      <c r="C95" s="2">
        <v>8622</v>
      </c>
      <c r="D95">
        <f>RTD("tos.rtd", , "LAST", Main_M[[#This Row],[Symbol]])</f>
        <v>310.14999999999998</v>
      </c>
      <c r="E95">
        <v>17.54</v>
      </c>
      <c r="F95">
        <v>19.940000000000001</v>
      </c>
      <c r="G95">
        <v>13.09</v>
      </c>
      <c r="H95" s="1">
        <f>IF(ISNUMBER(Main_M[[#This Row],[Free CF]]),IF(Main_M[[#This Row],[Free CF]]&lt;&gt;0,Main_M[[#This Row],[Current Price]]/Main_M[[#This Row],[Free CF]],""),"")</f>
        <v>17.682440136830103</v>
      </c>
      <c r="I95" s="1">
        <f>IF(ISNUMBER(Main_M[[#This Row],[BVPS]]),IF(Main_M[[#This Row],[BVPS]]&lt;&gt;0,Main_M[[#This Row],[Current Price]]/Main_M[[#This Row],[BVPS]],""),"")</f>
        <v>15.554162487462385</v>
      </c>
      <c r="J95">
        <v>65.819999999999993</v>
      </c>
      <c r="K95">
        <v>15.44</v>
      </c>
      <c r="L95">
        <v>3.2</v>
      </c>
      <c r="M95" s="1">
        <f>IF(ISNUMBER(Main_M[[#This Row],[EPS]]),IF(Main_M[[#This Row],[EPS]]&lt;&gt;0,Main_M[[#This Row],[Current Price]]/Main_M[[#This Row],[EPS]],""),"")</f>
        <v>23.693659281894575</v>
      </c>
      <c r="N9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5" s="1">
        <f>(Main_M[[#This Row],[P/FCF]]-VLOOKUP(Main_M[[#This Row],[Industry]], Mean_PFCF_M, 2, FALSE))/(VLOOKUP(Main_M[[#This Row],[Industry]], Mean_PFCF_M, 3, FALSE))</f>
        <v>-0.71834756818567669</v>
      </c>
      <c r="P95" s="1">
        <f>(Main_M[[#This Row],[P/B]]-VLOOKUP(Main_M[[#This Row],[Industry]], Mean_PB_M, 2, FALSE))/(VLOOKUP(Main_M[[#This Row],[Industry]], Mean_PB_M, 3, FALSE))</f>
        <v>10.924750898810137</v>
      </c>
      <c r="Q95" s="1">
        <f>(Main_M[[#This Row],[ROE]]-VLOOKUP(Main_M[[#This Row],[Industry]], Mean_ROE_M, 2, FALSE))/(VLOOKUP(Main_M[[#This Row],[Industry]], Mean_ROE_M, 3, FALSE))</f>
        <v>5.3948385717500154</v>
      </c>
      <c r="R95" s="1">
        <f>(Main_M[[#This Row],[ROA]]-VLOOKUP(Main_M[[#This Row],[Industry]], Mean_ROA_M, 2, FALSE))/(VLOOKUP(Main_M[[#This Row],[Industry]], Mean_ROA_M, 3, FALSE))</f>
        <v>6.4933343329394884</v>
      </c>
      <c r="S95" s="1">
        <f>(Main_M[[#This Row],[A/E]]-VLOOKUP(Main_M[[#This Row],[Industry]], Mean_AE_M, 2, FALSE))/(VLOOKUP(Main_M[[#This Row],[Industry]], Mean_AE_M, 3, FALSE))</f>
        <v>1.6897211322086532</v>
      </c>
      <c r="T95" s="1">
        <f>(Main_M[[#This Row],[P/E]]-VLOOKUP(Main_M[[#This Row],[Industry]], Mean_PE_M, 2, FALSE))/(VLOOKUP(Main_M[[#This Row],[Industry]], Mean_PE_M, 3, FALSE))</f>
        <v>-0.68818652741390129</v>
      </c>
      <c r="U9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9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6" spans="1:26" x14ac:dyDescent="0.25">
      <c r="A96" t="s">
        <v>191</v>
      </c>
      <c r="B96" t="s">
        <v>309</v>
      </c>
      <c r="C96" s="2">
        <v>9213</v>
      </c>
      <c r="D96">
        <f>RTD("tos.rtd", , "LAST", Main_M[[#This Row],[Symbol]])</f>
        <v>42.11</v>
      </c>
      <c r="E96">
        <v>2.3199999999999998</v>
      </c>
      <c r="F96">
        <v>16.510000000000002</v>
      </c>
      <c r="G96">
        <v>0.38</v>
      </c>
      <c r="H96" s="1">
        <f>IF(ISNUMBER(Main_M[[#This Row],[Free CF]]),IF(Main_M[[#This Row],[Free CF]]&lt;&gt;0,Main_M[[#This Row],[Current Price]]/Main_M[[#This Row],[Free CF]],""),"")</f>
        <v>18.15086206896552</v>
      </c>
      <c r="I96" s="1">
        <f>IF(ISNUMBER(Main_M[[#This Row],[BVPS]]),IF(Main_M[[#This Row],[BVPS]]&lt;&gt;0,Main_M[[#This Row],[Current Price]]/Main_M[[#This Row],[BVPS]],""),"")</f>
        <v>2.5505754088431249</v>
      </c>
      <c r="J96">
        <v>2.27</v>
      </c>
      <c r="K96">
        <v>5.24</v>
      </c>
      <c r="L96">
        <v>1.59</v>
      </c>
      <c r="M96" s="1">
        <f>IF(ISNUMBER(Main_M[[#This Row],[EPS]]),IF(Main_M[[#This Row],[EPS]]&lt;&gt;0,Main_M[[#This Row],[Current Price]]/Main_M[[#This Row],[EPS]],""),"")</f>
        <v>110.81578947368421</v>
      </c>
      <c r="N9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6" s="1">
        <f>(Main_M[[#This Row],[P/FCF]]-VLOOKUP(Main_M[[#This Row],[Industry]], Mean_PFCF_M, 2, FALSE))/(VLOOKUP(Main_M[[#This Row],[Industry]], Mean_PFCF_M, 3, FALSE))</f>
        <v>-0.68808594670481271</v>
      </c>
      <c r="P96" s="1">
        <f>(Main_M[[#This Row],[P/B]]-VLOOKUP(Main_M[[#This Row],[Industry]], Mean_PB_M, 2, FALSE))/(VLOOKUP(Main_M[[#This Row],[Industry]], Mean_PB_M, 3, FALSE))</f>
        <v>-0.25057175157475603</v>
      </c>
      <c r="Q96" s="1">
        <f>(Main_M[[#This Row],[ROE]]-VLOOKUP(Main_M[[#This Row],[Industry]], Mean_ROE_M, 2, FALSE))/(VLOOKUP(Main_M[[#This Row],[Industry]], Mean_ROE_M, 3, FALSE))</f>
        <v>1.591241344533505E-3</v>
      </c>
      <c r="R96" s="1">
        <f>(Main_M[[#This Row],[ROA]]-VLOOKUP(Main_M[[#This Row],[Industry]], Mean_ROA_M, 2, FALSE))/(VLOOKUP(Main_M[[#This Row],[Industry]], Mean_ROA_M, 3, FALSE))</f>
        <v>0.39883143935929249</v>
      </c>
      <c r="S96" s="1">
        <f>(Main_M[[#This Row],[A/E]]-VLOOKUP(Main_M[[#This Row],[Industry]], Mean_AE_M, 2, FALSE))/(VLOOKUP(Main_M[[#This Row],[Industry]], Mean_AE_M, 3, FALSE))</f>
        <v>-0.58786577064747536</v>
      </c>
      <c r="T96" s="1">
        <f>(Main_M[[#This Row],[P/E]]-VLOOKUP(Main_M[[#This Row],[Industry]], Mean_PE_M, 2, FALSE))/(VLOOKUP(Main_M[[#This Row],[Industry]], Mean_PE_M, 3, FALSE))</f>
        <v>1.1603192314990893</v>
      </c>
      <c r="U9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7" spans="1:26" x14ac:dyDescent="0.25">
      <c r="A97" t="s">
        <v>191</v>
      </c>
      <c r="B97" t="s">
        <v>310</v>
      </c>
      <c r="C97" s="2">
        <v>7129</v>
      </c>
      <c r="D97">
        <f>RTD("tos.rtd", , "LAST", Main_M[[#This Row],[Symbol]])</f>
        <v>131.55000000000001</v>
      </c>
      <c r="E97">
        <v>2.08</v>
      </c>
      <c r="F97">
        <v>35.340000000000003</v>
      </c>
      <c r="G97">
        <v>-0.42</v>
      </c>
      <c r="H97" s="1">
        <f>IF(ISNUMBER(Main_M[[#This Row],[Free CF]]),IF(Main_M[[#This Row],[Free CF]]&lt;&gt;0,Main_M[[#This Row],[Current Price]]/Main_M[[#This Row],[Free CF]],""),"")</f>
        <v>63.245192307692314</v>
      </c>
      <c r="I97" s="1">
        <f>IF(ISNUMBER(Main_M[[#This Row],[BVPS]]),IF(Main_M[[#This Row],[BVPS]]&lt;&gt;0,Main_M[[#This Row],[Current Price]]/Main_M[[#This Row],[BVPS]],""),"")</f>
        <v>3.7224108658743633</v>
      </c>
      <c r="J97">
        <v>-1.1599999999999999</v>
      </c>
      <c r="K97">
        <v>0.92</v>
      </c>
      <c r="L97">
        <v>1.44</v>
      </c>
      <c r="M97" s="1">
        <f>IF(ISNUMBER(Main_M[[#This Row],[EPS]]),IF(Main_M[[#This Row],[EPS]]&lt;&gt;0,Main_M[[#This Row],[Current Price]]/Main_M[[#This Row],[EPS]],""),"")</f>
        <v>-313.21428571428578</v>
      </c>
      <c r="N9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7" s="1">
        <f>(Main_M[[#This Row],[P/FCF]]-VLOOKUP(Main_M[[#This Row],[Industry]], Mean_PFCF_M, 2, FALSE))/(VLOOKUP(Main_M[[#This Row],[Industry]], Mean_PFCF_M, 3, FALSE))</f>
        <v>2.2251584148399925</v>
      </c>
      <c r="P97" s="1">
        <f>(Main_M[[#This Row],[P/B]]-VLOOKUP(Main_M[[#This Row],[Industry]], Mean_PB_M, 2, FALSE))/(VLOOKUP(Main_M[[#This Row],[Industry]], Mean_PB_M, 3, FALSE))</f>
        <v>0.75650723719269142</v>
      </c>
      <c r="Q97" s="1">
        <f>(Main_M[[#This Row],[ROE]]-VLOOKUP(Main_M[[#This Row],[Industry]], Mean_ROE_M, 2, FALSE))/(VLOOKUP(Main_M[[#This Row],[Industry]], Mean_ROE_M, 3, FALSE))</f>
        <v>-0.28949984194879153</v>
      </c>
      <c r="R97" s="1">
        <f>(Main_M[[#This Row],[ROA]]-VLOOKUP(Main_M[[#This Row],[Industry]], Mean_ROA_M, 2, FALSE))/(VLOOKUP(Main_M[[#This Row],[Industry]], Mean_ROA_M, 3, FALSE))</f>
        <v>-2.1823697861570261</v>
      </c>
      <c r="S97" s="1">
        <f>(Main_M[[#This Row],[A/E]]-VLOOKUP(Main_M[[#This Row],[Industry]], Mean_AE_M, 2, FALSE))/(VLOOKUP(Main_M[[#This Row],[Industry]], Mean_AE_M, 3, FALSE))</f>
        <v>-0.80006330818065519</v>
      </c>
      <c r="T97" s="1">
        <f>(Main_M[[#This Row],[P/E]]-VLOOKUP(Main_M[[#This Row],[Industry]], Mean_PE_M, 2, FALSE))/(VLOOKUP(Main_M[[#This Row],[Industry]], Mean_PE_M, 3, FALSE))</f>
        <v>-7.8364997651413084</v>
      </c>
      <c r="U9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Yes</v>
      </c>
      <c r="X9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98" spans="1:26" x14ac:dyDescent="0.25">
      <c r="A98" t="s">
        <v>191</v>
      </c>
      <c r="B98" t="s">
        <v>311</v>
      </c>
      <c r="C98" s="2">
        <v>3733</v>
      </c>
      <c r="D98">
        <f>RTD("tos.rtd", , "LAST", Main_M[[#This Row],[Symbol]])</f>
        <v>13.24</v>
      </c>
      <c r="E98">
        <v>0.37</v>
      </c>
      <c r="F98">
        <v>1.46</v>
      </c>
      <c r="G98">
        <v>0.09</v>
      </c>
      <c r="H98" s="1">
        <f>IF(ISNUMBER(Main_M[[#This Row],[Free CF]]),IF(Main_M[[#This Row],[Free CF]]&lt;&gt;0,Main_M[[#This Row],[Current Price]]/Main_M[[#This Row],[Free CF]],""),"")</f>
        <v>35.783783783783782</v>
      </c>
      <c r="I98" s="1">
        <f>IF(ISNUMBER(Main_M[[#This Row],[BVPS]]),IF(Main_M[[#This Row],[BVPS]]&lt;&gt;0,Main_M[[#This Row],[Current Price]]/Main_M[[#This Row],[BVPS]],""),"")</f>
        <v>9.0684931506849313</v>
      </c>
      <c r="J98">
        <v>5.88</v>
      </c>
      <c r="K98">
        <v>7.01</v>
      </c>
      <c r="L98">
        <v>7.48</v>
      </c>
      <c r="M98" s="1">
        <f>IF(ISNUMBER(Main_M[[#This Row],[EPS]]),IF(Main_M[[#This Row],[EPS]]&lt;&gt;0,Main_M[[#This Row],[Current Price]]/Main_M[[#This Row],[EPS]],""),"")</f>
        <v>147.11111111111111</v>
      </c>
      <c r="N9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8" s="1">
        <f>(Main_M[[#This Row],[P/FCF]]-VLOOKUP(Main_M[[#This Row],[Industry]], Mean_PFCF_M, 2, FALSE))/(VLOOKUP(Main_M[[#This Row],[Industry]], Mean_PFCF_M, 3, FALSE))</f>
        <v>0.45105969513775768</v>
      </c>
      <c r="P98" s="1">
        <f>(Main_M[[#This Row],[P/B]]-VLOOKUP(Main_M[[#This Row],[Industry]], Mean_PB_M, 2, FALSE))/(VLOOKUP(Main_M[[#This Row],[Industry]], Mean_PB_M, 3, FALSE))</f>
        <v>5.3509467627677134</v>
      </c>
      <c r="Q98" s="1">
        <f>(Main_M[[#This Row],[ROE]]-VLOOKUP(Main_M[[#This Row],[Industry]], Mean_ROE_M, 2, FALSE))/(VLOOKUP(Main_M[[#This Row],[Industry]], Mean_ROE_M, 3, FALSE))</f>
        <v>0.30795824154537993</v>
      </c>
      <c r="R98" s="1">
        <f>(Main_M[[#This Row],[ROA]]-VLOOKUP(Main_M[[#This Row],[Industry]], Mean_ROA_M, 2, FALSE))/(VLOOKUP(Main_M[[#This Row],[Industry]], Mean_ROA_M, 3, FALSE))</f>
        <v>1.4564069414805616</v>
      </c>
      <c r="S98" s="1">
        <f>(Main_M[[#This Row],[A/E]]-VLOOKUP(Main_M[[#This Row],[Industry]], Mean_AE_M, 2, FALSE))/(VLOOKUP(Main_M[[#This Row],[Industry]], Mean_AE_M, 3, FALSE))</f>
        <v>7.74442420315538</v>
      </c>
      <c r="T98" s="1">
        <f>(Main_M[[#This Row],[P/E]]-VLOOKUP(Main_M[[#This Row],[Industry]], Mean_PE_M, 2, FALSE))/(VLOOKUP(Main_M[[#This Row],[Industry]], Mean_PE_M, 3, FALSE))</f>
        <v>1.9304118695083659</v>
      </c>
      <c r="U9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9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9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9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99" spans="1:26" x14ac:dyDescent="0.25">
      <c r="A99" t="s">
        <v>191</v>
      </c>
      <c r="B99" t="s">
        <v>312</v>
      </c>
      <c r="C99" s="2">
        <v>5949</v>
      </c>
      <c r="D99">
        <f>RTD("tos.rtd", , "LAST", Main_M[[#This Row],[Symbol]])</f>
        <v>24.42</v>
      </c>
      <c r="E99">
        <v>-0.6</v>
      </c>
      <c r="F99">
        <v>5.33</v>
      </c>
      <c r="G99">
        <v>0.45</v>
      </c>
      <c r="H99" s="1">
        <f>IF(ISNUMBER(Main_M[[#This Row],[Free CF]]),IF(Main_M[[#This Row],[Free CF]]&lt;&gt;0,Main_M[[#This Row],[Current Price]]/Main_M[[#This Row],[Free CF]],""),"")</f>
        <v>-40.700000000000003</v>
      </c>
      <c r="I99" s="1">
        <f>IF(ISNUMBER(Main_M[[#This Row],[BVPS]]),IF(Main_M[[#This Row],[BVPS]]&lt;&gt;0,Main_M[[#This Row],[Current Price]]/Main_M[[#This Row],[BVPS]],""),"")</f>
        <v>4.5816135084427767</v>
      </c>
      <c r="J99">
        <v>9.2799999999999994</v>
      </c>
      <c r="K99">
        <v>4.76</v>
      </c>
      <c r="L99">
        <v>1.66</v>
      </c>
      <c r="M99" s="1">
        <f>IF(ISNUMBER(Main_M[[#This Row],[EPS]]),IF(Main_M[[#This Row],[EPS]]&lt;&gt;0,Main_M[[#This Row],[Current Price]]/Main_M[[#This Row],[EPS]],""),"")</f>
        <v>54.266666666666666</v>
      </c>
      <c r="N9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99" s="1">
        <f>(Main_M[[#This Row],[P/FCF]]-VLOOKUP(Main_M[[#This Row],[Industry]], Mean_PFCF_M, 2, FALSE))/(VLOOKUP(Main_M[[#This Row],[Industry]], Mean_PFCF_M, 3, FALSE))</f>
        <v>-4.49004821528347</v>
      </c>
      <c r="P99" s="1">
        <f>(Main_M[[#This Row],[P/B]]-VLOOKUP(Main_M[[#This Row],[Industry]], Mean_PB_M, 2, FALSE))/(VLOOKUP(Main_M[[#This Row],[Industry]], Mean_PB_M, 3, FALSE))</f>
        <v>1.4949086255721267</v>
      </c>
      <c r="Q99" s="1">
        <f>(Main_M[[#This Row],[ROE]]-VLOOKUP(Main_M[[#This Row],[Industry]], Mean_ROE_M, 2, FALSE))/(VLOOKUP(Main_M[[#This Row],[Industry]], Mean_ROE_M, 3, FALSE))</f>
        <v>0.59650333868745142</v>
      </c>
      <c r="R99" s="1">
        <f>(Main_M[[#This Row],[ROA]]-VLOOKUP(Main_M[[#This Row],[Industry]], Mean_ROA_M, 2, FALSE))/(VLOOKUP(Main_M[[#This Row],[Industry]], Mean_ROA_M, 3, FALSE))</f>
        <v>0.11203130319081243</v>
      </c>
      <c r="S99" s="1">
        <f>(Main_M[[#This Row],[A/E]]-VLOOKUP(Main_M[[#This Row],[Industry]], Mean_AE_M, 2, FALSE))/(VLOOKUP(Main_M[[#This Row],[Industry]], Mean_AE_M, 3, FALSE))</f>
        <v>-0.48884025313199175</v>
      </c>
      <c r="T99" s="1">
        <f>(Main_M[[#This Row],[P/E]]-VLOOKUP(Main_M[[#This Row],[Industry]], Mean_PE_M, 2, FALSE))/(VLOOKUP(Main_M[[#This Row],[Industry]], Mean_PE_M, 3, FALSE))</f>
        <v>-3.9506564083912551E-2</v>
      </c>
      <c r="U9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9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9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9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9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9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0" spans="1:26" x14ac:dyDescent="0.25">
      <c r="A100" t="s">
        <v>191</v>
      </c>
      <c r="B100" t="s">
        <v>313</v>
      </c>
      <c r="C100" s="2">
        <v>7707</v>
      </c>
      <c r="D100">
        <f>RTD("tos.rtd", , "LAST", Main_M[[#This Row],[Symbol]])</f>
        <v>51.61</v>
      </c>
      <c r="E100">
        <v>1.61</v>
      </c>
      <c r="F100">
        <v>13.16</v>
      </c>
      <c r="G100">
        <v>0.98</v>
      </c>
      <c r="H100" s="1">
        <f>IF(ISNUMBER(Main_M[[#This Row],[Free CF]]),IF(Main_M[[#This Row],[Free CF]]&lt;&gt;0,Main_M[[#This Row],[Current Price]]/Main_M[[#This Row],[Free CF]],""),"")</f>
        <v>32.055900621118013</v>
      </c>
      <c r="I100" s="1">
        <f>IF(ISNUMBER(Main_M[[#This Row],[BVPS]]),IF(Main_M[[#This Row],[BVPS]]&lt;&gt;0,Main_M[[#This Row],[Current Price]]/Main_M[[#This Row],[BVPS]],""),"")</f>
        <v>3.9217325227963524</v>
      </c>
      <c r="J100">
        <v>7.82</v>
      </c>
      <c r="K100">
        <v>5.68</v>
      </c>
      <c r="L100">
        <v>1.28</v>
      </c>
      <c r="M100" s="1">
        <f>IF(ISNUMBER(Main_M[[#This Row],[EPS]]),IF(Main_M[[#This Row],[EPS]]&lt;&gt;0,Main_M[[#This Row],[Current Price]]/Main_M[[#This Row],[EPS]],""),"")</f>
        <v>52.663265306122447</v>
      </c>
      <c r="N10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0" s="1">
        <f>(Main_M[[#This Row],[P/FCF]]-VLOOKUP(Main_M[[#This Row],[Industry]], Mean_PFCF_M, 2, FALSE))/(VLOOKUP(Main_M[[#This Row],[Industry]], Mean_PFCF_M, 3, FALSE))</f>
        <v>0.21022599062012964</v>
      </c>
      <c r="P100" s="1">
        <f>(Main_M[[#This Row],[P/B]]-VLOOKUP(Main_M[[#This Row],[Industry]], Mean_PB_M, 2, FALSE))/(VLOOKUP(Main_M[[#This Row],[Industry]], Mean_PB_M, 3, FALSE))</f>
        <v>0.92780488097707636</v>
      </c>
      <c r="Q100" s="1">
        <f>(Main_M[[#This Row],[ROE]]-VLOOKUP(Main_M[[#This Row],[Industry]], Mean_ROE_M, 2, FALSE))/(VLOOKUP(Main_M[[#This Row],[Industry]], Mean_ROE_M, 3, FALSE))</f>
        <v>0.47259867932644428</v>
      </c>
      <c r="R100" s="1">
        <f>(Main_M[[#This Row],[ROA]]-VLOOKUP(Main_M[[#This Row],[Industry]], Mean_ROA_M, 2, FALSE))/(VLOOKUP(Main_M[[#This Row],[Industry]], Mean_ROA_M, 3, FALSE))</f>
        <v>0.66173156418039869</v>
      </c>
      <c r="S100" s="1">
        <f>(Main_M[[#This Row],[A/E]]-VLOOKUP(Main_M[[#This Row],[Industry]], Mean_AE_M, 2, FALSE))/(VLOOKUP(Main_M[[#This Row],[Industry]], Mean_AE_M, 3, FALSE))</f>
        <v>-1.0264073482160467</v>
      </c>
      <c r="T100" s="1">
        <f>(Main_M[[#This Row],[P/E]]-VLOOKUP(Main_M[[#This Row],[Industry]], Mean_PE_M, 2, FALSE))/(VLOOKUP(Main_M[[#This Row],[Industry]], Mean_PE_M, 3, FALSE))</f>
        <v>-7.3526584511446003E-2</v>
      </c>
      <c r="U10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1" spans="1:26" x14ac:dyDescent="0.25">
      <c r="A101" t="s">
        <v>173</v>
      </c>
      <c r="B101" t="s">
        <v>293</v>
      </c>
      <c r="C101" s="2">
        <v>2263</v>
      </c>
      <c r="D101">
        <f>RTD("tos.rtd", , "LAST", Main_M[[#This Row],[Symbol]])</f>
        <v>7.5</v>
      </c>
      <c r="E101">
        <v>0.75</v>
      </c>
      <c r="F101">
        <v>-0.42</v>
      </c>
      <c r="G101">
        <v>-0.04</v>
      </c>
      <c r="H101" s="1">
        <f>IF(ISNUMBER(Main_M[[#This Row],[Free CF]]),IF(Main_M[[#This Row],[Free CF]]&lt;&gt;0,Main_M[[#This Row],[Current Price]]/Main_M[[#This Row],[Free CF]],""),"")</f>
        <v>10</v>
      </c>
      <c r="I101" s="1">
        <f>IF(ISNUMBER(Main_M[[#This Row],[BVPS]]),IF(Main_M[[#This Row],[BVPS]]&lt;&gt;0,Main_M[[#This Row],[Current Price]]/Main_M[[#This Row],[BVPS]],""),"")</f>
        <v>-17.857142857142858</v>
      </c>
      <c r="J101">
        <v>-85.32</v>
      </c>
      <c r="K101">
        <v>6.67</v>
      </c>
      <c r="L101">
        <v>-25.49</v>
      </c>
      <c r="M101" s="1">
        <f>IF(ISNUMBER(Main_M[[#This Row],[EPS]]),IF(Main_M[[#This Row],[EPS]]&lt;&gt;0,Main_M[[#This Row],[Current Price]]/Main_M[[#This Row],[EPS]],""),"")</f>
        <v>-187.5</v>
      </c>
      <c r="N10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1" s="1">
        <f>(Main_M[[#This Row],[P/FCF]]-VLOOKUP(Main_M[[#This Row],[Industry]], Mean_PFCF_M, 2, FALSE))/(VLOOKUP(Main_M[[#This Row],[Industry]], Mean_PFCF_M, 3, FALSE))</f>
        <v>0.20798560673920929</v>
      </c>
      <c r="P101" s="1">
        <f>(Main_M[[#This Row],[P/B]]-VLOOKUP(Main_M[[#This Row],[Industry]], Mean_PB_M, 2, FALSE))/(VLOOKUP(Main_M[[#This Row],[Industry]], Mean_PB_M, 3, FALSE))</f>
        <v>-1.9946168720590698</v>
      </c>
      <c r="Q101" s="1">
        <f>(Main_M[[#This Row],[ROE]]-VLOOKUP(Main_M[[#This Row],[Industry]], Mean_ROE_M, 2, FALSE))/(VLOOKUP(Main_M[[#This Row],[Industry]], Mean_ROE_M, 3, FALSE))</f>
        <v>-0.57251871034875434</v>
      </c>
      <c r="R101" s="1">
        <f>(Main_M[[#This Row],[ROA]]-VLOOKUP(Main_M[[#This Row],[Industry]], Mean_ROA_M, 2, FALSE))/(VLOOKUP(Main_M[[#This Row],[Industry]], Mean_ROA_M, 3, FALSE))</f>
        <v>0.76021483873483275</v>
      </c>
      <c r="S101" s="1">
        <f>(Main_M[[#This Row],[A/E]]-VLOOKUP(Main_M[[#This Row],[Industry]], Mean_AE_M, 2, FALSE))/(VLOOKUP(Main_M[[#This Row],[Industry]], Mean_AE_M, 3, FALSE))</f>
        <v>-57.098871524490285</v>
      </c>
      <c r="T101" s="1">
        <f>(Main_M[[#This Row],[P/E]]-VLOOKUP(Main_M[[#This Row],[Industry]], Mean_PE_M, 2, FALSE))/(VLOOKUP(Main_M[[#This Row],[Industry]], Mean_PE_M, 3, FALSE))</f>
        <v>-2.4148228301673615</v>
      </c>
      <c r="U10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2" spans="1:26" x14ac:dyDescent="0.25">
      <c r="A102" t="s">
        <v>173</v>
      </c>
      <c r="B102" t="s">
        <v>294</v>
      </c>
      <c r="C102" s="2">
        <v>5458</v>
      </c>
      <c r="D102">
        <f>RTD("tos.rtd", , "LAST", Main_M[[#This Row],[Symbol]])</f>
        <v>105.67</v>
      </c>
      <c r="E102">
        <v>-2.69</v>
      </c>
      <c r="F102">
        <v>1.08</v>
      </c>
      <c r="G102">
        <v>-5.77</v>
      </c>
      <c r="H102" s="1">
        <f>IF(ISNUMBER(Main_M[[#This Row],[Free CF]]),IF(Main_M[[#This Row],[Free CF]]&lt;&gt;0,Main_M[[#This Row],[Current Price]]/Main_M[[#This Row],[Free CF]],""),"")</f>
        <v>-39.282527881040892</v>
      </c>
      <c r="I102" s="1">
        <f>IF(ISNUMBER(Main_M[[#This Row],[BVPS]]),IF(Main_M[[#This Row],[BVPS]]&lt;&gt;0,Main_M[[#This Row],[Current Price]]/Main_M[[#This Row],[BVPS]],""),"")</f>
        <v>97.842592592592581</v>
      </c>
      <c r="J102">
        <v>-282.16000000000003</v>
      </c>
      <c r="K102">
        <v>-26.18</v>
      </c>
      <c r="L102">
        <v>11.22</v>
      </c>
      <c r="M102" s="1">
        <f>IF(ISNUMBER(Main_M[[#This Row],[EPS]]),IF(Main_M[[#This Row],[EPS]]&lt;&gt;0,Main_M[[#This Row],[Current Price]]/Main_M[[#This Row],[EPS]],""),"")</f>
        <v>-18.313691507798961</v>
      </c>
      <c r="N102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2" s="1">
        <f>(Main_M[[#This Row],[P/FCF]]-VLOOKUP(Main_M[[#This Row],[Industry]], Mean_PFCF_M, 2, FALSE))/(VLOOKUP(Main_M[[#This Row],[Industry]], Mean_PFCF_M, 3, FALSE))</f>
        <v>-1.6213652502332701</v>
      </c>
      <c r="P102" s="1">
        <f>(Main_M[[#This Row],[P/B]]-VLOOKUP(Main_M[[#This Row],[Industry]], Mean_PB_M, 2, FALSE))/(VLOOKUP(Main_M[[#This Row],[Industry]], Mean_PB_M, 3, FALSE))</f>
        <v>8.0749645639298944</v>
      </c>
      <c r="Q102" s="1">
        <f>(Main_M[[#This Row],[ROE]]-VLOOKUP(Main_M[[#This Row],[Industry]], Mean_ROE_M, 2, FALSE))/(VLOOKUP(Main_M[[#This Row],[Industry]], Mean_ROE_M, 3, FALSE))</f>
        <v>-2.2246236393083421</v>
      </c>
      <c r="R102" s="1">
        <f>(Main_M[[#This Row],[ROA]]-VLOOKUP(Main_M[[#This Row],[Industry]], Mean_ROA_M, 2, FALSE))/(VLOOKUP(Main_M[[#This Row],[Industry]], Mean_ROA_M, 3, FALSE))</f>
        <v>-1.9331047187481303</v>
      </c>
      <c r="S102" s="1">
        <f>(Main_M[[#This Row],[A/E]]-VLOOKUP(Main_M[[#This Row],[Industry]], Mean_AE_M, 2, FALSE))/(VLOOKUP(Main_M[[#This Row],[Industry]], Mean_AE_M, 3, FALSE))</f>
        <v>20.006133944115138</v>
      </c>
      <c r="T102" s="1">
        <f>(Main_M[[#This Row],[P/E]]-VLOOKUP(Main_M[[#This Row],[Industry]], Mean_PE_M, 2, FALSE))/(VLOOKUP(Main_M[[#This Row],[Industry]], Mean_PE_M, 3, FALSE))</f>
        <v>1.9334468530888403E-2</v>
      </c>
      <c r="U102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2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02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2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2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2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3" spans="1:26" x14ac:dyDescent="0.25">
      <c r="A103" t="s">
        <v>173</v>
      </c>
      <c r="B103" t="s">
        <v>295</v>
      </c>
      <c r="C103" s="2">
        <v>7472</v>
      </c>
      <c r="D103">
        <f>RTD("tos.rtd", , "LAST", Main_M[[#This Row],[Symbol]])</f>
        <v>70.59</v>
      </c>
      <c r="E103">
        <v>1.71</v>
      </c>
      <c r="F103">
        <v>6.56</v>
      </c>
      <c r="G103">
        <v>1.1399999999999999</v>
      </c>
      <c r="H103" s="1">
        <f>IF(ISNUMBER(Main_M[[#This Row],[Free CF]]),IF(Main_M[[#This Row],[Free CF]]&lt;&gt;0,Main_M[[#This Row],[Current Price]]/Main_M[[#This Row],[Free CF]],""),"")</f>
        <v>41.280701754385966</v>
      </c>
      <c r="I103" s="1">
        <f>IF(ISNUMBER(Main_M[[#This Row],[BVPS]]),IF(Main_M[[#This Row],[BVPS]]&lt;&gt;0,Main_M[[#This Row],[Current Price]]/Main_M[[#This Row],[BVPS]],""),"")</f>
        <v>10.760670731707318</v>
      </c>
      <c r="J103">
        <v>21.77</v>
      </c>
      <c r="K103">
        <v>9.2200000000000006</v>
      </c>
      <c r="L103">
        <v>1.24</v>
      </c>
      <c r="M103" s="1">
        <f>IF(ISNUMBER(Main_M[[#This Row],[EPS]]),IF(Main_M[[#This Row],[EPS]]&lt;&gt;0,Main_M[[#This Row],[Current Price]]/Main_M[[#This Row],[EPS]],""),"")</f>
        <v>61.921052631578952</v>
      </c>
      <c r="N103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3" s="1">
        <f>(Main_M[[#This Row],[P/FCF]]-VLOOKUP(Main_M[[#This Row],[Industry]], Mean_PFCF_M, 2, FALSE))/(VLOOKUP(Main_M[[#This Row],[Industry]], Mean_PFCF_M, 3, FALSE))</f>
        <v>1.3691147334596039</v>
      </c>
      <c r="P103" s="1">
        <f>(Main_M[[#This Row],[P/B]]-VLOOKUP(Main_M[[#This Row],[Industry]], Mean_PB_M, 2, FALSE))/(VLOOKUP(Main_M[[#This Row],[Industry]], Mean_PB_M, 3, FALSE))</f>
        <v>0.49604918981857965</v>
      </c>
      <c r="Q103" s="1">
        <f>(Main_M[[#This Row],[ROE]]-VLOOKUP(Main_M[[#This Row],[Industry]], Mean_ROE_M, 2, FALSE))/(VLOOKUP(Main_M[[#This Row],[Industry]], Mean_ROE_M, 3, FALSE))</f>
        <v>0.32630224495647947</v>
      </c>
      <c r="R103" s="1">
        <f>(Main_M[[#This Row],[ROA]]-VLOOKUP(Main_M[[#This Row],[Industry]], Mean_ROA_M, 2, FALSE))/(VLOOKUP(Main_M[[#This Row],[Industry]], Mean_ROA_M, 3, FALSE))</f>
        <v>0.96928530666730028</v>
      </c>
      <c r="S103" s="1">
        <f>(Main_M[[#This Row],[A/E]]-VLOOKUP(Main_M[[#This Row],[Industry]], Mean_AE_M, 2, FALSE))/(VLOOKUP(Main_M[[#This Row],[Industry]], Mean_AE_M, 3, FALSE))</f>
        <v>-0.9556735899813531</v>
      </c>
      <c r="T103" s="1">
        <f>(Main_M[[#This Row],[P/E]]-VLOOKUP(Main_M[[#This Row],[Industry]], Mean_PE_M, 2, FALSE))/(VLOOKUP(Main_M[[#This Row],[Industry]], Mean_PE_M, 3, FALSE))</f>
        <v>1.1737067684918885</v>
      </c>
      <c r="U103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3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3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3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3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3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4" spans="1:26" x14ac:dyDescent="0.25">
      <c r="A104" t="s">
        <v>173</v>
      </c>
      <c r="B104" t="s">
        <v>296</v>
      </c>
      <c r="C104" s="2">
        <v>5962</v>
      </c>
      <c r="D104">
        <f>RTD("tos.rtd", , "LAST", Main_M[[#This Row],[Symbol]])</f>
        <v>13.02</v>
      </c>
      <c r="E104">
        <v>0.77</v>
      </c>
      <c r="F104">
        <v>12.33</v>
      </c>
      <c r="G104">
        <v>0.68</v>
      </c>
      <c r="H104" s="1">
        <f>IF(ISNUMBER(Main_M[[#This Row],[Free CF]]),IF(Main_M[[#This Row],[Free CF]]&lt;&gt;0,Main_M[[#This Row],[Current Price]]/Main_M[[#This Row],[Free CF]],""),"")</f>
        <v>16.909090909090907</v>
      </c>
      <c r="I104" s="1">
        <f>IF(ISNUMBER(Main_M[[#This Row],[BVPS]]),IF(Main_M[[#This Row],[BVPS]]&lt;&gt;0,Main_M[[#This Row],[Current Price]]/Main_M[[#This Row],[BVPS]],""),"")</f>
        <v>1.0559610705596107</v>
      </c>
      <c r="J104">
        <v>5.49</v>
      </c>
      <c r="K104">
        <v>1.19</v>
      </c>
      <c r="L104">
        <v>2.0699999999999998</v>
      </c>
      <c r="M104" s="1">
        <f>IF(ISNUMBER(Main_M[[#This Row],[EPS]]),IF(Main_M[[#This Row],[EPS]]&lt;&gt;0,Main_M[[#This Row],[Current Price]]/Main_M[[#This Row],[EPS]],""),"")</f>
        <v>19.147058823529409</v>
      </c>
      <c r="N104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4" s="1">
        <f>(Main_M[[#This Row],[P/FCF]]-VLOOKUP(Main_M[[#This Row],[Industry]], Mean_PFCF_M, 2, FALSE))/(VLOOKUP(Main_M[[#This Row],[Industry]], Mean_PFCF_M, 3, FALSE))</f>
        <v>0.46444873716049861</v>
      </c>
      <c r="P104" s="1">
        <f>(Main_M[[#This Row],[P/B]]-VLOOKUP(Main_M[[#This Row],[Industry]], Mean_PB_M, 2, FALSE))/(VLOOKUP(Main_M[[#This Row],[Industry]], Mean_PB_M, 3, FALSE))</f>
        <v>-0.34857127422742662</v>
      </c>
      <c r="Q104" s="1">
        <f>(Main_M[[#This Row],[ROE]]-VLOOKUP(Main_M[[#This Row],[Industry]], Mean_ROE_M, 2, FALSE))/(VLOOKUP(Main_M[[#This Row],[Industry]], Mean_ROE_M, 3, FALSE))</f>
        <v>0.18966198767410755</v>
      </c>
      <c r="R104" s="1">
        <f>(Main_M[[#This Row],[ROA]]-VLOOKUP(Main_M[[#This Row],[Industry]], Mean_ROA_M, 2, FALSE))/(VLOOKUP(Main_M[[#This Row],[Industry]], Mean_ROA_M, 3, FALSE))</f>
        <v>0.31091830372702034</v>
      </c>
      <c r="S104" s="1">
        <f>(Main_M[[#This Row],[A/E]]-VLOOKUP(Main_M[[#This Row],[Industry]], Mean_AE_M, 2, FALSE))/(VLOOKUP(Main_M[[#This Row],[Industry]], Mean_AE_M, 3, FALSE))</f>
        <v>0.7876430686659498</v>
      </c>
      <c r="T104" s="1">
        <f>(Main_M[[#This Row],[P/E]]-VLOOKUP(Main_M[[#This Row],[Industry]], Mean_PE_M, 2, FALSE))/(VLOOKUP(Main_M[[#This Row],[Industry]], Mean_PE_M, 3, FALSE))</f>
        <v>0.55829864149716113</v>
      </c>
      <c r="U104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4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4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4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4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4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5" spans="1:26" x14ac:dyDescent="0.25">
      <c r="A105" t="s">
        <v>173</v>
      </c>
      <c r="B105" t="s">
        <v>297</v>
      </c>
      <c r="C105" s="2">
        <v>2496</v>
      </c>
      <c r="D105">
        <f>RTD("tos.rtd", , "LAST", Main_M[[#This Row],[Symbol]])</f>
        <v>13.14</v>
      </c>
      <c r="E105">
        <v>-0.02</v>
      </c>
      <c r="F105">
        <v>0.89</v>
      </c>
      <c r="G105">
        <v>0.04</v>
      </c>
      <c r="H105" s="1">
        <f>IF(ISNUMBER(Main_M[[#This Row],[Free CF]]),IF(Main_M[[#This Row],[Free CF]]&lt;&gt;0,Main_M[[#This Row],[Current Price]]/Main_M[[#This Row],[Free CF]],""),"")</f>
        <v>-657</v>
      </c>
      <c r="I105" s="1">
        <f>IF(ISNUMBER(Main_M[[#This Row],[BVPS]]),IF(Main_M[[#This Row],[BVPS]]&lt;&gt;0,Main_M[[#This Row],[Current Price]]/Main_M[[#This Row],[BVPS]],""),"")</f>
        <v>14.764044943820226</v>
      </c>
      <c r="J105">
        <v>5.04</v>
      </c>
      <c r="K105">
        <v>-2.14</v>
      </c>
      <c r="L105">
        <v>1.68</v>
      </c>
      <c r="M105" s="1">
        <f>IF(ISNUMBER(Main_M[[#This Row],[EPS]]),IF(Main_M[[#This Row],[EPS]]&lt;&gt;0,Main_M[[#This Row],[Current Price]]/Main_M[[#This Row],[EPS]],""),"")</f>
        <v>328.5</v>
      </c>
      <c r="N105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5" s="1">
        <f>(Main_M[[#This Row],[P/FCF]]-VLOOKUP(Main_M[[#This Row],[Industry]], Mean_PFCF_M, 2, FALSE))/(VLOOKUP(Main_M[[#This Row],[Industry]], Mean_PFCF_M, 3, FALSE))</f>
        <v>-24.55083002353711</v>
      </c>
      <c r="P105" s="1">
        <f>(Main_M[[#This Row],[P/B]]-VLOOKUP(Main_M[[#This Row],[Industry]], Mean_PB_M, 2, FALSE))/(VLOOKUP(Main_M[[#This Row],[Industry]], Mean_PB_M, 3, FALSE))</f>
        <v>0.84447092553743397</v>
      </c>
      <c r="Q105" s="1">
        <f>(Main_M[[#This Row],[ROE]]-VLOOKUP(Main_M[[#This Row],[Industry]], Mean_ROE_M, 2, FALSE))/(VLOOKUP(Main_M[[#This Row],[Industry]], Mean_ROE_M, 3, FALSE))</f>
        <v>0.1858850763855899</v>
      </c>
      <c r="R105" s="1">
        <f>(Main_M[[#This Row],[ROA]]-VLOOKUP(Main_M[[#This Row],[Industry]], Mean_ROA_M, 2, FALSE))/(VLOOKUP(Main_M[[#This Row],[Industry]], Mean_ROA_M, 3, FALSE))</f>
        <v>3.7896869132856982E-2</v>
      </c>
      <c r="S105" s="1">
        <f>(Main_M[[#This Row],[A/E]]-VLOOKUP(Main_M[[#This Row],[Industry]], Mean_AE_M, 2, FALSE))/(VLOOKUP(Main_M[[#This Row],[Industry]], Mean_AE_M, 3, FALSE))</f>
        <v>-3.1505722746638272E-2</v>
      </c>
      <c r="T105" s="1">
        <f>(Main_M[[#This Row],[P/E]]-VLOOKUP(Main_M[[#This Row],[Industry]], Mean_PE_M, 2, FALSE))/(VLOOKUP(Main_M[[#This Row],[Industry]], Mean_PE_M, 3, FALSE))</f>
        <v>5.0090944910513109</v>
      </c>
      <c r="U105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05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5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5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5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5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6" spans="1:26" x14ac:dyDescent="0.25">
      <c r="A106" t="s">
        <v>173</v>
      </c>
      <c r="B106" t="s">
        <v>298</v>
      </c>
      <c r="C106" s="2">
        <v>2036</v>
      </c>
      <c r="D106">
        <f>RTD("tos.rtd", , "LAST", Main_M[[#This Row],[Symbol]])</f>
        <v>105.63</v>
      </c>
      <c r="E106">
        <v>5.21</v>
      </c>
      <c r="F106">
        <v>43.46</v>
      </c>
      <c r="G106">
        <v>-0.22</v>
      </c>
      <c r="H106" s="1">
        <f>IF(ISNUMBER(Main_M[[#This Row],[Free CF]]),IF(Main_M[[#This Row],[Free CF]]&lt;&gt;0,Main_M[[#This Row],[Current Price]]/Main_M[[#This Row],[Free CF]],""),"")</f>
        <v>20.274472168905948</v>
      </c>
      <c r="I106" s="1">
        <f>IF(ISNUMBER(Main_M[[#This Row],[BVPS]]),IF(Main_M[[#This Row],[BVPS]]&lt;&gt;0,Main_M[[#This Row],[Current Price]]/Main_M[[#This Row],[BVPS]],""),"")</f>
        <v>2.4305108145421075</v>
      </c>
      <c r="J106">
        <v>-0.53</v>
      </c>
      <c r="K106">
        <v>1.66</v>
      </c>
      <c r="L106">
        <v>1.1299999999999999</v>
      </c>
      <c r="M106" s="1">
        <f>IF(ISNUMBER(Main_M[[#This Row],[EPS]]),IF(Main_M[[#This Row],[EPS]]&lt;&gt;0,Main_M[[#This Row],[Current Price]]/Main_M[[#This Row],[EPS]],""),"")</f>
        <v>-480.13636363636363</v>
      </c>
      <c r="N106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6" s="1">
        <f>(Main_M[[#This Row],[P/FCF]]-VLOOKUP(Main_M[[#This Row],[Industry]], Mean_PFCF_M, 2, FALSE))/(VLOOKUP(Main_M[[#This Row],[Industry]], Mean_PFCF_M, 3, FALSE))</f>
        <v>0.58937055745637223</v>
      </c>
      <c r="P106" s="1">
        <f>(Main_M[[#This Row],[P/B]]-VLOOKUP(Main_M[[#This Row],[Industry]], Mean_PB_M, 2, FALSE))/(VLOOKUP(Main_M[[#This Row],[Industry]], Mean_PB_M, 3, FALSE))</f>
        <v>-0.22894143643179329</v>
      </c>
      <c r="Q106" s="1">
        <f>(Main_M[[#This Row],[ROE]]-VLOOKUP(Main_M[[#This Row],[Industry]], Mean_ROE_M, 2, FALSE))/(VLOOKUP(Main_M[[#This Row],[Industry]], Mean_ROE_M, 3, FALSE))</f>
        <v>0.1391353077699381</v>
      </c>
      <c r="R106" s="1">
        <f>(Main_M[[#This Row],[ROA]]-VLOOKUP(Main_M[[#This Row],[Industry]], Mean_ROA_M, 2, FALSE))/(VLOOKUP(Main_M[[#This Row],[Industry]], Mean_ROA_M, 3, FALSE))</f>
        <v>0.34945286056163205</v>
      </c>
      <c r="S106" s="1">
        <f>(Main_M[[#This Row],[A/E]]-VLOOKUP(Main_M[[#This Row],[Industry]], Mean_AE_M, 2, FALSE))/(VLOOKUP(Main_M[[#This Row],[Industry]], Mean_AE_M, 3, FALSE))</f>
        <v>-1.186715556790032</v>
      </c>
      <c r="T106" s="1">
        <f>(Main_M[[#This Row],[P/E]]-VLOOKUP(Main_M[[#This Row],[Industry]], Mean_PE_M, 2, FALSE))/(VLOOKUP(Main_M[[#This Row],[Industry]], Mean_PE_M, 3, FALSE))</f>
        <v>-6.6251099790403174</v>
      </c>
      <c r="U106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6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6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6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6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6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07" spans="1:26" x14ac:dyDescent="0.25">
      <c r="A107" t="s">
        <v>173</v>
      </c>
      <c r="B107" t="s">
        <v>299</v>
      </c>
      <c r="C107" s="2">
        <v>2277</v>
      </c>
      <c r="D107">
        <f>RTD("tos.rtd", , "LAST", Main_M[[#This Row],[Symbol]])</f>
        <v>8.44</v>
      </c>
      <c r="E107">
        <v>2.27</v>
      </c>
      <c r="F107">
        <v>2.1</v>
      </c>
      <c r="G107">
        <v>2.88</v>
      </c>
      <c r="H107" s="1">
        <f>IF(ISNUMBER(Main_M[[#This Row],[Free CF]]),IF(Main_M[[#This Row],[Free CF]]&lt;&gt;0,Main_M[[#This Row],[Current Price]]/Main_M[[#This Row],[Free CF]],""),"")</f>
        <v>3.7180616740088102</v>
      </c>
      <c r="I107" s="1">
        <f>IF(ISNUMBER(Main_M[[#This Row],[BVPS]]),IF(Main_M[[#This Row],[BVPS]]&lt;&gt;0,Main_M[[#This Row],[Current Price]]/Main_M[[#This Row],[BVPS]],""),"")</f>
        <v>4.019047619047619</v>
      </c>
      <c r="J107">
        <v>254.24</v>
      </c>
      <c r="K107">
        <v>6.98</v>
      </c>
      <c r="L107">
        <v>24.27</v>
      </c>
      <c r="M107" s="1">
        <f>IF(ISNUMBER(Main_M[[#This Row],[EPS]]),IF(Main_M[[#This Row],[EPS]]&lt;&gt;0,Main_M[[#This Row],[Current Price]]/Main_M[[#This Row],[EPS]],""),"")</f>
        <v>2.9305555555555554</v>
      </c>
      <c r="N107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7" s="1">
        <f>(Main_M[[#This Row],[P/FCF]]-VLOOKUP(Main_M[[#This Row],[Industry]], Mean_PFCF_M, 2, FALSE))/(VLOOKUP(Main_M[[#This Row],[Industry]], Mean_PFCF_M, 3, FALSE))</f>
        <v>-2.519783076301339E-2</v>
      </c>
      <c r="P107" s="1">
        <f>(Main_M[[#This Row],[P/B]]-VLOOKUP(Main_M[[#This Row],[Industry]], Mean_PB_M, 2, FALSE))/(VLOOKUP(Main_M[[#This Row],[Industry]], Mean_PB_M, 3, FALSE))</f>
        <v>-9.0687872974137995E-2</v>
      </c>
      <c r="Q107" s="1">
        <f>(Main_M[[#This Row],[ROE]]-VLOOKUP(Main_M[[#This Row],[Industry]], Mean_ROE_M, 2, FALSE))/(VLOOKUP(Main_M[[#This Row],[Industry]], Mean_ROE_M, 3, FALSE))</f>
        <v>2.2774546166046981</v>
      </c>
      <c r="R107" s="1">
        <f>(Main_M[[#This Row],[ROA]]-VLOOKUP(Main_M[[#This Row],[Industry]], Mean_ROA_M, 2, FALSE))/(VLOOKUP(Main_M[[#This Row],[Industry]], Mean_ROA_M, 3, FALSE))</f>
        <v>0.78563124856191713</v>
      </c>
      <c r="S107" s="1">
        <f>(Main_M[[#This Row],[A/E]]-VLOOKUP(Main_M[[#This Row],[Industry]], Mean_AE_M, 2, FALSE))/(VLOOKUP(Main_M[[#This Row],[Industry]], Mean_AE_M, 3, FALSE))</f>
        <v>47.416112733690206</v>
      </c>
      <c r="T107" s="1">
        <f>(Main_M[[#This Row],[P/E]]-VLOOKUP(Main_M[[#This Row],[Industry]], Mean_PE_M, 2, FALSE))/(VLOOKUP(Main_M[[#This Row],[Industry]], Mean_PE_M, 3, FALSE))</f>
        <v>0.32498472773609483</v>
      </c>
      <c r="U107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7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7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7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Yes</v>
      </c>
      <c r="Y107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Yes</v>
      </c>
      <c r="Z107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8" spans="1:26" x14ac:dyDescent="0.25">
      <c r="A108" t="s">
        <v>173</v>
      </c>
      <c r="B108" t="s">
        <v>300</v>
      </c>
      <c r="C108" s="2">
        <v>4033</v>
      </c>
      <c r="D108">
        <f>RTD("tos.rtd", , "LAST", Main_M[[#This Row],[Symbol]])</f>
        <v>86.97</v>
      </c>
      <c r="E108">
        <v>5</v>
      </c>
      <c r="F108">
        <v>36.07</v>
      </c>
      <c r="G108">
        <v>4.26</v>
      </c>
      <c r="H108" s="1">
        <f>IF(ISNUMBER(Main_M[[#This Row],[Free CF]]),IF(Main_M[[#This Row],[Free CF]]&lt;&gt;0,Main_M[[#This Row],[Current Price]]/Main_M[[#This Row],[Free CF]],""),"")</f>
        <v>17.393999999999998</v>
      </c>
      <c r="I108" s="1">
        <f>IF(ISNUMBER(Main_M[[#This Row],[BVPS]]),IF(Main_M[[#This Row],[BVPS]]&lt;&gt;0,Main_M[[#This Row],[Current Price]]/Main_M[[#This Row],[BVPS]],""),"")</f>
        <v>2.4111449958414193</v>
      </c>
      <c r="J108">
        <v>12.62</v>
      </c>
      <c r="K108">
        <v>6.19</v>
      </c>
      <c r="L108">
        <v>1.86</v>
      </c>
      <c r="M108" s="1">
        <f>IF(ISNUMBER(Main_M[[#This Row],[EPS]]),IF(Main_M[[#This Row],[EPS]]&lt;&gt;0,Main_M[[#This Row],[Current Price]]/Main_M[[#This Row],[EPS]],""),"")</f>
        <v>20.41549295774648</v>
      </c>
      <c r="N108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8" s="1">
        <f>(Main_M[[#This Row],[P/FCF]]-VLOOKUP(Main_M[[#This Row],[Industry]], Mean_PFCF_M, 2, FALSE))/(VLOOKUP(Main_M[[#This Row],[Industry]], Mean_PFCF_M, 3, FALSE))</f>
        <v>0.48244839949822443</v>
      </c>
      <c r="P108" s="1">
        <f>(Main_M[[#This Row],[P/B]]-VLOOKUP(Main_M[[#This Row],[Industry]], Mean_PB_M, 2, FALSE))/(VLOOKUP(Main_M[[#This Row],[Industry]], Mean_PB_M, 3, FALSE))</f>
        <v>-0.23062688270980916</v>
      </c>
      <c r="Q108" s="1">
        <f>(Main_M[[#This Row],[ROE]]-VLOOKUP(Main_M[[#This Row],[Industry]], Mean_ROE_M, 2, FALSE))/(VLOOKUP(Main_M[[#This Row],[Industry]], Mean_ROE_M, 3, FALSE))</f>
        <v>0.24950504875662058</v>
      </c>
      <c r="R108" s="1">
        <f>(Main_M[[#This Row],[ROA]]-VLOOKUP(Main_M[[#This Row],[Industry]], Mean_ROA_M, 2, FALSE))/(VLOOKUP(Main_M[[#This Row],[Industry]], Mean_ROA_M, 3, FALSE))</f>
        <v>0.72086039771225074</v>
      </c>
      <c r="S108" s="1">
        <f>(Main_M[[#This Row],[A/E]]-VLOOKUP(Main_M[[#This Row],[Industry]], Mean_AE_M, 2, FALSE))/(VLOOKUP(Main_M[[#This Row],[Industry]], Mean_AE_M, 3, FALSE))</f>
        <v>0.34656295021301819</v>
      </c>
      <c r="T108" s="1">
        <f>(Main_M[[#This Row],[P/E]]-VLOOKUP(Main_M[[#This Row],[Industry]], Mean_PE_M, 2, FALSE))/(VLOOKUP(Main_M[[#This Row],[Industry]], Mean_PE_M, 3, FALSE))</f>
        <v>0.57654815727204323</v>
      </c>
      <c r="U108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8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8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8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8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8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09" spans="1:26" x14ac:dyDescent="0.25">
      <c r="A109" t="s">
        <v>173</v>
      </c>
      <c r="B109" t="s">
        <v>301</v>
      </c>
      <c r="C109" s="2">
        <v>3604</v>
      </c>
      <c r="D109">
        <f>RTD("tos.rtd", , "LAST", Main_M[[#This Row],[Symbol]])</f>
        <v>26.22</v>
      </c>
      <c r="E109">
        <v>1.72</v>
      </c>
      <c r="F109">
        <v>31.64</v>
      </c>
      <c r="G109">
        <v>-1.17</v>
      </c>
      <c r="H109" s="1">
        <f>IF(ISNUMBER(Main_M[[#This Row],[Free CF]]),IF(Main_M[[#This Row],[Free CF]]&lt;&gt;0,Main_M[[#This Row],[Current Price]]/Main_M[[#This Row],[Free CF]],""),"")</f>
        <v>15.244186046511627</v>
      </c>
      <c r="I109" s="1">
        <f>IF(ISNUMBER(Main_M[[#This Row],[BVPS]]),IF(Main_M[[#This Row],[BVPS]]&lt;&gt;0,Main_M[[#This Row],[Current Price]]/Main_M[[#This Row],[BVPS]],""),"")</f>
        <v>0.82869785082174463</v>
      </c>
      <c r="J109">
        <v>-3.54</v>
      </c>
      <c r="K109">
        <v>2.5499999999999998</v>
      </c>
      <c r="L109">
        <v>2.23</v>
      </c>
      <c r="M109" s="1">
        <f>IF(ISNUMBER(Main_M[[#This Row],[EPS]]),IF(Main_M[[#This Row],[EPS]]&lt;&gt;0,Main_M[[#This Row],[Current Price]]/Main_M[[#This Row],[EPS]],""),"")</f>
        <v>-22.410256410256412</v>
      </c>
      <c r="N109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09" s="1">
        <f>(Main_M[[#This Row],[P/FCF]]-VLOOKUP(Main_M[[#This Row],[Industry]], Mean_PFCF_M, 2, FALSE))/(VLOOKUP(Main_M[[#This Row],[Industry]], Mean_PFCF_M, 3, FALSE))</f>
        <v>0.40264802871289601</v>
      </c>
      <c r="P109" s="1">
        <f>(Main_M[[#This Row],[P/B]]-VLOOKUP(Main_M[[#This Row],[Industry]], Mean_PB_M, 2, FALSE))/(VLOOKUP(Main_M[[#This Row],[Industry]], Mean_PB_M, 3, FALSE))</f>
        <v>-0.36835045081465129</v>
      </c>
      <c r="Q109" s="1">
        <f>(Main_M[[#This Row],[ROE]]-VLOOKUP(Main_M[[#This Row],[Industry]], Mean_ROE_M, 2, FALSE))/(VLOOKUP(Main_M[[#This Row],[Industry]], Mean_ROE_M, 3, FALSE))</f>
        <v>0.11387196781785337</v>
      </c>
      <c r="R109" s="1">
        <f>(Main_M[[#This Row],[ROA]]-VLOOKUP(Main_M[[#This Row],[Industry]], Mean_ROA_M, 2, FALSE))/(VLOOKUP(Main_M[[#This Row],[Industry]], Mean_ROA_M, 3, FALSE))</f>
        <v>0.42242255329100298</v>
      </c>
      <c r="S109" s="1">
        <f>(Main_M[[#This Row],[A/E]]-VLOOKUP(Main_M[[#This Row],[Industry]], Mean_AE_M, 2, FALSE))/(VLOOKUP(Main_M[[#This Row],[Industry]], Mean_AE_M, 3, FALSE))</f>
        <v>1.1237041112967556</v>
      </c>
      <c r="T109" s="1">
        <f>(Main_M[[#This Row],[P/E]]-VLOOKUP(Main_M[[#This Row],[Industry]], Mean_PE_M, 2, FALSE))/(VLOOKUP(Main_M[[#This Row],[Industry]], Mean_PE_M, 3, FALSE))</f>
        <v>-3.9604599563782823E-2</v>
      </c>
      <c r="U109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09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09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09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09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09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  <row r="110" spans="1:26" x14ac:dyDescent="0.25">
      <c r="A110" t="s">
        <v>173</v>
      </c>
      <c r="B110" t="s">
        <v>302</v>
      </c>
      <c r="C110" s="2">
        <v>2472</v>
      </c>
      <c r="D110">
        <f>RTD("tos.rtd", , "LAST", Main_M[[#This Row],[Symbol]])</f>
        <v>312.2</v>
      </c>
      <c r="E110">
        <v>-0.31</v>
      </c>
      <c r="F110">
        <v>0.63</v>
      </c>
      <c r="G110">
        <v>-0.33</v>
      </c>
      <c r="H110" s="1">
        <f>IF(ISNUMBER(Main_M[[#This Row],[Free CF]]),IF(Main_M[[#This Row],[Free CF]]&lt;&gt;0,Main_M[[#This Row],[Current Price]]/Main_M[[#This Row],[Free CF]],""),"")</f>
        <v>-1007.0967741935484</v>
      </c>
      <c r="I110" s="1">
        <f>IF(ISNUMBER(Main_M[[#This Row],[BVPS]]),IF(Main_M[[#This Row],[BVPS]]&lt;&gt;0,Main_M[[#This Row],[Current Price]]/Main_M[[#This Row],[BVPS]],""),"")</f>
        <v>495.55555555555554</v>
      </c>
      <c r="J110">
        <v>-43.18</v>
      </c>
      <c r="K110">
        <v>-28.12</v>
      </c>
      <c r="L110">
        <v>1.03</v>
      </c>
      <c r="M110" s="1">
        <f>IF(ISNUMBER(Main_M[[#This Row],[EPS]]),IF(Main_M[[#This Row],[EPS]]&lt;&gt;0,Main_M[[#This Row],[Current Price]]/Main_M[[#This Row],[EPS]],""),"")</f>
        <v>-946.06060606060601</v>
      </c>
      <c r="N110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0" s="1">
        <f>(Main_M[[#This Row],[P/FCF]]-VLOOKUP(Main_M[[#This Row],[Industry]], Mean_PFCF_M, 2, FALSE))/(VLOOKUP(Main_M[[#This Row],[Industry]], Mean_PFCF_M, 3, FALSE))</f>
        <v>-37.546304513810796</v>
      </c>
      <c r="P110" s="1">
        <f>(Main_M[[#This Row],[P/B]]-VLOOKUP(Main_M[[#This Row],[Industry]], Mean_PB_M, 2, FALSE))/(VLOOKUP(Main_M[[#This Row],[Industry]], Mean_PB_M, 3, FALSE))</f>
        <v>42.688726238811718</v>
      </c>
      <c r="Q110" s="1">
        <f>(Main_M[[#This Row],[ROE]]-VLOOKUP(Main_M[[#This Row],[Industry]], Mean_ROE_M, 2, FALSE))/(VLOOKUP(Main_M[[#This Row],[Industry]], Mean_ROE_M, 3, FALSE))</f>
        <v>-0.21883195101956815</v>
      </c>
      <c r="R110" s="1">
        <f>(Main_M[[#This Row],[ROA]]-VLOOKUP(Main_M[[#This Row],[Industry]], Mean_ROA_M, 2, FALSE))/(VLOOKUP(Main_M[[#This Row],[Industry]], Mean_ROA_M, 3, FALSE))</f>
        <v>-2.0921622512143996</v>
      </c>
      <c r="S110" s="1">
        <f>(Main_M[[#This Row],[A/E]]-VLOOKUP(Main_M[[#This Row],[Industry]], Mean_AE_M, 2, FALSE))/(VLOOKUP(Main_M[[#This Row],[Industry]], Mean_AE_M, 3, FALSE))</f>
        <v>-1.3967537084342851</v>
      </c>
      <c r="T110" s="1">
        <f>(Main_M[[#This Row],[P/E]]-VLOOKUP(Main_M[[#This Row],[Industry]], Mean_PE_M, 2, FALSE))/(VLOOKUP(Main_M[[#This Row],[Industry]], Mean_PE_M, 3, FALSE))</f>
        <v>-13.328565509484156</v>
      </c>
      <c r="U110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Yes</v>
      </c>
      <c r="V110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Yes</v>
      </c>
      <c r="W110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0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0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0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Yes</v>
      </c>
    </row>
    <row r="111" spans="1:26" x14ac:dyDescent="0.25">
      <c r="A111" t="s">
        <v>173</v>
      </c>
      <c r="B111" t="s">
        <v>303</v>
      </c>
      <c r="C111" s="2">
        <v>5886</v>
      </c>
      <c r="D111">
        <f>RTD("tos.rtd", , "LAST", Main_M[[#This Row],[Symbol]])</f>
        <v>67.569999999999993</v>
      </c>
      <c r="E111">
        <v>-1.47</v>
      </c>
      <c r="F111">
        <v>2.4900000000000002</v>
      </c>
      <c r="G111">
        <v>-2.02</v>
      </c>
      <c r="H111" s="1">
        <f>IF(ISNUMBER(Main_M[[#This Row],[Free CF]]),IF(Main_M[[#This Row],[Free CF]]&lt;&gt;0,Main_M[[#This Row],[Current Price]]/Main_M[[#This Row],[Free CF]],""),"")</f>
        <v>-45.965986394557817</v>
      </c>
      <c r="I111" s="1">
        <f>IF(ISNUMBER(Main_M[[#This Row],[BVPS]]),IF(Main_M[[#This Row],[BVPS]]&lt;&gt;0,Main_M[[#This Row],[Current Price]]/Main_M[[#This Row],[BVPS]],""),"")</f>
        <v>27.13654618473895</v>
      </c>
      <c r="J111">
        <v>-72.61</v>
      </c>
      <c r="K111">
        <v>-20.64</v>
      </c>
      <c r="L111">
        <v>2.3199999999999998</v>
      </c>
      <c r="M111" s="1">
        <f>IF(ISNUMBER(Main_M[[#This Row],[EPS]]),IF(Main_M[[#This Row],[EPS]]&lt;&gt;0,Main_M[[#This Row],[Current Price]]/Main_M[[#This Row],[EPS]],""),"")</f>
        <v>-33.450495049504944</v>
      </c>
      <c r="N111" t="str">
        <f>IF(AND(Main_M[[#This Row],[P/FCF]]&gt;0, Main_M[[#This Row],[P/FCF]]&lt;VLOOKUP(Main_M[[#This Row],[Industry]], Mean_PFCF_M, 2, FALSE), Main_M[[#This Row],[P/B]]&gt;0,  Main_M[[#This Row],[P/B]]&lt;VLOOKUP(Main_M[[#This Row],[Industry]], Mean_PB_M, 2, FALSE), Main_M[[#This Row],[ROE]]&gt;10, Main_M[[#This Row],[ROA]]&gt;5, Main_M[[#This Row],[A/E]]&gt;1, Main_M[[#This Row],[A/E]]&lt;VLOOKUP(Main_M[[#This Row],[Industry]], Mean_AE_M, 2, FALSE)), "YES", "NO")</f>
        <v>NO</v>
      </c>
      <c r="O111" s="1">
        <f>(Main_M[[#This Row],[P/FCF]]-VLOOKUP(Main_M[[#This Row],[Industry]], Mean_PFCF_M, 2, FALSE))/(VLOOKUP(Main_M[[#This Row],[Industry]], Mean_PFCF_M, 3, FALSE))</f>
        <v>-1.8694529820305208</v>
      </c>
      <c r="P111" s="1">
        <f>(Main_M[[#This Row],[P/B]]-VLOOKUP(Main_M[[#This Row],[Industry]], Mean_PB_M, 2, FALSE))/(VLOOKUP(Main_M[[#This Row],[Industry]], Mean_PB_M, 3, FALSE))</f>
        <v>1.9212746738608748</v>
      </c>
      <c r="Q111" s="1">
        <f>(Main_M[[#This Row],[ROE]]-VLOOKUP(Main_M[[#This Row],[Industry]], Mean_ROE_M, 2, FALSE))/(VLOOKUP(Main_M[[#This Row],[Industry]], Mean_ROE_M, 3, FALSE))</f>
        <v>-0.46584194928862249</v>
      </c>
      <c r="R111" s="1">
        <f>(Main_M[[#This Row],[ROA]]-VLOOKUP(Main_M[[#This Row],[Industry]], Mean_ROA_M, 2, FALSE))/(VLOOKUP(Main_M[[#This Row],[Industry]], Mean_ROA_M, 3, FALSE))</f>
        <v>-1.4788888786124952</v>
      </c>
      <c r="S111" s="1">
        <f>(Main_M[[#This Row],[A/E]]-VLOOKUP(Main_M[[#This Row],[Industry]], Mean_AE_M, 2, FALSE))/(VLOOKUP(Main_M[[#This Row],[Industry]], Mean_AE_M, 3, FALSE))</f>
        <v>1.3127384477765833</v>
      </c>
      <c r="T111" s="1">
        <f>(Main_M[[#This Row],[P/E]]-VLOOKUP(Main_M[[#This Row],[Industry]], Mean_PE_M, 2, FALSE))/(VLOOKUP(Main_M[[#This Row],[Industry]], Mean_PE_M, 3, FALSE))</f>
        <v>-0.19844533379693172</v>
      </c>
      <c r="U111" t="str">
        <f>IF(OR(Main_M[[#This Row],[P/FCF]]&lt;_xlfn.XLOOKUP(Main_M[[#This Row],[Industry]], Quartile_M[Industry], Quartile_M[P/FCF LB]), Main_M[[#This Row],[P/FCF]]&gt;_xlfn.XLOOKUP(Main_M[[#This Row],[Industry]], Quartile_M[Industry], Quartile_M[P/FCF UB])), "Yes", "No")</f>
        <v>No</v>
      </c>
      <c r="V111" t="str">
        <f>IF(OR(Main_M[[#This Row],[P/B]]&lt;_xlfn.XLOOKUP(Main_M[[#This Row],[Industry]],Quartile_M[Industry],Quartile_M[P/B LB]),Main_M[[#This Row],[P/B]]&gt;_xlfn.XLOOKUP(Main_M[[#This Row],[Industry]],Quartile_M[Industry],Quartile_M[P/B UB])),"Yes","No")</f>
        <v>No</v>
      </c>
      <c r="W111" t="str">
        <f>IF(OR(Main_M[[#This Row],[ROA]]&lt;_xlfn.XLOOKUP(Main_M[[#This Row],[Industry]],Quartile_M[Industry],Quartile_M[ROA LB]),Main_M[[#This Row],[ROA]]&gt;_xlfn.XLOOKUP(Main_M[[#This Row],[Industry]],Quartile_M[Industry],Quartile_M[ROA UB])),"Yes","No")</f>
        <v>No</v>
      </c>
      <c r="X111" t="str">
        <f>IF(OR(Main_M[[#This Row],[ROE]]&lt;_xlfn.XLOOKUP(Main_M[[#This Row],[Industry]],Quartile_M[Industry],Quartile_M[ROE LB]),Main_M[[#This Row],[ROE]]&gt;_xlfn.XLOOKUP(Main_M[[#This Row],[Industry]],Quartile_M[Industry],Quartile_M[ROE UB])),"Yes","No")</f>
        <v>No</v>
      </c>
      <c r="Y111" t="str">
        <f>IF(OR(Main_M[[#This Row],[A/E]]&lt;_xlfn.XLOOKUP(Main_M[[#This Row],[Industry]],Quartile_M[Industry],Quartile_M[A/E LB]),Main_M[[#This Row],[A/E]]&gt;_xlfn.XLOOKUP(Main_M[[#This Row],[Industry]],Quartile_M[Industry],Quartile_M[A/E UB])),"Yes","No")</f>
        <v>No</v>
      </c>
      <c r="Z111" t="str">
        <f>IF(OR(Main_M[[#This Row],[P/E]]&lt;_xlfn.XLOOKUP(Main_M[[#This Row],[Industry]],Quartile_M[Industry],Quartile_M[P/E LB]),Main_M[[#This Row],[P/E]]&gt;_xlfn.XLOOKUP(Main_M[[#This Row],[Industry]],Quartile_M[Industry],Quartile_M[P/E UB])),"Yes","No")</f>
        <v>No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FF2C84-C5D7-44A4-9584-CA955106FEB8}">
  <sheetPr codeName="Sheet4"/>
  <dimension ref="A1:Z279"/>
  <sheetViews>
    <sheetView workbookViewId="0">
      <selection activeCell="B24" sqref="B24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32.42578125" bestFit="1" customWidth="1"/>
    <col min="5" max="5" width="10.140625" bestFit="1" customWidth="1"/>
    <col min="6" max="6" width="7.85546875" bestFit="1" customWidth="1"/>
    <col min="7" max="7" width="7.7109375" bestFit="1" customWidth="1"/>
    <col min="8" max="8" width="75.85546875" bestFit="1" customWidth="1"/>
    <col min="9" max="9" width="66.42578125" bestFit="1" customWidth="1"/>
    <col min="10" max="11" width="7.7109375" bestFit="1" customWidth="1"/>
    <col min="12" max="12" width="7" bestFit="1" customWidth="1"/>
    <col min="13" max="13" width="62.42578125" bestFit="1" customWidth="1"/>
    <col min="14" max="14" width="21.140625" bestFit="1" customWidth="1"/>
    <col min="15" max="15" width="16" bestFit="1" customWidth="1"/>
    <col min="16" max="16" width="13.5703125" bestFit="1" customWidth="1"/>
    <col min="17" max="18" width="14.42578125" bestFit="1" customWidth="1"/>
    <col min="19" max="20" width="13.5703125" bestFit="1" customWidth="1"/>
    <col min="21" max="21" width="15.42578125" bestFit="1" customWidth="1"/>
    <col min="22" max="22" width="13" bestFit="1" customWidth="1"/>
    <col min="23" max="24" width="13.85546875" bestFit="1" customWidth="1"/>
    <col min="25" max="29" width="13" bestFit="1" customWidth="1"/>
  </cols>
  <sheetData>
    <row r="1" spans="1:26" x14ac:dyDescent="0.25">
      <c r="A1" t="s">
        <v>1</v>
      </c>
      <c r="B1" t="s">
        <v>24</v>
      </c>
      <c r="C1" s="2" t="s">
        <v>54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71</v>
      </c>
      <c r="J1" t="s">
        <v>30</v>
      </c>
      <c r="K1" t="s">
        <v>31</v>
      </c>
      <c r="L1" t="s">
        <v>33</v>
      </c>
      <c r="M1" t="s">
        <v>32</v>
      </c>
      <c r="N1" t="s">
        <v>34</v>
      </c>
      <c r="O1" t="s">
        <v>90</v>
      </c>
      <c r="P1" t="s">
        <v>91</v>
      </c>
      <c r="Q1" t="s">
        <v>92</v>
      </c>
      <c r="R1" t="s">
        <v>93</v>
      </c>
      <c r="S1" t="s">
        <v>94</v>
      </c>
      <c r="T1" t="s">
        <v>95</v>
      </c>
      <c r="U1" t="s">
        <v>35</v>
      </c>
      <c r="V1" t="s">
        <v>76</v>
      </c>
      <c r="W1" t="s">
        <v>36</v>
      </c>
      <c r="X1" t="s">
        <v>37</v>
      </c>
      <c r="Y1" t="s">
        <v>39</v>
      </c>
      <c r="Z1" t="s">
        <v>38</v>
      </c>
    </row>
    <row r="2" spans="1:26" x14ac:dyDescent="0.25">
      <c r="A2" s="68" t="s">
        <v>152</v>
      </c>
      <c r="B2" s="68" t="s">
        <v>400</v>
      </c>
      <c r="C2" s="2">
        <v>257</v>
      </c>
      <c r="D2">
        <f>RTD("tos.rtd", , "LAST", Main_S[[#This Row],[Symbol]])</f>
        <v>5.63</v>
      </c>
      <c r="E2">
        <v>-1.42</v>
      </c>
      <c r="F2">
        <v>0.96</v>
      </c>
      <c r="G2">
        <v>-1.55</v>
      </c>
      <c r="H2" s="1">
        <f>IF(ISNUMBER(Main_S[[#This Row],[Free CF]]),IF(Main_S[[#This Row],[Free CF]]&lt;&gt;0,Main_S[[#This Row],[Current Price]]/Main_S[[#This Row],[Free CF]],""),"")</f>
        <v>-3.9647887323943665</v>
      </c>
      <c r="I2" s="1">
        <f>IF(ISNUMBER(Main_S[[#This Row],[BVPS]]),IF(Main_S[[#This Row],[BVPS]]&lt;&gt;0,Main_S[[#This Row],[Current Price]]/Main_S[[#This Row],[BVPS]],""),"")</f>
        <v>5.864583333333333</v>
      </c>
      <c r="J2">
        <v>-216.57</v>
      </c>
      <c r="K2">
        <v>-46.41</v>
      </c>
      <c r="L2">
        <v>2.4700000000000002</v>
      </c>
      <c r="M2" s="1">
        <f>IF(ISNUMBER(Main_S[[#This Row],[EPS]]),IF(Main_S[[#This Row],[EPS]]&lt;&gt;0,Main_S[[#This Row],[Current Price]]/Main_S[[#This Row],[EPS]],""),"")</f>
        <v>-3.6322580645161286</v>
      </c>
      <c r="N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" s="1">
        <f>(Main_S[[#This Row],[P/FCF]]-VLOOKUP(Main_S[[#This Row],[Industry]], Mean_PFCF_S, 2, FALSE))/(VLOOKUP(Main_S[[#This Row],[Industry]], Mean_PFCF_S, 3, FALSE))</f>
        <v>0.24026228461922622</v>
      </c>
      <c r="P2" s="1">
        <f>(Main_S[[#This Row],[P/B]]-VLOOKUP(Main_S[[#This Row],[Industry]], Mean_PB_S, 2, FALSE))/(VLOOKUP(Main_S[[#This Row],[Industry]], Mean_PB_S, 3, FALSE))</f>
        <v>1.996072577132449</v>
      </c>
      <c r="Q2" s="1">
        <f>(Main_S[[#This Row],[ROE]]-VLOOKUP(Main_S[[#This Row],[Industry]], Mean_ROE_S, 2, FALSE))/(VLOOKUP(Main_S[[#This Row],[Industry]], Mean_ROE_S, 3, FALSE))</f>
        <v>-4.1826315180597327</v>
      </c>
      <c r="R2" s="1">
        <f>(Main_S[[#This Row],[ROA]]-VLOOKUP(Main_S[[#This Row],[Industry]], Mean_ROA_S, 2, FALSE))/(VLOOKUP(Main_S[[#This Row],[Industry]], Mean_ROA_S, 3, FALSE))</f>
        <v>-1.4401614704959607</v>
      </c>
      <c r="S2" s="1">
        <f>(Main_S[[#This Row],[A/E]]-VLOOKUP(Main_S[[#This Row],[Industry]], Mean_AE_S, 2, FALSE))/(VLOOKUP(Main_S[[#This Row],[Industry]], Mean_AE_S, 3, FALSE))</f>
        <v>2.3287709056710897</v>
      </c>
      <c r="T2" s="1">
        <f>(Main_S[[#This Row],[P/E]]-VLOOKUP(Main_S[[#This Row],[Industry]], Mean_PE_S, 2, FALSE))/(VLOOKUP(Main_S[[#This Row],[Industry]], Mean_PE_S, 3, FALSE))</f>
        <v>0.18113523681503796</v>
      </c>
      <c r="U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" spans="1:26" x14ac:dyDescent="0.25">
      <c r="A3" s="68" t="s">
        <v>152</v>
      </c>
      <c r="B3" s="68" t="s">
        <v>401</v>
      </c>
      <c r="C3" s="2">
        <v>339</v>
      </c>
      <c r="D3">
        <f>RTD("tos.rtd", , "LAST", Main_S[[#This Row],[Symbol]])</f>
        <v>2.96</v>
      </c>
      <c r="E3">
        <v>-0.66</v>
      </c>
      <c r="F3">
        <v>1.55</v>
      </c>
      <c r="G3">
        <v>-0.94</v>
      </c>
      <c r="H3" s="1">
        <f>IF(ISNUMBER(Main_S[[#This Row],[Free CF]]),IF(Main_S[[#This Row],[Free CF]]&lt;&gt;0,Main_S[[#This Row],[Current Price]]/Main_S[[#This Row],[Free CF]],""),"")</f>
        <v>-4.4848484848484844</v>
      </c>
      <c r="I3" s="1">
        <f>IF(ISNUMBER(Main_S[[#This Row],[BVPS]]),IF(Main_S[[#This Row],[BVPS]]&lt;&gt;0,Main_S[[#This Row],[Current Price]]/Main_S[[#This Row],[BVPS]],""),"")</f>
        <v>1.9096774193548387</v>
      </c>
      <c r="J3">
        <v>-58.04</v>
      </c>
      <c r="K3">
        <v>-31.18</v>
      </c>
      <c r="L3">
        <v>1.19</v>
      </c>
      <c r="M3" s="1">
        <f>IF(ISNUMBER(Main_S[[#This Row],[EPS]]),IF(Main_S[[#This Row],[EPS]]&lt;&gt;0,Main_S[[#This Row],[Current Price]]/Main_S[[#This Row],[EPS]],""),"")</f>
        <v>-3.1489361702127661</v>
      </c>
      <c r="N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" s="1">
        <f>(Main_S[[#This Row],[P/FCF]]-VLOOKUP(Main_S[[#This Row],[Industry]], Mean_PFCF_S, 2, FALSE))/(VLOOKUP(Main_S[[#This Row],[Industry]], Mean_PFCF_S, 3, FALSE))</f>
        <v>8.7079161767655316E-2</v>
      </c>
      <c r="P3" s="1">
        <f>(Main_S[[#This Row],[P/B]]-VLOOKUP(Main_S[[#This Row],[Industry]], Mean_PB_S, 2, FALSE))/(VLOOKUP(Main_S[[#This Row],[Industry]], Mean_PB_S, 3, FALSE))</f>
        <v>-0.22204906952734782</v>
      </c>
      <c r="Q3" s="1">
        <f>(Main_S[[#This Row],[ROE]]-VLOOKUP(Main_S[[#This Row],[Industry]], Mean_ROE_S, 2, FALSE))/(VLOOKUP(Main_S[[#This Row],[Industry]], Mean_ROE_S, 3, FALSE))</f>
        <v>-0.3248097756517207</v>
      </c>
      <c r="R3" s="1">
        <f>(Main_S[[#This Row],[ROA]]-VLOOKUP(Main_S[[#This Row],[Industry]], Mean_ROA_S, 2, FALSE))/(VLOOKUP(Main_S[[#This Row],[Industry]], Mean_ROA_S, 3, FALSE))</f>
        <v>-0.51688725346709818</v>
      </c>
      <c r="S3" s="1">
        <f>(Main_S[[#This Row],[A/E]]-VLOOKUP(Main_S[[#This Row],[Industry]], Mean_AE_S, 2, FALSE))/(VLOOKUP(Main_S[[#This Row],[Industry]], Mean_AE_S, 3, FALSE))</f>
        <v>-0.53740867053948271</v>
      </c>
      <c r="T3" s="1">
        <f>(Main_S[[#This Row],[P/E]]-VLOOKUP(Main_S[[#This Row],[Industry]], Mean_PE_S, 2, FALSE))/(VLOOKUP(Main_S[[#This Row],[Industry]], Mean_PE_S, 3, FALSE))</f>
        <v>0.32776810148645219</v>
      </c>
      <c r="U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" spans="1:26" x14ac:dyDescent="0.25">
      <c r="A4" s="68" t="s">
        <v>152</v>
      </c>
      <c r="B4" s="68" t="s">
        <v>402</v>
      </c>
      <c r="C4" s="2">
        <v>630</v>
      </c>
      <c r="D4">
        <f>RTD("tos.rtd", , "LAST", Main_S[[#This Row],[Symbol]])</f>
        <v>3.19</v>
      </c>
      <c r="E4">
        <v>-0.35</v>
      </c>
      <c r="F4">
        <v>0.51</v>
      </c>
      <c r="G4">
        <v>-0.38</v>
      </c>
      <c r="H4" s="1">
        <f>IF(ISNUMBER(Main_S[[#This Row],[Free CF]]),IF(Main_S[[#This Row],[Free CF]]&lt;&gt;0,Main_S[[#This Row],[Current Price]]/Main_S[[#This Row],[Free CF]],""),"")</f>
        <v>-9.1142857142857139</v>
      </c>
      <c r="I4" s="1">
        <f>IF(ISNUMBER(Main_S[[#This Row],[BVPS]]),IF(Main_S[[#This Row],[BVPS]]&lt;&gt;0,Main_S[[#This Row],[Current Price]]/Main_S[[#This Row],[BVPS]],""),"")</f>
        <v>6.2549019607843137</v>
      </c>
      <c r="J4">
        <v>-68.760000000000005</v>
      </c>
      <c r="K4">
        <v>-33.36</v>
      </c>
      <c r="L4">
        <v>1.35</v>
      </c>
      <c r="M4" s="1">
        <f>IF(ISNUMBER(Main_S[[#This Row],[EPS]]),IF(Main_S[[#This Row],[EPS]]&lt;&gt;0,Main_S[[#This Row],[Current Price]]/Main_S[[#This Row],[EPS]],""),"")</f>
        <v>-8.3947368421052637</v>
      </c>
      <c r="N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" s="1">
        <f>(Main_S[[#This Row],[P/FCF]]-VLOOKUP(Main_S[[#This Row],[Industry]], Mean_PFCF_S, 2, FALSE))/(VLOOKUP(Main_S[[#This Row],[Industry]], Mean_PFCF_S, 3, FALSE))</f>
        <v>-1.2765173259514817</v>
      </c>
      <c r="P4" s="1">
        <f>(Main_S[[#This Row],[P/B]]-VLOOKUP(Main_S[[#This Row],[Industry]], Mean_PB_S, 2, FALSE))/(VLOOKUP(Main_S[[#This Row],[Industry]], Mean_PB_S, 3, FALSE))</f>
        <v>2.2149840292566343</v>
      </c>
      <c r="Q4" s="1">
        <f>(Main_S[[#This Row],[ROE]]-VLOOKUP(Main_S[[#This Row],[Industry]], Mean_ROE_S, 2, FALSE))/(VLOOKUP(Main_S[[#This Row],[Industry]], Mean_ROE_S, 3, FALSE))</f>
        <v>-0.58568058293497249</v>
      </c>
      <c r="R4" s="1">
        <f>(Main_S[[#This Row],[ROA]]-VLOOKUP(Main_S[[#This Row],[Industry]], Mean_ROA_S, 2, FALSE))/(VLOOKUP(Main_S[[#This Row],[Industry]], Mean_ROA_S, 3, FALSE))</f>
        <v>-0.64904337908252296</v>
      </c>
      <c r="S4" s="1">
        <f>(Main_S[[#This Row],[A/E]]-VLOOKUP(Main_S[[#This Row],[Industry]], Mean_AE_S, 2, FALSE))/(VLOOKUP(Main_S[[#This Row],[Industry]], Mean_AE_S, 3, FALSE))</f>
        <v>-0.17913622351316089</v>
      </c>
      <c r="T4" s="1">
        <f>(Main_S[[#This Row],[P/E]]-VLOOKUP(Main_S[[#This Row],[Industry]], Mean_PE_S, 2, FALSE))/(VLOOKUP(Main_S[[#This Row],[Industry]], Mean_PE_S, 3, FALSE))</f>
        <v>-1.2637318679563243</v>
      </c>
      <c r="U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" spans="1:26" x14ac:dyDescent="0.25">
      <c r="A5" s="68" t="s">
        <v>152</v>
      </c>
      <c r="B5" s="68" t="s">
        <v>403</v>
      </c>
      <c r="C5" s="2">
        <v>420</v>
      </c>
      <c r="D5">
        <f>RTD("tos.rtd", , "LAST", Main_S[[#This Row],[Symbol]])</f>
        <v>6.04</v>
      </c>
      <c r="E5">
        <v>-2.54</v>
      </c>
      <c r="F5">
        <v>0.66</v>
      </c>
      <c r="G5">
        <v>-2.9</v>
      </c>
      <c r="H5" s="1">
        <f>IF(ISNUMBER(Main_S[[#This Row],[Free CF]]),IF(Main_S[[#This Row],[Free CF]]&lt;&gt;0,Main_S[[#This Row],[Current Price]]/Main_S[[#This Row],[Free CF]],""),"")</f>
        <v>-2.3779527559055116</v>
      </c>
      <c r="I5" s="1">
        <f>IF(ISNUMBER(Main_S[[#This Row],[BVPS]]),IF(Main_S[[#This Row],[BVPS]]&lt;&gt;0,Main_S[[#This Row],[Current Price]]/Main_S[[#This Row],[BVPS]],""),"")</f>
        <v>9.1515151515151505</v>
      </c>
      <c r="J5">
        <v>-148.97999999999999</v>
      </c>
      <c r="K5">
        <v>-40.619999999999997</v>
      </c>
      <c r="L5">
        <v>5.0599999999999996</v>
      </c>
      <c r="M5" s="1">
        <f>IF(ISNUMBER(Main_S[[#This Row],[EPS]]),IF(Main_S[[#This Row],[EPS]]&lt;&gt;0,Main_S[[#This Row],[Current Price]]/Main_S[[#This Row],[EPS]],""),"")</f>
        <v>-2.0827586206896553</v>
      </c>
      <c r="N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" s="1">
        <f>(Main_S[[#This Row],[P/FCF]]-VLOOKUP(Main_S[[#This Row],[Industry]], Mean_PFCF_S, 2, FALSE))/(VLOOKUP(Main_S[[#This Row],[Industry]], Mean_PFCF_S, 3, FALSE))</f>
        <v>0.70766336533106244</v>
      </c>
      <c r="P5" s="1">
        <f>(Main_S[[#This Row],[P/B]]-VLOOKUP(Main_S[[#This Row],[Industry]], Mean_PB_S, 2, FALSE))/(VLOOKUP(Main_S[[#This Row],[Industry]], Mean_PB_S, 3, FALSE))</f>
        <v>3.8395588131095861</v>
      </c>
      <c r="Q5" s="1">
        <f>(Main_S[[#This Row],[ROE]]-VLOOKUP(Main_S[[#This Row],[Industry]], Mean_ROE_S, 2, FALSE))/(VLOOKUP(Main_S[[#This Row],[Industry]], Mean_ROE_S, 3, FALSE))</f>
        <v>-2.5378313441534845</v>
      </c>
      <c r="R5" s="1">
        <f>(Main_S[[#This Row],[ROA]]-VLOOKUP(Main_S[[#This Row],[Industry]], Mean_ROA_S, 2, FALSE))/(VLOOKUP(Main_S[[#This Row],[Industry]], Mean_ROA_S, 3, FALSE))</f>
        <v>-1.0891596506274699</v>
      </c>
      <c r="S5" s="1">
        <f>(Main_S[[#This Row],[A/E]]-VLOOKUP(Main_S[[#This Row],[Industry]], Mean_AE_S, 2, FALSE))/(VLOOKUP(Main_S[[#This Row],[Industry]], Mean_AE_S, 3, FALSE))</f>
        <v>8.1283061419096665</v>
      </c>
      <c r="T5" s="1">
        <f>(Main_S[[#This Row],[P/E]]-VLOOKUP(Main_S[[#This Row],[Industry]], Mean_PE_S, 2, FALSE))/(VLOOKUP(Main_S[[#This Row],[Industry]], Mean_PE_S, 3, FALSE))</f>
        <v>0.65123093273323163</v>
      </c>
      <c r="U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" spans="1:26" x14ac:dyDescent="0.25">
      <c r="A6" s="68" t="s">
        <v>152</v>
      </c>
      <c r="B6" s="68" t="s">
        <v>404</v>
      </c>
      <c r="C6" s="2">
        <v>1634</v>
      </c>
      <c r="D6">
        <f>RTD("tos.rtd", , "LAST", Main_S[[#This Row],[Symbol]])</f>
        <v>28.74</v>
      </c>
      <c r="E6">
        <v>-7.07</v>
      </c>
      <c r="F6">
        <v>25.33</v>
      </c>
      <c r="G6">
        <v>11.45</v>
      </c>
      <c r="H6" s="1">
        <f>IF(ISNUMBER(Main_S[[#This Row],[Free CF]]),IF(Main_S[[#This Row],[Free CF]]&lt;&gt;0,Main_S[[#This Row],[Current Price]]/Main_S[[#This Row],[Free CF]],""),"")</f>
        <v>-4.0650636492220649</v>
      </c>
      <c r="I6" s="1">
        <f>IF(ISNUMBER(Main_S[[#This Row],[BVPS]]),IF(Main_S[[#This Row],[BVPS]]&lt;&gt;0,Main_S[[#This Row],[Current Price]]/Main_S[[#This Row],[BVPS]],""),"")</f>
        <v>1.1346229767074616</v>
      </c>
      <c r="J6">
        <v>60.26</v>
      </c>
      <c r="K6">
        <v>-22.88</v>
      </c>
      <c r="L6">
        <v>1.06</v>
      </c>
      <c r="M6" s="1">
        <f>IF(ISNUMBER(Main_S[[#This Row],[EPS]]),IF(Main_S[[#This Row],[EPS]]&lt;&gt;0,Main_S[[#This Row],[Current Price]]/Main_S[[#This Row],[EPS]],""),"")</f>
        <v>2.5100436681222709</v>
      </c>
      <c r="N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" s="1">
        <f>(Main_S[[#This Row],[P/FCF]]-VLOOKUP(Main_S[[#This Row],[Industry]], Mean_PFCF_S, 2, FALSE))/(VLOOKUP(Main_S[[#This Row],[Industry]], Mean_PFCF_S, 3, FALSE))</f>
        <v>0.21072639988508973</v>
      </c>
      <c r="P6" s="1">
        <f>(Main_S[[#This Row],[P/B]]-VLOOKUP(Main_S[[#This Row],[Industry]], Mean_PB_S, 2, FALSE))/(VLOOKUP(Main_S[[#This Row],[Industry]], Mean_PB_S, 3, FALSE))</f>
        <v>-0.65674083564488173</v>
      </c>
      <c r="Q6" s="1">
        <f>(Main_S[[#This Row],[ROE]]-VLOOKUP(Main_S[[#This Row],[Industry]], Mean_ROE_S, 2, FALSE))/(VLOOKUP(Main_S[[#This Row],[Industry]], Mean_ROE_S, 3, FALSE))</f>
        <v>2.5540163905431186</v>
      </c>
      <c r="R6" s="1">
        <f>(Main_S[[#This Row],[ROA]]-VLOOKUP(Main_S[[#This Row],[Industry]], Mean_ROA_S, 2, FALSE))/(VLOOKUP(Main_S[[#This Row],[Industry]], Mean_ROA_S, 3, FALSE))</f>
        <v>-1.3724022912957599E-2</v>
      </c>
      <c r="S6" s="1">
        <f>(Main_S[[#This Row],[A/E]]-VLOOKUP(Main_S[[#This Row],[Industry]], Mean_AE_S, 2, FALSE))/(VLOOKUP(Main_S[[#This Row],[Industry]], Mean_AE_S, 3, FALSE))</f>
        <v>-0.82850503374836859</v>
      </c>
      <c r="T6" s="1">
        <f>(Main_S[[#This Row],[P/E]]-VLOOKUP(Main_S[[#This Row],[Industry]], Mean_PE_S, 2, FALSE))/(VLOOKUP(Main_S[[#This Row],[Industry]], Mean_PE_S, 3, FALSE))</f>
        <v>2.0446206475703965</v>
      </c>
      <c r="U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" spans="1:26" x14ac:dyDescent="0.25">
      <c r="A7" s="68" t="s">
        <v>152</v>
      </c>
      <c r="B7" s="68" t="s">
        <v>405</v>
      </c>
      <c r="C7" s="2">
        <v>643</v>
      </c>
      <c r="D7">
        <f>RTD("tos.rtd", , "LAST", Main_S[[#This Row],[Symbol]])</f>
        <v>2.48</v>
      </c>
      <c r="E7">
        <v>-0.19</v>
      </c>
      <c r="F7">
        <v>-0.22</v>
      </c>
      <c r="G7">
        <v>-0.33</v>
      </c>
      <c r="H7" s="1">
        <f>IF(ISNUMBER(Main_S[[#This Row],[Free CF]]),IF(Main_S[[#This Row],[Free CF]]&lt;&gt;0,Main_S[[#This Row],[Current Price]]/Main_S[[#This Row],[Free CF]],""),"")</f>
        <v>-13.052631578947368</v>
      </c>
      <c r="I7" s="1">
        <f>IF(ISNUMBER(Main_S[[#This Row],[BVPS]]),IF(Main_S[[#This Row],[BVPS]]&lt;&gt;0,Main_S[[#This Row],[Current Price]]/Main_S[[#This Row],[BVPS]],""),"")</f>
        <v>-11.272727272727273</v>
      </c>
      <c r="J7">
        <v>174.03</v>
      </c>
      <c r="K7">
        <v>-12.49</v>
      </c>
      <c r="L7">
        <v>-4.49</v>
      </c>
      <c r="M7" s="1">
        <f>IF(ISNUMBER(Main_S[[#This Row],[EPS]]),IF(Main_S[[#This Row],[EPS]]&lt;&gt;0,Main_S[[#This Row],[Current Price]]/Main_S[[#This Row],[EPS]],""),"")</f>
        <v>-7.5151515151515147</v>
      </c>
      <c r="N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" s="1">
        <f>(Main_S[[#This Row],[P/FCF]]-VLOOKUP(Main_S[[#This Row],[Industry]], Mean_PFCF_S, 2, FALSE))/(VLOOKUP(Main_S[[#This Row],[Industry]], Mean_PFCF_S, 3, FALSE))</f>
        <v>-2.4365534863572367</v>
      </c>
      <c r="P7" s="1">
        <f>(Main_S[[#This Row],[P/B]]-VLOOKUP(Main_S[[#This Row],[Industry]], Mean_PB_S, 2, FALSE))/(VLOOKUP(Main_S[[#This Row],[Industry]], Mean_PB_S, 3, FALSE))</f>
        <v>-7.6154429551286436</v>
      </c>
      <c r="Q7" s="1">
        <f>(Main_S[[#This Row],[ROE]]-VLOOKUP(Main_S[[#This Row],[Industry]], Mean_ROE_S, 2, FALSE))/(VLOOKUP(Main_S[[#This Row],[Industry]], Mean_ROE_S, 3, FALSE))</f>
        <v>5.3226051726900918</v>
      </c>
      <c r="R7" s="1">
        <f>(Main_S[[#This Row],[ROA]]-VLOOKUP(Main_S[[#This Row],[Industry]], Mean_ROA_S, 2, FALSE))/(VLOOKUP(Main_S[[#This Row],[Industry]], Mean_ROA_S, 3, FALSE))</f>
        <v>0.61613934641927359</v>
      </c>
      <c r="S7" s="1">
        <f>(Main_S[[#This Row],[A/E]]-VLOOKUP(Main_S[[#This Row],[Industry]], Mean_AE_S, 2, FALSE))/(VLOOKUP(Main_S[[#This Row],[Industry]], Mean_AE_S, 3, FALSE))</f>
        <v>-13.256080539973894</v>
      </c>
      <c r="T7" s="1">
        <f>(Main_S[[#This Row],[P/E]]-VLOOKUP(Main_S[[#This Row],[Industry]], Mean_PE_S, 2, FALSE))/(VLOOKUP(Main_S[[#This Row],[Industry]], Mean_PE_S, 3, FALSE))</f>
        <v>-0.99687841535188393</v>
      </c>
      <c r="U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" spans="1:26" x14ac:dyDescent="0.25">
      <c r="A8" s="68" t="s">
        <v>152</v>
      </c>
      <c r="B8" s="68" t="s">
        <v>406</v>
      </c>
      <c r="C8" s="2">
        <v>262</v>
      </c>
      <c r="D8">
        <f>RTD("tos.rtd", , "LAST", Main_S[[#This Row],[Symbol]])</f>
        <v>1.1299999999999999</v>
      </c>
      <c r="E8">
        <v>-1.03</v>
      </c>
      <c r="F8">
        <v>1.99</v>
      </c>
      <c r="G8">
        <v>-1.32</v>
      </c>
      <c r="H8" s="1">
        <f>IF(ISNUMBER(Main_S[[#This Row],[Free CF]]),IF(Main_S[[#This Row],[Free CF]]&lt;&gt;0,Main_S[[#This Row],[Current Price]]/Main_S[[#This Row],[Free CF]],""),"")</f>
        <v>-1.0970873786407767</v>
      </c>
      <c r="I8" s="1">
        <f>IF(ISNUMBER(Main_S[[#This Row],[BVPS]]),IF(Main_S[[#This Row],[BVPS]]&lt;&gt;0,Main_S[[#This Row],[Current Price]]/Main_S[[#This Row],[BVPS]],""),"")</f>
        <v>0.5678391959798994</v>
      </c>
      <c r="J8">
        <v>-55.13</v>
      </c>
      <c r="K8">
        <v>-27.01</v>
      </c>
      <c r="L8">
        <v>1.3</v>
      </c>
      <c r="M8" s="1">
        <f>IF(ISNUMBER(Main_S[[#This Row],[EPS]]),IF(Main_S[[#This Row],[EPS]]&lt;&gt;0,Main_S[[#This Row],[Current Price]]/Main_S[[#This Row],[EPS]],""),"")</f>
        <v>-0.85606060606060597</v>
      </c>
      <c r="N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" s="1">
        <f>(Main_S[[#This Row],[P/FCF]]-VLOOKUP(Main_S[[#This Row],[Industry]], Mean_PFCF_S, 2, FALSE))/(VLOOKUP(Main_S[[#This Row],[Industry]], Mean_PFCF_S, 3, FALSE))</f>
        <v>1.0849410868159179</v>
      </c>
      <c r="P8" s="1">
        <f>(Main_S[[#This Row],[P/B]]-VLOOKUP(Main_S[[#This Row],[Industry]], Mean_PB_S, 2, FALSE))/(VLOOKUP(Main_S[[#This Row],[Industry]], Mean_PB_S, 3, FALSE))</f>
        <v>-0.97462333407903323</v>
      </c>
      <c r="Q8" s="1">
        <f>(Main_S[[#This Row],[ROE]]-VLOOKUP(Main_S[[#This Row],[Industry]], Mean_ROE_S, 2, FALSE))/(VLOOKUP(Main_S[[#This Row],[Industry]], Mean_ROE_S, 3, FALSE))</f>
        <v>-0.25399503225673359</v>
      </c>
      <c r="R8" s="1">
        <f>(Main_S[[#This Row],[ROA]]-VLOOKUP(Main_S[[#This Row],[Industry]], Mean_ROA_S, 2, FALSE))/(VLOOKUP(Main_S[[#This Row],[Industry]], Mean_ROA_S, 3, FALSE))</f>
        <v>-0.26409319667062042</v>
      </c>
      <c r="S8" s="1">
        <f>(Main_S[[#This Row],[A/E]]-VLOOKUP(Main_S[[#This Row],[Industry]], Mean_AE_S, 2, FALSE))/(VLOOKUP(Main_S[[#This Row],[Industry]], Mean_AE_S, 3, FALSE))</f>
        <v>-0.29109636320888643</v>
      </c>
      <c r="T8" s="1">
        <f>(Main_S[[#This Row],[P/E]]-VLOOKUP(Main_S[[#This Row],[Industry]], Mean_PE_S, 2, FALSE))/(VLOOKUP(Main_S[[#This Row],[Industry]], Mean_PE_S, 3, FALSE))</f>
        <v>1.0233933489032174</v>
      </c>
      <c r="U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" spans="1:26" x14ac:dyDescent="0.25">
      <c r="A9" s="68" t="s">
        <v>152</v>
      </c>
      <c r="B9" s="68" t="s">
        <v>407</v>
      </c>
      <c r="C9" s="2">
        <v>413</v>
      </c>
      <c r="D9">
        <f>RTD("tos.rtd", , "LAST", Main_S[[#This Row],[Symbol]])</f>
        <v>5.76</v>
      </c>
      <c r="E9">
        <v>-1.1200000000000001</v>
      </c>
      <c r="F9">
        <v>1.71</v>
      </c>
      <c r="G9">
        <v>-1.34</v>
      </c>
      <c r="H9" s="1">
        <f>IF(ISNUMBER(Main_S[[#This Row],[Free CF]]),IF(Main_S[[#This Row],[Free CF]]&lt;&gt;0,Main_S[[#This Row],[Current Price]]/Main_S[[#This Row],[Free CF]],""),"")</f>
        <v>-5.1428571428571423</v>
      </c>
      <c r="I9" s="1">
        <f>IF(ISNUMBER(Main_S[[#This Row],[BVPS]]),IF(Main_S[[#This Row],[BVPS]]&lt;&gt;0,Main_S[[#This Row],[Current Price]]/Main_S[[#This Row],[BVPS]],""),"")</f>
        <v>3.3684210526315788</v>
      </c>
      <c r="J9">
        <v>-59.86</v>
      </c>
      <c r="K9">
        <v>-36.85</v>
      </c>
      <c r="L9">
        <v>1.1299999999999999</v>
      </c>
      <c r="M9" s="1">
        <f>IF(ISNUMBER(Main_S[[#This Row],[EPS]]),IF(Main_S[[#This Row],[EPS]]&lt;&gt;0,Main_S[[#This Row],[Current Price]]/Main_S[[#This Row],[EPS]],""),"")</f>
        <v>-4.2985074626865671</v>
      </c>
      <c r="N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" s="1">
        <f>(Main_S[[#This Row],[P/FCF]]-VLOOKUP(Main_S[[#This Row],[Industry]], Mean_PFCF_S, 2, FALSE))/(VLOOKUP(Main_S[[#This Row],[Industry]], Mean_PFCF_S, 3, FALSE))</f>
        <v>-0.10673668462593812</v>
      </c>
      <c r="P9" s="1">
        <f>(Main_S[[#This Row],[P/B]]-VLOOKUP(Main_S[[#This Row],[Industry]], Mean_PB_S, 2, FALSE))/(VLOOKUP(Main_S[[#This Row],[Industry]], Mean_PB_S, 3, FALSE))</f>
        <v>0.59609196853424495</v>
      </c>
      <c r="Q9" s="1">
        <f>(Main_S[[#This Row],[ROE]]-VLOOKUP(Main_S[[#This Row],[Industry]], Mean_ROE_S, 2, FALSE))/(VLOOKUP(Main_S[[#This Row],[Industry]], Mean_ROE_S, 3, FALSE))</f>
        <v>-0.36909940897779514</v>
      </c>
      <c r="R9" s="1">
        <f>(Main_S[[#This Row],[ROA]]-VLOOKUP(Main_S[[#This Row],[Industry]], Mean_ROA_S, 2, FALSE))/(VLOOKUP(Main_S[[#This Row],[Industry]], Mean_ROA_S, 3, FALSE))</f>
        <v>-0.86061442421914358</v>
      </c>
      <c r="S9" s="1">
        <f>(Main_S[[#This Row],[A/E]]-VLOOKUP(Main_S[[#This Row],[Industry]], Mean_AE_S, 2, FALSE))/(VLOOKUP(Main_S[[#This Row],[Industry]], Mean_AE_S, 3, FALSE))</f>
        <v>-0.67176083817435339</v>
      </c>
      <c r="T9" s="1">
        <f>(Main_S[[#This Row],[P/E]]-VLOOKUP(Main_S[[#This Row],[Industry]], Mean_PE_S, 2, FALSE))/(VLOOKUP(Main_S[[#This Row],[Industry]], Mean_PE_S, 3, FALSE))</f>
        <v>-2.0995183906226258E-2</v>
      </c>
      <c r="U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" spans="1:26" x14ac:dyDescent="0.25">
      <c r="A10" s="68" t="s">
        <v>152</v>
      </c>
      <c r="B10" s="68" t="s">
        <v>408</v>
      </c>
      <c r="C10" s="2">
        <v>578</v>
      </c>
      <c r="D10">
        <f>RTD("tos.rtd", , "LAST", Main_S[[#This Row],[Symbol]])</f>
        <v>20.52</v>
      </c>
      <c r="E10">
        <v>-3.72</v>
      </c>
      <c r="F10">
        <v>1.1200000000000001</v>
      </c>
      <c r="G10">
        <v>-4.79</v>
      </c>
      <c r="H10" s="1">
        <f>IF(ISNUMBER(Main_S[[#This Row],[Free CF]]),IF(Main_S[[#This Row],[Free CF]]&lt;&gt;0,Main_S[[#This Row],[Current Price]]/Main_S[[#This Row],[Free CF]],""),"")</f>
        <v>-5.5161290322580641</v>
      </c>
      <c r="I10" s="1">
        <f>IF(ISNUMBER(Main_S[[#This Row],[BVPS]]),IF(Main_S[[#This Row],[BVPS]]&lt;&gt;0,Main_S[[#This Row],[Current Price]]/Main_S[[#This Row],[BVPS]],""),"")</f>
        <v>18.321428571428569</v>
      </c>
      <c r="J10">
        <v>-343.83</v>
      </c>
      <c r="K10">
        <v>-15.14</v>
      </c>
      <c r="L10">
        <v>12.41</v>
      </c>
      <c r="M10" s="1">
        <f>IF(ISNUMBER(Main_S[[#This Row],[EPS]]),IF(Main_S[[#This Row],[EPS]]&lt;&gt;0,Main_S[[#This Row],[Current Price]]/Main_S[[#This Row],[EPS]],""),"")</f>
        <v>-4.2839248434237991</v>
      </c>
      <c r="N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" s="1">
        <f>(Main_S[[#This Row],[P/FCF]]-VLOOKUP(Main_S[[#This Row],[Industry]], Mean_PFCF_S, 2, FALSE))/(VLOOKUP(Main_S[[#This Row],[Industry]], Mean_PFCF_S, 3, FALSE))</f>
        <v>-0.21668357711534289</v>
      </c>
      <c r="P10" s="1">
        <f>(Main_S[[#This Row],[P/B]]-VLOOKUP(Main_S[[#This Row],[Industry]], Mean_PB_S, 2, FALSE))/(VLOOKUP(Main_S[[#This Row],[Industry]], Mean_PB_S, 3, FALSE))</f>
        <v>8.9825341195043773</v>
      </c>
      <c r="Q10" s="1">
        <f>(Main_S[[#This Row],[ROE]]-VLOOKUP(Main_S[[#This Row],[Industry]], Mean_ROE_S, 2, FALSE))/(VLOOKUP(Main_S[[#This Row],[Industry]], Mean_ROE_S, 3, FALSE))</f>
        <v>-7.2794989560137084</v>
      </c>
      <c r="R10" s="1">
        <f>(Main_S[[#This Row],[ROA]]-VLOOKUP(Main_S[[#This Row],[Industry]], Mean_ROA_S, 2, FALSE))/(VLOOKUP(Main_S[[#This Row],[Industry]], Mean_ROA_S, 3, FALSE))</f>
        <v>0.45549084509777094</v>
      </c>
      <c r="S10" s="1">
        <f>(Main_S[[#This Row],[A/E]]-VLOOKUP(Main_S[[#This Row],[Industry]], Mean_AE_S, 2, FALSE))/(VLOOKUP(Main_S[[#This Row],[Industry]], Mean_AE_S, 3, FALSE))</f>
        <v>24.586446677181311</v>
      </c>
      <c r="T10" s="1">
        <f>(Main_S[[#This Row],[P/E]]-VLOOKUP(Main_S[[#This Row],[Industry]], Mean_PE_S, 2, FALSE))/(VLOOKUP(Main_S[[#This Row],[Industry]], Mean_PE_S, 3, FALSE))</f>
        <v>-1.6571028364929585E-2</v>
      </c>
      <c r="U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" spans="1:26" x14ac:dyDescent="0.25">
      <c r="A11" s="68" t="s">
        <v>152</v>
      </c>
      <c r="B11" s="68" t="s">
        <v>409</v>
      </c>
      <c r="C11" s="2">
        <v>297</v>
      </c>
      <c r="D11">
        <f>RTD("tos.rtd", , "LAST", Main_S[[#This Row],[Symbol]])</f>
        <v>11.86</v>
      </c>
      <c r="E11">
        <v>-2.2400000000000002</v>
      </c>
      <c r="F11">
        <v>8.89</v>
      </c>
      <c r="G11">
        <v>-3</v>
      </c>
      <c r="H11" s="1">
        <f>IF(ISNUMBER(Main_S[[#This Row],[Free CF]]),IF(Main_S[[#This Row],[Free CF]]&lt;&gt;0,Main_S[[#This Row],[Current Price]]/Main_S[[#This Row],[Free CF]],""),"")</f>
        <v>-5.2946428571428568</v>
      </c>
      <c r="I11" s="1">
        <f>IF(ISNUMBER(Main_S[[#This Row],[BVPS]]),IF(Main_S[[#This Row],[BVPS]]&lt;&gt;0,Main_S[[#This Row],[Current Price]]/Main_S[[#This Row],[BVPS]],""),"")</f>
        <v>1.3340832395950504</v>
      </c>
      <c r="J11">
        <v>-31.16</v>
      </c>
      <c r="K11">
        <v>-15.46</v>
      </c>
      <c r="L11">
        <v>1.43</v>
      </c>
      <c r="M11" s="1">
        <f>IF(ISNUMBER(Main_S[[#This Row],[EPS]]),IF(Main_S[[#This Row],[EPS]]&lt;&gt;0,Main_S[[#This Row],[Current Price]]/Main_S[[#This Row],[EPS]],""),"")</f>
        <v>-3.9533333333333331</v>
      </c>
      <c r="N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" s="1">
        <f>(Main_S[[#This Row],[P/FCF]]-VLOOKUP(Main_S[[#This Row],[Industry]], Mean_PFCF_S, 2, FALSE))/(VLOOKUP(Main_S[[#This Row],[Industry]], Mean_PFCF_S, 3, FALSE))</f>
        <v>-0.15144502748235505</v>
      </c>
      <c r="P11" s="1">
        <f>(Main_S[[#This Row],[P/B]]-VLOOKUP(Main_S[[#This Row],[Industry]], Mean_PB_S, 2, FALSE))/(VLOOKUP(Main_S[[#This Row],[Industry]], Mean_PB_S, 3, FALSE))</f>
        <v>-0.54487290847228598</v>
      </c>
      <c r="Q11" s="1">
        <f>(Main_S[[#This Row],[ROE]]-VLOOKUP(Main_S[[#This Row],[Industry]], Mean_ROE_S, 2, FALSE))/(VLOOKUP(Main_S[[#This Row],[Industry]], Mean_ROE_S, 3, FALSE))</f>
        <v>0.32931403962568662</v>
      </c>
      <c r="R11" s="1">
        <f>(Main_S[[#This Row],[ROA]]-VLOOKUP(Main_S[[#This Row],[Industry]], Mean_ROA_S, 2, FALSE))/(VLOOKUP(Main_S[[#This Row],[Industry]], Mean_ROA_S, 3, FALSE))</f>
        <v>0.43609178078724981</v>
      </c>
      <c r="S11" s="1">
        <f>(Main_S[[#This Row],[A/E]]-VLOOKUP(Main_S[[#This Row],[Industry]], Mean_AE_S, 2, FALSE))/(VLOOKUP(Main_S[[#This Row],[Industry]], Mean_AE_S, 3, FALSE))</f>
        <v>-4.9720289972177354E-16</v>
      </c>
      <c r="T11" s="1">
        <f>(Main_S[[#This Row],[P/E]]-VLOOKUP(Main_S[[#This Row],[Industry]], Mean_PE_S, 2, FALSE))/(VLOOKUP(Main_S[[#This Row],[Industry]], Mean_PE_S, 3, FALSE))</f>
        <v>8.3725649132960683E-2</v>
      </c>
      <c r="U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" spans="1:26" x14ac:dyDescent="0.25">
      <c r="A12" s="68" t="s">
        <v>152</v>
      </c>
      <c r="B12" s="68" t="s">
        <v>410</v>
      </c>
      <c r="C12" s="2">
        <v>885</v>
      </c>
      <c r="D12">
        <f>RTD("tos.rtd", , "LAST", Main_S[[#This Row],[Symbol]])</f>
        <v>3.39</v>
      </c>
      <c r="E12">
        <v>-0.21</v>
      </c>
      <c r="F12">
        <v>0.61</v>
      </c>
      <c r="G12">
        <v>-0.23</v>
      </c>
      <c r="H12" s="1">
        <f>IF(ISNUMBER(Main_S[[#This Row],[Free CF]]),IF(Main_S[[#This Row],[Free CF]]&lt;&gt;0,Main_S[[#This Row],[Current Price]]/Main_S[[#This Row],[Free CF]],""),"")</f>
        <v>-16.142857142857142</v>
      </c>
      <c r="I12" s="1">
        <f>IF(ISNUMBER(Main_S[[#This Row],[BVPS]]),IF(Main_S[[#This Row],[BVPS]]&lt;&gt;0,Main_S[[#This Row],[Current Price]]/Main_S[[#This Row],[BVPS]],""),"")</f>
        <v>5.557377049180328</v>
      </c>
      <c r="J12">
        <v>-36.26</v>
      </c>
      <c r="K12">
        <v>-6.58</v>
      </c>
      <c r="L12">
        <v>2.82</v>
      </c>
      <c r="M12" s="1">
        <f>IF(ISNUMBER(Main_S[[#This Row],[EPS]]),IF(Main_S[[#This Row],[EPS]]&lt;&gt;0,Main_S[[#This Row],[Current Price]]/Main_S[[#This Row],[EPS]],""),"")</f>
        <v>-14.739130434782609</v>
      </c>
      <c r="N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" s="1">
        <f>(Main_S[[#This Row],[P/FCF]]-VLOOKUP(Main_S[[#This Row],[Industry]], Mean_PFCF_S, 2, FALSE))/(VLOOKUP(Main_S[[#This Row],[Industry]], Mean_PFCF_S, 3, FALSE))</f>
        <v>-3.3467765904556814</v>
      </c>
      <c r="P12" s="1">
        <f>(Main_S[[#This Row],[P/B]]-VLOOKUP(Main_S[[#This Row],[Industry]], Mean_PB_S, 2, FALSE))/(VLOOKUP(Main_S[[#This Row],[Industry]], Mean_PB_S, 3, FALSE))</f>
        <v>1.823774948897795</v>
      </c>
      <c r="Q12" s="1">
        <f>(Main_S[[#This Row],[ROE]]-VLOOKUP(Main_S[[#This Row],[Industry]], Mean_ROE_S, 2, FALSE))/(VLOOKUP(Main_S[[#This Row],[Industry]], Mean_ROE_S, 3, FALSE))</f>
        <v>0.20520572645921431</v>
      </c>
      <c r="R12" s="1">
        <f>(Main_S[[#This Row],[ROA]]-VLOOKUP(Main_S[[#This Row],[Industry]], Mean_ROA_S, 2, FALSE))/(VLOOKUP(Main_S[[#This Row],[Industry]], Mean_ROA_S, 3, FALSE))</f>
        <v>0.97441581540420996</v>
      </c>
      <c r="S12" s="1">
        <f>(Main_S[[#This Row],[A/E]]-VLOOKUP(Main_S[[#This Row],[Industry]], Mean_AE_S, 2, FALSE))/(VLOOKUP(Main_S[[#This Row],[Industry]], Mean_AE_S, 3, FALSE))</f>
        <v>3.1124918835411672</v>
      </c>
      <c r="T12" s="1">
        <f>(Main_S[[#This Row],[P/E]]-VLOOKUP(Main_S[[#This Row],[Industry]], Mean_PE_S, 2, FALSE))/(VLOOKUP(Main_S[[#This Row],[Industry]], Mean_PE_S, 3, FALSE))</f>
        <v>-3.1885290229416792</v>
      </c>
      <c r="U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" spans="1:26" x14ac:dyDescent="0.25">
      <c r="A13" s="68" t="s">
        <v>152</v>
      </c>
      <c r="B13" s="68" t="s">
        <v>411</v>
      </c>
      <c r="C13" s="2">
        <v>1633</v>
      </c>
      <c r="D13">
        <f>RTD("tos.rtd", , "LAST", Main_S[[#This Row],[Symbol]])</f>
        <v>13.82</v>
      </c>
      <c r="E13">
        <v>-0.97</v>
      </c>
      <c r="F13">
        <v>1.34</v>
      </c>
      <c r="G13">
        <v>-1.1599999999999999</v>
      </c>
      <c r="H13" s="1">
        <f>IF(ISNUMBER(Main_S[[#This Row],[Free CF]]),IF(Main_S[[#This Row],[Free CF]]&lt;&gt;0,Main_S[[#This Row],[Current Price]]/Main_S[[#This Row],[Free CF]],""),"")</f>
        <v>-14.247422680412372</v>
      </c>
      <c r="I13" s="1">
        <f>IF(ISNUMBER(Main_S[[#This Row],[BVPS]]),IF(Main_S[[#This Row],[BVPS]]&lt;&gt;0,Main_S[[#This Row],[Current Price]]/Main_S[[#This Row],[BVPS]],""),"")</f>
        <v>10.313432835820896</v>
      </c>
      <c r="J13">
        <v>-113.76</v>
      </c>
      <c r="K13">
        <v>-23.25</v>
      </c>
      <c r="L13">
        <v>2.21</v>
      </c>
      <c r="M13" s="1">
        <f>IF(ISNUMBER(Main_S[[#This Row],[EPS]]),IF(Main_S[[#This Row],[EPS]]&lt;&gt;0,Main_S[[#This Row],[Current Price]]/Main_S[[#This Row],[EPS]],""),"")</f>
        <v>-11.913793103448278</v>
      </c>
      <c r="N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" s="1">
        <f>(Main_S[[#This Row],[P/FCF]]-VLOOKUP(Main_S[[#This Row],[Industry]], Mean_PFCF_S, 2, FALSE))/(VLOOKUP(Main_S[[#This Row],[Industry]], Mean_PFCF_S, 3, FALSE))</f>
        <v>-2.7884781088914994</v>
      </c>
      <c r="P13" s="1">
        <f>(Main_S[[#This Row],[P/B]]-VLOOKUP(Main_S[[#This Row],[Industry]], Mean_PB_S, 2, FALSE))/(VLOOKUP(Main_S[[#This Row],[Industry]], Mean_PB_S, 3, FALSE))</f>
        <v>4.4912240671643282</v>
      </c>
      <c r="Q13" s="1">
        <f>(Main_S[[#This Row],[ROE]]-VLOOKUP(Main_S[[#This Row],[Industry]], Mean_ROE_S, 2, FALSE))/(VLOOKUP(Main_S[[#This Row],[Industry]], Mean_ROE_S, 3, FALSE))</f>
        <v>-1.6807539344038465</v>
      </c>
      <c r="R13" s="1">
        <f>(Main_S[[#This Row],[ROA]]-VLOOKUP(Main_S[[#This Row],[Industry]], Mean_ROA_S, 2, FALSE))/(VLOOKUP(Main_S[[#This Row],[Industry]], Mean_ROA_S, 3, FALSE))</f>
        <v>-3.6154191021997656E-2</v>
      </c>
      <c r="S13" s="1">
        <f>(Main_S[[#This Row],[A/E]]-VLOOKUP(Main_S[[#This Row],[Industry]], Mean_AE_S, 2, FALSE))/(VLOOKUP(Main_S[[#This Row],[Industry]], Mean_AE_S, 3, FALSE))</f>
        <v>1.7465781792533168</v>
      </c>
      <c r="T13" s="1">
        <f>(Main_S[[#This Row],[P/E]]-VLOOKUP(Main_S[[#This Row],[Industry]], Mean_PE_S, 2, FALSE))/(VLOOKUP(Main_S[[#This Row],[Industry]], Mean_PE_S, 3, FALSE))</f>
        <v>-2.3313625849226116</v>
      </c>
      <c r="U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" spans="1:26" x14ac:dyDescent="0.25">
      <c r="A14" s="68" t="s">
        <v>152</v>
      </c>
      <c r="B14" s="68" t="s">
        <v>412</v>
      </c>
      <c r="C14" s="2">
        <v>1793</v>
      </c>
      <c r="D14">
        <f>RTD("tos.rtd", , "LAST", Main_S[[#This Row],[Symbol]])</f>
        <v>15.28</v>
      </c>
      <c r="E14">
        <v>-4.5999999999999996</v>
      </c>
      <c r="F14">
        <v>0.42</v>
      </c>
      <c r="G14">
        <v>-5.15</v>
      </c>
      <c r="H14" s="1">
        <f>IF(ISNUMBER(Main_S[[#This Row],[Free CF]]),IF(Main_S[[#This Row],[Free CF]]&lt;&gt;0,Main_S[[#This Row],[Current Price]]/Main_S[[#This Row],[Free CF]],""),"")</f>
        <v>-3.3217391304347825</v>
      </c>
      <c r="I14" s="1">
        <f>IF(ISNUMBER(Main_S[[#This Row],[BVPS]]),IF(Main_S[[#This Row],[BVPS]]&lt;&gt;0,Main_S[[#This Row],[Current Price]]/Main_S[[#This Row],[BVPS]],""),"")</f>
        <v>36.38095238095238</v>
      </c>
      <c r="J14">
        <v>-565.33000000000004</v>
      </c>
      <c r="K14">
        <v>-47.71</v>
      </c>
      <c r="L14">
        <v>19.28</v>
      </c>
      <c r="M14" s="1">
        <f>IF(ISNUMBER(Main_S[[#This Row],[EPS]]),IF(Main_S[[#This Row],[EPS]]&lt;&gt;0,Main_S[[#This Row],[Current Price]]/Main_S[[#This Row],[EPS]],""),"")</f>
        <v>-2.9669902912621358</v>
      </c>
      <c r="N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" s="1">
        <f>(Main_S[[#This Row],[P/FCF]]-VLOOKUP(Main_S[[#This Row],[Industry]], Mean_PFCF_S, 2, FALSE))/(VLOOKUP(Main_S[[#This Row],[Industry]], Mean_PFCF_S, 3, FALSE))</f>
        <v>0.42967195478077025</v>
      </c>
      <c r="P14" s="1">
        <f>(Main_S[[#This Row],[P/B]]-VLOOKUP(Main_S[[#This Row],[Industry]], Mean_PB_S, 2, FALSE))/(VLOOKUP(Main_S[[#This Row],[Industry]], Mean_PB_S, 3, FALSE))</f>
        <v>19.111275880133427</v>
      </c>
      <c r="Q14" s="1">
        <f>(Main_S[[#This Row],[ROE]]-VLOOKUP(Main_S[[#This Row],[Industry]], Mean_ROE_S, 2, FALSE))/(VLOOKUP(Main_S[[#This Row],[Industry]], Mean_ROE_S, 3, FALSE))</f>
        <v>-12.669693341577167</v>
      </c>
      <c r="R14" s="1">
        <f>(Main_S[[#This Row],[ROA]]-VLOOKUP(Main_S[[#This Row],[Industry]], Mean_ROA_S, 2, FALSE))/(VLOOKUP(Main_S[[#This Row],[Industry]], Mean_ROA_S, 3, FALSE))</f>
        <v>-1.5189701692574527</v>
      </c>
      <c r="S14" s="1">
        <f>(Main_S[[#This Row],[A/E]]-VLOOKUP(Main_S[[#This Row],[Industry]], Mean_AE_S, 2, FALSE))/(VLOOKUP(Main_S[[#This Row],[Industry]], Mean_AE_S, 3, FALSE))</f>
        <v>39.969769871373991</v>
      </c>
      <c r="T14" s="1">
        <f>(Main_S[[#This Row],[P/E]]-VLOOKUP(Main_S[[#This Row],[Industry]], Mean_PE_S, 2, FALSE))/(VLOOKUP(Main_S[[#This Row],[Industry]], Mean_PE_S, 3, FALSE))</f>
        <v>0.38296784674968609</v>
      </c>
      <c r="U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" spans="1:26" x14ac:dyDescent="0.25">
      <c r="A15" s="68" t="s">
        <v>152</v>
      </c>
      <c r="B15" s="68" t="s">
        <v>413</v>
      </c>
      <c r="C15" s="2">
        <v>281</v>
      </c>
      <c r="D15">
        <f>RTD("tos.rtd", , "LAST", Main_S[[#This Row],[Symbol]])</f>
        <v>3.31</v>
      </c>
      <c r="E15">
        <v>-0.93</v>
      </c>
      <c r="F15">
        <v>0.83</v>
      </c>
      <c r="G15">
        <v>-0.86</v>
      </c>
      <c r="H15" s="1">
        <f>IF(ISNUMBER(Main_S[[#This Row],[Free CF]]),IF(Main_S[[#This Row],[Free CF]]&lt;&gt;0,Main_S[[#This Row],[Current Price]]/Main_S[[#This Row],[Free CF]],""),"")</f>
        <v>-3.5591397849462365</v>
      </c>
      <c r="I15" s="1">
        <f>IF(ISNUMBER(Main_S[[#This Row],[BVPS]]),IF(Main_S[[#This Row],[BVPS]]&lt;&gt;0,Main_S[[#This Row],[Current Price]]/Main_S[[#This Row],[BVPS]],""),"")</f>
        <v>3.987951807228916</v>
      </c>
      <c r="J15">
        <v>-79.88</v>
      </c>
      <c r="K15">
        <v>-39.03</v>
      </c>
      <c r="L15">
        <v>1.38</v>
      </c>
      <c r="M15" s="1">
        <f>IF(ISNUMBER(Main_S[[#This Row],[EPS]]),IF(Main_S[[#This Row],[EPS]]&lt;&gt;0,Main_S[[#This Row],[Current Price]]/Main_S[[#This Row],[EPS]],""),"")</f>
        <v>-3.8488372093023258</v>
      </c>
      <c r="N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" s="1">
        <f>(Main_S[[#This Row],[P/FCF]]-VLOOKUP(Main_S[[#This Row],[Industry]], Mean_PFCF_S, 2, FALSE))/(VLOOKUP(Main_S[[#This Row],[Industry]], Mean_PFCF_S, 3, FALSE))</f>
        <v>0.35974580984556925</v>
      </c>
      <c r="P15" s="1">
        <f>(Main_S[[#This Row],[P/B]]-VLOOKUP(Main_S[[#This Row],[Industry]], Mean_PB_S, 2, FALSE))/(VLOOKUP(Main_S[[#This Row],[Industry]], Mean_PB_S, 3, FALSE))</f>
        <v>0.94355777617502423</v>
      </c>
      <c r="Q15" s="1">
        <f>(Main_S[[#This Row],[ROE]]-VLOOKUP(Main_S[[#This Row],[Industry]], Mean_ROE_S, 2, FALSE))/(VLOOKUP(Main_S[[#This Row],[Industry]], Mean_ROE_S, 3, FALSE))</f>
        <v>-0.85628537556461404</v>
      </c>
      <c r="R15" s="1">
        <f>(Main_S[[#This Row],[ROA]]-VLOOKUP(Main_S[[#This Row],[Industry]], Mean_ROA_S, 2, FALSE))/(VLOOKUP(Main_S[[#This Row],[Industry]], Mean_ROA_S, 3, FALSE))</f>
        <v>-0.99277054983456847</v>
      </c>
      <c r="S15" s="1">
        <f>(Main_S[[#This Row],[A/E]]-VLOOKUP(Main_S[[#This Row],[Industry]], Mean_AE_S, 2, FALSE))/(VLOOKUP(Main_S[[#This Row],[Industry]], Mean_AE_S, 3, FALSE))</f>
        <v>-0.11196013969572606</v>
      </c>
      <c r="T15" s="1">
        <f>(Main_S[[#This Row],[P/E]]-VLOOKUP(Main_S[[#This Row],[Industry]], Mean_PE_S, 2, FALSE))/(VLOOKUP(Main_S[[#This Row],[Industry]], Mean_PE_S, 3, FALSE))</f>
        <v>0.11542826015539584</v>
      </c>
      <c r="U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" spans="1:26" x14ac:dyDescent="0.25">
      <c r="A16" s="68" t="s">
        <v>152</v>
      </c>
      <c r="B16" s="68" t="s">
        <v>414</v>
      </c>
      <c r="C16" s="2">
        <v>1108</v>
      </c>
      <c r="D16">
        <f>RTD("tos.rtd", , "LAST", Main_S[[#This Row],[Symbol]])</f>
        <v>7.82</v>
      </c>
      <c r="E16">
        <v>0.31</v>
      </c>
      <c r="F16">
        <v>2.68</v>
      </c>
      <c r="G16">
        <v>0.04</v>
      </c>
      <c r="H16" s="1">
        <f>IF(ISNUMBER(Main_S[[#This Row],[Free CF]]),IF(Main_S[[#This Row],[Free CF]]&lt;&gt;0,Main_S[[#This Row],[Current Price]]/Main_S[[#This Row],[Free CF]],""),"")</f>
        <v>25.225806451612904</v>
      </c>
      <c r="I16" s="1">
        <f>IF(ISNUMBER(Main_S[[#This Row],[BVPS]]),IF(Main_S[[#This Row],[BVPS]]&lt;&gt;0,Main_S[[#This Row],[Current Price]]/Main_S[[#This Row],[BVPS]],""),"")</f>
        <v>2.9179104477611939</v>
      </c>
      <c r="J16">
        <v>1.52</v>
      </c>
      <c r="K16">
        <v>1.42</v>
      </c>
      <c r="L16">
        <v>1.46</v>
      </c>
      <c r="M16" s="1">
        <f>IF(ISNUMBER(Main_S[[#This Row],[EPS]]),IF(Main_S[[#This Row],[EPS]]&lt;&gt;0,Main_S[[#This Row],[Current Price]]/Main_S[[#This Row],[EPS]],""),"")</f>
        <v>195.5</v>
      </c>
      <c r="N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" s="1">
        <f>(Main_S[[#This Row],[P/FCF]]-VLOOKUP(Main_S[[#This Row],[Industry]], Mean_PFCF_S, 2, FALSE))/(VLOOKUP(Main_S[[#This Row],[Industry]], Mean_PFCF_S, 3, FALSE))</f>
        <v>8.8383253092651426</v>
      </c>
      <c r="P16" s="1">
        <f>(Main_S[[#This Row],[P/B]]-VLOOKUP(Main_S[[#This Row],[Industry]], Mean_PB_S, 2, FALSE))/(VLOOKUP(Main_S[[#This Row],[Industry]], Mean_PB_S, 3, FALSE))</f>
        <v>0.34342165312146894</v>
      </c>
      <c r="Q16" s="1">
        <f>(Main_S[[#This Row],[ROE]]-VLOOKUP(Main_S[[#This Row],[Industry]], Mean_ROE_S, 2, FALSE))/(VLOOKUP(Main_S[[#This Row],[Industry]], Mean_ROE_S, 3, FALSE))</f>
        <v>1.124580642425749</v>
      </c>
      <c r="R16" s="1">
        <f>(Main_S[[#This Row],[ROA]]-VLOOKUP(Main_S[[#This Row],[Industry]], Mean_ROA_S, 2, FALSE))/(VLOOKUP(Main_S[[#This Row],[Industry]], Mean_ROA_S, 3, FALSE))</f>
        <v>1.4593924231672368</v>
      </c>
      <c r="S16" s="1">
        <f>(Main_S[[#This Row],[A/E]]-VLOOKUP(Main_S[[#This Row],[Industry]], Mean_AE_S, 2, FALSE))/(VLOOKUP(Main_S[[#This Row],[Industry]], Mean_AE_S, 3, FALSE))</f>
        <v>6.717608381743484E-2</v>
      </c>
      <c r="T16" s="1">
        <f>(Main_S[[#This Row],[P/E]]-VLOOKUP(Main_S[[#This Row],[Industry]], Mean_PE_S, 2, FALSE))/(VLOOKUP(Main_S[[#This Row],[Industry]], Mean_PE_S, 3, FALSE))</f>
        <v>60.594979080106832</v>
      </c>
      <c r="U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" spans="1:26" x14ac:dyDescent="0.25">
      <c r="A17" s="68" t="s">
        <v>152</v>
      </c>
      <c r="B17" s="68" t="s">
        <v>415</v>
      </c>
      <c r="C17" s="2">
        <v>327</v>
      </c>
      <c r="D17">
        <f>RTD("tos.rtd", , "LAST", Main_S[[#This Row],[Symbol]])</f>
        <v>1.27</v>
      </c>
      <c r="E17">
        <v>-0.94</v>
      </c>
      <c r="F17">
        <v>1.61</v>
      </c>
      <c r="G17">
        <v>-0.86</v>
      </c>
      <c r="H17" s="1">
        <f>IF(ISNUMBER(Main_S[[#This Row],[Free CF]]),IF(Main_S[[#This Row],[Free CF]]&lt;&gt;0,Main_S[[#This Row],[Current Price]]/Main_S[[#This Row],[Free CF]],""),"")</f>
        <v>-1.3510638297872342</v>
      </c>
      <c r="I17" s="1">
        <f>IF(ISNUMBER(Main_S[[#This Row],[BVPS]]),IF(Main_S[[#This Row],[BVPS]]&lt;&gt;0,Main_S[[#This Row],[Current Price]]/Main_S[[#This Row],[BVPS]],""),"")</f>
        <v>0.78881987577639745</v>
      </c>
      <c r="J17">
        <v>-81.91</v>
      </c>
      <c r="K17">
        <v>-25.99</v>
      </c>
      <c r="L17">
        <v>1.83</v>
      </c>
      <c r="M17" s="1">
        <f>IF(ISNUMBER(Main_S[[#This Row],[EPS]]),IF(Main_S[[#This Row],[EPS]]&lt;&gt;0,Main_S[[#This Row],[Current Price]]/Main_S[[#This Row],[EPS]],""),"")</f>
        <v>-1.4767441860465116</v>
      </c>
      <c r="N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" s="1">
        <f>(Main_S[[#This Row],[P/FCF]]-VLOOKUP(Main_S[[#This Row],[Industry]], Mean_PFCF_S, 2, FALSE))/(VLOOKUP(Main_S[[#This Row],[Industry]], Mean_PFCF_S, 3, FALSE))</f>
        <v>1.0101325561926868</v>
      </c>
      <c r="P17" s="1">
        <f>(Main_S[[#This Row],[P/B]]-VLOOKUP(Main_S[[#This Row],[Industry]], Mean_PB_S, 2, FALSE))/(VLOOKUP(Main_S[[#This Row],[Industry]], Mean_PB_S, 3, FALSE))</f>
        <v>-0.85068561216819172</v>
      </c>
      <c r="Q17" s="1">
        <f>(Main_S[[#This Row],[ROE]]-VLOOKUP(Main_S[[#This Row],[Industry]], Mean_ROE_S, 2, FALSE))/(VLOOKUP(Main_S[[#This Row],[Industry]], Mean_ROE_S, 3, FALSE))</f>
        <v>-0.90568535119754323</v>
      </c>
      <c r="R17" s="1">
        <f>(Main_S[[#This Row],[ROA]]-VLOOKUP(Main_S[[#This Row],[Industry]], Mean_ROA_S, 2, FALSE))/(VLOOKUP(Main_S[[#This Row],[Industry]], Mean_ROA_S, 3, FALSE))</f>
        <v>-0.20225867918083432</v>
      </c>
      <c r="S17" s="1">
        <f>(Main_S[[#This Row],[A/E]]-VLOOKUP(Main_S[[#This Row],[Industry]], Mean_AE_S, 2, FALSE))/(VLOOKUP(Main_S[[#This Row],[Industry]], Mean_AE_S, 3, FALSE))</f>
        <v>0.89568111756580349</v>
      </c>
      <c r="T17" s="1">
        <f>(Main_S[[#This Row],[P/E]]-VLOOKUP(Main_S[[#This Row],[Industry]], Mean_PE_S, 2, FALSE))/(VLOOKUP(Main_S[[#This Row],[Industry]], Mean_PE_S, 3, FALSE))</f>
        <v>0.83508693766765041</v>
      </c>
      <c r="U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" spans="1:26" x14ac:dyDescent="0.25">
      <c r="A18" s="68" t="s">
        <v>152</v>
      </c>
      <c r="B18" s="68" t="s">
        <v>416</v>
      </c>
      <c r="C18" s="2">
        <v>674</v>
      </c>
      <c r="D18">
        <f>RTD("tos.rtd", , "LAST", Main_S[[#This Row],[Symbol]])</f>
        <v>19.100000000000001</v>
      </c>
      <c r="E18">
        <v>-2.23</v>
      </c>
      <c r="F18">
        <v>7.64</v>
      </c>
      <c r="G18">
        <v>-2.56</v>
      </c>
      <c r="H18" s="1">
        <f>IF(ISNUMBER(Main_S[[#This Row],[Free CF]]),IF(Main_S[[#This Row],[Free CF]]&lt;&gt;0,Main_S[[#This Row],[Current Price]]/Main_S[[#This Row],[Free CF]],""),"")</f>
        <v>-8.5650224215246649</v>
      </c>
      <c r="I18" s="1">
        <f>IF(ISNUMBER(Main_S[[#This Row],[BVPS]]),IF(Main_S[[#This Row],[BVPS]]&lt;&gt;0,Main_S[[#This Row],[Current Price]]/Main_S[[#This Row],[BVPS]],""),"")</f>
        <v>2.5000000000000004</v>
      </c>
      <c r="J18">
        <v>-39.36</v>
      </c>
      <c r="K18">
        <v>-26.91</v>
      </c>
      <c r="L18">
        <v>1.07</v>
      </c>
      <c r="M18" s="1">
        <f>IF(ISNUMBER(Main_S[[#This Row],[EPS]]),IF(Main_S[[#This Row],[EPS]]&lt;&gt;0,Main_S[[#This Row],[Current Price]]/Main_S[[#This Row],[EPS]],""),"")</f>
        <v>-7.4609375</v>
      </c>
      <c r="N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" s="1">
        <f>(Main_S[[#This Row],[P/FCF]]-VLOOKUP(Main_S[[#This Row],[Industry]], Mean_PFCF_S, 2, FALSE))/(VLOOKUP(Main_S[[#This Row],[Industry]], Mean_PFCF_S, 3, FALSE))</f>
        <v>-1.1147323271011869</v>
      </c>
      <c r="P18" s="1">
        <f>(Main_S[[#This Row],[P/B]]-VLOOKUP(Main_S[[#This Row],[Industry]], Mean_PB_S, 2, FALSE))/(VLOOKUP(Main_S[[#This Row],[Industry]], Mean_PB_S, 3, FALSE))</f>
        <v>0.10903524021894646</v>
      </c>
      <c r="Q18" s="1">
        <f>(Main_S[[#This Row],[ROE]]-VLOOKUP(Main_S[[#This Row],[Industry]], Mean_ROE_S, 2, FALSE))/(VLOOKUP(Main_S[[#This Row],[Industry]], Mean_ROE_S, 3, FALSE))</f>
        <v>0.12976734002469184</v>
      </c>
      <c r="R18" s="1">
        <f>(Main_S[[#This Row],[ROA]]-VLOOKUP(Main_S[[#This Row],[Industry]], Mean_ROA_S, 2, FALSE))/(VLOOKUP(Main_S[[#This Row],[Industry]], Mean_ROA_S, 3, FALSE))</f>
        <v>-0.25803098907358252</v>
      </c>
      <c r="S18" s="1">
        <f>(Main_S[[#This Row],[A/E]]-VLOOKUP(Main_S[[#This Row],[Industry]], Mean_AE_S, 2, FALSE))/(VLOOKUP(Main_S[[#This Row],[Industry]], Mean_AE_S, 3, FALSE))</f>
        <v>-0.80611300580922352</v>
      </c>
      <c r="T18" s="1">
        <f>(Main_S[[#This Row],[P/E]]-VLOOKUP(Main_S[[#This Row],[Industry]], Mean_PE_S, 2, FALSE))/(VLOOKUP(Main_S[[#This Row],[Industry]], Mean_PE_S, 3, FALSE))</f>
        <v>-0.98043066812440904</v>
      </c>
      <c r="U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" spans="1:26" x14ac:dyDescent="0.25">
      <c r="A19" s="68" t="s">
        <v>152</v>
      </c>
      <c r="B19" s="68" t="s">
        <v>417</v>
      </c>
      <c r="C19" s="2">
        <v>721</v>
      </c>
      <c r="D19">
        <f>RTD("tos.rtd", , "LAST", Main_S[[#This Row],[Symbol]])</f>
        <v>8.1199999999999992</v>
      </c>
      <c r="E19">
        <v>-0.42</v>
      </c>
      <c r="F19">
        <v>1.31</v>
      </c>
      <c r="G19">
        <v>-0.55000000000000004</v>
      </c>
      <c r="H19" s="1">
        <f>IF(ISNUMBER(Main_S[[#This Row],[Free CF]]),IF(Main_S[[#This Row],[Free CF]]&lt;&gt;0,Main_S[[#This Row],[Current Price]]/Main_S[[#This Row],[Free CF]],""),"")</f>
        <v>-19.333333333333332</v>
      </c>
      <c r="I19" s="1">
        <f>IF(ISNUMBER(Main_S[[#This Row],[BVPS]]),IF(Main_S[[#This Row],[BVPS]]&lt;&gt;0,Main_S[[#This Row],[Current Price]]/Main_S[[#This Row],[BVPS]],""),"")</f>
        <v>6.1984732824427473</v>
      </c>
      <c r="J19">
        <v>-37.72</v>
      </c>
      <c r="K19">
        <v>-24.34</v>
      </c>
      <c r="L19">
        <v>1.1200000000000001</v>
      </c>
      <c r="M19" s="1">
        <f>IF(ISNUMBER(Main_S[[#This Row],[EPS]]),IF(Main_S[[#This Row],[EPS]]&lt;&gt;0,Main_S[[#This Row],[Current Price]]/Main_S[[#This Row],[EPS]],""),"")</f>
        <v>-14.763636363636362</v>
      </c>
      <c r="N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" s="1">
        <f>(Main_S[[#This Row],[P/FCF]]-VLOOKUP(Main_S[[#This Row],[Industry]], Mean_PFCF_S, 2, FALSE))/(VLOOKUP(Main_S[[#This Row],[Industry]], Mean_PFCF_S, 3, FALSE))</f>
        <v>-4.2865284246140911</v>
      </c>
      <c r="P19" s="1">
        <f>(Main_S[[#This Row],[P/B]]-VLOOKUP(Main_S[[#This Row],[Industry]], Mean_PB_S, 2, FALSE))/(VLOOKUP(Main_S[[#This Row],[Industry]], Mean_PB_S, 3, FALSE))</f>
        <v>2.1833358243070711</v>
      </c>
      <c r="Q19" s="1">
        <f>(Main_S[[#This Row],[ROE]]-VLOOKUP(Main_S[[#This Row],[Industry]], Mean_ROE_S, 2, FALSE))/(VLOOKUP(Main_S[[#This Row],[Industry]], Mean_ROE_S, 3, FALSE))</f>
        <v>0.1696766799448908</v>
      </c>
      <c r="R19" s="1">
        <f>(Main_S[[#This Row],[ROA]]-VLOOKUP(Main_S[[#This Row],[Industry]], Mean_ROA_S, 2, FALSE))/(VLOOKUP(Main_S[[#This Row],[Industry]], Mean_ROA_S, 3, FALSE))</f>
        <v>-0.10223225382971007</v>
      </c>
      <c r="S19" s="1">
        <f>(Main_S[[#This Row],[A/E]]-VLOOKUP(Main_S[[#This Row],[Industry]], Mean_AE_S, 2, FALSE))/(VLOOKUP(Main_S[[#This Row],[Industry]], Mean_AE_S, 3, FALSE))</f>
        <v>-0.69415286611349791</v>
      </c>
      <c r="T19" s="1">
        <f>(Main_S[[#This Row],[P/E]]-VLOOKUP(Main_S[[#This Row],[Industry]], Mean_PE_S, 2, FALSE))/(VLOOKUP(Main_S[[#This Row],[Industry]], Mean_PE_S, 3, FALSE))</f>
        <v>-3.1959637669324081</v>
      </c>
      <c r="U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" spans="1:26" x14ac:dyDescent="0.25">
      <c r="A20" s="68" t="s">
        <v>152</v>
      </c>
      <c r="B20" s="68" t="s">
        <v>418</v>
      </c>
      <c r="C20" s="2">
        <v>648</v>
      </c>
      <c r="D20">
        <f>RTD("tos.rtd", , "LAST", Main_S[[#This Row],[Symbol]])</f>
        <v>13.04</v>
      </c>
      <c r="E20">
        <v>-4.45</v>
      </c>
      <c r="F20">
        <v>9.0399999999999991</v>
      </c>
      <c r="G20">
        <v>-4.05</v>
      </c>
      <c r="H20" s="1">
        <f>IF(ISNUMBER(Main_S[[#This Row],[Free CF]]),IF(Main_S[[#This Row],[Free CF]]&lt;&gt;0,Main_S[[#This Row],[Current Price]]/Main_S[[#This Row],[Free CF]],""),"")</f>
        <v>-2.9303370786516849</v>
      </c>
      <c r="I20" s="1">
        <f>IF(ISNUMBER(Main_S[[#This Row],[BVPS]]),IF(Main_S[[#This Row],[BVPS]]&lt;&gt;0,Main_S[[#This Row],[Current Price]]/Main_S[[#This Row],[BVPS]],""),"")</f>
        <v>1.4424778761061947</v>
      </c>
      <c r="J20">
        <v>-19.14</v>
      </c>
      <c r="K20">
        <v>-13.84</v>
      </c>
      <c r="L20">
        <v>1.04</v>
      </c>
      <c r="M20" s="1">
        <f>IF(ISNUMBER(Main_S[[#This Row],[EPS]]),IF(Main_S[[#This Row],[EPS]]&lt;&gt;0,Main_S[[#This Row],[Current Price]]/Main_S[[#This Row],[EPS]],""),"")</f>
        <v>-3.219753086419753</v>
      </c>
      <c r="N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" s="1">
        <f>(Main_S[[#This Row],[P/FCF]]-VLOOKUP(Main_S[[#This Row],[Industry]], Mean_PFCF_S, 2, FALSE))/(VLOOKUP(Main_S[[#This Row],[Industry]], Mean_PFCF_S, 3, FALSE))</f>
        <v>0.54495906996266807</v>
      </c>
      <c r="P20" s="1">
        <f>(Main_S[[#This Row],[P/B]]-VLOOKUP(Main_S[[#This Row],[Industry]], Mean_PB_S, 2, FALSE))/(VLOOKUP(Main_S[[#This Row],[Industry]], Mean_PB_S, 3, FALSE))</f>
        <v>-0.48407942947259891</v>
      </c>
      <c r="Q20" s="1">
        <f>(Main_S[[#This Row],[ROE]]-VLOOKUP(Main_S[[#This Row],[Industry]], Mean_ROE_S, 2, FALSE))/(VLOOKUP(Main_S[[#This Row],[Industry]], Mean_ROE_S, 3, FALSE))</f>
        <v>0.62182029928470584</v>
      </c>
      <c r="R20" s="1">
        <f>(Main_S[[#This Row],[ROA]]-VLOOKUP(Main_S[[#This Row],[Industry]], Mean_ROA_S, 2, FALSE))/(VLOOKUP(Main_S[[#This Row],[Industry]], Mean_ROA_S, 3, FALSE))</f>
        <v>0.53429954385926282</v>
      </c>
      <c r="S20" s="1">
        <f>(Main_S[[#This Row],[A/E]]-VLOOKUP(Main_S[[#This Row],[Industry]], Mean_AE_S, 2, FALSE))/(VLOOKUP(Main_S[[#This Row],[Industry]], Mean_AE_S, 3, FALSE))</f>
        <v>-0.87328908962665885</v>
      </c>
      <c r="T20" s="1">
        <f>(Main_S[[#This Row],[P/E]]-VLOOKUP(Main_S[[#This Row],[Industry]], Mean_PE_S, 2, FALSE))/(VLOOKUP(Main_S[[#This Row],[Industry]], Mean_PE_S, 3, FALSE))</f>
        <v>0.30628327447361198</v>
      </c>
      <c r="U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" spans="1:26" x14ac:dyDescent="0.25">
      <c r="A21" s="68" t="s">
        <v>152</v>
      </c>
      <c r="B21" s="68" t="s">
        <v>419</v>
      </c>
      <c r="C21" s="2">
        <v>539</v>
      </c>
      <c r="D21">
        <f>RTD("tos.rtd", , "LAST", Main_S[[#This Row],[Symbol]])</f>
        <v>8.11</v>
      </c>
      <c r="E21">
        <v>-2.85</v>
      </c>
      <c r="F21">
        <v>11.48</v>
      </c>
      <c r="G21">
        <v>-2.9</v>
      </c>
      <c r="H21" s="1">
        <f>IF(ISNUMBER(Main_S[[#This Row],[Free CF]]),IF(Main_S[[#This Row],[Free CF]]&lt;&gt;0,Main_S[[#This Row],[Current Price]]/Main_S[[#This Row],[Free CF]],""),"")</f>
        <v>-2.8456140350877188</v>
      </c>
      <c r="I21" s="1">
        <f>IF(ISNUMBER(Main_S[[#This Row],[BVPS]]),IF(Main_S[[#This Row],[BVPS]]&lt;&gt;0,Main_S[[#This Row],[Current Price]]/Main_S[[#This Row],[BVPS]],""),"")</f>
        <v>0.7064459930313588</v>
      </c>
      <c r="J21">
        <v>-29.04</v>
      </c>
      <c r="K21">
        <v>-16.899999999999999</v>
      </c>
      <c r="L21">
        <v>1.21</v>
      </c>
      <c r="M21" s="1">
        <f>IF(ISNUMBER(Main_S[[#This Row],[EPS]]),IF(Main_S[[#This Row],[EPS]]&lt;&gt;0,Main_S[[#This Row],[Current Price]]/Main_S[[#This Row],[EPS]],""),"")</f>
        <v>-2.796551724137931</v>
      </c>
      <c r="N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" s="1">
        <f>(Main_S[[#This Row],[P/FCF]]-VLOOKUP(Main_S[[#This Row],[Industry]], Mean_PFCF_S, 2, FALSE))/(VLOOKUP(Main_S[[#This Row],[Industry]], Mean_PFCF_S, 3, FALSE))</f>
        <v>0.56991416469817735</v>
      </c>
      <c r="P21" s="1">
        <f>(Main_S[[#This Row],[P/B]]-VLOOKUP(Main_S[[#This Row],[Industry]], Mean_PB_S, 2, FALSE))/(VLOOKUP(Main_S[[#This Row],[Industry]], Mean_PB_S, 3, FALSE))</f>
        <v>-0.89688526809183433</v>
      </c>
      <c r="Q21" s="1">
        <f>(Main_S[[#This Row],[ROE]]-VLOOKUP(Main_S[[#This Row],[Industry]], Mean_ROE_S, 2, FALSE))/(VLOOKUP(Main_S[[#This Row],[Industry]], Mean_ROE_S, 3, FALSE))</f>
        <v>0.38090416196155358</v>
      </c>
      <c r="R21" s="1">
        <f>(Main_S[[#This Row],[ROA]]-VLOOKUP(Main_S[[#This Row],[Industry]], Mean_ROA_S, 2, FALSE))/(VLOOKUP(Main_S[[#This Row],[Industry]], Mean_ROA_S, 3, FALSE))</f>
        <v>0.34879599138990508</v>
      </c>
      <c r="S21" s="1">
        <f>(Main_S[[#This Row],[A/E]]-VLOOKUP(Main_S[[#This Row],[Industry]], Mean_AE_S, 2, FALSE))/(VLOOKUP(Main_S[[#This Row],[Industry]], Mean_AE_S, 3, FALSE))</f>
        <v>-0.49262461466119245</v>
      </c>
      <c r="T21" s="1">
        <f>(Main_S[[#This Row],[P/E]]-VLOOKUP(Main_S[[#This Row],[Industry]], Mean_PE_S, 2, FALSE))/(VLOOKUP(Main_S[[#This Row],[Industry]], Mean_PE_S, 3, FALSE))</f>
        <v>0.43467644022016277</v>
      </c>
      <c r="U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" spans="1:26" x14ac:dyDescent="0.25">
      <c r="A22" s="68" t="s">
        <v>152</v>
      </c>
      <c r="B22" s="68" t="s">
        <v>420</v>
      </c>
      <c r="C22" s="2">
        <v>1632</v>
      </c>
      <c r="D22">
        <f>RTD("tos.rtd", , "LAST", Main_S[[#This Row],[Symbol]])</f>
        <v>18.05</v>
      </c>
      <c r="E22">
        <v>-4.33</v>
      </c>
      <c r="F22">
        <v>9.0500000000000007</v>
      </c>
      <c r="G22">
        <v>-4.58</v>
      </c>
      <c r="H22" s="1">
        <f>IF(ISNUMBER(Main_S[[#This Row],[Free CF]]),IF(Main_S[[#This Row],[Free CF]]&lt;&gt;0,Main_S[[#This Row],[Current Price]]/Main_S[[#This Row],[Free CF]],""),"")</f>
        <v>-4.1685912240184759</v>
      </c>
      <c r="I22" s="1">
        <f>IF(ISNUMBER(Main_S[[#This Row],[BVPS]]),IF(Main_S[[#This Row],[BVPS]]&lt;&gt;0,Main_S[[#This Row],[Current Price]]/Main_S[[#This Row],[BVPS]],""),"")</f>
        <v>1.9944751381215469</v>
      </c>
      <c r="J22">
        <v>-43.94</v>
      </c>
      <c r="K22">
        <v>-20.260000000000002</v>
      </c>
      <c r="L22">
        <v>1.5</v>
      </c>
      <c r="M22" s="1">
        <f>IF(ISNUMBER(Main_S[[#This Row],[EPS]]),IF(Main_S[[#This Row],[EPS]]&lt;&gt;0,Main_S[[#This Row],[Current Price]]/Main_S[[#This Row],[EPS]],""),"")</f>
        <v>-3.9410480349344978</v>
      </c>
      <c r="N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" s="1">
        <f>(Main_S[[#This Row],[P/FCF]]-VLOOKUP(Main_S[[#This Row],[Industry]], Mean_PFCF_S, 2, FALSE))/(VLOOKUP(Main_S[[#This Row],[Industry]], Mean_PFCF_S, 3, FALSE))</f>
        <v>0.18023244773107652</v>
      </c>
      <c r="P22" s="1">
        <f>(Main_S[[#This Row],[P/B]]-VLOOKUP(Main_S[[#This Row],[Industry]], Mean_PB_S, 2, FALSE))/(VLOOKUP(Main_S[[#This Row],[Industry]], Mean_PB_S, 3, FALSE))</f>
        <v>-0.17448999740909568</v>
      </c>
      <c r="Q22" s="1">
        <f>(Main_S[[#This Row],[ROE]]-VLOOKUP(Main_S[[#This Row],[Industry]], Mean_ROE_S, 2, FALSE))/(VLOOKUP(Main_S[[#This Row],[Industry]], Mean_ROE_S, 3, FALSE))</f>
        <v>1.8313207808526501E-2</v>
      </c>
      <c r="R22" s="1">
        <f>(Main_S[[#This Row],[ROA]]-VLOOKUP(Main_S[[#This Row],[Industry]], Mean_ROA_S, 2, FALSE))/(VLOOKUP(Main_S[[#This Row],[Industry]], Mean_ROA_S, 3, FALSE))</f>
        <v>0.14510581612943357</v>
      </c>
      <c r="S22" s="1">
        <f>(Main_S[[#This Row],[A/E]]-VLOOKUP(Main_S[[#This Row],[Industry]], Mean_AE_S, 2, FALSE))/(VLOOKUP(Main_S[[#This Row],[Industry]], Mean_AE_S, 3, FALSE))</f>
        <v>0.15674419557401528</v>
      </c>
      <c r="T22" s="1">
        <f>(Main_S[[#This Row],[P/E]]-VLOOKUP(Main_S[[#This Row],[Industry]], Mean_PE_S, 2, FALSE))/(VLOOKUP(Main_S[[#This Row],[Industry]], Mean_PE_S, 3, FALSE))</f>
        <v>8.7452830787251037E-2</v>
      </c>
      <c r="U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" spans="1:26" x14ac:dyDescent="0.25">
      <c r="A23" s="68" t="s">
        <v>152</v>
      </c>
      <c r="B23" s="68" t="s">
        <v>421</v>
      </c>
      <c r="C23" s="2">
        <v>1941</v>
      </c>
      <c r="D23">
        <f>RTD("tos.rtd", , "LAST", Main_S[[#This Row],[Symbol]])</f>
        <v>19.510000000000002</v>
      </c>
      <c r="E23">
        <v>-6.43</v>
      </c>
      <c r="F23">
        <v>4.18</v>
      </c>
      <c r="G23">
        <v>-9.2799999999999994</v>
      </c>
      <c r="H23" s="1">
        <f>IF(ISNUMBER(Main_S[[#This Row],[Free CF]]),IF(Main_S[[#This Row],[Free CF]]&lt;&gt;0,Main_S[[#This Row],[Current Price]]/Main_S[[#This Row],[Free CF]],""),"")</f>
        <v>-3.0342146189735617</v>
      </c>
      <c r="I23" s="1">
        <f>IF(ISNUMBER(Main_S[[#This Row],[BVPS]]),IF(Main_S[[#This Row],[BVPS]]&lt;&gt;0,Main_S[[#This Row],[Current Price]]/Main_S[[#This Row],[BVPS]],""),"")</f>
        <v>4.6674641148325362</v>
      </c>
      <c r="J23">
        <v>-198.83</v>
      </c>
      <c r="K23">
        <v>-96.85</v>
      </c>
      <c r="L23">
        <v>1.45</v>
      </c>
      <c r="M23" s="1">
        <f>IF(ISNUMBER(Main_S[[#This Row],[EPS]]),IF(Main_S[[#This Row],[EPS]]&lt;&gt;0,Main_S[[#This Row],[Current Price]]/Main_S[[#This Row],[EPS]],""),"")</f>
        <v>-2.1023706896551726</v>
      </c>
      <c r="N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" s="1">
        <f>(Main_S[[#This Row],[P/FCF]]-VLOOKUP(Main_S[[#This Row],[Industry]], Mean_PFCF_S, 2, FALSE))/(VLOOKUP(Main_S[[#This Row],[Industry]], Mean_PFCF_S, 3, FALSE))</f>
        <v>0.51436203578427542</v>
      </c>
      <c r="P23" s="1">
        <f>(Main_S[[#This Row],[P/B]]-VLOOKUP(Main_S[[#This Row],[Industry]], Mean_PB_S, 2, FALSE))/(VLOOKUP(Main_S[[#This Row],[Industry]], Mean_PB_S, 3, FALSE))</f>
        <v>1.3246644298984525</v>
      </c>
      <c r="Q23" s="1">
        <f>(Main_S[[#This Row],[ROE]]-VLOOKUP(Main_S[[#This Row],[Industry]], Mean_ROE_S, 2, FALSE))/(VLOOKUP(Main_S[[#This Row],[Industry]], Mean_ROE_S, 3, FALSE))</f>
        <v>-3.7509292679473374</v>
      </c>
      <c r="R23" s="1">
        <f>(Main_S[[#This Row],[ROA]]-VLOOKUP(Main_S[[#This Row],[Industry]], Mean_ROA_S, 2, FALSE))/(VLOOKUP(Main_S[[#This Row],[Industry]], Mean_ROA_S, 3, FALSE))</f>
        <v>-4.4979389824418456</v>
      </c>
      <c r="S23" s="1">
        <f>(Main_S[[#This Row],[A/E]]-VLOOKUP(Main_S[[#This Row],[Industry]], Mean_AE_S, 2, FALSE))/(VLOOKUP(Main_S[[#This Row],[Industry]], Mean_AE_S, 3, FALSE))</f>
        <v>4.4784055878289729E-2</v>
      </c>
      <c r="T23" s="1">
        <f>(Main_S[[#This Row],[P/E]]-VLOOKUP(Main_S[[#This Row],[Industry]], Mean_PE_S, 2, FALSE))/(VLOOKUP(Main_S[[#This Row],[Industry]], Mean_PE_S, 3, FALSE))</f>
        <v>0.64528091497396556</v>
      </c>
      <c r="U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" spans="1:26" x14ac:dyDescent="0.25">
      <c r="A24" s="68" t="s">
        <v>152</v>
      </c>
      <c r="B24" s="68" t="s">
        <v>422</v>
      </c>
      <c r="C24" s="2">
        <v>346</v>
      </c>
      <c r="D24">
        <f>RTD("tos.rtd", , "LAST", Main_S[[#This Row],[Symbol]])</f>
        <v>13.18</v>
      </c>
      <c r="E24">
        <v>-1.98</v>
      </c>
      <c r="F24">
        <v>3.24</v>
      </c>
      <c r="G24">
        <v>-1.94</v>
      </c>
      <c r="H24" s="1">
        <f>IF(ISNUMBER(Main_S[[#This Row],[Free CF]]),IF(Main_S[[#This Row],[Free CF]]&lt;&gt;0,Main_S[[#This Row],[Current Price]]/Main_S[[#This Row],[Free CF]],""),"")</f>
        <v>-6.6565656565656566</v>
      </c>
      <c r="I24" s="1">
        <f>IF(ISNUMBER(Main_S[[#This Row],[BVPS]]),IF(Main_S[[#This Row],[BVPS]]&lt;&gt;0,Main_S[[#This Row],[Current Price]]/Main_S[[#This Row],[BVPS]],""),"")</f>
        <v>4.0679012345679011</v>
      </c>
      <c r="J24">
        <v>-46.85</v>
      </c>
      <c r="K24">
        <v>-29.99</v>
      </c>
      <c r="L24">
        <v>1.04</v>
      </c>
      <c r="M24" s="1">
        <f>IF(ISNUMBER(Main_S[[#This Row],[EPS]]),IF(Main_S[[#This Row],[EPS]]&lt;&gt;0,Main_S[[#This Row],[Current Price]]/Main_S[[#This Row],[EPS]],""),"")</f>
        <v>-6.7938144329896906</v>
      </c>
      <c r="N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" s="1">
        <f>(Main_S[[#This Row],[P/FCF]]-VLOOKUP(Main_S[[#This Row],[Industry]], Mean_PFCF_S, 2, FALSE))/(VLOOKUP(Main_S[[#This Row],[Industry]], Mean_PFCF_S, 3, FALSE))</f>
        <v>-0.55259813828137583</v>
      </c>
      <c r="P24" s="1">
        <f>(Main_S[[#This Row],[P/B]]-VLOOKUP(Main_S[[#This Row],[Industry]], Mean_PB_S, 2, FALSE))/(VLOOKUP(Main_S[[#This Row],[Industry]], Mean_PB_S, 3, FALSE))</f>
        <v>0.98839766852034228</v>
      </c>
      <c r="Q24" s="1">
        <f>(Main_S[[#This Row],[ROE]]-VLOOKUP(Main_S[[#This Row],[Industry]], Mean_ROE_S, 2, FALSE))/(VLOOKUP(Main_S[[#This Row],[Industry]], Mean_ROE_S, 3, FALSE))</f>
        <v>-5.2501535586460764E-2</v>
      </c>
      <c r="R24" s="1">
        <f>(Main_S[[#This Row],[ROA]]-VLOOKUP(Main_S[[#This Row],[Industry]], Mean_ROA_S, 2, FALSE))/(VLOOKUP(Main_S[[#This Row],[Industry]], Mean_ROA_S, 3, FALSE))</f>
        <v>-0.44474698306234778</v>
      </c>
      <c r="S24" s="1">
        <f>(Main_S[[#This Row],[A/E]]-VLOOKUP(Main_S[[#This Row],[Industry]], Mean_AE_S, 2, FALSE))/(VLOOKUP(Main_S[[#This Row],[Industry]], Mean_AE_S, 3, FALSE))</f>
        <v>-0.87328908962665885</v>
      </c>
      <c r="T24" s="1">
        <f>(Main_S[[#This Row],[P/E]]-VLOOKUP(Main_S[[#This Row],[Industry]], Mean_PE_S, 2, FALSE))/(VLOOKUP(Main_S[[#This Row],[Industry]], Mean_PE_S, 3, FALSE))</f>
        <v>-0.77803518892705592</v>
      </c>
      <c r="U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" spans="1:26" x14ac:dyDescent="0.25">
      <c r="A25" s="68" t="s">
        <v>152</v>
      </c>
      <c r="B25" s="68" t="s">
        <v>423</v>
      </c>
      <c r="C25" s="2">
        <v>315</v>
      </c>
      <c r="D25">
        <f>RTD("tos.rtd", , "LAST", Main_S[[#This Row],[Symbol]])</f>
        <v>7.3</v>
      </c>
      <c r="E25">
        <v>-1.18</v>
      </c>
      <c r="F25">
        <v>3.19</v>
      </c>
      <c r="G25">
        <v>-1.1499999999999999</v>
      </c>
      <c r="H25" s="1">
        <f>IF(ISNUMBER(Main_S[[#This Row],[Free CF]]),IF(Main_S[[#This Row],[Free CF]]&lt;&gt;0,Main_S[[#This Row],[Current Price]]/Main_S[[#This Row],[Free CF]],""),"")</f>
        <v>-6.1864406779661021</v>
      </c>
      <c r="I25" s="1">
        <f>IF(ISNUMBER(Main_S[[#This Row],[BVPS]]),IF(Main_S[[#This Row],[BVPS]]&lt;&gt;0,Main_S[[#This Row],[Current Price]]/Main_S[[#This Row],[BVPS]],""),"")</f>
        <v>2.2884012539184955</v>
      </c>
      <c r="J25">
        <v>-48.16</v>
      </c>
      <c r="K25">
        <v>-23.21</v>
      </c>
      <c r="L25">
        <v>1.17</v>
      </c>
      <c r="M25" s="1">
        <f>IF(ISNUMBER(Main_S[[#This Row],[EPS]]),IF(Main_S[[#This Row],[EPS]]&lt;&gt;0,Main_S[[#This Row],[Current Price]]/Main_S[[#This Row],[EPS]],""),"")</f>
        <v>-6.3478260869565224</v>
      </c>
      <c r="N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" s="1">
        <f>(Main_S[[#This Row],[P/FCF]]-VLOOKUP(Main_S[[#This Row],[Industry]], Mean_PFCF_S, 2, FALSE))/(VLOOKUP(Main_S[[#This Row],[Industry]], Mean_PFCF_S, 3, FALSE))</f>
        <v>-0.41412325724592941</v>
      </c>
      <c r="P25" s="1">
        <f>(Main_S[[#This Row],[P/B]]-VLOOKUP(Main_S[[#This Row],[Industry]], Mean_PB_S, 2, FALSE))/(VLOOKUP(Main_S[[#This Row],[Industry]], Mean_PB_S, 3, FALSE))</f>
        <v>-9.6405941240518302E-3</v>
      </c>
      <c r="Q25" s="1">
        <f>(Main_S[[#This Row],[ROE]]-VLOOKUP(Main_S[[#This Row],[Industry]], Mean_ROE_S, 2, FALSE))/(VLOOKUP(Main_S[[#This Row],[Industry]], Mean_ROE_S, 3, FALSE))</f>
        <v>-8.4380337595887867E-2</v>
      </c>
      <c r="R25" s="1">
        <f>(Main_S[[#This Row],[ROA]]-VLOOKUP(Main_S[[#This Row],[Industry]], Mean_ROA_S, 2, FALSE))/(VLOOKUP(Main_S[[#This Row],[Industry]], Mean_ROA_S, 3, FALSE))</f>
        <v>-3.3729307983182577E-2</v>
      </c>
      <c r="S25" s="1">
        <f>(Main_S[[#This Row],[A/E]]-VLOOKUP(Main_S[[#This Row],[Industry]], Mean_AE_S, 2, FALSE))/(VLOOKUP(Main_S[[#This Row],[Industry]], Mean_AE_S, 3, FALSE))</f>
        <v>-0.58219272641777287</v>
      </c>
      <c r="T25" s="1">
        <f>(Main_S[[#This Row],[P/E]]-VLOOKUP(Main_S[[#This Row],[Industry]], Mean_PE_S, 2, FALSE))/(VLOOKUP(Main_S[[#This Row],[Industry]], Mean_PE_S, 3, FALSE))</f>
        <v>-0.642728782245089</v>
      </c>
      <c r="U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" spans="1:26" x14ac:dyDescent="0.25">
      <c r="A26" s="68" t="s">
        <v>152</v>
      </c>
      <c r="B26" s="68" t="s">
        <v>424</v>
      </c>
      <c r="C26" s="2">
        <v>822</v>
      </c>
      <c r="D26">
        <f>RTD("tos.rtd", , "LAST", Main_S[[#This Row],[Symbol]])</f>
        <v>16.13</v>
      </c>
      <c r="E26">
        <v>0.38</v>
      </c>
      <c r="F26">
        <v>6.84</v>
      </c>
      <c r="G26">
        <v>1.07</v>
      </c>
      <c r="H26" s="1">
        <f>IF(ISNUMBER(Main_S[[#This Row],[Free CF]]),IF(Main_S[[#This Row],[Free CF]]&lt;&gt;0,Main_S[[#This Row],[Current Price]]/Main_S[[#This Row],[Free CF]],""),"")</f>
        <v>42.44736842105263</v>
      </c>
      <c r="I26" s="1">
        <f>IF(ISNUMBER(Main_S[[#This Row],[BVPS]]),IF(Main_S[[#This Row],[BVPS]]&lt;&gt;0,Main_S[[#This Row],[Current Price]]/Main_S[[#This Row],[BVPS]],""),"")</f>
        <v>2.3581871345029239</v>
      </c>
      <c r="J26">
        <v>19.54</v>
      </c>
      <c r="K26">
        <v>-5.2</v>
      </c>
      <c r="L26">
        <v>1.29</v>
      </c>
      <c r="M26" s="1">
        <f>IF(ISNUMBER(Main_S[[#This Row],[EPS]]),IF(Main_S[[#This Row],[EPS]]&lt;&gt;0,Main_S[[#This Row],[Current Price]]/Main_S[[#This Row],[EPS]],""),"")</f>
        <v>15.074766355140184</v>
      </c>
      <c r="N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" s="1">
        <f>(Main_S[[#This Row],[P/FCF]]-VLOOKUP(Main_S[[#This Row],[Industry]], Mean_PFCF_S, 2, FALSE))/(VLOOKUP(Main_S[[#This Row],[Industry]], Mean_PFCF_S, 3, FALSE))</f>
        <v>13.910920583965559</v>
      </c>
      <c r="P26" s="1">
        <f>(Main_S[[#This Row],[P/B]]-VLOOKUP(Main_S[[#This Row],[Industry]], Mean_PB_S, 2, FALSE))/(VLOOKUP(Main_S[[#This Row],[Industry]], Mean_PB_S, 3, FALSE))</f>
        <v>2.9499040477222314E-2</v>
      </c>
      <c r="Q26" s="1">
        <f>(Main_S[[#This Row],[ROE]]-VLOOKUP(Main_S[[#This Row],[Industry]], Mean_ROE_S, 2, FALSE))/(VLOOKUP(Main_S[[#This Row],[Industry]], Mean_ROE_S, 3, FALSE))</f>
        <v>1.5630966822806178</v>
      </c>
      <c r="R26" s="1">
        <f>(Main_S[[#This Row],[ROA]]-VLOOKUP(Main_S[[#This Row],[Industry]], Mean_ROA_S, 2, FALSE))/(VLOOKUP(Main_S[[#This Row],[Industry]], Mean_ROA_S, 3, FALSE))</f>
        <v>1.0580742802433321</v>
      </c>
      <c r="S26" s="1">
        <f>(Main_S[[#This Row],[A/E]]-VLOOKUP(Main_S[[#This Row],[Industry]], Mean_AE_S, 2, FALSE))/(VLOOKUP(Main_S[[#This Row],[Industry]], Mean_AE_S, 3, FALSE))</f>
        <v>-0.31348839114803156</v>
      </c>
      <c r="T26" s="1">
        <f>(Main_S[[#This Row],[P/E]]-VLOOKUP(Main_S[[#This Row],[Industry]], Mean_PE_S, 2, FALSE))/(VLOOKUP(Main_S[[#This Row],[Industry]], Mean_PE_S, 3, FALSE))</f>
        <v>5.8565755850865138</v>
      </c>
      <c r="U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" spans="1:26" x14ac:dyDescent="0.25">
      <c r="A27" s="68" t="s">
        <v>152</v>
      </c>
      <c r="B27" s="68" t="s">
        <v>425</v>
      </c>
      <c r="C27" s="2">
        <v>385</v>
      </c>
      <c r="D27">
        <f>RTD("tos.rtd", , "LAST", Main_S[[#This Row],[Symbol]])</f>
        <v>10.82</v>
      </c>
      <c r="E27">
        <v>-2.12</v>
      </c>
      <c r="F27">
        <v>3.11</v>
      </c>
      <c r="G27">
        <v>-2.83</v>
      </c>
      <c r="H27" s="1">
        <f>IF(ISNUMBER(Main_S[[#This Row],[Free CF]]),IF(Main_S[[#This Row],[Free CF]]&lt;&gt;0,Main_S[[#This Row],[Current Price]]/Main_S[[#This Row],[Free CF]],""),"")</f>
        <v>-5.1037735849056602</v>
      </c>
      <c r="I27" s="1">
        <f>IF(ISNUMBER(Main_S[[#This Row],[BVPS]]),IF(Main_S[[#This Row],[BVPS]]&lt;&gt;0,Main_S[[#This Row],[Current Price]]/Main_S[[#This Row],[BVPS]],""),"")</f>
        <v>3.479099678456592</v>
      </c>
      <c r="J27">
        <v>-87.54</v>
      </c>
      <c r="K27">
        <v>-32.450000000000003</v>
      </c>
      <c r="L27">
        <v>2.12</v>
      </c>
      <c r="M27" s="1">
        <f>IF(ISNUMBER(Main_S[[#This Row],[EPS]]),IF(Main_S[[#This Row],[EPS]]&lt;&gt;0,Main_S[[#This Row],[Current Price]]/Main_S[[#This Row],[EPS]],""),"")</f>
        <v>-3.8233215547703181</v>
      </c>
      <c r="N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" s="1">
        <f>(Main_S[[#This Row],[P/FCF]]-VLOOKUP(Main_S[[#This Row],[Industry]], Mean_PFCF_S, 2, FALSE))/(VLOOKUP(Main_S[[#This Row],[Industry]], Mean_PFCF_S, 3, FALSE))</f>
        <v>-9.5224658496427986E-2</v>
      </c>
      <c r="P27" s="1">
        <f>(Main_S[[#This Row],[P/B]]-VLOOKUP(Main_S[[#This Row],[Industry]], Mean_PB_S, 2, FALSE))/(VLOOKUP(Main_S[[#This Row],[Industry]], Mean_PB_S, 3, FALSE))</f>
        <v>0.65816643025463994</v>
      </c>
      <c r="Q27" s="1">
        <f>(Main_S[[#This Row],[ROE]]-VLOOKUP(Main_S[[#This Row],[Industry]], Mean_ROE_S, 2, FALSE))/(VLOOKUP(Main_S[[#This Row],[Industry]], Mean_ROE_S, 3, FALSE))</f>
        <v>-1.0426911949479827</v>
      </c>
      <c r="R27" s="1">
        <f>(Main_S[[#This Row],[ROA]]-VLOOKUP(Main_S[[#This Row],[Industry]], Mean_ROA_S, 2, FALSE))/(VLOOKUP(Main_S[[#This Row],[Industry]], Mean_ROA_S, 3, FALSE))</f>
        <v>-0.59387728994947886</v>
      </c>
      <c r="S27" s="1">
        <f>(Main_S[[#This Row],[A/E]]-VLOOKUP(Main_S[[#This Row],[Industry]], Mean_AE_S, 2, FALSE))/(VLOOKUP(Main_S[[#This Row],[Industry]], Mean_AE_S, 3, FALSE))</f>
        <v>1.5450499278010112</v>
      </c>
      <c r="T27" s="1">
        <f>(Main_S[[#This Row],[P/E]]-VLOOKUP(Main_S[[#This Row],[Industry]], Mean_PE_S, 2, FALSE))/(VLOOKUP(Main_S[[#This Row],[Industry]], Mean_PE_S, 3, FALSE))</f>
        <v>0.12316934029700034</v>
      </c>
      <c r="U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8" spans="1:26" x14ac:dyDescent="0.25">
      <c r="A28" s="68" t="s">
        <v>152</v>
      </c>
      <c r="B28" s="68" t="s">
        <v>426</v>
      </c>
      <c r="C28" s="2">
        <v>454</v>
      </c>
      <c r="D28">
        <f>RTD("tos.rtd", , "LAST", Main_S[[#This Row],[Symbol]])</f>
        <v>7.62</v>
      </c>
      <c r="E28">
        <v>-2.7</v>
      </c>
      <c r="F28">
        <v>10.09</v>
      </c>
      <c r="G28">
        <v>-3.11</v>
      </c>
      <c r="H28" s="1">
        <f>IF(ISNUMBER(Main_S[[#This Row],[Free CF]]),IF(Main_S[[#This Row],[Free CF]]&lt;&gt;0,Main_S[[#This Row],[Current Price]]/Main_S[[#This Row],[Free CF]],""),"")</f>
        <v>-2.822222222222222</v>
      </c>
      <c r="I28" s="1">
        <f>IF(ISNUMBER(Main_S[[#This Row],[BVPS]]),IF(Main_S[[#This Row],[BVPS]]&lt;&gt;0,Main_S[[#This Row],[Current Price]]/Main_S[[#This Row],[BVPS]],""),"")</f>
        <v>0.75520317145688798</v>
      </c>
      <c r="J28">
        <v>-32.1</v>
      </c>
      <c r="K28">
        <v>-22.26</v>
      </c>
      <c r="L28">
        <v>1.05</v>
      </c>
      <c r="M28" s="1">
        <f>IF(ISNUMBER(Main_S[[#This Row],[EPS]]),IF(Main_S[[#This Row],[EPS]]&lt;&gt;0,Main_S[[#This Row],[Current Price]]/Main_S[[#This Row],[EPS]],""),"")</f>
        <v>-2.45016077170418</v>
      </c>
      <c r="N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8" s="1">
        <f>(Main_S[[#This Row],[P/FCF]]-VLOOKUP(Main_S[[#This Row],[Industry]], Mean_PFCF_S, 2, FALSE))/(VLOOKUP(Main_S[[#This Row],[Industry]], Mean_PFCF_S, 3, FALSE))</f>
        <v>0.57680420171216928</v>
      </c>
      <c r="P28" s="1">
        <f>(Main_S[[#This Row],[P/B]]-VLOOKUP(Main_S[[#This Row],[Industry]], Mean_PB_S, 2, FALSE))/(VLOOKUP(Main_S[[#This Row],[Industry]], Mean_PB_S, 3, FALSE))</f>
        <v>-0.86953964843664355</v>
      </c>
      <c r="Q28" s="1">
        <f>(Main_S[[#This Row],[ROE]]-VLOOKUP(Main_S[[#This Row],[Industry]], Mean_ROE_S, 2, FALSE))/(VLOOKUP(Main_S[[#This Row],[Industry]], Mean_ROE_S, 3, FALSE))</f>
        <v>0.30643917406167009</v>
      </c>
      <c r="R28" s="1">
        <f>(Main_S[[#This Row],[ROA]]-VLOOKUP(Main_S[[#This Row],[Industry]], Mean_ROA_S, 2, FALSE))/(VLOOKUP(Main_S[[#This Row],[Industry]], Mean_ROA_S, 3, FALSE))</f>
        <v>2.3861664188676839E-2</v>
      </c>
      <c r="S28" s="1">
        <f>(Main_S[[#This Row],[A/E]]-VLOOKUP(Main_S[[#This Row],[Industry]], Mean_AE_S, 2, FALSE))/(VLOOKUP(Main_S[[#This Row],[Industry]], Mean_AE_S, 3, FALSE))</f>
        <v>-0.85089706168751378</v>
      </c>
      <c r="T28" s="1">
        <f>(Main_S[[#This Row],[P/E]]-VLOOKUP(Main_S[[#This Row],[Industry]], Mean_PE_S, 2, FALSE))/(VLOOKUP(Main_S[[#This Row],[Industry]], Mean_PE_S, 3, FALSE))</f>
        <v>0.53976643976349015</v>
      </c>
      <c r="U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9" spans="1:26" x14ac:dyDescent="0.25">
      <c r="A29" s="68" t="s">
        <v>152</v>
      </c>
      <c r="B29" s="68" t="s">
        <v>427</v>
      </c>
      <c r="C29" s="2">
        <v>1703</v>
      </c>
      <c r="D29">
        <f>RTD("tos.rtd", , "LAST", Main_S[[#This Row],[Symbol]])</f>
        <v>24.18</v>
      </c>
      <c r="E29">
        <v>-1.26</v>
      </c>
      <c r="F29">
        <v>9.6300000000000008</v>
      </c>
      <c r="G29">
        <v>-1.41</v>
      </c>
      <c r="H29" s="1">
        <f>IF(ISNUMBER(Main_S[[#This Row],[Free CF]]),IF(Main_S[[#This Row],[Free CF]]&lt;&gt;0,Main_S[[#This Row],[Current Price]]/Main_S[[#This Row],[Free CF]],""),"")</f>
        <v>-19.19047619047619</v>
      </c>
      <c r="I29" s="1">
        <f>IF(ISNUMBER(Main_S[[#This Row],[BVPS]]),IF(Main_S[[#This Row],[BVPS]]&lt;&gt;0,Main_S[[#This Row],[Current Price]]/Main_S[[#This Row],[BVPS]],""),"")</f>
        <v>2.5109034267912769</v>
      </c>
      <c r="J29">
        <v>-19.18</v>
      </c>
      <c r="K29">
        <v>-15.02</v>
      </c>
      <c r="L29">
        <v>1.03</v>
      </c>
      <c r="M29" s="1">
        <f>IF(ISNUMBER(Main_S[[#This Row],[EPS]]),IF(Main_S[[#This Row],[EPS]]&lt;&gt;0,Main_S[[#This Row],[Current Price]]/Main_S[[#This Row],[EPS]],""),"")</f>
        <v>-17.148936170212767</v>
      </c>
      <c r="N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9" s="1">
        <f>(Main_S[[#This Row],[P/FCF]]-VLOOKUP(Main_S[[#This Row],[Industry]], Mean_PFCF_S, 2, FALSE))/(VLOOKUP(Main_S[[#This Row],[Industry]], Mean_PFCF_S, 3, FALSE))</f>
        <v>-4.2444499842786403</v>
      </c>
      <c r="P29" s="1">
        <f>(Main_S[[#This Row],[P/B]]-VLOOKUP(Main_S[[#This Row],[Industry]], Mean_PB_S, 2, FALSE))/(VLOOKUP(Main_S[[#This Row],[Industry]], Mean_PB_S, 3, FALSE))</f>
        <v>0.11515046205090435</v>
      </c>
      <c r="Q29" s="1">
        <f>(Main_S[[#This Row],[ROE]]-VLOOKUP(Main_S[[#This Row],[Industry]], Mean_ROE_S, 2, FALSE))/(VLOOKUP(Main_S[[#This Row],[Industry]], Mean_ROE_S, 3, FALSE))</f>
        <v>0.62084690075006677</v>
      </c>
      <c r="R29" s="1">
        <f>(Main_S[[#This Row],[ROA]]-VLOOKUP(Main_S[[#This Row],[Industry]], Mean_ROA_S, 2, FALSE))/(VLOOKUP(Main_S[[#This Row],[Industry]], Mean_ROA_S, 3, FALSE))</f>
        <v>0.46276549421421637</v>
      </c>
      <c r="S29" s="1">
        <f>(Main_S[[#This Row],[A/E]]-VLOOKUP(Main_S[[#This Row],[Industry]], Mean_AE_S, 2, FALSE))/(VLOOKUP(Main_S[[#This Row],[Industry]], Mean_AE_S, 3, FALSE))</f>
        <v>-0.89568111756580393</v>
      </c>
      <c r="T29" s="1">
        <f>(Main_S[[#This Row],[P/E]]-VLOOKUP(Main_S[[#This Row],[Industry]], Mean_PE_S, 2, FALSE))/(VLOOKUP(Main_S[[#This Row],[Industry]], Mean_PE_S, 3, FALSE))</f>
        <v>-3.9196291912819525</v>
      </c>
      <c r="U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0" spans="1:26" x14ac:dyDescent="0.25">
      <c r="A30" s="68" t="s">
        <v>152</v>
      </c>
      <c r="B30" s="68" t="s">
        <v>428</v>
      </c>
      <c r="C30" s="2">
        <v>361</v>
      </c>
      <c r="D30">
        <f>RTD("tos.rtd", , "LAST", Main_S[[#This Row],[Symbol]])</f>
        <v>4.1500000000000004</v>
      </c>
      <c r="E30">
        <v>-0.78</v>
      </c>
      <c r="F30">
        <v>-0.23</v>
      </c>
      <c r="G30">
        <v>-1.42</v>
      </c>
      <c r="H30" s="1">
        <f>IF(ISNUMBER(Main_S[[#This Row],[Free CF]]),IF(Main_S[[#This Row],[Free CF]]&lt;&gt;0,Main_S[[#This Row],[Current Price]]/Main_S[[#This Row],[Free CF]],""),"")</f>
        <v>-5.3205128205128212</v>
      </c>
      <c r="I30" s="1">
        <f>IF(ISNUMBER(Main_S[[#This Row],[BVPS]]),IF(Main_S[[#This Row],[BVPS]]&lt;&gt;0,Main_S[[#This Row],[Current Price]]/Main_S[[#This Row],[BVPS]],""),"")</f>
        <v>-18.043478260869566</v>
      </c>
      <c r="J30">
        <v>438.14</v>
      </c>
      <c r="K30">
        <v>-546.48</v>
      </c>
      <c r="L30">
        <v>-0.59</v>
      </c>
      <c r="M30" s="1">
        <f>IF(ISNUMBER(Main_S[[#This Row],[EPS]]),IF(Main_S[[#This Row],[EPS]]&lt;&gt;0,Main_S[[#This Row],[Current Price]]/Main_S[[#This Row],[EPS]],""),"")</f>
        <v>-2.922535211267606</v>
      </c>
      <c r="N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0" s="1">
        <f>(Main_S[[#This Row],[P/FCF]]-VLOOKUP(Main_S[[#This Row],[Industry]], Mean_PFCF_S, 2, FALSE))/(VLOOKUP(Main_S[[#This Row],[Industry]], Mean_PFCF_S, 3, FALSE))</f>
        <v>-0.15906500145335856</v>
      </c>
      <c r="P30" s="1">
        <f>(Main_S[[#This Row],[P/B]]-VLOOKUP(Main_S[[#This Row],[Industry]], Mean_PB_S, 2, FALSE))/(VLOOKUP(Main_S[[#This Row],[Industry]], Mean_PB_S, 3, FALSE))</f>
        <v>-11.412840328820831</v>
      </c>
      <c r="Q30" s="1">
        <f>(Main_S[[#This Row],[ROE]]-VLOOKUP(Main_S[[#This Row],[Industry]], Mean_ROE_S, 2, FALSE))/(VLOOKUP(Main_S[[#This Row],[Industry]], Mean_ROE_S, 3, FALSE))</f>
        <v>11.749712347277741</v>
      </c>
      <c r="R30" s="1">
        <f>(Main_S[[#This Row],[ROA]]-VLOOKUP(Main_S[[#This Row],[Industry]], Mean_ROA_S, 2, FALSE))/(VLOOKUP(Main_S[[#This Row],[Industry]], Mean_ROA_S, 3, FALSE))</f>
        <v>-31.755443001003076</v>
      </c>
      <c r="S30" s="1">
        <f>(Main_S[[#This Row],[A/E]]-VLOOKUP(Main_S[[#This Row],[Industry]], Mean_AE_S, 2, FALSE))/(VLOOKUP(Main_S[[#This Row],[Industry]], Mean_AE_S, 3, FALSE))</f>
        <v>-4.5231896437073082</v>
      </c>
      <c r="T30" s="1">
        <f>(Main_S[[#This Row],[P/E]]-VLOOKUP(Main_S[[#This Row],[Industry]], Mean_PE_S, 2, FALSE))/(VLOOKUP(Main_S[[#This Row],[Industry]], Mean_PE_S, 3, FALSE))</f>
        <v>0.39645487435101245</v>
      </c>
      <c r="U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1" spans="1:26" x14ac:dyDescent="0.25">
      <c r="A31" s="68" t="s">
        <v>152</v>
      </c>
      <c r="B31" s="68" t="s">
        <v>429</v>
      </c>
      <c r="C31" s="2">
        <v>1255</v>
      </c>
      <c r="D31">
        <f>RTD("tos.rtd", , "LAST", Main_S[[#This Row],[Symbol]])</f>
        <v>19.62</v>
      </c>
      <c r="E31">
        <v>-2.48</v>
      </c>
      <c r="F31">
        <v>11.25</v>
      </c>
      <c r="G31">
        <v>-2.4500000000000002</v>
      </c>
      <c r="H31" s="1">
        <f>IF(ISNUMBER(Main_S[[#This Row],[Free CF]]),IF(Main_S[[#This Row],[Free CF]]&lt;&gt;0,Main_S[[#This Row],[Current Price]]/Main_S[[#This Row],[Free CF]],""),"")</f>
        <v>-7.9112903225806459</v>
      </c>
      <c r="I31" s="1">
        <f>IF(ISNUMBER(Main_S[[#This Row],[BVPS]]),IF(Main_S[[#This Row],[BVPS]]&lt;&gt;0,Main_S[[#This Row],[Current Price]]/Main_S[[#This Row],[BVPS]],""),"")</f>
        <v>1.744</v>
      </c>
      <c r="J31">
        <v>-26.84</v>
      </c>
      <c r="K31">
        <v>-19.38</v>
      </c>
      <c r="L31">
        <v>1.06</v>
      </c>
      <c r="M31" s="1">
        <f>IF(ISNUMBER(Main_S[[#This Row],[EPS]]),IF(Main_S[[#This Row],[EPS]]&lt;&gt;0,Main_S[[#This Row],[Current Price]]/Main_S[[#This Row],[EPS]],""),"")</f>
        <v>-8.0081632653061217</v>
      </c>
      <c r="N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1" s="1">
        <f>(Main_S[[#This Row],[P/FCF]]-VLOOKUP(Main_S[[#This Row],[Industry]], Mean_PFCF_S, 2, FALSE))/(VLOOKUP(Main_S[[#This Row],[Industry]], Mean_PFCF_S, 3, FALSE))</f>
        <v>-0.92217613725569059</v>
      </c>
      <c r="P31" s="1">
        <f>(Main_S[[#This Row],[P/B]]-VLOOKUP(Main_S[[#This Row],[Industry]], Mean_PB_S, 2, FALSE))/(VLOOKUP(Main_S[[#This Row],[Industry]], Mean_PB_S, 3, FALSE))</f>
        <v>-0.31496978072171755</v>
      </c>
      <c r="Q31" s="1">
        <f>(Main_S[[#This Row],[ROE]]-VLOOKUP(Main_S[[#This Row],[Industry]], Mean_ROE_S, 2, FALSE))/(VLOOKUP(Main_S[[#This Row],[Industry]], Mean_ROE_S, 3, FALSE))</f>
        <v>0.43444108136669851</v>
      </c>
      <c r="R31" s="1">
        <f>(Main_S[[#This Row],[ROA]]-VLOOKUP(Main_S[[#This Row],[Industry]], Mean_ROA_S, 2, FALSE))/(VLOOKUP(Main_S[[#This Row],[Industry]], Mean_ROA_S, 3, FALSE))</f>
        <v>0.19845324298336672</v>
      </c>
      <c r="S31" s="1">
        <f>(Main_S[[#This Row],[A/E]]-VLOOKUP(Main_S[[#This Row],[Industry]], Mean_AE_S, 2, FALSE))/(VLOOKUP(Main_S[[#This Row],[Industry]], Mean_AE_S, 3, FALSE))</f>
        <v>-0.82850503374836859</v>
      </c>
      <c r="T31" s="1">
        <f>(Main_S[[#This Row],[P/E]]-VLOOKUP(Main_S[[#This Row],[Industry]], Mean_PE_S, 2, FALSE))/(VLOOKUP(Main_S[[#This Row],[Industry]], Mean_PE_S, 3, FALSE))</f>
        <v>-1.1464510419882905</v>
      </c>
      <c r="U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2" spans="1:26" x14ac:dyDescent="0.25">
      <c r="A32" s="68" t="s">
        <v>152</v>
      </c>
      <c r="B32" s="68" t="s">
        <v>430</v>
      </c>
      <c r="C32" s="2">
        <v>347</v>
      </c>
      <c r="D32">
        <f>RTD("tos.rtd", , "LAST", Main_S[[#This Row],[Symbol]])</f>
        <v>3.9</v>
      </c>
      <c r="E32">
        <v>-1.77</v>
      </c>
      <c r="F32">
        <v>2.2599999999999998</v>
      </c>
      <c r="G32">
        <v>-2.2999999999999998</v>
      </c>
      <c r="H32" s="1">
        <f>IF(ISNUMBER(Main_S[[#This Row],[Free CF]]),IF(Main_S[[#This Row],[Free CF]]&lt;&gt;0,Main_S[[#This Row],[Current Price]]/Main_S[[#This Row],[Free CF]],""),"")</f>
        <v>-2.2033898305084745</v>
      </c>
      <c r="I32" s="1">
        <f>IF(ISNUMBER(Main_S[[#This Row],[BVPS]]),IF(Main_S[[#This Row],[BVPS]]&lt;&gt;0,Main_S[[#This Row],[Current Price]]/Main_S[[#This Row],[BVPS]],""),"")</f>
        <v>1.7256637168141593</v>
      </c>
      <c r="J32">
        <v>-81.55</v>
      </c>
      <c r="K32">
        <v>-40.11</v>
      </c>
      <c r="L32">
        <v>1.38</v>
      </c>
      <c r="M32" s="1">
        <f>IF(ISNUMBER(Main_S[[#This Row],[EPS]]),IF(Main_S[[#This Row],[EPS]]&lt;&gt;0,Main_S[[#This Row],[Current Price]]/Main_S[[#This Row],[EPS]],""),"")</f>
        <v>-1.6956521739130437</v>
      </c>
      <c r="N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2" s="1">
        <f>(Main_S[[#This Row],[P/FCF]]-VLOOKUP(Main_S[[#This Row],[Industry]], Mean_PFCF_S, 2, FALSE))/(VLOOKUP(Main_S[[#This Row],[Industry]], Mean_PFCF_S, 3, FALSE))</f>
        <v>0.75908071481876971</v>
      </c>
      <c r="P32" s="1">
        <f>(Main_S[[#This Row],[P/B]]-VLOOKUP(Main_S[[#This Row],[Industry]], Mean_PB_S, 2, FALSE))/(VLOOKUP(Main_S[[#This Row],[Industry]], Mean_PB_S, 3, FALSE))</f>
        <v>-0.32525374386482114</v>
      </c>
      <c r="Q32" s="1">
        <f>(Main_S[[#This Row],[ROE]]-VLOOKUP(Main_S[[#This Row],[Industry]], Mean_ROE_S, 2, FALSE))/(VLOOKUP(Main_S[[#This Row],[Industry]], Mean_ROE_S, 3, FALSE))</f>
        <v>-0.89692476438579227</v>
      </c>
      <c r="R32" s="1">
        <f>(Main_S[[#This Row],[ROA]]-VLOOKUP(Main_S[[#This Row],[Industry]], Mean_ROA_S, 2, FALSE))/(VLOOKUP(Main_S[[#This Row],[Industry]], Mean_ROA_S, 3, FALSE))</f>
        <v>-1.058242391882577</v>
      </c>
      <c r="S32" s="1">
        <f>(Main_S[[#This Row],[A/E]]-VLOOKUP(Main_S[[#This Row],[Industry]], Mean_AE_S, 2, FALSE))/(VLOOKUP(Main_S[[#This Row],[Industry]], Mean_AE_S, 3, FALSE))</f>
        <v>-0.11196013969572606</v>
      </c>
      <c r="T32" s="1">
        <f>(Main_S[[#This Row],[P/E]]-VLOOKUP(Main_S[[#This Row],[Industry]], Mean_PE_S, 2, FALSE))/(VLOOKUP(Main_S[[#This Row],[Industry]], Mean_PE_S, 3, FALSE))</f>
        <v>0.76867342373695846</v>
      </c>
      <c r="U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3" spans="1:26" x14ac:dyDescent="0.25">
      <c r="A33" s="68" t="s">
        <v>152</v>
      </c>
      <c r="B33" s="68" t="s">
        <v>431</v>
      </c>
      <c r="C33" s="2">
        <v>1613</v>
      </c>
      <c r="D33">
        <f>RTD("tos.rtd", , "LAST", Main_S[[#This Row],[Symbol]])</f>
        <v>12.46</v>
      </c>
      <c r="E33">
        <v>-1.24</v>
      </c>
      <c r="F33">
        <v>3.03</v>
      </c>
      <c r="G33">
        <v>-2.06</v>
      </c>
      <c r="H33" s="1">
        <f>IF(ISNUMBER(Main_S[[#This Row],[Free CF]]),IF(Main_S[[#This Row],[Free CF]]&lt;&gt;0,Main_S[[#This Row],[Current Price]]/Main_S[[#This Row],[Free CF]],""),"")</f>
        <v>-10.048387096774194</v>
      </c>
      <c r="I33" s="1">
        <f>IF(ISNUMBER(Main_S[[#This Row],[BVPS]]),IF(Main_S[[#This Row],[BVPS]]&lt;&gt;0,Main_S[[#This Row],[Current Price]]/Main_S[[#This Row],[BVPS]],""),"")</f>
        <v>4.1122112211221129</v>
      </c>
      <c r="J33">
        <v>-73.930000000000007</v>
      </c>
      <c r="K33">
        <v>-26.82</v>
      </c>
      <c r="L33">
        <v>1.44</v>
      </c>
      <c r="M33" s="1">
        <f>IF(ISNUMBER(Main_S[[#This Row],[EPS]]),IF(Main_S[[#This Row],[EPS]]&lt;&gt;0,Main_S[[#This Row],[Current Price]]/Main_S[[#This Row],[EPS]],""),"")</f>
        <v>-6.0485436893203888</v>
      </c>
      <c r="N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3" s="1">
        <f>(Main_S[[#This Row],[P/FCF]]-VLOOKUP(Main_S[[#This Row],[Industry]], Mean_PFCF_S, 2, FALSE))/(VLOOKUP(Main_S[[#This Row],[Industry]], Mean_PFCF_S, 3, FALSE))</f>
        <v>-1.5516560309836098</v>
      </c>
      <c r="P33" s="1">
        <f>(Main_S[[#This Row],[P/B]]-VLOOKUP(Main_S[[#This Row],[Industry]], Mean_PB_S, 2, FALSE))/(VLOOKUP(Main_S[[#This Row],[Industry]], Mean_PB_S, 3, FALSE))</f>
        <v>1.0132490663732512</v>
      </c>
      <c r="Q33" s="1">
        <f>(Main_S[[#This Row],[ROE]]-VLOOKUP(Main_S[[#This Row],[Industry]], Mean_ROE_S, 2, FALSE))/(VLOOKUP(Main_S[[#This Row],[Industry]], Mean_ROE_S, 3, FALSE))</f>
        <v>-0.71149234353706325</v>
      </c>
      <c r="R33" s="1">
        <f>(Main_S[[#This Row],[ROA]]-VLOOKUP(Main_S[[#This Row],[Industry]], Mean_ROA_S, 2, FALSE))/(VLOOKUP(Main_S[[#This Row],[Industry]], Mean_ROA_S, 3, FALSE))</f>
        <v>-0.25257500223624846</v>
      </c>
      <c r="S33" s="1">
        <f>(Main_S[[#This Row],[A/E]]-VLOOKUP(Main_S[[#This Row],[Industry]], Mean_AE_S, 2, FALSE))/(VLOOKUP(Main_S[[#This Row],[Industry]], Mean_AE_S, 3, FALSE))</f>
        <v>2.2392027939144615E-2</v>
      </c>
      <c r="T33" s="1">
        <f>(Main_S[[#This Row],[P/E]]-VLOOKUP(Main_S[[#This Row],[Industry]], Mean_PE_S, 2, FALSE))/(VLOOKUP(Main_S[[#This Row],[Industry]], Mean_PE_S, 3, FALSE))</f>
        <v>-0.55193083613844962</v>
      </c>
      <c r="U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4" spans="1:26" x14ac:dyDescent="0.25">
      <c r="A34" s="68" t="s">
        <v>152</v>
      </c>
      <c r="B34" s="68" t="s">
        <v>432</v>
      </c>
      <c r="C34" s="2">
        <v>537</v>
      </c>
      <c r="D34">
        <f>RTD("tos.rtd", , "LAST", Main_S[[#This Row],[Symbol]])</f>
        <v>4.99</v>
      </c>
      <c r="E34">
        <v>-2</v>
      </c>
      <c r="F34">
        <v>1.32</v>
      </c>
      <c r="G34">
        <v>-2.46</v>
      </c>
      <c r="H34" s="1">
        <f>IF(ISNUMBER(Main_S[[#This Row],[Free CF]]),IF(Main_S[[#This Row],[Free CF]]&lt;&gt;0,Main_S[[#This Row],[Current Price]]/Main_S[[#This Row],[Free CF]],""),"")</f>
        <v>-2.4950000000000001</v>
      </c>
      <c r="I34" s="1">
        <f>IF(ISNUMBER(Main_S[[#This Row],[BVPS]]),IF(Main_S[[#This Row],[BVPS]]&lt;&gt;0,Main_S[[#This Row],[Current Price]]/Main_S[[#This Row],[BVPS]],""),"")</f>
        <v>3.7803030303030303</v>
      </c>
      <c r="J34">
        <v>-99.54</v>
      </c>
      <c r="K34">
        <v>-53.78</v>
      </c>
      <c r="L34">
        <v>2.25</v>
      </c>
      <c r="M34" s="1">
        <f>IF(ISNUMBER(Main_S[[#This Row],[EPS]]),IF(Main_S[[#This Row],[EPS]]&lt;&gt;0,Main_S[[#This Row],[Current Price]]/Main_S[[#This Row],[EPS]],""),"")</f>
        <v>-2.0284552845528458</v>
      </c>
      <c r="N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4" s="1">
        <f>(Main_S[[#This Row],[P/FCF]]-VLOOKUP(Main_S[[#This Row],[Industry]], Mean_PFCF_S, 2, FALSE))/(VLOOKUP(Main_S[[#This Row],[Industry]], Mean_PFCF_S, 3, FALSE))</f>
        <v>0.67318720699164991</v>
      </c>
      <c r="P34" s="1">
        <f>(Main_S[[#This Row],[P/B]]-VLOOKUP(Main_S[[#This Row],[Industry]], Mean_PB_S, 2, FALSE))/(VLOOKUP(Main_S[[#This Row],[Industry]], Mean_PB_S, 3, FALSE))</f>
        <v>0.82709729468195103</v>
      </c>
      <c r="Q34" s="1">
        <f>(Main_S[[#This Row],[ROE]]-VLOOKUP(Main_S[[#This Row],[Industry]], Mean_ROE_S, 2, FALSE))/(VLOOKUP(Main_S[[#This Row],[Industry]], Mean_ROE_S, 3, FALSE))</f>
        <v>-1.3347107553396822</v>
      </c>
      <c r="R34" s="1">
        <f>(Main_S[[#This Row],[ROA]]-VLOOKUP(Main_S[[#This Row],[Industry]], Mean_ROA_S, 2, FALSE))/(VLOOKUP(Main_S[[#This Row],[Industry]], Mean_ROA_S, 3, FALSE))</f>
        <v>-1.8869461703976496</v>
      </c>
      <c r="S34" s="1">
        <f>(Main_S[[#This Row],[A/E]]-VLOOKUP(Main_S[[#This Row],[Industry]], Mean_AE_S, 2, FALSE))/(VLOOKUP(Main_S[[#This Row],[Industry]], Mean_AE_S, 3, FALSE))</f>
        <v>1.8361462910098971</v>
      </c>
      <c r="T34" s="1">
        <f>(Main_S[[#This Row],[P/E]]-VLOOKUP(Main_S[[#This Row],[Industry]], Mean_PE_S, 2, FALSE))/(VLOOKUP(Main_S[[#This Row],[Industry]], Mean_PE_S, 3, FALSE))</f>
        <v>0.66770577865435854</v>
      </c>
      <c r="U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5" spans="1:26" x14ac:dyDescent="0.25">
      <c r="A35" s="68" t="s">
        <v>152</v>
      </c>
      <c r="B35" s="68" t="s">
        <v>433</v>
      </c>
      <c r="C35" s="2">
        <v>639</v>
      </c>
      <c r="D35">
        <f>RTD("tos.rtd", , "LAST", Main_S[[#This Row],[Symbol]])</f>
        <v>6.33</v>
      </c>
      <c r="E35">
        <v>-1.63</v>
      </c>
      <c r="F35">
        <v>4.97</v>
      </c>
      <c r="G35">
        <v>-1.02</v>
      </c>
      <c r="H35" s="1">
        <f>IF(ISNUMBER(Main_S[[#This Row],[Free CF]]),IF(Main_S[[#This Row],[Free CF]]&lt;&gt;0,Main_S[[#This Row],[Current Price]]/Main_S[[#This Row],[Free CF]],""),"")</f>
        <v>-3.8834355828220861</v>
      </c>
      <c r="I35" s="1">
        <f>IF(ISNUMBER(Main_S[[#This Row],[BVPS]]),IF(Main_S[[#This Row],[BVPS]]&lt;&gt;0,Main_S[[#This Row],[Current Price]]/Main_S[[#This Row],[BVPS]],""),"")</f>
        <v>1.2736418511066399</v>
      </c>
      <c r="J35">
        <v>-22.49</v>
      </c>
      <c r="K35">
        <v>-27.67</v>
      </c>
      <c r="L35">
        <v>1.1599999999999999</v>
      </c>
      <c r="M35" s="1">
        <f>IF(ISNUMBER(Main_S[[#This Row],[EPS]]),IF(Main_S[[#This Row],[EPS]]&lt;&gt;0,Main_S[[#This Row],[Current Price]]/Main_S[[#This Row],[EPS]],""),"")</f>
        <v>-6.2058823529411766</v>
      </c>
      <c r="N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5" s="1">
        <f>(Main_S[[#This Row],[P/FCF]]-VLOOKUP(Main_S[[#This Row],[Industry]], Mean_PFCF_S, 2, FALSE))/(VLOOKUP(Main_S[[#This Row],[Industry]], Mean_PFCF_S, 3, FALSE))</f>
        <v>0.2642247801718739</v>
      </c>
      <c r="P35" s="1">
        <f>(Main_S[[#This Row],[P/B]]-VLOOKUP(Main_S[[#This Row],[Industry]], Mean_PB_S, 2, FALSE))/(VLOOKUP(Main_S[[#This Row],[Industry]], Mean_PB_S, 3, FALSE))</f>
        <v>-0.57877165475761838</v>
      </c>
      <c r="Q35" s="1">
        <f>(Main_S[[#This Row],[ROE]]-VLOOKUP(Main_S[[#This Row],[Industry]], Mean_ROE_S, 2, FALSE))/(VLOOKUP(Main_S[[#This Row],[Industry]], Mean_ROE_S, 3, FALSE))</f>
        <v>0.54029817200868968</v>
      </c>
      <c r="R35" s="1">
        <f>(Main_S[[#This Row],[ROA]]-VLOOKUP(Main_S[[#This Row],[Industry]], Mean_ROA_S, 2, FALSE))/(VLOOKUP(Main_S[[#This Row],[Industry]], Mean_ROA_S, 3, FALSE))</f>
        <v>-0.30410376681107015</v>
      </c>
      <c r="S35" s="1">
        <f>(Main_S[[#This Row],[A/E]]-VLOOKUP(Main_S[[#This Row],[Industry]], Mean_AE_S, 2, FALSE))/(VLOOKUP(Main_S[[#This Row],[Industry]], Mean_AE_S, 3, FALSE))</f>
        <v>-0.60458475435691805</v>
      </c>
      <c r="T35" s="1">
        <f>(Main_S[[#This Row],[P/E]]-VLOOKUP(Main_S[[#This Row],[Industry]], Mean_PE_S, 2, FALSE))/(VLOOKUP(Main_S[[#This Row],[Industry]], Mean_PE_S, 3, FALSE))</f>
        <v>-0.59966510856064492</v>
      </c>
      <c r="U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6" spans="1:26" x14ac:dyDescent="0.25">
      <c r="A36" s="68" t="s">
        <v>152</v>
      </c>
      <c r="B36" s="68" t="s">
        <v>434</v>
      </c>
      <c r="C36" s="2">
        <v>260</v>
      </c>
      <c r="D36">
        <f>RTD("tos.rtd", , "LAST", Main_S[[#This Row],[Symbol]])</f>
        <v>10.99</v>
      </c>
      <c r="E36">
        <v>-0.92</v>
      </c>
      <c r="F36">
        <v>0.03</v>
      </c>
      <c r="G36">
        <v>-1.1499999999999999</v>
      </c>
      <c r="H36" s="1">
        <f>IF(ISNUMBER(Main_S[[#This Row],[Free CF]]),IF(Main_S[[#This Row],[Free CF]]&lt;&gt;0,Main_S[[#This Row],[Current Price]]/Main_S[[#This Row],[Free CF]],""),"")</f>
        <v>-11.945652173913043</v>
      </c>
      <c r="I36" s="1">
        <f>IF(ISNUMBER(Main_S[[#This Row],[BVPS]]),IF(Main_S[[#This Row],[BVPS]]&lt;&gt;0,Main_S[[#This Row],[Current Price]]/Main_S[[#This Row],[BVPS]],""),"")</f>
        <v>366.33333333333337</v>
      </c>
      <c r="J36">
        <v>-198.47</v>
      </c>
      <c r="K36">
        <v>-72.95</v>
      </c>
      <c r="L36">
        <v>17.600000000000001</v>
      </c>
      <c r="M36" s="1">
        <f>IF(ISNUMBER(Main_S[[#This Row],[EPS]]),IF(Main_S[[#This Row],[EPS]]&lt;&gt;0,Main_S[[#This Row],[Current Price]]/Main_S[[#This Row],[EPS]],""),"")</f>
        <v>-9.5565217391304351</v>
      </c>
      <c r="N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6" s="1">
        <f>(Main_S[[#This Row],[P/FCF]]-VLOOKUP(Main_S[[#This Row],[Industry]], Mean_PFCF_S, 2, FALSE))/(VLOOKUP(Main_S[[#This Row],[Industry]], Mean_PFCF_S, 3, FALSE))</f>
        <v>-2.1104937184260657</v>
      </c>
      <c r="P36" s="1">
        <f>(Main_S[[#This Row],[P/B]]-VLOOKUP(Main_S[[#This Row],[Industry]], Mean_PB_S, 2, FALSE))/(VLOOKUP(Main_S[[#This Row],[Industry]], Mean_PB_S, 3, FALSE))</f>
        <v>204.16612534459924</v>
      </c>
      <c r="Q36" s="1">
        <f>(Main_S[[#This Row],[ROE]]-VLOOKUP(Main_S[[#This Row],[Industry]], Mean_ROE_S, 2, FALSE))/(VLOOKUP(Main_S[[#This Row],[Industry]], Mean_ROE_S, 3, FALSE))</f>
        <v>-3.7421686811355861</v>
      </c>
      <c r="R36" s="1">
        <f>(Main_S[[#This Row],[ROA]]-VLOOKUP(Main_S[[#This Row],[Industry]], Mean_ROA_S, 2, FALSE))/(VLOOKUP(Main_S[[#This Row],[Industry]], Mean_ROA_S, 3, FALSE))</f>
        <v>-3.0490713667498031</v>
      </c>
      <c r="S36" s="1">
        <f>(Main_S[[#This Row],[A/E]]-VLOOKUP(Main_S[[#This Row],[Industry]], Mean_AE_S, 2, FALSE))/(VLOOKUP(Main_S[[#This Row],[Industry]], Mean_AE_S, 3, FALSE))</f>
        <v>36.207909177597614</v>
      </c>
      <c r="T36" s="1">
        <f>(Main_S[[#This Row],[P/E]]-VLOOKUP(Main_S[[#This Row],[Industry]], Mean_PE_S, 2, FALSE))/(VLOOKUP(Main_S[[#This Row],[Industry]], Mean_PE_S, 3, FALSE))</f>
        <v>-1.6162005841280338</v>
      </c>
      <c r="U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7" spans="1:26" x14ac:dyDescent="0.25">
      <c r="A37" s="68" t="s">
        <v>152</v>
      </c>
      <c r="B37" s="68" t="s">
        <v>435</v>
      </c>
      <c r="C37" s="2">
        <v>642</v>
      </c>
      <c r="D37">
        <f>RTD("tos.rtd", , "LAST", Main_S[[#This Row],[Symbol]])</f>
        <v>18.84</v>
      </c>
      <c r="E37">
        <v>-2.35</v>
      </c>
      <c r="F37">
        <v>11.33</v>
      </c>
      <c r="G37">
        <v>-2.5499999999999998</v>
      </c>
      <c r="H37" s="1">
        <f>IF(ISNUMBER(Main_S[[#This Row],[Free CF]]),IF(Main_S[[#This Row],[Free CF]]&lt;&gt;0,Main_S[[#This Row],[Current Price]]/Main_S[[#This Row],[Free CF]],""),"")</f>
        <v>-8.0170212765957451</v>
      </c>
      <c r="I37" s="1">
        <f>IF(ISNUMBER(Main_S[[#This Row],[BVPS]]),IF(Main_S[[#This Row],[BVPS]]&lt;&gt;0,Main_S[[#This Row],[Current Price]]/Main_S[[#This Row],[BVPS]],""),"")</f>
        <v>1.6628420123565755</v>
      </c>
      <c r="J37">
        <v>-32.6</v>
      </c>
      <c r="K37">
        <v>-23.01</v>
      </c>
      <c r="L37">
        <v>1.06</v>
      </c>
      <c r="M37" s="1">
        <f>IF(ISNUMBER(Main_S[[#This Row],[EPS]]),IF(Main_S[[#This Row],[EPS]]&lt;&gt;0,Main_S[[#This Row],[Current Price]]/Main_S[[#This Row],[EPS]],""),"")</f>
        <v>-7.3882352941176475</v>
      </c>
      <c r="N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7" s="1">
        <f>(Main_S[[#This Row],[P/FCF]]-VLOOKUP(Main_S[[#This Row],[Industry]], Mean_PFCF_S, 2, FALSE))/(VLOOKUP(Main_S[[#This Row],[Industry]], Mean_PFCF_S, 3, FALSE))</f>
        <v>-0.9533190927366334</v>
      </c>
      <c r="P37" s="1">
        <f>(Main_S[[#This Row],[P/B]]-VLOOKUP(Main_S[[#This Row],[Industry]], Mean_PB_S, 2, FALSE))/(VLOOKUP(Main_S[[#This Row],[Industry]], Mean_PB_S, 3, FALSE))</f>
        <v>-0.36048749798395607</v>
      </c>
      <c r="Q37" s="1">
        <f>(Main_S[[#This Row],[ROE]]-VLOOKUP(Main_S[[#This Row],[Industry]], Mean_ROE_S, 2, FALSE))/(VLOOKUP(Main_S[[#This Row],[Industry]], Mean_ROE_S, 3, FALSE))</f>
        <v>0.29427169237868261</v>
      </c>
      <c r="R37" s="1">
        <f>(Main_S[[#This Row],[ROA]]-VLOOKUP(Main_S[[#This Row],[Industry]], Mean_ROA_S, 2, FALSE))/(VLOOKUP(Main_S[[#This Row],[Industry]], Mean_ROA_S, 3, FALSE))</f>
        <v>-2.1604892789106944E-2</v>
      </c>
      <c r="S37" s="1">
        <f>(Main_S[[#This Row],[A/E]]-VLOOKUP(Main_S[[#This Row],[Industry]], Mean_AE_S, 2, FALSE))/(VLOOKUP(Main_S[[#This Row],[Industry]], Mean_AE_S, 3, FALSE))</f>
        <v>-0.82850503374836859</v>
      </c>
      <c r="T37" s="1">
        <f>(Main_S[[#This Row],[P/E]]-VLOOKUP(Main_S[[#This Row],[Industry]], Mean_PE_S, 2, FALSE))/(VLOOKUP(Main_S[[#This Row],[Industry]], Mean_PE_S, 3, FALSE))</f>
        <v>-0.95837387152133791</v>
      </c>
      <c r="U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38" spans="1:26" x14ac:dyDescent="0.25">
      <c r="A38" s="68" t="s">
        <v>152</v>
      </c>
      <c r="B38" s="68" t="s">
        <v>436</v>
      </c>
      <c r="C38" s="2">
        <v>1190</v>
      </c>
      <c r="D38">
        <f>RTD("tos.rtd", , "LAST", Main_S[[#This Row],[Symbol]])</f>
        <v>9.6199999999999992</v>
      </c>
      <c r="E38">
        <v>0.46</v>
      </c>
      <c r="F38">
        <v>4.76</v>
      </c>
      <c r="G38">
        <v>0.2</v>
      </c>
      <c r="H38" s="1">
        <f>IF(ISNUMBER(Main_S[[#This Row],[Free CF]]),IF(Main_S[[#This Row],[Free CF]]&lt;&gt;0,Main_S[[#This Row],[Current Price]]/Main_S[[#This Row],[Free CF]],""),"")</f>
        <v>20.913043478260867</v>
      </c>
      <c r="I38" s="1">
        <f>IF(ISNUMBER(Main_S[[#This Row],[BVPS]]),IF(Main_S[[#This Row],[BVPS]]&lt;&gt;0,Main_S[[#This Row],[Current Price]]/Main_S[[#This Row],[BVPS]],""),"")</f>
        <v>2.0210084033613445</v>
      </c>
      <c r="J38">
        <v>4.4800000000000004</v>
      </c>
      <c r="K38">
        <v>0.06</v>
      </c>
      <c r="L38">
        <v>1.65</v>
      </c>
      <c r="M38" s="1">
        <f>IF(ISNUMBER(Main_S[[#This Row],[EPS]]),IF(Main_S[[#This Row],[EPS]]&lt;&gt;0,Main_S[[#This Row],[Current Price]]/Main_S[[#This Row],[EPS]],""),"")</f>
        <v>48.099999999999994</v>
      </c>
      <c r="N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8" s="1">
        <f>(Main_S[[#This Row],[P/FCF]]-VLOOKUP(Main_S[[#This Row],[Industry]], Mean_PFCF_S, 2, FALSE))/(VLOOKUP(Main_S[[#This Row],[Industry]], Mean_PFCF_S, 3, FALSE))</f>
        <v>7.5680049330791848</v>
      </c>
      <c r="P38" s="1">
        <f>(Main_S[[#This Row],[P/B]]-VLOOKUP(Main_S[[#This Row],[Industry]], Mean_PB_S, 2, FALSE))/(VLOOKUP(Main_S[[#This Row],[Industry]], Mean_PB_S, 3, FALSE))</f>
        <v>-0.15960873063181452</v>
      </c>
      <c r="Q38" s="1">
        <f>(Main_S[[#This Row],[ROE]]-VLOOKUP(Main_S[[#This Row],[Industry]], Mean_ROE_S, 2, FALSE))/(VLOOKUP(Main_S[[#This Row],[Industry]], Mean_ROE_S, 3, FALSE))</f>
        <v>1.1966121339890345</v>
      </c>
      <c r="R38" s="1">
        <f>(Main_S[[#This Row],[ROA]]-VLOOKUP(Main_S[[#This Row],[Industry]], Mean_ROA_S, 2, FALSE))/(VLOOKUP(Main_S[[#This Row],[Industry]], Mean_ROA_S, 3, FALSE))</f>
        <v>1.3769463998475222</v>
      </c>
      <c r="S38" s="1">
        <f>(Main_S[[#This Row],[A/E]]-VLOOKUP(Main_S[[#This Row],[Industry]], Mean_AE_S, 2, FALSE))/(VLOOKUP(Main_S[[#This Row],[Industry]], Mean_AE_S, 3, FALSE))</f>
        <v>0.49262461466119145</v>
      </c>
      <c r="T38" s="1">
        <f>(Main_S[[#This Row],[P/E]]-VLOOKUP(Main_S[[#This Row],[Industry]], Mean_PE_S, 2, FALSE))/(VLOOKUP(Main_S[[#This Row],[Industry]], Mean_PE_S, 3, FALSE))</f>
        <v>15.875953297673769</v>
      </c>
      <c r="U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39" spans="1:26" x14ac:dyDescent="0.25">
      <c r="A39" s="68" t="s">
        <v>152</v>
      </c>
      <c r="B39" s="68" t="s">
        <v>437</v>
      </c>
      <c r="C39" s="2">
        <v>1068</v>
      </c>
      <c r="D39">
        <f>RTD("tos.rtd", , "LAST", Main_S[[#This Row],[Symbol]])</f>
        <v>12.1</v>
      </c>
      <c r="E39">
        <v>-3.13</v>
      </c>
      <c r="F39">
        <v>6.16</v>
      </c>
      <c r="G39">
        <v>-3.37</v>
      </c>
      <c r="H39" s="1">
        <f>IF(ISNUMBER(Main_S[[#This Row],[Free CF]]),IF(Main_S[[#This Row],[Free CF]]&lt;&gt;0,Main_S[[#This Row],[Current Price]]/Main_S[[#This Row],[Free CF]],""),"")</f>
        <v>-3.8658146964856228</v>
      </c>
      <c r="I39" s="1">
        <f>IF(ISNUMBER(Main_S[[#This Row],[BVPS]]),IF(Main_S[[#This Row],[BVPS]]&lt;&gt;0,Main_S[[#This Row],[Current Price]]/Main_S[[#This Row],[BVPS]],""),"")</f>
        <v>1.9642857142857142</v>
      </c>
      <c r="J39">
        <v>-88.03</v>
      </c>
      <c r="K39">
        <v>-50.2</v>
      </c>
      <c r="L39">
        <v>1.1000000000000001</v>
      </c>
      <c r="M39" s="1">
        <f>IF(ISNUMBER(Main_S[[#This Row],[EPS]]),IF(Main_S[[#This Row],[EPS]]&lt;&gt;0,Main_S[[#This Row],[Current Price]]/Main_S[[#This Row],[EPS]],""),"")</f>
        <v>-3.5905044510385755</v>
      </c>
      <c r="N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39" s="1">
        <f>(Main_S[[#This Row],[P/FCF]]-VLOOKUP(Main_S[[#This Row],[Industry]], Mean_PFCF_S, 2, FALSE))/(VLOOKUP(Main_S[[#This Row],[Industry]], Mean_PFCF_S, 3, FALSE))</f>
        <v>0.26941499607244035</v>
      </c>
      <c r="P39" s="1">
        <f>(Main_S[[#This Row],[P/B]]-VLOOKUP(Main_S[[#This Row],[Industry]], Mean_PB_S, 2, FALSE))/(VLOOKUP(Main_S[[#This Row],[Industry]], Mean_PB_S, 3, FALSE))</f>
        <v>-0.1914218324430888</v>
      </c>
      <c r="Q39" s="1">
        <f>(Main_S[[#This Row],[ROE]]-VLOOKUP(Main_S[[#This Row],[Industry]], Mean_ROE_S, 2, FALSE))/(VLOOKUP(Main_S[[#This Row],[Industry]], Mean_ROE_S, 3, FALSE))</f>
        <v>-1.0546153269973102</v>
      </c>
      <c r="R39" s="1">
        <f>(Main_S[[#This Row],[ROA]]-VLOOKUP(Main_S[[#This Row],[Industry]], Mean_ROA_S, 2, FALSE))/(VLOOKUP(Main_S[[#This Row],[Industry]], Mean_ROA_S, 3, FALSE))</f>
        <v>-1.6699191384236951</v>
      </c>
      <c r="S39" s="1">
        <f>(Main_S[[#This Row],[A/E]]-VLOOKUP(Main_S[[#This Row],[Industry]], Mean_AE_S, 2, FALSE))/(VLOOKUP(Main_S[[#This Row],[Industry]], Mean_AE_S, 3, FALSE))</f>
        <v>-0.73893692199178818</v>
      </c>
      <c r="T39" s="1">
        <f>(Main_S[[#This Row],[P/E]]-VLOOKUP(Main_S[[#This Row],[Industry]], Mean_PE_S, 2, FALSE))/(VLOOKUP(Main_S[[#This Row],[Industry]], Mean_PE_S, 3, FALSE))</f>
        <v>0.19380267858988492</v>
      </c>
      <c r="U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0" spans="1:26" x14ac:dyDescent="0.25">
      <c r="A40" s="68" t="s">
        <v>152</v>
      </c>
      <c r="B40" s="68" t="s">
        <v>438</v>
      </c>
      <c r="C40" s="2">
        <v>258</v>
      </c>
      <c r="D40">
        <f>RTD("tos.rtd", , "LAST", Main_S[[#This Row],[Symbol]])</f>
        <v>5.88</v>
      </c>
      <c r="E40">
        <v>1.24</v>
      </c>
      <c r="F40">
        <v>8.89</v>
      </c>
      <c r="G40">
        <v>-3.6</v>
      </c>
      <c r="H40" s="1">
        <f>IF(ISNUMBER(Main_S[[#This Row],[Free CF]]),IF(Main_S[[#This Row],[Free CF]]&lt;&gt;0,Main_S[[#This Row],[Current Price]]/Main_S[[#This Row],[Free CF]],""),"")</f>
        <v>4.741935483870968</v>
      </c>
      <c r="I40" s="1">
        <f>IF(ISNUMBER(Main_S[[#This Row],[BVPS]]),IF(Main_S[[#This Row],[BVPS]]&lt;&gt;0,Main_S[[#This Row],[Current Price]]/Main_S[[#This Row],[BVPS]],""),"")</f>
        <v>0.6614173228346456</v>
      </c>
      <c r="J40">
        <v>-33.67</v>
      </c>
      <c r="K40">
        <v>-2.0299999999999998</v>
      </c>
      <c r="L40">
        <v>2.88</v>
      </c>
      <c r="M40" s="1">
        <f>IF(ISNUMBER(Main_S[[#This Row],[EPS]]),IF(Main_S[[#This Row],[EPS]]&lt;&gt;0,Main_S[[#This Row],[Current Price]]/Main_S[[#This Row],[EPS]],""),"")</f>
        <v>-1.6333333333333333</v>
      </c>
      <c r="N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0" s="1">
        <f>(Main_S[[#This Row],[P/FCF]]-VLOOKUP(Main_S[[#This Row],[Industry]], Mean_PFCF_S, 2, FALSE))/(VLOOKUP(Main_S[[#This Row],[Industry]], Mean_PFCF_S, 3, FALSE))</f>
        <v>2.8048199127786697</v>
      </c>
      <c r="P40" s="1">
        <f>(Main_S[[#This Row],[P/B]]-VLOOKUP(Main_S[[#This Row],[Industry]], Mean_PB_S, 2, FALSE))/(VLOOKUP(Main_S[[#This Row],[Industry]], Mean_PB_S, 3, FALSE))</f>
        <v>-0.92213974196708248</v>
      </c>
      <c r="Q40" s="1">
        <f>(Main_S[[#This Row],[ROE]]-VLOOKUP(Main_S[[#This Row],[Industry]], Mean_ROE_S, 2, FALSE))/(VLOOKUP(Main_S[[#This Row],[Industry]], Mean_ROE_S, 3, FALSE))</f>
        <v>0.26823328157708937</v>
      </c>
      <c r="R40" s="1">
        <f>(Main_S[[#This Row],[ROA]]-VLOOKUP(Main_S[[#This Row],[Industry]], Mean_ROA_S, 2, FALSE))/(VLOOKUP(Main_S[[#This Row],[Industry]], Mean_ROA_S, 3, FALSE))</f>
        <v>1.2502462610694314</v>
      </c>
      <c r="S40" s="1">
        <f>(Main_S[[#This Row],[A/E]]-VLOOKUP(Main_S[[#This Row],[Industry]], Mean_AE_S, 2, FALSE))/(VLOOKUP(Main_S[[#This Row],[Industry]], Mean_AE_S, 3, FALSE))</f>
        <v>3.2468440511760379</v>
      </c>
      <c r="T40" s="1">
        <f>(Main_S[[#This Row],[P/E]]-VLOOKUP(Main_S[[#This Row],[Industry]], Mean_PE_S, 2, FALSE))/(VLOOKUP(Main_S[[#This Row],[Industry]], Mean_PE_S, 3, FALSE))</f>
        <v>0.78758005764886763</v>
      </c>
      <c r="U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1" spans="1:26" x14ac:dyDescent="0.25">
      <c r="A41" s="68" t="s">
        <v>152</v>
      </c>
      <c r="B41" s="68" t="s">
        <v>439</v>
      </c>
      <c r="C41" s="2">
        <v>347</v>
      </c>
      <c r="D41">
        <f>RTD("tos.rtd", , "LAST", Main_S[[#This Row],[Symbol]])</f>
        <v>1.33</v>
      </c>
      <c r="E41">
        <v>-0.56000000000000005</v>
      </c>
      <c r="F41">
        <v>1.5</v>
      </c>
      <c r="G41">
        <v>-0.69</v>
      </c>
      <c r="H41" s="1">
        <f>IF(ISNUMBER(Main_S[[#This Row],[Free CF]]),IF(Main_S[[#This Row],[Free CF]]&lt;&gt;0,Main_S[[#This Row],[Current Price]]/Main_S[[#This Row],[Free CF]],""),"")</f>
        <v>-2.375</v>
      </c>
      <c r="I41" s="1">
        <f>IF(ISNUMBER(Main_S[[#This Row],[BVPS]]),IF(Main_S[[#This Row],[BVPS]]&lt;&gt;0,Main_S[[#This Row],[Current Price]]/Main_S[[#This Row],[BVPS]],""),"")</f>
        <v>0.88666666666666671</v>
      </c>
      <c r="J41">
        <v>-43.68</v>
      </c>
      <c r="K41">
        <v>-21.22</v>
      </c>
      <c r="L41">
        <v>1.19</v>
      </c>
      <c r="M41" s="1">
        <f>IF(ISNUMBER(Main_S[[#This Row],[EPS]]),IF(Main_S[[#This Row],[EPS]]&lt;&gt;0,Main_S[[#This Row],[Current Price]]/Main_S[[#This Row],[EPS]],""),"")</f>
        <v>-1.9275362318840583</v>
      </c>
      <c r="N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1" s="1">
        <f>(Main_S[[#This Row],[P/FCF]]-VLOOKUP(Main_S[[#This Row],[Industry]], Mean_PFCF_S, 2, FALSE))/(VLOOKUP(Main_S[[#This Row],[Industry]], Mean_PFCF_S, 3, FALSE))</f>
        <v>0.70853309687342891</v>
      </c>
      <c r="P41" s="1">
        <f>(Main_S[[#This Row],[P/B]]-VLOOKUP(Main_S[[#This Row],[Industry]], Mean_PB_S, 2, FALSE))/(VLOOKUP(Main_S[[#This Row],[Industry]], Mean_PB_S, 3, FALSE))</f>
        <v>-0.7958079261623644</v>
      </c>
      <c r="Q41" s="1">
        <f>(Main_S[[#This Row],[ROE]]-VLOOKUP(Main_S[[#This Row],[Industry]], Mean_ROE_S, 2, FALSE))/(VLOOKUP(Main_S[[#This Row],[Industry]], Mean_ROE_S, 3, FALSE))</f>
        <v>2.4640298283679946E-2</v>
      </c>
      <c r="R41" s="1">
        <f>(Main_S[[#This Row],[ROA]]-VLOOKUP(Main_S[[#This Row],[Industry]], Mean_ROA_S, 2, FALSE))/(VLOOKUP(Main_S[[#This Row],[Industry]], Mean_ROA_S, 3, FALSE))</f>
        <v>8.6908623197870516E-2</v>
      </c>
      <c r="S41" s="1">
        <f>(Main_S[[#This Row],[A/E]]-VLOOKUP(Main_S[[#This Row],[Industry]], Mean_AE_S, 2, FALSE))/(VLOOKUP(Main_S[[#This Row],[Industry]], Mean_AE_S, 3, FALSE))</f>
        <v>-0.53740867053948271</v>
      </c>
      <c r="T41" s="1">
        <f>(Main_S[[#This Row],[P/E]]-VLOOKUP(Main_S[[#This Row],[Industry]], Mean_PE_S, 2, FALSE))/(VLOOKUP(Main_S[[#This Row],[Industry]], Mean_PE_S, 3, FALSE))</f>
        <v>0.69832315801822709</v>
      </c>
      <c r="U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2" spans="1:26" x14ac:dyDescent="0.25">
      <c r="A42" s="68" t="s">
        <v>152</v>
      </c>
      <c r="B42" s="68" t="s">
        <v>440</v>
      </c>
      <c r="C42" s="2">
        <v>1120</v>
      </c>
      <c r="D42">
        <f>RTD("tos.rtd", , "LAST", Main_S[[#This Row],[Symbol]])</f>
        <v>7.8</v>
      </c>
      <c r="E42">
        <v>-3.41</v>
      </c>
      <c r="F42">
        <v>4.1500000000000004</v>
      </c>
      <c r="G42">
        <v>-3.3</v>
      </c>
      <c r="H42" s="1">
        <f>IF(ISNUMBER(Main_S[[#This Row],[Free CF]]),IF(Main_S[[#This Row],[Free CF]]&lt;&gt;0,Main_S[[#This Row],[Current Price]]/Main_S[[#This Row],[Free CF]],""),"")</f>
        <v>-2.2873900293255129</v>
      </c>
      <c r="I42" s="1">
        <f>IF(ISNUMBER(Main_S[[#This Row],[BVPS]]),IF(Main_S[[#This Row],[BVPS]]&lt;&gt;0,Main_S[[#This Row],[Current Price]]/Main_S[[#This Row],[BVPS]],""),"")</f>
        <v>1.8795180722891565</v>
      </c>
      <c r="J42">
        <v>-69.3</v>
      </c>
      <c r="K42">
        <v>-39.93</v>
      </c>
      <c r="L42">
        <v>1.1299999999999999</v>
      </c>
      <c r="M42" s="1">
        <f>IF(ISNUMBER(Main_S[[#This Row],[EPS]]),IF(Main_S[[#This Row],[EPS]]&lt;&gt;0,Main_S[[#This Row],[Current Price]]/Main_S[[#This Row],[EPS]],""),"")</f>
        <v>-2.3636363636363638</v>
      </c>
      <c r="N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2" s="1">
        <f>(Main_S[[#This Row],[P/FCF]]-VLOOKUP(Main_S[[#This Row],[Industry]], Mean_PFCF_S, 2, FALSE))/(VLOOKUP(Main_S[[#This Row],[Industry]], Mean_PFCF_S, 3, FALSE))</f>
        <v>0.7343385333401482</v>
      </c>
      <c r="P42" s="1">
        <f>(Main_S[[#This Row],[P/B]]-VLOOKUP(Main_S[[#This Row],[Industry]], Mean_PB_S, 2, FALSE))/(VLOOKUP(Main_S[[#This Row],[Industry]], Mean_PB_S, 3, FALSE))</f>
        <v>-0.23896403590848717</v>
      </c>
      <c r="Q42" s="1">
        <f>(Main_S[[#This Row],[ROE]]-VLOOKUP(Main_S[[#This Row],[Industry]], Mean_ROE_S, 2, FALSE))/(VLOOKUP(Main_S[[#This Row],[Industry]], Mean_ROE_S, 3, FALSE))</f>
        <v>-0.59882146315259888</v>
      </c>
      <c r="R42" s="1">
        <f>(Main_S[[#This Row],[ROA]]-VLOOKUP(Main_S[[#This Row],[Industry]], Mean_ROA_S, 2, FALSE))/(VLOOKUP(Main_S[[#This Row],[Industry]], Mean_ROA_S, 3, FALSE))</f>
        <v>-1.0473304182079088</v>
      </c>
      <c r="S42" s="1">
        <f>(Main_S[[#This Row],[A/E]]-VLOOKUP(Main_S[[#This Row],[Industry]], Mean_AE_S, 2, FALSE))/(VLOOKUP(Main_S[[#This Row],[Industry]], Mean_AE_S, 3, FALSE))</f>
        <v>-0.67176083817435339</v>
      </c>
      <c r="T42" s="1">
        <f>(Main_S[[#This Row],[P/E]]-VLOOKUP(Main_S[[#This Row],[Industry]], Mean_PE_S, 2, FALSE))/(VLOOKUP(Main_S[[#This Row],[Industry]], Mean_PE_S, 3, FALSE))</f>
        <v>0.56601669237674956</v>
      </c>
      <c r="U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3" spans="1:26" x14ac:dyDescent="0.25">
      <c r="A43" s="68" t="s">
        <v>152</v>
      </c>
      <c r="B43" s="68" t="s">
        <v>441</v>
      </c>
      <c r="C43" s="2">
        <v>1875</v>
      </c>
      <c r="D43">
        <f>RTD("tos.rtd", , "LAST", Main_S[[#This Row],[Symbol]])</f>
        <v>6.02</v>
      </c>
      <c r="E43">
        <v>0.01</v>
      </c>
      <c r="F43">
        <v>0.63</v>
      </c>
      <c r="G43">
        <v>-0.1</v>
      </c>
      <c r="H43" s="1">
        <f>IF(ISNUMBER(Main_S[[#This Row],[Free CF]]),IF(Main_S[[#This Row],[Free CF]]&lt;&gt;0,Main_S[[#This Row],[Current Price]]/Main_S[[#This Row],[Free CF]],""),"")</f>
        <v>602</v>
      </c>
      <c r="I43" s="1">
        <f>IF(ISNUMBER(Main_S[[#This Row],[BVPS]]),IF(Main_S[[#This Row],[BVPS]]&lt;&gt;0,Main_S[[#This Row],[Current Price]]/Main_S[[#This Row],[BVPS]],""),"")</f>
        <v>9.5555555555555554</v>
      </c>
      <c r="J43">
        <v>-18.12</v>
      </c>
      <c r="K43">
        <v>3.95</v>
      </c>
      <c r="L43">
        <v>4.08</v>
      </c>
      <c r="M43" s="1">
        <f>IF(ISNUMBER(Main_S[[#This Row],[EPS]]),IF(Main_S[[#This Row],[EPS]]&lt;&gt;0,Main_S[[#This Row],[Current Price]]/Main_S[[#This Row],[EPS]],""),"")</f>
        <v>-60.199999999999996</v>
      </c>
      <c r="N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3" s="1">
        <f>(Main_S[[#This Row],[P/FCF]]-VLOOKUP(Main_S[[#This Row],[Industry]], Mean_PFCF_S, 2, FALSE))/(VLOOKUP(Main_S[[#This Row],[Industry]], Mean_PFCF_S, 3, FALSE))</f>
        <v>178.72663474104172</v>
      </c>
      <c r="P43" s="1">
        <f>(Main_S[[#This Row],[P/B]]-VLOOKUP(Main_S[[#This Row],[Industry]], Mean_PB_S, 2, FALSE))/(VLOOKUP(Main_S[[#This Row],[Industry]], Mean_PB_S, 3, FALSE))</f>
        <v>4.0661661675752292</v>
      </c>
      <c r="Q43" s="1">
        <f>(Main_S[[#This Row],[ROE]]-VLOOKUP(Main_S[[#This Row],[Industry]], Mean_ROE_S, 2, FALSE))/(VLOOKUP(Main_S[[#This Row],[Industry]], Mean_ROE_S, 3, FALSE))</f>
        <v>0.64664196191800027</v>
      </c>
      <c r="R43" s="1">
        <f>(Main_S[[#This Row],[ROA]]-VLOOKUP(Main_S[[#This Row],[Industry]], Mean_ROA_S, 2, FALSE))/(VLOOKUP(Main_S[[#This Row],[Industry]], Mean_ROA_S, 3, FALSE))</f>
        <v>1.612766275372294</v>
      </c>
      <c r="S43" s="1">
        <f>(Main_S[[#This Row],[A/E]]-VLOOKUP(Main_S[[#This Row],[Industry]], Mean_AE_S, 2, FALSE))/(VLOOKUP(Main_S[[#This Row],[Industry]], Mean_AE_S, 3, FALSE))</f>
        <v>5.9338874038734488</v>
      </c>
      <c r="T43" s="1">
        <f>(Main_S[[#This Row],[P/E]]-VLOOKUP(Main_S[[#This Row],[Industry]], Mean_PE_S, 2, FALSE))/(VLOOKUP(Main_S[[#This Row],[Industry]], Mean_PE_S, 3, FALSE))</f>
        <v>-16.980698617098955</v>
      </c>
      <c r="U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4" spans="1:26" x14ac:dyDescent="0.25">
      <c r="A44" s="68" t="s">
        <v>152</v>
      </c>
      <c r="B44" s="68" t="s">
        <v>442</v>
      </c>
      <c r="C44" s="2">
        <v>834</v>
      </c>
      <c r="D44">
        <f>RTD("tos.rtd", , "LAST", Main_S[[#This Row],[Symbol]])</f>
        <v>1.2</v>
      </c>
      <c r="E44">
        <v>-0.34</v>
      </c>
      <c r="F44">
        <v>0.46</v>
      </c>
      <c r="G44">
        <v>-0.27</v>
      </c>
      <c r="H44" s="1">
        <f>IF(ISNUMBER(Main_S[[#This Row],[Free CF]]),IF(Main_S[[#This Row],[Free CF]]&lt;&gt;0,Main_S[[#This Row],[Current Price]]/Main_S[[#This Row],[Free CF]],""),"")</f>
        <v>-3.5294117647058818</v>
      </c>
      <c r="I44" s="1">
        <f>IF(ISNUMBER(Main_S[[#This Row],[BVPS]]),IF(Main_S[[#This Row],[BVPS]]&lt;&gt;0,Main_S[[#This Row],[Current Price]]/Main_S[[#This Row],[BVPS]],""),"")</f>
        <v>2.6086956521739126</v>
      </c>
      <c r="J44">
        <v>-66.09</v>
      </c>
      <c r="K44">
        <v>-21.98</v>
      </c>
      <c r="L44">
        <v>2.12</v>
      </c>
      <c r="M44" s="1">
        <f>IF(ISNUMBER(Main_S[[#This Row],[EPS]]),IF(Main_S[[#This Row],[EPS]]&lt;&gt;0,Main_S[[#This Row],[Current Price]]/Main_S[[#This Row],[EPS]],""),"")</f>
        <v>-4.4444444444444438</v>
      </c>
      <c r="N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4" s="1">
        <f>(Main_S[[#This Row],[P/FCF]]-VLOOKUP(Main_S[[#This Row],[Industry]], Mean_PFCF_S, 2, FALSE))/(VLOOKUP(Main_S[[#This Row],[Industry]], Mean_PFCF_S, 3, FALSE))</f>
        <v>0.36850217092739324</v>
      </c>
      <c r="P44" s="1">
        <f>(Main_S[[#This Row],[P/B]]-VLOOKUP(Main_S[[#This Row],[Industry]], Mean_PB_S, 2, FALSE))/(VLOOKUP(Main_S[[#This Row],[Industry]], Mean_PB_S, 3, FALSE))</f>
        <v>0.16999754481704005</v>
      </c>
      <c r="Q44" s="1">
        <f>(Main_S[[#This Row],[ROE]]-VLOOKUP(Main_S[[#This Row],[Industry]], Mean_ROE_S, 2, FALSE))/(VLOOKUP(Main_S[[#This Row],[Industry]], Mean_ROE_S, 3, FALSE))</f>
        <v>-0.5207062307478193</v>
      </c>
      <c r="R44" s="1">
        <f>(Main_S[[#This Row],[ROA]]-VLOOKUP(Main_S[[#This Row],[Industry]], Mean_ROA_S, 2, FALSE))/(VLOOKUP(Main_S[[#This Row],[Industry]], Mean_ROA_S, 3, FALSE))</f>
        <v>4.0835845460382852E-2</v>
      </c>
      <c r="S44" s="1">
        <f>(Main_S[[#This Row],[A/E]]-VLOOKUP(Main_S[[#This Row],[Industry]], Mean_AE_S, 2, FALSE))/(VLOOKUP(Main_S[[#This Row],[Industry]], Mean_AE_S, 3, FALSE))</f>
        <v>1.5450499278010112</v>
      </c>
      <c r="T44" s="1">
        <f>(Main_S[[#This Row],[P/E]]-VLOOKUP(Main_S[[#This Row],[Industry]], Mean_PE_S, 2, FALSE))/(VLOOKUP(Main_S[[#This Row],[Industry]], Mean_PE_S, 3, FALSE))</f>
        <v>-6.5270351137168905E-2</v>
      </c>
      <c r="U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5" spans="1:26" x14ac:dyDescent="0.25">
      <c r="A45" s="68" t="s">
        <v>152</v>
      </c>
      <c r="B45" s="68" t="s">
        <v>443</v>
      </c>
      <c r="C45" s="2">
        <v>1700</v>
      </c>
      <c r="D45">
        <f>RTD("tos.rtd", , "LAST", Main_S[[#This Row],[Symbol]])</f>
        <v>26.84</v>
      </c>
      <c r="E45">
        <v>-5.21</v>
      </c>
      <c r="F45">
        <v>45.16</v>
      </c>
      <c r="G45">
        <v>-2.95</v>
      </c>
      <c r="H45" s="1">
        <f>IF(ISNUMBER(Main_S[[#This Row],[Free CF]]),IF(Main_S[[#This Row],[Free CF]]&lt;&gt;0,Main_S[[#This Row],[Current Price]]/Main_S[[#This Row],[Free CF]],""),"")</f>
        <v>-5.1516314779270633</v>
      </c>
      <c r="I45" s="1">
        <f>IF(ISNUMBER(Main_S[[#This Row],[BVPS]]),IF(Main_S[[#This Row],[BVPS]]&lt;&gt;0,Main_S[[#This Row],[Current Price]]/Main_S[[#This Row],[BVPS]],""),"")</f>
        <v>0.59433126660761737</v>
      </c>
      <c r="J45">
        <v>-6.36</v>
      </c>
      <c r="K45">
        <v>-4.66</v>
      </c>
      <c r="L45">
        <v>1.46</v>
      </c>
      <c r="M45" s="1">
        <f>IF(ISNUMBER(Main_S[[#This Row],[EPS]]),IF(Main_S[[#This Row],[EPS]]&lt;&gt;0,Main_S[[#This Row],[Current Price]]/Main_S[[#This Row],[EPS]],""),"")</f>
        <v>-9.0983050847457623</v>
      </c>
      <c r="N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5" s="1">
        <f>(Main_S[[#This Row],[P/FCF]]-VLOOKUP(Main_S[[#This Row],[Industry]], Mean_PFCF_S, 2, FALSE))/(VLOOKUP(Main_S[[#This Row],[Industry]], Mean_PFCF_S, 3, FALSE))</f>
        <v>-0.10932115696899861</v>
      </c>
      <c r="P45" s="1">
        <f>(Main_S[[#This Row],[P/B]]-VLOOKUP(Main_S[[#This Row],[Industry]], Mean_PB_S, 2, FALSE))/(VLOOKUP(Main_S[[#This Row],[Industry]], Mean_PB_S, 3, FALSE))</f>
        <v>-0.95976517143185458</v>
      </c>
      <c r="Q45" s="1">
        <f>(Main_S[[#This Row],[ROE]]-VLOOKUP(Main_S[[#This Row],[Industry]], Mean_ROE_S, 2, FALSE))/(VLOOKUP(Main_S[[#This Row],[Industry]], Mean_ROE_S, 3, FALSE))</f>
        <v>0.93282113110186604</v>
      </c>
      <c r="R45" s="1">
        <f>(Main_S[[#This Row],[ROA]]-VLOOKUP(Main_S[[#This Row],[Industry]], Mean_ROA_S, 2, FALSE))/(VLOOKUP(Main_S[[#This Row],[Industry]], Mean_ROA_S, 3, FALSE))</f>
        <v>1.0908102012673364</v>
      </c>
      <c r="S45" s="1">
        <f>(Main_S[[#This Row],[A/E]]-VLOOKUP(Main_S[[#This Row],[Industry]], Mean_AE_S, 2, FALSE))/(VLOOKUP(Main_S[[#This Row],[Industry]], Mean_AE_S, 3, FALSE))</f>
        <v>6.717608381743484E-2</v>
      </c>
      <c r="T45" s="1">
        <f>(Main_S[[#This Row],[P/E]]-VLOOKUP(Main_S[[#This Row],[Industry]], Mean_PE_S, 2, FALSE))/(VLOOKUP(Main_S[[#This Row],[Industry]], Mean_PE_S, 3, FALSE))</f>
        <v>-1.4771842857469728</v>
      </c>
      <c r="U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6" spans="1:26" x14ac:dyDescent="0.25">
      <c r="A46" s="68" t="s">
        <v>152</v>
      </c>
      <c r="B46" s="68" t="s">
        <v>444</v>
      </c>
      <c r="C46" s="2">
        <v>1225</v>
      </c>
      <c r="D46">
        <f>RTD("tos.rtd", , "LAST", Main_S[[#This Row],[Symbol]])</f>
        <v>42.89</v>
      </c>
      <c r="E46">
        <v>-18.260000000000002</v>
      </c>
      <c r="F46">
        <v>73.86</v>
      </c>
      <c r="G46">
        <v>-63.54</v>
      </c>
      <c r="H46" s="1">
        <f>IF(ISNUMBER(Main_S[[#This Row],[Free CF]]),IF(Main_S[[#This Row],[Free CF]]&lt;&gt;0,Main_S[[#This Row],[Current Price]]/Main_S[[#This Row],[Free CF]],""),"")</f>
        <v>-2.3488499452354872</v>
      </c>
      <c r="I46" s="1">
        <f>IF(ISNUMBER(Main_S[[#This Row],[BVPS]]),IF(Main_S[[#This Row],[BVPS]]&lt;&gt;0,Main_S[[#This Row],[Current Price]]/Main_S[[#This Row],[BVPS]],""),"")</f>
        <v>0.5806932033577038</v>
      </c>
      <c r="J46">
        <v>-65.92</v>
      </c>
      <c r="K46">
        <v>-13.19</v>
      </c>
      <c r="L46">
        <v>1.19</v>
      </c>
      <c r="M46" s="1">
        <f>IF(ISNUMBER(Main_S[[#This Row],[EPS]]),IF(Main_S[[#This Row],[EPS]]&lt;&gt;0,Main_S[[#This Row],[Current Price]]/Main_S[[#This Row],[EPS]],""),"")</f>
        <v>-0.67500786905886057</v>
      </c>
      <c r="N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6" s="1">
        <f>(Main_S[[#This Row],[P/FCF]]-VLOOKUP(Main_S[[#This Row],[Industry]], Mean_PFCF_S, 2, FALSE))/(VLOOKUP(Main_S[[#This Row],[Industry]], Mean_PFCF_S, 3, FALSE))</f>
        <v>0.71623557150767025</v>
      </c>
      <c r="P46" s="1">
        <f>(Main_S[[#This Row],[P/B]]-VLOOKUP(Main_S[[#This Row],[Industry]], Mean_PB_S, 2, FALSE))/(VLOOKUP(Main_S[[#This Row],[Industry]], Mean_PB_S, 3, FALSE))</f>
        <v>-0.96741412287877215</v>
      </c>
      <c r="Q46" s="1">
        <f>(Main_S[[#This Row],[ROE]]-VLOOKUP(Main_S[[#This Row],[Industry]], Mean_ROE_S, 2, FALSE))/(VLOOKUP(Main_S[[#This Row],[Industry]], Mean_ROE_S, 3, FALSE))</f>
        <v>-0.51656928697560356</v>
      </c>
      <c r="R46" s="1">
        <f>(Main_S[[#This Row],[ROA]]-VLOOKUP(Main_S[[#This Row],[Industry]], Mean_ROA_S, 2, FALSE))/(VLOOKUP(Main_S[[#This Row],[Industry]], Mean_ROA_S, 3, FALSE))</f>
        <v>0.57370389324000881</v>
      </c>
      <c r="S46" s="1">
        <f>(Main_S[[#This Row],[A/E]]-VLOOKUP(Main_S[[#This Row],[Industry]], Mean_AE_S, 2, FALSE))/(VLOOKUP(Main_S[[#This Row],[Industry]], Mean_AE_S, 3, FALSE))</f>
        <v>-0.53740867053948271</v>
      </c>
      <c r="T46" s="1">
        <f>(Main_S[[#This Row],[P/E]]-VLOOKUP(Main_S[[#This Row],[Industry]], Mean_PE_S, 2, FALSE))/(VLOOKUP(Main_S[[#This Row],[Industry]], Mean_PE_S, 3, FALSE))</f>
        <v>1.0783221278310406</v>
      </c>
      <c r="U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47" spans="1:26" x14ac:dyDescent="0.25">
      <c r="A47" s="68" t="s">
        <v>152</v>
      </c>
      <c r="B47" s="68" t="s">
        <v>445</v>
      </c>
      <c r="C47" s="2">
        <v>830</v>
      </c>
      <c r="D47">
        <f>RTD("tos.rtd", , "LAST", Main_S[[#This Row],[Symbol]])</f>
        <v>11.5</v>
      </c>
      <c r="E47">
        <v>-0.08</v>
      </c>
      <c r="F47">
        <v>0.73</v>
      </c>
      <c r="G47">
        <v>0.05</v>
      </c>
      <c r="H47" s="1">
        <f>IF(ISNUMBER(Main_S[[#This Row],[Free CF]]),IF(Main_S[[#This Row],[Free CF]]&lt;&gt;0,Main_S[[#This Row],[Current Price]]/Main_S[[#This Row],[Free CF]],""),"")</f>
        <v>-143.75</v>
      </c>
      <c r="I47" s="1">
        <f>IF(ISNUMBER(Main_S[[#This Row],[BVPS]]),IF(Main_S[[#This Row],[BVPS]]&lt;&gt;0,Main_S[[#This Row],[Current Price]]/Main_S[[#This Row],[BVPS]],""),"")</f>
        <v>15.753424657534246</v>
      </c>
      <c r="J47">
        <v>20.239999999999998</v>
      </c>
      <c r="K47">
        <v>8.3800000000000008</v>
      </c>
      <c r="L47">
        <v>1.98</v>
      </c>
      <c r="M47" s="1">
        <f>IF(ISNUMBER(Main_S[[#This Row],[EPS]]),IF(Main_S[[#This Row],[EPS]]&lt;&gt;0,Main_S[[#This Row],[Current Price]]/Main_S[[#This Row],[EPS]],""),"")</f>
        <v>230</v>
      </c>
      <c r="N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7" s="1">
        <f>(Main_S[[#This Row],[P/FCF]]-VLOOKUP(Main_S[[#This Row],[Industry]], Mean_PFCF_S, 2, FALSE))/(VLOOKUP(Main_S[[#This Row],[Industry]], Mean_PFCF_S, 3, FALSE))</f>
        <v>-40.933343420097479</v>
      </c>
      <c r="P47" s="1">
        <f>(Main_S[[#This Row],[P/B]]-VLOOKUP(Main_S[[#This Row],[Industry]], Mean_PB_S, 2, FALSE))/(VLOOKUP(Main_S[[#This Row],[Industry]], Mean_PB_S, 3, FALSE))</f>
        <v>7.5422609008714829</v>
      </c>
      <c r="Q47" s="1">
        <f>(Main_S[[#This Row],[ROE]]-VLOOKUP(Main_S[[#This Row],[Industry]], Mean_ROE_S, 2, FALSE))/(VLOOKUP(Main_S[[#This Row],[Industry]], Mean_ROE_S, 3, FALSE))</f>
        <v>1.5801311566368004</v>
      </c>
      <c r="R47" s="1">
        <f>(Main_S[[#This Row],[ROA]]-VLOOKUP(Main_S[[#This Row],[Industry]], Mean_ROA_S, 2, FALSE))/(VLOOKUP(Main_S[[#This Row],[Industry]], Mean_ROA_S, 3, FALSE))</f>
        <v>1.8813220719210704</v>
      </c>
      <c r="S47" s="1">
        <f>(Main_S[[#This Row],[A/E]]-VLOOKUP(Main_S[[#This Row],[Industry]], Mean_AE_S, 2, FALSE))/(VLOOKUP(Main_S[[#This Row],[Industry]], Mean_AE_S, 3, FALSE))</f>
        <v>1.2315615366529797</v>
      </c>
      <c r="T47" s="1">
        <f>(Main_S[[#This Row],[P/E]]-VLOOKUP(Main_S[[#This Row],[Industry]], Mean_PE_S, 2, FALSE))/(VLOOKUP(Main_S[[#This Row],[Industry]], Mean_PE_S, 3, FALSE))</f>
        <v>71.061779551571831</v>
      </c>
      <c r="U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8" spans="1:26" x14ac:dyDescent="0.25">
      <c r="A48" s="68" t="s">
        <v>152</v>
      </c>
      <c r="B48" s="68" t="s">
        <v>446</v>
      </c>
      <c r="C48" s="2">
        <v>345</v>
      </c>
      <c r="D48">
        <f>RTD("tos.rtd", , "LAST", Main_S[[#This Row],[Symbol]])</f>
        <v>1.84</v>
      </c>
      <c r="E48">
        <v>-0.16</v>
      </c>
      <c r="F48">
        <v>-0.22</v>
      </c>
      <c r="G48">
        <v>-0.09</v>
      </c>
      <c r="H48" s="1">
        <f>IF(ISNUMBER(Main_S[[#This Row],[Free CF]]),IF(Main_S[[#This Row],[Free CF]]&lt;&gt;0,Main_S[[#This Row],[Current Price]]/Main_S[[#This Row],[Free CF]],""),"")</f>
        <v>-11.5</v>
      </c>
      <c r="I48" s="1">
        <f>IF(ISNUMBER(Main_S[[#This Row],[BVPS]]),IF(Main_S[[#This Row],[BVPS]]&lt;&gt;0,Main_S[[#This Row],[Current Price]]/Main_S[[#This Row],[BVPS]],""),"")</f>
        <v>-8.3636363636363633</v>
      </c>
      <c r="J48">
        <v>40.159999999999997</v>
      </c>
      <c r="K48">
        <v>-3.16</v>
      </c>
      <c r="L48">
        <v>-6.93</v>
      </c>
      <c r="M48" s="1">
        <f>IF(ISNUMBER(Main_S[[#This Row],[EPS]]),IF(Main_S[[#This Row],[EPS]]&lt;&gt;0,Main_S[[#This Row],[Current Price]]/Main_S[[#This Row],[EPS]],""),"")</f>
        <v>-20.444444444444446</v>
      </c>
      <c r="N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8" s="1">
        <f>(Main_S[[#This Row],[P/FCF]]-VLOOKUP(Main_S[[#This Row],[Industry]], Mean_PFCF_S, 2, FALSE))/(VLOOKUP(Main_S[[#This Row],[Industry]], Mean_PFCF_S, 3, FALSE))</f>
        <v>-1.9792272795535171</v>
      </c>
      <c r="P48" s="1">
        <f>(Main_S[[#This Row],[P/B]]-VLOOKUP(Main_S[[#This Row],[Industry]], Mean_PB_S, 2, FALSE))/(VLOOKUP(Main_S[[#This Row],[Industry]], Mean_PB_S, 3, FALSE))</f>
        <v>-5.9838700029760172</v>
      </c>
      <c r="Q48" s="1">
        <f>(Main_S[[#This Row],[ROE]]-VLOOKUP(Main_S[[#This Row],[Industry]], Mean_ROE_S, 2, FALSE))/(VLOOKUP(Main_S[[#This Row],[Industry]], Mean_ROE_S, 3, FALSE))</f>
        <v>2.0648836268870219</v>
      </c>
      <c r="R48" s="1">
        <f>(Main_S[[#This Row],[ROA]]-VLOOKUP(Main_S[[#This Row],[Industry]], Mean_ROA_S, 2, FALSE))/(VLOOKUP(Main_S[[#This Row],[Industry]], Mean_ROA_S, 3, FALSE))</f>
        <v>1.1817433152229038</v>
      </c>
      <c r="S48" s="1">
        <f>(Main_S[[#This Row],[A/E]]-VLOOKUP(Main_S[[#This Row],[Industry]], Mean_AE_S, 2, FALSE))/(VLOOKUP(Main_S[[#This Row],[Industry]], Mean_AE_S, 3, FALSE))</f>
        <v>-18.719735357125295</v>
      </c>
      <c r="T48" s="1">
        <f>(Main_S[[#This Row],[P/E]]-VLOOKUP(Main_S[[#This Row],[Industry]], Mean_PE_S, 2, FALSE))/(VLOOKUP(Main_S[[#This Row],[Industry]], Mean_PE_S, 3, FALSE))</f>
        <v>-4.9194386857296326</v>
      </c>
      <c r="U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49" spans="1:26" x14ac:dyDescent="0.25">
      <c r="A49" s="68" t="s">
        <v>152</v>
      </c>
      <c r="B49" s="68" t="s">
        <v>447</v>
      </c>
      <c r="C49" s="2">
        <v>1668</v>
      </c>
      <c r="D49">
        <f>RTD("tos.rtd", , "LAST", Main_S[[#This Row],[Symbol]])</f>
        <v>2.5099999999999998</v>
      </c>
      <c r="E49">
        <v>-0.56999999999999995</v>
      </c>
      <c r="F49">
        <v>-0.56999999999999995</v>
      </c>
      <c r="G49">
        <v>-0.62</v>
      </c>
      <c r="H49" s="1">
        <f>IF(ISNUMBER(Main_S[[#This Row],[Free CF]]),IF(Main_S[[#This Row],[Free CF]]&lt;&gt;0,Main_S[[#This Row],[Current Price]]/Main_S[[#This Row],[Free CF]],""),"")</f>
        <v>-4.4035087719298245</v>
      </c>
      <c r="I49" s="1">
        <f>IF(ISNUMBER(Main_S[[#This Row],[BVPS]]),IF(Main_S[[#This Row],[BVPS]]&lt;&gt;0,Main_S[[#This Row],[Current Price]]/Main_S[[#This Row],[BVPS]],""),"")</f>
        <v>-4.4035087719298245</v>
      </c>
      <c r="J49">
        <v>77.02</v>
      </c>
      <c r="K49">
        <v>-48.48</v>
      </c>
      <c r="L49">
        <v>-0.78</v>
      </c>
      <c r="M49" s="1">
        <f>IF(ISNUMBER(Main_S[[#This Row],[EPS]]),IF(Main_S[[#This Row],[EPS]]&lt;&gt;0,Main_S[[#This Row],[Current Price]]/Main_S[[#This Row],[EPS]],""),"")</f>
        <v>-4.0483870967741931</v>
      </c>
      <c r="N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49" s="1">
        <f>(Main_S[[#This Row],[P/FCF]]-VLOOKUP(Main_S[[#This Row],[Industry]], Mean_PFCF_S, 2, FALSE))/(VLOOKUP(Main_S[[#This Row],[Industry]], Mean_PFCF_S, 3, FALSE))</f>
        <v>0.11103769956630925</v>
      </c>
      <c r="P49" s="1">
        <f>(Main_S[[#This Row],[P/B]]-VLOOKUP(Main_S[[#This Row],[Industry]], Mean_PB_S, 2, FALSE))/(VLOOKUP(Main_S[[#This Row],[Industry]], Mean_PB_S, 3, FALSE))</f>
        <v>-3.7628197616410555</v>
      </c>
      <c r="Q49" s="1">
        <f>(Main_S[[#This Row],[ROE]]-VLOOKUP(Main_S[[#This Row],[Industry]], Mean_ROE_S, 2, FALSE))/(VLOOKUP(Main_S[[#This Row],[Industry]], Mean_ROE_S, 3, FALSE))</f>
        <v>2.9618703765568593</v>
      </c>
      <c r="R49" s="1">
        <f>(Main_S[[#This Row],[ROA]]-VLOOKUP(Main_S[[#This Row],[Industry]], Mean_ROA_S, 2, FALSE))/(VLOOKUP(Main_S[[#This Row],[Industry]], Mean_ROA_S, 3, FALSE))</f>
        <v>-1.5656491677546438</v>
      </c>
      <c r="S49" s="1">
        <f>(Main_S[[#This Row],[A/E]]-VLOOKUP(Main_S[[#This Row],[Industry]], Mean_AE_S, 2, FALSE))/(VLOOKUP(Main_S[[#This Row],[Industry]], Mean_AE_S, 3, FALSE))</f>
        <v>-4.948638174551065</v>
      </c>
      <c r="T49" s="1">
        <f>(Main_S[[#This Row],[P/E]]-VLOOKUP(Main_S[[#This Row],[Industry]], Mean_PE_S, 2, FALSE))/(VLOOKUP(Main_S[[#This Row],[Industry]], Mean_PE_S, 3, FALSE))</f>
        <v>5.4887713596806623E-2</v>
      </c>
      <c r="U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0" spans="1:26" x14ac:dyDescent="0.25">
      <c r="A50" s="68" t="s">
        <v>152</v>
      </c>
      <c r="B50" s="68" t="s">
        <v>448</v>
      </c>
      <c r="C50" s="2">
        <v>1562</v>
      </c>
      <c r="D50">
        <f>RTD("tos.rtd", , "LAST", Main_S[[#This Row],[Symbol]])</f>
        <v>17.45</v>
      </c>
      <c r="E50">
        <v>-3.08</v>
      </c>
      <c r="F50">
        <v>12.24</v>
      </c>
      <c r="G50">
        <v>-3.36</v>
      </c>
      <c r="H50" s="1">
        <f>IF(ISNUMBER(Main_S[[#This Row],[Free CF]]),IF(Main_S[[#This Row],[Free CF]]&lt;&gt;0,Main_S[[#This Row],[Current Price]]/Main_S[[#This Row],[Free CF]],""),"")</f>
        <v>-5.6655844155844148</v>
      </c>
      <c r="I50" s="1">
        <f>IF(ISNUMBER(Main_S[[#This Row],[BVPS]]),IF(Main_S[[#This Row],[BVPS]]&lt;&gt;0,Main_S[[#This Row],[Current Price]]/Main_S[[#This Row],[BVPS]],""),"")</f>
        <v>1.4256535947712417</v>
      </c>
      <c r="J50">
        <v>-32.67</v>
      </c>
      <c r="K50">
        <v>-23.05</v>
      </c>
      <c r="L50">
        <v>1.06</v>
      </c>
      <c r="M50" s="1">
        <f>IF(ISNUMBER(Main_S[[#This Row],[EPS]]),IF(Main_S[[#This Row],[EPS]]&lt;&gt;0,Main_S[[#This Row],[Current Price]]/Main_S[[#This Row],[EPS]],""),"")</f>
        <v>-5.1934523809523814</v>
      </c>
      <c r="N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0" s="1">
        <f>(Main_S[[#This Row],[P/FCF]]-VLOOKUP(Main_S[[#This Row],[Industry]], Mean_PFCF_S, 2, FALSE))/(VLOOKUP(Main_S[[#This Row],[Industry]], Mean_PFCF_S, 3, FALSE))</f>
        <v>-0.26070552312611178</v>
      </c>
      <c r="P50" s="1">
        <f>(Main_S[[#This Row],[P/B]]-VLOOKUP(Main_S[[#This Row],[Industry]], Mean_PB_S, 2, FALSE))/(VLOOKUP(Main_S[[#This Row],[Industry]], Mean_PB_S, 3, FALSE))</f>
        <v>-0.49351538153574492</v>
      </c>
      <c r="Q50" s="1">
        <f>(Main_S[[#This Row],[ROE]]-VLOOKUP(Main_S[[#This Row],[Industry]], Mean_ROE_S, 2, FALSE))/(VLOOKUP(Main_S[[#This Row],[Industry]], Mean_ROE_S, 3, FALSE))</f>
        <v>0.29256824494306438</v>
      </c>
      <c r="R50" s="1">
        <f>(Main_S[[#This Row],[ROA]]-VLOOKUP(Main_S[[#This Row],[Industry]], Mean_ROA_S, 2, FALSE))/(VLOOKUP(Main_S[[#This Row],[Industry]], Mean_ROA_S, 3, FALSE))</f>
        <v>-2.4029775827922026E-2</v>
      </c>
      <c r="S50" s="1">
        <f>(Main_S[[#This Row],[A/E]]-VLOOKUP(Main_S[[#This Row],[Industry]], Mean_AE_S, 2, FALSE))/(VLOOKUP(Main_S[[#This Row],[Industry]], Mean_AE_S, 3, FALSE))</f>
        <v>-0.82850503374836859</v>
      </c>
      <c r="T50" s="1">
        <f>(Main_S[[#This Row],[P/E]]-VLOOKUP(Main_S[[#This Row],[Industry]], Mean_PE_S, 2, FALSE))/(VLOOKUP(Main_S[[#This Row],[Industry]], Mean_PE_S, 3, FALSE))</f>
        <v>-0.2925085141218734</v>
      </c>
      <c r="U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1" spans="1:26" x14ac:dyDescent="0.25">
      <c r="A51" s="68" t="s">
        <v>152</v>
      </c>
      <c r="B51" s="68" t="s">
        <v>449</v>
      </c>
      <c r="C51" s="2">
        <v>1476</v>
      </c>
      <c r="D51">
        <f>RTD("tos.rtd", , "LAST", Main_S[[#This Row],[Symbol]])</f>
        <v>28.55</v>
      </c>
      <c r="E51">
        <v>0.42</v>
      </c>
      <c r="F51">
        <v>7.2</v>
      </c>
      <c r="G51">
        <v>-1.02</v>
      </c>
      <c r="H51" s="1">
        <f>IF(ISNUMBER(Main_S[[#This Row],[Free CF]]),IF(Main_S[[#This Row],[Free CF]]&lt;&gt;0,Main_S[[#This Row],[Current Price]]/Main_S[[#This Row],[Free CF]],""),"")</f>
        <v>67.976190476190482</v>
      </c>
      <c r="I51" s="1">
        <f>IF(ISNUMBER(Main_S[[#This Row],[BVPS]]),IF(Main_S[[#This Row],[BVPS]]&lt;&gt;0,Main_S[[#This Row],[Current Price]]/Main_S[[#This Row],[BVPS]],""),"")</f>
        <v>3.9652777777777777</v>
      </c>
      <c r="J51">
        <v>-14</v>
      </c>
      <c r="K51">
        <v>-4.08</v>
      </c>
      <c r="L51">
        <v>2.8</v>
      </c>
      <c r="M51" s="1">
        <f>IF(ISNUMBER(Main_S[[#This Row],[EPS]]),IF(Main_S[[#This Row],[EPS]]&lt;&gt;0,Main_S[[#This Row],[Current Price]]/Main_S[[#This Row],[EPS]],""),"")</f>
        <v>-27.990196078431374</v>
      </c>
      <c r="N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1" s="1">
        <f>(Main_S[[#This Row],[P/FCF]]-VLOOKUP(Main_S[[#This Row],[Industry]], Mean_PFCF_S, 2, FALSE))/(VLOOKUP(Main_S[[#This Row],[Industry]], Mean_PFCF_S, 3, FALSE))</f>
        <v>21.430411693735842</v>
      </c>
      <c r="P51" s="1">
        <f>(Main_S[[#This Row],[P/B]]-VLOOKUP(Main_S[[#This Row],[Industry]], Mean_PB_S, 2, FALSE))/(VLOOKUP(Main_S[[#This Row],[Industry]], Mean_PB_S, 3, FALSE))</f>
        <v>0.93084097414825295</v>
      </c>
      <c r="Q51" s="1">
        <f>(Main_S[[#This Row],[ROE]]-VLOOKUP(Main_S[[#This Row],[Industry]], Mean_ROE_S, 2, FALSE))/(VLOOKUP(Main_S[[#This Row],[Industry]], Mean_ROE_S, 3, FALSE))</f>
        <v>0.74690201098581721</v>
      </c>
      <c r="R51" s="1">
        <f>(Main_S[[#This Row],[ROA]]-VLOOKUP(Main_S[[#This Row],[Industry]], Mean_ROA_S, 2, FALSE))/(VLOOKUP(Main_S[[#This Row],[Industry]], Mean_ROA_S, 3, FALSE))</f>
        <v>1.1259710053301559</v>
      </c>
      <c r="S51" s="1">
        <f>(Main_S[[#This Row],[A/E]]-VLOOKUP(Main_S[[#This Row],[Industry]], Mean_AE_S, 2, FALSE))/(VLOOKUP(Main_S[[#This Row],[Industry]], Mean_AE_S, 3, FALSE))</f>
        <v>3.0677078276628769</v>
      </c>
      <c r="T51" s="1">
        <f>(Main_S[[#This Row],[P/E]]-VLOOKUP(Main_S[[#This Row],[Industry]], Mean_PE_S, 2, FALSE))/(VLOOKUP(Main_S[[#This Row],[Industry]], Mean_PE_S, 3, FALSE))</f>
        <v>-7.2087104758795482</v>
      </c>
      <c r="U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2" spans="1:26" x14ac:dyDescent="0.25">
      <c r="A52" s="68" t="s">
        <v>152</v>
      </c>
      <c r="B52" s="68" t="s">
        <v>450</v>
      </c>
      <c r="C52" s="2">
        <v>281</v>
      </c>
      <c r="D52">
        <f>RTD("tos.rtd", , "LAST", Main_S[[#This Row],[Symbol]])</f>
        <v>1.89</v>
      </c>
      <c r="E52">
        <v>-0.03</v>
      </c>
      <c r="F52">
        <v>7.0000000000000007E-2</v>
      </c>
      <c r="G52">
        <v>-0.03</v>
      </c>
      <c r="H52" s="1">
        <f>IF(ISNUMBER(Main_S[[#This Row],[Free CF]]),IF(Main_S[[#This Row],[Free CF]]&lt;&gt;0,Main_S[[#This Row],[Current Price]]/Main_S[[#This Row],[Free CF]],""),"")</f>
        <v>-63</v>
      </c>
      <c r="I52" s="1">
        <f>IF(ISNUMBER(Main_S[[#This Row],[BVPS]]),IF(Main_S[[#This Row],[BVPS]]&lt;&gt;0,Main_S[[#This Row],[Current Price]]/Main_S[[#This Row],[BVPS]],""),"")</f>
        <v>26.999999999999996</v>
      </c>
      <c r="J52">
        <v>-42.12</v>
      </c>
      <c r="K52">
        <v>-25.7</v>
      </c>
      <c r="L52">
        <v>1.07</v>
      </c>
      <c r="M52" s="1">
        <f>IF(ISNUMBER(Main_S[[#This Row],[EPS]]),IF(Main_S[[#This Row],[EPS]]&lt;&gt;0,Main_S[[#This Row],[Current Price]]/Main_S[[#This Row],[EPS]],""),"")</f>
        <v>-63</v>
      </c>
      <c r="N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2" s="1">
        <f>(Main_S[[#This Row],[P/FCF]]-VLOOKUP(Main_S[[#This Row],[Industry]], Mean_PFCF_S, 2, FALSE))/(VLOOKUP(Main_S[[#This Row],[Industry]], Mean_PFCF_S, 3, FALSE))</f>
        <v>-17.148505020483679</v>
      </c>
      <c r="P52" s="1">
        <f>(Main_S[[#This Row],[P/B]]-VLOOKUP(Main_S[[#This Row],[Industry]], Mean_PB_S, 2, FALSE))/(VLOOKUP(Main_S[[#This Row],[Industry]], Mean_PB_S, 3, FALSE))</f>
        <v>13.849938696629343</v>
      </c>
      <c r="Q52" s="1">
        <f>(Main_S[[#This Row],[ROE]]-VLOOKUP(Main_S[[#This Row],[Industry]], Mean_ROE_S, 2, FALSE))/(VLOOKUP(Main_S[[#This Row],[Industry]], Mean_ROE_S, 3, FALSE))</f>
        <v>6.2602841134600962E-2</v>
      </c>
      <c r="R52" s="1">
        <f>(Main_S[[#This Row],[ROA]]-VLOOKUP(Main_S[[#This Row],[Industry]], Mean_ROA_S, 2, FALSE))/(VLOOKUP(Main_S[[#This Row],[Industry]], Mean_ROA_S, 3, FALSE))</f>
        <v>-0.18467827714942464</v>
      </c>
      <c r="S52" s="1">
        <f>(Main_S[[#This Row],[A/E]]-VLOOKUP(Main_S[[#This Row],[Industry]], Mean_AE_S, 2, FALSE))/(VLOOKUP(Main_S[[#This Row],[Industry]], Mean_AE_S, 3, FALSE))</f>
        <v>-0.80611300580922352</v>
      </c>
      <c r="T52" s="1">
        <f>(Main_S[[#This Row],[P/E]]-VLOOKUP(Main_S[[#This Row],[Industry]], Mean_PE_S, 2, FALSE))/(VLOOKUP(Main_S[[#This Row],[Industry]], Mean_PE_S, 3, FALSE))</f>
        <v>-17.830178075652636</v>
      </c>
      <c r="U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3" spans="1:26" x14ac:dyDescent="0.25">
      <c r="A53" s="68" t="s">
        <v>152</v>
      </c>
      <c r="B53" s="68" t="s">
        <v>451</v>
      </c>
      <c r="C53" s="2">
        <v>646</v>
      </c>
      <c r="D53">
        <f>RTD("tos.rtd", , "LAST", Main_S[[#This Row],[Symbol]])</f>
        <v>7.91</v>
      </c>
      <c r="E53">
        <v>-2.8</v>
      </c>
      <c r="F53">
        <v>2.81</v>
      </c>
      <c r="G53">
        <v>-5</v>
      </c>
      <c r="H53" s="1">
        <f>IF(ISNUMBER(Main_S[[#This Row],[Free CF]]),IF(Main_S[[#This Row],[Free CF]]&lt;&gt;0,Main_S[[#This Row],[Current Price]]/Main_S[[#This Row],[Free CF]],""),"")</f>
        <v>-2.8250000000000002</v>
      </c>
      <c r="I53" s="1">
        <f>IF(ISNUMBER(Main_S[[#This Row],[BVPS]]),IF(Main_S[[#This Row],[BVPS]]&lt;&gt;0,Main_S[[#This Row],[Current Price]]/Main_S[[#This Row],[BVPS]],""),"")</f>
        <v>2.814946619217082</v>
      </c>
      <c r="J53">
        <v>-194.63</v>
      </c>
      <c r="K53">
        <v>-49.34</v>
      </c>
      <c r="L53">
        <v>1.33</v>
      </c>
      <c r="M53" s="1">
        <f>IF(ISNUMBER(Main_S[[#This Row],[EPS]]),IF(Main_S[[#This Row],[EPS]]&lt;&gt;0,Main_S[[#This Row],[Current Price]]/Main_S[[#This Row],[EPS]],""),"")</f>
        <v>-1.5820000000000001</v>
      </c>
      <c r="N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3" s="1">
        <f>(Main_S[[#This Row],[P/FCF]]-VLOOKUP(Main_S[[#This Row],[Industry]], Mean_PFCF_S, 2, FALSE))/(VLOOKUP(Main_S[[#This Row],[Industry]], Mean_PFCF_S, 3, FALSE))</f>
        <v>0.57598600981675763</v>
      </c>
      <c r="P53" s="1">
        <f>(Main_S[[#This Row],[P/B]]-VLOOKUP(Main_S[[#This Row],[Industry]], Mean_PB_S, 2, FALSE))/(VLOOKUP(Main_S[[#This Row],[Industry]], Mean_PB_S, 3, FALSE))</f>
        <v>0.2856740601611818</v>
      </c>
      <c r="Q53" s="1">
        <f>(Main_S[[#This Row],[ROE]]-VLOOKUP(Main_S[[#This Row],[Industry]], Mean_ROE_S, 2, FALSE))/(VLOOKUP(Main_S[[#This Row],[Industry]], Mean_ROE_S, 3, FALSE))</f>
        <v>-3.6487224218102421</v>
      </c>
      <c r="R53" s="1">
        <f>(Main_S[[#This Row],[ROA]]-VLOOKUP(Main_S[[#This Row],[Industry]], Mean_ROA_S, 2, FALSE))/(VLOOKUP(Main_S[[#This Row],[Industry]], Mean_ROA_S, 3, FALSE))</f>
        <v>-1.6177841530891697</v>
      </c>
      <c r="S53" s="1">
        <f>(Main_S[[#This Row],[A/E]]-VLOOKUP(Main_S[[#This Row],[Industry]], Mean_AE_S, 2, FALSE))/(VLOOKUP(Main_S[[#This Row],[Industry]], Mean_AE_S, 3, FALSE))</f>
        <v>-0.22392027939145112</v>
      </c>
      <c r="T53" s="1">
        <f>(Main_S[[#This Row],[P/E]]-VLOOKUP(Main_S[[#This Row],[Industry]], Mean_PE_S, 2, FALSE))/(VLOOKUP(Main_S[[#This Row],[Industry]], Mean_PE_S, 3, FALSE))</f>
        <v>0.80315384772235188</v>
      </c>
      <c r="U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4" spans="1:26" x14ac:dyDescent="0.25">
      <c r="A54" s="68" t="s">
        <v>152</v>
      </c>
      <c r="B54" s="68" t="s">
        <v>452</v>
      </c>
      <c r="C54" s="2">
        <v>534</v>
      </c>
      <c r="D54">
        <f>RTD("tos.rtd", , "LAST", Main_S[[#This Row],[Symbol]])</f>
        <v>4.34</v>
      </c>
      <c r="E54">
        <v>-1.71</v>
      </c>
      <c r="F54">
        <v>4.9000000000000004</v>
      </c>
      <c r="G54">
        <v>0.15</v>
      </c>
      <c r="H54" s="1">
        <f>IF(ISNUMBER(Main_S[[#This Row],[Free CF]]),IF(Main_S[[#This Row],[Free CF]]&lt;&gt;0,Main_S[[#This Row],[Current Price]]/Main_S[[#This Row],[Free CF]],""),"")</f>
        <v>-2.5380116959064325</v>
      </c>
      <c r="I54" s="1">
        <f>IF(ISNUMBER(Main_S[[#This Row],[BVPS]]),IF(Main_S[[#This Row],[BVPS]]&lt;&gt;0,Main_S[[#This Row],[Current Price]]/Main_S[[#This Row],[BVPS]],""),"")</f>
        <v>0.88571428571428568</v>
      </c>
      <c r="J54">
        <v>3.84</v>
      </c>
      <c r="K54">
        <v>-4</v>
      </c>
      <c r="L54">
        <v>1.21</v>
      </c>
      <c r="M54" s="1">
        <f>IF(ISNUMBER(Main_S[[#This Row],[EPS]]),IF(Main_S[[#This Row],[EPS]]&lt;&gt;0,Main_S[[#This Row],[Current Price]]/Main_S[[#This Row],[EPS]],""),"")</f>
        <v>28.933333333333334</v>
      </c>
      <c r="N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4" s="1">
        <f>(Main_S[[#This Row],[P/FCF]]-VLOOKUP(Main_S[[#This Row],[Industry]], Mean_PFCF_S, 2, FALSE))/(VLOOKUP(Main_S[[#This Row],[Industry]], Mean_PFCF_S, 3, FALSE))</f>
        <v>0.66051815143217218</v>
      </c>
      <c r="P54" s="1">
        <f>(Main_S[[#This Row],[P/B]]-VLOOKUP(Main_S[[#This Row],[Industry]], Mean_PB_S, 2, FALSE))/(VLOOKUP(Main_S[[#This Row],[Industry]], Mean_PB_S, 3, FALSE))</f>
        <v>-0.79634207206931917</v>
      </c>
      <c r="Q54" s="1">
        <f>(Main_S[[#This Row],[ROE]]-VLOOKUP(Main_S[[#This Row],[Industry]], Mean_ROE_S, 2, FALSE))/(VLOOKUP(Main_S[[#This Row],[Industry]], Mean_ROE_S, 3, FALSE))</f>
        <v>1.1810377574348105</v>
      </c>
      <c r="R54" s="1">
        <f>(Main_S[[#This Row],[ROA]]-VLOOKUP(Main_S[[#This Row],[Industry]], Mean_ROA_S, 2, FALSE))/(VLOOKUP(Main_S[[#This Row],[Industry]], Mean_ROA_S, 3, FALSE))</f>
        <v>1.130820771407786</v>
      </c>
      <c r="S54" s="1">
        <f>(Main_S[[#This Row],[A/E]]-VLOOKUP(Main_S[[#This Row],[Industry]], Mean_AE_S, 2, FALSE))/(VLOOKUP(Main_S[[#This Row],[Industry]], Mean_AE_S, 3, FALSE))</f>
        <v>-0.49262461466119245</v>
      </c>
      <c r="T54" s="1">
        <f>(Main_S[[#This Row],[P/E]]-VLOOKUP(Main_S[[#This Row],[Industry]], Mean_PE_S, 2, FALSE))/(VLOOKUP(Main_S[[#This Row],[Industry]], Mean_PE_S, 3, FALSE))</f>
        <v>10.061064146859884</v>
      </c>
      <c r="U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5" spans="1:26" x14ac:dyDescent="0.25">
      <c r="A55" s="68" t="s">
        <v>152</v>
      </c>
      <c r="B55" s="68" t="s">
        <v>453</v>
      </c>
      <c r="C55" s="2">
        <v>1045</v>
      </c>
      <c r="D55">
        <f>RTD("tos.rtd", , "LAST", Main_S[[#This Row],[Symbol]])</f>
        <v>1.79</v>
      </c>
      <c r="E55">
        <v>-1.26</v>
      </c>
      <c r="F55">
        <v>2.33</v>
      </c>
      <c r="G55">
        <v>-1.28</v>
      </c>
      <c r="H55" s="1">
        <f>IF(ISNUMBER(Main_S[[#This Row],[Free CF]]),IF(Main_S[[#This Row],[Free CF]]&lt;&gt;0,Main_S[[#This Row],[Current Price]]/Main_S[[#This Row],[Free CF]],""),"")</f>
        <v>-1.4206349206349207</v>
      </c>
      <c r="I55" s="1">
        <f>IF(ISNUMBER(Main_S[[#This Row],[BVPS]]),IF(Main_S[[#This Row],[BVPS]]&lt;&gt;0,Main_S[[#This Row],[Current Price]]/Main_S[[#This Row],[BVPS]],""),"")</f>
        <v>0.76824034334763946</v>
      </c>
      <c r="J55">
        <v>-57.48</v>
      </c>
      <c r="K55">
        <v>-29.22</v>
      </c>
      <c r="L55">
        <v>1.28</v>
      </c>
      <c r="M55" s="1">
        <f>IF(ISNUMBER(Main_S[[#This Row],[EPS]]),IF(Main_S[[#This Row],[EPS]]&lt;&gt;0,Main_S[[#This Row],[Current Price]]/Main_S[[#This Row],[EPS]],""),"")</f>
        <v>-1.3984375</v>
      </c>
      <c r="N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5" s="1">
        <f>(Main_S[[#This Row],[P/FCF]]-VLOOKUP(Main_S[[#This Row],[Industry]], Mean_PFCF_S, 2, FALSE))/(VLOOKUP(Main_S[[#This Row],[Industry]], Mean_PFCF_S, 3, FALSE))</f>
        <v>0.98964045522554045</v>
      </c>
      <c r="P55" s="1">
        <f>(Main_S[[#This Row],[P/B]]-VLOOKUP(Main_S[[#This Row],[Industry]], Mean_PB_S, 2, FALSE))/(VLOOKUP(Main_S[[#This Row],[Industry]], Mean_PB_S, 3, FALSE))</f>
        <v>-0.86222770883274802</v>
      </c>
      <c r="Q55" s="1">
        <f>(Main_S[[#This Row],[ROE]]-VLOOKUP(Main_S[[#This Row],[Industry]], Mean_ROE_S, 2, FALSE))/(VLOOKUP(Main_S[[#This Row],[Industry]], Mean_ROE_S, 3, FALSE))</f>
        <v>-0.31118219616677462</v>
      </c>
      <c r="R55" s="1">
        <f>(Main_S[[#This Row],[ROA]]-VLOOKUP(Main_S[[#This Row],[Industry]], Mean_ROA_S, 2, FALSE))/(VLOOKUP(Main_S[[#This Row],[Industry]], Mean_ROA_S, 3, FALSE))</f>
        <v>-0.39806798456515646</v>
      </c>
      <c r="S55" s="1">
        <f>(Main_S[[#This Row],[A/E]]-VLOOKUP(Main_S[[#This Row],[Industry]], Mean_AE_S, 2, FALSE))/(VLOOKUP(Main_S[[#This Row],[Industry]], Mean_AE_S, 3, FALSE))</f>
        <v>-0.3358804190871767</v>
      </c>
      <c r="T55" s="1">
        <f>(Main_S[[#This Row],[P/E]]-VLOOKUP(Main_S[[#This Row],[Industry]], Mean_PE_S, 2, FALSE))/(VLOOKUP(Main_S[[#This Row],[Industry]], Mean_PE_S, 3, FALSE))</f>
        <v>0.85884405240476613</v>
      </c>
      <c r="U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6" spans="1:26" x14ac:dyDescent="0.25">
      <c r="A56" s="68" t="s">
        <v>152</v>
      </c>
      <c r="B56" s="68" t="s">
        <v>454</v>
      </c>
      <c r="C56" s="2">
        <v>1508</v>
      </c>
      <c r="D56">
        <f>RTD("tos.rtd", , "LAST", Main_S[[#This Row],[Symbol]])</f>
        <v>46.35</v>
      </c>
      <c r="E56">
        <v>-3.42</v>
      </c>
      <c r="F56">
        <v>14.85</v>
      </c>
      <c r="G56">
        <v>-3.96</v>
      </c>
      <c r="H56" s="1">
        <f>IF(ISNUMBER(Main_S[[#This Row],[Free CF]]),IF(Main_S[[#This Row],[Free CF]]&lt;&gt;0,Main_S[[#This Row],[Current Price]]/Main_S[[#This Row],[Free CF]],""),"")</f>
        <v>-13.55263157894737</v>
      </c>
      <c r="I56" s="1">
        <f>IF(ISNUMBER(Main_S[[#This Row],[BVPS]]),IF(Main_S[[#This Row],[BVPS]]&lt;&gt;0,Main_S[[#This Row],[Current Price]]/Main_S[[#This Row],[BVPS]],""),"")</f>
        <v>3.1212121212121215</v>
      </c>
      <c r="J56">
        <v>-27.73</v>
      </c>
      <c r="K56">
        <v>-18.75</v>
      </c>
      <c r="L56">
        <v>1.1200000000000001</v>
      </c>
      <c r="M56" s="1">
        <f>IF(ISNUMBER(Main_S[[#This Row],[EPS]]),IF(Main_S[[#This Row],[EPS]]&lt;&gt;0,Main_S[[#This Row],[Current Price]]/Main_S[[#This Row],[EPS]],""),"")</f>
        <v>-11.704545454545455</v>
      </c>
      <c r="N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6" s="1">
        <f>(Main_S[[#This Row],[P/FCF]]-VLOOKUP(Main_S[[#This Row],[Industry]], Mean_PFCF_S, 2, FALSE))/(VLOOKUP(Main_S[[#This Row],[Industry]], Mean_PFCF_S, 3, FALSE))</f>
        <v>-2.5838280275313164</v>
      </c>
      <c r="P56" s="1">
        <f>(Main_S[[#This Row],[P/B]]-VLOOKUP(Main_S[[#This Row],[Industry]], Mean_PB_S, 2, FALSE))/(VLOOKUP(Main_S[[#This Row],[Industry]], Mean_PB_S, 3, FALSE))</f>
        <v>0.45744404770987179</v>
      </c>
      <c r="Q56" s="1">
        <f>(Main_S[[#This Row],[ROE]]-VLOOKUP(Main_S[[#This Row],[Industry]], Mean_ROE_S, 2, FALSE))/(VLOOKUP(Main_S[[#This Row],[Industry]], Mean_ROE_S, 3, FALSE))</f>
        <v>0.4127829639709808</v>
      </c>
      <c r="R56" s="1">
        <f>(Main_S[[#This Row],[ROA]]-VLOOKUP(Main_S[[#This Row],[Industry]], Mean_ROA_S, 2, FALSE))/(VLOOKUP(Main_S[[#This Row],[Industry]], Mean_ROA_S, 3, FALSE))</f>
        <v>0.23664515084470503</v>
      </c>
      <c r="S56" s="1">
        <f>(Main_S[[#This Row],[A/E]]-VLOOKUP(Main_S[[#This Row],[Industry]], Mean_AE_S, 2, FALSE))/(VLOOKUP(Main_S[[#This Row],[Industry]], Mean_AE_S, 3, FALSE))</f>
        <v>-0.69415286611349791</v>
      </c>
      <c r="T56" s="1">
        <f>(Main_S[[#This Row],[P/E]]-VLOOKUP(Main_S[[#This Row],[Industry]], Mean_PE_S, 2, FALSE))/(VLOOKUP(Main_S[[#This Row],[Industry]], Mean_PE_S, 3, FALSE))</f>
        <v>-2.2678798779606111</v>
      </c>
      <c r="U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7" spans="1:26" x14ac:dyDescent="0.25">
      <c r="A57" s="68" t="s">
        <v>152</v>
      </c>
      <c r="B57" s="68" t="s">
        <v>455</v>
      </c>
      <c r="C57" s="2">
        <v>344</v>
      </c>
      <c r="D57">
        <f>RTD("tos.rtd", , "LAST", Main_S[[#This Row],[Symbol]])</f>
        <v>3.5844</v>
      </c>
      <c r="E57">
        <v>-1.49</v>
      </c>
      <c r="F57">
        <v>-1.1499999999999999</v>
      </c>
      <c r="G57">
        <v>-3.19</v>
      </c>
      <c r="H57" s="1">
        <f>IF(ISNUMBER(Main_S[[#This Row],[Free CF]]),IF(Main_S[[#This Row],[Free CF]]&lt;&gt;0,Main_S[[#This Row],[Current Price]]/Main_S[[#This Row],[Free CF]],""),"")</f>
        <v>-2.4056375838926174</v>
      </c>
      <c r="I57" s="1">
        <f>IF(ISNUMBER(Main_S[[#This Row],[BVPS]]),IF(Main_S[[#This Row],[BVPS]]&lt;&gt;0,Main_S[[#This Row],[Current Price]]/Main_S[[#This Row],[BVPS]],""),"")</f>
        <v>-3.1168695652173914</v>
      </c>
      <c r="J57">
        <v>265.67</v>
      </c>
      <c r="K57">
        <v>-63.6</v>
      </c>
      <c r="L57">
        <v>-1.1200000000000001</v>
      </c>
      <c r="M57" s="1">
        <f>IF(ISNUMBER(Main_S[[#This Row],[EPS]]),IF(Main_S[[#This Row],[EPS]]&lt;&gt;0,Main_S[[#This Row],[Current Price]]/Main_S[[#This Row],[EPS]],""),"")</f>
        <v>-1.1236363636363638</v>
      </c>
      <c r="N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7" s="1">
        <f>(Main_S[[#This Row],[P/FCF]]-VLOOKUP(Main_S[[#This Row],[Industry]], Mean_PFCF_S, 2, FALSE))/(VLOOKUP(Main_S[[#This Row],[Industry]], Mean_PFCF_S, 3, FALSE))</f>
        <v>0.69950882465249375</v>
      </c>
      <c r="P57" s="1">
        <f>(Main_S[[#This Row],[P/B]]-VLOOKUP(Main_S[[#This Row],[Industry]], Mean_PB_S, 2, FALSE))/(VLOOKUP(Main_S[[#This Row],[Industry]], Mean_PB_S, 3, FALSE))</f>
        <v>-3.0412040423484838</v>
      </c>
      <c r="Q57" s="1">
        <f>(Main_S[[#This Row],[ROE]]-VLOOKUP(Main_S[[#This Row],[Industry]], Mean_ROE_S, 2, FALSE))/(VLOOKUP(Main_S[[#This Row],[Industry]], Mean_ROE_S, 3, FALSE))</f>
        <v>7.5526612155480386</v>
      </c>
      <c r="R57" s="1">
        <f>(Main_S[[#This Row],[ROA]]-VLOOKUP(Main_S[[#This Row],[Industry]], Mean_ROA_S, 2, FALSE))/(VLOOKUP(Main_S[[#This Row],[Industry]], Mean_ROA_S, 3, FALSE))</f>
        <v>-2.4822549564267651</v>
      </c>
      <c r="S57" s="1">
        <f>(Main_S[[#This Row],[A/E]]-VLOOKUP(Main_S[[#This Row],[Industry]], Mean_AE_S, 2, FALSE))/(VLOOKUP(Main_S[[#This Row],[Industry]], Mean_AE_S, 3, FALSE))</f>
        <v>-5.7099671244819987</v>
      </c>
      <c r="T57" s="1">
        <f>(Main_S[[#This Row],[P/E]]-VLOOKUP(Main_S[[#This Row],[Industry]], Mean_PE_S, 2, FALSE))/(VLOOKUP(Main_S[[#This Row],[Industry]], Mean_PE_S, 3, FALSE))</f>
        <v>0.94221473830766522</v>
      </c>
      <c r="U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58" spans="1:26" x14ac:dyDescent="0.25">
      <c r="A58" s="68" t="s">
        <v>152</v>
      </c>
      <c r="B58" s="68" t="s">
        <v>456</v>
      </c>
      <c r="C58" s="2">
        <v>1519</v>
      </c>
      <c r="D58">
        <f>RTD("tos.rtd", , "LAST", Main_S[[#This Row],[Symbol]])</f>
        <v>25.33</v>
      </c>
      <c r="E58">
        <v>-0.82</v>
      </c>
      <c r="F58">
        <v>17.32</v>
      </c>
      <c r="G58">
        <v>-1.28</v>
      </c>
      <c r="H58" s="1">
        <f>IF(ISNUMBER(Main_S[[#This Row],[Free CF]]),IF(Main_S[[#This Row],[Free CF]]&lt;&gt;0,Main_S[[#This Row],[Current Price]]/Main_S[[#This Row],[Free CF]],""),"")</f>
        <v>-30.890243902439025</v>
      </c>
      <c r="I58" s="1">
        <f>IF(ISNUMBER(Main_S[[#This Row],[BVPS]]),IF(Main_S[[#This Row],[BVPS]]&lt;&gt;0,Main_S[[#This Row],[Current Price]]/Main_S[[#This Row],[BVPS]],""),"")</f>
        <v>1.4624711316397228</v>
      </c>
      <c r="J58">
        <v>-10.09</v>
      </c>
      <c r="K58">
        <v>-8.57</v>
      </c>
      <c r="L58">
        <v>1.04</v>
      </c>
      <c r="M58" s="1">
        <f>IF(ISNUMBER(Main_S[[#This Row],[EPS]]),IF(Main_S[[#This Row],[EPS]]&lt;&gt;0,Main_S[[#This Row],[Current Price]]/Main_S[[#This Row],[EPS]],""),"")</f>
        <v>-19.7890625</v>
      </c>
      <c r="N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8" s="1">
        <f>(Main_S[[#This Row],[P/FCF]]-VLOOKUP(Main_S[[#This Row],[Industry]], Mean_PFCF_S, 2, FALSE))/(VLOOKUP(Main_S[[#This Row],[Industry]], Mean_PFCF_S, 3, FALSE))</f>
        <v>-7.6906058275239069</v>
      </c>
      <c r="P58" s="1">
        <f>(Main_S[[#This Row],[P/B]]-VLOOKUP(Main_S[[#This Row],[Industry]], Mean_PB_S, 2, FALSE))/(VLOOKUP(Main_S[[#This Row],[Industry]], Mean_PB_S, 3, FALSE))</f>
        <v>-0.47286614808216826</v>
      </c>
      <c r="Q58" s="1">
        <f>(Main_S[[#This Row],[ROE]]-VLOOKUP(Main_S[[#This Row],[Industry]], Mean_ROE_S, 2, FALSE))/(VLOOKUP(Main_S[[#This Row],[Industry]], Mean_ROE_S, 3, FALSE))</f>
        <v>0.84205171774677945</v>
      </c>
      <c r="R58" s="1">
        <f>(Main_S[[#This Row],[ROA]]-VLOOKUP(Main_S[[#This Row],[Industry]], Mean_ROA_S, 2, FALSE))/(VLOOKUP(Main_S[[#This Row],[Industry]], Mean_ROA_S, 3, FALSE))</f>
        <v>0.85377788422315681</v>
      </c>
      <c r="S58" s="1">
        <f>(Main_S[[#This Row],[A/E]]-VLOOKUP(Main_S[[#This Row],[Industry]], Mean_AE_S, 2, FALSE))/(VLOOKUP(Main_S[[#This Row],[Industry]], Mean_AE_S, 3, FALSE))</f>
        <v>-0.87328908962665885</v>
      </c>
      <c r="T58" s="1">
        <f>(Main_S[[#This Row],[P/E]]-VLOOKUP(Main_S[[#This Row],[Industry]], Mean_PE_S, 2, FALSE))/(VLOOKUP(Main_S[[#This Row],[Industry]], Mean_PE_S, 3, FALSE))</f>
        <v>-4.7206052931180151</v>
      </c>
      <c r="U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59" spans="1:26" x14ac:dyDescent="0.25">
      <c r="A59" s="68" t="s">
        <v>152</v>
      </c>
      <c r="B59" s="68" t="s">
        <v>457</v>
      </c>
      <c r="C59" s="2">
        <v>487</v>
      </c>
      <c r="D59">
        <f>RTD("tos.rtd", , "LAST", Main_S[[#This Row],[Symbol]])</f>
        <v>8.61</v>
      </c>
      <c r="H59" s="1" t="str">
        <f>IF(ISNUMBER(Main_S[[#This Row],[Free CF]]),IF(Main_S[[#This Row],[Free CF]]&lt;&gt;0,Main_S[[#This Row],[Current Price]]/Main_S[[#This Row],[Free CF]],""),"")</f>
        <v/>
      </c>
      <c r="I59" s="1" t="str">
        <f>IF(ISNUMBER(Main_S[[#This Row],[BVPS]]),IF(Main_S[[#This Row],[BVPS]]&lt;&gt;0,Main_S[[#This Row],[Current Price]]/Main_S[[#This Row],[BVPS]],""),"")</f>
        <v/>
      </c>
      <c r="L59">
        <v>-1.56</v>
      </c>
      <c r="M59" s="1" t="str">
        <f>IF(ISNUMBER(Main_S[[#This Row],[EPS]]),IF(Main_S[[#This Row],[EPS]]&lt;&gt;0,Main_S[[#This Row],[Current Price]]/Main_S[[#This Row],[EPS]],""),"")</f>
        <v/>
      </c>
      <c r="N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59" s="1" t="e">
        <f>(Main_S[[#This Row],[P/FCF]]-VLOOKUP(Main_S[[#This Row],[Industry]], Mean_PFCF_S, 2, FALSE))/(VLOOKUP(Main_S[[#This Row],[Industry]], Mean_PFCF_S, 3, FALSE))</f>
        <v>#VALUE!</v>
      </c>
      <c r="P59" s="1" t="e">
        <f>(Main_S[[#This Row],[P/B]]-VLOOKUP(Main_S[[#This Row],[Industry]], Mean_PB_S, 2, FALSE))/(VLOOKUP(Main_S[[#This Row],[Industry]], Mean_PB_S, 3, FALSE))</f>
        <v>#VALUE!</v>
      </c>
      <c r="Q59" s="1">
        <f>(Main_S[[#This Row],[ROE]]-VLOOKUP(Main_S[[#This Row],[Industry]], Mean_ROE_S, 2, FALSE))/(VLOOKUP(Main_S[[#This Row],[Industry]], Mean_ROE_S, 3, FALSE))</f>
        <v>1.0875914981094668</v>
      </c>
      <c r="R59" s="1">
        <f>(Main_S[[#This Row],[ROA]]-VLOOKUP(Main_S[[#This Row],[Industry]], Mean_ROA_S, 2, FALSE))/(VLOOKUP(Main_S[[#This Row],[Industry]], Mean_ROA_S, 3, FALSE))</f>
        <v>1.3733090752892996</v>
      </c>
      <c r="S59" s="1">
        <f>(Main_S[[#This Row],[A/E]]-VLOOKUP(Main_S[[#This Row],[Industry]], Mean_AE_S, 2, FALSE))/(VLOOKUP(Main_S[[#This Row],[Industry]], Mean_AE_S, 3, FALSE))</f>
        <v>-6.6952163538043825</v>
      </c>
      <c r="T59" s="1" t="e">
        <f>(Main_S[[#This Row],[P/E]]-VLOOKUP(Main_S[[#This Row],[Industry]], Mean_PE_S, 2, FALSE))/(VLOOKUP(Main_S[[#This Row],[Industry]], Mean_PE_S, 3, FALSE))</f>
        <v>#VALUE!</v>
      </c>
      <c r="U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0" spans="1:26" x14ac:dyDescent="0.25">
      <c r="A60" s="68" t="s">
        <v>152</v>
      </c>
      <c r="B60" s="68" t="s">
        <v>458</v>
      </c>
      <c r="C60" s="2">
        <v>609</v>
      </c>
      <c r="D60">
        <f>RTD("tos.rtd", , "LAST", Main_S[[#This Row],[Symbol]])</f>
        <v>11.64</v>
      </c>
      <c r="E60">
        <v>-2.71</v>
      </c>
      <c r="F60">
        <v>2.93</v>
      </c>
      <c r="G60">
        <v>-3.72</v>
      </c>
      <c r="H60" s="1">
        <f>IF(ISNUMBER(Main_S[[#This Row],[Free CF]]),IF(Main_S[[#This Row],[Free CF]]&lt;&gt;0,Main_S[[#This Row],[Current Price]]/Main_S[[#This Row],[Free CF]],""),"")</f>
        <v>-4.2952029520295207</v>
      </c>
      <c r="I60" s="1">
        <f>IF(ISNUMBER(Main_S[[#This Row],[BVPS]]),IF(Main_S[[#This Row],[BVPS]]&lt;&gt;0,Main_S[[#This Row],[Current Price]]/Main_S[[#This Row],[BVPS]],""),"")</f>
        <v>3.9726962457337884</v>
      </c>
      <c r="J60">
        <v>-150.5</v>
      </c>
      <c r="K60">
        <v>-58.15</v>
      </c>
      <c r="L60">
        <v>1.9</v>
      </c>
      <c r="M60" s="1">
        <f>IF(ISNUMBER(Main_S[[#This Row],[EPS]]),IF(Main_S[[#This Row],[EPS]]&lt;&gt;0,Main_S[[#This Row],[Current Price]]/Main_S[[#This Row],[EPS]],""),"")</f>
        <v>-3.129032258064516</v>
      </c>
      <c r="N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0" s="1">
        <f>(Main_S[[#This Row],[P/FCF]]-VLOOKUP(Main_S[[#This Row],[Industry]], Mean_PFCF_S, 2, FALSE))/(VLOOKUP(Main_S[[#This Row],[Industry]], Mean_PFCF_S, 3, FALSE))</f>
        <v>0.14293907943090864</v>
      </c>
      <c r="P60" s="1">
        <f>(Main_S[[#This Row],[P/B]]-VLOOKUP(Main_S[[#This Row],[Industry]], Mean_PB_S, 2, FALSE))/(VLOOKUP(Main_S[[#This Row],[Industry]], Mean_PB_S, 3, FALSE))</f>
        <v>0.93500164565755983</v>
      </c>
      <c r="Q60" s="1">
        <f>(Main_S[[#This Row],[ROE]]-VLOOKUP(Main_S[[#This Row],[Industry]], Mean_ROE_S, 2, FALSE))/(VLOOKUP(Main_S[[#This Row],[Industry]], Mean_ROE_S, 3, FALSE))</f>
        <v>-2.5748204884697667</v>
      </c>
      <c r="R60" s="1">
        <f>(Main_S[[#This Row],[ROA]]-VLOOKUP(Main_S[[#This Row],[Industry]], Mean_ROA_S, 2, FALSE))/(VLOOKUP(Main_S[[#This Row],[Industry]], Mean_ROA_S, 3, FALSE))</f>
        <v>-2.1518646423882029</v>
      </c>
      <c r="S60" s="1">
        <f>(Main_S[[#This Row],[A/E]]-VLOOKUP(Main_S[[#This Row],[Industry]], Mean_AE_S, 2, FALSE))/(VLOOKUP(Main_S[[#This Row],[Industry]], Mean_AE_S, 3, FALSE))</f>
        <v>1.0524253131398187</v>
      </c>
      <c r="T60" s="1">
        <f>(Main_S[[#This Row],[P/E]]-VLOOKUP(Main_S[[#This Row],[Industry]], Mean_PE_S, 2, FALSE))/(VLOOKUP(Main_S[[#This Row],[Industry]], Mean_PE_S, 3, FALSE))</f>
        <v>0.33380666024173627</v>
      </c>
      <c r="U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1" spans="1:26" x14ac:dyDescent="0.25">
      <c r="A61" s="68" t="s">
        <v>152</v>
      </c>
      <c r="B61" s="68" t="s">
        <v>459</v>
      </c>
      <c r="C61" s="2">
        <v>392</v>
      </c>
      <c r="D61">
        <f>RTD("tos.rtd", , "LAST", Main_S[[#This Row],[Symbol]])</f>
        <v>6.89</v>
      </c>
      <c r="E61">
        <v>0.64</v>
      </c>
      <c r="F61">
        <v>4.51</v>
      </c>
      <c r="G61">
        <v>0.25</v>
      </c>
      <c r="H61" s="1">
        <f>IF(ISNUMBER(Main_S[[#This Row],[Free CF]]),IF(Main_S[[#This Row],[Free CF]]&lt;&gt;0,Main_S[[#This Row],[Current Price]]/Main_S[[#This Row],[Free CF]],""),"")</f>
        <v>10.765625</v>
      </c>
      <c r="I61" s="1">
        <f>IF(ISNUMBER(Main_S[[#This Row],[BVPS]]),IF(Main_S[[#This Row],[BVPS]]&lt;&gt;0,Main_S[[#This Row],[Current Price]]/Main_S[[#This Row],[BVPS]],""),"")</f>
        <v>1.5277161862527717</v>
      </c>
      <c r="J61">
        <v>5.74</v>
      </c>
      <c r="K61">
        <v>3.45</v>
      </c>
      <c r="L61">
        <v>1.43</v>
      </c>
      <c r="M61" s="1">
        <f>IF(ISNUMBER(Main_S[[#This Row],[EPS]]),IF(Main_S[[#This Row],[EPS]]&lt;&gt;0,Main_S[[#This Row],[Current Price]]/Main_S[[#This Row],[EPS]],""),"")</f>
        <v>27.56</v>
      </c>
      <c r="N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1" s="1">
        <f>(Main_S[[#This Row],[P/FCF]]-VLOOKUP(Main_S[[#This Row],[Industry]], Mean_PFCF_S, 2, FALSE))/(VLOOKUP(Main_S[[#This Row],[Industry]], Mean_PFCF_S, 3, FALSE))</f>
        <v>4.5790921321046989</v>
      </c>
      <c r="P61" s="1">
        <f>(Main_S[[#This Row],[P/B]]-VLOOKUP(Main_S[[#This Row],[Industry]], Mean_PB_S, 2, FALSE))/(VLOOKUP(Main_S[[#This Row],[Industry]], Mean_PB_S, 3, FALSE))</f>
        <v>-0.43627325026804048</v>
      </c>
      <c r="Q61" s="1">
        <f>(Main_S[[#This Row],[ROE]]-VLOOKUP(Main_S[[#This Row],[Industry]], Mean_ROE_S, 2, FALSE))/(VLOOKUP(Main_S[[#This Row],[Industry]], Mean_ROE_S, 3, FALSE))</f>
        <v>1.2272741878301632</v>
      </c>
      <c r="R61" s="1">
        <f>(Main_S[[#This Row],[ROA]]-VLOOKUP(Main_S[[#This Row],[Industry]], Mean_ROA_S, 2, FALSE))/(VLOOKUP(Main_S[[#This Row],[Industry]], Mean_ROA_S, 3, FALSE))</f>
        <v>1.5824552373871048</v>
      </c>
      <c r="S61" s="1">
        <f>(Main_S[[#This Row],[A/E]]-VLOOKUP(Main_S[[#This Row],[Industry]], Mean_AE_S, 2, FALSE))/(VLOOKUP(Main_S[[#This Row],[Industry]], Mean_AE_S, 3, FALSE))</f>
        <v>-4.9720289972177354E-16</v>
      </c>
      <c r="T61" s="1">
        <f>(Main_S[[#This Row],[P/E]]-VLOOKUP(Main_S[[#This Row],[Industry]], Mean_PE_S, 2, FALSE))/(VLOOKUP(Main_S[[#This Row],[Industry]], Mean_PE_S, 3, FALSE))</f>
        <v>9.6444146981406966</v>
      </c>
      <c r="U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2" spans="1:26" x14ac:dyDescent="0.25">
      <c r="A62" s="68" t="s">
        <v>152</v>
      </c>
      <c r="B62" s="68" t="s">
        <v>460</v>
      </c>
      <c r="C62" s="2">
        <v>1953</v>
      </c>
      <c r="D62">
        <f>RTD("tos.rtd", , "LAST", Main_S[[#This Row],[Symbol]])</f>
        <v>25.6</v>
      </c>
      <c r="E62">
        <v>0.61</v>
      </c>
      <c r="F62">
        <v>6.28</v>
      </c>
      <c r="G62">
        <v>-0.24</v>
      </c>
      <c r="H62" s="1">
        <f>IF(ISNUMBER(Main_S[[#This Row],[Free CF]]),IF(Main_S[[#This Row],[Free CF]]&lt;&gt;0,Main_S[[#This Row],[Current Price]]/Main_S[[#This Row],[Free CF]],""),"")</f>
        <v>41.967213114754102</v>
      </c>
      <c r="I62" s="1">
        <f>IF(ISNUMBER(Main_S[[#This Row],[BVPS]]),IF(Main_S[[#This Row],[BVPS]]&lt;&gt;0,Main_S[[#This Row],[Current Price]]/Main_S[[#This Row],[BVPS]],""),"")</f>
        <v>4.0764331210191083</v>
      </c>
      <c r="J62">
        <v>-3.81</v>
      </c>
      <c r="K62">
        <v>-1.77</v>
      </c>
      <c r="L62">
        <v>1.31</v>
      </c>
      <c r="M62" s="1">
        <f>IF(ISNUMBER(Main_S[[#This Row],[EPS]]),IF(Main_S[[#This Row],[EPS]]&lt;&gt;0,Main_S[[#This Row],[Current Price]]/Main_S[[#This Row],[EPS]],""),"")</f>
        <v>-106.66666666666667</v>
      </c>
      <c r="N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2" s="1">
        <f>(Main_S[[#This Row],[P/FCF]]-VLOOKUP(Main_S[[#This Row],[Industry]], Mean_PFCF_S, 2, FALSE))/(VLOOKUP(Main_S[[#This Row],[Industry]], Mean_PFCF_S, 3, FALSE))</f>
        <v>13.769491279110728</v>
      </c>
      <c r="P62" s="1">
        <f>(Main_S[[#This Row],[P/B]]-VLOOKUP(Main_S[[#This Row],[Industry]], Mean_PB_S, 2, FALSE))/(VLOOKUP(Main_S[[#This Row],[Industry]], Mean_PB_S, 3, FALSE))</f>
        <v>0.99318280435818285</v>
      </c>
      <c r="Q62" s="1">
        <f>(Main_S[[#This Row],[ROE]]-VLOOKUP(Main_S[[#This Row],[Industry]], Mean_ROE_S, 2, FALSE))/(VLOOKUP(Main_S[[#This Row],[Industry]], Mean_ROE_S, 3, FALSE))</f>
        <v>0.99487528768510214</v>
      </c>
      <c r="R62" s="1">
        <f>(Main_S[[#This Row],[ROA]]-VLOOKUP(Main_S[[#This Row],[Industry]], Mean_ROA_S, 2, FALSE))/(VLOOKUP(Main_S[[#This Row],[Industry]], Mean_ROA_S, 3, FALSE))</f>
        <v>1.2660080008217298</v>
      </c>
      <c r="S62" s="1">
        <f>(Main_S[[#This Row],[A/E]]-VLOOKUP(Main_S[[#This Row],[Industry]], Mean_AE_S, 2, FALSE))/(VLOOKUP(Main_S[[#This Row],[Industry]], Mean_AE_S, 3, FALSE))</f>
        <v>-0.26870433526974136</v>
      </c>
      <c r="T62" s="1">
        <f>(Main_S[[#This Row],[P/E]]-VLOOKUP(Main_S[[#This Row],[Industry]], Mean_PE_S, 2, FALSE))/(VLOOKUP(Main_S[[#This Row],[Industry]], Mean_PE_S, 3, FALSE))</f>
        <v>-31.078012488811236</v>
      </c>
      <c r="U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3" spans="1:26" x14ac:dyDescent="0.25">
      <c r="A63" s="68" t="s">
        <v>152</v>
      </c>
      <c r="B63" s="68" t="s">
        <v>461</v>
      </c>
      <c r="C63" s="2">
        <v>557</v>
      </c>
      <c r="D63">
        <f>RTD("tos.rtd", , "LAST", Main_S[[#This Row],[Symbol]])</f>
        <v>13.47</v>
      </c>
      <c r="E63">
        <v>-4.3499999999999996</v>
      </c>
      <c r="F63">
        <v>14.09</v>
      </c>
      <c r="G63">
        <v>-5</v>
      </c>
      <c r="H63" s="1">
        <f>IF(ISNUMBER(Main_S[[#This Row],[Free CF]]),IF(Main_S[[#This Row],[Free CF]]&lt;&gt;0,Main_S[[#This Row],[Current Price]]/Main_S[[#This Row],[Free CF]],""),"")</f>
        <v>-3.0965517241379312</v>
      </c>
      <c r="I63" s="1">
        <f>IF(ISNUMBER(Main_S[[#This Row],[BVPS]]),IF(Main_S[[#This Row],[BVPS]]&lt;&gt;0,Main_S[[#This Row],[Current Price]]/Main_S[[#This Row],[BVPS]],""),"")</f>
        <v>0.95599716110716826</v>
      </c>
      <c r="J63">
        <v>-41.46</v>
      </c>
      <c r="K63">
        <v>-26.73</v>
      </c>
      <c r="L63">
        <v>1.08</v>
      </c>
      <c r="M63" s="1">
        <f>IF(ISNUMBER(Main_S[[#This Row],[EPS]]),IF(Main_S[[#This Row],[EPS]]&lt;&gt;0,Main_S[[#This Row],[Current Price]]/Main_S[[#This Row],[EPS]],""),"")</f>
        <v>-2.694</v>
      </c>
      <c r="N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3" s="1">
        <f>(Main_S[[#This Row],[P/FCF]]-VLOOKUP(Main_S[[#This Row],[Industry]], Mean_PFCF_S, 2, FALSE))/(VLOOKUP(Main_S[[#This Row],[Industry]], Mean_PFCF_S, 3, FALSE))</f>
        <v>0.49600069866186969</v>
      </c>
      <c r="P63" s="1">
        <f>(Main_S[[#This Row],[P/B]]-VLOOKUP(Main_S[[#This Row],[Industry]], Mean_PB_S, 2, FALSE))/(VLOOKUP(Main_S[[#This Row],[Industry]], Mean_PB_S, 3, FALSE))</f>
        <v>-0.75692369633819589</v>
      </c>
      <c r="Q63" s="1">
        <f>(Main_S[[#This Row],[ROE]]-VLOOKUP(Main_S[[#This Row],[Industry]], Mean_ROE_S, 2, FALSE))/(VLOOKUP(Main_S[[#This Row],[Industry]], Mean_ROE_S, 3, FALSE))</f>
        <v>7.8663916956144359E-2</v>
      </c>
      <c r="R63" s="1">
        <f>(Main_S[[#This Row],[ROA]]-VLOOKUP(Main_S[[#This Row],[Industry]], Mean_ROA_S, 2, FALSE))/(VLOOKUP(Main_S[[#This Row],[Industry]], Mean_ROA_S, 3, FALSE))</f>
        <v>-0.24711901539891443</v>
      </c>
      <c r="S63" s="1">
        <f>(Main_S[[#This Row],[A/E]]-VLOOKUP(Main_S[[#This Row],[Industry]], Mean_AE_S, 2, FALSE))/(VLOOKUP(Main_S[[#This Row],[Industry]], Mean_AE_S, 3, FALSE))</f>
        <v>-0.78372097787007844</v>
      </c>
      <c r="T63" s="1">
        <f>(Main_S[[#This Row],[P/E]]-VLOOKUP(Main_S[[#This Row],[Industry]], Mean_PE_S, 2, FALSE))/(VLOOKUP(Main_S[[#This Row],[Industry]], Mean_PE_S, 3, FALSE))</f>
        <v>0.46578914846817565</v>
      </c>
      <c r="U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4" spans="1:26" x14ac:dyDescent="0.25">
      <c r="A64" s="68" t="s">
        <v>152</v>
      </c>
      <c r="B64" s="68" t="s">
        <v>462</v>
      </c>
      <c r="C64" s="2">
        <v>489</v>
      </c>
      <c r="D64">
        <f>RTD("tos.rtd", , "LAST", Main_S[[#This Row],[Symbol]])</f>
        <v>5.8</v>
      </c>
      <c r="E64">
        <v>1.27</v>
      </c>
      <c r="F64">
        <v>4.51</v>
      </c>
      <c r="G64">
        <v>-2.09</v>
      </c>
      <c r="H64" s="1">
        <f>IF(ISNUMBER(Main_S[[#This Row],[Free CF]]),IF(Main_S[[#This Row],[Free CF]]&lt;&gt;0,Main_S[[#This Row],[Current Price]]/Main_S[[#This Row],[Free CF]],""),"")</f>
        <v>4.5669291338582676</v>
      </c>
      <c r="I64" s="1">
        <f>IF(ISNUMBER(Main_S[[#This Row],[BVPS]]),IF(Main_S[[#This Row],[BVPS]]&lt;&gt;0,Main_S[[#This Row],[Current Price]]/Main_S[[#This Row],[BVPS]],""),"")</f>
        <v>1.2860310421286032</v>
      </c>
      <c r="J64">
        <v>-41.84</v>
      </c>
      <c r="K64">
        <v>-19.600000000000001</v>
      </c>
      <c r="L64">
        <v>2.04</v>
      </c>
      <c r="M64" s="1">
        <f>IF(ISNUMBER(Main_S[[#This Row],[EPS]]),IF(Main_S[[#This Row],[EPS]]&lt;&gt;0,Main_S[[#This Row],[Current Price]]/Main_S[[#This Row],[EPS]],""),"")</f>
        <v>-2.7751196172248807</v>
      </c>
      <c r="N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4" s="1">
        <f>(Main_S[[#This Row],[P/FCF]]-VLOOKUP(Main_S[[#This Row],[Industry]], Mean_PFCF_S, 2, FALSE))/(VLOOKUP(Main_S[[#This Row],[Industry]], Mean_PFCF_S, 3, FALSE))</f>
        <v>2.7532719529773284</v>
      </c>
      <c r="P64" s="1">
        <f>(Main_S[[#This Row],[P/B]]-VLOOKUP(Main_S[[#This Row],[Industry]], Mean_PB_S, 2, FALSE))/(VLOOKUP(Main_S[[#This Row],[Industry]], Mean_PB_S, 3, FALSE))</f>
        <v>-0.57182313729901324</v>
      </c>
      <c r="Q64" s="1">
        <f>(Main_S[[#This Row],[ROE]]-VLOOKUP(Main_S[[#This Row],[Industry]], Mean_ROE_S, 2, FALSE))/(VLOOKUP(Main_S[[#This Row],[Industry]], Mean_ROE_S, 3, FALSE))</f>
        <v>6.9416630877073809E-2</v>
      </c>
      <c r="R64" s="1">
        <f>(Main_S[[#This Row],[ROA]]-VLOOKUP(Main_S[[#This Row],[Industry]], Mean_ROA_S, 2, FALSE))/(VLOOKUP(Main_S[[#This Row],[Industry]], Mean_ROA_S, 3, FALSE))</f>
        <v>0.18511638626988333</v>
      </c>
      <c r="S64" s="1">
        <f>(Main_S[[#This Row],[A/E]]-VLOOKUP(Main_S[[#This Row],[Industry]], Mean_AE_S, 2, FALSE))/(VLOOKUP(Main_S[[#This Row],[Industry]], Mean_AE_S, 3, FALSE))</f>
        <v>1.3659137042878504</v>
      </c>
      <c r="T64" s="1">
        <f>(Main_S[[#This Row],[P/E]]-VLOOKUP(Main_S[[#This Row],[Industry]], Mean_PE_S, 2, FALSE))/(VLOOKUP(Main_S[[#This Row],[Industry]], Mean_PE_S, 3, FALSE))</f>
        <v>0.44117863114022088</v>
      </c>
      <c r="U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5" spans="1:26" x14ac:dyDescent="0.25">
      <c r="A65" s="68" t="s">
        <v>152</v>
      </c>
      <c r="B65" s="68" t="s">
        <v>463</v>
      </c>
      <c r="C65" s="2">
        <v>1896</v>
      </c>
      <c r="D65">
        <f>RTD("tos.rtd", , "LAST", Main_S[[#This Row],[Symbol]])</f>
        <v>31.14</v>
      </c>
      <c r="E65">
        <v>-2.76</v>
      </c>
      <c r="F65">
        <v>12.88</v>
      </c>
      <c r="G65">
        <v>-2.98</v>
      </c>
      <c r="H65" s="1">
        <f>IF(ISNUMBER(Main_S[[#This Row],[Free CF]]),IF(Main_S[[#This Row],[Free CF]]&lt;&gt;0,Main_S[[#This Row],[Current Price]]/Main_S[[#This Row],[Free CF]],""),"")</f>
        <v>-11.282608695652176</v>
      </c>
      <c r="I65" s="1">
        <f>IF(ISNUMBER(Main_S[[#This Row],[BVPS]]),IF(Main_S[[#This Row],[BVPS]]&lt;&gt;0,Main_S[[#This Row],[Current Price]]/Main_S[[#This Row],[BVPS]],""),"")</f>
        <v>2.4177018633540373</v>
      </c>
      <c r="J65">
        <v>-36.380000000000003</v>
      </c>
      <c r="K65">
        <v>-20.65</v>
      </c>
      <c r="L65">
        <v>1.17</v>
      </c>
      <c r="M65" s="1">
        <f>IF(ISNUMBER(Main_S[[#This Row],[EPS]]),IF(Main_S[[#This Row],[EPS]]&lt;&gt;0,Main_S[[#This Row],[Current Price]]/Main_S[[#This Row],[EPS]],""),"")</f>
        <v>-10.449664429530202</v>
      </c>
      <c r="N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5" s="1">
        <f>(Main_S[[#This Row],[P/FCF]]-VLOOKUP(Main_S[[#This Row],[Industry]], Mean_PFCF_S, 2, FALSE))/(VLOOKUP(Main_S[[#This Row],[Industry]], Mean_PFCF_S, 3, FALSE))</f>
        <v>-1.9151948703473962</v>
      </c>
      <c r="P65" s="1">
        <f>(Main_S[[#This Row],[P/B]]-VLOOKUP(Main_S[[#This Row],[Industry]], Mean_PB_S, 2, FALSE))/(VLOOKUP(Main_S[[#This Row],[Industry]], Mean_PB_S, 3, FALSE))</f>
        <v>6.2878066737532129E-2</v>
      </c>
      <c r="Q65" s="1">
        <f>(Main_S[[#This Row],[ROE]]-VLOOKUP(Main_S[[#This Row],[Industry]], Mean_ROE_S, 2, FALSE))/(VLOOKUP(Main_S[[#This Row],[Industry]], Mean_ROE_S, 3, FALSE))</f>
        <v>0.20228553085529719</v>
      </c>
      <c r="R65" s="1">
        <f>(Main_S[[#This Row],[ROA]]-VLOOKUP(Main_S[[#This Row],[Industry]], Mean_ROA_S, 2, FALSE))/(VLOOKUP(Main_S[[#This Row],[Industry]], Mean_ROA_S, 3, FALSE))</f>
        <v>0.1214632065009862</v>
      </c>
      <c r="S65" s="1">
        <f>(Main_S[[#This Row],[A/E]]-VLOOKUP(Main_S[[#This Row],[Industry]], Mean_AE_S, 2, FALSE))/(VLOOKUP(Main_S[[#This Row],[Industry]], Mean_AE_S, 3, FALSE))</f>
        <v>-0.58219272641777287</v>
      </c>
      <c r="T65" s="1">
        <f>(Main_S[[#This Row],[P/E]]-VLOOKUP(Main_S[[#This Row],[Industry]], Mean_PE_S, 2, FALSE))/(VLOOKUP(Main_S[[#This Row],[Industry]], Mean_PE_S, 3, FALSE))</f>
        <v>-1.8871671445037379</v>
      </c>
      <c r="U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6" spans="1:26" x14ac:dyDescent="0.25">
      <c r="A66" s="68" t="s">
        <v>152</v>
      </c>
      <c r="B66" s="68" t="s">
        <v>464</v>
      </c>
      <c r="C66" s="2">
        <v>1031</v>
      </c>
      <c r="D66">
        <f>RTD("tos.rtd", , "LAST", Main_S[[#This Row],[Symbol]])</f>
        <v>7.17</v>
      </c>
      <c r="E66">
        <v>0.44</v>
      </c>
      <c r="F66">
        <v>1.37</v>
      </c>
      <c r="G66">
        <v>0.27</v>
      </c>
      <c r="H66" s="1">
        <f>IF(ISNUMBER(Main_S[[#This Row],[Free CF]]),IF(Main_S[[#This Row],[Free CF]]&lt;&gt;0,Main_S[[#This Row],[Current Price]]/Main_S[[#This Row],[Free CF]],""),"")</f>
        <v>16.295454545454547</v>
      </c>
      <c r="I66" s="1">
        <f>IF(ISNUMBER(Main_S[[#This Row],[BVPS]]),IF(Main_S[[#This Row],[BVPS]]&lt;&gt;0,Main_S[[#This Row],[Current Price]]/Main_S[[#This Row],[BVPS]],""),"")</f>
        <v>5.2335766423357661</v>
      </c>
      <c r="J66">
        <v>22.29</v>
      </c>
      <c r="K66">
        <v>13.8</v>
      </c>
      <c r="L66">
        <v>1.33</v>
      </c>
      <c r="M66" s="1">
        <f>IF(ISNUMBER(Main_S[[#This Row],[EPS]]),IF(Main_S[[#This Row],[EPS]]&lt;&gt;0,Main_S[[#This Row],[Current Price]]/Main_S[[#This Row],[EPS]],""),"")</f>
        <v>26.555555555555554</v>
      </c>
      <c r="N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6" s="1">
        <f>(Main_S[[#This Row],[P/FCF]]-VLOOKUP(Main_S[[#This Row],[Industry]], Mean_PFCF_S, 2, FALSE))/(VLOOKUP(Main_S[[#This Row],[Industry]], Mean_PFCF_S, 3, FALSE))</f>
        <v>6.2078983502600709</v>
      </c>
      <c r="P66" s="1">
        <f>(Main_S[[#This Row],[P/B]]-VLOOKUP(Main_S[[#This Row],[Industry]], Mean_PB_S, 2, FALSE))/(VLOOKUP(Main_S[[#This Row],[Industry]], Mean_PB_S, 3, FALSE))</f>
        <v>1.6421704538121815</v>
      </c>
      <c r="Q66" s="1">
        <f>(Main_S[[#This Row],[ROE]]-VLOOKUP(Main_S[[#This Row],[Industry]], Mean_ROE_S, 2, FALSE))/(VLOOKUP(Main_S[[#This Row],[Industry]], Mean_ROE_S, 3, FALSE))</f>
        <v>1.630017831537049</v>
      </c>
      <c r="R66" s="1">
        <f>(Main_S[[#This Row],[ROA]]-VLOOKUP(Main_S[[#This Row],[Industry]], Mean_ROA_S, 2, FALSE))/(VLOOKUP(Main_S[[#This Row],[Industry]], Mean_ROA_S, 3, FALSE))</f>
        <v>2.2098937236805209</v>
      </c>
      <c r="S66" s="1">
        <f>(Main_S[[#This Row],[A/E]]-VLOOKUP(Main_S[[#This Row],[Industry]], Mean_AE_S, 2, FALSE))/(VLOOKUP(Main_S[[#This Row],[Industry]], Mean_AE_S, 3, FALSE))</f>
        <v>-0.22392027939145112</v>
      </c>
      <c r="T66" s="1">
        <f>(Main_S[[#This Row],[P/E]]-VLOOKUP(Main_S[[#This Row],[Industry]], Mean_PE_S, 2, FALSE))/(VLOOKUP(Main_S[[#This Row],[Industry]], Mean_PE_S, 3, FALSE))</f>
        <v>9.3396807971357259</v>
      </c>
      <c r="U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7" spans="1:26" x14ac:dyDescent="0.25">
      <c r="A67" s="68" t="s">
        <v>152</v>
      </c>
      <c r="B67" s="68" t="s">
        <v>465</v>
      </c>
      <c r="C67" s="2">
        <v>1403</v>
      </c>
      <c r="D67">
        <f>RTD("tos.rtd", , "LAST", Main_S[[#This Row],[Symbol]])</f>
        <v>11.91</v>
      </c>
      <c r="E67">
        <v>-0.04</v>
      </c>
      <c r="F67">
        <v>0.4</v>
      </c>
      <c r="G67">
        <v>-0.09</v>
      </c>
      <c r="H67" s="1">
        <f>IF(ISNUMBER(Main_S[[#This Row],[Free CF]]),IF(Main_S[[#This Row],[Free CF]]&lt;&gt;0,Main_S[[#This Row],[Current Price]]/Main_S[[#This Row],[Free CF]],""),"")</f>
        <v>-297.75</v>
      </c>
      <c r="I67" s="1">
        <f>IF(ISNUMBER(Main_S[[#This Row],[BVPS]]),IF(Main_S[[#This Row],[BVPS]]&lt;&gt;0,Main_S[[#This Row],[Current Price]]/Main_S[[#This Row],[BVPS]],""),"")</f>
        <v>29.774999999999999</v>
      </c>
      <c r="J67">
        <v>-21.31</v>
      </c>
      <c r="K67">
        <v>-4.8499999999999996</v>
      </c>
      <c r="L67">
        <v>1.42</v>
      </c>
      <c r="M67" s="1">
        <f>IF(ISNUMBER(Main_S[[#This Row],[EPS]]),IF(Main_S[[#This Row],[EPS]]&lt;&gt;0,Main_S[[#This Row],[Current Price]]/Main_S[[#This Row],[EPS]],""),"")</f>
        <v>-132.33333333333334</v>
      </c>
      <c r="N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7" s="1">
        <f>(Main_S[[#This Row],[P/FCF]]-VLOOKUP(Main_S[[#This Row],[Industry]], Mean_PFCF_S, 2, FALSE))/(VLOOKUP(Main_S[[#This Row],[Industry]], Mean_PFCF_S, 3, FALSE))</f>
        <v>-86.293902101713883</v>
      </c>
      <c r="P67" s="1">
        <f>(Main_S[[#This Row],[P/B]]-VLOOKUP(Main_S[[#This Row],[Industry]], Mean_PB_S, 2, FALSE))/(VLOOKUP(Main_S[[#This Row],[Industry]], Mean_PB_S, 3, FALSE))</f>
        <v>15.406306333018685</v>
      </c>
      <c r="Q67" s="1">
        <f>(Main_S[[#This Row],[ROE]]-VLOOKUP(Main_S[[#This Row],[Industry]], Mean_ROE_S, 2, FALSE))/(VLOOKUP(Main_S[[#This Row],[Industry]], Mean_ROE_S, 3, FALSE))</f>
        <v>0.56901342878054018</v>
      </c>
      <c r="R67" s="1">
        <f>(Main_S[[#This Row],[ROA]]-VLOOKUP(Main_S[[#This Row],[Industry]], Mean_ROA_S, 2, FALSE))/(VLOOKUP(Main_S[[#This Row],[Industry]], Mean_ROA_S, 3, FALSE))</f>
        <v>1.0792920068329643</v>
      </c>
      <c r="S67" s="1">
        <f>(Main_S[[#This Row],[A/E]]-VLOOKUP(Main_S[[#This Row],[Industry]], Mean_AE_S, 2, FALSE))/(VLOOKUP(Main_S[[#This Row],[Industry]], Mean_AE_S, 3, FALSE))</f>
        <v>-2.239202793914561E-2</v>
      </c>
      <c r="T67" s="1">
        <f>(Main_S[[#This Row],[P/E]]-VLOOKUP(Main_S[[#This Row],[Industry]], Mean_PE_S, 2, FALSE))/(VLOOKUP(Main_S[[#This Row],[Industry]], Mean_PE_S, 3, FALSE))</f>
        <v>-38.864907525553306</v>
      </c>
      <c r="U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68" spans="1:26" x14ac:dyDescent="0.25">
      <c r="A68" s="68" t="s">
        <v>152</v>
      </c>
      <c r="B68" s="68" t="s">
        <v>466</v>
      </c>
      <c r="C68" s="2">
        <v>433</v>
      </c>
      <c r="D68">
        <f>RTD("tos.rtd", , "LAST", Main_S[[#This Row],[Symbol]])</f>
        <v>5.15</v>
      </c>
      <c r="E68">
        <v>-1.57</v>
      </c>
      <c r="F68">
        <v>0.87</v>
      </c>
      <c r="G68">
        <v>-2.12</v>
      </c>
      <c r="H68" s="1">
        <f>IF(ISNUMBER(Main_S[[#This Row],[Free CF]]),IF(Main_S[[#This Row],[Free CF]]&lt;&gt;0,Main_S[[#This Row],[Current Price]]/Main_S[[#This Row],[Free CF]],""),"")</f>
        <v>-3.2802547770700636</v>
      </c>
      <c r="I68" s="1">
        <f>IF(ISNUMBER(Main_S[[#This Row],[BVPS]]),IF(Main_S[[#This Row],[BVPS]]&lt;&gt;0,Main_S[[#This Row],[Current Price]]/Main_S[[#This Row],[BVPS]],""),"")</f>
        <v>5.9195402298850581</v>
      </c>
      <c r="J68">
        <v>-143.47999999999999</v>
      </c>
      <c r="K68">
        <v>-34.409999999999997</v>
      </c>
      <c r="L68">
        <v>3.98</v>
      </c>
      <c r="M68" s="1">
        <f>IF(ISNUMBER(Main_S[[#This Row],[EPS]]),IF(Main_S[[#This Row],[EPS]]&lt;&gt;0,Main_S[[#This Row],[Current Price]]/Main_S[[#This Row],[EPS]],""),"")</f>
        <v>-2.4292452830188678</v>
      </c>
      <c r="N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8" s="1">
        <f>(Main_S[[#This Row],[P/FCF]]-VLOOKUP(Main_S[[#This Row],[Industry]], Mean_PFCF_S, 2, FALSE))/(VLOOKUP(Main_S[[#This Row],[Industry]], Mean_PFCF_S, 3, FALSE))</f>
        <v>0.44189113299615496</v>
      </c>
      <c r="P68" s="1">
        <f>(Main_S[[#This Row],[P/B]]-VLOOKUP(Main_S[[#This Row],[Industry]], Mean_PB_S, 2, FALSE))/(VLOOKUP(Main_S[[#This Row],[Industry]], Mean_PB_S, 3, FALSE))</f>
        <v>2.0268953285520892</v>
      </c>
      <c r="Q68" s="1">
        <f>(Main_S[[#This Row],[ROE]]-VLOOKUP(Main_S[[#This Row],[Industry]], Mean_ROE_S, 2, FALSE))/(VLOOKUP(Main_S[[#This Row],[Industry]], Mean_ROE_S, 3, FALSE))</f>
        <v>-2.4039890456406221</v>
      </c>
      <c r="R68" s="1">
        <f>(Main_S[[#This Row],[ROA]]-VLOOKUP(Main_S[[#This Row],[Industry]], Mean_ROA_S, 2, FALSE))/(VLOOKUP(Main_S[[#This Row],[Industry]], Mean_ROA_S, 3, FALSE))</f>
        <v>-0.71269655885142014</v>
      </c>
      <c r="S68" s="1">
        <f>(Main_S[[#This Row],[A/E]]-VLOOKUP(Main_S[[#This Row],[Industry]], Mean_AE_S, 2, FALSE))/(VLOOKUP(Main_S[[#This Row],[Industry]], Mean_AE_S, 3, FALSE))</f>
        <v>5.7099671244819978</v>
      </c>
      <c r="T68" s="1">
        <f>(Main_S[[#This Row],[P/E]]-VLOOKUP(Main_S[[#This Row],[Industry]], Mean_PE_S, 2, FALSE))/(VLOOKUP(Main_S[[#This Row],[Industry]], Mean_PE_S, 3, FALSE))</f>
        <v>0.54611189619341327</v>
      </c>
      <c r="U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69" spans="1:26" x14ac:dyDescent="0.25">
      <c r="A69" s="68" t="s">
        <v>152</v>
      </c>
      <c r="B69" s="68" t="s">
        <v>467</v>
      </c>
      <c r="C69" s="2">
        <v>958</v>
      </c>
      <c r="D69">
        <f>RTD("tos.rtd", , "LAST", Main_S[[#This Row],[Symbol]])</f>
        <v>15.19</v>
      </c>
      <c r="E69">
        <v>-3.43</v>
      </c>
      <c r="F69">
        <v>3.84</v>
      </c>
      <c r="G69">
        <v>-3.66</v>
      </c>
      <c r="H69" s="1">
        <f>IF(ISNUMBER(Main_S[[#This Row],[Free CF]]),IF(Main_S[[#This Row],[Free CF]]&lt;&gt;0,Main_S[[#This Row],[Current Price]]/Main_S[[#This Row],[Free CF]],""),"")</f>
        <v>-4.4285714285714279</v>
      </c>
      <c r="I69" s="1">
        <f>IF(ISNUMBER(Main_S[[#This Row],[BVPS]]),IF(Main_S[[#This Row],[BVPS]]&lt;&gt;0,Main_S[[#This Row],[Current Price]]/Main_S[[#This Row],[BVPS]],""),"")</f>
        <v>3.9557291666666665</v>
      </c>
      <c r="J69">
        <v>-82.24</v>
      </c>
      <c r="K69">
        <v>-52.56</v>
      </c>
      <c r="L69">
        <v>1.08</v>
      </c>
      <c r="M69" s="1">
        <f>IF(ISNUMBER(Main_S[[#This Row],[EPS]]),IF(Main_S[[#This Row],[EPS]]&lt;&gt;0,Main_S[[#This Row],[Current Price]]/Main_S[[#This Row],[EPS]],""),"")</f>
        <v>-4.1502732240437155</v>
      </c>
      <c r="N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69" s="1">
        <f>(Main_S[[#This Row],[P/FCF]]-VLOOKUP(Main_S[[#This Row],[Industry]], Mean_PFCF_S, 2, FALSE))/(VLOOKUP(Main_S[[#This Row],[Industry]], Mean_PFCF_S, 3, FALSE))</f>
        <v>0.10365551705131798</v>
      </c>
      <c r="P69" s="1">
        <f>(Main_S[[#This Row],[P/B]]-VLOOKUP(Main_S[[#This Row],[Industry]], Mean_PB_S, 2, FALSE))/(VLOOKUP(Main_S[[#This Row],[Industry]], Mean_PB_S, 3, FALSE))</f>
        <v>0.92548560502904531</v>
      </c>
      <c r="Q69" s="1">
        <f>(Main_S[[#This Row],[ROE]]-VLOOKUP(Main_S[[#This Row],[Industry]], Mean_ROE_S, 2, FALSE))/(VLOOKUP(Main_S[[#This Row],[Industry]], Mean_ROE_S, 3, FALSE))</f>
        <v>-0.91371588910831492</v>
      </c>
      <c r="R69" s="1">
        <f>(Main_S[[#This Row],[ROA]]-VLOOKUP(Main_S[[#This Row],[Industry]], Mean_ROA_S, 2, FALSE))/(VLOOKUP(Main_S[[#This Row],[Industry]], Mean_ROA_S, 3, FALSE))</f>
        <v>-1.8129872377137879</v>
      </c>
      <c r="S69" s="1">
        <f>(Main_S[[#This Row],[A/E]]-VLOOKUP(Main_S[[#This Row],[Industry]], Mean_AE_S, 2, FALSE))/(VLOOKUP(Main_S[[#This Row],[Industry]], Mean_AE_S, 3, FALSE))</f>
        <v>-0.78372097787007844</v>
      </c>
      <c r="T69" s="1">
        <f>(Main_S[[#This Row],[P/E]]-VLOOKUP(Main_S[[#This Row],[Industry]], Mean_PE_S, 2, FALSE))/(VLOOKUP(Main_S[[#This Row],[Industry]], Mean_PE_S, 3, FALSE))</f>
        <v>2.3976937801433302E-2</v>
      </c>
      <c r="U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0" spans="1:26" x14ac:dyDescent="0.25">
      <c r="A70" s="68" t="s">
        <v>152</v>
      </c>
      <c r="B70" s="68" t="s">
        <v>468</v>
      </c>
      <c r="C70" s="2">
        <v>1474</v>
      </c>
      <c r="D70">
        <f>RTD("tos.rtd", , "LAST", Main_S[[#This Row],[Symbol]])</f>
        <v>4.72</v>
      </c>
      <c r="E70">
        <v>0.12</v>
      </c>
      <c r="F70">
        <v>-0.26</v>
      </c>
      <c r="G70">
        <v>0.1</v>
      </c>
      <c r="H70" s="1">
        <f>IF(ISNUMBER(Main_S[[#This Row],[Free CF]]),IF(Main_S[[#This Row],[Free CF]]&lt;&gt;0,Main_S[[#This Row],[Current Price]]/Main_S[[#This Row],[Free CF]],""),"")</f>
        <v>39.333333333333336</v>
      </c>
      <c r="I70" s="1">
        <f>IF(ISNUMBER(Main_S[[#This Row],[BVPS]]),IF(Main_S[[#This Row],[BVPS]]&lt;&gt;0,Main_S[[#This Row],[Current Price]]/Main_S[[#This Row],[BVPS]],""),"")</f>
        <v>-18.153846153846153</v>
      </c>
      <c r="J70">
        <v>-16.98</v>
      </c>
      <c r="K70">
        <v>9.8800000000000008</v>
      </c>
      <c r="L70">
        <v>-5</v>
      </c>
      <c r="M70" s="1">
        <f>IF(ISNUMBER(Main_S[[#This Row],[EPS]]),IF(Main_S[[#This Row],[EPS]]&lt;&gt;0,Main_S[[#This Row],[Current Price]]/Main_S[[#This Row],[EPS]],""),"")</f>
        <v>47.199999999999996</v>
      </c>
      <c r="N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0" s="1">
        <f>(Main_S[[#This Row],[P/FCF]]-VLOOKUP(Main_S[[#This Row],[Industry]], Mean_PFCF_S, 2, FALSE))/(VLOOKUP(Main_S[[#This Row],[Industry]], Mean_PFCF_S, 3, FALSE))</f>
        <v>12.993684406477874</v>
      </c>
      <c r="P70" s="1">
        <f>(Main_S[[#This Row],[P/B]]-VLOOKUP(Main_S[[#This Row],[Industry]], Mean_PB_S, 2, FALSE))/(VLOOKUP(Main_S[[#This Row],[Industry]], Mean_PB_S, 3, FALSE))</f>
        <v>-11.474740515028126</v>
      </c>
      <c r="Q70" s="1">
        <f>(Main_S[[#This Row],[ROE]]-VLOOKUP(Main_S[[#This Row],[Industry]], Mean_ROE_S, 2, FALSE))/(VLOOKUP(Main_S[[#This Row],[Industry]], Mean_ROE_S, 3, FALSE))</f>
        <v>0.6743838201552117</v>
      </c>
      <c r="R70" s="1">
        <f>(Main_S[[#This Row],[ROA]]-VLOOKUP(Main_S[[#This Row],[Industry]], Mean_ROA_S, 2, FALSE))/(VLOOKUP(Main_S[[#This Row],[Industry]], Mean_ROA_S, 3, FALSE))</f>
        <v>1.972255185876638</v>
      </c>
      <c r="S70" s="1">
        <f>(Main_S[[#This Row],[A/E]]-VLOOKUP(Main_S[[#This Row],[Industry]], Mean_AE_S, 2, FALSE))/(VLOOKUP(Main_S[[#This Row],[Industry]], Mean_AE_S, 3, FALSE))</f>
        <v>-14.398073964870294</v>
      </c>
      <c r="T70" s="1">
        <f>(Main_S[[#This Row],[P/E]]-VLOOKUP(Main_S[[#This Row],[Industry]], Mean_PE_S, 2, FALSE))/(VLOOKUP(Main_S[[#This Row],[Industry]], Mean_PE_S, 3, FALSE))</f>
        <v>15.602906328852944</v>
      </c>
      <c r="U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1" spans="1:26" x14ac:dyDescent="0.25">
      <c r="A71" s="68" t="s">
        <v>152</v>
      </c>
      <c r="B71" s="68" t="s">
        <v>469</v>
      </c>
      <c r="C71" s="2">
        <v>380</v>
      </c>
      <c r="D71">
        <f>RTD("tos.rtd", , "LAST", Main_S[[#This Row],[Symbol]])</f>
        <v>2.3199999999999998</v>
      </c>
      <c r="E71">
        <v>-0.23</v>
      </c>
      <c r="F71">
        <v>0.39</v>
      </c>
      <c r="G71">
        <v>-0.28999999999999998</v>
      </c>
      <c r="H71" s="1">
        <f>IF(ISNUMBER(Main_S[[#This Row],[Free CF]]),IF(Main_S[[#This Row],[Free CF]]&lt;&gt;0,Main_S[[#This Row],[Current Price]]/Main_S[[#This Row],[Free CF]],""),"")</f>
        <v>-10.086956521739129</v>
      </c>
      <c r="I71" s="1">
        <f>IF(ISNUMBER(Main_S[[#This Row],[BVPS]]),IF(Main_S[[#This Row],[BVPS]]&lt;&gt;0,Main_S[[#This Row],[Current Price]]/Main_S[[#This Row],[BVPS]],""),"")</f>
        <v>5.948717948717948</v>
      </c>
      <c r="J71">
        <v>-77.58</v>
      </c>
      <c r="K71">
        <v>-39.99</v>
      </c>
      <c r="L71">
        <v>1.25</v>
      </c>
      <c r="M71" s="1">
        <f>IF(ISNUMBER(Main_S[[#This Row],[EPS]]),IF(Main_S[[#This Row],[EPS]]&lt;&gt;0,Main_S[[#This Row],[Current Price]]/Main_S[[#This Row],[EPS]],""),"")</f>
        <v>-8</v>
      </c>
      <c r="N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1" s="1">
        <f>(Main_S[[#This Row],[P/FCF]]-VLOOKUP(Main_S[[#This Row],[Industry]], Mean_PFCF_S, 2, FALSE))/(VLOOKUP(Main_S[[#This Row],[Industry]], Mean_PFCF_S, 3, FALSE))</f>
        <v>-1.5630166197137276</v>
      </c>
      <c r="P71" s="1">
        <f>(Main_S[[#This Row],[P/B]]-VLOOKUP(Main_S[[#This Row],[Industry]], Mean_PB_S, 2, FALSE))/(VLOOKUP(Main_S[[#This Row],[Industry]], Mean_PB_S, 3, FALSE))</f>
        <v>2.0432597455953965</v>
      </c>
      <c r="Q71" s="1">
        <f>(Main_S[[#This Row],[ROE]]-VLOOKUP(Main_S[[#This Row],[Industry]], Mean_ROE_S, 2, FALSE))/(VLOOKUP(Main_S[[#This Row],[Industry]], Mean_ROE_S, 3, FALSE))</f>
        <v>-0.80031495982287171</v>
      </c>
      <c r="R71" s="1">
        <f>(Main_S[[#This Row],[ROA]]-VLOOKUP(Main_S[[#This Row],[Industry]], Mean_ROA_S, 2, FALSE))/(VLOOKUP(Main_S[[#This Row],[Industry]], Mean_ROA_S, 3, FALSE))</f>
        <v>-1.0509677427661317</v>
      </c>
      <c r="S71" s="1">
        <f>(Main_S[[#This Row],[A/E]]-VLOOKUP(Main_S[[#This Row],[Industry]], Mean_AE_S, 2, FALSE))/(VLOOKUP(Main_S[[#This Row],[Industry]], Mean_AE_S, 3, FALSE))</f>
        <v>-0.40305650290461204</v>
      </c>
      <c r="T71" s="1">
        <f>(Main_S[[#This Row],[P/E]]-VLOOKUP(Main_S[[#This Row],[Industry]], Mean_PE_S, 2, FALSE))/(VLOOKUP(Main_S[[#This Row],[Industry]], Mean_PE_S, 3, FALSE))</f>
        <v>-1.1439744254910496</v>
      </c>
      <c r="U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2" spans="1:26" x14ac:dyDescent="0.25">
      <c r="A72" s="68" t="s">
        <v>152</v>
      </c>
      <c r="B72" s="68" t="s">
        <v>470</v>
      </c>
      <c r="C72" s="2">
        <v>394</v>
      </c>
      <c r="D72">
        <f>RTD("tos.rtd", , "LAST", Main_S[[#This Row],[Symbol]])</f>
        <v>4.1100000000000003</v>
      </c>
      <c r="E72">
        <v>-0.42</v>
      </c>
      <c r="F72">
        <v>7.68</v>
      </c>
      <c r="G72">
        <v>-1.41</v>
      </c>
      <c r="H72" s="1">
        <f>IF(ISNUMBER(Main_S[[#This Row],[Free CF]]),IF(Main_S[[#This Row],[Free CF]]&lt;&gt;0,Main_S[[#This Row],[Current Price]]/Main_S[[#This Row],[Free CF]],""),"")</f>
        <v>-9.7857142857142865</v>
      </c>
      <c r="I72" s="1">
        <f>IF(ISNUMBER(Main_S[[#This Row],[BVPS]]),IF(Main_S[[#This Row],[BVPS]]&lt;&gt;0,Main_S[[#This Row],[Current Price]]/Main_S[[#This Row],[BVPS]],""),"")</f>
        <v>0.53515625000000011</v>
      </c>
      <c r="J72">
        <v>-17.149999999999999</v>
      </c>
      <c r="K72">
        <v>-5.0599999999999996</v>
      </c>
      <c r="L72">
        <v>1.47</v>
      </c>
      <c r="M72" s="1">
        <f>IF(ISNUMBER(Main_S[[#This Row],[EPS]]),IF(Main_S[[#This Row],[EPS]]&lt;&gt;0,Main_S[[#This Row],[Current Price]]/Main_S[[#This Row],[EPS]],""),"")</f>
        <v>-2.9148936170212769</v>
      </c>
      <c r="N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2" s="1">
        <f>(Main_S[[#This Row],[P/FCF]]-VLOOKUP(Main_S[[#This Row],[Industry]], Mean_PFCF_S, 2, FALSE))/(VLOOKUP(Main_S[[#This Row],[Industry]], Mean_PFCF_S, 3, FALSE))</f>
        <v>-1.4742859955281029</v>
      </c>
      <c r="P72" s="1">
        <f>(Main_S[[#This Row],[P/B]]-VLOOKUP(Main_S[[#This Row],[Industry]], Mean_PB_S, 2, FALSE))/(VLOOKUP(Main_S[[#This Row],[Industry]], Mean_PB_S, 3, FALSE))</f>
        <v>-0.99295366899253834</v>
      </c>
      <c r="Q72" s="1">
        <f>(Main_S[[#This Row],[ROE]]-VLOOKUP(Main_S[[#This Row],[Industry]], Mean_ROE_S, 2, FALSE))/(VLOOKUP(Main_S[[#This Row],[Industry]], Mean_ROE_S, 3, FALSE))</f>
        <v>0.67024687638299607</v>
      </c>
      <c r="R72" s="1">
        <f>(Main_S[[#This Row],[ROA]]-VLOOKUP(Main_S[[#This Row],[Industry]], Mean_ROA_S, 2, FALSE))/(VLOOKUP(Main_S[[#This Row],[Industry]], Mean_ROA_S, 3, FALSE))</f>
        <v>1.066561370879185</v>
      </c>
      <c r="S72" s="1">
        <f>(Main_S[[#This Row],[A/E]]-VLOOKUP(Main_S[[#This Row],[Industry]], Mean_AE_S, 2, FALSE))/(VLOOKUP(Main_S[[#This Row],[Industry]], Mean_AE_S, 3, FALSE))</f>
        <v>8.9568111756579943E-2</v>
      </c>
      <c r="T72" s="1">
        <f>(Main_S[[#This Row],[P/E]]-VLOOKUP(Main_S[[#This Row],[Industry]], Mean_PE_S, 2, FALSE))/(VLOOKUP(Main_S[[#This Row],[Industry]], Mean_PE_S, 3, FALSE))</f>
        <v>0.39877322340203336</v>
      </c>
      <c r="U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3" spans="1:26" x14ac:dyDescent="0.25">
      <c r="A73" s="68" t="s">
        <v>152</v>
      </c>
      <c r="B73" s="68" t="s">
        <v>471</v>
      </c>
      <c r="C73" s="2">
        <v>287</v>
      </c>
      <c r="D73">
        <f>RTD("tos.rtd", , "LAST", Main_S[[#This Row],[Symbol]])</f>
        <v>7.09</v>
      </c>
      <c r="H73" s="1" t="str">
        <f>IF(ISNUMBER(Main_S[[#This Row],[Free CF]]),IF(Main_S[[#This Row],[Free CF]]&lt;&gt;0,Main_S[[#This Row],[Current Price]]/Main_S[[#This Row],[Free CF]],""),"")</f>
        <v/>
      </c>
      <c r="I73" s="1" t="str">
        <f>IF(ISNUMBER(Main_S[[#This Row],[BVPS]]),IF(Main_S[[#This Row],[BVPS]]&lt;&gt;0,Main_S[[#This Row],[Current Price]]/Main_S[[#This Row],[BVPS]],""),"")</f>
        <v/>
      </c>
      <c r="J73">
        <v>14.83</v>
      </c>
      <c r="K73">
        <v>7.18</v>
      </c>
      <c r="L73">
        <v>1.1000000000000001</v>
      </c>
      <c r="M73" s="1" t="str">
        <f>IF(ISNUMBER(Main_S[[#This Row],[EPS]]),IF(Main_S[[#This Row],[EPS]]&lt;&gt;0,Main_S[[#This Row],[Current Price]]/Main_S[[#This Row],[EPS]],""),"")</f>
        <v/>
      </c>
      <c r="N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3" s="1" t="e">
        <f>(Main_S[[#This Row],[P/FCF]]-VLOOKUP(Main_S[[#This Row],[Industry]], Mean_PFCF_S, 2, FALSE))/(VLOOKUP(Main_S[[#This Row],[Industry]], Mean_PFCF_S, 3, FALSE))</f>
        <v>#VALUE!</v>
      </c>
      <c r="P73" s="1" t="e">
        <f>(Main_S[[#This Row],[P/B]]-VLOOKUP(Main_S[[#This Row],[Industry]], Mean_PB_S, 2, FALSE))/(VLOOKUP(Main_S[[#This Row],[Industry]], Mean_PB_S, 3, FALSE))</f>
        <v>#VALUE!</v>
      </c>
      <c r="Q73" s="1">
        <f>(Main_S[[#This Row],[ROE]]-VLOOKUP(Main_S[[#This Row],[Industry]], Mean_ROE_S, 2, FALSE))/(VLOOKUP(Main_S[[#This Row],[Industry]], Mean_ROE_S, 3, FALSE))</f>
        <v>1.4484790048268756</v>
      </c>
      <c r="R73" s="1">
        <f>(Main_S[[#This Row],[ROA]]-VLOOKUP(Main_S[[#This Row],[Industry]], Mean_ROA_S, 2, FALSE))/(VLOOKUP(Main_S[[#This Row],[Industry]], Mean_ROA_S, 3, FALSE))</f>
        <v>1.8085755807566162</v>
      </c>
      <c r="S73" s="1">
        <f>(Main_S[[#This Row],[A/E]]-VLOOKUP(Main_S[[#This Row],[Industry]], Mean_AE_S, 2, FALSE))/(VLOOKUP(Main_S[[#This Row],[Industry]], Mean_AE_S, 3, FALSE))</f>
        <v>-0.73893692199178818</v>
      </c>
      <c r="T73" s="1" t="e">
        <f>(Main_S[[#This Row],[P/E]]-VLOOKUP(Main_S[[#This Row],[Industry]], Mean_PE_S, 2, FALSE))/(VLOOKUP(Main_S[[#This Row],[Industry]], Mean_PE_S, 3, FALSE))</f>
        <v>#VALUE!</v>
      </c>
      <c r="U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4" spans="1:26" x14ac:dyDescent="0.25">
      <c r="A74" s="68" t="s">
        <v>152</v>
      </c>
      <c r="B74" s="68" t="s">
        <v>472</v>
      </c>
      <c r="C74" s="2">
        <v>709</v>
      </c>
      <c r="D74">
        <f>RTD("tos.rtd", , "LAST", Main_S[[#This Row],[Symbol]])</f>
        <v>9.73</v>
      </c>
      <c r="E74">
        <v>-2.71</v>
      </c>
      <c r="F74">
        <v>6.31</v>
      </c>
      <c r="G74">
        <v>-2.81</v>
      </c>
      <c r="H74" s="1">
        <f>IF(ISNUMBER(Main_S[[#This Row],[Free CF]]),IF(Main_S[[#This Row],[Free CF]]&lt;&gt;0,Main_S[[#This Row],[Current Price]]/Main_S[[#This Row],[Free CF]],""),"")</f>
        <v>-3.5904059040590406</v>
      </c>
      <c r="I74" s="1">
        <f>IF(ISNUMBER(Main_S[[#This Row],[BVPS]]),IF(Main_S[[#This Row],[BVPS]]&lt;&gt;0,Main_S[[#This Row],[Current Price]]/Main_S[[#This Row],[BVPS]],""),"")</f>
        <v>1.5419968304278924</v>
      </c>
      <c r="J74">
        <v>-64.16</v>
      </c>
      <c r="K74">
        <v>-31.08</v>
      </c>
      <c r="L74">
        <v>1.28</v>
      </c>
      <c r="M74" s="1">
        <f>IF(ISNUMBER(Main_S[[#This Row],[EPS]]),IF(Main_S[[#This Row],[EPS]]&lt;&gt;0,Main_S[[#This Row],[Current Price]]/Main_S[[#This Row],[EPS]],""),"")</f>
        <v>-3.4626334519572954</v>
      </c>
      <c r="N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4" s="1">
        <f>(Main_S[[#This Row],[P/FCF]]-VLOOKUP(Main_S[[#This Row],[Industry]], Mean_PFCF_S, 2, FALSE))/(VLOOKUP(Main_S[[#This Row],[Industry]], Mean_PFCF_S, 3, FALSE))</f>
        <v>0.35053640315230461</v>
      </c>
      <c r="P74" s="1">
        <f>(Main_S[[#This Row],[P/B]]-VLOOKUP(Main_S[[#This Row],[Industry]], Mean_PB_S, 2, FALSE))/(VLOOKUP(Main_S[[#This Row],[Industry]], Mean_PB_S, 3, FALSE))</f>
        <v>-0.428263905251482</v>
      </c>
      <c r="Q74" s="1">
        <f>(Main_S[[#This Row],[ROE]]-VLOOKUP(Main_S[[#This Row],[Industry]], Mean_ROE_S, 2, FALSE))/(VLOOKUP(Main_S[[#This Row],[Industry]], Mean_ROE_S, 3, FALSE))</f>
        <v>-0.47373975145148745</v>
      </c>
      <c r="R74" s="1">
        <f>(Main_S[[#This Row],[ROA]]-VLOOKUP(Main_S[[#This Row],[Industry]], Mean_ROA_S, 2, FALSE))/(VLOOKUP(Main_S[[#This Row],[Industry]], Mean_ROA_S, 3, FALSE))</f>
        <v>-0.51082504587006017</v>
      </c>
      <c r="S74" s="1">
        <f>(Main_S[[#This Row],[A/E]]-VLOOKUP(Main_S[[#This Row],[Industry]], Mean_AE_S, 2, FALSE))/(VLOOKUP(Main_S[[#This Row],[Industry]], Mean_AE_S, 3, FALSE))</f>
        <v>-0.3358804190871767</v>
      </c>
      <c r="T74" s="1">
        <f>(Main_S[[#This Row],[P/E]]-VLOOKUP(Main_S[[#This Row],[Industry]], Mean_PE_S, 2, FALSE))/(VLOOKUP(Main_S[[#This Row],[Industry]], Mean_PE_S, 3, FALSE))</f>
        <v>0.23259688825570066</v>
      </c>
      <c r="U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5" spans="1:26" x14ac:dyDescent="0.25">
      <c r="A75" s="68" t="s">
        <v>152</v>
      </c>
      <c r="B75" s="68" t="s">
        <v>473</v>
      </c>
      <c r="C75" s="2">
        <v>755</v>
      </c>
      <c r="D75">
        <f>RTD("tos.rtd", , "LAST", Main_S[[#This Row],[Symbol]])</f>
        <v>8.32</v>
      </c>
      <c r="E75">
        <v>-3.59</v>
      </c>
      <c r="F75">
        <v>8.5500000000000007</v>
      </c>
      <c r="G75">
        <v>-5.25</v>
      </c>
      <c r="H75" s="1">
        <f>IF(ISNUMBER(Main_S[[#This Row],[Free CF]]),IF(Main_S[[#This Row],[Free CF]]&lt;&gt;0,Main_S[[#This Row],[Current Price]]/Main_S[[#This Row],[Free CF]],""),"")</f>
        <v>-2.3175487465181059</v>
      </c>
      <c r="I75" s="1">
        <f>IF(ISNUMBER(Main_S[[#This Row],[BVPS]]),IF(Main_S[[#This Row],[BVPS]]&lt;&gt;0,Main_S[[#This Row],[Current Price]]/Main_S[[#This Row],[BVPS]],""),"")</f>
        <v>0.97309941520467835</v>
      </c>
      <c r="J75">
        <v>-54</v>
      </c>
      <c r="K75">
        <v>-26.8</v>
      </c>
      <c r="L75">
        <v>1.37</v>
      </c>
      <c r="M75" s="1">
        <f>IF(ISNUMBER(Main_S[[#This Row],[EPS]]),IF(Main_S[[#This Row],[EPS]]&lt;&gt;0,Main_S[[#This Row],[Current Price]]/Main_S[[#This Row],[EPS]],""),"")</f>
        <v>-1.5847619047619048</v>
      </c>
      <c r="N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5" s="1">
        <f>(Main_S[[#This Row],[P/FCF]]-VLOOKUP(Main_S[[#This Row],[Industry]], Mean_PFCF_S, 2, FALSE))/(VLOOKUP(Main_S[[#This Row],[Industry]], Mean_PFCF_S, 3, FALSE))</f>
        <v>0.72545531086627224</v>
      </c>
      <c r="P75" s="1">
        <f>(Main_S[[#This Row],[P/B]]-VLOOKUP(Main_S[[#This Row],[Industry]], Mean_PB_S, 2, FALSE))/(VLOOKUP(Main_S[[#This Row],[Industry]], Mean_PB_S, 3, FALSE))</f>
        <v>-0.74733184236101691</v>
      </c>
      <c r="Q75" s="1">
        <f>(Main_S[[#This Row],[ROE]]-VLOOKUP(Main_S[[#This Row],[Industry]], Mean_ROE_S, 2, FALSE))/(VLOOKUP(Main_S[[#This Row],[Industry]], Mean_ROE_S, 3, FALSE))</f>
        <v>-0.22649652365318179</v>
      </c>
      <c r="R75" s="1">
        <f>(Main_S[[#This Row],[ROA]]-VLOOKUP(Main_S[[#This Row],[Industry]], Mean_ROA_S, 2, FALSE))/(VLOOKUP(Main_S[[#This Row],[Industry]], Mean_ROA_S, 3, FALSE))</f>
        <v>-0.25136256071684093</v>
      </c>
      <c r="S75" s="1">
        <f>(Main_S[[#This Row],[A/E]]-VLOOKUP(Main_S[[#This Row],[Industry]], Mean_AE_S, 2, FALSE))/(VLOOKUP(Main_S[[#This Row],[Industry]], Mean_AE_S, 3, FALSE))</f>
        <v>-0.13435216763487068</v>
      </c>
      <c r="T75" s="1">
        <f>(Main_S[[#This Row],[P/E]]-VLOOKUP(Main_S[[#This Row],[Industry]], Mean_PE_S, 2, FALSE))/(VLOOKUP(Main_S[[#This Row],[Industry]], Mean_PE_S, 3, FALSE))</f>
        <v>0.80231592580745192</v>
      </c>
      <c r="U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6" spans="1:26" x14ac:dyDescent="0.25">
      <c r="A76" s="68" t="s">
        <v>152</v>
      </c>
      <c r="B76" s="68" t="s">
        <v>474</v>
      </c>
      <c r="C76" s="2">
        <v>964</v>
      </c>
      <c r="D76">
        <f>RTD("tos.rtd", , "LAST", Main_S[[#This Row],[Symbol]])</f>
        <v>6.19</v>
      </c>
      <c r="E76">
        <v>-0.67</v>
      </c>
      <c r="F76">
        <v>-3.89</v>
      </c>
      <c r="G76">
        <v>-1.23</v>
      </c>
      <c r="H76" s="1">
        <f>IF(ISNUMBER(Main_S[[#This Row],[Free CF]]),IF(Main_S[[#This Row],[Free CF]]&lt;&gt;0,Main_S[[#This Row],[Current Price]]/Main_S[[#This Row],[Free CF]],""),"")</f>
        <v>-9.2388059701492544</v>
      </c>
      <c r="I76" s="1">
        <f>IF(ISNUMBER(Main_S[[#This Row],[BVPS]]),IF(Main_S[[#This Row],[BVPS]]&lt;&gt;0,Main_S[[#This Row],[Current Price]]/Main_S[[#This Row],[BVPS]],""),"")</f>
        <v>-1.5912596401028278</v>
      </c>
      <c r="J76">
        <v>27.97</v>
      </c>
      <c r="K76">
        <v>-8.6300000000000008</v>
      </c>
      <c r="L76">
        <v>-2.5</v>
      </c>
      <c r="M76" s="1">
        <f>IF(ISNUMBER(Main_S[[#This Row],[EPS]]),IF(Main_S[[#This Row],[EPS]]&lt;&gt;0,Main_S[[#This Row],[Current Price]]/Main_S[[#This Row],[EPS]],""),"")</f>
        <v>-5.0325203252032527</v>
      </c>
      <c r="N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6" s="1">
        <f>(Main_S[[#This Row],[P/FCF]]-VLOOKUP(Main_S[[#This Row],[Industry]], Mean_PFCF_S, 2, FALSE))/(VLOOKUP(Main_S[[#This Row],[Industry]], Mean_PFCF_S, 3, FALSE))</f>
        <v>-1.3131946530498455</v>
      </c>
      <c r="P76" s="1">
        <f>(Main_S[[#This Row],[P/B]]-VLOOKUP(Main_S[[#This Row],[Industry]], Mean_PB_S, 2, FALSE))/(VLOOKUP(Main_S[[#This Row],[Industry]], Mean_PB_S, 3, FALSE))</f>
        <v>-2.1855608303835563</v>
      </c>
      <c r="Q76" s="1">
        <f>(Main_S[[#This Row],[ROE]]-VLOOKUP(Main_S[[#This Row],[Industry]], Mean_ROE_S, 2, FALSE))/(VLOOKUP(Main_S[[#This Row],[Industry]], Mean_ROE_S, 3, FALSE))</f>
        <v>1.7682404234557869</v>
      </c>
      <c r="R76" s="1">
        <f>(Main_S[[#This Row],[ROA]]-VLOOKUP(Main_S[[#This Row],[Industry]], Mean_ROA_S, 2, FALSE))/(VLOOKUP(Main_S[[#This Row],[Industry]], Mean_ROA_S, 3, FALSE))</f>
        <v>0.85014055966493407</v>
      </c>
      <c r="S76" s="1">
        <f>(Main_S[[#This Row],[A/E]]-VLOOKUP(Main_S[[#This Row],[Industry]], Mean_AE_S, 2, FALSE))/(VLOOKUP(Main_S[[#This Row],[Industry]], Mean_AE_S, 3, FALSE))</f>
        <v>-8.8000669800840221</v>
      </c>
      <c r="T76" s="1">
        <f>(Main_S[[#This Row],[P/E]]-VLOOKUP(Main_S[[#This Row],[Industry]], Mean_PE_S, 2, FALSE))/(VLOOKUP(Main_S[[#This Row],[Industry]], Mean_PE_S, 3, FALSE))</f>
        <v>-0.24368405855698033</v>
      </c>
      <c r="U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7" spans="1:26" x14ac:dyDescent="0.25">
      <c r="A77" s="68" t="s">
        <v>152</v>
      </c>
      <c r="B77" s="68" t="s">
        <v>475</v>
      </c>
      <c r="C77" s="2">
        <v>317</v>
      </c>
      <c r="D77">
        <f>RTD("tos.rtd", , "LAST", Main_S[[#This Row],[Symbol]])</f>
        <v>4.68</v>
      </c>
      <c r="E77">
        <v>-1.78</v>
      </c>
      <c r="F77">
        <v>5.5</v>
      </c>
      <c r="G77">
        <v>-2.2000000000000002</v>
      </c>
      <c r="H77" s="1">
        <f>IF(ISNUMBER(Main_S[[#This Row],[Free CF]]),IF(Main_S[[#This Row],[Free CF]]&lt;&gt;0,Main_S[[#This Row],[Current Price]]/Main_S[[#This Row],[Free CF]],""),"")</f>
        <v>-2.6292134831460672</v>
      </c>
      <c r="I77" s="1">
        <f>IF(ISNUMBER(Main_S[[#This Row],[BVPS]]),IF(Main_S[[#This Row],[BVPS]]&lt;&gt;0,Main_S[[#This Row],[Current Price]]/Main_S[[#This Row],[BVPS]],""),"")</f>
        <v>0.85090909090909084</v>
      </c>
      <c r="J77">
        <v>-39.06</v>
      </c>
      <c r="K77">
        <v>-24.43</v>
      </c>
      <c r="L77">
        <v>1.1000000000000001</v>
      </c>
      <c r="M77" s="1">
        <f>IF(ISNUMBER(Main_S[[#This Row],[EPS]]),IF(Main_S[[#This Row],[EPS]]&lt;&gt;0,Main_S[[#This Row],[Current Price]]/Main_S[[#This Row],[EPS]],""),"")</f>
        <v>-2.127272727272727</v>
      </c>
      <c r="N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7" s="1">
        <f>(Main_S[[#This Row],[P/FCF]]-VLOOKUP(Main_S[[#This Row],[Industry]], Mean_PFCF_S, 2, FALSE))/(VLOOKUP(Main_S[[#This Row],[Industry]], Mean_PFCF_S, 3, FALSE))</f>
        <v>0.63365474869222582</v>
      </c>
      <c r="P77" s="1">
        <f>(Main_S[[#This Row],[P/B]]-VLOOKUP(Main_S[[#This Row],[Industry]], Mean_PB_S, 2, FALSE))/(VLOOKUP(Main_S[[#This Row],[Industry]], Mean_PB_S, 3, FALSE))</f>
        <v>-0.81586267703257387</v>
      </c>
      <c r="Q77" s="1">
        <f>(Main_S[[#This Row],[ROE]]-VLOOKUP(Main_S[[#This Row],[Industry]], Mean_ROE_S, 2, FALSE))/(VLOOKUP(Main_S[[#This Row],[Industry]], Mean_ROE_S, 3, FALSE))</f>
        <v>0.13706782903448428</v>
      </c>
      <c r="R77" s="1">
        <f>(Main_S[[#This Row],[ROA]]-VLOOKUP(Main_S[[#This Row],[Industry]], Mean_ROA_S, 2, FALSE))/(VLOOKUP(Main_S[[#This Row],[Industry]], Mean_ROA_S, 3, FALSE))</f>
        <v>-0.10768824066704412</v>
      </c>
      <c r="S77" s="1">
        <f>(Main_S[[#This Row],[A/E]]-VLOOKUP(Main_S[[#This Row],[Industry]], Mean_AE_S, 2, FALSE))/(VLOOKUP(Main_S[[#This Row],[Industry]], Mean_AE_S, 3, FALSE))</f>
        <v>-0.73893692199178818</v>
      </c>
      <c r="T77" s="1">
        <f>(Main_S[[#This Row],[P/E]]-VLOOKUP(Main_S[[#This Row],[Industry]], Mean_PE_S, 2, FALSE))/(VLOOKUP(Main_S[[#This Row],[Industry]], Mean_PE_S, 3, FALSE))</f>
        <v>0.6377259973195929</v>
      </c>
      <c r="U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78" spans="1:26" x14ac:dyDescent="0.25">
      <c r="A78" s="68" t="s">
        <v>152</v>
      </c>
      <c r="B78" s="68" t="s">
        <v>476</v>
      </c>
      <c r="C78" s="2">
        <v>657</v>
      </c>
      <c r="D78">
        <f>RTD("tos.rtd", , "LAST", Main_S[[#This Row],[Symbol]])</f>
        <v>3.15</v>
      </c>
      <c r="E78">
        <v>0.03</v>
      </c>
      <c r="F78">
        <v>2.09</v>
      </c>
      <c r="G78">
        <v>-0.01</v>
      </c>
      <c r="H78" s="1">
        <f>IF(ISNUMBER(Main_S[[#This Row],[Free CF]]),IF(Main_S[[#This Row],[Free CF]]&lt;&gt;0,Main_S[[#This Row],[Current Price]]/Main_S[[#This Row],[Free CF]],""),"")</f>
        <v>105</v>
      </c>
      <c r="I78" s="1">
        <f>IF(ISNUMBER(Main_S[[#This Row],[BVPS]]),IF(Main_S[[#This Row],[BVPS]]&lt;&gt;0,Main_S[[#This Row],[Current Price]]/Main_S[[#This Row],[BVPS]],""),"")</f>
        <v>1.5071770334928229</v>
      </c>
      <c r="J78">
        <v>0.26</v>
      </c>
      <c r="K78">
        <v>2.81</v>
      </c>
      <c r="L78">
        <v>1.89</v>
      </c>
      <c r="M78" s="1">
        <f>IF(ISNUMBER(Main_S[[#This Row],[EPS]]),IF(Main_S[[#This Row],[EPS]]&lt;&gt;0,Main_S[[#This Row],[Current Price]]/Main_S[[#This Row],[EPS]],""),"")</f>
        <v>-315</v>
      </c>
      <c r="N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8" s="1">
        <f>(Main_S[[#This Row],[P/FCF]]-VLOOKUP(Main_S[[#This Row],[Industry]], Mean_PFCF_S, 2, FALSE))/(VLOOKUP(Main_S[[#This Row],[Industry]], Mean_PFCF_S, 3, FALSE))</f>
        <v>32.335740814006947</v>
      </c>
      <c r="P78" s="1">
        <f>(Main_S[[#This Row],[P/B]]-VLOOKUP(Main_S[[#This Row],[Industry]], Mean_PB_S, 2, FALSE))/(VLOOKUP(Main_S[[#This Row],[Industry]], Mean_PB_S, 3, FALSE))</f>
        <v>-0.44779269986603726</v>
      </c>
      <c r="Q78" s="1">
        <f>(Main_S[[#This Row],[ROE]]-VLOOKUP(Main_S[[#This Row],[Industry]], Mean_ROE_S, 2, FALSE))/(VLOOKUP(Main_S[[#This Row],[Industry]], Mean_ROE_S, 3, FALSE))</f>
        <v>1.0939185885846203</v>
      </c>
      <c r="R78" s="1">
        <f>(Main_S[[#This Row],[ROA]]-VLOOKUP(Main_S[[#This Row],[Industry]], Mean_ROA_S, 2, FALSE))/(VLOOKUP(Main_S[[#This Row],[Industry]], Mean_ROA_S, 3, FALSE))</f>
        <v>1.5436571087660627</v>
      </c>
      <c r="S78" s="1">
        <f>(Main_S[[#This Row],[A/E]]-VLOOKUP(Main_S[[#This Row],[Industry]], Mean_AE_S, 2, FALSE))/(VLOOKUP(Main_S[[#This Row],[Industry]], Mean_AE_S, 3, FALSE))</f>
        <v>1.0300332852006737</v>
      </c>
      <c r="T78" s="1">
        <f>(Main_S[[#This Row],[P/E]]-VLOOKUP(Main_S[[#This Row],[Industry]], Mean_PE_S, 2, FALSE))/(VLOOKUP(Main_S[[#This Row],[Industry]], Mean_PE_S, 3, FALSE))</f>
        <v>-94.283329345483921</v>
      </c>
      <c r="U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79" spans="1:26" x14ac:dyDescent="0.25">
      <c r="A79" s="68" t="s">
        <v>152</v>
      </c>
      <c r="B79" s="68" t="s">
        <v>477</v>
      </c>
      <c r="C79" s="2">
        <v>334</v>
      </c>
      <c r="D79">
        <f>RTD("tos.rtd", , "LAST", Main_S[[#This Row],[Symbol]])</f>
        <v>5.31</v>
      </c>
      <c r="E79">
        <v>-1.65</v>
      </c>
      <c r="F79">
        <v>3.09</v>
      </c>
      <c r="G79">
        <v>-1.88</v>
      </c>
      <c r="H79" s="1">
        <f>IF(ISNUMBER(Main_S[[#This Row],[Free CF]]),IF(Main_S[[#This Row],[Free CF]]&lt;&gt;0,Main_S[[#This Row],[Current Price]]/Main_S[[#This Row],[Free CF]],""),"")</f>
        <v>-3.2181818181818183</v>
      </c>
      <c r="I79" s="1">
        <f>IF(ISNUMBER(Main_S[[#This Row],[BVPS]]),IF(Main_S[[#This Row],[BVPS]]&lt;&gt;0,Main_S[[#This Row],[Current Price]]/Main_S[[#This Row],[BVPS]],""),"")</f>
        <v>1.7184466019417475</v>
      </c>
      <c r="J79">
        <v>-48.45</v>
      </c>
      <c r="K79">
        <v>-30.87</v>
      </c>
      <c r="L79">
        <v>1.1100000000000001</v>
      </c>
      <c r="M79" s="1">
        <f>IF(ISNUMBER(Main_S[[#This Row],[EPS]]),IF(Main_S[[#This Row],[EPS]]&lt;&gt;0,Main_S[[#This Row],[Current Price]]/Main_S[[#This Row],[EPS]],""),"")</f>
        <v>-2.8244680851063828</v>
      </c>
      <c r="N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79" s="1">
        <f>(Main_S[[#This Row],[P/FCF]]-VLOOKUP(Main_S[[#This Row],[Industry]], Mean_PFCF_S, 2, FALSE))/(VLOOKUP(Main_S[[#This Row],[Industry]], Mean_PFCF_S, 3, FALSE))</f>
        <v>0.46017466607532259</v>
      </c>
      <c r="P79" s="1">
        <f>(Main_S[[#This Row],[P/B]]-VLOOKUP(Main_S[[#This Row],[Industry]], Mean_PB_S, 2, FALSE))/(VLOOKUP(Main_S[[#This Row],[Industry]], Mean_PB_S, 3, FALSE))</f>
        <v>-0.32930148585239805</v>
      </c>
      <c r="Q79" s="1">
        <f>(Main_S[[#This Row],[ROE]]-VLOOKUP(Main_S[[#This Row],[Industry]], Mean_ROE_S, 2, FALSE))/(VLOOKUP(Main_S[[#This Row],[Industry]], Mean_ROE_S, 3, FALSE))</f>
        <v>-9.1437476972020759E-2</v>
      </c>
      <c r="R79" s="1">
        <f>(Main_S[[#This Row],[ROA]]-VLOOKUP(Main_S[[#This Row],[Industry]], Mean_ROA_S, 2, FALSE))/(VLOOKUP(Main_S[[#This Row],[Industry]], Mean_ROA_S, 3, FALSE))</f>
        <v>-0.4980944099162809</v>
      </c>
      <c r="S79" s="1">
        <f>(Main_S[[#This Row],[A/E]]-VLOOKUP(Main_S[[#This Row],[Industry]], Mean_AE_S, 2, FALSE))/(VLOOKUP(Main_S[[#This Row],[Industry]], Mean_AE_S, 3, FALSE))</f>
        <v>-0.7165448940526431</v>
      </c>
      <c r="T79" s="1">
        <f>(Main_S[[#This Row],[P/E]]-VLOOKUP(Main_S[[#This Row],[Industry]], Mean_PE_S, 2, FALSE))/(VLOOKUP(Main_S[[#This Row],[Industry]], Mean_PE_S, 3, FALSE))</f>
        <v>0.4262070205057808</v>
      </c>
      <c r="U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0" spans="1:26" x14ac:dyDescent="0.25">
      <c r="A80" s="68" t="s">
        <v>152</v>
      </c>
      <c r="B80" s="68" t="s">
        <v>478</v>
      </c>
      <c r="C80" s="2">
        <v>357</v>
      </c>
      <c r="D80">
        <f>RTD("tos.rtd", , "LAST", Main_S[[#This Row],[Symbol]])</f>
        <v>9.6199999999999992</v>
      </c>
      <c r="E80">
        <v>-3.77</v>
      </c>
      <c r="F80">
        <v>10.130000000000001</v>
      </c>
      <c r="G80">
        <v>-4.2300000000000004</v>
      </c>
      <c r="H80" s="1">
        <f>IF(ISNUMBER(Main_S[[#This Row],[Free CF]]),IF(Main_S[[#This Row],[Free CF]]&lt;&gt;0,Main_S[[#This Row],[Current Price]]/Main_S[[#This Row],[Free CF]],""),"")</f>
        <v>-2.5517241379310343</v>
      </c>
      <c r="I80" s="1">
        <f>IF(ISNUMBER(Main_S[[#This Row],[BVPS]]),IF(Main_S[[#This Row],[BVPS]]&lt;&gt;0,Main_S[[#This Row],[Current Price]]/Main_S[[#This Row],[BVPS]],""),"")</f>
        <v>0.94965449160908177</v>
      </c>
      <c r="L80">
        <v>1.04</v>
      </c>
      <c r="M80" s="1">
        <f>IF(ISNUMBER(Main_S[[#This Row],[EPS]]),IF(Main_S[[#This Row],[EPS]]&lt;&gt;0,Main_S[[#This Row],[Current Price]]/Main_S[[#This Row],[EPS]],""),"")</f>
        <v>-2.2742316784869971</v>
      </c>
      <c r="N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0" s="1">
        <f>(Main_S[[#This Row],[P/FCF]]-VLOOKUP(Main_S[[#This Row],[Industry]], Mean_PFCF_S, 2, FALSE))/(VLOOKUP(Main_S[[#This Row],[Industry]], Mean_PFCF_S, 3, FALSE))</f>
        <v>0.65647916421707342</v>
      </c>
      <c r="P80" s="1">
        <f>(Main_S[[#This Row],[P/B]]-VLOOKUP(Main_S[[#This Row],[Industry]], Mean_PB_S, 2, FALSE))/(VLOOKUP(Main_S[[#This Row],[Industry]], Mean_PB_S, 3, FALSE))</f>
        <v>-0.76048100283734388</v>
      </c>
      <c r="Q80" s="1">
        <f>(Main_S[[#This Row],[ROE]]-VLOOKUP(Main_S[[#This Row],[Industry]], Mean_ROE_S, 2, FALSE))/(VLOOKUP(Main_S[[#This Row],[Industry]], Mean_ROE_S, 3, FALSE))</f>
        <v>1.0875914981094668</v>
      </c>
      <c r="R80" s="1">
        <f>(Main_S[[#This Row],[ROA]]-VLOOKUP(Main_S[[#This Row],[Industry]], Mean_ROA_S, 2, FALSE))/(VLOOKUP(Main_S[[#This Row],[Industry]], Mean_ROA_S, 3, FALSE))</f>
        <v>1.3733090752892996</v>
      </c>
      <c r="S80" s="1">
        <f>(Main_S[[#This Row],[A/E]]-VLOOKUP(Main_S[[#This Row],[Industry]], Mean_AE_S, 2, FALSE))/(VLOOKUP(Main_S[[#This Row],[Industry]], Mean_AE_S, 3, FALSE))</f>
        <v>-0.87328908962665885</v>
      </c>
      <c r="T80" s="1">
        <f>(Main_S[[#This Row],[P/E]]-VLOOKUP(Main_S[[#This Row],[Industry]], Mean_PE_S, 2, FALSE))/(VLOOKUP(Main_S[[#This Row],[Industry]], Mean_PE_S, 3, FALSE))</f>
        <v>0.5931407793527661</v>
      </c>
      <c r="U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1" spans="1:26" x14ac:dyDescent="0.25">
      <c r="A81" s="68" t="s">
        <v>152</v>
      </c>
      <c r="B81" s="68" t="s">
        <v>479</v>
      </c>
      <c r="C81" s="2">
        <v>398</v>
      </c>
      <c r="D81">
        <f>RTD("tos.rtd", , "LAST", Main_S[[#This Row],[Symbol]])</f>
        <v>1.35</v>
      </c>
      <c r="E81">
        <v>-0.28999999999999998</v>
      </c>
      <c r="F81">
        <v>0.13</v>
      </c>
      <c r="G81">
        <v>-0.47</v>
      </c>
      <c r="H81" s="1">
        <f>IF(ISNUMBER(Main_S[[#This Row],[Free CF]]),IF(Main_S[[#This Row],[Free CF]]&lt;&gt;0,Main_S[[#This Row],[Current Price]]/Main_S[[#This Row],[Free CF]],""),"")</f>
        <v>-4.6551724137931041</v>
      </c>
      <c r="I81" s="1">
        <f>IF(ISNUMBER(Main_S[[#This Row],[BVPS]]),IF(Main_S[[#This Row],[BVPS]]&lt;&gt;0,Main_S[[#This Row],[Current Price]]/Main_S[[#This Row],[BVPS]],""),"")</f>
        <v>10.384615384615385</v>
      </c>
      <c r="J81">
        <v>-160.80000000000001</v>
      </c>
      <c r="K81">
        <v>-39.950000000000003</v>
      </c>
      <c r="L81">
        <v>3.77</v>
      </c>
      <c r="M81" s="1">
        <f>IF(ISNUMBER(Main_S[[#This Row],[EPS]]),IF(Main_S[[#This Row],[EPS]]&lt;&gt;0,Main_S[[#This Row],[Current Price]]/Main_S[[#This Row],[EPS]],""),"")</f>
        <v>-2.8723404255319154</v>
      </c>
      <c r="N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1" s="1">
        <f>(Main_S[[#This Row],[P/FCF]]-VLOOKUP(Main_S[[#This Row],[Industry]], Mean_PFCF_S, 2, FALSE))/(VLOOKUP(Main_S[[#This Row],[Industry]], Mean_PFCF_S, 3, FALSE))</f>
        <v>3.6910404795084645E-2</v>
      </c>
      <c r="P81" s="1">
        <f>(Main_S[[#This Row],[P/B]]-VLOOKUP(Main_S[[#This Row],[Industry]], Mean_PB_S, 2, FALSE))/(VLOOKUP(Main_S[[#This Row],[Industry]], Mean_PB_S, 3, FALSE))</f>
        <v>4.5311470276037689</v>
      </c>
      <c r="Q81" s="1">
        <f>(Main_S[[#This Row],[ROE]]-VLOOKUP(Main_S[[#This Row],[Industry]], Mean_ROE_S, 2, FALSE))/(VLOOKUP(Main_S[[#This Row],[Industry]], Mean_ROE_S, 3, FALSE))</f>
        <v>-2.8254706111393091</v>
      </c>
      <c r="R81" s="1">
        <f>(Main_S[[#This Row],[ROA]]-VLOOKUP(Main_S[[#This Row],[Industry]], Mean_ROA_S, 2, FALSE))/(VLOOKUP(Main_S[[#This Row],[Industry]], Mean_ROA_S, 3, FALSE))</f>
        <v>-1.0485428597273168</v>
      </c>
      <c r="S81" s="1">
        <f>(Main_S[[#This Row],[A/E]]-VLOOKUP(Main_S[[#This Row],[Industry]], Mean_AE_S, 2, FALSE))/(VLOOKUP(Main_S[[#This Row],[Industry]], Mean_AE_S, 3, FALSE))</f>
        <v>5.2397345377599516</v>
      </c>
      <c r="T81" s="1">
        <f>(Main_S[[#This Row],[P/E]]-VLOOKUP(Main_S[[#This Row],[Industry]], Mean_PE_S, 2, FALSE))/(VLOOKUP(Main_S[[#This Row],[Industry]], Mean_PE_S, 3, FALSE))</f>
        <v>0.41168324556850261</v>
      </c>
      <c r="U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2" spans="1:26" x14ac:dyDescent="0.25">
      <c r="A82" s="68" t="s">
        <v>152</v>
      </c>
      <c r="B82" s="68" t="s">
        <v>480</v>
      </c>
      <c r="C82" s="2">
        <v>616</v>
      </c>
      <c r="D82">
        <f>RTD("tos.rtd", , "LAST", Main_S[[#This Row],[Symbol]])</f>
        <v>9.9999000000000002</v>
      </c>
      <c r="E82">
        <v>0</v>
      </c>
      <c r="F82">
        <v>0.32</v>
      </c>
      <c r="G82">
        <v>-0.02</v>
      </c>
      <c r="H82" s="1" t="str">
        <f>IF(ISNUMBER(Main_S[[#This Row],[Free CF]]),IF(Main_S[[#This Row],[Free CF]]&lt;&gt;0,Main_S[[#This Row],[Current Price]]/Main_S[[#This Row],[Free CF]],""),"")</f>
        <v/>
      </c>
      <c r="I82" s="1">
        <f>IF(ISNUMBER(Main_S[[#This Row],[BVPS]]),IF(Main_S[[#This Row],[BVPS]]&lt;&gt;0,Main_S[[#This Row],[Current Price]]/Main_S[[#This Row],[BVPS]],""),"")</f>
        <v>31.2496875</v>
      </c>
      <c r="J82">
        <v>-5.38</v>
      </c>
      <c r="K82">
        <v>-0.52</v>
      </c>
      <c r="L82">
        <v>1.81</v>
      </c>
      <c r="M82" s="1">
        <f>IF(ISNUMBER(Main_S[[#This Row],[EPS]]),IF(Main_S[[#This Row],[EPS]]&lt;&gt;0,Main_S[[#This Row],[Current Price]]/Main_S[[#This Row],[EPS]],""),"")</f>
        <v>-499.995</v>
      </c>
      <c r="N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2" s="1" t="e">
        <f>(Main_S[[#This Row],[P/FCF]]-VLOOKUP(Main_S[[#This Row],[Industry]], Mean_PFCF_S, 2, FALSE))/(VLOOKUP(Main_S[[#This Row],[Industry]], Mean_PFCF_S, 3, FALSE))</f>
        <v>#VALUE!</v>
      </c>
      <c r="P82" s="1">
        <f>(Main_S[[#This Row],[P/B]]-VLOOKUP(Main_S[[#This Row],[Industry]], Mean_PB_S, 2, FALSE))/(VLOOKUP(Main_S[[#This Row],[Industry]], Mean_PB_S, 3, FALSE))</f>
        <v>16.233389539789105</v>
      </c>
      <c r="Q82" s="1">
        <f>(Main_S[[#This Row],[ROE]]-VLOOKUP(Main_S[[#This Row],[Industry]], Mean_ROE_S, 2, FALSE))/(VLOOKUP(Main_S[[#This Row],[Industry]], Mean_ROE_S, 3, FALSE))</f>
        <v>0.95666939520052141</v>
      </c>
      <c r="R82" s="1">
        <f>(Main_S[[#This Row],[ROA]]-VLOOKUP(Main_S[[#This Row],[Industry]], Mean_ROA_S, 2, FALSE))/(VLOOKUP(Main_S[[#This Row],[Industry]], Mean_ROA_S, 3, FALSE))</f>
        <v>1.3417855957847029</v>
      </c>
      <c r="S82" s="1">
        <f>(Main_S[[#This Row],[A/E]]-VLOOKUP(Main_S[[#This Row],[Industry]], Mean_AE_S, 2, FALSE))/(VLOOKUP(Main_S[[#This Row],[Industry]], Mean_AE_S, 3, FALSE))</f>
        <v>0.85089706168751322</v>
      </c>
      <c r="T82" s="1">
        <f>(Main_S[[#This Row],[P/E]]-VLOOKUP(Main_S[[#This Row],[Industry]], Mean_PE_S, 2, FALSE))/(VLOOKUP(Main_S[[#This Row],[Industry]], Mean_PE_S, 3, FALSE))</f>
        <v>-150.40813378660471</v>
      </c>
      <c r="U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3" spans="1:26" x14ac:dyDescent="0.25">
      <c r="A83" s="68" t="s">
        <v>152</v>
      </c>
      <c r="B83" s="68" t="s">
        <v>481</v>
      </c>
      <c r="C83" s="2">
        <v>776</v>
      </c>
      <c r="D83">
        <f>RTD("tos.rtd", , "LAST", Main_S[[#This Row],[Symbol]])</f>
        <v>37.32</v>
      </c>
      <c r="E83">
        <v>-8.32</v>
      </c>
      <c r="F83">
        <v>21.59</v>
      </c>
      <c r="G83">
        <v>-10.79</v>
      </c>
      <c r="H83" s="1">
        <f>IF(ISNUMBER(Main_S[[#This Row],[Free CF]]),IF(Main_S[[#This Row],[Free CF]]&lt;&gt;0,Main_S[[#This Row],[Current Price]]/Main_S[[#This Row],[Free CF]],""),"")</f>
        <v>-4.4855769230769234</v>
      </c>
      <c r="I83" s="1">
        <f>IF(ISNUMBER(Main_S[[#This Row],[BVPS]]),IF(Main_S[[#This Row],[BVPS]]&lt;&gt;0,Main_S[[#This Row],[Current Price]]/Main_S[[#This Row],[BVPS]],""),"")</f>
        <v>1.7285780453913848</v>
      </c>
      <c r="J83">
        <v>-63.56</v>
      </c>
      <c r="K83">
        <v>-39.94</v>
      </c>
      <c r="L83">
        <v>1.0900000000000001</v>
      </c>
      <c r="M83" s="1">
        <f>IF(ISNUMBER(Main_S[[#This Row],[EPS]]),IF(Main_S[[#This Row],[EPS]]&lt;&gt;0,Main_S[[#This Row],[Current Price]]/Main_S[[#This Row],[EPS]],""),"")</f>
        <v>-3.4587581093605193</v>
      </c>
      <c r="N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3" s="1">
        <f>(Main_S[[#This Row],[P/FCF]]-VLOOKUP(Main_S[[#This Row],[Industry]], Mean_PFCF_S, 2, FALSE))/(VLOOKUP(Main_S[[#This Row],[Industry]], Mean_PFCF_S, 3, FALSE))</f>
        <v>8.6864600955921314E-2</v>
      </c>
      <c r="P83" s="1">
        <f>(Main_S[[#This Row],[P/B]]-VLOOKUP(Main_S[[#This Row],[Industry]], Mean_PB_S, 2, FALSE))/(VLOOKUP(Main_S[[#This Row],[Industry]], Mean_PB_S, 3, FALSE))</f>
        <v>-0.32361923334972265</v>
      </c>
      <c r="Q83" s="1">
        <f>(Main_S[[#This Row],[ROE]]-VLOOKUP(Main_S[[#This Row],[Industry]], Mean_ROE_S, 2, FALSE))/(VLOOKUP(Main_S[[#This Row],[Industry]], Mean_ROE_S, 3, FALSE))</f>
        <v>-0.45913877343190262</v>
      </c>
      <c r="R83" s="1">
        <f>(Main_S[[#This Row],[ROA]]-VLOOKUP(Main_S[[#This Row],[Industry]], Mean_ROA_S, 2, FALSE))/(VLOOKUP(Main_S[[#This Row],[Industry]], Mean_ROA_S, 3, FALSE))</f>
        <v>-1.0479366389676126</v>
      </c>
      <c r="S83" s="1">
        <f>(Main_S[[#This Row],[A/E]]-VLOOKUP(Main_S[[#This Row],[Industry]], Mean_AE_S, 2, FALSE))/(VLOOKUP(Main_S[[#This Row],[Industry]], Mean_AE_S, 3, FALSE))</f>
        <v>-0.76132894993093325</v>
      </c>
      <c r="T83" s="1">
        <f>(Main_S[[#This Row],[P/E]]-VLOOKUP(Main_S[[#This Row],[Industry]], Mean_PE_S, 2, FALSE))/(VLOOKUP(Main_S[[#This Row],[Industry]], Mean_PE_S, 3, FALSE))</f>
        <v>0.23377261108813616</v>
      </c>
      <c r="U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4" spans="1:26" x14ac:dyDescent="0.25">
      <c r="A84" s="68" t="s">
        <v>152</v>
      </c>
      <c r="B84" s="68" t="s">
        <v>482</v>
      </c>
      <c r="C84" s="2">
        <v>418</v>
      </c>
      <c r="D84">
        <f>RTD("tos.rtd", , "LAST", Main_S[[#This Row],[Symbol]])</f>
        <v>17</v>
      </c>
      <c r="E84">
        <v>-0.53</v>
      </c>
      <c r="F84">
        <v>1.73</v>
      </c>
      <c r="G84">
        <v>0.21</v>
      </c>
      <c r="H84" s="1">
        <f>IF(ISNUMBER(Main_S[[#This Row],[Free CF]]),IF(Main_S[[#This Row],[Free CF]]&lt;&gt;0,Main_S[[#This Row],[Current Price]]/Main_S[[#This Row],[Free CF]],""),"")</f>
        <v>-32.075471698113205</v>
      </c>
      <c r="I84" s="1">
        <f>IF(ISNUMBER(Main_S[[#This Row],[BVPS]]),IF(Main_S[[#This Row],[BVPS]]&lt;&gt;0,Main_S[[#This Row],[Current Price]]/Main_S[[#This Row],[BVPS]],""),"")</f>
        <v>9.8265895953757223</v>
      </c>
      <c r="J84">
        <v>6.41</v>
      </c>
      <c r="K84">
        <v>-13.1</v>
      </c>
      <c r="L84">
        <v>1.45</v>
      </c>
      <c r="M84" s="1">
        <f>IF(ISNUMBER(Main_S[[#This Row],[EPS]]),IF(Main_S[[#This Row],[EPS]]&lt;&gt;0,Main_S[[#This Row],[Current Price]]/Main_S[[#This Row],[EPS]],""),"")</f>
        <v>80.952380952380949</v>
      </c>
      <c r="N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4" s="1">
        <f>(Main_S[[#This Row],[P/FCF]]-VLOOKUP(Main_S[[#This Row],[Industry]], Mean_PFCF_S, 2, FALSE))/(VLOOKUP(Main_S[[#This Row],[Industry]], Mean_PFCF_S, 3, FALSE))</f>
        <v>-8.0397135871132672</v>
      </c>
      <c r="P84" s="1">
        <f>(Main_S[[#This Row],[P/B]]-VLOOKUP(Main_S[[#This Row],[Industry]], Mean_PB_S, 2, FALSE))/(VLOOKUP(Main_S[[#This Row],[Industry]], Mean_PB_S, 3, FALSE))</f>
        <v>4.2181764767413439</v>
      </c>
      <c r="Q84" s="1">
        <f>(Main_S[[#This Row],[ROE]]-VLOOKUP(Main_S[[#This Row],[Industry]], Mean_ROE_S, 2, FALSE))/(VLOOKUP(Main_S[[#This Row],[Industry]], Mean_ROE_S, 3, FALSE))</f>
        <v>1.2435786132853666</v>
      </c>
      <c r="R84" s="1">
        <f>(Main_S[[#This Row],[ROA]]-VLOOKUP(Main_S[[#This Row],[Industry]], Mean_ROA_S, 2, FALSE))/(VLOOKUP(Main_S[[#This Row],[Industry]], Mean_ROA_S, 3, FALSE))</f>
        <v>0.57915988007734287</v>
      </c>
      <c r="S84" s="1">
        <f>(Main_S[[#This Row],[A/E]]-VLOOKUP(Main_S[[#This Row],[Industry]], Mean_AE_S, 2, FALSE))/(VLOOKUP(Main_S[[#This Row],[Industry]], Mean_AE_S, 3, FALSE))</f>
        <v>4.4784055878289729E-2</v>
      </c>
      <c r="T84" s="1">
        <f>(Main_S[[#This Row],[P/E]]-VLOOKUP(Main_S[[#This Row],[Industry]], Mean_PE_S, 2, FALSE))/(VLOOKUP(Main_S[[#This Row],[Industry]], Mean_PE_S, 3, FALSE))</f>
        <v>25.842890006112277</v>
      </c>
      <c r="U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85" spans="1:26" x14ac:dyDescent="0.25">
      <c r="A85" s="68" t="s">
        <v>152</v>
      </c>
      <c r="B85" s="68" t="s">
        <v>483</v>
      </c>
      <c r="C85" s="2">
        <v>551</v>
      </c>
      <c r="D85">
        <f>RTD("tos.rtd", , "LAST", Main_S[[#This Row],[Symbol]])</f>
        <v>12.81</v>
      </c>
      <c r="E85">
        <v>-3.83</v>
      </c>
      <c r="F85">
        <v>-0.14000000000000001</v>
      </c>
      <c r="G85">
        <v>-4.92</v>
      </c>
      <c r="H85" s="1">
        <f>IF(ISNUMBER(Main_S[[#This Row],[Free CF]]),IF(Main_S[[#This Row],[Free CF]]&lt;&gt;0,Main_S[[#This Row],[Current Price]]/Main_S[[#This Row],[Free CF]],""),"")</f>
        <v>-3.3446475195822454</v>
      </c>
      <c r="I85" s="1">
        <f>IF(ISNUMBER(Main_S[[#This Row],[BVPS]]),IF(Main_S[[#This Row],[BVPS]]&lt;&gt;0,Main_S[[#This Row],[Current Price]]/Main_S[[#This Row],[BVPS]],""),"")</f>
        <v>-91.5</v>
      </c>
      <c r="J85">
        <v>-238.46</v>
      </c>
      <c r="K85">
        <v>-16.39</v>
      </c>
      <c r="L85">
        <v>-82.42</v>
      </c>
      <c r="M85" s="1">
        <f>IF(ISNUMBER(Main_S[[#This Row],[EPS]]),IF(Main_S[[#This Row],[EPS]]&lt;&gt;0,Main_S[[#This Row],[Current Price]]/Main_S[[#This Row],[EPS]],""),"")</f>
        <v>-2.6036585365853662</v>
      </c>
      <c r="N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5" s="1">
        <f>(Main_S[[#This Row],[P/FCF]]-VLOOKUP(Main_S[[#This Row],[Industry]], Mean_PFCF_S, 2, FALSE))/(VLOOKUP(Main_S[[#This Row],[Industry]], Mean_PFCF_S, 3, FALSE))</f>
        <v>0.42292430977931056</v>
      </c>
      <c r="P85" s="1">
        <f>(Main_S[[#This Row],[P/B]]-VLOOKUP(Main_S[[#This Row],[Industry]], Mean_PB_S, 2, FALSE))/(VLOOKUP(Main_S[[#This Row],[Industry]], Mean_PB_S, 3, FALSE))</f>
        <v>-52.611165776212793</v>
      </c>
      <c r="Q85" s="1">
        <f>(Main_S[[#This Row],[ROE]]-VLOOKUP(Main_S[[#This Row],[Industry]], Mean_ROE_S, 2, FALSE))/(VLOOKUP(Main_S[[#This Row],[Industry]], Mean_ROE_S, 3, FALSE))</f>
        <v>-4.7153238661409258</v>
      </c>
      <c r="R85" s="1">
        <f>(Main_S[[#This Row],[ROA]]-VLOOKUP(Main_S[[#This Row],[Industry]], Mean_ROA_S, 2, FALSE))/(VLOOKUP(Main_S[[#This Row],[Industry]], Mean_ROA_S, 3, FALSE))</f>
        <v>0.37971325013479795</v>
      </c>
      <c r="S85" s="1">
        <f>(Main_S[[#This Row],[A/E]]-VLOOKUP(Main_S[[#This Row],[Industry]], Mean_AE_S, 2, FALSE))/(VLOOKUP(Main_S[[#This Row],[Industry]], Mean_AE_S, 3, FALSE))</f>
        <v>-187.75715426973161</v>
      </c>
      <c r="T85" s="1">
        <f>(Main_S[[#This Row],[P/E]]-VLOOKUP(Main_S[[#This Row],[Industry]], Mean_PE_S, 2, FALSE))/(VLOOKUP(Main_S[[#This Row],[Industry]], Mean_PE_S, 3, FALSE))</f>
        <v>0.49319744040617935</v>
      </c>
      <c r="U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6" spans="1:26" x14ac:dyDescent="0.25">
      <c r="A86" s="68" t="s">
        <v>152</v>
      </c>
      <c r="B86" s="68" t="s">
        <v>484</v>
      </c>
      <c r="C86" s="2">
        <v>250</v>
      </c>
      <c r="D86">
        <f>RTD("tos.rtd", , "LAST", Main_S[[#This Row],[Symbol]])</f>
        <v>7.01</v>
      </c>
      <c r="E86">
        <v>-2.25</v>
      </c>
      <c r="F86">
        <v>0.17</v>
      </c>
      <c r="G86">
        <v>-2.39</v>
      </c>
      <c r="H86" s="1">
        <f>IF(ISNUMBER(Main_S[[#This Row],[Free CF]]),IF(Main_S[[#This Row],[Free CF]]&lt;&gt;0,Main_S[[#This Row],[Current Price]]/Main_S[[#This Row],[Free CF]],""),"")</f>
        <v>-3.1155555555555554</v>
      </c>
      <c r="I86" s="1">
        <f>IF(ISNUMBER(Main_S[[#This Row],[BVPS]]),IF(Main_S[[#This Row],[BVPS]]&lt;&gt;0,Main_S[[#This Row],[Current Price]]/Main_S[[#This Row],[BVPS]],""),"")</f>
        <v>41.235294117647058</v>
      </c>
      <c r="J86">
        <v>-230.96</v>
      </c>
      <c r="K86">
        <v>-36.97</v>
      </c>
      <c r="L86">
        <v>17.72</v>
      </c>
      <c r="M86" s="1">
        <f>IF(ISNUMBER(Main_S[[#This Row],[EPS]]),IF(Main_S[[#This Row],[EPS]]&lt;&gt;0,Main_S[[#This Row],[Current Price]]/Main_S[[#This Row],[EPS]],""),"")</f>
        <v>-2.9330543933054392</v>
      </c>
      <c r="N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6" s="1">
        <f>(Main_S[[#This Row],[P/FCF]]-VLOOKUP(Main_S[[#This Row],[Industry]], Mean_PFCF_S, 2, FALSE))/(VLOOKUP(Main_S[[#This Row],[Industry]], Mean_PFCF_S, 3, FALSE))</f>
        <v>0.49040313755670939</v>
      </c>
      <c r="P86" s="1">
        <f>(Main_S[[#This Row],[P/B]]-VLOOKUP(Main_S[[#This Row],[Industry]], Mean_PB_S, 2, FALSE))/(VLOOKUP(Main_S[[#This Row],[Industry]], Mean_PB_S, 3, FALSE))</f>
        <v>21.833848988229146</v>
      </c>
      <c r="Q86" s="1">
        <f>(Main_S[[#This Row],[ROE]]-VLOOKUP(Main_S[[#This Row],[Industry]], Mean_ROE_S, 2, FALSE))/(VLOOKUP(Main_S[[#This Row],[Industry]], Mean_ROE_S, 3, FALSE))</f>
        <v>-4.5328116408961137</v>
      </c>
      <c r="R86" s="1">
        <f>(Main_S[[#This Row],[ROA]]-VLOOKUP(Main_S[[#This Row],[Industry]], Mean_ROA_S, 2, FALSE))/(VLOOKUP(Main_S[[#This Row],[Industry]], Mean_ROA_S, 3, FALSE))</f>
        <v>-0.86788907333558885</v>
      </c>
      <c r="S86" s="1">
        <f>(Main_S[[#This Row],[A/E]]-VLOOKUP(Main_S[[#This Row],[Industry]], Mean_AE_S, 2, FALSE))/(VLOOKUP(Main_S[[#This Row],[Industry]], Mean_AE_S, 3, FALSE))</f>
        <v>36.476613512867353</v>
      </c>
      <c r="T86" s="1">
        <f>(Main_S[[#This Row],[P/E]]-VLOOKUP(Main_S[[#This Row],[Industry]], Mean_PE_S, 2, FALSE))/(VLOOKUP(Main_S[[#This Row],[Industry]], Mean_PE_S, 3, FALSE))</f>
        <v>0.39326350682889599</v>
      </c>
      <c r="U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7" spans="1:26" x14ac:dyDescent="0.25">
      <c r="A87" s="68" t="s">
        <v>152</v>
      </c>
      <c r="B87" s="68" t="s">
        <v>485</v>
      </c>
      <c r="C87" s="2">
        <v>715</v>
      </c>
      <c r="D87">
        <f>RTD("tos.rtd", , "LAST", Main_S[[#This Row],[Symbol]])</f>
        <v>6.6150000000000002</v>
      </c>
      <c r="E87">
        <v>-2.27</v>
      </c>
      <c r="F87">
        <v>4.3499999999999996</v>
      </c>
      <c r="G87">
        <v>-2.73</v>
      </c>
      <c r="H87" s="1">
        <f>IF(ISNUMBER(Main_S[[#This Row],[Free CF]]),IF(Main_S[[#This Row],[Free CF]]&lt;&gt;0,Main_S[[#This Row],[Current Price]]/Main_S[[#This Row],[Free CF]],""),"")</f>
        <v>-2.9140969162995596</v>
      </c>
      <c r="I87" s="1">
        <f>IF(ISNUMBER(Main_S[[#This Row],[BVPS]]),IF(Main_S[[#This Row],[BVPS]]&lt;&gt;0,Main_S[[#This Row],[Current Price]]/Main_S[[#This Row],[BVPS]],""),"")</f>
        <v>1.5206896551724141</v>
      </c>
      <c r="J87">
        <v>-54.14</v>
      </c>
      <c r="K87">
        <v>-31.22</v>
      </c>
      <c r="L87">
        <v>1.1399999999999999</v>
      </c>
      <c r="M87" s="1">
        <f>IF(ISNUMBER(Main_S[[#This Row],[EPS]]),IF(Main_S[[#This Row],[EPS]]&lt;&gt;0,Main_S[[#This Row],[Current Price]]/Main_S[[#This Row],[EPS]],""),"")</f>
        <v>-2.4230769230769234</v>
      </c>
      <c r="N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7" s="1">
        <f>(Main_S[[#This Row],[P/FCF]]-VLOOKUP(Main_S[[#This Row],[Industry]], Mean_PFCF_S, 2, FALSE))/(VLOOKUP(Main_S[[#This Row],[Industry]], Mean_PFCF_S, 3, FALSE))</f>
        <v>0.54974259488067168</v>
      </c>
      <c r="P87" s="1">
        <f>(Main_S[[#This Row],[P/B]]-VLOOKUP(Main_S[[#This Row],[Industry]], Mean_PB_S, 2, FALSE))/(VLOOKUP(Main_S[[#This Row],[Industry]], Mean_PB_S, 3, FALSE))</f>
        <v>-0.4402141027255369</v>
      </c>
      <c r="Q87" s="1">
        <f>(Main_S[[#This Row],[ROE]]-VLOOKUP(Main_S[[#This Row],[Industry]], Mean_ROE_S, 2, FALSE))/(VLOOKUP(Main_S[[#This Row],[Industry]], Mean_ROE_S, 3, FALSE))</f>
        <v>-0.22990341852441831</v>
      </c>
      <c r="R87" s="1">
        <f>(Main_S[[#This Row],[ROA]]-VLOOKUP(Main_S[[#This Row],[Industry]], Mean_ROA_S, 2, FALSE))/(VLOOKUP(Main_S[[#This Row],[Industry]], Mean_ROA_S, 3, FALSE))</f>
        <v>-0.51931213650591324</v>
      </c>
      <c r="S87" s="1">
        <f>(Main_S[[#This Row],[A/E]]-VLOOKUP(Main_S[[#This Row],[Industry]], Mean_AE_S, 2, FALSE))/(VLOOKUP(Main_S[[#This Row],[Industry]], Mean_AE_S, 3, FALSE))</f>
        <v>-0.6493688102352082</v>
      </c>
      <c r="T87" s="1">
        <f>(Main_S[[#This Row],[P/E]]-VLOOKUP(Main_S[[#This Row],[Industry]], Mean_PE_S, 2, FALSE))/(VLOOKUP(Main_S[[#This Row],[Industry]], Mean_PE_S, 3, FALSE))</f>
        <v>0.54798328728757295</v>
      </c>
      <c r="U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8" spans="1:26" x14ac:dyDescent="0.25">
      <c r="A88" s="68" t="s">
        <v>152</v>
      </c>
      <c r="B88" s="68" t="s">
        <v>486</v>
      </c>
      <c r="C88" s="2">
        <v>848</v>
      </c>
      <c r="D88">
        <f>RTD("tos.rtd", , "LAST", Main_S[[#This Row],[Symbol]])</f>
        <v>8.67</v>
      </c>
      <c r="E88">
        <v>-1.95</v>
      </c>
      <c r="F88">
        <v>5.26</v>
      </c>
      <c r="G88">
        <v>-3.14</v>
      </c>
      <c r="H88" s="1">
        <f>IF(ISNUMBER(Main_S[[#This Row],[Free CF]]),IF(Main_S[[#This Row],[Free CF]]&lt;&gt;0,Main_S[[#This Row],[Current Price]]/Main_S[[#This Row],[Free CF]],""),"")</f>
        <v>-4.4461538461538463</v>
      </c>
      <c r="I88" s="1">
        <f>IF(ISNUMBER(Main_S[[#This Row],[BVPS]]),IF(Main_S[[#This Row],[BVPS]]&lt;&gt;0,Main_S[[#This Row],[Current Price]]/Main_S[[#This Row],[BVPS]],""),"")</f>
        <v>1.6482889733840305</v>
      </c>
      <c r="J88">
        <v>-59.77</v>
      </c>
      <c r="K88">
        <v>-17.260000000000002</v>
      </c>
      <c r="L88">
        <v>2.37</v>
      </c>
      <c r="M88" s="1">
        <f>IF(ISNUMBER(Main_S[[#This Row],[EPS]]),IF(Main_S[[#This Row],[EPS]]&lt;&gt;0,Main_S[[#This Row],[Current Price]]/Main_S[[#This Row],[EPS]],""),"")</f>
        <v>-2.7611464968152863</v>
      </c>
      <c r="N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8" s="1">
        <f>(Main_S[[#This Row],[P/FCF]]-VLOOKUP(Main_S[[#This Row],[Industry]], Mean_PFCF_S, 2, FALSE))/(VLOOKUP(Main_S[[#This Row],[Industry]], Mean_PFCF_S, 3, FALSE))</f>
        <v>9.8476632086954508E-2</v>
      </c>
      <c r="P88" s="1">
        <f>(Main_S[[#This Row],[P/B]]-VLOOKUP(Main_S[[#This Row],[Industry]], Mean_PB_S, 2, FALSE))/(VLOOKUP(Main_S[[#This Row],[Industry]], Mean_PB_S, 3, FALSE))</f>
        <v>-0.36864961649494055</v>
      </c>
      <c r="Q88" s="1">
        <f>(Main_S[[#This Row],[ROE]]-VLOOKUP(Main_S[[#This Row],[Industry]], Mean_ROE_S, 2, FALSE))/(VLOOKUP(Main_S[[#This Row],[Industry]], Mean_ROE_S, 3, FALSE))</f>
        <v>-0.36690926227485748</v>
      </c>
      <c r="R88" s="1">
        <f>(Main_S[[#This Row],[ROA]]-VLOOKUP(Main_S[[#This Row],[Industry]], Mean_ROA_S, 2, FALSE))/(VLOOKUP(Main_S[[#This Row],[Industry]], Mean_ROA_S, 3, FALSE))</f>
        <v>0.32697204404056873</v>
      </c>
      <c r="S88" s="1">
        <f>(Main_S[[#This Row],[A/E]]-VLOOKUP(Main_S[[#This Row],[Industry]], Mean_AE_S, 2, FALSE))/(VLOOKUP(Main_S[[#This Row],[Industry]], Mean_AE_S, 3, FALSE))</f>
        <v>2.1048506262796387</v>
      </c>
      <c r="T88" s="1">
        <f>(Main_S[[#This Row],[P/E]]-VLOOKUP(Main_S[[#This Row],[Industry]], Mean_PE_S, 2, FALSE))/(VLOOKUP(Main_S[[#This Row],[Industry]], Mean_PE_S, 3, FALSE))</f>
        <v>0.44541787355445212</v>
      </c>
      <c r="U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89" spans="1:26" x14ac:dyDescent="0.25">
      <c r="A89" s="68" t="s">
        <v>152</v>
      </c>
      <c r="B89" s="68" t="s">
        <v>487</v>
      </c>
      <c r="C89" s="2">
        <v>551</v>
      </c>
      <c r="D89">
        <f>RTD("tos.rtd", , "LAST", Main_S[[#This Row],[Symbol]])</f>
        <v>7.41</v>
      </c>
      <c r="E89">
        <v>-2.4900000000000002</v>
      </c>
      <c r="F89">
        <v>6.26</v>
      </c>
      <c r="G89">
        <v>-2.96</v>
      </c>
      <c r="H89" s="1">
        <f>IF(ISNUMBER(Main_S[[#This Row],[Free CF]]),IF(Main_S[[#This Row],[Free CF]]&lt;&gt;0,Main_S[[#This Row],[Current Price]]/Main_S[[#This Row],[Free CF]],""),"")</f>
        <v>-2.975903614457831</v>
      </c>
      <c r="I89" s="1">
        <f>IF(ISNUMBER(Main_S[[#This Row],[BVPS]]),IF(Main_S[[#This Row],[BVPS]]&lt;&gt;0,Main_S[[#This Row],[Current Price]]/Main_S[[#This Row],[BVPS]],""),"")</f>
        <v>1.1837060702875399</v>
      </c>
      <c r="J89">
        <v>-50.5</v>
      </c>
      <c r="K89">
        <v>-26.3</v>
      </c>
      <c r="L89">
        <v>1.25</v>
      </c>
      <c r="M89" s="1">
        <f>IF(ISNUMBER(Main_S[[#This Row],[EPS]]),IF(Main_S[[#This Row],[EPS]]&lt;&gt;0,Main_S[[#This Row],[Current Price]]/Main_S[[#This Row],[EPS]],""),"")</f>
        <v>-2.5033783783783785</v>
      </c>
      <c r="N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89" s="1">
        <f>(Main_S[[#This Row],[P/FCF]]-VLOOKUP(Main_S[[#This Row],[Industry]], Mean_PFCF_S, 2, FALSE))/(VLOOKUP(Main_S[[#This Row],[Industry]], Mean_PFCF_S, 3, FALSE))</f>
        <v>0.53153748865518324</v>
      </c>
      <c r="P89" s="1">
        <f>(Main_S[[#This Row],[P/B]]-VLOOKUP(Main_S[[#This Row],[Industry]], Mean_PB_S, 2, FALSE))/(VLOOKUP(Main_S[[#This Row],[Industry]], Mean_PB_S, 3, FALSE))</f>
        <v>-0.62921242543158318</v>
      </c>
      <c r="Q89" s="1">
        <f>(Main_S[[#This Row],[ROE]]-VLOOKUP(Main_S[[#This Row],[Industry]], Mean_ROE_S, 2, FALSE))/(VLOOKUP(Main_S[[#This Row],[Industry]], Mean_ROE_S, 3, FALSE))</f>
        <v>-0.14132415187226938</v>
      </c>
      <c r="R89" s="1">
        <f>(Main_S[[#This Row],[ROA]]-VLOOKUP(Main_S[[#This Row],[Industry]], Mean_ROA_S, 2, FALSE))/(VLOOKUP(Main_S[[#This Row],[Industry]], Mean_ROA_S, 3, FALSE))</f>
        <v>-0.22105152273165174</v>
      </c>
      <c r="S89" s="1">
        <f>(Main_S[[#This Row],[A/E]]-VLOOKUP(Main_S[[#This Row],[Industry]], Mean_AE_S, 2, FALSE))/(VLOOKUP(Main_S[[#This Row],[Industry]], Mean_AE_S, 3, FALSE))</f>
        <v>-0.40305650290461204</v>
      </c>
      <c r="T89" s="1">
        <f>(Main_S[[#This Row],[P/E]]-VLOOKUP(Main_S[[#This Row],[Industry]], Mean_PE_S, 2, FALSE))/(VLOOKUP(Main_S[[#This Row],[Industry]], Mean_PE_S, 3, FALSE))</f>
        <v>0.52362098844094696</v>
      </c>
      <c r="U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0" spans="1:26" x14ac:dyDescent="0.25">
      <c r="A90" s="68" t="s">
        <v>152</v>
      </c>
      <c r="B90" s="68" t="s">
        <v>488</v>
      </c>
      <c r="C90" s="2">
        <v>543</v>
      </c>
      <c r="D90">
        <f>RTD("tos.rtd", , "LAST", Main_S[[#This Row],[Symbol]])</f>
        <v>7.84</v>
      </c>
      <c r="E90">
        <v>-0.75</v>
      </c>
      <c r="F90">
        <v>1.17</v>
      </c>
      <c r="G90">
        <v>-0.82</v>
      </c>
      <c r="H90" s="1">
        <f>IF(ISNUMBER(Main_S[[#This Row],[Free CF]]),IF(Main_S[[#This Row],[Free CF]]&lt;&gt;0,Main_S[[#This Row],[Current Price]]/Main_S[[#This Row],[Free CF]],""),"")</f>
        <v>-10.453333333333333</v>
      </c>
      <c r="I90" s="1">
        <f>IF(ISNUMBER(Main_S[[#This Row],[BVPS]]),IF(Main_S[[#This Row],[BVPS]]&lt;&gt;0,Main_S[[#This Row],[Current Price]]/Main_S[[#This Row],[BVPS]],""),"")</f>
        <v>6.700854700854701</v>
      </c>
      <c r="J90">
        <v>-95</v>
      </c>
      <c r="K90">
        <v>-54.42</v>
      </c>
      <c r="L90">
        <v>1.1000000000000001</v>
      </c>
      <c r="M90" s="1">
        <f>IF(ISNUMBER(Main_S[[#This Row],[EPS]]),IF(Main_S[[#This Row],[EPS]]&lt;&gt;0,Main_S[[#This Row],[Current Price]]/Main_S[[#This Row],[EPS]],""),"")</f>
        <v>-9.5609756097560972</v>
      </c>
      <c r="N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0" s="1">
        <f>(Main_S[[#This Row],[P/FCF]]-VLOOKUP(Main_S[[#This Row],[Industry]], Mean_PFCF_S, 2, FALSE))/(VLOOKUP(Main_S[[#This Row],[Industry]], Mean_PFCF_S, 3, FALSE))</f>
        <v>-1.6709325733624445</v>
      </c>
      <c r="P90" s="1">
        <f>(Main_S[[#This Row],[P/B]]-VLOOKUP(Main_S[[#This Row],[Industry]], Mean_PB_S, 2, FALSE))/(VLOOKUP(Main_S[[#This Row],[Industry]], Mean_PB_S, 3, FALSE))</f>
        <v>2.4650980516006697</v>
      </c>
      <c r="Q90" s="1">
        <f>(Main_S[[#This Row],[ROE]]-VLOOKUP(Main_S[[#This Row],[Industry]], Mean_ROE_S, 2, FALSE))/(VLOOKUP(Main_S[[#This Row],[Industry]], Mean_ROE_S, 3, FALSE))</f>
        <v>-1.2242300216581556</v>
      </c>
      <c r="R90" s="1">
        <f>(Main_S[[#This Row],[ROA]]-VLOOKUP(Main_S[[#This Row],[Industry]], Mean_ROA_S, 2, FALSE))/(VLOOKUP(Main_S[[#This Row],[Industry]], Mean_ROA_S, 3, FALSE))</f>
        <v>-1.9257442990186917</v>
      </c>
      <c r="S90" s="1">
        <f>(Main_S[[#This Row],[A/E]]-VLOOKUP(Main_S[[#This Row],[Industry]], Mean_AE_S, 2, FALSE))/(VLOOKUP(Main_S[[#This Row],[Industry]], Mean_AE_S, 3, FALSE))</f>
        <v>-0.73893692199178818</v>
      </c>
      <c r="T90" s="1">
        <f>(Main_S[[#This Row],[P/E]]-VLOOKUP(Main_S[[#This Row],[Industry]], Mean_PE_S, 2, FALSE))/(VLOOKUP(Main_S[[#This Row],[Industry]], Mean_PE_S, 3, FALSE))</f>
        <v>-1.617551823987875</v>
      </c>
      <c r="U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1" spans="1:26" x14ac:dyDescent="0.25">
      <c r="A91" s="68" t="s">
        <v>152</v>
      </c>
      <c r="B91" s="68" t="s">
        <v>489</v>
      </c>
      <c r="C91" s="2">
        <v>363</v>
      </c>
      <c r="D91">
        <f>RTD("tos.rtd", , "LAST", Main_S[[#This Row],[Symbol]])</f>
        <v>8.18</v>
      </c>
      <c r="E91">
        <v>-3.55</v>
      </c>
      <c r="F91">
        <v>5.24</v>
      </c>
      <c r="G91">
        <v>-4.59</v>
      </c>
      <c r="H91" s="1">
        <f>IF(ISNUMBER(Main_S[[#This Row],[Free CF]]),IF(Main_S[[#This Row],[Free CF]]&lt;&gt;0,Main_S[[#This Row],[Current Price]]/Main_S[[#This Row],[Free CF]],""),"")</f>
        <v>-2.3042253521126761</v>
      </c>
      <c r="I91" s="1">
        <f>IF(ISNUMBER(Main_S[[#This Row],[BVPS]]),IF(Main_S[[#This Row],[BVPS]]&lt;&gt;0,Main_S[[#This Row],[Current Price]]/Main_S[[#This Row],[BVPS]],""),"")</f>
        <v>1.5610687022900762</v>
      </c>
      <c r="J91">
        <v>-79.489999999999995</v>
      </c>
      <c r="K91">
        <v>-27.8</v>
      </c>
      <c r="L91">
        <v>1.79</v>
      </c>
      <c r="M91" s="1">
        <f>IF(ISNUMBER(Main_S[[#This Row],[EPS]]),IF(Main_S[[#This Row],[EPS]]&lt;&gt;0,Main_S[[#This Row],[Current Price]]/Main_S[[#This Row],[EPS]],""),"")</f>
        <v>-1.7821350762527233</v>
      </c>
      <c r="N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1" s="1">
        <f>(Main_S[[#This Row],[P/FCF]]-VLOOKUP(Main_S[[#This Row],[Industry]], Mean_PFCF_S, 2, FALSE))/(VLOOKUP(Main_S[[#This Row],[Industry]], Mean_PFCF_S, 3, FALSE))</f>
        <v>0.72937970446215428</v>
      </c>
      <c r="P91" s="1">
        <f>(Main_S[[#This Row],[P/B]]-VLOOKUP(Main_S[[#This Row],[Industry]], Mean_PB_S, 2, FALSE))/(VLOOKUP(Main_S[[#This Row],[Industry]], Mean_PB_S, 3, FALSE))</f>
        <v>-0.41756738484367395</v>
      </c>
      <c r="Q91" s="1">
        <f>(Main_S[[#This Row],[ROE]]-VLOOKUP(Main_S[[#This Row],[Industry]], Mean_ROE_S, 2, FALSE))/(VLOOKUP(Main_S[[#This Row],[Industry]], Mean_ROE_S, 3, FALSE))</f>
        <v>-0.8467947398518838</v>
      </c>
      <c r="R91" s="1">
        <f>(Main_S[[#This Row],[ROA]]-VLOOKUP(Main_S[[#This Row],[Industry]], Mean_ROA_S, 2, FALSE))/(VLOOKUP(Main_S[[#This Row],[Industry]], Mean_ROA_S, 3, FALSE))</f>
        <v>-0.31198463668721932</v>
      </c>
      <c r="S91" s="1">
        <f>(Main_S[[#This Row],[A/E]]-VLOOKUP(Main_S[[#This Row],[Industry]], Mean_AE_S, 2, FALSE))/(VLOOKUP(Main_S[[#This Row],[Industry]], Mean_AE_S, 3, FALSE))</f>
        <v>0.80611300580922307</v>
      </c>
      <c r="T91" s="1">
        <f>(Main_S[[#This Row],[P/E]]-VLOOKUP(Main_S[[#This Row],[Industry]], Mean_PE_S, 2, FALSE))/(VLOOKUP(Main_S[[#This Row],[Industry]], Mean_PE_S, 3, FALSE))</f>
        <v>0.74243576336065065</v>
      </c>
      <c r="U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2" spans="1:26" x14ac:dyDescent="0.25">
      <c r="A92" s="68" t="s">
        <v>152</v>
      </c>
      <c r="B92" s="68" t="s">
        <v>490</v>
      </c>
      <c r="C92" s="2">
        <v>330</v>
      </c>
      <c r="D92">
        <f>RTD("tos.rtd", , "LAST", Main_S[[#This Row],[Symbol]])</f>
        <v>18.29</v>
      </c>
      <c r="E92">
        <v>1.77</v>
      </c>
      <c r="F92">
        <v>0.19</v>
      </c>
      <c r="G92">
        <v>0.99</v>
      </c>
      <c r="H92" s="1">
        <f>IF(ISNUMBER(Main_S[[#This Row],[Free CF]]),IF(Main_S[[#This Row],[Free CF]]&lt;&gt;0,Main_S[[#This Row],[Current Price]]/Main_S[[#This Row],[Free CF]],""),"")</f>
        <v>10.333333333333332</v>
      </c>
      <c r="I92" s="1">
        <f>IF(ISNUMBER(Main_S[[#This Row],[BVPS]]),IF(Main_S[[#This Row],[BVPS]]&lt;&gt;0,Main_S[[#This Row],[Current Price]]/Main_S[[#This Row],[BVPS]],""),"")</f>
        <v>96.263157894736835</v>
      </c>
      <c r="J92">
        <v>-137.91999999999999</v>
      </c>
      <c r="K92">
        <v>10.75</v>
      </c>
      <c r="L92">
        <v>49.87</v>
      </c>
      <c r="M92" s="1">
        <f>IF(ISNUMBER(Main_S[[#This Row],[EPS]]),IF(Main_S[[#This Row],[EPS]]&lt;&gt;0,Main_S[[#This Row],[Current Price]]/Main_S[[#This Row],[EPS]],""),"")</f>
        <v>18.474747474747474</v>
      </c>
      <c r="N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2" s="1">
        <f>(Main_S[[#This Row],[P/FCF]]-VLOOKUP(Main_S[[#This Row],[Industry]], Mean_PFCF_S, 2, FALSE))/(VLOOKUP(Main_S[[#This Row],[Industry]], Mean_PFCF_S, 3, FALSE))</f>
        <v>4.4517610183812755</v>
      </c>
      <c r="P92" s="1">
        <f>(Main_S[[#This Row],[P/B]]-VLOOKUP(Main_S[[#This Row],[Industry]], Mean_PB_S, 2, FALSE))/(VLOOKUP(Main_S[[#This Row],[Industry]], Mean_PB_S, 3, FALSE))</f>
        <v>52.696402603473778</v>
      </c>
      <c r="Q92" s="1">
        <f>(Main_S[[#This Row],[ROE]]-VLOOKUP(Main_S[[#This Row],[Industry]], Mean_ROE_S, 2, FALSE))/(VLOOKUP(Main_S[[#This Row],[Industry]], Mean_ROE_S, 3, FALSE))</f>
        <v>-2.2686866493258013</v>
      </c>
      <c r="R92" s="1">
        <f>(Main_S[[#This Row],[ROA]]-VLOOKUP(Main_S[[#This Row],[Industry]], Mean_ROA_S, 2, FALSE))/(VLOOKUP(Main_S[[#This Row],[Industry]], Mean_ROA_S, 3, FALSE))</f>
        <v>2.0249963919708671</v>
      </c>
      <c r="S92" s="1">
        <f>(Main_S[[#This Row],[A/E]]-VLOOKUP(Main_S[[#This Row],[Industry]], Mean_AE_S, 2, FALSE))/(VLOOKUP(Main_S[[#This Row],[Industry]], Mean_AE_S, 3, FALSE))</f>
        <v>108.46698333721882</v>
      </c>
      <c r="T92" s="1">
        <f>(Main_S[[#This Row],[P/E]]-VLOOKUP(Main_S[[#This Row],[Industry]], Mean_PE_S, 2, FALSE))/(VLOOKUP(Main_S[[#This Row],[Industry]], Mean_PE_S, 3, FALSE))</f>
        <v>6.888080628149635</v>
      </c>
      <c r="U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93" spans="1:26" x14ac:dyDescent="0.25">
      <c r="A93" s="68" t="s">
        <v>152</v>
      </c>
      <c r="B93" s="68" t="s">
        <v>491</v>
      </c>
      <c r="C93" s="2">
        <v>506</v>
      </c>
      <c r="D93">
        <f>RTD("tos.rtd", , "LAST", Main_S[[#This Row],[Symbol]])</f>
        <v>2.83</v>
      </c>
      <c r="E93">
        <v>-1.79</v>
      </c>
      <c r="F93">
        <v>4.2300000000000004</v>
      </c>
      <c r="G93">
        <v>-2.19</v>
      </c>
      <c r="H93" s="1">
        <f>IF(ISNUMBER(Main_S[[#This Row],[Free CF]]),IF(Main_S[[#This Row],[Free CF]]&lt;&gt;0,Main_S[[#This Row],[Current Price]]/Main_S[[#This Row],[Free CF]],""),"")</f>
        <v>-1.5810055865921788</v>
      </c>
      <c r="I93" s="1">
        <f>IF(ISNUMBER(Main_S[[#This Row],[BVPS]]),IF(Main_S[[#This Row],[BVPS]]&lt;&gt;0,Main_S[[#This Row],[Current Price]]/Main_S[[#This Row],[BVPS]],""),"")</f>
        <v>0.66903073286052006</v>
      </c>
      <c r="J93">
        <v>-45.46</v>
      </c>
      <c r="K93">
        <v>-28.82</v>
      </c>
      <c r="L93">
        <v>1.1100000000000001</v>
      </c>
      <c r="M93" s="1">
        <f>IF(ISNUMBER(Main_S[[#This Row],[EPS]]),IF(Main_S[[#This Row],[EPS]]&lt;&gt;0,Main_S[[#This Row],[Current Price]]/Main_S[[#This Row],[EPS]],""),"")</f>
        <v>-1.2922374429223744</v>
      </c>
      <c r="N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3" s="1">
        <f>(Main_S[[#This Row],[P/FCF]]-VLOOKUP(Main_S[[#This Row],[Industry]], Mean_PFCF_S, 2, FALSE))/(VLOOKUP(Main_S[[#This Row],[Industry]], Mean_PFCF_S, 3, FALSE))</f>
        <v>0.94240342273226707</v>
      </c>
      <c r="P93" s="1">
        <f>(Main_S[[#This Row],[P/B]]-VLOOKUP(Main_S[[#This Row],[Industry]], Mean_PB_S, 2, FALSE))/(VLOOKUP(Main_S[[#This Row],[Industry]], Mean_PB_S, 3, FALSE))</f>
        <v>-0.91786973657362914</v>
      </c>
      <c r="Q93" s="1">
        <f>(Main_S[[#This Row],[ROE]]-VLOOKUP(Main_S[[#This Row],[Industry]], Mean_ROE_S, 2, FALSE))/(VLOOKUP(Main_S[[#This Row],[Industry]], Mean_ROE_S, 3, FALSE))</f>
        <v>-1.8675936507755536E-2</v>
      </c>
      <c r="R93" s="1">
        <f>(Main_S[[#This Row],[ROA]]-VLOOKUP(Main_S[[#This Row],[Industry]], Mean_ROA_S, 2, FALSE))/(VLOOKUP(Main_S[[#This Row],[Industry]], Mean_ROA_S, 3, FALSE))</f>
        <v>-0.37381915417700523</v>
      </c>
      <c r="S93" s="1">
        <f>(Main_S[[#This Row],[A/E]]-VLOOKUP(Main_S[[#This Row],[Industry]], Mean_AE_S, 2, FALSE))/(VLOOKUP(Main_S[[#This Row],[Industry]], Mean_AE_S, 3, FALSE))</f>
        <v>-0.7165448940526431</v>
      </c>
      <c r="T93" s="1">
        <f>(Main_S[[#This Row],[P/E]]-VLOOKUP(Main_S[[#This Row],[Industry]], Mean_PE_S, 2, FALSE))/(VLOOKUP(Main_S[[#This Row],[Industry]], Mean_PE_S, 3, FALSE))</f>
        <v>0.89106361204214868</v>
      </c>
      <c r="U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4" spans="1:26" x14ac:dyDescent="0.25">
      <c r="A94" s="68" t="s">
        <v>152</v>
      </c>
      <c r="B94" s="68" t="s">
        <v>492</v>
      </c>
      <c r="C94" s="2">
        <v>263</v>
      </c>
      <c r="D94">
        <f>RTD("tos.rtd", , "LAST", Main_S[[#This Row],[Symbol]])</f>
        <v>10.199999999999999</v>
      </c>
      <c r="E94">
        <v>-1.9</v>
      </c>
      <c r="F94">
        <v>-0.26</v>
      </c>
      <c r="G94">
        <v>-4.49</v>
      </c>
      <c r="H94" s="1">
        <f>IF(ISNUMBER(Main_S[[#This Row],[Free CF]]),IF(Main_S[[#This Row],[Free CF]]&lt;&gt;0,Main_S[[#This Row],[Current Price]]/Main_S[[#This Row],[Free CF]],""),"")</f>
        <v>-5.3684210526315788</v>
      </c>
      <c r="I94" s="1">
        <f>IF(ISNUMBER(Main_S[[#This Row],[BVPS]]),IF(Main_S[[#This Row],[BVPS]]&lt;&gt;0,Main_S[[#This Row],[Current Price]]/Main_S[[#This Row],[BVPS]],""),"")</f>
        <v>-39.230769230769226</v>
      </c>
      <c r="J94">
        <v>105.75</v>
      </c>
      <c r="K94">
        <v>-6</v>
      </c>
      <c r="L94">
        <v>-63.96</v>
      </c>
      <c r="M94" s="1">
        <f>IF(ISNUMBER(Main_S[[#This Row],[EPS]]),IF(Main_S[[#This Row],[EPS]]&lt;&gt;0,Main_S[[#This Row],[Current Price]]/Main_S[[#This Row],[EPS]],""),"")</f>
        <v>-2.2717149220489974</v>
      </c>
      <c r="N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4" s="1">
        <f>(Main_S[[#This Row],[P/FCF]]-VLOOKUP(Main_S[[#This Row],[Industry]], Mean_PFCF_S, 2, FALSE))/(VLOOKUP(Main_S[[#This Row],[Industry]], Mean_PFCF_S, 3, FALSE))</f>
        <v>-0.17317632726086118</v>
      </c>
      <c r="P94" s="1">
        <f>(Main_S[[#This Row],[P/B]]-VLOOKUP(Main_S[[#This Row],[Industry]], Mean_PB_S, 2, FALSE))/(VLOOKUP(Main_S[[#This Row],[Industry]], Mean_PB_S, 3, FALSE))</f>
        <v>-23.29580031740316</v>
      </c>
      <c r="Q94" s="1">
        <f>(Main_S[[#This Row],[ROE]]-VLOOKUP(Main_S[[#This Row],[Industry]], Mean_ROE_S, 2, FALSE))/(VLOOKUP(Main_S[[#This Row],[Industry]], Mean_ROE_S, 3, FALSE))</f>
        <v>3.6610138740613207</v>
      </c>
      <c r="R94" s="1">
        <f>(Main_S[[#This Row],[ROA]]-VLOOKUP(Main_S[[#This Row],[Industry]], Mean_ROA_S, 2, FALSE))/(VLOOKUP(Main_S[[#This Row],[Industry]], Mean_ROA_S, 3, FALSE))</f>
        <v>1.0095766194670293</v>
      </c>
      <c r="S94" s="1">
        <f>(Main_S[[#This Row],[A/E]]-VLOOKUP(Main_S[[#This Row],[Industry]], Mean_AE_S, 2, FALSE))/(VLOOKUP(Main_S[[#This Row],[Industry]], Mean_AE_S, 3, FALSE))</f>
        <v>-146.42147069406977</v>
      </c>
      <c r="T94" s="1">
        <f>(Main_S[[#This Row],[P/E]]-VLOOKUP(Main_S[[#This Row],[Industry]], Mean_PE_S, 2, FALSE))/(VLOOKUP(Main_S[[#This Row],[Industry]], Mean_PE_S, 3, FALSE))</f>
        <v>0.59390432681571736</v>
      </c>
      <c r="U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5" spans="1:26" x14ac:dyDescent="0.25">
      <c r="A95" s="68" t="s">
        <v>152</v>
      </c>
      <c r="B95" s="68" t="s">
        <v>493</v>
      </c>
      <c r="C95" s="2">
        <v>1703</v>
      </c>
      <c r="D95">
        <f>RTD("tos.rtd", , "LAST", Main_S[[#This Row],[Symbol]])</f>
        <v>4.51</v>
      </c>
      <c r="E95">
        <v>-1.27</v>
      </c>
      <c r="F95">
        <v>2.2999999999999998</v>
      </c>
      <c r="G95">
        <v>-1.82</v>
      </c>
      <c r="H95" s="1">
        <f>IF(ISNUMBER(Main_S[[#This Row],[Free CF]]),IF(Main_S[[#This Row],[Free CF]]&lt;&gt;0,Main_S[[#This Row],[Current Price]]/Main_S[[#This Row],[Free CF]],""),"")</f>
        <v>-3.5511811023622046</v>
      </c>
      <c r="I95" s="1">
        <f>IF(ISNUMBER(Main_S[[#This Row],[BVPS]]),IF(Main_S[[#This Row],[BVPS]]&lt;&gt;0,Main_S[[#This Row],[Current Price]]/Main_S[[#This Row],[BVPS]],""),"")</f>
        <v>1.9608695652173913</v>
      </c>
      <c r="J95">
        <v>-86.1</v>
      </c>
      <c r="K95">
        <v>-38.51</v>
      </c>
      <c r="L95">
        <v>1.4</v>
      </c>
      <c r="M95" s="1">
        <f>IF(ISNUMBER(Main_S[[#This Row],[EPS]]),IF(Main_S[[#This Row],[EPS]]&lt;&gt;0,Main_S[[#This Row],[Current Price]]/Main_S[[#This Row],[EPS]],""),"")</f>
        <v>-2.4780219780219777</v>
      </c>
      <c r="N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5" s="1">
        <f>(Main_S[[#This Row],[P/FCF]]-VLOOKUP(Main_S[[#This Row],[Industry]], Mean_PFCF_S, 2, FALSE))/(VLOOKUP(Main_S[[#This Row],[Industry]], Mean_PFCF_S, 3, FALSE))</f>
        <v>0.36209003249739613</v>
      </c>
      <c r="P95" s="1">
        <f>(Main_S[[#This Row],[P/B]]-VLOOKUP(Main_S[[#This Row],[Industry]], Mean_PB_S, 2, FALSE))/(VLOOKUP(Main_S[[#This Row],[Industry]], Mean_PB_S, 3, FALSE))</f>
        <v>-0.19333779058760028</v>
      </c>
      <c r="Q95" s="1">
        <f>(Main_S[[#This Row],[ROE]]-VLOOKUP(Main_S[[#This Row],[Industry]], Mean_ROE_S, 2, FALSE))/(VLOOKUP(Main_S[[#This Row],[Industry]], Mean_ROE_S, 3, FALSE))</f>
        <v>-1.0076488477009784</v>
      </c>
      <c r="R95" s="1">
        <f>(Main_S[[#This Row],[ROA]]-VLOOKUP(Main_S[[#This Row],[Industry]], Mean_ROA_S, 2, FALSE))/(VLOOKUP(Main_S[[#This Row],[Industry]], Mean_ROA_S, 3, FALSE))</f>
        <v>-0.96124707032997148</v>
      </c>
      <c r="S95" s="1">
        <f>(Main_S[[#This Row],[A/E]]-VLOOKUP(Main_S[[#This Row],[Industry]], Mean_AE_S, 2, FALSE))/(VLOOKUP(Main_S[[#This Row],[Industry]], Mean_AE_S, 3, FALSE))</f>
        <v>-6.7176083817435839E-2</v>
      </c>
      <c r="T95" s="1">
        <f>(Main_S[[#This Row],[P/E]]-VLOOKUP(Main_S[[#This Row],[Industry]], Mean_PE_S, 2, FALSE))/(VLOOKUP(Main_S[[#This Row],[Industry]], Mean_PE_S, 3, FALSE))</f>
        <v>0.53131375317152763</v>
      </c>
      <c r="U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6" spans="1:26" x14ac:dyDescent="0.25">
      <c r="A96" s="68" t="s">
        <v>152</v>
      </c>
      <c r="B96" s="68" t="s">
        <v>494</v>
      </c>
      <c r="C96" s="2">
        <v>309</v>
      </c>
      <c r="D96">
        <f>RTD("tos.rtd", , "LAST", Main_S[[#This Row],[Symbol]])</f>
        <v>3.67</v>
      </c>
      <c r="E96">
        <v>-1.05</v>
      </c>
      <c r="F96">
        <v>1.65</v>
      </c>
      <c r="G96">
        <v>-1.17</v>
      </c>
      <c r="H96" s="1">
        <f>IF(ISNUMBER(Main_S[[#This Row],[Free CF]]),IF(Main_S[[#This Row],[Free CF]]&lt;&gt;0,Main_S[[#This Row],[Current Price]]/Main_S[[#This Row],[Free CF]],""),"")</f>
        <v>-3.4952380952380948</v>
      </c>
      <c r="I96" s="1">
        <f>IF(ISNUMBER(Main_S[[#This Row],[BVPS]]),IF(Main_S[[#This Row],[BVPS]]&lt;&gt;0,Main_S[[#This Row],[Current Price]]/Main_S[[#This Row],[BVPS]],""),"")</f>
        <v>2.2242424242424241</v>
      </c>
      <c r="J96">
        <v>-74.36</v>
      </c>
      <c r="K96">
        <v>-42.8</v>
      </c>
      <c r="L96">
        <v>1.1200000000000001</v>
      </c>
      <c r="M96" s="1">
        <f>IF(ISNUMBER(Main_S[[#This Row],[EPS]]),IF(Main_S[[#This Row],[EPS]]&lt;&gt;0,Main_S[[#This Row],[Current Price]]/Main_S[[#This Row],[EPS]],""),"")</f>
        <v>-3.1367521367521367</v>
      </c>
      <c r="N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6" s="1">
        <f>(Main_S[[#This Row],[P/FCF]]-VLOOKUP(Main_S[[#This Row],[Industry]], Mean_PFCF_S, 2, FALSE))/(VLOOKUP(Main_S[[#This Row],[Industry]], Mean_PFCF_S, 3, FALSE))</f>
        <v>0.37856799390959917</v>
      </c>
      <c r="P96" s="1">
        <f>(Main_S[[#This Row],[P/B]]-VLOOKUP(Main_S[[#This Row],[Industry]], Mean_PB_S, 2, FALSE))/(VLOOKUP(Main_S[[#This Row],[Industry]], Mean_PB_S, 3, FALSE))</f>
        <v>-4.5624279203854881E-2</v>
      </c>
      <c r="Q96" s="1">
        <f>(Main_S[[#This Row],[ROE]]-VLOOKUP(Main_S[[#This Row],[Industry]], Mean_ROE_S, 2, FALSE))/(VLOOKUP(Main_S[[#This Row],[Industry]], Mean_ROE_S, 3, FALSE))</f>
        <v>-0.72195637778443222</v>
      </c>
      <c r="R96" s="1">
        <f>(Main_S[[#This Row],[ROA]]-VLOOKUP(Main_S[[#This Row],[Industry]], Mean_ROA_S, 2, FALSE))/(VLOOKUP(Main_S[[#This Row],[Industry]], Mean_ROA_S, 3, FALSE))</f>
        <v>-1.2213157762428948</v>
      </c>
      <c r="S96" s="1">
        <f>(Main_S[[#This Row],[A/E]]-VLOOKUP(Main_S[[#This Row],[Industry]], Mean_AE_S, 2, FALSE))/(VLOOKUP(Main_S[[#This Row],[Industry]], Mean_AE_S, 3, FALSE))</f>
        <v>-0.69415286611349791</v>
      </c>
      <c r="T96" s="1">
        <f>(Main_S[[#This Row],[P/E]]-VLOOKUP(Main_S[[#This Row],[Industry]], Mean_PE_S, 2, FALSE))/(VLOOKUP(Main_S[[#This Row],[Industry]], Mean_PE_S, 3, FALSE))</f>
        <v>0.33146456082471482</v>
      </c>
      <c r="U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7" spans="1:26" x14ac:dyDescent="0.25">
      <c r="A97" s="68" t="s">
        <v>152</v>
      </c>
      <c r="B97" s="68" t="s">
        <v>495</v>
      </c>
      <c r="C97" s="2">
        <v>427</v>
      </c>
      <c r="D97">
        <f>RTD("tos.rtd", , "LAST", Main_S[[#This Row],[Symbol]])</f>
        <v>6.61</v>
      </c>
      <c r="E97">
        <v>-5.08</v>
      </c>
      <c r="F97">
        <v>6.55</v>
      </c>
      <c r="G97">
        <v>-5.79</v>
      </c>
      <c r="H97" s="1">
        <f>IF(ISNUMBER(Main_S[[#This Row],[Free CF]]),IF(Main_S[[#This Row],[Free CF]]&lt;&gt;0,Main_S[[#This Row],[Current Price]]/Main_S[[#This Row],[Free CF]],""),"")</f>
        <v>-1.3011811023622049</v>
      </c>
      <c r="I97" s="1">
        <f>IF(ISNUMBER(Main_S[[#This Row],[BVPS]]),IF(Main_S[[#This Row],[BVPS]]&lt;&gt;0,Main_S[[#This Row],[Current Price]]/Main_S[[#This Row],[BVPS]],""),"")</f>
        <v>1.0091603053435114</v>
      </c>
      <c r="J97">
        <v>-63.53</v>
      </c>
      <c r="K97">
        <v>-36.35</v>
      </c>
      <c r="L97">
        <v>1.1499999999999999</v>
      </c>
      <c r="M97" s="1">
        <f>IF(ISNUMBER(Main_S[[#This Row],[EPS]]),IF(Main_S[[#This Row],[EPS]]&lt;&gt;0,Main_S[[#This Row],[Current Price]]/Main_S[[#This Row],[EPS]],""),"")</f>
        <v>-1.141623488773748</v>
      </c>
      <c r="N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7" s="1">
        <f>(Main_S[[#This Row],[P/FCF]]-VLOOKUP(Main_S[[#This Row],[Industry]], Mean_PFCF_S, 2, FALSE))/(VLOOKUP(Main_S[[#This Row],[Industry]], Mean_PFCF_S, 3, FALSE))</f>
        <v>1.0248254677807527</v>
      </c>
      <c r="P97" s="1">
        <f>(Main_S[[#This Row],[P/B]]-VLOOKUP(Main_S[[#This Row],[Industry]], Mean_PB_S, 2, FALSE))/(VLOOKUP(Main_S[[#This Row],[Industry]], Mean_PB_S, 3, FALSE))</f>
        <v>-0.72710697664877499</v>
      </c>
      <c r="Q97" s="1">
        <f>(Main_S[[#This Row],[ROE]]-VLOOKUP(Main_S[[#This Row],[Industry]], Mean_ROE_S, 2, FALSE))/(VLOOKUP(Main_S[[#This Row],[Industry]], Mean_ROE_S, 3, FALSE))</f>
        <v>-0.45840872453092335</v>
      </c>
      <c r="R97" s="1">
        <f>(Main_S[[#This Row],[ROA]]-VLOOKUP(Main_S[[#This Row],[Industry]], Mean_ROA_S, 2, FALSE))/(VLOOKUP(Main_S[[#This Row],[Industry]], Mean_ROA_S, 3, FALSE))</f>
        <v>-0.83030338623395439</v>
      </c>
      <c r="S97" s="1">
        <f>(Main_S[[#This Row],[A/E]]-VLOOKUP(Main_S[[#This Row],[Industry]], Mean_AE_S, 2, FALSE))/(VLOOKUP(Main_S[[#This Row],[Industry]], Mean_AE_S, 3, FALSE))</f>
        <v>-0.62697678229606313</v>
      </c>
      <c r="T97" s="1">
        <f>(Main_S[[#This Row],[P/E]]-VLOOKUP(Main_S[[#This Row],[Industry]], Mean_PE_S, 2, FALSE))/(VLOOKUP(Main_S[[#This Row],[Industry]], Mean_PE_S, 3, FALSE))</f>
        <v>0.93675770497815025</v>
      </c>
      <c r="U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8" spans="1:26" x14ac:dyDescent="0.25">
      <c r="A98" s="68" t="s">
        <v>152</v>
      </c>
      <c r="B98" s="68" t="s">
        <v>496</v>
      </c>
      <c r="C98" s="2">
        <v>383</v>
      </c>
      <c r="D98">
        <f>RTD("tos.rtd", , "LAST", Main_S[[#This Row],[Symbol]])</f>
        <v>1.7949999999999999</v>
      </c>
      <c r="E98">
        <v>-1.1100000000000001</v>
      </c>
      <c r="F98">
        <v>1.1200000000000001</v>
      </c>
      <c r="G98">
        <v>-1.1599999999999999</v>
      </c>
      <c r="H98" s="1">
        <f>IF(ISNUMBER(Main_S[[#This Row],[Free CF]]),IF(Main_S[[#This Row],[Free CF]]&lt;&gt;0,Main_S[[#This Row],[Current Price]]/Main_S[[#This Row],[Free CF]],""),"")</f>
        <v>-1.6171171171171168</v>
      </c>
      <c r="I98" s="1">
        <f>IF(ISNUMBER(Main_S[[#This Row],[BVPS]]),IF(Main_S[[#This Row],[BVPS]]&lt;&gt;0,Main_S[[#This Row],[Current Price]]/Main_S[[#This Row],[BVPS]],""),"")</f>
        <v>1.6026785714285712</v>
      </c>
      <c r="J98">
        <v>-99.16</v>
      </c>
      <c r="K98">
        <v>-31.82</v>
      </c>
      <c r="L98">
        <v>2</v>
      </c>
      <c r="M98" s="1">
        <f>IF(ISNUMBER(Main_S[[#This Row],[EPS]]),IF(Main_S[[#This Row],[EPS]]&lt;&gt;0,Main_S[[#This Row],[Current Price]]/Main_S[[#This Row],[EPS]],""),"")</f>
        <v>-1.5474137931034484</v>
      </c>
      <c r="N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8" s="1">
        <f>(Main_S[[#This Row],[P/FCF]]-VLOOKUP(Main_S[[#This Row],[Industry]], Mean_PFCF_S, 2, FALSE))/(VLOOKUP(Main_S[[#This Row],[Industry]], Mean_PFCF_S, 3, FALSE))</f>
        <v>0.9317668045539591</v>
      </c>
      <c r="P98" s="1">
        <f>(Main_S[[#This Row],[P/B]]-VLOOKUP(Main_S[[#This Row],[Industry]], Mean_PB_S, 2, FALSE))/(VLOOKUP(Main_S[[#This Row],[Industry]], Mean_PB_S, 3, FALSE))</f>
        <v>-0.39423035648996252</v>
      </c>
      <c r="Q98" s="1">
        <f>(Main_S[[#This Row],[ROE]]-VLOOKUP(Main_S[[#This Row],[Industry]], Mean_ROE_S, 2, FALSE))/(VLOOKUP(Main_S[[#This Row],[Industry]], Mean_ROE_S, 3, FALSE))</f>
        <v>-1.3254634692606115</v>
      </c>
      <c r="R98" s="1">
        <f>(Main_S[[#This Row],[ROA]]-VLOOKUP(Main_S[[#This Row],[Industry]], Mean_ROA_S, 2, FALSE))/(VLOOKUP(Main_S[[#This Row],[Industry]], Mean_ROA_S, 3, FALSE))</f>
        <v>-0.55568538208814033</v>
      </c>
      <c r="S98" s="1">
        <f>(Main_S[[#This Row],[A/E]]-VLOOKUP(Main_S[[#This Row],[Industry]], Mean_AE_S, 2, FALSE))/(VLOOKUP(Main_S[[#This Row],[Industry]], Mean_AE_S, 3, FALSE))</f>
        <v>1.2763455925312699</v>
      </c>
      <c r="T98" s="1">
        <f>(Main_S[[#This Row],[P/E]]-VLOOKUP(Main_S[[#This Row],[Industry]], Mean_PE_S, 2, FALSE))/(VLOOKUP(Main_S[[#This Row],[Industry]], Mean_PE_S, 3, FALSE))</f>
        <v>0.81364680211803331</v>
      </c>
      <c r="U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99" spans="1:26" x14ac:dyDescent="0.25">
      <c r="A99" s="68" t="s">
        <v>152</v>
      </c>
      <c r="B99" s="68" t="s">
        <v>497</v>
      </c>
      <c r="C99" s="2">
        <v>568</v>
      </c>
      <c r="D99">
        <f>RTD("tos.rtd", , "LAST", Main_S[[#This Row],[Symbol]])</f>
        <v>12.824999999999999</v>
      </c>
      <c r="H99" s="1" t="str">
        <f>IF(ISNUMBER(Main_S[[#This Row],[Free CF]]),IF(Main_S[[#This Row],[Free CF]]&lt;&gt;0,Main_S[[#This Row],[Current Price]]/Main_S[[#This Row],[Free CF]],""),"")</f>
        <v/>
      </c>
      <c r="I99" s="1" t="str">
        <f>IF(ISNUMBER(Main_S[[#This Row],[BVPS]]),IF(Main_S[[#This Row],[BVPS]]&lt;&gt;0,Main_S[[#This Row],[Current Price]]/Main_S[[#This Row],[BVPS]],""),"")</f>
        <v/>
      </c>
      <c r="J99">
        <v>-61.44</v>
      </c>
      <c r="K99">
        <v>-37.1</v>
      </c>
      <c r="L99">
        <v>-1.1299999999999999</v>
      </c>
      <c r="M99" s="1" t="str">
        <f>IF(ISNUMBER(Main_S[[#This Row],[EPS]]),IF(Main_S[[#This Row],[EPS]]&lt;&gt;0,Main_S[[#This Row],[Current Price]]/Main_S[[#This Row],[EPS]],""),"")</f>
        <v/>
      </c>
      <c r="N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99" s="1" t="e">
        <f>(Main_S[[#This Row],[P/FCF]]-VLOOKUP(Main_S[[#This Row],[Industry]], Mean_PFCF_S, 2, FALSE))/(VLOOKUP(Main_S[[#This Row],[Industry]], Mean_PFCF_S, 3, FALSE))</f>
        <v>#VALUE!</v>
      </c>
      <c r="P99" s="1" t="e">
        <f>(Main_S[[#This Row],[P/B]]-VLOOKUP(Main_S[[#This Row],[Industry]], Mean_PB_S, 2, FALSE))/(VLOOKUP(Main_S[[#This Row],[Industry]], Mean_PB_S, 3, FALSE))</f>
        <v>#VALUE!</v>
      </c>
      <c r="Q99" s="1">
        <f>(Main_S[[#This Row],[ROE]]-VLOOKUP(Main_S[[#This Row],[Industry]], Mean_ROE_S, 2, FALSE))/(VLOOKUP(Main_S[[#This Row],[Industry]], Mean_ROE_S, 3, FALSE))</f>
        <v>-0.40754865109603555</v>
      </c>
      <c r="R99" s="1">
        <f>(Main_S[[#This Row],[ROA]]-VLOOKUP(Main_S[[#This Row],[Industry]], Mean_ROA_S, 2, FALSE))/(VLOOKUP(Main_S[[#This Row],[Industry]], Mean_ROA_S, 3, FALSE))</f>
        <v>-0.87576994321173818</v>
      </c>
      <c r="S99" s="1">
        <f>(Main_S[[#This Row],[A/E]]-VLOOKUP(Main_S[[#This Row],[Industry]], Mean_AE_S, 2, FALSE))/(VLOOKUP(Main_S[[#This Row],[Industry]], Mean_AE_S, 3, FALSE))</f>
        <v>-5.7323591524211439</v>
      </c>
      <c r="T99" s="1" t="e">
        <f>(Main_S[[#This Row],[P/E]]-VLOOKUP(Main_S[[#This Row],[Industry]], Mean_PE_S, 2, FALSE))/(VLOOKUP(Main_S[[#This Row],[Industry]], Mean_PE_S, 3, FALSE))</f>
        <v>#VALUE!</v>
      </c>
      <c r="U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0" spans="1:26" x14ac:dyDescent="0.25">
      <c r="A100" s="68" t="s">
        <v>152</v>
      </c>
      <c r="B100" s="68" t="s">
        <v>498</v>
      </c>
      <c r="C100" s="2">
        <v>860</v>
      </c>
      <c r="D100">
        <f>RTD("tos.rtd", , "LAST", Main_S[[#This Row],[Symbol]])</f>
        <v>10.19</v>
      </c>
      <c r="E100">
        <v>-3.34</v>
      </c>
      <c r="F100">
        <v>2.5</v>
      </c>
      <c r="G100">
        <v>-3.86</v>
      </c>
      <c r="H100" s="1">
        <f>IF(ISNUMBER(Main_S[[#This Row],[Free CF]]),IF(Main_S[[#This Row],[Free CF]]&lt;&gt;0,Main_S[[#This Row],[Current Price]]/Main_S[[#This Row],[Free CF]],""),"")</f>
        <v>-3.0508982035928143</v>
      </c>
      <c r="I100" s="1">
        <f>IF(ISNUMBER(Main_S[[#This Row],[BVPS]]),IF(Main_S[[#This Row],[BVPS]]&lt;&gt;0,Main_S[[#This Row],[Current Price]]/Main_S[[#This Row],[BVPS]],""),"")</f>
        <v>4.0759999999999996</v>
      </c>
      <c r="J100">
        <v>-93.7</v>
      </c>
      <c r="K100">
        <v>-36.29</v>
      </c>
      <c r="L100">
        <v>2.98</v>
      </c>
      <c r="M100" s="1">
        <f>IF(ISNUMBER(Main_S[[#This Row],[EPS]]),IF(Main_S[[#This Row],[EPS]]&lt;&gt;0,Main_S[[#This Row],[Current Price]]/Main_S[[#This Row],[EPS]],""),"")</f>
        <v>-2.6398963730569949</v>
      </c>
      <c r="N1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0" s="1">
        <f>(Main_S[[#This Row],[P/FCF]]-VLOOKUP(Main_S[[#This Row],[Industry]], Mean_PFCF_S, 2, FALSE))/(VLOOKUP(Main_S[[#This Row],[Industry]], Mean_PFCF_S, 3, FALSE))</f>
        <v>0.50944790124439676</v>
      </c>
      <c r="P100" s="1">
        <f>(Main_S[[#This Row],[P/B]]-VLOOKUP(Main_S[[#This Row],[Industry]], Mean_PB_S, 2, FALSE))/(VLOOKUP(Main_S[[#This Row],[Industry]], Mean_PB_S, 3, FALSE))</f>
        <v>0.99293988704763125</v>
      </c>
      <c r="Q100" s="1">
        <f>(Main_S[[#This Row],[ROE]]-VLOOKUP(Main_S[[#This Row],[Industry]], Mean_ROE_S, 2, FALSE))/(VLOOKUP(Main_S[[#This Row],[Industry]], Mean_ROE_S, 3, FALSE))</f>
        <v>-1.1925945692823883</v>
      </c>
      <c r="R100" s="1">
        <f>(Main_S[[#This Row],[ROA]]-VLOOKUP(Main_S[[#This Row],[Industry]], Mean_ROA_S, 2, FALSE))/(VLOOKUP(Main_S[[#This Row],[Industry]], Mean_ROA_S, 3, FALSE))</f>
        <v>-0.82666606167573164</v>
      </c>
      <c r="S100" s="1">
        <f>(Main_S[[#This Row],[A/E]]-VLOOKUP(Main_S[[#This Row],[Industry]], Mean_AE_S, 2, FALSE))/(VLOOKUP(Main_S[[#This Row],[Industry]], Mean_AE_S, 3, FALSE))</f>
        <v>3.4707643305674889</v>
      </c>
      <c r="T100" s="1">
        <f>(Main_S[[#This Row],[P/E]]-VLOOKUP(Main_S[[#This Row],[Industry]], Mean_PE_S, 2, FALSE))/(VLOOKUP(Main_S[[#This Row],[Industry]], Mean_PE_S, 3, FALSE))</f>
        <v>0.48220340551150936</v>
      </c>
      <c r="U1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1" spans="1:26" x14ac:dyDescent="0.25">
      <c r="A101" s="68" t="s">
        <v>152</v>
      </c>
      <c r="B101" s="68" t="s">
        <v>499</v>
      </c>
      <c r="C101" s="2">
        <v>1325</v>
      </c>
      <c r="D101">
        <f>RTD("tos.rtd", , "LAST", Main_S[[#This Row],[Symbol]])</f>
        <v>13.35</v>
      </c>
      <c r="E101">
        <v>0.06</v>
      </c>
      <c r="F101">
        <v>2.62</v>
      </c>
      <c r="G101">
        <v>0.08</v>
      </c>
      <c r="H101" s="1">
        <f>IF(ISNUMBER(Main_S[[#This Row],[Free CF]]),IF(Main_S[[#This Row],[Free CF]]&lt;&gt;0,Main_S[[#This Row],[Current Price]]/Main_S[[#This Row],[Free CF]],""),"")</f>
        <v>222.5</v>
      </c>
      <c r="I101" s="1">
        <f>IF(ISNUMBER(Main_S[[#This Row],[BVPS]]),IF(Main_S[[#This Row],[BVPS]]&lt;&gt;0,Main_S[[#This Row],[Current Price]]/Main_S[[#This Row],[BVPS]],""),"")</f>
        <v>5.0954198473282437</v>
      </c>
      <c r="J101">
        <v>3.28</v>
      </c>
      <c r="K101">
        <v>-0.66</v>
      </c>
      <c r="L101">
        <v>1.37</v>
      </c>
      <c r="M101" s="1">
        <f>IF(ISNUMBER(Main_S[[#This Row],[EPS]]),IF(Main_S[[#This Row],[EPS]]&lt;&gt;0,Main_S[[#This Row],[Current Price]]/Main_S[[#This Row],[EPS]],""),"")</f>
        <v>166.875</v>
      </c>
      <c r="N1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1" s="1">
        <f>(Main_S[[#This Row],[P/FCF]]-VLOOKUP(Main_S[[#This Row],[Industry]], Mean_PFCF_S, 2, FALSE))/(VLOOKUP(Main_S[[#This Row],[Industry]], Mean_PFCF_S, 3, FALSE))</f>
        <v>66.945257989915561</v>
      </c>
      <c r="P101" s="1">
        <f>(Main_S[[#This Row],[P/B]]-VLOOKUP(Main_S[[#This Row],[Industry]], Mean_PB_S, 2, FALSE))/(VLOOKUP(Main_S[[#This Row],[Industry]], Mean_PB_S, 3, FALSE))</f>
        <v>1.5646847729123672</v>
      </c>
      <c r="Q101" s="1">
        <f>(Main_S[[#This Row],[ROE]]-VLOOKUP(Main_S[[#This Row],[Industry]], Mean_ROE_S, 2, FALSE))/(VLOOKUP(Main_S[[#This Row],[Industry]], Mean_ROE_S, 3, FALSE))</f>
        <v>1.1674101779498647</v>
      </c>
      <c r="R101" s="1">
        <f>(Main_S[[#This Row],[ROA]]-VLOOKUP(Main_S[[#This Row],[Industry]], Mean_ROA_S, 2, FALSE))/(VLOOKUP(Main_S[[#This Row],[Industry]], Mean_ROA_S, 3, FALSE))</f>
        <v>1.3332985051488497</v>
      </c>
      <c r="S101" s="1">
        <f>(Main_S[[#This Row],[A/E]]-VLOOKUP(Main_S[[#This Row],[Industry]], Mean_AE_S, 2, FALSE))/(VLOOKUP(Main_S[[#This Row],[Industry]], Mean_AE_S, 3, FALSE))</f>
        <v>-0.13435216763487068</v>
      </c>
      <c r="T101" s="1">
        <f>(Main_S[[#This Row],[P/E]]-VLOOKUP(Main_S[[#This Row],[Industry]], Mean_PE_S, 2, FALSE))/(VLOOKUP(Main_S[[#This Row],[Industry]], Mean_PE_S, 3, FALSE))</f>
        <v>51.910568544000007</v>
      </c>
      <c r="U1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02" spans="1:26" x14ac:dyDescent="0.25">
      <c r="A102" s="68" t="s">
        <v>152</v>
      </c>
      <c r="B102" s="68" t="s">
        <v>500</v>
      </c>
      <c r="C102" s="2">
        <v>473</v>
      </c>
      <c r="D102">
        <f>RTD("tos.rtd", , "LAST", Main_S[[#This Row],[Symbol]])</f>
        <v>8.93</v>
      </c>
      <c r="E102">
        <v>-1.61</v>
      </c>
      <c r="F102">
        <v>4.24</v>
      </c>
      <c r="G102">
        <v>-1.65</v>
      </c>
      <c r="H102" s="1">
        <f>IF(ISNUMBER(Main_S[[#This Row],[Free CF]]),IF(Main_S[[#This Row],[Free CF]]&lt;&gt;0,Main_S[[#This Row],[Current Price]]/Main_S[[#This Row],[Free CF]],""),"")</f>
        <v>-5.5465838509316763</v>
      </c>
      <c r="I102" s="1">
        <f>IF(ISNUMBER(Main_S[[#This Row],[BVPS]]),IF(Main_S[[#This Row],[BVPS]]&lt;&gt;0,Main_S[[#This Row],[Current Price]]/Main_S[[#This Row],[BVPS]],""),"")</f>
        <v>2.1061320754716979</v>
      </c>
      <c r="J102">
        <v>-45.8</v>
      </c>
      <c r="K102">
        <v>-25.35</v>
      </c>
      <c r="L102">
        <v>1.19</v>
      </c>
      <c r="M102" s="1">
        <f>IF(ISNUMBER(Main_S[[#This Row],[EPS]]),IF(Main_S[[#This Row],[EPS]]&lt;&gt;0,Main_S[[#This Row],[Current Price]]/Main_S[[#This Row],[EPS]],""),"")</f>
        <v>-5.4121212121212121</v>
      </c>
      <c r="N1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2" s="1">
        <f>(Main_S[[#This Row],[P/FCF]]-VLOOKUP(Main_S[[#This Row],[Industry]], Mean_PFCF_S, 2, FALSE))/(VLOOKUP(Main_S[[#This Row],[Industry]], Mean_PFCF_S, 3, FALSE))</f>
        <v>-0.22565401600873494</v>
      </c>
      <c r="P102" s="1">
        <f>(Main_S[[#This Row],[P/B]]-VLOOKUP(Main_S[[#This Row],[Industry]], Mean_PB_S, 2, FALSE))/(VLOOKUP(Main_S[[#This Row],[Industry]], Mean_PB_S, 3, FALSE))</f>
        <v>-0.11186684653697773</v>
      </c>
      <c r="Q102" s="1">
        <f>(Main_S[[#This Row],[ROE]]-VLOOKUP(Main_S[[#This Row],[Industry]], Mean_ROE_S, 2, FALSE))/(VLOOKUP(Main_S[[#This Row],[Industry]], Mean_ROE_S, 3, FALSE))</f>
        <v>-2.6949824052186939E-2</v>
      </c>
      <c r="R102" s="1">
        <f>(Main_S[[#This Row],[ROA]]-VLOOKUP(Main_S[[#This Row],[Industry]], Mean_ROA_S, 2, FALSE))/(VLOOKUP(Main_S[[#This Row],[Industry]], Mean_ROA_S, 3, FALSE))</f>
        <v>-0.16346055055979233</v>
      </c>
      <c r="S102" s="1">
        <f>(Main_S[[#This Row],[A/E]]-VLOOKUP(Main_S[[#This Row],[Industry]], Mean_AE_S, 2, FALSE))/(VLOOKUP(Main_S[[#This Row],[Industry]], Mean_AE_S, 3, FALSE))</f>
        <v>-0.53740867053948271</v>
      </c>
      <c r="T102" s="1">
        <f>(Main_S[[#This Row],[P/E]]-VLOOKUP(Main_S[[#This Row],[Industry]], Mean_PE_S, 2, FALSE))/(VLOOKUP(Main_S[[#This Row],[Industry]], Mean_PE_S, 3, FALSE))</f>
        <v>-0.35884947137325363</v>
      </c>
      <c r="U1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3" spans="1:26" x14ac:dyDescent="0.25">
      <c r="A103" s="68" t="s">
        <v>152</v>
      </c>
      <c r="B103" s="68" t="s">
        <v>501</v>
      </c>
      <c r="C103" s="2">
        <v>528</v>
      </c>
      <c r="D103">
        <f>RTD("tos.rtd", , "LAST", Main_S[[#This Row],[Symbol]])</f>
        <v>2.97</v>
      </c>
      <c r="E103">
        <v>-0.45</v>
      </c>
      <c r="F103">
        <v>0.82</v>
      </c>
      <c r="G103">
        <v>-0.48</v>
      </c>
      <c r="H103" s="1">
        <f>IF(ISNUMBER(Main_S[[#This Row],[Free CF]]),IF(Main_S[[#This Row],[Free CF]]&lt;&gt;0,Main_S[[#This Row],[Current Price]]/Main_S[[#This Row],[Free CF]],""),"")</f>
        <v>-6.6000000000000005</v>
      </c>
      <c r="I103" s="1">
        <f>IF(ISNUMBER(Main_S[[#This Row],[BVPS]]),IF(Main_S[[#This Row],[BVPS]]&lt;&gt;0,Main_S[[#This Row],[Current Price]]/Main_S[[#This Row],[BVPS]],""),"")</f>
        <v>3.6219512195121957</v>
      </c>
      <c r="J103">
        <v>-61.5</v>
      </c>
      <c r="K103">
        <v>-32.78</v>
      </c>
      <c r="L103">
        <v>1.24</v>
      </c>
      <c r="M103" s="1">
        <f>IF(ISNUMBER(Main_S[[#This Row],[EPS]]),IF(Main_S[[#This Row],[EPS]]&lt;&gt;0,Main_S[[#This Row],[Current Price]]/Main_S[[#This Row],[EPS]],""),"")</f>
        <v>-6.1875000000000009</v>
      </c>
      <c r="N1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3" s="1">
        <f>(Main_S[[#This Row],[P/FCF]]-VLOOKUP(Main_S[[#This Row],[Industry]], Mean_PFCF_S, 2, FALSE))/(VLOOKUP(Main_S[[#This Row],[Industry]], Mean_PFCF_S, 3, FALSE))</f>
        <v>-0.53593677604754075</v>
      </c>
      <c r="P103" s="1">
        <f>(Main_S[[#This Row],[P/B]]-VLOOKUP(Main_S[[#This Row],[Industry]], Mean_PB_S, 2, FALSE))/(VLOOKUP(Main_S[[#This Row],[Industry]], Mean_PB_S, 3, FALSE))</f>
        <v>0.73828517450951736</v>
      </c>
      <c r="Q103" s="1">
        <f>(Main_S[[#This Row],[ROE]]-VLOOKUP(Main_S[[#This Row],[Industry]], Mean_ROE_S, 2, FALSE))/(VLOOKUP(Main_S[[#This Row],[Industry]], Mean_ROE_S, 3, FALSE))</f>
        <v>-0.4090087488979941</v>
      </c>
      <c r="R103" s="1">
        <f>(Main_S[[#This Row],[ROA]]-VLOOKUP(Main_S[[#This Row],[Industry]], Mean_ROA_S, 2, FALSE))/(VLOOKUP(Main_S[[#This Row],[Industry]], Mean_ROA_S, 3, FALSE))</f>
        <v>-0.61388257501970367</v>
      </c>
      <c r="S103" s="1">
        <f>(Main_S[[#This Row],[A/E]]-VLOOKUP(Main_S[[#This Row],[Industry]], Mean_AE_S, 2, FALSE))/(VLOOKUP(Main_S[[#This Row],[Industry]], Mean_AE_S, 3, FALSE))</f>
        <v>-0.42544853084375711</v>
      </c>
      <c r="T103" s="1">
        <f>(Main_S[[#This Row],[P/E]]-VLOOKUP(Main_S[[#This Row],[Industry]], Mean_PE_S, 2, FALSE))/(VLOOKUP(Main_S[[#This Row],[Industry]], Mean_PE_S, 3, FALSE))</f>
        <v>-0.59408816883799753</v>
      </c>
      <c r="U1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4" spans="1:26" x14ac:dyDescent="0.25">
      <c r="A104" s="68" t="s">
        <v>152</v>
      </c>
      <c r="B104" s="68" t="s">
        <v>502</v>
      </c>
      <c r="C104" s="2">
        <v>766</v>
      </c>
      <c r="D104">
        <f>RTD("tos.rtd", , "LAST", Main_S[[#This Row],[Symbol]])</f>
        <v>14.75</v>
      </c>
      <c r="E104">
        <v>-3.35</v>
      </c>
      <c r="F104">
        <v>6.01</v>
      </c>
      <c r="G104">
        <v>-3.18</v>
      </c>
      <c r="H104" s="1">
        <f>IF(ISNUMBER(Main_S[[#This Row],[Free CF]]),IF(Main_S[[#This Row],[Free CF]]&lt;&gt;0,Main_S[[#This Row],[Current Price]]/Main_S[[#This Row],[Free CF]],""),"")</f>
        <v>-4.4029850746268657</v>
      </c>
      <c r="I104" s="1">
        <f>IF(ISNUMBER(Main_S[[#This Row],[BVPS]]),IF(Main_S[[#This Row],[BVPS]]&lt;&gt;0,Main_S[[#This Row],[Current Price]]/Main_S[[#This Row],[BVPS]],""),"")</f>
        <v>2.4542429284525791</v>
      </c>
      <c r="J104">
        <v>-59.28</v>
      </c>
      <c r="K104">
        <v>-27.43</v>
      </c>
      <c r="L104">
        <v>1.68</v>
      </c>
      <c r="M104" s="1">
        <f>IF(ISNUMBER(Main_S[[#This Row],[EPS]]),IF(Main_S[[#This Row],[EPS]]&lt;&gt;0,Main_S[[#This Row],[Current Price]]/Main_S[[#This Row],[EPS]],""),"")</f>
        <v>-4.6383647798742134</v>
      </c>
      <c r="N1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4" s="1">
        <f>(Main_S[[#This Row],[P/FCF]]-VLOOKUP(Main_S[[#This Row],[Industry]], Mean_PFCF_S, 2, FALSE))/(VLOOKUP(Main_S[[#This Row],[Industry]], Mean_PFCF_S, 3, FALSE))</f>
        <v>0.11119195412632396</v>
      </c>
      <c r="P104" s="1">
        <f>(Main_S[[#This Row],[P/B]]-VLOOKUP(Main_S[[#This Row],[Industry]], Mean_PB_S, 2, FALSE))/(VLOOKUP(Main_S[[#This Row],[Industry]], Mean_PB_S, 3, FALSE))</f>
        <v>8.3372240113592164E-2</v>
      </c>
      <c r="Q104" s="1">
        <f>(Main_S[[#This Row],[ROE]]-VLOOKUP(Main_S[[#This Row],[Industry]], Mean_ROE_S, 2, FALSE))/(VLOOKUP(Main_S[[#This Row],[Industry]], Mean_ROE_S, 3, FALSE))</f>
        <v>-0.35498513022552969</v>
      </c>
      <c r="R104" s="1">
        <f>(Main_S[[#This Row],[ROA]]-VLOOKUP(Main_S[[#This Row],[Industry]], Mean_ROA_S, 2, FALSE))/(VLOOKUP(Main_S[[#This Row],[Industry]], Mean_ROA_S, 3, FALSE))</f>
        <v>-0.28955446857817924</v>
      </c>
      <c r="S104" s="1">
        <f>(Main_S[[#This Row],[A/E]]-VLOOKUP(Main_S[[#This Row],[Industry]], Mean_AE_S, 2, FALSE))/(VLOOKUP(Main_S[[#This Row],[Industry]], Mean_AE_S, 3, FALSE))</f>
        <v>0.55980069847862679</v>
      </c>
      <c r="T104" s="1">
        <f>(Main_S[[#This Row],[P/E]]-VLOOKUP(Main_S[[#This Row],[Industry]], Mean_PE_S, 2, FALSE))/(VLOOKUP(Main_S[[#This Row],[Industry]], Mean_PE_S, 3, FALSE))</f>
        <v>-0.12410297311696493</v>
      </c>
      <c r="U1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5" spans="1:26" x14ac:dyDescent="0.25">
      <c r="A105" s="68" t="s">
        <v>152</v>
      </c>
      <c r="B105" s="68" t="s">
        <v>503</v>
      </c>
      <c r="C105" s="2">
        <v>354</v>
      </c>
      <c r="D105">
        <f>RTD("tos.rtd", , "LAST", Main_S[[#This Row],[Symbol]])</f>
        <v>20.190000000000001</v>
      </c>
      <c r="E105">
        <v>-6.98</v>
      </c>
      <c r="F105">
        <v>9.48</v>
      </c>
      <c r="G105">
        <v>-6.83</v>
      </c>
      <c r="H105" s="1">
        <f>IF(ISNUMBER(Main_S[[#This Row],[Free CF]]),IF(Main_S[[#This Row],[Free CF]]&lt;&gt;0,Main_S[[#This Row],[Current Price]]/Main_S[[#This Row],[Free CF]],""),"")</f>
        <v>-2.8925501432664755</v>
      </c>
      <c r="I105" s="1">
        <f>IF(ISNUMBER(Main_S[[#This Row],[BVPS]]),IF(Main_S[[#This Row],[BVPS]]&lt;&gt;0,Main_S[[#This Row],[Current Price]]/Main_S[[#This Row],[BVPS]],""),"")</f>
        <v>2.1297468354430382</v>
      </c>
      <c r="J105">
        <v>-84.79</v>
      </c>
      <c r="K105">
        <v>-37.71</v>
      </c>
      <c r="L105">
        <v>1.0900000000000001</v>
      </c>
      <c r="M105" s="1">
        <f>IF(ISNUMBER(Main_S[[#This Row],[EPS]]),IF(Main_S[[#This Row],[EPS]]&lt;&gt;0,Main_S[[#This Row],[Current Price]]/Main_S[[#This Row],[EPS]],""),"")</f>
        <v>-2.9560761346998539</v>
      </c>
      <c r="N1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5" s="1">
        <f>(Main_S[[#This Row],[P/FCF]]-VLOOKUP(Main_S[[#This Row],[Industry]], Mean_PFCF_S, 2, FALSE))/(VLOOKUP(Main_S[[#This Row],[Industry]], Mean_PFCF_S, 3, FALSE))</f>
        <v>0.55608917710513062</v>
      </c>
      <c r="P105" s="1">
        <f>(Main_S[[#This Row],[P/B]]-VLOOKUP(Main_S[[#This Row],[Industry]], Mean_PB_S, 2, FALSE))/(VLOOKUP(Main_S[[#This Row],[Industry]], Mean_PB_S, 3, FALSE))</f>
        <v>-9.8622432785447439E-2</v>
      </c>
      <c r="Q105" s="1">
        <f>(Main_S[[#This Row],[ROE]]-VLOOKUP(Main_S[[#This Row],[Industry]], Mean_ROE_S, 2, FALSE))/(VLOOKUP(Main_S[[#This Row],[Industry]], Mean_ROE_S, 3, FALSE))</f>
        <v>-0.97577004569155146</v>
      </c>
      <c r="R105" s="1">
        <f>(Main_S[[#This Row],[ROA]]-VLOOKUP(Main_S[[#This Row],[Industry]], Mean_ROA_S, 2, FALSE))/(VLOOKUP(Main_S[[#This Row],[Industry]], Mean_ROA_S, 3, FALSE))</f>
        <v>-0.91274940955366901</v>
      </c>
      <c r="S105" s="1">
        <f>(Main_S[[#This Row],[A/E]]-VLOOKUP(Main_S[[#This Row],[Industry]], Mean_AE_S, 2, FALSE))/(VLOOKUP(Main_S[[#This Row],[Industry]], Mean_AE_S, 3, FALSE))</f>
        <v>-0.76132894993093325</v>
      </c>
      <c r="T105" s="1">
        <f>(Main_S[[#This Row],[P/E]]-VLOOKUP(Main_S[[#This Row],[Industry]], Mean_PE_S, 2, FALSE))/(VLOOKUP(Main_S[[#This Row],[Industry]], Mean_PE_S, 3, FALSE))</f>
        <v>0.38627904382364947</v>
      </c>
      <c r="U1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6" spans="1:26" x14ac:dyDescent="0.25">
      <c r="A106" s="68" t="s">
        <v>152</v>
      </c>
      <c r="B106" s="68" t="s">
        <v>504</v>
      </c>
      <c r="C106" s="2">
        <v>310</v>
      </c>
      <c r="D106">
        <f>RTD("tos.rtd", , "LAST", Main_S[[#This Row],[Symbol]])</f>
        <v>8.6999999999999993</v>
      </c>
      <c r="E106">
        <v>-1.2</v>
      </c>
      <c r="F106">
        <v>12.04</v>
      </c>
      <c r="G106">
        <v>1.68</v>
      </c>
      <c r="H106" s="1">
        <f>IF(ISNUMBER(Main_S[[#This Row],[Free CF]]),IF(Main_S[[#This Row],[Free CF]]&lt;&gt;0,Main_S[[#This Row],[Current Price]]/Main_S[[#This Row],[Free CF]],""),"")</f>
        <v>-7.25</v>
      </c>
      <c r="I106" s="1">
        <f>IF(ISNUMBER(Main_S[[#This Row],[BVPS]]),IF(Main_S[[#This Row],[BVPS]]&lt;&gt;0,Main_S[[#This Row],[Current Price]]/Main_S[[#This Row],[BVPS]],""),"")</f>
        <v>0.72259136212624586</v>
      </c>
      <c r="J106">
        <v>19.559999999999999</v>
      </c>
      <c r="K106">
        <v>5.9</v>
      </c>
      <c r="L106">
        <v>1.23</v>
      </c>
      <c r="M106" s="1">
        <f>IF(ISNUMBER(Main_S[[#This Row],[EPS]]),IF(Main_S[[#This Row],[EPS]]&lt;&gt;0,Main_S[[#This Row],[Current Price]]/Main_S[[#This Row],[EPS]],""),"")</f>
        <v>5.1785714285714279</v>
      </c>
      <c r="N1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6" s="1">
        <f>(Main_S[[#This Row],[P/FCF]]-VLOOKUP(Main_S[[#This Row],[Industry]], Mean_PFCF_S, 2, FALSE))/(VLOOKUP(Main_S[[#This Row],[Industry]], Mean_PFCF_S, 3, FALSE))</f>
        <v>-0.7273936795738436</v>
      </c>
      <c r="P106" s="1">
        <f>(Main_S[[#This Row],[P/B]]-VLOOKUP(Main_S[[#This Row],[Industry]], Mean_PB_S, 2, FALSE))/(VLOOKUP(Main_S[[#This Row],[Industry]], Mean_PB_S, 3, FALSE))</f>
        <v>-0.88783008613261172</v>
      </c>
      <c r="Q106" s="1">
        <f>(Main_S[[#This Row],[ROE]]-VLOOKUP(Main_S[[#This Row],[Industry]], Mean_ROE_S, 2, FALSE))/(VLOOKUP(Main_S[[#This Row],[Industry]], Mean_ROE_S, 3, FALSE))</f>
        <v>1.5635833815479372</v>
      </c>
      <c r="R106" s="1">
        <f>(Main_S[[#This Row],[ROA]]-VLOOKUP(Main_S[[#This Row],[Industry]], Mean_ROA_S, 2, FALSE))/(VLOOKUP(Main_S[[#This Row],[Industry]], Mean_ROA_S, 3, FALSE))</f>
        <v>1.7309793235145319</v>
      </c>
      <c r="S106" s="1">
        <f>(Main_S[[#This Row],[A/E]]-VLOOKUP(Main_S[[#This Row],[Industry]], Mean_AE_S, 2, FALSE))/(VLOOKUP(Main_S[[#This Row],[Industry]], Mean_AE_S, 3, FALSE))</f>
        <v>-0.44784055878290224</v>
      </c>
      <c r="T106" s="1">
        <f>(Main_S[[#This Row],[P/E]]-VLOOKUP(Main_S[[#This Row],[Industry]], Mean_PE_S, 2, FALSE))/(VLOOKUP(Main_S[[#This Row],[Industry]], Mean_PE_S, 3, FALSE))</f>
        <v>2.8542133322424741</v>
      </c>
      <c r="U1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7" spans="1:26" x14ac:dyDescent="0.25">
      <c r="A107" s="68" t="s">
        <v>152</v>
      </c>
      <c r="B107" s="68" t="s">
        <v>505</v>
      </c>
      <c r="C107" s="2">
        <v>395</v>
      </c>
      <c r="D107">
        <f>RTD("tos.rtd", , "LAST", Main_S[[#This Row],[Symbol]])</f>
        <v>15.54</v>
      </c>
      <c r="E107">
        <v>-3.26</v>
      </c>
      <c r="F107">
        <v>10.9</v>
      </c>
      <c r="G107">
        <v>-3.22</v>
      </c>
      <c r="H107" s="1">
        <f>IF(ISNUMBER(Main_S[[#This Row],[Free CF]]),IF(Main_S[[#This Row],[Free CF]]&lt;&gt;0,Main_S[[#This Row],[Current Price]]/Main_S[[#This Row],[Free CF]],""),"")</f>
        <v>-4.7668711656441722</v>
      </c>
      <c r="I107" s="1">
        <f>IF(ISNUMBER(Main_S[[#This Row],[BVPS]]),IF(Main_S[[#This Row],[BVPS]]&lt;&gt;0,Main_S[[#This Row],[Current Price]]/Main_S[[#This Row],[BVPS]],""),"")</f>
        <v>1.4256880733944952</v>
      </c>
      <c r="J107">
        <v>-26.14</v>
      </c>
      <c r="K107">
        <v>-19.03</v>
      </c>
      <c r="L107">
        <v>1.03</v>
      </c>
      <c r="M107" s="1">
        <f>IF(ISNUMBER(Main_S[[#This Row],[EPS]]),IF(Main_S[[#This Row],[EPS]]&lt;&gt;0,Main_S[[#This Row],[Current Price]]/Main_S[[#This Row],[EPS]],""),"")</f>
        <v>-4.8260869565217384</v>
      </c>
      <c r="N1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7" s="1">
        <f>(Main_S[[#This Row],[P/FCF]]-VLOOKUP(Main_S[[#This Row],[Industry]], Mean_PFCF_S, 2, FALSE))/(VLOOKUP(Main_S[[#This Row],[Industry]], Mean_PFCF_S, 3, FALSE))</f>
        <v>4.0096399379178577E-3</v>
      </c>
      <c r="P107" s="1">
        <f>(Main_S[[#This Row],[P/B]]-VLOOKUP(Main_S[[#This Row],[Industry]], Mean_PB_S, 2, FALSE))/(VLOOKUP(Main_S[[#This Row],[Industry]], Mean_PB_S, 3, FALSE))</f>
        <v>-0.49349604408948222</v>
      </c>
      <c r="Q107" s="1">
        <f>(Main_S[[#This Row],[ROE]]-VLOOKUP(Main_S[[#This Row],[Industry]], Mean_ROE_S, 2, FALSE))/(VLOOKUP(Main_S[[#This Row],[Industry]], Mean_ROE_S, 3, FALSE))</f>
        <v>0.45147555572288095</v>
      </c>
      <c r="R107" s="1">
        <f>(Main_S[[#This Row],[ROA]]-VLOOKUP(Main_S[[#This Row],[Industry]], Mean_ROA_S, 2, FALSE))/(VLOOKUP(Main_S[[#This Row],[Industry]], Mean_ROA_S, 3, FALSE))</f>
        <v>0.219670969572999</v>
      </c>
      <c r="S107" s="1">
        <f>(Main_S[[#This Row],[A/E]]-VLOOKUP(Main_S[[#This Row],[Industry]], Mean_AE_S, 2, FALSE))/(VLOOKUP(Main_S[[#This Row],[Industry]], Mean_AE_S, 3, FALSE))</f>
        <v>-0.89568111756580393</v>
      </c>
      <c r="T107" s="1">
        <f>(Main_S[[#This Row],[P/E]]-VLOOKUP(Main_S[[#This Row],[Industry]], Mean_PE_S, 2, FALSE))/(VLOOKUP(Main_S[[#This Row],[Industry]], Mean_PE_S, 3, FALSE))</f>
        <v>-0.18105516346591422</v>
      </c>
      <c r="U1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8" spans="1:26" x14ac:dyDescent="0.25">
      <c r="A108" s="68" t="s">
        <v>152</v>
      </c>
      <c r="B108" s="68" t="s">
        <v>506</v>
      </c>
      <c r="C108" s="2">
        <v>390</v>
      </c>
      <c r="D108">
        <f>RTD("tos.rtd", , "LAST", Main_S[[#This Row],[Symbol]])</f>
        <v>2.34</v>
      </c>
      <c r="E108">
        <v>-0.33</v>
      </c>
      <c r="F108">
        <v>0.35</v>
      </c>
      <c r="G108">
        <v>-0.36</v>
      </c>
      <c r="H108" s="1">
        <f>IF(ISNUMBER(Main_S[[#This Row],[Free CF]]),IF(Main_S[[#This Row],[Free CF]]&lt;&gt;0,Main_S[[#This Row],[Current Price]]/Main_S[[#This Row],[Free CF]],""),"")</f>
        <v>-7.0909090909090899</v>
      </c>
      <c r="I108" s="1">
        <f>IF(ISNUMBER(Main_S[[#This Row],[BVPS]]),IF(Main_S[[#This Row],[BVPS]]&lt;&gt;0,Main_S[[#This Row],[Current Price]]/Main_S[[#This Row],[BVPS]],""),"")</f>
        <v>6.6857142857142859</v>
      </c>
      <c r="J108">
        <v>-121.94</v>
      </c>
      <c r="K108">
        <v>-32.51</v>
      </c>
      <c r="L108">
        <v>2.2400000000000002</v>
      </c>
      <c r="M108" s="1">
        <f>IF(ISNUMBER(Main_S[[#This Row],[EPS]]),IF(Main_S[[#This Row],[EPS]]&lt;&gt;0,Main_S[[#This Row],[Current Price]]/Main_S[[#This Row],[EPS]],""),"")</f>
        <v>-6.5</v>
      </c>
      <c r="N1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8" s="1">
        <f>(Main_S[[#This Row],[P/FCF]]-VLOOKUP(Main_S[[#This Row],[Industry]], Mean_PFCF_S, 2, FALSE))/(VLOOKUP(Main_S[[#This Row],[Industry]], Mean_PFCF_S, 3, FALSE))</f>
        <v>-0.68053359829118176</v>
      </c>
      <c r="P108" s="1">
        <f>(Main_S[[#This Row],[P/B]]-VLOOKUP(Main_S[[#This Row],[Industry]], Mean_PB_S, 2, FALSE))/(VLOOKUP(Main_S[[#This Row],[Industry]], Mean_PB_S, 3, FALSE))</f>
        <v>2.4566065012849791</v>
      </c>
      <c r="Q108" s="1">
        <f>(Main_S[[#This Row],[ROE]]-VLOOKUP(Main_S[[#This Row],[Industry]], Mean_ROE_S, 2, FALSE))/(VLOOKUP(Main_S[[#This Row],[Industry]], Mean_ROE_S, 3, FALSE))</f>
        <v>-1.8798139347375213</v>
      </c>
      <c r="R108" s="1">
        <f>(Main_S[[#This Row],[ROA]]-VLOOKUP(Main_S[[#This Row],[Industry]], Mean_ROA_S, 2, FALSE))/(VLOOKUP(Main_S[[#This Row],[Industry]], Mean_ROA_S, 3, FALSE))</f>
        <v>-0.59751461450770127</v>
      </c>
      <c r="S108" s="1">
        <f>(Main_S[[#This Row],[A/E]]-VLOOKUP(Main_S[[#This Row],[Industry]], Mean_AE_S, 2, FALSE))/(VLOOKUP(Main_S[[#This Row],[Industry]], Mean_AE_S, 3, FALSE))</f>
        <v>1.8137542630707526</v>
      </c>
      <c r="T108" s="1">
        <f>(Main_S[[#This Row],[P/E]]-VLOOKUP(Main_S[[#This Row],[Industry]], Mean_PE_S, 2, FALSE))/(VLOOKUP(Main_S[[#This Row],[Industry]], Mean_PE_S, 3, FALSE))</f>
        <v>-0.68889614412300626</v>
      </c>
      <c r="U1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09" spans="1:26" x14ac:dyDescent="0.25">
      <c r="A109" s="68" t="s">
        <v>152</v>
      </c>
      <c r="B109" s="68" t="s">
        <v>507</v>
      </c>
      <c r="C109" s="2">
        <v>266</v>
      </c>
      <c r="D109">
        <f>RTD("tos.rtd", , "LAST", Main_S[[#This Row],[Symbol]])</f>
        <v>5</v>
      </c>
      <c r="E109">
        <v>-1.64</v>
      </c>
      <c r="F109">
        <v>4.09</v>
      </c>
      <c r="G109">
        <v>-1.1000000000000001</v>
      </c>
      <c r="H109" s="1">
        <f>IF(ISNUMBER(Main_S[[#This Row],[Free CF]]),IF(Main_S[[#This Row],[Free CF]]&lt;&gt;0,Main_S[[#This Row],[Current Price]]/Main_S[[#This Row],[Free CF]],""),"")</f>
        <v>-3.0487804878048781</v>
      </c>
      <c r="I109" s="1">
        <f>IF(ISNUMBER(Main_S[[#This Row],[BVPS]]),IF(Main_S[[#This Row],[BVPS]]&lt;&gt;0,Main_S[[#This Row],[Current Price]]/Main_S[[#This Row],[BVPS]],""),"")</f>
        <v>1.2224938875305624</v>
      </c>
      <c r="J109">
        <v>-24.56</v>
      </c>
      <c r="K109">
        <v>-12.62</v>
      </c>
      <c r="L109">
        <v>2.27</v>
      </c>
      <c r="M109" s="1">
        <f>IF(ISNUMBER(Main_S[[#This Row],[EPS]]),IF(Main_S[[#This Row],[EPS]]&lt;&gt;0,Main_S[[#This Row],[Current Price]]/Main_S[[#This Row],[EPS]],""),"")</f>
        <v>-4.545454545454545</v>
      </c>
      <c r="N1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09" s="1">
        <f>(Main_S[[#This Row],[P/FCF]]-VLOOKUP(Main_S[[#This Row],[Industry]], Mean_PFCF_S, 2, FALSE))/(VLOOKUP(Main_S[[#This Row],[Industry]], Mean_PFCF_S, 3, FALSE))</f>
        <v>0.5100716724864075</v>
      </c>
      <c r="P109" s="1">
        <f>(Main_S[[#This Row],[P/B]]-VLOOKUP(Main_S[[#This Row],[Industry]], Mean_PB_S, 2, FALSE))/(VLOOKUP(Main_S[[#This Row],[Industry]], Mean_PB_S, 3, FALSE))</f>
        <v>-0.60745815392051128</v>
      </c>
      <c r="Q109" s="1">
        <f>(Main_S[[#This Row],[ROE]]-VLOOKUP(Main_S[[#This Row],[Industry]], Mean_ROE_S, 2, FALSE))/(VLOOKUP(Main_S[[#This Row],[Industry]], Mean_ROE_S, 3, FALSE))</f>
        <v>0.48992479784112147</v>
      </c>
      <c r="R109" s="1">
        <f>(Main_S[[#This Row],[ROA]]-VLOOKUP(Main_S[[#This Row],[Industry]], Mean_ROA_S, 2, FALSE))/(VLOOKUP(Main_S[[#This Row],[Industry]], Mean_ROA_S, 3, FALSE))</f>
        <v>0.60825847654312448</v>
      </c>
      <c r="S109" s="1">
        <f>(Main_S[[#This Row],[A/E]]-VLOOKUP(Main_S[[#This Row],[Industry]], Mean_AE_S, 2, FALSE))/(VLOOKUP(Main_S[[#This Row],[Industry]], Mean_AE_S, 3, FALSE))</f>
        <v>1.8809303468881873</v>
      </c>
      <c r="T109" s="1">
        <f>(Main_S[[#This Row],[P/E]]-VLOOKUP(Main_S[[#This Row],[Industry]], Mean_PE_S, 2, FALSE))/(VLOOKUP(Main_S[[#This Row],[Industry]], Mean_PE_S, 3, FALSE))</f>
        <v>-9.5915353249495128E-2</v>
      </c>
      <c r="U1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0" spans="1:26" x14ac:dyDescent="0.25">
      <c r="A110" s="68" t="s">
        <v>152</v>
      </c>
      <c r="B110" s="68" t="s">
        <v>508</v>
      </c>
      <c r="C110" s="2">
        <v>1797</v>
      </c>
      <c r="D110">
        <f>RTD("tos.rtd", , "LAST", Main_S[[#This Row],[Symbol]])</f>
        <v>20.94</v>
      </c>
      <c r="E110">
        <v>-3.27</v>
      </c>
      <c r="F110">
        <v>0.37</v>
      </c>
      <c r="G110">
        <v>-2.77</v>
      </c>
      <c r="H110" s="1">
        <f>IF(ISNUMBER(Main_S[[#This Row],[Free CF]]),IF(Main_S[[#This Row],[Free CF]]&lt;&gt;0,Main_S[[#This Row],[Current Price]]/Main_S[[#This Row],[Free CF]],""),"")</f>
        <v>-6.4036697247706424</v>
      </c>
      <c r="I110" s="1">
        <f>IF(ISNUMBER(Main_S[[#This Row],[BVPS]]),IF(Main_S[[#This Row],[BVPS]]&lt;&gt;0,Main_S[[#This Row],[Current Price]]/Main_S[[#This Row],[BVPS]],""),"")</f>
        <v>56.594594594594597</v>
      </c>
      <c r="J110">
        <v>-422.66</v>
      </c>
      <c r="K110">
        <v>-23.21</v>
      </c>
      <c r="L110">
        <v>16.72</v>
      </c>
      <c r="M110" s="1">
        <f>IF(ISNUMBER(Main_S[[#This Row],[EPS]]),IF(Main_S[[#This Row],[EPS]]&lt;&gt;0,Main_S[[#This Row],[Current Price]]/Main_S[[#This Row],[EPS]],""),"")</f>
        <v>-7.559566787003611</v>
      </c>
      <c r="N1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0" s="1">
        <f>(Main_S[[#This Row],[P/FCF]]-VLOOKUP(Main_S[[#This Row],[Industry]], Mean_PFCF_S, 2, FALSE))/(VLOOKUP(Main_S[[#This Row],[Industry]], Mean_PFCF_S, 3, FALSE))</f>
        <v>-0.47810787364157198</v>
      </c>
      <c r="P110" s="1">
        <f>(Main_S[[#This Row],[P/B]]-VLOOKUP(Main_S[[#This Row],[Industry]], Mean_PB_S, 2, FALSE))/(VLOOKUP(Main_S[[#This Row],[Industry]], Mean_PB_S, 3, FALSE))</f>
        <v>30.448161845850954</v>
      </c>
      <c r="Q110" s="1">
        <f>(Main_S[[#This Row],[ROE]]-VLOOKUP(Main_S[[#This Row],[Industry]], Mean_ROE_S, 2, FALSE))/(VLOOKUP(Main_S[[#This Row],[Industry]], Mean_ROE_S, 3, FALSE))</f>
        <v>-9.1978241181535179</v>
      </c>
      <c r="R110" s="1">
        <f>(Main_S[[#This Row],[ROA]]-VLOOKUP(Main_S[[#This Row],[Industry]], Mean_ROA_S, 2, FALSE))/(VLOOKUP(Main_S[[#This Row],[Industry]], Mean_ROA_S, 3, FALSE))</f>
        <v>-3.3729307983182577E-2</v>
      </c>
      <c r="S110" s="1">
        <f>(Main_S[[#This Row],[A/E]]-VLOOKUP(Main_S[[#This Row],[Industry]], Mean_AE_S, 2, FALSE))/(VLOOKUP(Main_S[[#This Row],[Industry]], Mean_AE_S, 3, FALSE))</f>
        <v>34.237410718952844</v>
      </c>
      <c r="T110" s="1">
        <f>(Main_S[[#This Row],[P/E]]-VLOOKUP(Main_S[[#This Row],[Industry]], Mean_PE_S, 2, FALSE))/(VLOOKUP(Main_S[[#This Row],[Industry]], Mean_PE_S, 3, FALSE))</f>
        <v>-1.0103533657391814</v>
      </c>
      <c r="U1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1" spans="1:26" x14ac:dyDescent="0.25">
      <c r="A111" s="68" t="s">
        <v>152</v>
      </c>
      <c r="B111" s="68" t="s">
        <v>509</v>
      </c>
      <c r="C111" s="2">
        <v>1964</v>
      </c>
      <c r="D111">
        <f>RTD("tos.rtd", , "LAST", Main_S[[#This Row],[Symbol]])</f>
        <v>32.29</v>
      </c>
      <c r="E111">
        <v>-1.17</v>
      </c>
      <c r="F111">
        <v>7.38</v>
      </c>
      <c r="G111">
        <v>-3.25</v>
      </c>
      <c r="H111" s="1">
        <f>IF(ISNUMBER(Main_S[[#This Row],[Free CF]]),IF(Main_S[[#This Row],[Free CF]]&lt;&gt;0,Main_S[[#This Row],[Current Price]]/Main_S[[#This Row],[Free CF]],""),"")</f>
        <v>-27.5982905982906</v>
      </c>
      <c r="I111" s="1">
        <f>IF(ISNUMBER(Main_S[[#This Row],[BVPS]]),IF(Main_S[[#This Row],[BVPS]]&lt;&gt;0,Main_S[[#This Row],[Current Price]]/Main_S[[#This Row],[BVPS]],""),"")</f>
        <v>4.3753387533875339</v>
      </c>
      <c r="J111">
        <v>-38.22</v>
      </c>
      <c r="K111">
        <v>-15.04</v>
      </c>
      <c r="L111">
        <v>1.35</v>
      </c>
      <c r="M111" s="1">
        <f>IF(ISNUMBER(Main_S[[#This Row],[EPS]]),IF(Main_S[[#This Row],[EPS]]&lt;&gt;0,Main_S[[#This Row],[Current Price]]/Main_S[[#This Row],[EPS]],""),"")</f>
        <v>-9.9353846153846153</v>
      </c>
      <c r="N1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1" s="1">
        <f>(Main_S[[#This Row],[P/FCF]]-VLOOKUP(Main_S[[#This Row],[Industry]], Mean_PFCF_S, 2, FALSE))/(VLOOKUP(Main_S[[#This Row],[Industry]], Mean_PFCF_S, 3, FALSE))</f>
        <v>-6.720964002654001</v>
      </c>
      <c r="P111" s="1">
        <f>(Main_S[[#This Row],[P/B]]-VLOOKUP(Main_S[[#This Row],[Industry]], Mean_PB_S, 2, FALSE))/(VLOOKUP(Main_S[[#This Row],[Industry]], Mean_PB_S, 3, FALSE))</f>
        <v>1.1608249854582577</v>
      </c>
      <c r="Q111" s="1">
        <f>(Main_S[[#This Row],[ROE]]-VLOOKUP(Main_S[[#This Row],[Industry]], Mean_ROE_S, 2, FALSE))/(VLOOKUP(Main_S[[#This Row],[Industry]], Mean_ROE_S, 3, FALSE))</f>
        <v>0.15750919826190332</v>
      </c>
      <c r="R111" s="1">
        <f>(Main_S[[#This Row],[ROA]]-VLOOKUP(Main_S[[#This Row],[Industry]], Mean_ROA_S, 2, FALSE))/(VLOOKUP(Main_S[[#This Row],[Industry]], Mean_ROA_S, 3, FALSE))</f>
        <v>0.46155305269480884</v>
      </c>
      <c r="S111" s="1">
        <f>(Main_S[[#This Row],[A/E]]-VLOOKUP(Main_S[[#This Row],[Industry]], Mean_AE_S, 2, FALSE))/(VLOOKUP(Main_S[[#This Row],[Industry]], Mean_AE_S, 3, FALSE))</f>
        <v>-0.17913622351316089</v>
      </c>
      <c r="T111" s="1">
        <f>(Main_S[[#This Row],[P/E]]-VLOOKUP(Main_S[[#This Row],[Industry]], Mean_PE_S, 2, FALSE))/(VLOOKUP(Main_S[[#This Row],[Industry]], Mean_PE_S, 3, FALSE))</f>
        <v>-1.7311420951946377</v>
      </c>
      <c r="U1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2" spans="1:26" x14ac:dyDescent="0.25">
      <c r="A112" s="68" t="s">
        <v>152</v>
      </c>
      <c r="B112" s="68" t="s">
        <v>510</v>
      </c>
      <c r="C112" s="2">
        <v>485</v>
      </c>
      <c r="D112">
        <f>RTD("tos.rtd", , "LAST", Main_S[[#This Row],[Symbol]])</f>
        <v>9.98</v>
      </c>
      <c r="E112">
        <v>-1.23</v>
      </c>
      <c r="F112">
        <v>6.76</v>
      </c>
      <c r="G112">
        <v>-1.51</v>
      </c>
      <c r="H112" s="1">
        <f>IF(ISNUMBER(Main_S[[#This Row],[Free CF]]),IF(Main_S[[#This Row],[Free CF]]&lt;&gt;0,Main_S[[#This Row],[Current Price]]/Main_S[[#This Row],[Free CF]],""),"")</f>
        <v>-8.1138211382113834</v>
      </c>
      <c r="I112" s="1">
        <f>IF(ISNUMBER(Main_S[[#This Row],[BVPS]]),IF(Main_S[[#This Row],[BVPS]]&lt;&gt;0,Main_S[[#This Row],[Current Price]]/Main_S[[#This Row],[BVPS]],""),"")</f>
        <v>1.4763313609467457</v>
      </c>
      <c r="J112">
        <v>-31.6</v>
      </c>
      <c r="K112">
        <v>-22.09</v>
      </c>
      <c r="L112">
        <v>1.06</v>
      </c>
      <c r="M112" s="1">
        <f>IF(ISNUMBER(Main_S[[#This Row],[EPS]]),IF(Main_S[[#This Row],[EPS]]&lt;&gt;0,Main_S[[#This Row],[Current Price]]/Main_S[[#This Row],[EPS]],""),"")</f>
        <v>-6.6092715231788084</v>
      </c>
      <c r="N1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2" s="1">
        <f>(Main_S[[#This Row],[P/FCF]]-VLOOKUP(Main_S[[#This Row],[Industry]], Mean_PFCF_S, 2, FALSE))/(VLOOKUP(Main_S[[#This Row],[Industry]], Mean_PFCF_S, 3, FALSE))</f>
        <v>-0.98183140314694839</v>
      </c>
      <c r="P112" s="1">
        <f>(Main_S[[#This Row],[P/B]]-VLOOKUP(Main_S[[#This Row],[Industry]], Mean_PB_S, 2, FALSE))/(VLOOKUP(Main_S[[#This Row],[Industry]], Mean_PB_S, 3, FALSE))</f>
        <v>-0.46509259409067794</v>
      </c>
      <c r="Q112" s="1">
        <f>(Main_S[[#This Row],[ROE]]-VLOOKUP(Main_S[[#This Row],[Industry]], Mean_ROE_S, 2, FALSE))/(VLOOKUP(Main_S[[#This Row],[Industry]], Mean_ROE_S, 3, FALSE))</f>
        <v>0.31860665574465757</v>
      </c>
      <c r="R112" s="1">
        <f>(Main_S[[#This Row],[ROA]]-VLOOKUP(Main_S[[#This Row],[Industry]], Mean_ROA_S, 2, FALSE))/(VLOOKUP(Main_S[[#This Row],[Industry]], Mean_ROA_S, 3, FALSE))</f>
        <v>3.4167417103641268E-2</v>
      </c>
      <c r="S112" s="1">
        <f>(Main_S[[#This Row],[A/E]]-VLOOKUP(Main_S[[#This Row],[Industry]], Mean_AE_S, 2, FALSE))/(VLOOKUP(Main_S[[#This Row],[Industry]], Mean_AE_S, 3, FALSE))</f>
        <v>-0.82850503374836859</v>
      </c>
      <c r="T112" s="1">
        <f>(Main_S[[#This Row],[P/E]]-VLOOKUP(Main_S[[#This Row],[Industry]], Mean_PE_S, 2, FALSE))/(VLOOKUP(Main_S[[#This Row],[Industry]], Mean_PE_S, 3, FALSE))</f>
        <v>-0.72204754210345989</v>
      </c>
      <c r="U1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3" spans="1:26" x14ac:dyDescent="0.25">
      <c r="A113" s="68" t="s">
        <v>152</v>
      </c>
      <c r="B113" s="68" t="s">
        <v>511</v>
      </c>
      <c r="C113" s="2">
        <v>461</v>
      </c>
      <c r="D113">
        <f>RTD("tos.rtd", , "LAST", Main_S[[#This Row],[Symbol]])</f>
        <v>8.65</v>
      </c>
      <c r="E113">
        <v>-4.3600000000000003</v>
      </c>
      <c r="F113">
        <v>8.77</v>
      </c>
      <c r="G113">
        <v>-5.58</v>
      </c>
      <c r="H113" s="1">
        <f>IF(ISNUMBER(Main_S[[#This Row],[Free CF]]),IF(Main_S[[#This Row],[Free CF]]&lt;&gt;0,Main_S[[#This Row],[Current Price]]/Main_S[[#This Row],[Free CF]],""),"")</f>
        <v>-1.9839449541284404</v>
      </c>
      <c r="I113" s="1">
        <f>IF(ISNUMBER(Main_S[[#This Row],[BVPS]]),IF(Main_S[[#This Row],[BVPS]]&lt;&gt;0,Main_S[[#This Row],[Current Price]]/Main_S[[#This Row],[BVPS]],""),"")</f>
        <v>0.9863169897377424</v>
      </c>
      <c r="J113">
        <v>-21.74</v>
      </c>
      <c r="K113">
        <v>-16.23</v>
      </c>
      <c r="L113">
        <v>1.03</v>
      </c>
      <c r="M113" s="1">
        <f>IF(ISNUMBER(Main_S[[#This Row],[EPS]]),IF(Main_S[[#This Row],[EPS]]&lt;&gt;0,Main_S[[#This Row],[Current Price]]/Main_S[[#This Row],[EPS]],""),"")</f>
        <v>-1.5501792114695341</v>
      </c>
      <c r="N1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3" s="1">
        <f>(Main_S[[#This Row],[P/FCF]]-VLOOKUP(Main_S[[#This Row],[Industry]], Mean_PFCF_S, 2, FALSE))/(VLOOKUP(Main_S[[#This Row],[Industry]], Mean_PFCF_S, 3, FALSE))</f>
        <v>0.82371800178251386</v>
      </c>
      <c r="P113" s="1">
        <f>(Main_S[[#This Row],[P/B]]-VLOOKUP(Main_S[[#This Row],[Industry]], Mean_PB_S, 2, FALSE))/(VLOOKUP(Main_S[[#This Row],[Industry]], Mean_PB_S, 3, FALSE))</f>
        <v>-0.73991872335747644</v>
      </c>
      <c r="Q113" s="1">
        <f>(Main_S[[#This Row],[ROE]]-VLOOKUP(Main_S[[#This Row],[Industry]], Mean_ROE_S, 2, FALSE))/(VLOOKUP(Main_S[[#This Row],[Industry]], Mean_ROE_S, 3, FALSE))</f>
        <v>0.55854939453317087</v>
      </c>
      <c r="R113" s="1">
        <f>(Main_S[[#This Row],[ROA]]-VLOOKUP(Main_S[[#This Row],[Industry]], Mean_ROA_S, 2, FALSE))/(VLOOKUP(Main_S[[#This Row],[Industry]], Mean_ROA_S, 3, FALSE))</f>
        <v>0.38941278229005849</v>
      </c>
      <c r="S113" s="1">
        <f>(Main_S[[#This Row],[A/E]]-VLOOKUP(Main_S[[#This Row],[Industry]], Mean_AE_S, 2, FALSE))/(VLOOKUP(Main_S[[#This Row],[Industry]], Mean_AE_S, 3, FALSE))</f>
        <v>-0.89568111756580393</v>
      </c>
      <c r="T113" s="1">
        <f>(Main_S[[#This Row],[P/E]]-VLOOKUP(Main_S[[#This Row],[Industry]], Mean_PE_S, 2, FALSE))/(VLOOKUP(Main_S[[#This Row],[Industry]], Mean_PE_S, 3, FALSE))</f>
        <v>0.81280781422649862</v>
      </c>
      <c r="U1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4" spans="1:26" x14ac:dyDescent="0.25">
      <c r="A114" s="68" t="s">
        <v>152</v>
      </c>
      <c r="B114" s="68" t="s">
        <v>512</v>
      </c>
      <c r="C114" s="2">
        <v>467</v>
      </c>
      <c r="D114">
        <f>RTD("tos.rtd", , "LAST", Main_S[[#This Row],[Symbol]])</f>
        <v>10.14</v>
      </c>
      <c r="E114">
        <v>-2.2599999999999998</v>
      </c>
      <c r="F114">
        <v>-0.21</v>
      </c>
      <c r="G114">
        <v>-2.96</v>
      </c>
      <c r="H114" s="1">
        <f>IF(ISNUMBER(Main_S[[#This Row],[Free CF]]),IF(Main_S[[#This Row],[Free CF]]&lt;&gt;0,Main_S[[#This Row],[Current Price]]/Main_S[[#This Row],[Free CF]],""),"")</f>
        <v>-4.4867256637168147</v>
      </c>
      <c r="I114" s="1">
        <f>IF(ISNUMBER(Main_S[[#This Row],[BVPS]]),IF(Main_S[[#This Row],[BVPS]]&lt;&gt;0,Main_S[[#This Row],[Current Price]]/Main_S[[#This Row],[BVPS]],""),"")</f>
        <v>-48.285714285714292</v>
      </c>
      <c r="J114">
        <v>342.83</v>
      </c>
      <c r="K114">
        <v>-25.78</v>
      </c>
      <c r="L114">
        <v>-32.46</v>
      </c>
      <c r="M114" s="1">
        <f>IF(ISNUMBER(Main_S[[#This Row],[EPS]]),IF(Main_S[[#This Row],[EPS]]&lt;&gt;0,Main_S[[#This Row],[Current Price]]/Main_S[[#This Row],[EPS]],""),"")</f>
        <v>-3.4256756756756759</v>
      </c>
      <c r="N1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4" s="1">
        <f>(Main_S[[#This Row],[P/FCF]]-VLOOKUP(Main_S[[#This Row],[Industry]], Mean_PFCF_S, 2, FALSE))/(VLOOKUP(Main_S[[#This Row],[Industry]], Mean_PFCF_S, 3, FALSE))</f>
        <v>8.6526240454585276E-2</v>
      </c>
      <c r="P114" s="1">
        <f>(Main_S[[#This Row],[P/B]]-VLOOKUP(Main_S[[#This Row],[Industry]], Mean_PB_S, 2, FALSE))/(VLOOKUP(Main_S[[#This Row],[Industry]], Mean_PB_S, 3, FALSE))</f>
        <v>-28.374295248141973</v>
      </c>
      <c r="Q114" s="1">
        <f>(Main_S[[#This Row],[ROE]]-VLOOKUP(Main_S[[#This Row],[Industry]], Mean_ROE_S, 2, FALSE))/(VLOOKUP(Main_S[[#This Row],[Industry]], Mean_ROE_S, 3, FALSE))</f>
        <v>9.4303469888666669</v>
      </c>
      <c r="R114" s="1">
        <f>(Main_S[[#This Row],[ROA]]-VLOOKUP(Main_S[[#This Row],[Industry]], Mean_ROA_S, 2, FALSE))/(VLOOKUP(Main_S[[#This Row],[Industry]], Mean_ROA_S, 3, FALSE))</f>
        <v>-0.18952804322705502</v>
      </c>
      <c r="S114" s="1">
        <f>(Main_S[[#This Row],[A/E]]-VLOOKUP(Main_S[[#This Row],[Industry]], Mean_AE_S, 2, FALSE))/(VLOOKUP(Main_S[[#This Row],[Industry]], Mean_AE_S, 3, FALSE))</f>
        <v>-75.886582685762718</v>
      </c>
      <c r="T114" s="1">
        <f>(Main_S[[#This Row],[P/E]]-VLOOKUP(Main_S[[#This Row],[Industry]], Mean_PE_S, 2, FALSE))/(VLOOKUP(Main_S[[#This Row],[Industry]], Mean_PE_S, 3, FALSE))</f>
        <v>0.24380934246465003</v>
      </c>
      <c r="U1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5" spans="1:26" x14ac:dyDescent="0.25">
      <c r="A115" s="68" t="s">
        <v>152</v>
      </c>
      <c r="B115" s="68" t="s">
        <v>513</v>
      </c>
      <c r="C115" s="2">
        <v>551</v>
      </c>
      <c r="D115">
        <f>RTD("tos.rtd", , "LAST", Main_S[[#This Row],[Symbol]])</f>
        <v>6.38</v>
      </c>
      <c r="E115">
        <v>-0.59</v>
      </c>
      <c r="F115">
        <v>1.1599999999999999</v>
      </c>
      <c r="G115">
        <v>-0.09</v>
      </c>
      <c r="H115" s="1">
        <f>IF(ISNUMBER(Main_S[[#This Row],[Free CF]]),IF(Main_S[[#This Row],[Free CF]]&lt;&gt;0,Main_S[[#This Row],[Current Price]]/Main_S[[#This Row],[Free CF]],""),"")</f>
        <v>-10.813559322033898</v>
      </c>
      <c r="I115" s="1">
        <f>IF(ISNUMBER(Main_S[[#This Row],[BVPS]]),IF(Main_S[[#This Row],[BVPS]]&lt;&gt;0,Main_S[[#This Row],[Current Price]]/Main_S[[#This Row],[BVPS]],""),"")</f>
        <v>5.5</v>
      </c>
      <c r="J115">
        <v>-7.91</v>
      </c>
      <c r="K115">
        <v>-10.029999999999999</v>
      </c>
      <c r="L115">
        <v>2.76</v>
      </c>
      <c r="M115" s="1">
        <f>IF(ISNUMBER(Main_S[[#This Row],[EPS]]),IF(Main_S[[#This Row],[EPS]]&lt;&gt;0,Main_S[[#This Row],[Current Price]]/Main_S[[#This Row],[EPS]],""),"")</f>
        <v>-70.888888888888886</v>
      </c>
      <c r="N1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5" s="1">
        <f>(Main_S[[#This Row],[P/FCF]]-VLOOKUP(Main_S[[#This Row],[Industry]], Mean_PFCF_S, 2, FALSE))/(VLOOKUP(Main_S[[#This Row],[Industry]], Mean_PFCF_S, 3, FALSE))</f>
        <v>-1.7770368077721541</v>
      </c>
      <c r="P115" s="1">
        <f>(Main_S[[#This Row],[P/B]]-VLOOKUP(Main_S[[#This Row],[Industry]], Mean_PB_S, 2, FALSE))/(VLOOKUP(Main_S[[#This Row],[Industry]], Mean_PB_S, 3, FALSE))</f>
        <v>1.7915948471263421</v>
      </c>
      <c r="Q115" s="1">
        <f>(Main_S[[#This Row],[ROE]]-VLOOKUP(Main_S[[#This Row],[Industry]], Mean_ROE_S, 2, FALSE))/(VLOOKUP(Main_S[[#This Row],[Industry]], Mean_ROE_S, 3, FALSE))</f>
        <v>0.89510193788460468</v>
      </c>
      <c r="R115" s="1">
        <f>(Main_S[[#This Row],[ROA]]-VLOOKUP(Main_S[[#This Row],[Industry]], Mean_ROA_S, 2, FALSE))/(VLOOKUP(Main_S[[#This Row],[Industry]], Mean_ROA_S, 3, FALSE))</f>
        <v>0.76526965330640451</v>
      </c>
      <c r="S115" s="1">
        <f>(Main_S[[#This Row],[A/E]]-VLOOKUP(Main_S[[#This Row],[Industry]], Mean_AE_S, 2, FALSE))/(VLOOKUP(Main_S[[#This Row],[Industry]], Mean_AE_S, 3, FALSE))</f>
        <v>2.9781397159062966</v>
      </c>
      <c r="T115" s="1">
        <f>(Main_S[[#This Row],[P/E]]-VLOOKUP(Main_S[[#This Row],[Industry]], Mean_PE_S, 2, FALSE))/(VLOOKUP(Main_S[[#This Row],[Industry]], Mean_PE_S, 3, FALSE))</f>
        <v>-20.223552740625312</v>
      </c>
      <c r="U1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16" spans="1:26" x14ac:dyDescent="0.25">
      <c r="A116" s="68" t="s">
        <v>152</v>
      </c>
      <c r="B116" s="68" t="s">
        <v>514</v>
      </c>
      <c r="C116" s="2">
        <v>1443</v>
      </c>
      <c r="D116">
        <f>RTD("tos.rtd", , "LAST", Main_S[[#This Row],[Symbol]])</f>
        <v>21.58</v>
      </c>
      <c r="E116">
        <v>-2.4500000000000002</v>
      </c>
      <c r="F116">
        <v>9.08</v>
      </c>
      <c r="G116">
        <v>-2.75</v>
      </c>
      <c r="H116" s="1">
        <f>IF(ISNUMBER(Main_S[[#This Row],[Free CF]]),IF(Main_S[[#This Row],[Free CF]]&lt;&gt;0,Main_S[[#This Row],[Current Price]]/Main_S[[#This Row],[Free CF]],""),"")</f>
        <v>-8.8081632653061206</v>
      </c>
      <c r="I116" s="1">
        <f>IF(ISNUMBER(Main_S[[#This Row],[BVPS]]),IF(Main_S[[#This Row],[BVPS]]&lt;&gt;0,Main_S[[#This Row],[Current Price]]/Main_S[[#This Row],[BVPS]],""),"")</f>
        <v>2.3766519823788546</v>
      </c>
      <c r="J116">
        <v>-44.83</v>
      </c>
      <c r="K116">
        <v>-25.14</v>
      </c>
      <c r="L116">
        <v>1.1399999999999999</v>
      </c>
      <c r="M116" s="1">
        <f>IF(ISNUMBER(Main_S[[#This Row],[EPS]]),IF(Main_S[[#This Row],[EPS]]&lt;&gt;0,Main_S[[#This Row],[Current Price]]/Main_S[[#This Row],[EPS]],""),"")</f>
        <v>-7.8472727272727267</v>
      </c>
      <c r="N1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6" s="1">
        <f>(Main_S[[#This Row],[P/FCF]]-VLOOKUP(Main_S[[#This Row],[Industry]], Mean_PFCF_S, 2, FALSE))/(VLOOKUP(Main_S[[#This Row],[Industry]], Mean_PFCF_S, 3, FALSE))</f>
        <v>-1.1863492395183717</v>
      </c>
      <c r="P116" s="1">
        <f>(Main_S[[#This Row],[P/B]]-VLOOKUP(Main_S[[#This Row],[Industry]], Mean_PB_S, 2, FALSE))/(VLOOKUP(Main_S[[#This Row],[Industry]], Mean_PB_S, 3, FALSE))</f>
        <v>3.9855109538465876E-2</v>
      </c>
      <c r="Q116" s="1">
        <f>(Main_S[[#This Row],[ROE]]-VLOOKUP(Main_S[[#This Row],[Industry]], Mean_ROE_S, 2, FALSE))/(VLOOKUP(Main_S[[#This Row],[Industry]], Mean_ROE_S, 3, FALSE))</f>
        <v>-3.3449095871912402E-3</v>
      </c>
      <c r="R116" s="1">
        <f>(Main_S[[#This Row],[ROA]]-VLOOKUP(Main_S[[#This Row],[Industry]], Mean_ROA_S, 2, FALSE))/(VLOOKUP(Main_S[[#This Row],[Industry]], Mean_ROA_S, 3, FALSE))</f>
        <v>-0.15072991460601282</v>
      </c>
      <c r="S116" s="1">
        <f>(Main_S[[#This Row],[A/E]]-VLOOKUP(Main_S[[#This Row],[Industry]], Mean_AE_S, 2, FALSE))/(VLOOKUP(Main_S[[#This Row],[Industry]], Mean_AE_S, 3, FALSE))</f>
        <v>-0.6493688102352082</v>
      </c>
      <c r="T116" s="1">
        <f>(Main_S[[#This Row],[P/E]]-VLOOKUP(Main_S[[#This Row],[Industry]], Mean_PE_S, 2, FALSE))/(VLOOKUP(Main_S[[#This Row],[Industry]], Mean_PE_S, 3, FALSE))</f>
        <v>-1.0976391822972122</v>
      </c>
      <c r="U1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7" spans="1:26" x14ac:dyDescent="0.25">
      <c r="A117" s="68" t="s">
        <v>152</v>
      </c>
      <c r="B117" s="68" t="s">
        <v>515</v>
      </c>
      <c r="C117" s="2">
        <v>376</v>
      </c>
      <c r="D117">
        <f>RTD("tos.rtd", , "LAST", Main_S[[#This Row],[Symbol]])</f>
        <v>4.16</v>
      </c>
      <c r="E117">
        <v>-1.91</v>
      </c>
      <c r="F117">
        <v>5.56</v>
      </c>
      <c r="G117">
        <v>-2.35</v>
      </c>
      <c r="H117" s="1">
        <f>IF(ISNUMBER(Main_S[[#This Row],[Free CF]]),IF(Main_S[[#This Row],[Free CF]]&lt;&gt;0,Main_S[[#This Row],[Current Price]]/Main_S[[#This Row],[Free CF]],""),"")</f>
        <v>-2.1780104712041886</v>
      </c>
      <c r="I117" s="1">
        <f>IF(ISNUMBER(Main_S[[#This Row],[BVPS]]),IF(Main_S[[#This Row],[BVPS]]&lt;&gt;0,Main_S[[#This Row],[Current Price]]/Main_S[[#This Row],[BVPS]],""),"")</f>
        <v>0.74820143884892099</v>
      </c>
      <c r="J117">
        <v>-36.36</v>
      </c>
      <c r="K117">
        <v>-20.420000000000002</v>
      </c>
      <c r="L117">
        <v>1.31</v>
      </c>
      <c r="M117" s="1">
        <f>IF(ISNUMBER(Main_S[[#This Row],[EPS]]),IF(Main_S[[#This Row],[EPS]]&lt;&gt;0,Main_S[[#This Row],[Current Price]]/Main_S[[#This Row],[EPS]],""),"")</f>
        <v>-1.7702127659574467</v>
      </c>
      <c r="N1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7" s="1">
        <f>(Main_S[[#This Row],[P/FCF]]-VLOOKUP(Main_S[[#This Row],[Industry]], Mean_PFCF_S, 2, FALSE))/(VLOOKUP(Main_S[[#This Row],[Industry]], Mean_PFCF_S, 3, FALSE))</f>
        <v>0.76655618181243135</v>
      </c>
      <c r="P117" s="1">
        <f>(Main_S[[#This Row],[P/B]]-VLOOKUP(Main_S[[#This Row],[Industry]], Mean_PB_S, 2, FALSE))/(VLOOKUP(Main_S[[#This Row],[Industry]], Mean_PB_S, 3, FALSE))</f>
        <v>-0.8734665925914874</v>
      </c>
      <c r="Q117" s="1">
        <f>(Main_S[[#This Row],[ROE]]-VLOOKUP(Main_S[[#This Row],[Industry]], Mean_ROE_S, 2, FALSE))/(VLOOKUP(Main_S[[#This Row],[Industry]], Mean_ROE_S, 3, FALSE))</f>
        <v>0.20277223012261678</v>
      </c>
      <c r="R117" s="1">
        <f>(Main_S[[#This Row],[ROA]]-VLOOKUP(Main_S[[#This Row],[Industry]], Mean_ROA_S, 2, FALSE))/(VLOOKUP(Main_S[[#This Row],[Industry]], Mean_ROA_S, 3, FALSE))</f>
        <v>0.13540628397417304</v>
      </c>
      <c r="S117" s="1">
        <f>(Main_S[[#This Row],[A/E]]-VLOOKUP(Main_S[[#This Row],[Industry]], Mean_AE_S, 2, FALSE))/(VLOOKUP(Main_S[[#This Row],[Industry]], Mean_AE_S, 3, FALSE))</f>
        <v>-0.26870433526974136</v>
      </c>
      <c r="T117" s="1">
        <f>(Main_S[[#This Row],[P/E]]-VLOOKUP(Main_S[[#This Row],[Industry]], Mean_PE_S, 2, FALSE))/(VLOOKUP(Main_S[[#This Row],[Industry]], Mean_PE_S, 3, FALSE))</f>
        <v>0.74605281968005799</v>
      </c>
      <c r="U1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8" spans="1:26" x14ac:dyDescent="0.25">
      <c r="A118" s="68" t="s">
        <v>152</v>
      </c>
      <c r="B118" s="68" t="s">
        <v>516</v>
      </c>
      <c r="C118" s="2">
        <v>775</v>
      </c>
      <c r="D118">
        <f>RTD("tos.rtd", , "LAST", Main_S[[#This Row],[Symbol]])</f>
        <v>4.7</v>
      </c>
      <c r="E118">
        <v>-3.33</v>
      </c>
      <c r="F118">
        <v>8.4</v>
      </c>
      <c r="G118">
        <v>-3.83</v>
      </c>
      <c r="H118" s="1">
        <f>IF(ISNUMBER(Main_S[[#This Row],[Free CF]]),IF(Main_S[[#This Row],[Free CF]]&lt;&gt;0,Main_S[[#This Row],[Current Price]]/Main_S[[#This Row],[Free CF]],""),"")</f>
        <v>-1.4114114114114114</v>
      </c>
      <c r="I118" s="1">
        <f>IF(ISNUMBER(Main_S[[#This Row],[BVPS]]),IF(Main_S[[#This Row],[BVPS]]&lt;&gt;0,Main_S[[#This Row],[Current Price]]/Main_S[[#This Row],[BVPS]],""),"")</f>
        <v>0.55952380952380953</v>
      </c>
      <c r="J118">
        <v>-38.090000000000003</v>
      </c>
      <c r="K118">
        <v>-19.72</v>
      </c>
      <c r="L118">
        <v>1.22</v>
      </c>
      <c r="M118" s="1">
        <f>IF(ISNUMBER(Main_S[[#This Row],[EPS]]),IF(Main_S[[#This Row],[EPS]]&lt;&gt;0,Main_S[[#This Row],[Current Price]]/Main_S[[#This Row],[EPS]],""),"")</f>
        <v>-1.2271540469973889</v>
      </c>
      <c r="N1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8" s="1">
        <f>(Main_S[[#This Row],[P/FCF]]-VLOOKUP(Main_S[[#This Row],[Industry]], Mean_PFCF_S, 2, FALSE))/(VLOOKUP(Main_S[[#This Row],[Industry]], Mean_PFCF_S, 3, FALSE))</f>
        <v>0.99235723140335497</v>
      </c>
      <c r="P118" s="1">
        <f>(Main_S[[#This Row],[P/B]]-VLOOKUP(Main_S[[#This Row],[Industry]], Mean_PB_S, 2, FALSE))/(VLOOKUP(Main_S[[#This Row],[Industry]], Mean_PB_S, 3, FALSE))</f>
        <v>-0.97928704520131382</v>
      </c>
      <c r="Q118" s="1">
        <f>(Main_S[[#This Row],[ROE]]-VLOOKUP(Main_S[[#This Row],[Industry]], Mean_ROE_S, 2, FALSE))/(VLOOKUP(Main_S[[#This Row],[Industry]], Mean_ROE_S, 3, FALSE))</f>
        <v>0.16067274349947996</v>
      </c>
      <c r="R118" s="1">
        <f>(Main_S[[#This Row],[ROA]]-VLOOKUP(Main_S[[#This Row],[Industry]], Mean_ROA_S, 2, FALSE))/(VLOOKUP(Main_S[[#This Row],[Industry]], Mean_ROA_S, 3, FALSE))</f>
        <v>0.17784173715343807</v>
      </c>
      <c r="S118" s="1">
        <f>(Main_S[[#This Row],[A/E]]-VLOOKUP(Main_S[[#This Row],[Industry]], Mean_AE_S, 2, FALSE))/(VLOOKUP(Main_S[[#This Row],[Industry]], Mean_AE_S, 3, FALSE))</f>
        <v>-0.47023258672204732</v>
      </c>
      <c r="T118" s="1">
        <f>(Main_S[[#This Row],[P/E]]-VLOOKUP(Main_S[[#This Row],[Industry]], Mean_PE_S, 2, FALSE))/(VLOOKUP(Main_S[[#This Row],[Industry]], Mean_PE_S, 3, FALSE))</f>
        <v>0.91080897201757427</v>
      </c>
      <c r="U1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19" spans="1:26" x14ac:dyDescent="0.25">
      <c r="A119" s="68" t="s">
        <v>152</v>
      </c>
      <c r="B119" s="68" t="s">
        <v>517</v>
      </c>
      <c r="C119" s="2">
        <v>255</v>
      </c>
      <c r="D119">
        <f>RTD("tos.rtd", , "LAST", Main_S[[#This Row],[Symbol]])</f>
        <v>3.98</v>
      </c>
      <c r="E119">
        <v>-0.35</v>
      </c>
      <c r="F119">
        <v>9.24</v>
      </c>
      <c r="G119">
        <v>-0.33</v>
      </c>
      <c r="H119" s="1">
        <f>IF(ISNUMBER(Main_S[[#This Row],[Free CF]]),IF(Main_S[[#This Row],[Free CF]]&lt;&gt;0,Main_S[[#This Row],[Current Price]]/Main_S[[#This Row],[Free CF]],""),"")</f>
        <v>-11.371428571428572</v>
      </c>
      <c r="I119" s="1">
        <f>IF(ISNUMBER(Main_S[[#This Row],[BVPS]]),IF(Main_S[[#This Row],[BVPS]]&lt;&gt;0,Main_S[[#This Row],[Current Price]]/Main_S[[#This Row],[BVPS]],""),"")</f>
        <v>0.43073593073593075</v>
      </c>
      <c r="J119">
        <v>-3.49</v>
      </c>
      <c r="K119">
        <v>-3.9</v>
      </c>
      <c r="L119">
        <v>1.22</v>
      </c>
      <c r="M119" s="1">
        <f>IF(ISNUMBER(Main_S[[#This Row],[EPS]]),IF(Main_S[[#This Row],[EPS]]&lt;&gt;0,Main_S[[#This Row],[Current Price]]/Main_S[[#This Row],[EPS]],""),"")</f>
        <v>-12.060606060606061</v>
      </c>
      <c r="N1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19" s="1">
        <f>(Main_S[[#This Row],[P/FCF]]-VLOOKUP(Main_S[[#This Row],[Industry]], Mean_PFCF_S, 2, FALSE))/(VLOOKUP(Main_S[[#This Row],[Industry]], Mean_PFCF_S, 3, FALSE))</f>
        <v>-1.9413566832516111</v>
      </c>
      <c r="P119" s="1">
        <f>(Main_S[[#This Row],[P/B]]-VLOOKUP(Main_S[[#This Row],[Industry]], Mean_PB_S, 2, FALSE))/(VLOOKUP(Main_S[[#This Row],[Industry]], Mean_PB_S, 3, FALSE))</f>
        <v>-1.0515181394372373</v>
      </c>
      <c r="Q119" s="1">
        <f>(Main_S[[#This Row],[ROE]]-VLOOKUP(Main_S[[#This Row],[Industry]], Mean_ROE_S, 2, FALSE))/(VLOOKUP(Main_S[[#This Row],[Industry]], Mean_ROE_S, 3, FALSE))</f>
        <v>1.002662475962214</v>
      </c>
      <c r="R119" s="1">
        <f>(Main_S[[#This Row],[ROA]]-VLOOKUP(Main_S[[#This Row],[Industry]], Mean_ROA_S, 2, FALSE))/(VLOOKUP(Main_S[[#This Row],[Industry]], Mean_ROA_S, 3, FALSE))</f>
        <v>1.136882979004824</v>
      </c>
      <c r="S119" s="1">
        <f>(Main_S[[#This Row],[A/E]]-VLOOKUP(Main_S[[#This Row],[Industry]], Mean_AE_S, 2, FALSE))/(VLOOKUP(Main_S[[#This Row],[Industry]], Mean_AE_S, 3, FALSE))</f>
        <v>-0.47023258672204732</v>
      </c>
      <c r="T119" s="1">
        <f>(Main_S[[#This Row],[P/E]]-VLOOKUP(Main_S[[#This Row],[Industry]], Mean_PE_S, 2, FALSE))/(VLOOKUP(Main_S[[#This Row],[Industry]], Mean_PE_S, 3, FALSE))</f>
        <v>-2.3759035104065607</v>
      </c>
      <c r="U1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0" spans="1:26" x14ac:dyDescent="0.25">
      <c r="A120" s="68" t="s">
        <v>152</v>
      </c>
      <c r="B120" s="68" t="s">
        <v>518</v>
      </c>
      <c r="C120" s="2">
        <v>1003</v>
      </c>
      <c r="D120">
        <f>RTD("tos.rtd", , "LAST", Main_S[[#This Row],[Symbol]])</f>
        <v>12.81</v>
      </c>
      <c r="E120">
        <v>-3.43</v>
      </c>
      <c r="F120">
        <v>5.96</v>
      </c>
      <c r="G120">
        <v>-3.07</v>
      </c>
      <c r="H120" s="1">
        <f>IF(ISNUMBER(Main_S[[#This Row],[Free CF]]),IF(Main_S[[#This Row],[Free CF]]&lt;&gt;0,Main_S[[#This Row],[Current Price]]/Main_S[[#This Row],[Free CF]],""),"")</f>
        <v>-3.7346938775510203</v>
      </c>
      <c r="I120" s="1">
        <f>IF(ISNUMBER(Main_S[[#This Row],[BVPS]]),IF(Main_S[[#This Row],[BVPS]]&lt;&gt;0,Main_S[[#This Row],[Current Price]]/Main_S[[#This Row],[BVPS]],""),"")</f>
        <v>2.1493288590604029</v>
      </c>
      <c r="J120">
        <v>-48.48</v>
      </c>
      <c r="K120">
        <v>-30.32</v>
      </c>
      <c r="L120">
        <v>1.54</v>
      </c>
      <c r="M120" s="1">
        <f>IF(ISNUMBER(Main_S[[#This Row],[EPS]]),IF(Main_S[[#This Row],[EPS]]&lt;&gt;0,Main_S[[#This Row],[Current Price]]/Main_S[[#This Row],[EPS]],""),"")</f>
        <v>-4.1726384364820852</v>
      </c>
      <c r="N1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0" s="1">
        <f>(Main_S[[#This Row],[P/FCF]]-VLOOKUP(Main_S[[#This Row],[Industry]], Mean_PFCF_S, 2, FALSE))/(VLOOKUP(Main_S[[#This Row],[Industry]], Mean_PFCF_S, 3, FALSE))</f>
        <v>0.30803651296636653</v>
      </c>
      <c r="P120" s="1">
        <f>(Main_S[[#This Row],[P/B]]-VLOOKUP(Main_S[[#This Row],[Industry]], Mean_PB_S, 2, FALSE))/(VLOOKUP(Main_S[[#This Row],[Industry]], Mean_PB_S, 3, FALSE))</f>
        <v>-8.7639792132085934E-2</v>
      </c>
      <c r="Q120" s="1">
        <f>(Main_S[[#This Row],[ROE]]-VLOOKUP(Main_S[[#This Row],[Industry]], Mean_ROE_S, 2, FALSE))/(VLOOKUP(Main_S[[#This Row],[Industry]], Mean_ROE_S, 3, FALSE))</f>
        <v>-9.2167525872999867E-2</v>
      </c>
      <c r="R120" s="1">
        <f>(Main_S[[#This Row],[ROA]]-VLOOKUP(Main_S[[#This Row],[Industry]], Mean_ROA_S, 2, FALSE))/(VLOOKUP(Main_S[[#This Row],[Industry]], Mean_ROA_S, 3, FALSE))</f>
        <v>-0.46475226813257275</v>
      </c>
      <c r="S120" s="1">
        <f>(Main_S[[#This Row],[A/E]]-VLOOKUP(Main_S[[#This Row],[Industry]], Mean_AE_S, 2, FALSE))/(VLOOKUP(Main_S[[#This Row],[Industry]], Mean_AE_S, 3, FALSE))</f>
        <v>0.24631230733059573</v>
      </c>
      <c r="T120" s="1">
        <f>(Main_S[[#This Row],[P/E]]-VLOOKUP(Main_S[[#This Row],[Industry]], Mean_PE_S, 2, FALSE))/(VLOOKUP(Main_S[[#This Row],[Industry]], Mean_PE_S, 3, FALSE))</f>
        <v>1.7191656175510307E-2</v>
      </c>
      <c r="U1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1" spans="1:26" x14ac:dyDescent="0.25">
      <c r="A121" s="68" t="s">
        <v>152</v>
      </c>
      <c r="B121" s="68" t="s">
        <v>519</v>
      </c>
      <c r="C121" s="2">
        <v>344</v>
      </c>
      <c r="D121">
        <f>RTD("tos.rtd", , "LAST", Main_S[[#This Row],[Symbol]])</f>
        <v>7.46</v>
      </c>
      <c r="E121">
        <v>-2.93</v>
      </c>
      <c r="F121">
        <v>-0.65</v>
      </c>
      <c r="G121">
        <v>-3.66</v>
      </c>
      <c r="H121" s="1">
        <f>IF(ISNUMBER(Main_S[[#This Row],[Free CF]]),IF(Main_S[[#This Row],[Free CF]]&lt;&gt;0,Main_S[[#This Row],[Current Price]]/Main_S[[#This Row],[Free CF]],""),"")</f>
        <v>-2.5460750853242318</v>
      </c>
      <c r="I121" s="1">
        <f>IF(ISNUMBER(Main_S[[#This Row],[BVPS]]),IF(Main_S[[#This Row],[BVPS]]&lt;&gt;0,Main_S[[#This Row],[Current Price]]/Main_S[[#This Row],[BVPS]],""),"")</f>
        <v>-11.476923076923077</v>
      </c>
      <c r="J121">
        <v>-526.34</v>
      </c>
      <c r="K121">
        <v>-57.19</v>
      </c>
      <c r="L121">
        <v>-3.51</v>
      </c>
      <c r="M121" s="1">
        <f>IF(ISNUMBER(Main_S[[#This Row],[EPS]]),IF(Main_S[[#This Row],[EPS]]&lt;&gt;0,Main_S[[#This Row],[Current Price]]/Main_S[[#This Row],[EPS]],""),"")</f>
        <v>-2.0382513661202184</v>
      </c>
      <c r="N1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1" s="1">
        <f>(Main_S[[#This Row],[P/FCF]]-VLOOKUP(Main_S[[#This Row],[Industry]], Mean_PFCF_S, 2, FALSE))/(VLOOKUP(Main_S[[#This Row],[Industry]], Mean_PFCF_S, 3, FALSE))</f>
        <v>0.65814308747854355</v>
      </c>
      <c r="P121" s="1">
        <f>(Main_S[[#This Row],[P/B]]-VLOOKUP(Main_S[[#This Row],[Industry]], Mean_PB_S, 2, FALSE))/(VLOOKUP(Main_S[[#This Row],[Industry]], Mean_PB_S, 3, FALSE))</f>
        <v>-7.7299668258085878</v>
      </c>
      <c r="Q121" s="1">
        <f>(Main_S[[#This Row],[ROE]]-VLOOKUP(Main_S[[#This Row],[Industry]], Mean_ROE_S, 2, FALSE))/(VLOOKUP(Main_S[[#This Row],[Industry]], Mean_ROE_S, 3, FALSE))</f>
        <v>-11.720873119937803</v>
      </c>
      <c r="R121" s="1">
        <f>(Main_S[[#This Row],[ROA]]-VLOOKUP(Main_S[[#This Row],[Industry]], Mean_ROA_S, 2, FALSE))/(VLOOKUP(Main_S[[#This Row],[Industry]], Mean_ROA_S, 3, FALSE))</f>
        <v>-2.0936674494566394</v>
      </c>
      <c r="S121" s="1">
        <f>(Main_S[[#This Row],[A/E]]-VLOOKUP(Main_S[[#This Row],[Industry]], Mean_AE_S, 2, FALSE))/(VLOOKUP(Main_S[[#This Row],[Industry]], Mean_AE_S, 3, FALSE))</f>
        <v>-11.061661801937674</v>
      </c>
      <c r="T121" s="1">
        <f>(Main_S[[#This Row],[P/E]]-VLOOKUP(Main_S[[#This Row],[Industry]], Mean_PE_S, 2, FALSE))/(VLOOKUP(Main_S[[#This Row],[Industry]], Mean_PE_S, 3, FALSE))</f>
        <v>0.66473378934514449</v>
      </c>
      <c r="U1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2" spans="1:26" x14ac:dyDescent="0.25">
      <c r="A122" s="68" t="s">
        <v>152</v>
      </c>
      <c r="B122" s="68" t="s">
        <v>520</v>
      </c>
      <c r="C122" s="2">
        <v>568</v>
      </c>
      <c r="D122">
        <f>RTD("tos.rtd", , "LAST", Main_S[[#This Row],[Symbol]])</f>
        <v>8.11</v>
      </c>
      <c r="E122">
        <v>-3.25</v>
      </c>
      <c r="F122">
        <v>9.64</v>
      </c>
      <c r="G122">
        <v>-3.58</v>
      </c>
      <c r="H122" s="1">
        <f>IF(ISNUMBER(Main_S[[#This Row],[Free CF]]),IF(Main_S[[#This Row],[Free CF]]&lt;&gt;0,Main_S[[#This Row],[Current Price]]/Main_S[[#This Row],[Free CF]],""),"")</f>
        <v>-2.4953846153846153</v>
      </c>
      <c r="I122" s="1">
        <f>IF(ISNUMBER(Main_S[[#This Row],[BVPS]]),IF(Main_S[[#This Row],[BVPS]]&lt;&gt;0,Main_S[[#This Row],[Current Price]]/Main_S[[#This Row],[BVPS]],""),"")</f>
        <v>0.84128630705394181</v>
      </c>
      <c r="J122">
        <v>-35.409999999999997</v>
      </c>
      <c r="K122">
        <v>-11.48</v>
      </c>
      <c r="L122">
        <v>1.4</v>
      </c>
      <c r="M122" s="1">
        <f>IF(ISNUMBER(Main_S[[#This Row],[EPS]]),IF(Main_S[[#This Row],[EPS]]&lt;&gt;0,Main_S[[#This Row],[Current Price]]/Main_S[[#This Row],[EPS]],""),"")</f>
        <v>-2.2653631284916198</v>
      </c>
      <c r="N1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2" s="1">
        <f>(Main_S[[#This Row],[P/FCF]]-VLOOKUP(Main_S[[#This Row],[Industry]], Mean_PFCF_S, 2, FALSE))/(VLOOKUP(Main_S[[#This Row],[Industry]], Mean_PFCF_S, 3, FALSE))</f>
        <v>0.67307391888305446</v>
      </c>
      <c r="P122" s="1">
        <f>(Main_S[[#This Row],[P/B]]-VLOOKUP(Main_S[[#This Row],[Industry]], Mean_PB_S, 2, FALSE))/(VLOOKUP(Main_S[[#This Row],[Industry]], Mean_PB_S, 3, FALSE))</f>
        <v>-0.82125964617279867</v>
      </c>
      <c r="Q122" s="1">
        <f>(Main_S[[#This Row],[ROE]]-VLOOKUP(Main_S[[#This Row],[Industry]], Mean_ROE_S, 2, FALSE))/(VLOOKUP(Main_S[[#This Row],[Industry]], Mean_ROE_S, 3, FALSE))</f>
        <v>0.22589044532029307</v>
      </c>
      <c r="R122" s="1">
        <f>(Main_S[[#This Row],[ROA]]-VLOOKUP(Main_S[[#This Row],[Industry]], Mean_ROA_S, 2, FALSE))/(VLOOKUP(Main_S[[#This Row],[Industry]], Mean_ROA_S, 3, FALSE))</f>
        <v>0.67736764314935582</v>
      </c>
      <c r="S122" s="1">
        <f>(Main_S[[#This Row],[A/E]]-VLOOKUP(Main_S[[#This Row],[Industry]], Mean_AE_S, 2, FALSE))/(VLOOKUP(Main_S[[#This Row],[Industry]], Mean_AE_S, 3, FALSE))</f>
        <v>-6.7176083817435839E-2</v>
      </c>
      <c r="T122" s="1">
        <f>(Main_S[[#This Row],[P/E]]-VLOOKUP(Main_S[[#This Row],[Industry]], Mean_PE_S, 2, FALSE))/(VLOOKUP(Main_S[[#This Row],[Industry]], Mean_PE_S, 3, FALSE))</f>
        <v>0.59583136901284794</v>
      </c>
      <c r="U1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3" spans="1:26" x14ac:dyDescent="0.25">
      <c r="A123" s="68" t="s">
        <v>152</v>
      </c>
      <c r="B123" s="68" t="s">
        <v>521</v>
      </c>
      <c r="C123" s="2">
        <v>293</v>
      </c>
      <c r="D123">
        <f>RTD("tos.rtd", , "LAST", Main_S[[#This Row],[Symbol]])</f>
        <v>27.49</v>
      </c>
      <c r="E123">
        <v>-1.64</v>
      </c>
      <c r="F123">
        <v>6.85</v>
      </c>
      <c r="G123">
        <v>-1.65</v>
      </c>
      <c r="H123" s="1">
        <f>IF(ISNUMBER(Main_S[[#This Row],[Free CF]]),IF(Main_S[[#This Row],[Free CF]]&lt;&gt;0,Main_S[[#This Row],[Current Price]]/Main_S[[#This Row],[Free CF]],""),"")</f>
        <v>-16.762195121951219</v>
      </c>
      <c r="I123" s="1">
        <f>IF(ISNUMBER(Main_S[[#This Row],[BVPS]]),IF(Main_S[[#This Row],[BVPS]]&lt;&gt;0,Main_S[[#This Row],[Current Price]]/Main_S[[#This Row],[BVPS]],""),"")</f>
        <v>4.0131386861313869</v>
      </c>
      <c r="J123">
        <v>-16.2</v>
      </c>
      <c r="K123">
        <v>-9.98</v>
      </c>
      <c r="L123">
        <v>2.7</v>
      </c>
      <c r="M123" s="1">
        <f>IF(ISNUMBER(Main_S[[#This Row],[EPS]]),IF(Main_S[[#This Row],[EPS]]&lt;&gt;0,Main_S[[#This Row],[Current Price]]/Main_S[[#This Row],[EPS]],""),"")</f>
        <v>-16.66060606060606</v>
      </c>
      <c r="N1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3" s="1">
        <f>(Main_S[[#This Row],[P/FCF]]-VLOOKUP(Main_S[[#This Row],[Industry]], Mean_PFCF_S, 2, FALSE))/(VLOOKUP(Main_S[[#This Row],[Industry]], Mean_PFCF_S, 3, FALSE))</f>
        <v>-3.5292020238612047</v>
      </c>
      <c r="P123" s="1">
        <f>(Main_S[[#This Row],[P/B]]-VLOOKUP(Main_S[[#This Row],[Industry]], Mean_PB_S, 2, FALSE))/(VLOOKUP(Main_S[[#This Row],[Industry]], Mean_PB_S, 3, FALSE))</f>
        <v>0.95768391786347951</v>
      </c>
      <c r="Q123" s="1">
        <f>(Main_S[[#This Row],[ROE]]-VLOOKUP(Main_S[[#This Row],[Industry]], Mean_ROE_S, 2, FALSE))/(VLOOKUP(Main_S[[#This Row],[Industry]], Mean_ROE_S, 3, FALSE))</f>
        <v>0.69336509158067228</v>
      </c>
      <c r="R123" s="1">
        <f>(Main_S[[#This Row],[ROA]]-VLOOKUP(Main_S[[#This Row],[Industry]], Mean_ROA_S, 2, FALSE))/(VLOOKUP(Main_S[[#This Row],[Industry]], Mean_ROA_S, 3, FALSE))</f>
        <v>0.76830075710492329</v>
      </c>
      <c r="S123" s="1">
        <f>(Main_S[[#This Row],[A/E]]-VLOOKUP(Main_S[[#This Row],[Industry]], Mean_AE_S, 2, FALSE))/(VLOOKUP(Main_S[[#This Row],[Industry]], Mean_AE_S, 3, FALSE))</f>
        <v>2.8437875482714268</v>
      </c>
      <c r="T123" s="1">
        <f>(Main_S[[#This Row],[P/E]]-VLOOKUP(Main_S[[#This Row],[Industry]], Mean_PE_S, 2, FALSE))/(VLOOKUP(Main_S[[#This Row],[Industry]], Mean_PE_S, 3, FALSE))</f>
        <v>-3.7714769066018934</v>
      </c>
      <c r="U1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4" spans="1:26" x14ac:dyDescent="0.25">
      <c r="A124" s="68" t="s">
        <v>152</v>
      </c>
      <c r="B124" s="68" t="s">
        <v>522</v>
      </c>
      <c r="C124" s="2">
        <v>365</v>
      </c>
      <c r="D124">
        <f>RTD("tos.rtd", , "LAST", Main_S[[#This Row],[Symbol]])</f>
        <v>9.09</v>
      </c>
      <c r="E124">
        <v>-9.08</v>
      </c>
      <c r="F124">
        <v>7.48</v>
      </c>
      <c r="G124">
        <v>-11.89</v>
      </c>
      <c r="H124" s="1">
        <f>IF(ISNUMBER(Main_S[[#This Row],[Free CF]]),IF(Main_S[[#This Row],[Free CF]]&lt;&gt;0,Main_S[[#This Row],[Current Price]]/Main_S[[#This Row],[Free CF]],""),"")</f>
        <v>-1.001101321585903</v>
      </c>
      <c r="I124" s="1">
        <f>IF(ISNUMBER(Main_S[[#This Row],[BVPS]]),IF(Main_S[[#This Row],[BVPS]]&lt;&gt;0,Main_S[[#This Row],[Current Price]]/Main_S[[#This Row],[BVPS]],""),"")</f>
        <v>1.2152406417112298</v>
      </c>
      <c r="J124">
        <v>-93.22</v>
      </c>
      <c r="K124">
        <v>-46.76</v>
      </c>
      <c r="L124">
        <v>1.18</v>
      </c>
      <c r="M124" s="1">
        <f>IF(ISNUMBER(Main_S[[#This Row],[EPS]]),IF(Main_S[[#This Row],[EPS]]&lt;&gt;0,Main_S[[#This Row],[Current Price]]/Main_S[[#This Row],[EPS]],""),"")</f>
        <v>-0.76450798990748525</v>
      </c>
      <c r="N1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4" s="1">
        <f>(Main_S[[#This Row],[P/FCF]]-VLOOKUP(Main_S[[#This Row],[Industry]], Mean_PFCF_S, 2, FALSE))/(VLOOKUP(Main_S[[#This Row],[Industry]], Mean_PFCF_S, 3, FALSE))</f>
        <v>1.1132136918396489</v>
      </c>
      <c r="P124" s="1">
        <f>(Main_S[[#This Row],[P/B]]-VLOOKUP(Main_S[[#This Row],[Industry]], Mean_PB_S, 2, FALSE))/(VLOOKUP(Main_S[[#This Row],[Industry]], Mean_PB_S, 3, FALSE))</f>
        <v>-0.61152616006537086</v>
      </c>
      <c r="Q124" s="1">
        <f>(Main_S[[#This Row],[ROE]]-VLOOKUP(Main_S[[#This Row],[Industry]], Mean_ROE_S, 2, FALSE))/(VLOOKUP(Main_S[[#This Row],[Industry]], Mean_ROE_S, 3, FALSE))</f>
        <v>-1.1809137868667203</v>
      </c>
      <c r="R124" s="1">
        <f>(Main_S[[#This Row],[ROA]]-VLOOKUP(Main_S[[#This Row],[Industry]], Mean_ROA_S, 2, FALSE))/(VLOOKUP(Main_S[[#This Row],[Industry]], Mean_ROA_S, 3, FALSE))</f>
        <v>-1.4613791970855932</v>
      </c>
      <c r="S124" s="1">
        <f>(Main_S[[#This Row],[A/E]]-VLOOKUP(Main_S[[#This Row],[Industry]], Mean_AE_S, 2, FALSE))/(VLOOKUP(Main_S[[#This Row],[Industry]], Mean_AE_S, 3, FALSE))</f>
        <v>-0.55980069847862779</v>
      </c>
      <c r="T124" s="1">
        <f>(Main_S[[#This Row],[P/E]]-VLOOKUP(Main_S[[#This Row],[Industry]], Mean_PE_S, 2, FALSE))/(VLOOKUP(Main_S[[#This Row],[Industry]], Mean_PE_S, 3, FALSE))</f>
        <v>1.0511690870456909</v>
      </c>
      <c r="U1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5" spans="1:26" x14ac:dyDescent="0.25">
      <c r="A125" s="68" t="s">
        <v>152</v>
      </c>
      <c r="B125" s="68" t="s">
        <v>523</v>
      </c>
      <c r="C125" s="2">
        <v>789</v>
      </c>
      <c r="D125">
        <f>RTD("tos.rtd", , "LAST", Main_S[[#This Row],[Symbol]])</f>
        <v>11.61</v>
      </c>
      <c r="E125">
        <v>-1.49</v>
      </c>
      <c r="F125">
        <v>4.91</v>
      </c>
      <c r="G125">
        <v>-1.62</v>
      </c>
      <c r="H125" s="1">
        <f>IF(ISNUMBER(Main_S[[#This Row],[Free CF]]),IF(Main_S[[#This Row],[Free CF]]&lt;&gt;0,Main_S[[#This Row],[Current Price]]/Main_S[[#This Row],[Free CF]],""),"")</f>
        <v>-7.7919463087248317</v>
      </c>
      <c r="I125" s="1">
        <f>IF(ISNUMBER(Main_S[[#This Row],[BVPS]]),IF(Main_S[[#This Row],[BVPS]]&lt;&gt;0,Main_S[[#This Row],[Current Price]]/Main_S[[#This Row],[BVPS]],""),"")</f>
        <v>2.3645621181262726</v>
      </c>
      <c r="J125">
        <v>-30.54</v>
      </c>
      <c r="K125">
        <v>-14.57</v>
      </c>
      <c r="L125">
        <v>1.37</v>
      </c>
      <c r="M125" s="1">
        <f>IF(ISNUMBER(Main_S[[#This Row],[EPS]]),IF(Main_S[[#This Row],[EPS]]&lt;&gt;0,Main_S[[#This Row],[Current Price]]/Main_S[[#This Row],[EPS]],""),"")</f>
        <v>-7.1666666666666661</v>
      </c>
      <c r="N1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5" s="1">
        <f>(Main_S[[#This Row],[P/FCF]]-VLOOKUP(Main_S[[#This Row],[Industry]], Mean_PFCF_S, 2, FALSE))/(VLOOKUP(Main_S[[#This Row],[Industry]], Mean_PFCF_S, 3, FALSE))</f>
        <v>-0.88702346749071459</v>
      </c>
      <c r="P125" s="1">
        <f>(Main_S[[#This Row],[P/B]]-VLOOKUP(Main_S[[#This Row],[Industry]], Mean_PB_S, 2, FALSE))/(VLOOKUP(Main_S[[#This Row],[Industry]], Mean_PB_S, 3, FALSE))</f>
        <v>3.307447045700318E-2</v>
      </c>
      <c r="Q125" s="1">
        <f>(Main_S[[#This Row],[ROE]]-VLOOKUP(Main_S[[#This Row],[Industry]], Mean_ROE_S, 2, FALSE))/(VLOOKUP(Main_S[[#This Row],[Industry]], Mean_ROE_S, 3, FALSE))</f>
        <v>0.34440171691259114</v>
      </c>
      <c r="R125" s="1">
        <f>(Main_S[[#This Row],[ROA]]-VLOOKUP(Main_S[[#This Row],[Industry]], Mean_ROA_S, 2, FALSE))/(VLOOKUP(Main_S[[#This Row],[Industry]], Mean_ROA_S, 3, FALSE))</f>
        <v>0.49004542840088661</v>
      </c>
      <c r="S125" s="1">
        <f>(Main_S[[#This Row],[A/E]]-VLOOKUP(Main_S[[#This Row],[Industry]], Mean_AE_S, 2, FALSE))/(VLOOKUP(Main_S[[#This Row],[Industry]], Mean_AE_S, 3, FALSE))</f>
        <v>-0.13435216763487068</v>
      </c>
      <c r="T125" s="1">
        <f>(Main_S[[#This Row],[P/E]]-VLOOKUP(Main_S[[#This Row],[Industry]], Mean_PE_S, 2, FALSE))/(VLOOKUP(Main_S[[#This Row],[Industry]], Mean_PE_S, 3, FALSE))</f>
        <v>-0.89115315806435869</v>
      </c>
      <c r="U1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6" spans="1:26" x14ac:dyDescent="0.25">
      <c r="A126" s="68" t="s">
        <v>105</v>
      </c>
      <c r="B126" s="68" t="s">
        <v>314</v>
      </c>
      <c r="C126" s="2">
        <v>356</v>
      </c>
      <c r="D126">
        <f>RTD("tos.rtd", , "LAST", Main_S[[#This Row],[Symbol]])</f>
        <v>9.4</v>
      </c>
      <c r="E126">
        <v>-0.69</v>
      </c>
      <c r="F126">
        <v>4.54</v>
      </c>
      <c r="G126">
        <v>-1.02</v>
      </c>
      <c r="H126" s="1">
        <f>IF(ISNUMBER(Main_S[[#This Row],[Free CF]]),IF(Main_S[[#This Row],[Free CF]]&lt;&gt;0,Main_S[[#This Row],[Current Price]]/Main_S[[#This Row],[Free CF]],""),"")</f>
        <v>-13.623188405797103</v>
      </c>
      <c r="I126" s="1">
        <f>IF(ISNUMBER(Main_S[[#This Row],[BVPS]]),IF(Main_S[[#This Row],[BVPS]]&lt;&gt;0,Main_S[[#This Row],[Current Price]]/Main_S[[#This Row],[BVPS]],""),"")</f>
        <v>2.0704845814977975</v>
      </c>
      <c r="J126">
        <v>-20.46</v>
      </c>
      <c r="K126">
        <v>-6.55</v>
      </c>
      <c r="L126">
        <v>1.54</v>
      </c>
      <c r="M126" s="1">
        <f>IF(ISNUMBER(Main_S[[#This Row],[EPS]]),IF(Main_S[[#This Row],[EPS]]&lt;&gt;0,Main_S[[#This Row],[Current Price]]/Main_S[[#This Row],[EPS]],""),"")</f>
        <v>-9.2156862745098049</v>
      </c>
      <c r="N1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6" s="1">
        <f>(Main_S[[#This Row],[P/FCF]]-VLOOKUP(Main_S[[#This Row],[Industry]], Mean_PFCF_S, 2, FALSE))/(VLOOKUP(Main_S[[#This Row],[Industry]], Mean_PFCF_S, 3, FALSE))</f>
        <v>-0.17013491409366346</v>
      </c>
      <c r="P126" s="1">
        <f>(Main_S[[#This Row],[P/B]]-VLOOKUP(Main_S[[#This Row],[Industry]], Mean_PB_S, 2, FALSE))/(VLOOKUP(Main_S[[#This Row],[Industry]], Mean_PB_S, 3, FALSE))</f>
        <v>-0.50692207352368346</v>
      </c>
      <c r="Q126" s="1">
        <f>(Main_S[[#This Row],[ROE]]-VLOOKUP(Main_S[[#This Row],[Industry]], Mean_ROE_S, 2, FALSE))/(VLOOKUP(Main_S[[#This Row],[Industry]], Mean_ROE_S, 3, FALSE))</f>
        <v>0.10439150967862849</v>
      </c>
      <c r="R126" s="1">
        <f>(Main_S[[#This Row],[ROA]]-VLOOKUP(Main_S[[#This Row],[Industry]], Mean_ROA_S, 2, FALSE))/(VLOOKUP(Main_S[[#This Row],[Industry]], Mean_ROA_S, 3, FALSE))</f>
        <v>-0.21286306890850373</v>
      </c>
      <c r="S126" s="1">
        <f>(Main_S[[#This Row],[A/E]]-VLOOKUP(Main_S[[#This Row],[Industry]], Mean_AE_S, 2, FALSE))/(VLOOKUP(Main_S[[#This Row],[Industry]], Mean_AE_S, 3, FALSE))</f>
        <v>-0.34134977851033399</v>
      </c>
      <c r="T126" s="1">
        <f>(Main_S[[#This Row],[P/E]]-VLOOKUP(Main_S[[#This Row],[Industry]], Mean_PE_S, 2, FALSE))/(VLOOKUP(Main_S[[#This Row],[Industry]], Mean_PE_S, 3, FALSE))</f>
        <v>6.3788062079454283E-2</v>
      </c>
      <c r="U1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7" spans="1:26" x14ac:dyDescent="0.25">
      <c r="A127" s="68" t="s">
        <v>105</v>
      </c>
      <c r="B127" s="68" t="s">
        <v>315</v>
      </c>
      <c r="C127" s="2">
        <v>1212</v>
      </c>
      <c r="D127">
        <f>RTD("tos.rtd", , "LAST", Main_S[[#This Row],[Symbol]])</f>
        <v>28.91</v>
      </c>
      <c r="E127">
        <v>-0.42</v>
      </c>
      <c r="F127">
        <v>6.89</v>
      </c>
      <c r="G127">
        <v>-0.53</v>
      </c>
      <c r="H127" s="1">
        <f>IF(ISNUMBER(Main_S[[#This Row],[Free CF]]),IF(Main_S[[#This Row],[Free CF]]&lt;&gt;0,Main_S[[#This Row],[Current Price]]/Main_S[[#This Row],[Free CF]],""),"")</f>
        <v>-68.833333333333343</v>
      </c>
      <c r="I127" s="1">
        <f>IF(ISNUMBER(Main_S[[#This Row],[BVPS]]),IF(Main_S[[#This Row],[BVPS]]&lt;&gt;0,Main_S[[#This Row],[Current Price]]/Main_S[[#This Row],[BVPS]],""),"")</f>
        <v>4.1959361393323658</v>
      </c>
      <c r="J127">
        <v>-7.26</v>
      </c>
      <c r="K127">
        <v>0.38</v>
      </c>
      <c r="L127">
        <v>2.69</v>
      </c>
      <c r="M127" s="1">
        <f>IF(ISNUMBER(Main_S[[#This Row],[EPS]]),IF(Main_S[[#This Row],[EPS]]&lt;&gt;0,Main_S[[#This Row],[Current Price]]/Main_S[[#This Row],[EPS]],""),"")</f>
        <v>-54.547169811320749</v>
      </c>
      <c r="N1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7" s="1">
        <f>(Main_S[[#This Row],[P/FCF]]-VLOOKUP(Main_S[[#This Row],[Industry]], Mean_PFCF_S, 2, FALSE))/(VLOOKUP(Main_S[[#This Row],[Industry]], Mean_PFCF_S, 3, FALSE))</f>
        <v>-2.0147394393645834</v>
      </c>
      <c r="P127" s="1">
        <f>(Main_S[[#This Row],[P/B]]-VLOOKUP(Main_S[[#This Row],[Industry]], Mean_PB_S, 2, FALSE))/(VLOOKUP(Main_S[[#This Row],[Industry]], Mean_PB_S, 3, FALSE))</f>
        <v>0.24222325940743833</v>
      </c>
      <c r="Q127" s="1">
        <f>(Main_S[[#This Row],[ROE]]-VLOOKUP(Main_S[[#This Row],[Industry]], Mean_ROE_S, 2, FALSE))/(VLOOKUP(Main_S[[#This Row],[Industry]], Mean_ROE_S, 3, FALSE))</f>
        <v>0.50061231957706498</v>
      </c>
      <c r="R127" s="1">
        <f>(Main_S[[#This Row],[ROA]]-VLOOKUP(Main_S[[#This Row],[Industry]], Mean_ROA_S, 2, FALSE))/(VLOOKUP(Main_S[[#This Row],[Industry]], Mean_ROA_S, 3, FALSE))</f>
        <v>0.44826458040731954</v>
      </c>
      <c r="S127" s="1">
        <f>(Main_S[[#This Row],[A/E]]-VLOOKUP(Main_S[[#This Row],[Industry]], Mean_AE_S, 2, FALSE))/(VLOOKUP(Main_S[[#This Row],[Industry]], Mean_AE_S, 3, FALSE))</f>
        <v>1.5561837334504336</v>
      </c>
      <c r="T127" s="1">
        <f>(Main_S[[#This Row],[P/E]]-VLOOKUP(Main_S[[#This Row],[Industry]], Mean_PE_S, 2, FALSE))/(VLOOKUP(Main_S[[#This Row],[Industry]], Mean_PE_S, 3, FALSE))</f>
        <v>-3.6460004316830625</v>
      </c>
      <c r="U1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28" spans="1:26" x14ac:dyDescent="0.25">
      <c r="A128" s="68" t="s">
        <v>105</v>
      </c>
      <c r="B128" s="68" t="s">
        <v>316</v>
      </c>
      <c r="C128" s="2">
        <v>1820</v>
      </c>
      <c r="D128">
        <f>RTD("tos.rtd", , "LAST", Main_S[[#This Row],[Symbol]])</f>
        <v>12.72</v>
      </c>
      <c r="E128">
        <v>-0.56999999999999995</v>
      </c>
      <c r="F128">
        <v>-0.57999999999999996</v>
      </c>
      <c r="G128">
        <v>-1.1499999999999999</v>
      </c>
      <c r="H128" s="1">
        <f>IF(ISNUMBER(Main_S[[#This Row],[Free CF]]),IF(Main_S[[#This Row],[Free CF]]&lt;&gt;0,Main_S[[#This Row],[Current Price]]/Main_S[[#This Row],[Free CF]],""),"")</f>
        <v>-22.315789473684212</v>
      </c>
      <c r="I128" s="1">
        <f>IF(ISNUMBER(Main_S[[#This Row],[BVPS]]),IF(Main_S[[#This Row],[BVPS]]&lt;&gt;0,Main_S[[#This Row],[Current Price]]/Main_S[[#This Row],[BVPS]],""),"")</f>
        <v>-21.931034482758623</v>
      </c>
      <c r="J128">
        <v>28033</v>
      </c>
      <c r="K128">
        <v>-9.33</v>
      </c>
      <c r="L128">
        <v>-9.14</v>
      </c>
      <c r="M128" s="1">
        <f>IF(ISNUMBER(Main_S[[#This Row],[EPS]]),IF(Main_S[[#This Row],[EPS]]&lt;&gt;0,Main_S[[#This Row],[Current Price]]/Main_S[[#This Row],[EPS]],""),"")</f>
        <v>-11.060869565217393</v>
      </c>
      <c r="N1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8" s="1">
        <f>(Main_S[[#This Row],[P/FCF]]-VLOOKUP(Main_S[[#This Row],[Industry]], Mean_PFCF_S, 2, FALSE))/(VLOOKUP(Main_S[[#This Row],[Industry]], Mean_PFCF_S, 3, FALSE))</f>
        <v>-0.46056000330950753</v>
      </c>
      <c r="P128" s="1">
        <f>(Main_S[[#This Row],[P/B]]-VLOOKUP(Main_S[[#This Row],[Industry]], Mean_PB_S, 2, FALSE))/(VLOOKUP(Main_S[[#This Row],[Industry]], Mean_PB_S, 3, FALSE))</f>
        <v>-8.9665954657339917</v>
      </c>
      <c r="Q128" s="1">
        <f>(Main_S[[#This Row],[ROE]]-VLOOKUP(Main_S[[#This Row],[Industry]], Mean_ROE_S, 2, FALSE))/(VLOOKUP(Main_S[[#This Row],[Industry]], Mean_ROE_S, 3, FALSE))</f>
        <v>842.17747042281451</v>
      </c>
      <c r="R128" s="1">
        <f>(Main_S[[#This Row],[ROA]]-VLOOKUP(Main_S[[#This Row],[Industry]], Mean_ROA_S, 2, FALSE))/(VLOOKUP(Main_S[[#This Row],[Industry]], Mean_ROA_S, 3, FALSE))</f>
        <v>-0.47807733515640977</v>
      </c>
      <c r="S128" s="1">
        <f>(Main_S[[#This Row],[A/E]]-VLOOKUP(Main_S[[#This Row],[Industry]], Mean_AE_S, 2, FALSE))/(VLOOKUP(Main_S[[#This Row],[Industry]], Mean_AE_S, 3, FALSE))</f>
        <v>-17.963661002632943</v>
      </c>
      <c r="T128" s="1">
        <f>(Main_S[[#This Row],[P/E]]-VLOOKUP(Main_S[[#This Row],[Industry]], Mean_PE_S, 2, FALSE))/(VLOOKUP(Main_S[[#This Row],[Industry]], Mean_PE_S, 3, FALSE))</f>
        <v>-8.7216035000034955E-2</v>
      </c>
      <c r="U1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29" spans="1:26" x14ac:dyDescent="0.25">
      <c r="A129" s="68" t="s">
        <v>105</v>
      </c>
      <c r="B129" s="68" t="s">
        <v>317</v>
      </c>
      <c r="C129" s="2">
        <v>1500</v>
      </c>
      <c r="D129">
        <f>RTD("tos.rtd", , "LAST", Main_S[[#This Row],[Symbol]])</f>
        <v>31.48</v>
      </c>
      <c r="E129">
        <v>-0.01</v>
      </c>
      <c r="F129">
        <v>9.19</v>
      </c>
      <c r="G129">
        <v>-0.81</v>
      </c>
      <c r="H129" s="1">
        <f>IF(ISNUMBER(Main_S[[#This Row],[Free CF]]),IF(Main_S[[#This Row],[Free CF]]&lt;&gt;0,Main_S[[#This Row],[Current Price]]/Main_S[[#This Row],[Free CF]],""),"")</f>
        <v>-3148</v>
      </c>
      <c r="I129" s="1">
        <f>IF(ISNUMBER(Main_S[[#This Row],[BVPS]]),IF(Main_S[[#This Row],[BVPS]]&lt;&gt;0,Main_S[[#This Row],[Current Price]]/Main_S[[#This Row],[BVPS]],""),"")</f>
        <v>3.4254624591947773</v>
      </c>
      <c r="J129">
        <v>-8.3800000000000008</v>
      </c>
      <c r="K129">
        <v>-3.7</v>
      </c>
      <c r="L129">
        <v>1.3</v>
      </c>
      <c r="M129" s="1">
        <f>IF(ISNUMBER(Main_S[[#This Row],[EPS]]),IF(Main_S[[#This Row],[EPS]]&lt;&gt;0,Main_S[[#This Row],[Current Price]]/Main_S[[#This Row],[EPS]],""),"")</f>
        <v>-38.864197530864196</v>
      </c>
      <c r="N1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29" s="1">
        <f>(Main_S[[#This Row],[P/FCF]]-VLOOKUP(Main_S[[#This Row],[Industry]], Mean_PFCF_S, 2, FALSE))/(VLOOKUP(Main_S[[#This Row],[Industry]], Mean_PFCF_S, 3, FALSE))</f>
        <v>-104.89157076903324</v>
      </c>
      <c r="P129" s="1">
        <f>(Main_S[[#This Row],[P/B]]-VLOOKUP(Main_S[[#This Row],[Industry]], Mean_PB_S, 2, FALSE))/(VLOOKUP(Main_S[[#This Row],[Industry]], Mean_PB_S, 3, FALSE))</f>
        <v>-2.934103924418293E-2</v>
      </c>
      <c r="Q129" s="1">
        <f>(Main_S[[#This Row],[ROE]]-VLOOKUP(Main_S[[#This Row],[Industry]], Mean_ROE_S, 2, FALSE))/(VLOOKUP(Main_S[[#This Row],[Industry]], Mean_ROE_S, 3, FALSE))</f>
        <v>0.46699358419174314</v>
      </c>
      <c r="R129" s="1">
        <f>(Main_S[[#This Row],[ROA]]-VLOOKUP(Main_S[[#This Row],[Industry]], Mean_ROA_S, 2, FALSE))/(VLOOKUP(Main_S[[#This Row],[Industry]], Mean_ROA_S, 3, FALSE))</f>
        <v>5.9029254403198457E-2</v>
      </c>
      <c r="S129" s="1">
        <f>(Main_S[[#This Row],[A/E]]-VLOOKUP(Main_S[[#This Row],[Industry]], Mean_AE_S, 2, FALSE))/(VLOOKUP(Main_S[[#This Row],[Industry]], Mean_AE_S, 3, FALSE))</f>
        <v>-0.73735677231084207</v>
      </c>
      <c r="T129" s="1">
        <f>(Main_S[[#This Row],[P/E]]-VLOOKUP(Main_S[[#This Row],[Industry]], Mean_PE_S, 2, FALSE))/(VLOOKUP(Main_S[[#This Row],[Industry]], Mean_PE_S, 3, FALSE))</f>
        <v>-2.3625544560668144</v>
      </c>
      <c r="U1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0" spans="1:26" x14ac:dyDescent="0.25">
      <c r="A130" s="68" t="s">
        <v>105</v>
      </c>
      <c r="B130" s="68" t="s">
        <v>318</v>
      </c>
      <c r="C130" s="2">
        <v>746</v>
      </c>
      <c r="D130">
        <f>RTD("tos.rtd", , "LAST", Main_S[[#This Row],[Symbol]])</f>
        <v>10.88</v>
      </c>
      <c r="E130">
        <v>0</v>
      </c>
      <c r="F130">
        <v>2.35</v>
      </c>
      <c r="G130">
        <v>-0.23</v>
      </c>
      <c r="H130" s="1" t="str">
        <f>IF(ISNUMBER(Main_S[[#This Row],[Free CF]]),IF(Main_S[[#This Row],[Free CF]]&lt;&gt;0,Main_S[[#This Row],[Current Price]]/Main_S[[#This Row],[Free CF]],""),"")</f>
        <v/>
      </c>
      <c r="I130" s="1">
        <f>IF(ISNUMBER(Main_S[[#This Row],[BVPS]]),IF(Main_S[[#This Row],[BVPS]]&lt;&gt;0,Main_S[[#This Row],[Current Price]]/Main_S[[#This Row],[BVPS]],""),"")</f>
        <v>4.6297872340425537</v>
      </c>
      <c r="J130">
        <v>-9.99</v>
      </c>
      <c r="K130">
        <v>-1.03</v>
      </c>
      <c r="L130">
        <v>1.96</v>
      </c>
      <c r="M130" s="1">
        <f>IF(ISNUMBER(Main_S[[#This Row],[EPS]]),IF(Main_S[[#This Row],[EPS]]&lt;&gt;0,Main_S[[#This Row],[Current Price]]/Main_S[[#This Row],[EPS]],""),"")</f>
        <v>-47.304347826086961</v>
      </c>
      <c r="N1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0" s="1" t="e">
        <f>(Main_S[[#This Row],[P/FCF]]-VLOOKUP(Main_S[[#This Row],[Industry]], Mean_PFCF_S, 2, FALSE))/(VLOOKUP(Main_S[[#This Row],[Industry]], Mean_PFCF_S, 3, FALSE))</f>
        <v>#VALUE!</v>
      </c>
      <c r="P130" s="1">
        <f>(Main_S[[#This Row],[P/B]]-VLOOKUP(Main_S[[#This Row],[Industry]], Mean_PB_S, 2, FALSE))/(VLOOKUP(Main_S[[#This Row],[Industry]], Mean_PB_S, 3, FALSE))</f>
        <v>0.39514018738500489</v>
      </c>
      <c r="Q130" s="1">
        <f>(Main_S[[#This Row],[ROE]]-VLOOKUP(Main_S[[#This Row],[Industry]], Mean_ROE_S, 2, FALSE))/(VLOOKUP(Main_S[[#This Row],[Industry]], Mean_ROE_S, 3, FALSE))</f>
        <v>0.41866665207534298</v>
      </c>
      <c r="R130" s="1">
        <f>(Main_S[[#This Row],[ROA]]-VLOOKUP(Main_S[[#This Row],[Industry]], Mean_ROA_S, 2, FALSE))/(VLOOKUP(Main_S[[#This Row],[Industry]], Mean_ROA_S, 3, FALSE))</f>
        <v>0.31374943097942476</v>
      </c>
      <c r="S130" s="1">
        <f>(Main_S[[#This Row],[A/E]]-VLOOKUP(Main_S[[#This Row],[Industry]], Mean_AE_S, 2, FALSE))/(VLOOKUP(Main_S[[#This Row],[Industry]], Mean_AE_S, 3, FALSE))</f>
        <v>0.35166246064055501</v>
      </c>
      <c r="T130" s="1">
        <f>(Main_S[[#This Row],[P/E]]-VLOOKUP(Main_S[[#This Row],[Industry]], Mean_PE_S, 2, FALSE))/(VLOOKUP(Main_S[[#This Row],[Industry]], Mean_PE_S, 3, FALSE))</f>
        <v>-3.0532702678583656</v>
      </c>
      <c r="U1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1" spans="1:26" x14ac:dyDescent="0.25">
      <c r="A131" s="68" t="s">
        <v>105</v>
      </c>
      <c r="B131" s="68" t="s">
        <v>319</v>
      </c>
      <c r="C131" s="2">
        <v>623</v>
      </c>
      <c r="D131">
        <f>RTD("tos.rtd", , "LAST", Main_S[[#This Row],[Symbol]])</f>
        <v>13.2</v>
      </c>
      <c r="H131" s="1" t="str">
        <f>IF(ISNUMBER(Main_S[[#This Row],[Free CF]]),IF(Main_S[[#This Row],[Free CF]]&lt;&gt;0,Main_S[[#This Row],[Current Price]]/Main_S[[#This Row],[Free CF]],""),"")</f>
        <v/>
      </c>
      <c r="I131" s="1" t="str">
        <f>IF(ISNUMBER(Main_S[[#This Row],[BVPS]]),IF(Main_S[[#This Row],[BVPS]]&lt;&gt;0,Main_S[[#This Row],[Current Price]]/Main_S[[#This Row],[BVPS]],""),"")</f>
        <v/>
      </c>
      <c r="J131">
        <v>-81.349999999999994</v>
      </c>
      <c r="K131">
        <v>-21.78</v>
      </c>
      <c r="L131">
        <v>-0.61</v>
      </c>
      <c r="M131" s="1" t="str">
        <f>IF(ISNUMBER(Main_S[[#This Row],[EPS]]),IF(Main_S[[#This Row],[EPS]]&lt;&gt;0,Main_S[[#This Row],[Current Price]]/Main_S[[#This Row],[EPS]],""),"")</f>
        <v/>
      </c>
      <c r="N1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1" s="1" t="e">
        <f>(Main_S[[#This Row],[P/FCF]]-VLOOKUP(Main_S[[#This Row],[Industry]], Mean_PFCF_S, 2, FALSE))/(VLOOKUP(Main_S[[#This Row],[Industry]], Mean_PFCF_S, 3, FALSE))</f>
        <v>#VALUE!</v>
      </c>
      <c r="P131" s="1" t="e">
        <f>(Main_S[[#This Row],[P/B]]-VLOOKUP(Main_S[[#This Row],[Industry]], Mean_PB_S, 2, FALSE))/(VLOOKUP(Main_S[[#This Row],[Industry]], Mean_PB_S, 3, FALSE))</f>
        <v>#VALUE!</v>
      </c>
      <c r="Q131" s="1">
        <f>(Main_S[[#This Row],[ROE]]-VLOOKUP(Main_S[[#This Row],[Industry]], Mean_ROE_S, 2, FALSE))/(VLOOKUP(Main_S[[#This Row],[Industry]], Mean_ROE_S, 3, FALSE))</f>
        <v>-1.7233270596180228</v>
      </c>
      <c r="R131" s="1">
        <f>(Main_S[[#This Row],[ROA]]-VLOOKUP(Main_S[[#This Row],[Industry]], Mean_ROA_S, 2, FALSE))/(VLOOKUP(Main_S[[#This Row],[Industry]], Mean_ROA_S, 3, FALSE))</f>
        <v>-1.6658174843601614</v>
      </c>
      <c r="S131" s="1">
        <f>(Main_S[[#This Row],[A/E]]-VLOOKUP(Main_S[[#This Row],[Industry]], Mean_AE_S, 2, FALSE))/(VLOOKUP(Main_S[[#This Row],[Industry]], Mean_AE_S, 3, FALSE))</f>
        <v>-3.8889124313065517</v>
      </c>
      <c r="T131" s="1" t="e">
        <f>(Main_S[[#This Row],[P/E]]-VLOOKUP(Main_S[[#This Row],[Industry]], Mean_PE_S, 2, FALSE))/(VLOOKUP(Main_S[[#This Row],[Industry]], Mean_PE_S, 3, FALSE))</f>
        <v>#VALUE!</v>
      </c>
      <c r="U1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32" spans="1:26" x14ac:dyDescent="0.25">
      <c r="A132" s="68" t="s">
        <v>105</v>
      </c>
      <c r="B132" s="68" t="s">
        <v>320</v>
      </c>
      <c r="C132" s="2">
        <v>539</v>
      </c>
      <c r="D132">
        <f>RTD("tos.rtd", , "LAST", Main_S[[#This Row],[Symbol]])</f>
        <v>2.38</v>
      </c>
      <c r="E132">
        <v>-0.21</v>
      </c>
      <c r="F132">
        <v>0.79</v>
      </c>
      <c r="G132">
        <v>-0.34</v>
      </c>
      <c r="H132" s="1">
        <f>IF(ISNUMBER(Main_S[[#This Row],[Free CF]]),IF(Main_S[[#This Row],[Free CF]]&lt;&gt;0,Main_S[[#This Row],[Current Price]]/Main_S[[#This Row],[Free CF]],""),"")</f>
        <v>-11.333333333333334</v>
      </c>
      <c r="I132" s="1">
        <f>IF(ISNUMBER(Main_S[[#This Row],[BVPS]]),IF(Main_S[[#This Row],[BVPS]]&lt;&gt;0,Main_S[[#This Row],[Current Price]]/Main_S[[#This Row],[BVPS]],""),"")</f>
        <v>3.0126582278481009</v>
      </c>
      <c r="J132">
        <v>-37.28</v>
      </c>
      <c r="K132">
        <v>-15.69</v>
      </c>
      <c r="L132">
        <v>1.52</v>
      </c>
      <c r="M132" s="1">
        <f>IF(ISNUMBER(Main_S[[#This Row],[EPS]]),IF(Main_S[[#This Row],[EPS]]&lt;&gt;0,Main_S[[#This Row],[Current Price]]/Main_S[[#This Row],[EPS]],""),"")</f>
        <v>-6.9999999999999991</v>
      </c>
      <c r="N1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2" s="1">
        <f>(Main_S[[#This Row],[P/FCF]]-VLOOKUP(Main_S[[#This Row],[Industry]], Mean_PFCF_S, 2, FALSE))/(VLOOKUP(Main_S[[#This Row],[Industry]], Mean_PFCF_S, 3, FALSE))</f>
        <v>-9.3629463248984274E-2</v>
      </c>
      <c r="P132" s="1">
        <f>(Main_S[[#This Row],[P/B]]-VLOOKUP(Main_S[[#This Row],[Industry]], Mean_PB_S, 2, FALSE))/(VLOOKUP(Main_S[[#This Row],[Industry]], Mean_PB_S, 3, FALSE))</f>
        <v>-0.1748397038397897</v>
      </c>
      <c r="Q132" s="1">
        <f>(Main_S[[#This Row],[ROE]]-VLOOKUP(Main_S[[#This Row],[Industry]], Mean_ROE_S, 2, FALSE))/(VLOOKUP(Main_S[[#This Row],[Industry]], Mean_ROE_S, 3, FALSE))</f>
        <v>-0.40048985566165207</v>
      </c>
      <c r="R132" s="1">
        <f>(Main_S[[#This Row],[ROA]]-VLOOKUP(Main_S[[#This Row],[Industry]], Mean_ROA_S, 2, FALSE))/(VLOOKUP(Main_S[[#This Row],[Industry]], Mean_ROA_S, 3, FALSE))</f>
        <v>-1.0848265198098925</v>
      </c>
      <c r="S132" s="1">
        <f>(Main_S[[#This Row],[A/E]]-VLOOKUP(Main_S[[#This Row],[Industry]], Mean_AE_S, 2, FALSE))/(VLOOKUP(Main_S[[#This Row],[Industry]], Mean_AE_S, 3, FALSE))</f>
        <v>-0.37435036132704302</v>
      </c>
      <c r="T132" s="1">
        <f>(Main_S[[#This Row],[P/E]]-VLOOKUP(Main_S[[#This Row],[Industry]], Mean_PE_S, 2, FALSE))/(VLOOKUP(Main_S[[#This Row],[Industry]], Mean_PE_S, 3, FALSE))</f>
        <v>0.2451129781345239</v>
      </c>
      <c r="U1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3" spans="1:26" x14ac:dyDescent="0.25">
      <c r="A133" s="68" t="s">
        <v>105</v>
      </c>
      <c r="B133" s="68" t="s">
        <v>321</v>
      </c>
      <c r="C133" s="2">
        <v>577</v>
      </c>
      <c r="D133">
        <f>RTD("tos.rtd", , "LAST", Main_S[[#This Row],[Symbol]])</f>
        <v>16.600000000000001</v>
      </c>
      <c r="E133">
        <v>-3.07</v>
      </c>
      <c r="F133">
        <v>5.33</v>
      </c>
      <c r="G133">
        <v>-3.39</v>
      </c>
      <c r="H133" s="1">
        <f>IF(ISNUMBER(Main_S[[#This Row],[Free CF]]),IF(Main_S[[#This Row],[Free CF]]&lt;&gt;0,Main_S[[#This Row],[Current Price]]/Main_S[[#This Row],[Free CF]],""),"")</f>
        <v>-5.4071661237785023</v>
      </c>
      <c r="I133" s="1">
        <f>IF(ISNUMBER(Main_S[[#This Row],[BVPS]]),IF(Main_S[[#This Row],[BVPS]]&lt;&gt;0,Main_S[[#This Row],[Current Price]]/Main_S[[#This Row],[BVPS]],""),"")</f>
        <v>3.1144465290806758</v>
      </c>
      <c r="J133">
        <v>-35.75</v>
      </c>
      <c r="K133">
        <v>-17.46</v>
      </c>
      <c r="L133">
        <v>1.18</v>
      </c>
      <c r="M133" s="1">
        <f>IF(ISNUMBER(Main_S[[#This Row],[EPS]]),IF(Main_S[[#This Row],[EPS]]&lt;&gt;0,Main_S[[#This Row],[Current Price]]/Main_S[[#This Row],[EPS]],""),"")</f>
        <v>-4.8967551622418881</v>
      </c>
      <c r="N1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3" s="1">
        <f>(Main_S[[#This Row],[P/FCF]]-VLOOKUP(Main_S[[#This Row],[Industry]], Mean_PFCF_S, 2, FALSE))/(VLOOKUP(Main_S[[#This Row],[Industry]], Mean_PFCF_S, 3, FALSE))</f>
        <v>0.10436738799284055</v>
      </c>
      <c r="P133" s="1">
        <f>(Main_S[[#This Row],[P/B]]-VLOOKUP(Main_S[[#This Row],[Industry]], Mean_PB_S, 2, FALSE))/(VLOOKUP(Main_S[[#This Row],[Industry]], Mean_PB_S, 3, FALSE))</f>
        <v>-0.138962983650947</v>
      </c>
      <c r="Q133" s="1">
        <f>(Main_S[[#This Row],[ROE]]-VLOOKUP(Main_S[[#This Row],[Industry]], Mean_ROE_S, 2, FALSE))/(VLOOKUP(Main_S[[#This Row],[Industry]], Mean_ROE_S, 3, FALSE))</f>
        <v>-0.35456426178706052</v>
      </c>
      <c r="R133" s="1">
        <f>(Main_S[[#This Row],[ROA]]-VLOOKUP(Main_S[[#This Row],[Industry]], Mean_ROA_S, 2, FALSE))/(VLOOKUP(Main_S[[#This Row],[Industry]], Mean_ROA_S, 3, FALSE))</f>
        <v>-1.2536859627087393</v>
      </c>
      <c r="S133" s="1">
        <f>(Main_S[[#This Row],[A/E]]-VLOOKUP(Main_S[[#This Row],[Industry]], Mean_AE_S, 2, FALSE))/(VLOOKUP(Main_S[[#This Row],[Industry]], Mean_AE_S, 3, FALSE))</f>
        <v>-0.93536026921109627</v>
      </c>
      <c r="T133" s="1">
        <f>(Main_S[[#This Row],[P/E]]-VLOOKUP(Main_S[[#This Row],[Industry]], Mean_PE_S, 2, FALSE))/(VLOOKUP(Main_S[[#This Row],[Industry]], Mean_PE_S, 3, FALSE))</f>
        <v>0.41723603456051617</v>
      </c>
      <c r="U1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4" spans="1:26" x14ac:dyDescent="0.25">
      <c r="A134" s="68" t="s">
        <v>105</v>
      </c>
      <c r="B134" s="68" t="s">
        <v>322</v>
      </c>
      <c r="C134" s="2">
        <v>372</v>
      </c>
      <c r="D134">
        <f>RTD("tos.rtd", , "LAST", Main_S[[#This Row],[Symbol]])</f>
        <v>14.2</v>
      </c>
      <c r="E134">
        <v>-0.34</v>
      </c>
      <c r="F134">
        <v>0.92</v>
      </c>
      <c r="G134">
        <v>-0.7</v>
      </c>
      <c r="H134" s="1">
        <f>IF(ISNUMBER(Main_S[[#This Row],[Free CF]]),IF(Main_S[[#This Row],[Free CF]]&lt;&gt;0,Main_S[[#This Row],[Current Price]]/Main_S[[#This Row],[Free CF]],""),"")</f>
        <v>-41.764705882352935</v>
      </c>
      <c r="I134" s="1">
        <f>IF(ISNUMBER(Main_S[[#This Row],[BVPS]]),IF(Main_S[[#This Row],[BVPS]]&lt;&gt;0,Main_S[[#This Row],[Current Price]]/Main_S[[#This Row],[BVPS]],""),"")</f>
        <v>15.434782608695651</v>
      </c>
      <c r="J134">
        <v>-81.239999999999995</v>
      </c>
      <c r="K134">
        <v>-30.16</v>
      </c>
      <c r="L134">
        <v>1.54</v>
      </c>
      <c r="M134" s="1">
        <f>IF(ISNUMBER(Main_S[[#This Row],[EPS]]),IF(Main_S[[#This Row],[EPS]]&lt;&gt;0,Main_S[[#This Row],[Current Price]]/Main_S[[#This Row],[EPS]],""),"")</f>
        <v>-20.285714285714285</v>
      </c>
      <c r="N1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4" s="1">
        <f>(Main_S[[#This Row],[P/FCF]]-VLOOKUP(Main_S[[#This Row],[Industry]], Mean_PFCF_S, 2, FALSE))/(VLOOKUP(Main_S[[#This Row],[Industry]], Mean_PFCF_S, 3, FALSE))</f>
        <v>-1.1103601309152786</v>
      </c>
      <c r="P134" s="1">
        <f>(Main_S[[#This Row],[P/B]]-VLOOKUP(Main_S[[#This Row],[Industry]], Mean_PB_S, 2, FALSE))/(VLOOKUP(Main_S[[#This Row],[Industry]], Mean_PB_S, 3, FALSE))</f>
        <v>4.2035129670076543</v>
      </c>
      <c r="Q134" s="1">
        <f>(Main_S[[#This Row],[ROE]]-VLOOKUP(Main_S[[#This Row],[Industry]], Mean_ROE_S, 2, FALSE))/(VLOOKUP(Main_S[[#This Row],[Industry]], Mean_ROE_S, 3, FALSE))</f>
        <v>-1.7200252195355359</v>
      </c>
      <c r="R134" s="1">
        <f>(Main_S[[#This Row],[ROA]]-VLOOKUP(Main_S[[#This Row],[Industry]], Mean_ROA_S, 2, FALSE))/(VLOOKUP(Main_S[[#This Row],[Industry]], Mean_ROA_S, 3, FALSE))</f>
        <v>-2.4652763157117632</v>
      </c>
      <c r="S134" s="1">
        <f>(Main_S[[#This Row],[A/E]]-VLOOKUP(Main_S[[#This Row],[Industry]], Mean_AE_S, 2, FALSE))/(VLOOKUP(Main_S[[#This Row],[Industry]], Mean_AE_S, 3, FALSE))</f>
        <v>-0.34134977851033399</v>
      </c>
      <c r="T134" s="1">
        <f>(Main_S[[#This Row],[P/E]]-VLOOKUP(Main_S[[#This Row],[Industry]], Mean_PE_S, 2, FALSE))/(VLOOKUP(Main_S[[#This Row],[Industry]], Mean_PE_S, 3, FALSE))</f>
        <v>-0.84214881307811129</v>
      </c>
      <c r="U1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5" spans="1:26" x14ac:dyDescent="0.25">
      <c r="A135" s="68" t="s">
        <v>105</v>
      </c>
      <c r="B135" s="68" t="s">
        <v>323</v>
      </c>
      <c r="C135" s="2">
        <v>1733</v>
      </c>
      <c r="D135">
        <f>RTD("tos.rtd", , "LAST", Main_S[[#This Row],[Symbol]])</f>
        <v>60.05</v>
      </c>
      <c r="E135">
        <v>5.33</v>
      </c>
      <c r="F135">
        <v>31.61</v>
      </c>
      <c r="G135">
        <v>3.81</v>
      </c>
      <c r="H135" s="1">
        <f>IF(ISNUMBER(Main_S[[#This Row],[Free CF]]),IF(Main_S[[#This Row],[Free CF]]&lt;&gt;0,Main_S[[#This Row],[Current Price]]/Main_S[[#This Row],[Free CF]],""),"")</f>
        <v>11.266416510318949</v>
      </c>
      <c r="I135" s="1">
        <f>IF(ISNUMBER(Main_S[[#This Row],[BVPS]]),IF(Main_S[[#This Row],[BVPS]]&lt;&gt;0,Main_S[[#This Row],[Current Price]]/Main_S[[#This Row],[BVPS]],""),"")</f>
        <v>1.8997152799746915</v>
      </c>
      <c r="J135">
        <v>12.96</v>
      </c>
      <c r="K135">
        <v>4.1399999999999997</v>
      </c>
      <c r="L135">
        <v>2.35</v>
      </c>
      <c r="M135" s="1">
        <f>IF(ISNUMBER(Main_S[[#This Row],[EPS]]),IF(Main_S[[#This Row],[EPS]]&lt;&gt;0,Main_S[[#This Row],[Current Price]]/Main_S[[#This Row],[EPS]],""),"")</f>
        <v>15.761154855643044</v>
      </c>
      <c r="N1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5" s="1">
        <f>(Main_S[[#This Row],[P/FCF]]-VLOOKUP(Main_S[[#This Row],[Industry]], Mean_PFCF_S, 2, FALSE))/(VLOOKUP(Main_S[[#This Row],[Industry]], Mean_PFCF_S, 3, FALSE))</f>
        <v>0.66144192600940421</v>
      </c>
      <c r="P135" s="1">
        <f>(Main_S[[#This Row],[P/B]]-VLOOKUP(Main_S[[#This Row],[Industry]], Mean_PB_S, 2, FALSE))/(VLOOKUP(Main_S[[#This Row],[Industry]], Mean_PB_S, 3, FALSE))</f>
        <v>-0.56711211868014888</v>
      </c>
      <c r="Q135" s="1">
        <f>(Main_S[[#This Row],[ROE]]-VLOOKUP(Main_S[[#This Row],[Industry]], Mean_ROE_S, 2, FALSE))/(VLOOKUP(Main_S[[#This Row],[Industry]], Mean_ROE_S, 3, FALSE))</f>
        <v>1.1075505601942155</v>
      </c>
      <c r="R135" s="1">
        <f>(Main_S[[#This Row],[ROA]]-VLOOKUP(Main_S[[#This Row],[Industry]], Mean_ROA_S, 2, FALSE))/(VLOOKUP(Main_S[[#This Row],[Industry]], Mean_ROA_S, 3, FALSE))</f>
        <v>0.8069716455483722</v>
      </c>
      <c r="S135" s="1">
        <f>(Main_S[[#This Row],[A/E]]-VLOOKUP(Main_S[[#This Row],[Industry]], Mean_AE_S, 2, FALSE))/(VLOOKUP(Main_S[[#This Row],[Industry]], Mean_AE_S, 3, FALSE))</f>
        <v>0.99517382556638079</v>
      </c>
      <c r="T135" s="1">
        <f>(Main_S[[#This Row],[P/E]]-VLOOKUP(Main_S[[#This Row],[Industry]], Mean_PE_S, 2, FALSE))/(VLOOKUP(Main_S[[#This Row],[Industry]], Mean_PE_S, 3, FALSE))</f>
        <v>2.1078155371549792</v>
      </c>
      <c r="U1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6" spans="1:26" x14ac:dyDescent="0.25">
      <c r="A136" s="68" t="s">
        <v>105</v>
      </c>
      <c r="B136" s="68" t="s">
        <v>324</v>
      </c>
      <c r="C136" s="2">
        <v>388</v>
      </c>
      <c r="D136">
        <f>RTD("tos.rtd", , "LAST", Main_S[[#This Row],[Symbol]])</f>
        <v>15.29</v>
      </c>
      <c r="E136">
        <v>-0.67</v>
      </c>
      <c r="F136">
        <v>2.08</v>
      </c>
      <c r="G136">
        <v>-0.93</v>
      </c>
      <c r="H136" s="1">
        <f>IF(ISNUMBER(Main_S[[#This Row],[Free CF]]),IF(Main_S[[#This Row],[Free CF]]&lt;&gt;0,Main_S[[#This Row],[Current Price]]/Main_S[[#This Row],[Free CF]],""),"")</f>
        <v>-22.820895522388057</v>
      </c>
      <c r="I136" s="1">
        <f>IF(ISNUMBER(Main_S[[#This Row],[BVPS]]),IF(Main_S[[#This Row],[BVPS]]&lt;&gt;0,Main_S[[#This Row],[Current Price]]/Main_S[[#This Row],[BVPS]],""),"")</f>
        <v>7.3509615384615374</v>
      </c>
      <c r="J136">
        <v>-58.59</v>
      </c>
      <c r="K136">
        <v>-13.46</v>
      </c>
      <c r="L136">
        <v>1.1100000000000001</v>
      </c>
      <c r="M136" s="1">
        <f>IF(ISNUMBER(Main_S[[#This Row],[EPS]]),IF(Main_S[[#This Row],[EPS]]&lt;&gt;0,Main_S[[#This Row],[Current Price]]/Main_S[[#This Row],[EPS]],""),"")</f>
        <v>-16.44086021505376</v>
      </c>
      <c r="N1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6" s="1">
        <f>(Main_S[[#This Row],[P/FCF]]-VLOOKUP(Main_S[[#This Row],[Industry]], Mean_PFCF_S, 2, FALSE))/(VLOOKUP(Main_S[[#This Row],[Industry]], Mean_PFCF_S, 3, FALSE))</f>
        <v>-0.47743590364274729</v>
      </c>
      <c r="P136" s="1">
        <f>(Main_S[[#This Row],[P/B]]-VLOOKUP(Main_S[[#This Row],[Industry]], Mean_PB_S, 2, FALSE))/(VLOOKUP(Main_S[[#This Row],[Industry]], Mean_PB_S, 3, FALSE))</f>
        <v>1.3542563915315131</v>
      </c>
      <c r="Q136" s="1">
        <f>(Main_S[[#This Row],[ROE]]-VLOOKUP(Main_S[[#This Row],[Industry]], Mean_ROE_S, 2, FALSE))/(VLOOKUP(Main_S[[#This Row],[Industry]], Mean_ROE_S, 3, FALSE))</f>
        <v>-1.0401463298234461</v>
      </c>
      <c r="R136" s="1">
        <f>(Main_S[[#This Row],[ROA]]-VLOOKUP(Main_S[[#This Row],[Industry]], Mean_ROA_S, 2, FALSE))/(VLOOKUP(Main_S[[#This Row],[Industry]], Mean_ROA_S, 3, FALSE))</f>
        <v>-0.87208270192038528</v>
      </c>
      <c r="S136" s="1">
        <f>(Main_S[[#This Row],[A/E]]-VLOOKUP(Main_S[[#This Row],[Industry]], Mean_AE_S, 2, FALSE))/(VLOOKUP(Main_S[[#This Row],[Industry]], Mean_AE_S, 3, FALSE))</f>
        <v>-1.0508623090695774</v>
      </c>
      <c r="T136" s="1">
        <f>(Main_S[[#This Row],[P/E]]-VLOOKUP(Main_S[[#This Row],[Industry]], Mean_PE_S, 2, FALSE))/(VLOOKUP(Main_S[[#This Row],[Industry]], Mean_PE_S, 3, FALSE))</f>
        <v>-0.52749784031765024</v>
      </c>
      <c r="U1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7" spans="1:26" x14ac:dyDescent="0.25">
      <c r="A137" s="68" t="s">
        <v>105</v>
      </c>
      <c r="B137" s="68" t="s">
        <v>325</v>
      </c>
      <c r="C137" s="2">
        <v>1955</v>
      </c>
      <c r="D137">
        <f>RTD("tos.rtd", , "LAST", Main_S[[#This Row],[Symbol]])</f>
        <v>37.35</v>
      </c>
      <c r="E137">
        <v>-1.22</v>
      </c>
      <c r="F137">
        <v>45.86</v>
      </c>
      <c r="G137">
        <v>-14.98</v>
      </c>
      <c r="H137" s="1">
        <f>IF(ISNUMBER(Main_S[[#This Row],[Free CF]]),IF(Main_S[[#This Row],[Free CF]]&lt;&gt;0,Main_S[[#This Row],[Current Price]]/Main_S[[#This Row],[Free CF]],""),"")</f>
        <v>-30.614754098360656</v>
      </c>
      <c r="I137" s="1">
        <f>IF(ISNUMBER(Main_S[[#This Row],[BVPS]]),IF(Main_S[[#This Row],[BVPS]]&lt;&gt;0,Main_S[[#This Row],[Current Price]]/Main_S[[#This Row],[BVPS]],""),"")</f>
        <v>0.81443523767989534</v>
      </c>
      <c r="J137">
        <v>-27.65</v>
      </c>
      <c r="K137">
        <v>0.73</v>
      </c>
      <c r="L137">
        <v>1.84</v>
      </c>
      <c r="M137" s="1">
        <f>IF(ISNUMBER(Main_S[[#This Row],[EPS]]),IF(Main_S[[#This Row],[EPS]]&lt;&gt;0,Main_S[[#This Row],[Current Price]]/Main_S[[#This Row],[EPS]],""),"")</f>
        <v>-2.4933244325767689</v>
      </c>
      <c r="N1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7" s="1">
        <f>(Main_S[[#This Row],[P/FCF]]-VLOOKUP(Main_S[[#This Row],[Industry]], Mean_PFCF_S, 2, FALSE))/(VLOOKUP(Main_S[[#This Row],[Industry]], Mean_PFCF_S, 3, FALSE))</f>
        <v>-0.73783345951640078</v>
      </c>
      <c r="P137" s="1">
        <f>(Main_S[[#This Row],[P/B]]-VLOOKUP(Main_S[[#This Row],[Industry]], Mean_PB_S, 2, FALSE))/(VLOOKUP(Main_S[[#This Row],[Industry]], Mean_PB_S, 3, FALSE))</f>
        <v>-0.94963435289035258</v>
      </c>
      <c r="Q137" s="1">
        <f>(Main_S[[#This Row],[ROE]]-VLOOKUP(Main_S[[#This Row],[Industry]], Mean_ROE_S, 2, FALSE))/(VLOOKUP(Main_S[[#This Row],[Industry]], Mean_ROE_S, 3, FALSE))</f>
        <v>-0.11142876480392894</v>
      </c>
      <c r="R137" s="1">
        <f>(Main_S[[#This Row],[ROA]]-VLOOKUP(Main_S[[#This Row],[Industry]], Mean_ROA_S, 2, FALSE))/(VLOOKUP(Main_S[[#This Row],[Industry]], Mean_ROA_S, 3, FALSE))</f>
        <v>0.48165486572630056</v>
      </c>
      <c r="S137" s="1">
        <f>(Main_S[[#This Row],[A/E]]-VLOOKUP(Main_S[[#This Row],[Industry]], Mean_AE_S, 2, FALSE))/(VLOOKUP(Main_S[[#This Row],[Industry]], Mean_AE_S, 3, FALSE))</f>
        <v>0.15365896374030114</v>
      </c>
      <c r="T137" s="1">
        <f>(Main_S[[#This Row],[P/E]]-VLOOKUP(Main_S[[#This Row],[Industry]], Mean_PE_S, 2, FALSE))/(VLOOKUP(Main_S[[#This Row],[Industry]], Mean_PE_S, 3, FALSE))</f>
        <v>0.61392537651039059</v>
      </c>
      <c r="U1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8" spans="1:26" x14ac:dyDescent="0.25">
      <c r="A138" s="68" t="s">
        <v>105</v>
      </c>
      <c r="B138" s="68" t="s">
        <v>326</v>
      </c>
      <c r="C138" s="2">
        <v>989</v>
      </c>
      <c r="D138">
        <f>RTD("tos.rtd", , "LAST", Main_S[[#This Row],[Symbol]])</f>
        <v>13.51</v>
      </c>
      <c r="E138">
        <v>-0.33</v>
      </c>
      <c r="F138">
        <v>20.03</v>
      </c>
      <c r="G138">
        <v>-0.38</v>
      </c>
      <c r="H138" s="1">
        <f>IF(ISNUMBER(Main_S[[#This Row],[Free CF]]),IF(Main_S[[#This Row],[Free CF]]&lt;&gt;0,Main_S[[#This Row],[Current Price]]/Main_S[[#This Row],[Free CF]],""),"")</f>
        <v>-40.939393939393938</v>
      </c>
      <c r="I138" s="1">
        <f>IF(ISNUMBER(Main_S[[#This Row],[BVPS]]),IF(Main_S[[#This Row],[BVPS]]&lt;&gt;0,Main_S[[#This Row],[Current Price]]/Main_S[[#This Row],[BVPS]],""),"")</f>
        <v>0.67448826759860203</v>
      </c>
      <c r="J138">
        <v>-0.44</v>
      </c>
      <c r="K138">
        <v>2.91</v>
      </c>
      <c r="L138">
        <v>2.61</v>
      </c>
      <c r="M138" s="1">
        <f>IF(ISNUMBER(Main_S[[#This Row],[EPS]]),IF(Main_S[[#This Row],[EPS]]&lt;&gt;0,Main_S[[#This Row],[Current Price]]/Main_S[[#This Row],[EPS]],""),"")</f>
        <v>-35.55263157894737</v>
      </c>
      <c r="N1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8" s="1">
        <f>(Main_S[[#This Row],[P/FCF]]-VLOOKUP(Main_S[[#This Row],[Industry]], Mean_PFCF_S, 2, FALSE))/(VLOOKUP(Main_S[[#This Row],[Industry]], Mean_PFCF_S, 3, FALSE))</f>
        <v>-1.082785956880046</v>
      </c>
      <c r="P138" s="1">
        <f>(Main_S[[#This Row],[P/B]]-VLOOKUP(Main_S[[#This Row],[Industry]], Mean_PB_S, 2, FALSE))/(VLOOKUP(Main_S[[#This Row],[Industry]], Mean_PB_S, 3, FALSE))</f>
        <v>-0.99896063327900786</v>
      </c>
      <c r="Q138" s="1">
        <f>(Main_S[[#This Row],[ROE]]-VLOOKUP(Main_S[[#This Row],[Industry]], Mean_ROE_S, 2, FALSE))/(VLOOKUP(Main_S[[#This Row],[Industry]], Mean_ROE_S, 3, FALSE))</f>
        <v>0.70532640469125729</v>
      </c>
      <c r="R138" s="1">
        <f>(Main_S[[#This Row],[ROA]]-VLOOKUP(Main_S[[#This Row],[Industry]], Mean_ROA_S, 2, FALSE))/(VLOOKUP(Main_S[[#This Row],[Industry]], Mean_ROA_S, 3, FALSE))</f>
        <v>0.68962864285595349</v>
      </c>
      <c r="S138" s="1">
        <f>(Main_S[[#This Row],[A/E]]-VLOOKUP(Main_S[[#This Row],[Industry]], Mean_AE_S, 2, FALSE))/(VLOOKUP(Main_S[[#This Row],[Industry]], Mean_AE_S, 3, FALSE))</f>
        <v>1.4241814021835975</v>
      </c>
      <c r="T138" s="1">
        <f>(Main_S[[#This Row],[P/E]]-VLOOKUP(Main_S[[#This Row],[Industry]], Mean_PE_S, 2, FALSE))/(VLOOKUP(Main_S[[#This Row],[Industry]], Mean_PE_S, 3, FALSE))</f>
        <v>-2.0915461345592976</v>
      </c>
      <c r="U1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39" spans="1:26" x14ac:dyDescent="0.25">
      <c r="A139" s="68" t="s">
        <v>105</v>
      </c>
      <c r="B139" s="68" t="s">
        <v>327</v>
      </c>
      <c r="C139" s="2">
        <v>866</v>
      </c>
      <c r="D139">
        <f>RTD("tos.rtd", , "LAST", Main_S[[#This Row],[Symbol]])</f>
        <v>14.92</v>
      </c>
      <c r="E139">
        <v>1.62</v>
      </c>
      <c r="F139">
        <v>9.01</v>
      </c>
      <c r="G139">
        <v>2.29</v>
      </c>
      <c r="H139" s="1">
        <f>IF(ISNUMBER(Main_S[[#This Row],[Free CF]]),IF(Main_S[[#This Row],[Free CF]]&lt;&gt;0,Main_S[[#This Row],[Current Price]]/Main_S[[#This Row],[Free CF]],""),"")</f>
        <v>9.2098765432098766</v>
      </c>
      <c r="I139" s="1">
        <f>IF(ISNUMBER(Main_S[[#This Row],[BVPS]]),IF(Main_S[[#This Row],[BVPS]]&lt;&gt;0,Main_S[[#This Row],[Current Price]]/Main_S[[#This Row],[BVPS]],""),"")</f>
        <v>1.655937846836848</v>
      </c>
      <c r="J139">
        <v>24.5</v>
      </c>
      <c r="K139">
        <v>8.6199999999999992</v>
      </c>
      <c r="L139">
        <v>1.1399999999999999</v>
      </c>
      <c r="M139" s="1">
        <f>IF(ISNUMBER(Main_S[[#This Row],[EPS]]),IF(Main_S[[#This Row],[EPS]]&lt;&gt;0,Main_S[[#This Row],[Current Price]]/Main_S[[#This Row],[EPS]],""),"")</f>
        <v>6.5152838427947595</v>
      </c>
      <c r="N1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39" s="1">
        <f>(Main_S[[#This Row],[P/FCF]]-VLOOKUP(Main_S[[#This Row],[Industry]], Mean_PFCF_S, 2, FALSE))/(VLOOKUP(Main_S[[#This Row],[Industry]], Mean_PFCF_S, 3, FALSE))</f>
        <v>0.59273167475560107</v>
      </c>
      <c r="P139" s="1">
        <f>(Main_S[[#This Row],[P/B]]-VLOOKUP(Main_S[[#This Row],[Industry]], Mean_PB_S, 2, FALSE))/(VLOOKUP(Main_S[[#This Row],[Industry]], Mean_PB_S, 3, FALSE))</f>
        <v>-0.65303490795096342</v>
      </c>
      <c r="Q139" s="1">
        <f>(Main_S[[#This Row],[ROE]]-VLOOKUP(Main_S[[#This Row],[Industry]], Mean_ROE_S, 2, FALSE))/(VLOOKUP(Main_S[[#This Row],[Industry]], Mean_ROE_S, 3, FALSE))</f>
        <v>1.4539436015751217</v>
      </c>
      <c r="R139" s="1">
        <f>(Main_S[[#This Row],[ROA]]-VLOOKUP(Main_S[[#This Row],[Industry]], Mean_ROA_S, 2, FALSE))/(VLOOKUP(Main_S[[#This Row],[Industry]], Mean_ROA_S, 3, FALSE))</f>
        <v>1.2343672976313287</v>
      </c>
      <c r="S139" s="1">
        <f>(Main_S[[#This Row],[A/E]]-VLOOKUP(Main_S[[#This Row],[Industry]], Mean_AE_S, 2, FALSE))/(VLOOKUP(Main_S[[#This Row],[Industry]], Mean_AE_S, 3, FALSE))</f>
        <v>-1.0013614348445143</v>
      </c>
      <c r="T139" s="1">
        <f>(Main_S[[#This Row],[P/E]]-VLOOKUP(Main_S[[#This Row],[Industry]], Mean_PE_S, 2, FALSE))/(VLOOKUP(Main_S[[#This Row],[Industry]], Mean_PE_S, 3, FALSE))</f>
        <v>1.3511620323027982</v>
      </c>
      <c r="U1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0" spans="1:26" x14ac:dyDescent="0.25">
      <c r="A140" s="68" t="s">
        <v>105</v>
      </c>
      <c r="B140" s="68" t="s">
        <v>328</v>
      </c>
      <c r="C140" s="2">
        <v>649</v>
      </c>
      <c r="D140">
        <f>RTD("tos.rtd", , "LAST", Main_S[[#This Row],[Symbol]])</f>
        <v>53.23</v>
      </c>
      <c r="E140">
        <v>1.33</v>
      </c>
      <c r="F140">
        <v>7.08</v>
      </c>
      <c r="G140">
        <v>1.55</v>
      </c>
      <c r="H140" s="1">
        <f>IF(ISNUMBER(Main_S[[#This Row],[Free CF]]),IF(Main_S[[#This Row],[Free CF]]&lt;&gt;0,Main_S[[#This Row],[Current Price]]/Main_S[[#This Row],[Free CF]],""),"")</f>
        <v>40.022556390977442</v>
      </c>
      <c r="I140" s="1">
        <f>IF(ISNUMBER(Main_S[[#This Row],[BVPS]]),IF(Main_S[[#This Row],[BVPS]]&lt;&gt;0,Main_S[[#This Row],[Current Price]]/Main_S[[#This Row],[BVPS]],""),"")</f>
        <v>7.5183615819209031</v>
      </c>
      <c r="J140">
        <v>23.81</v>
      </c>
      <c r="K140">
        <v>14.92</v>
      </c>
      <c r="L140">
        <v>1.1299999999999999</v>
      </c>
      <c r="M140" s="1">
        <f>IF(ISNUMBER(Main_S[[#This Row],[EPS]]),IF(Main_S[[#This Row],[EPS]]&lt;&gt;0,Main_S[[#This Row],[Current Price]]/Main_S[[#This Row],[EPS]],""),"")</f>
        <v>34.341935483870962</v>
      </c>
      <c r="N1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0" s="1">
        <f>(Main_S[[#This Row],[P/FCF]]-VLOOKUP(Main_S[[#This Row],[Industry]], Mean_PFCF_S, 2, FALSE))/(VLOOKUP(Main_S[[#This Row],[Industry]], Mean_PFCF_S, 3, FALSE))</f>
        <v>1.6222020512147721</v>
      </c>
      <c r="P140" s="1">
        <f>(Main_S[[#This Row],[P/B]]-VLOOKUP(Main_S[[#This Row],[Industry]], Mean_PB_S, 2, FALSE))/(VLOOKUP(Main_S[[#This Row],[Industry]], Mean_PB_S, 3, FALSE))</f>
        <v>1.4132588942363109</v>
      </c>
      <c r="Q140" s="1">
        <f>(Main_S[[#This Row],[ROE]]-VLOOKUP(Main_S[[#This Row],[Industry]], Mean_ROE_S, 2, FALSE))/(VLOOKUP(Main_S[[#This Row],[Industry]], Mean_ROE_S, 3, FALSE))</f>
        <v>1.4332320592395213</v>
      </c>
      <c r="R140" s="1">
        <f>(Main_S[[#This Row],[ROA]]-VLOOKUP(Main_S[[#This Row],[Industry]], Mean_ROA_S, 2, FALSE))/(VLOOKUP(Main_S[[#This Row],[Industry]], Mean_ROA_S, 3, FALSE))</f>
        <v>1.8353924333729863</v>
      </c>
      <c r="S140" s="1">
        <f>(Main_S[[#This Row],[A/E]]-VLOOKUP(Main_S[[#This Row],[Industry]], Mean_AE_S, 2, FALSE))/(VLOOKUP(Main_S[[#This Row],[Industry]], Mean_AE_S, 3, FALSE))</f>
        <v>-1.0178617262528689</v>
      </c>
      <c r="T140" s="1">
        <f>(Main_S[[#This Row],[P/E]]-VLOOKUP(Main_S[[#This Row],[Industry]], Mean_PE_S, 2, FALSE))/(VLOOKUP(Main_S[[#This Row],[Industry]], Mean_PE_S, 3, FALSE))</f>
        <v>3.628409190873612</v>
      </c>
      <c r="U1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1" spans="1:26" x14ac:dyDescent="0.25">
      <c r="A141" s="68" t="s">
        <v>105</v>
      </c>
      <c r="B141" s="68" t="s">
        <v>329</v>
      </c>
      <c r="C141" s="2">
        <v>1844</v>
      </c>
      <c r="D141">
        <f>RTD("tos.rtd", , "LAST", Main_S[[#This Row],[Symbol]])</f>
        <v>83.28</v>
      </c>
      <c r="E141">
        <v>1.66</v>
      </c>
      <c r="F141">
        <v>15.4</v>
      </c>
      <c r="G141">
        <v>1.97</v>
      </c>
      <c r="H141" s="1">
        <f>IF(ISNUMBER(Main_S[[#This Row],[Free CF]]),IF(Main_S[[#This Row],[Free CF]]&lt;&gt;0,Main_S[[#This Row],[Current Price]]/Main_S[[#This Row],[Free CF]],""),"")</f>
        <v>50.168674698795186</v>
      </c>
      <c r="I141" s="1">
        <f>IF(ISNUMBER(Main_S[[#This Row],[BVPS]]),IF(Main_S[[#This Row],[BVPS]]&lt;&gt;0,Main_S[[#This Row],[Current Price]]/Main_S[[#This Row],[BVPS]],""),"")</f>
        <v>5.407792207792208</v>
      </c>
      <c r="J141">
        <v>13.77</v>
      </c>
      <c r="K141">
        <v>7.28</v>
      </c>
      <c r="L141">
        <v>1.6</v>
      </c>
      <c r="M141" s="1">
        <f>IF(ISNUMBER(Main_S[[#This Row],[EPS]]),IF(Main_S[[#This Row],[EPS]]&lt;&gt;0,Main_S[[#This Row],[Current Price]]/Main_S[[#This Row],[EPS]],""),"")</f>
        <v>42.274111675126903</v>
      </c>
      <c r="N1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1" s="1">
        <f>(Main_S[[#This Row],[P/FCF]]-VLOOKUP(Main_S[[#This Row],[Industry]], Mean_PFCF_S, 2, FALSE))/(VLOOKUP(Main_S[[#This Row],[Industry]], Mean_PFCF_S, 3, FALSE))</f>
        <v>1.9611900355625598</v>
      </c>
      <c r="P141" s="1">
        <f>(Main_S[[#This Row],[P/B]]-VLOOKUP(Main_S[[#This Row],[Industry]], Mean_PB_S, 2, FALSE))/(VLOOKUP(Main_S[[#This Row],[Industry]], Mean_PB_S, 3, FALSE))</f>
        <v>0.66935899652858077</v>
      </c>
      <c r="Q141" s="1">
        <f>(Main_S[[#This Row],[ROE]]-VLOOKUP(Main_S[[#This Row],[Industry]], Mean_ROE_S, 2, FALSE))/(VLOOKUP(Main_S[[#This Row],[Industry]], Mean_ROE_S, 3, FALSE))</f>
        <v>1.1318641098925288</v>
      </c>
      <c r="R141" s="1">
        <f>(Main_S[[#This Row],[ROA]]-VLOOKUP(Main_S[[#This Row],[Industry]], Mean_ROA_S, 2, FALSE))/(VLOOKUP(Main_S[[#This Row],[Industry]], Mean_ROA_S, 3, FALSE))</f>
        <v>1.1065302052672301</v>
      </c>
      <c r="S141" s="1">
        <f>(Main_S[[#This Row],[A/E]]-VLOOKUP(Main_S[[#This Row],[Industry]], Mean_AE_S, 2, FALSE))/(VLOOKUP(Main_S[[#This Row],[Industry]], Mean_AE_S, 3, FALSE))</f>
        <v>-0.24234803006020691</v>
      </c>
      <c r="T141" s="1">
        <f>(Main_S[[#This Row],[P/E]]-VLOOKUP(Main_S[[#This Row],[Industry]], Mean_PE_S, 2, FALSE))/(VLOOKUP(Main_S[[#This Row],[Industry]], Mean_PE_S, 3, FALSE))</f>
        <v>4.277553972136344</v>
      </c>
      <c r="U1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2" spans="1:26" x14ac:dyDescent="0.25">
      <c r="A142" s="68" t="s">
        <v>105</v>
      </c>
      <c r="B142" s="68" t="s">
        <v>330</v>
      </c>
      <c r="C142" s="2">
        <v>397</v>
      </c>
      <c r="D142">
        <f>RTD("tos.rtd", , "LAST", Main_S[[#This Row],[Symbol]])</f>
        <v>12.95</v>
      </c>
      <c r="E142">
        <v>-0.63</v>
      </c>
      <c r="F142">
        <v>0.27</v>
      </c>
      <c r="G142">
        <v>-0.93</v>
      </c>
      <c r="H142" s="1">
        <f>IF(ISNUMBER(Main_S[[#This Row],[Free CF]]),IF(Main_S[[#This Row],[Free CF]]&lt;&gt;0,Main_S[[#This Row],[Current Price]]/Main_S[[#This Row],[Free CF]],""),"")</f>
        <v>-20.555555555555554</v>
      </c>
      <c r="I142" s="1">
        <f>IF(ISNUMBER(Main_S[[#This Row],[BVPS]]),IF(Main_S[[#This Row],[BVPS]]&lt;&gt;0,Main_S[[#This Row],[Current Price]]/Main_S[[#This Row],[BVPS]],""),"")</f>
        <v>47.962962962962955</v>
      </c>
      <c r="J142">
        <v>-189.35</v>
      </c>
      <c r="K142">
        <v>-13.39</v>
      </c>
      <c r="L142">
        <v>11.81</v>
      </c>
      <c r="M142" s="1">
        <f>IF(ISNUMBER(Main_S[[#This Row],[EPS]]),IF(Main_S[[#This Row],[EPS]]&lt;&gt;0,Main_S[[#This Row],[Current Price]]/Main_S[[#This Row],[EPS]],""),"")</f>
        <v>-13.924731182795698</v>
      </c>
      <c r="N1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2" s="1">
        <f>(Main_S[[#This Row],[P/FCF]]-VLOOKUP(Main_S[[#This Row],[Industry]], Mean_PFCF_S, 2, FALSE))/(VLOOKUP(Main_S[[#This Row],[Industry]], Mean_PFCF_S, 3, FALSE))</f>
        <v>-0.40174951738926379</v>
      </c>
      <c r="P142" s="1">
        <f>(Main_S[[#This Row],[P/B]]-VLOOKUP(Main_S[[#This Row],[Industry]], Mean_PB_S, 2, FALSE))/(VLOOKUP(Main_S[[#This Row],[Industry]], Mean_PB_S, 3, FALSE))</f>
        <v>15.668528206389476</v>
      </c>
      <c r="Q142" s="1">
        <f>(Main_S[[#This Row],[ROE]]-VLOOKUP(Main_S[[#This Row],[Industry]], Mean_ROE_S, 2, FALSE))/(VLOOKUP(Main_S[[#This Row],[Industry]], Mean_ROE_S, 3, FALSE))</f>
        <v>-4.9651336860597768</v>
      </c>
      <c r="R142" s="1">
        <f>(Main_S[[#This Row],[ROA]]-VLOOKUP(Main_S[[#This Row],[Industry]], Mean_ROA_S, 2, FALSE))/(VLOOKUP(Main_S[[#This Row],[Industry]], Mean_ROA_S, 3, FALSE))</f>
        <v>-0.86540464485658908</v>
      </c>
      <c r="S142" s="1">
        <f>(Main_S[[#This Row],[A/E]]-VLOOKUP(Main_S[[#This Row],[Industry]], Mean_AE_S, 2, FALSE))/(VLOOKUP(Main_S[[#This Row],[Industry]], Mean_AE_S, 3, FALSE))</f>
        <v>16.604449497869741</v>
      </c>
      <c r="T142" s="1">
        <f>(Main_S[[#This Row],[P/E]]-VLOOKUP(Main_S[[#This Row],[Industry]], Mean_PE_S, 2, FALSE))/(VLOOKUP(Main_S[[#This Row],[Industry]], Mean_PE_S, 3, FALSE))</f>
        <v>-0.32158561763221905</v>
      </c>
      <c r="U1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3" spans="1:26" x14ac:dyDescent="0.25">
      <c r="A143" s="68" t="s">
        <v>105</v>
      </c>
      <c r="B143" s="68" t="s">
        <v>331</v>
      </c>
      <c r="C143" s="2">
        <v>1856</v>
      </c>
      <c r="D143">
        <f>RTD("tos.rtd", , "LAST", Main_S[[#This Row],[Symbol]])</f>
        <v>18.14</v>
      </c>
      <c r="E143">
        <v>-0.66</v>
      </c>
      <c r="F143">
        <v>3.25</v>
      </c>
      <c r="G143">
        <v>-1.51</v>
      </c>
      <c r="H143" s="1">
        <f>IF(ISNUMBER(Main_S[[#This Row],[Free CF]]),IF(Main_S[[#This Row],[Free CF]]&lt;&gt;0,Main_S[[#This Row],[Current Price]]/Main_S[[#This Row],[Free CF]],""),"")</f>
        <v>-27.484848484848484</v>
      </c>
      <c r="I143" s="1">
        <f>IF(ISNUMBER(Main_S[[#This Row],[BVPS]]),IF(Main_S[[#This Row],[BVPS]]&lt;&gt;0,Main_S[[#This Row],[Current Price]]/Main_S[[#This Row],[BVPS]],""),"")</f>
        <v>5.5815384615384618</v>
      </c>
      <c r="J143">
        <v>-45.52</v>
      </c>
      <c r="K143">
        <v>-8.64</v>
      </c>
      <c r="L143">
        <v>3.45</v>
      </c>
      <c r="M143" s="1">
        <f>IF(ISNUMBER(Main_S[[#This Row],[EPS]]),IF(Main_S[[#This Row],[EPS]]&lt;&gt;0,Main_S[[#This Row],[Current Price]]/Main_S[[#This Row],[EPS]],""),"")</f>
        <v>-12.013245033112582</v>
      </c>
      <c r="N1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3" s="1">
        <f>(Main_S[[#This Row],[P/FCF]]-VLOOKUP(Main_S[[#This Row],[Industry]], Mean_PFCF_S, 2, FALSE))/(VLOOKUP(Main_S[[#This Row],[Industry]], Mean_PFCF_S, 3, FALSE))</f>
        <v>-0.63326140910912343</v>
      </c>
      <c r="P143" s="1">
        <f>(Main_S[[#This Row],[P/B]]-VLOOKUP(Main_S[[#This Row],[Industry]], Mean_PB_S, 2, FALSE))/(VLOOKUP(Main_S[[#This Row],[Industry]], Mean_PB_S, 3, FALSE))</f>
        <v>0.73059831041860523</v>
      </c>
      <c r="Q143" s="1">
        <f>(Main_S[[#This Row],[ROE]]-VLOOKUP(Main_S[[#This Row],[Industry]], Mean_ROE_S, 2, FALSE))/(VLOOKUP(Main_S[[#This Row],[Industry]], Mean_ROE_S, 3, FALSE))</f>
        <v>-0.64782769456794886</v>
      </c>
      <c r="R143" s="1">
        <f>(Main_S[[#This Row],[ROA]]-VLOOKUP(Main_S[[#This Row],[Industry]], Mean_ROA_S, 2, FALSE))/(VLOOKUP(Main_S[[#This Row],[Industry]], Mean_ROA_S, 3, FALSE))</f>
        <v>-0.41225077267041876</v>
      </c>
      <c r="S143" s="1">
        <f>(Main_S[[#This Row],[A/E]]-VLOOKUP(Main_S[[#This Row],[Industry]], Mean_AE_S, 2, FALSE))/(VLOOKUP(Main_S[[#This Row],[Industry]], Mean_AE_S, 3, FALSE))</f>
        <v>2.810205880485376</v>
      </c>
      <c r="T143" s="1">
        <f>(Main_S[[#This Row],[P/E]]-VLOOKUP(Main_S[[#This Row],[Industry]], Mean_PE_S, 2, FALSE))/(VLOOKUP(Main_S[[#This Row],[Industry]], Mean_PE_S, 3, FALSE))</f>
        <v>-0.16515549951524855</v>
      </c>
      <c r="U1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4" spans="1:26" x14ac:dyDescent="0.25">
      <c r="A144" s="68" t="s">
        <v>105</v>
      </c>
      <c r="B144" s="68" t="s">
        <v>332</v>
      </c>
      <c r="C144" s="2">
        <v>471</v>
      </c>
      <c r="D144">
        <f>RTD("tos.rtd", , "LAST", Main_S[[#This Row],[Symbol]])</f>
        <v>12.49</v>
      </c>
      <c r="E144">
        <v>-0.24</v>
      </c>
      <c r="F144">
        <v>13.07</v>
      </c>
      <c r="G144">
        <v>-3.3</v>
      </c>
      <c r="H144" s="1">
        <f>IF(ISNUMBER(Main_S[[#This Row],[Free CF]]),IF(Main_S[[#This Row],[Free CF]]&lt;&gt;0,Main_S[[#This Row],[Current Price]]/Main_S[[#This Row],[Free CF]],""),"")</f>
        <v>-52.041666666666671</v>
      </c>
      <c r="I144" s="1">
        <f>IF(ISNUMBER(Main_S[[#This Row],[BVPS]]),IF(Main_S[[#This Row],[BVPS]]&lt;&gt;0,Main_S[[#This Row],[Current Price]]/Main_S[[#This Row],[BVPS]],""),"")</f>
        <v>0.95562356541698545</v>
      </c>
      <c r="J144">
        <v>-22.87</v>
      </c>
      <c r="K144">
        <v>-4.5</v>
      </c>
      <c r="L144">
        <v>1.78</v>
      </c>
      <c r="M144" s="1">
        <f>IF(ISNUMBER(Main_S[[#This Row],[EPS]]),IF(Main_S[[#This Row],[EPS]]&lt;&gt;0,Main_S[[#This Row],[Current Price]]/Main_S[[#This Row],[EPS]],""),"")</f>
        <v>-3.7848484848484851</v>
      </c>
      <c r="N1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4" s="1">
        <f>(Main_S[[#This Row],[P/FCF]]-VLOOKUP(Main_S[[#This Row],[Industry]], Mean_PFCF_S, 2, FALSE))/(VLOOKUP(Main_S[[#This Row],[Industry]], Mean_PFCF_S, 3, FALSE))</f>
        <v>-1.4537196419916945</v>
      </c>
      <c r="P144" s="1">
        <f>(Main_S[[#This Row],[P/B]]-VLOOKUP(Main_S[[#This Row],[Industry]], Mean_PB_S, 2, FALSE))/(VLOOKUP(Main_S[[#This Row],[Industry]], Mean_PB_S, 3, FALSE))</f>
        <v>-0.89987053851466725</v>
      </c>
      <c r="Q144" s="1">
        <f>(Main_S[[#This Row],[ROE]]-VLOOKUP(Main_S[[#This Row],[Industry]], Mean_ROE_S, 2, FALSE))/(VLOOKUP(Main_S[[#This Row],[Industry]], Mean_ROE_S, 3, FALSE))</f>
        <v>3.2051195144141204E-2</v>
      </c>
      <c r="R144" s="1">
        <f>(Main_S[[#This Row],[ROA]]-VLOOKUP(Main_S[[#This Row],[Industry]], Mean_ROA_S, 2, FALSE))/(VLOOKUP(Main_S[[#This Row],[Industry]], Mean_ROA_S, 3, FALSE))</f>
        <v>-1.7291397754472325E-2</v>
      </c>
      <c r="S144" s="1">
        <f>(Main_S[[#This Row],[A/E]]-VLOOKUP(Main_S[[#This Row],[Industry]], Mean_AE_S, 2, FALSE))/(VLOOKUP(Main_S[[#This Row],[Industry]], Mean_AE_S, 3, FALSE))</f>
        <v>5.465721529017404E-2</v>
      </c>
      <c r="T144" s="1">
        <f>(Main_S[[#This Row],[P/E]]-VLOOKUP(Main_S[[#This Row],[Industry]], Mean_PE_S, 2, FALSE))/(VLOOKUP(Main_S[[#This Row],[Industry]], Mean_PE_S, 3, FALSE))</f>
        <v>0.50823104015264831</v>
      </c>
      <c r="U1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5" spans="1:26" x14ac:dyDescent="0.25">
      <c r="A145" s="68" t="s">
        <v>105</v>
      </c>
      <c r="B145" s="68" t="s">
        <v>333</v>
      </c>
      <c r="C145" s="2">
        <v>1154</v>
      </c>
      <c r="D145">
        <f>RTD("tos.rtd", , "LAST", Main_S[[#This Row],[Symbol]])</f>
        <v>28</v>
      </c>
      <c r="E145">
        <v>2.93</v>
      </c>
      <c r="F145">
        <v>26.81</v>
      </c>
      <c r="G145">
        <v>0.27</v>
      </c>
      <c r="H145" s="1">
        <f>IF(ISNUMBER(Main_S[[#This Row],[Free CF]]),IF(Main_S[[#This Row],[Free CF]]&lt;&gt;0,Main_S[[#This Row],[Current Price]]/Main_S[[#This Row],[Free CF]],""),"")</f>
        <v>9.5563139931740615</v>
      </c>
      <c r="I145" s="1">
        <f>IF(ISNUMBER(Main_S[[#This Row],[BVPS]]),IF(Main_S[[#This Row],[BVPS]]&lt;&gt;0,Main_S[[#This Row],[Current Price]]/Main_S[[#This Row],[BVPS]],""),"")</f>
        <v>1.0443864229765014</v>
      </c>
      <c r="J145">
        <v>1.03</v>
      </c>
      <c r="K145">
        <v>0.16</v>
      </c>
      <c r="L145">
        <v>1.71</v>
      </c>
      <c r="M145" s="1">
        <f>IF(ISNUMBER(Main_S[[#This Row],[EPS]]),IF(Main_S[[#This Row],[EPS]]&lt;&gt;0,Main_S[[#This Row],[Current Price]]/Main_S[[#This Row],[EPS]],""),"")</f>
        <v>103.7037037037037</v>
      </c>
      <c r="N1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5" s="1">
        <f>(Main_S[[#This Row],[P/FCF]]-VLOOKUP(Main_S[[#This Row],[Industry]], Mean_PFCF_S, 2, FALSE))/(VLOOKUP(Main_S[[#This Row],[Industry]], Mean_PFCF_S, 3, FALSE))</f>
        <v>0.60430636068997057</v>
      </c>
      <c r="P145" s="1">
        <f>(Main_S[[#This Row],[P/B]]-VLOOKUP(Main_S[[#This Row],[Industry]], Mean_PB_S, 2, FALSE))/(VLOOKUP(Main_S[[#This Row],[Industry]], Mean_PB_S, 3, FALSE))</f>
        <v>-0.86858481937737075</v>
      </c>
      <c r="Q145" s="1">
        <f>(Main_S[[#This Row],[ROE]]-VLOOKUP(Main_S[[#This Row],[Industry]], Mean_ROE_S, 2, FALSE))/(VLOOKUP(Main_S[[#This Row],[Industry]], Mean_ROE_S, 3, FALSE))</f>
        <v>0.74945099488449229</v>
      </c>
      <c r="R145" s="1">
        <f>(Main_S[[#This Row],[ROA]]-VLOOKUP(Main_S[[#This Row],[Industry]], Mean_ROA_S, 2, FALSE))/(VLOOKUP(Main_S[[#This Row],[Industry]], Mean_ROA_S, 3, FALSE))</f>
        <v>0.42727640106396009</v>
      </c>
      <c r="S145" s="1">
        <f>(Main_S[[#This Row],[A/E]]-VLOOKUP(Main_S[[#This Row],[Industry]], Mean_AE_S, 2, FALSE))/(VLOOKUP(Main_S[[#This Row],[Industry]], Mean_AE_S, 3, FALSE))</f>
        <v>-6.084482456830758E-2</v>
      </c>
      <c r="T145" s="1">
        <f>(Main_S[[#This Row],[P/E]]-VLOOKUP(Main_S[[#This Row],[Industry]], Mean_PE_S, 2, FALSE))/(VLOOKUP(Main_S[[#This Row],[Industry]], Mean_PE_S, 3, FALSE))</f>
        <v>9.3047619058692774</v>
      </c>
      <c r="U1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46" spans="1:26" x14ac:dyDescent="0.25">
      <c r="A146" s="68" t="s">
        <v>105</v>
      </c>
      <c r="B146" s="68" t="s">
        <v>334</v>
      </c>
      <c r="C146" s="2">
        <v>1123</v>
      </c>
      <c r="D146">
        <f>RTD("tos.rtd", , "LAST", Main_S[[#This Row],[Symbol]])</f>
        <v>16.84</v>
      </c>
      <c r="E146">
        <v>-0.62</v>
      </c>
      <c r="F146">
        <v>1.74</v>
      </c>
      <c r="G146">
        <v>-0.92</v>
      </c>
      <c r="H146" s="1">
        <f>IF(ISNUMBER(Main_S[[#This Row],[Free CF]]),IF(Main_S[[#This Row],[Free CF]]&lt;&gt;0,Main_S[[#This Row],[Current Price]]/Main_S[[#This Row],[Free CF]],""),"")</f>
        <v>-27.161290322580644</v>
      </c>
      <c r="I146" s="1">
        <f>IF(ISNUMBER(Main_S[[#This Row],[BVPS]]),IF(Main_S[[#This Row],[BVPS]]&lt;&gt;0,Main_S[[#This Row],[Current Price]]/Main_S[[#This Row],[BVPS]],""),"")</f>
        <v>9.6781609195402307</v>
      </c>
      <c r="J146">
        <v>-67.31</v>
      </c>
      <c r="K146">
        <v>-36.700000000000003</v>
      </c>
      <c r="L146">
        <v>1.1499999999999999</v>
      </c>
      <c r="M146" s="1">
        <f>IF(ISNUMBER(Main_S[[#This Row],[EPS]]),IF(Main_S[[#This Row],[EPS]]&lt;&gt;0,Main_S[[#This Row],[Current Price]]/Main_S[[#This Row],[EPS]],""),"")</f>
        <v>-18.304347826086957</v>
      </c>
      <c r="N1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6" s="1">
        <f>(Main_S[[#This Row],[P/FCF]]-VLOOKUP(Main_S[[#This Row],[Industry]], Mean_PFCF_S, 2, FALSE))/(VLOOKUP(Main_S[[#This Row],[Industry]], Mean_PFCF_S, 3, FALSE))</f>
        <v>-0.62245113409370811</v>
      </c>
      <c r="P146" s="1">
        <f>(Main_S[[#This Row],[P/B]]-VLOOKUP(Main_S[[#This Row],[Industry]], Mean_PB_S, 2, FALSE))/(VLOOKUP(Main_S[[#This Row],[Industry]], Mean_PB_S, 3, FALSE))</f>
        <v>2.1745105858503444</v>
      </c>
      <c r="Q146" s="1">
        <f>(Main_S[[#This Row],[ROE]]-VLOOKUP(Main_S[[#This Row],[Industry]], Mean_ROE_S, 2, FALSE))/(VLOOKUP(Main_S[[#This Row],[Industry]], Mean_ROE_S, 3, FALSE))</f>
        <v>-1.3018921981805951</v>
      </c>
      <c r="R146" s="1">
        <f>(Main_S[[#This Row],[ROA]]-VLOOKUP(Main_S[[#This Row],[Industry]], Mean_ROA_S, 2, FALSE))/(VLOOKUP(Main_S[[#This Row],[Industry]], Mean_ROA_S, 3, FALSE))</f>
        <v>-3.0891976471007219</v>
      </c>
      <c r="S146" s="1">
        <f>(Main_S[[#This Row],[A/E]]-VLOOKUP(Main_S[[#This Row],[Industry]], Mean_AE_S, 2, FALSE))/(VLOOKUP(Main_S[[#This Row],[Industry]], Mean_AE_S, 3, FALSE))</f>
        <v>-0.98486114343615982</v>
      </c>
      <c r="T146" s="1">
        <f>(Main_S[[#This Row],[P/E]]-VLOOKUP(Main_S[[#This Row],[Industry]], Mean_PE_S, 2, FALSE))/(VLOOKUP(Main_S[[#This Row],[Industry]], Mean_PE_S, 3, FALSE))</f>
        <v>-0.67999990639422614</v>
      </c>
      <c r="U1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7" spans="1:26" x14ac:dyDescent="0.25">
      <c r="A147" s="68" t="s">
        <v>105</v>
      </c>
      <c r="B147" s="68" t="s">
        <v>335</v>
      </c>
      <c r="C147" s="2">
        <v>1744</v>
      </c>
      <c r="D147">
        <f>RTD("tos.rtd", , "LAST", Main_S[[#This Row],[Symbol]])</f>
        <v>35.51</v>
      </c>
      <c r="E147">
        <v>-1.67</v>
      </c>
      <c r="F147">
        <v>44.35</v>
      </c>
      <c r="G147">
        <v>-30.54</v>
      </c>
      <c r="H147" s="1">
        <f>IF(ISNUMBER(Main_S[[#This Row],[Free CF]]),IF(Main_S[[#This Row],[Free CF]]&lt;&gt;0,Main_S[[#This Row],[Current Price]]/Main_S[[#This Row],[Free CF]],""),"")</f>
        <v>-21.263473053892216</v>
      </c>
      <c r="I147" s="1">
        <f>IF(ISNUMBER(Main_S[[#This Row],[BVPS]]),IF(Main_S[[#This Row],[BVPS]]&lt;&gt;0,Main_S[[#This Row],[Current Price]]/Main_S[[#This Row],[BVPS]],""),"")</f>
        <v>0.80067643742953765</v>
      </c>
      <c r="J147">
        <v>-51.36</v>
      </c>
      <c r="K147">
        <v>0.65</v>
      </c>
      <c r="L147">
        <v>2.15</v>
      </c>
      <c r="M147" s="1">
        <f>IF(ISNUMBER(Main_S[[#This Row],[EPS]]),IF(Main_S[[#This Row],[EPS]]&lt;&gt;0,Main_S[[#This Row],[Current Price]]/Main_S[[#This Row],[EPS]],""),"")</f>
        <v>-1.1627373935821872</v>
      </c>
      <c r="N1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7" s="1">
        <f>(Main_S[[#This Row],[P/FCF]]-VLOOKUP(Main_S[[#This Row],[Industry]], Mean_PFCF_S, 2, FALSE))/(VLOOKUP(Main_S[[#This Row],[Industry]], Mean_PFCF_S, 3, FALSE))</f>
        <v>-0.42540147162093961</v>
      </c>
      <c r="P147" s="1">
        <f>(Main_S[[#This Row],[P/B]]-VLOOKUP(Main_S[[#This Row],[Industry]], Mean_PB_S, 2, FALSE))/(VLOOKUP(Main_S[[#This Row],[Industry]], Mean_PB_S, 3, FALSE))</f>
        <v>-0.95448383579495866</v>
      </c>
      <c r="Q147" s="1">
        <f>(Main_S[[#This Row],[ROE]]-VLOOKUP(Main_S[[#This Row],[Industry]], Mean_ROE_S, 2, FALSE))/(VLOOKUP(Main_S[[#This Row],[Industry]], Mean_ROE_S, 3, FALSE))</f>
        <v>-0.82312538621998432</v>
      </c>
      <c r="R147" s="1">
        <f>(Main_S[[#This Row],[ROA]]-VLOOKUP(Main_S[[#This Row],[Industry]], Mean_ROA_S, 2, FALSE))/(VLOOKUP(Main_S[[#This Row],[Industry]], Mean_ROA_S, 3, FALSE))</f>
        <v>0.47402280051053347</v>
      </c>
      <c r="S147" s="1">
        <f>(Main_S[[#This Row],[A/E]]-VLOOKUP(Main_S[[#This Row],[Industry]], Mean_AE_S, 2, FALSE))/(VLOOKUP(Main_S[[#This Row],[Industry]], Mean_AE_S, 3, FALSE))</f>
        <v>0.66516799739929044</v>
      </c>
      <c r="T147" s="1">
        <f>(Main_S[[#This Row],[P/E]]-VLOOKUP(Main_S[[#This Row],[Industry]], Mean_PE_S, 2, FALSE))/(VLOOKUP(Main_S[[#This Row],[Industry]], Mean_PE_S, 3, FALSE))</f>
        <v>0.72281650695846544</v>
      </c>
      <c r="U1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8" spans="1:26" x14ac:dyDescent="0.25">
      <c r="A148" s="68" t="s">
        <v>105</v>
      </c>
      <c r="B148" s="68" t="s">
        <v>336</v>
      </c>
      <c r="C148" s="2">
        <v>451</v>
      </c>
      <c r="D148">
        <f>RTD("tos.rtd", , "LAST", Main_S[[#This Row],[Symbol]])</f>
        <v>0.59570000000000001</v>
      </c>
      <c r="E148">
        <v>-0.1</v>
      </c>
      <c r="F148">
        <v>-0.03</v>
      </c>
      <c r="G148">
        <v>-0.12</v>
      </c>
      <c r="H148" s="1">
        <f>IF(ISNUMBER(Main_S[[#This Row],[Free CF]]),IF(Main_S[[#This Row],[Free CF]]&lt;&gt;0,Main_S[[#This Row],[Current Price]]/Main_S[[#This Row],[Free CF]],""),"")</f>
        <v>-5.9569999999999999</v>
      </c>
      <c r="I148" s="1">
        <f>IF(ISNUMBER(Main_S[[#This Row],[BVPS]]),IF(Main_S[[#This Row],[BVPS]]&lt;&gt;0,Main_S[[#This Row],[Current Price]]/Main_S[[#This Row],[BVPS]],""),"")</f>
        <v>-19.856666666666669</v>
      </c>
      <c r="J148">
        <v>-166.29</v>
      </c>
      <c r="K148">
        <v>-39.200000000000003</v>
      </c>
      <c r="L148">
        <v>-6.07</v>
      </c>
      <c r="M148" s="1">
        <f>IF(ISNUMBER(Main_S[[#This Row],[EPS]]),IF(Main_S[[#This Row],[EPS]]&lt;&gt;0,Main_S[[#This Row],[Current Price]]/Main_S[[#This Row],[EPS]],""),"")</f>
        <v>-4.9641666666666673</v>
      </c>
      <c r="N1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8" s="1">
        <f>(Main_S[[#This Row],[P/FCF]]-VLOOKUP(Main_S[[#This Row],[Industry]], Mean_PFCF_S, 2, FALSE))/(VLOOKUP(Main_S[[#This Row],[Industry]], Mean_PFCF_S, 3, FALSE))</f>
        <v>8.5997103735180921E-2</v>
      </c>
      <c r="P148" s="1">
        <f>(Main_S[[#This Row],[P/B]]-VLOOKUP(Main_S[[#This Row],[Industry]], Mean_PB_S, 2, FALSE))/(VLOOKUP(Main_S[[#This Row],[Industry]], Mean_PB_S, 3, FALSE))</f>
        <v>-8.2354553169596549</v>
      </c>
      <c r="Q148" s="1">
        <f>(Main_S[[#This Row],[ROE]]-VLOOKUP(Main_S[[#This Row],[Industry]], Mean_ROE_S, 2, FALSE))/(VLOOKUP(Main_S[[#This Row],[Industry]], Mean_ROE_S, 3, FALSE))</f>
        <v>-4.272947937858417</v>
      </c>
      <c r="R148" s="1">
        <f>(Main_S[[#This Row],[ROA]]-VLOOKUP(Main_S[[#This Row],[Industry]], Mean_ROA_S, 2, FALSE))/(VLOOKUP(Main_S[[#This Row],[Industry]], Mean_ROA_S, 3, FALSE))</f>
        <v>-3.3276996850934433</v>
      </c>
      <c r="S148" s="1">
        <f>(Main_S[[#This Row],[A/E]]-VLOOKUP(Main_S[[#This Row],[Industry]], Mean_AE_S, 2, FALSE))/(VLOOKUP(Main_S[[#This Row],[Industry]], Mean_AE_S, 3, FALSE))</f>
        <v>-12.898071540268111</v>
      </c>
      <c r="T148" s="1">
        <f>(Main_S[[#This Row],[P/E]]-VLOOKUP(Main_S[[#This Row],[Industry]], Mean_PE_S, 2, FALSE))/(VLOOKUP(Main_S[[#This Row],[Industry]], Mean_PE_S, 3, FALSE))</f>
        <v>0.41171928540627356</v>
      </c>
      <c r="U1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49" spans="1:26" x14ac:dyDescent="0.25">
      <c r="A149" s="68" t="s">
        <v>105</v>
      </c>
      <c r="B149" s="68" t="s">
        <v>337</v>
      </c>
      <c r="C149" s="2">
        <v>743</v>
      </c>
      <c r="D149">
        <f>RTD("tos.rtd", , "LAST", Main_S[[#This Row],[Symbol]])</f>
        <v>18.59</v>
      </c>
      <c r="E149">
        <v>-0.55000000000000004</v>
      </c>
      <c r="F149">
        <v>3.95</v>
      </c>
      <c r="G149">
        <v>-0.63</v>
      </c>
      <c r="H149" s="1">
        <f>IF(ISNUMBER(Main_S[[#This Row],[Free CF]]),IF(Main_S[[#This Row],[Free CF]]&lt;&gt;0,Main_S[[#This Row],[Current Price]]/Main_S[[#This Row],[Free CF]],""),"")</f>
        <v>-33.799999999999997</v>
      </c>
      <c r="I149" s="1">
        <f>IF(ISNUMBER(Main_S[[#This Row],[BVPS]]),IF(Main_S[[#This Row],[BVPS]]&lt;&gt;0,Main_S[[#This Row],[Current Price]]/Main_S[[#This Row],[BVPS]],""),"")</f>
        <v>4.70632911392405</v>
      </c>
      <c r="J149">
        <v>-15.96</v>
      </c>
      <c r="K149">
        <v>-8.5</v>
      </c>
      <c r="L149">
        <v>1.36</v>
      </c>
      <c r="M149" s="1">
        <f>IF(ISNUMBER(Main_S[[#This Row],[EPS]]),IF(Main_S[[#This Row],[EPS]]&lt;&gt;0,Main_S[[#This Row],[Current Price]]/Main_S[[#This Row],[EPS]],""),"")</f>
        <v>-29.507936507936506</v>
      </c>
      <c r="N1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49" s="1">
        <f>(Main_S[[#This Row],[P/FCF]]-VLOOKUP(Main_S[[#This Row],[Industry]], Mean_PFCF_S, 2, FALSE))/(VLOOKUP(Main_S[[#This Row],[Industry]], Mean_PFCF_S, 3, FALSE))</f>
        <v>-0.84425446261241233</v>
      </c>
      <c r="P149" s="1">
        <f>(Main_S[[#This Row],[P/B]]-VLOOKUP(Main_S[[#This Row],[Industry]], Mean_PB_S, 2, FALSE))/(VLOOKUP(Main_S[[#This Row],[Industry]], Mean_PB_S, 3, FALSE))</f>
        <v>0.42211845083948568</v>
      </c>
      <c r="Q149" s="1">
        <f>(Main_S[[#This Row],[ROE]]-VLOOKUP(Main_S[[#This Row],[Industry]], Mean_ROE_S, 2, FALSE))/(VLOOKUP(Main_S[[#This Row],[Industry]], Mean_ROE_S, 3, FALSE))</f>
        <v>0.23946678578036823</v>
      </c>
      <c r="R149" s="1">
        <f>(Main_S[[#This Row],[ROA]]-VLOOKUP(Main_S[[#This Row],[Industry]], Mean_ROA_S, 2, FALSE))/(VLOOKUP(Main_S[[#This Row],[Industry]], Mean_ROA_S, 3, FALSE))</f>
        <v>-0.3988946585428263</v>
      </c>
      <c r="S149" s="1">
        <f>(Main_S[[#This Row],[A/E]]-VLOOKUP(Main_S[[#This Row],[Industry]], Mean_AE_S, 2, FALSE))/(VLOOKUP(Main_S[[#This Row],[Industry]], Mean_AE_S, 3, FALSE))</f>
        <v>-0.63835502386071497</v>
      </c>
      <c r="T149" s="1">
        <f>(Main_S[[#This Row],[P/E]]-VLOOKUP(Main_S[[#This Row],[Industry]], Mean_PE_S, 2, FALSE))/(VLOOKUP(Main_S[[#This Row],[Industry]], Mean_PE_S, 3, FALSE))</f>
        <v>-1.5968669740034889</v>
      </c>
      <c r="U1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0" spans="1:26" x14ac:dyDescent="0.25">
      <c r="A150" s="68" t="s">
        <v>105</v>
      </c>
      <c r="B150" s="68" t="s">
        <v>338</v>
      </c>
      <c r="C150" s="2">
        <v>383</v>
      </c>
      <c r="D150">
        <f>RTD("tos.rtd", , "LAST", Main_S[[#This Row],[Symbol]])</f>
        <v>36.700000000000003</v>
      </c>
      <c r="E150">
        <v>3.37</v>
      </c>
      <c r="F150">
        <v>24.15</v>
      </c>
      <c r="G150">
        <v>5.13</v>
      </c>
      <c r="H150" s="1">
        <f>IF(ISNUMBER(Main_S[[#This Row],[Free CF]]),IF(Main_S[[#This Row],[Free CF]]&lt;&gt;0,Main_S[[#This Row],[Current Price]]/Main_S[[#This Row],[Free CF]],""),"")</f>
        <v>10.890207715133531</v>
      </c>
      <c r="I150" s="1">
        <f>IF(ISNUMBER(Main_S[[#This Row],[BVPS]]),IF(Main_S[[#This Row],[BVPS]]&lt;&gt;0,Main_S[[#This Row],[Current Price]]/Main_S[[#This Row],[BVPS]],""),"")</f>
        <v>1.5196687370600417</v>
      </c>
      <c r="J150">
        <v>27.04</v>
      </c>
      <c r="K150">
        <v>8.23</v>
      </c>
      <c r="L150">
        <v>1.04</v>
      </c>
      <c r="M150" s="1">
        <f>IF(ISNUMBER(Main_S[[#This Row],[EPS]]),IF(Main_S[[#This Row],[EPS]]&lt;&gt;0,Main_S[[#This Row],[Current Price]]/Main_S[[#This Row],[EPS]],""),"")</f>
        <v>7.1539961013645232</v>
      </c>
      <c r="N1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0" s="1">
        <f>(Main_S[[#This Row],[P/FCF]]-VLOOKUP(Main_S[[#This Row],[Industry]], Mean_PFCF_S, 2, FALSE))/(VLOOKUP(Main_S[[#This Row],[Industry]], Mean_PFCF_S, 3, FALSE))</f>
        <v>0.64887256132187154</v>
      </c>
      <c r="P150" s="1">
        <f>(Main_S[[#This Row],[P/B]]-VLOOKUP(Main_S[[#This Row],[Industry]], Mean_PB_S, 2, FALSE))/(VLOOKUP(Main_S[[#This Row],[Industry]], Mean_PB_S, 3, FALSE))</f>
        <v>-0.70106487468235235</v>
      </c>
      <c r="Q150" s="1">
        <f>(Main_S[[#This Row],[ROE]]-VLOOKUP(Main_S[[#This Row],[Industry]], Mean_ROE_S, 2, FALSE))/(VLOOKUP(Main_S[[#This Row],[Industry]], Mean_ROE_S, 3, FALSE))</f>
        <v>1.5301860907525477</v>
      </c>
      <c r="R150" s="1">
        <f>(Main_S[[#This Row],[ROA]]-VLOOKUP(Main_S[[#This Row],[Industry]], Mean_ROA_S, 2, FALSE))/(VLOOKUP(Main_S[[#This Row],[Industry]], Mean_ROA_S, 3, FALSE))</f>
        <v>1.1971609797044642</v>
      </c>
      <c r="S150" s="1">
        <f>(Main_S[[#This Row],[A/E]]-VLOOKUP(Main_S[[#This Row],[Industry]], Mean_AE_S, 2, FALSE))/(VLOOKUP(Main_S[[#This Row],[Industry]], Mean_AE_S, 3, FALSE))</f>
        <v>-1.1663643489280591</v>
      </c>
      <c r="T150" s="1">
        <f>(Main_S[[#This Row],[P/E]]-VLOOKUP(Main_S[[#This Row],[Industry]], Mean_PE_S, 2, FALSE))/(VLOOKUP(Main_S[[#This Row],[Industry]], Mean_PE_S, 3, FALSE))</f>
        <v>1.4034322692947789</v>
      </c>
      <c r="U1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1" spans="1:26" x14ac:dyDescent="0.25">
      <c r="A151" s="68" t="s">
        <v>105</v>
      </c>
      <c r="B151" s="68" t="s">
        <v>339</v>
      </c>
      <c r="C151" s="2">
        <v>270</v>
      </c>
      <c r="D151">
        <f>RTD("tos.rtd", , "LAST", Main_S[[#This Row],[Symbol]])</f>
        <v>33.26</v>
      </c>
      <c r="E151">
        <v>0.44</v>
      </c>
      <c r="F151">
        <v>-1.49</v>
      </c>
      <c r="G151">
        <v>-7.03</v>
      </c>
      <c r="H151" s="1">
        <f>IF(ISNUMBER(Main_S[[#This Row],[Free CF]]),IF(Main_S[[#This Row],[Free CF]]&lt;&gt;0,Main_S[[#This Row],[Current Price]]/Main_S[[#This Row],[Free CF]],""),"")</f>
        <v>75.590909090909079</v>
      </c>
      <c r="I151" s="1">
        <f>IF(ISNUMBER(Main_S[[#This Row],[BVPS]]),IF(Main_S[[#This Row],[BVPS]]&lt;&gt;0,Main_S[[#This Row],[Current Price]]/Main_S[[#This Row],[BVPS]],""),"")</f>
        <v>-22.322147651006709</v>
      </c>
      <c r="J151">
        <v>112.25</v>
      </c>
      <c r="K151">
        <v>12.89</v>
      </c>
      <c r="L151">
        <v>-2.37</v>
      </c>
      <c r="M151" s="1">
        <f>IF(ISNUMBER(Main_S[[#This Row],[EPS]]),IF(Main_S[[#This Row],[EPS]]&lt;&gt;0,Main_S[[#This Row],[Current Price]]/Main_S[[#This Row],[EPS]],""),"")</f>
        <v>-4.7311522048364152</v>
      </c>
      <c r="N1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1" s="1">
        <f>(Main_S[[#This Row],[P/FCF]]-VLOOKUP(Main_S[[#This Row],[Industry]], Mean_PFCF_S, 2, FALSE))/(VLOOKUP(Main_S[[#This Row],[Industry]], Mean_PFCF_S, 3, FALSE))</f>
        <v>2.8105623504467179</v>
      </c>
      <c r="P151" s="1">
        <f>(Main_S[[#This Row],[P/B]]-VLOOKUP(Main_S[[#This Row],[Industry]], Mean_PB_S, 2, FALSE))/(VLOOKUP(Main_S[[#This Row],[Industry]], Mean_PB_S, 3, FALSE))</f>
        <v>-9.1044488096791572</v>
      </c>
      <c r="Q151" s="1">
        <f>(Main_S[[#This Row],[ROE]]-VLOOKUP(Main_S[[#This Row],[Industry]], Mean_ROE_S, 2, FALSE))/(VLOOKUP(Main_S[[#This Row],[Industry]], Mean_ROE_S, 3, FALSE))</f>
        <v>4.0879114855590464</v>
      </c>
      <c r="R151" s="1">
        <f>(Main_S[[#This Row],[ROA]]-VLOOKUP(Main_S[[#This Row],[Industry]], Mean_ROA_S, 2, FALSE))/(VLOOKUP(Main_S[[#This Row],[Industry]], Mean_ROA_S, 3, FALSE))</f>
        <v>1.6417287785228969</v>
      </c>
      <c r="S151" s="1">
        <f>(Main_S[[#This Row],[A/E]]-VLOOKUP(Main_S[[#This Row],[Industry]], Mean_AE_S, 2, FALSE))/(VLOOKUP(Main_S[[#This Row],[Industry]], Mean_AE_S, 3, FALSE))</f>
        <v>-6.792963719176945</v>
      </c>
      <c r="T151" s="1">
        <f>(Main_S[[#This Row],[P/E]]-VLOOKUP(Main_S[[#This Row],[Industry]], Mean_PE_S, 2, FALSE))/(VLOOKUP(Main_S[[#This Row],[Industry]], Mean_PE_S, 3, FALSE))</f>
        <v>0.43078846871848919</v>
      </c>
      <c r="U1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2" spans="1:26" x14ac:dyDescent="0.25">
      <c r="A152" s="68" t="s">
        <v>105</v>
      </c>
      <c r="B152" s="68" t="s">
        <v>340</v>
      </c>
      <c r="C152" s="2">
        <v>388</v>
      </c>
      <c r="D152">
        <f>RTD("tos.rtd", , "LAST", Main_S[[#This Row],[Symbol]])</f>
        <v>27.82</v>
      </c>
      <c r="E152">
        <v>-0.52</v>
      </c>
      <c r="F152">
        <v>7.71</v>
      </c>
      <c r="G152">
        <v>-1.4</v>
      </c>
      <c r="H152" s="1">
        <f>IF(ISNUMBER(Main_S[[#This Row],[Free CF]]),IF(Main_S[[#This Row],[Free CF]]&lt;&gt;0,Main_S[[#This Row],[Current Price]]/Main_S[[#This Row],[Free CF]],""),"")</f>
        <v>-53.5</v>
      </c>
      <c r="I152" s="1">
        <f>IF(ISNUMBER(Main_S[[#This Row],[BVPS]]),IF(Main_S[[#This Row],[BVPS]]&lt;&gt;0,Main_S[[#This Row],[Current Price]]/Main_S[[#This Row],[BVPS]],""),"")</f>
        <v>3.6083009079118029</v>
      </c>
      <c r="J152">
        <v>-16.96</v>
      </c>
      <c r="K152">
        <v>-1.44</v>
      </c>
      <c r="L152">
        <v>1.48</v>
      </c>
      <c r="M152" s="1">
        <f>IF(ISNUMBER(Main_S[[#This Row],[EPS]]),IF(Main_S[[#This Row],[EPS]]&lt;&gt;0,Main_S[[#This Row],[Current Price]]/Main_S[[#This Row],[EPS]],""),"")</f>
        <v>-19.871428571428574</v>
      </c>
      <c r="N1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2" s="1">
        <f>(Main_S[[#This Row],[P/FCF]]-VLOOKUP(Main_S[[#This Row],[Industry]], Mean_PFCF_S, 2, FALSE))/(VLOOKUP(Main_S[[#This Row],[Industry]], Mean_PFCF_S, 3, FALSE))</f>
        <v>-1.5024434457337565</v>
      </c>
      <c r="P152" s="1">
        <f>(Main_S[[#This Row],[P/B]]-VLOOKUP(Main_S[[#This Row],[Industry]], Mean_PB_S, 2, FALSE))/(VLOOKUP(Main_S[[#This Row],[Industry]], Mean_PB_S, 3, FALSE))</f>
        <v>3.5102946802845605E-2</v>
      </c>
      <c r="Q152" s="1">
        <f>(Main_S[[#This Row],[ROE]]-VLOOKUP(Main_S[[#This Row],[Industry]], Mean_ROE_S, 2, FALSE))/(VLOOKUP(Main_S[[#This Row],[Industry]], Mean_ROE_S, 3, FALSE))</f>
        <v>0.20945005775775941</v>
      </c>
      <c r="R152" s="1">
        <f>(Main_S[[#This Row],[ROA]]-VLOOKUP(Main_S[[#This Row],[Industry]], Mean_ROA_S, 2, FALSE))/(VLOOKUP(Main_S[[#This Row],[Industry]], Mean_ROA_S, 3, FALSE))</f>
        <v>0.27463509674861847</v>
      </c>
      <c r="S152" s="1">
        <f>(Main_S[[#This Row],[A/E]]-VLOOKUP(Main_S[[#This Row],[Industry]], Mean_AE_S, 2, FALSE))/(VLOOKUP(Main_S[[#This Row],[Industry]], Mean_AE_S, 3, FALSE))</f>
        <v>-0.44035152696046109</v>
      </c>
      <c r="T152" s="1">
        <f>(Main_S[[#This Row],[P/E]]-VLOOKUP(Main_S[[#This Row],[Industry]], Mean_PE_S, 2, FALSE))/(VLOOKUP(Main_S[[#This Row],[Industry]], Mean_PE_S, 3, FALSE))</f>
        <v>-0.80824495077148095</v>
      </c>
      <c r="U1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3" spans="1:26" x14ac:dyDescent="0.25">
      <c r="A153" s="68" t="s">
        <v>105</v>
      </c>
      <c r="B153" s="68" t="s">
        <v>341</v>
      </c>
      <c r="C153" s="2">
        <v>1965</v>
      </c>
      <c r="D153">
        <f>RTD("tos.rtd", , "LAST", Main_S[[#This Row],[Symbol]])</f>
        <v>10.15</v>
      </c>
      <c r="E153">
        <v>-0.06</v>
      </c>
      <c r="F153">
        <v>0.08</v>
      </c>
      <c r="G153">
        <v>-0.11</v>
      </c>
      <c r="H153" s="1">
        <f>IF(ISNUMBER(Main_S[[#This Row],[Free CF]]),IF(Main_S[[#This Row],[Free CF]]&lt;&gt;0,Main_S[[#This Row],[Current Price]]/Main_S[[#This Row],[Free CF]],""),"")</f>
        <v>-169.16666666666669</v>
      </c>
      <c r="I153" s="1">
        <f>IF(ISNUMBER(Main_S[[#This Row],[BVPS]]),IF(Main_S[[#This Row],[BVPS]]&lt;&gt;0,Main_S[[#This Row],[Current Price]]/Main_S[[#This Row],[BVPS]],""),"")</f>
        <v>126.875</v>
      </c>
      <c r="J153">
        <v>-115.45</v>
      </c>
      <c r="K153">
        <v>-32.1</v>
      </c>
      <c r="L153">
        <v>3.15</v>
      </c>
      <c r="M153" s="1">
        <f>IF(ISNUMBER(Main_S[[#This Row],[EPS]]),IF(Main_S[[#This Row],[EPS]]&lt;&gt;0,Main_S[[#This Row],[Current Price]]/Main_S[[#This Row],[EPS]],""),"")</f>
        <v>-92.27272727272728</v>
      </c>
      <c r="N1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3" s="1">
        <f>(Main_S[[#This Row],[P/FCF]]-VLOOKUP(Main_S[[#This Row],[Industry]], Mean_PFCF_S, 2, FALSE))/(VLOOKUP(Main_S[[#This Row],[Industry]], Mean_PFCF_S, 3, FALSE))</f>
        <v>-5.3669371368184695</v>
      </c>
      <c r="P153" s="1">
        <f>(Main_S[[#This Row],[P/B]]-VLOOKUP(Main_S[[#This Row],[Industry]], Mean_PB_S, 2, FALSE))/(VLOOKUP(Main_S[[#This Row],[Industry]], Mean_PB_S, 3, FALSE))</f>
        <v>43.482186927745005</v>
      </c>
      <c r="Q153" s="1">
        <f>(Main_S[[#This Row],[ROE]]-VLOOKUP(Main_S[[#This Row],[Industry]], Mean_ROE_S, 2, FALSE))/(VLOOKUP(Main_S[[#This Row],[Industry]], Mean_ROE_S, 3, FALSE))</f>
        <v>-2.7468974851889842</v>
      </c>
      <c r="R153" s="1">
        <f>(Main_S[[#This Row],[ROA]]-VLOOKUP(Main_S[[#This Row],[Industry]], Mean_ROA_S, 2, FALSE))/(VLOOKUP(Main_S[[#This Row],[Industry]], Mean_ROA_S, 3, FALSE))</f>
        <v>-2.650353897194115</v>
      </c>
      <c r="S153" s="1">
        <f>(Main_S[[#This Row],[A/E]]-VLOOKUP(Main_S[[#This Row],[Industry]], Mean_AE_S, 2, FALSE))/(VLOOKUP(Main_S[[#This Row],[Industry]], Mean_AE_S, 3, FALSE))</f>
        <v>2.3151971382347405</v>
      </c>
      <c r="T153" s="1">
        <f>(Main_S[[#This Row],[P/E]]-VLOOKUP(Main_S[[#This Row],[Industry]], Mean_PE_S, 2, FALSE))/(VLOOKUP(Main_S[[#This Row],[Industry]], Mean_PE_S, 3, FALSE))</f>
        <v>-6.7333434452302496</v>
      </c>
      <c r="U1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54" spans="1:26" x14ac:dyDescent="0.25">
      <c r="A154" s="68" t="s">
        <v>105</v>
      </c>
      <c r="B154" s="68" t="s">
        <v>342</v>
      </c>
      <c r="C154" s="2">
        <v>300</v>
      </c>
      <c r="D154">
        <f>RTD("tos.rtd", , "LAST", Main_S[[#This Row],[Symbol]])</f>
        <v>4.4450000000000003</v>
      </c>
      <c r="E154">
        <v>-1.02</v>
      </c>
      <c r="F154">
        <v>0.5</v>
      </c>
      <c r="G154">
        <v>-1.38</v>
      </c>
      <c r="H154" s="1">
        <f>IF(ISNUMBER(Main_S[[#This Row],[Free CF]]),IF(Main_S[[#This Row],[Free CF]]&lt;&gt;0,Main_S[[#This Row],[Current Price]]/Main_S[[#This Row],[Free CF]],""),"")</f>
        <v>-4.3578431372549025</v>
      </c>
      <c r="I154" s="1">
        <f>IF(ISNUMBER(Main_S[[#This Row],[BVPS]]),IF(Main_S[[#This Row],[BVPS]]&lt;&gt;0,Main_S[[#This Row],[Current Price]]/Main_S[[#This Row],[BVPS]],""),"")</f>
        <v>8.89</v>
      </c>
      <c r="J154">
        <v>-132.53</v>
      </c>
      <c r="K154">
        <v>-16.54</v>
      </c>
      <c r="L154">
        <v>5.09</v>
      </c>
      <c r="M154" s="1">
        <f>IF(ISNUMBER(Main_S[[#This Row],[EPS]]),IF(Main_S[[#This Row],[EPS]]&lt;&gt;0,Main_S[[#This Row],[Current Price]]/Main_S[[#This Row],[EPS]],""),"")</f>
        <v>-3.2210144927536235</v>
      </c>
      <c r="N1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4" s="1">
        <f>(Main_S[[#This Row],[P/FCF]]-VLOOKUP(Main_S[[#This Row],[Industry]], Mean_PFCF_S, 2, FALSE))/(VLOOKUP(Main_S[[#This Row],[Industry]], Mean_PFCF_S, 3, FALSE))</f>
        <v>0.13942590725506493</v>
      </c>
      <c r="P154" s="1">
        <f>(Main_S[[#This Row],[P/B]]-VLOOKUP(Main_S[[#This Row],[Industry]], Mean_PB_S, 2, FALSE))/(VLOOKUP(Main_S[[#This Row],[Industry]], Mean_PB_S, 3, FALSE))</f>
        <v>1.8967121705932033</v>
      </c>
      <c r="Q154" s="1">
        <f>(Main_S[[#This Row],[ROE]]-VLOOKUP(Main_S[[#This Row],[Industry]], Mean_ROE_S, 2, FALSE))/(VLOOKUP(Main_S[[#This Row],[Industry]], Mean_ROE_S, 3, FALSE))</f>
        <v>-3.2595831998151432</v>
      </c>
      <c r="R154" s="1">
        <f>(Main_S[[#This Row],[ROA]]-VLOOKUP(Main_S[[#This Row],[Industry]], Mean_ROA_S, 2, FALSE))/(VLOOKUP(Main_S[[#This Row],[Industry]], Mean_ROA_S, 3, FALSE))</f>
        <v>-1.1659172127274178</v>
      </c>
      <c r="S154" s="1">
        <f>(Main_S[[#This Row],[A/E]]-VLOOKUP(Main_S[[#This Row],[Industry]], Mean_AE_S, 2, FALSE))/(VLOOKUP(Main_S[[#This Row],[Industry]], Mean_AE_S, 3, FALSE))</f>
        <v>5.5162536714555142</v>
      </c>
      <c r="T154" s="1">
        <f>(Main_S[[#This Row],[P/E]]-VLOOKUP(Main_S[[#This Row],[Industry]], Mean_PE_S, 2, FALSE))/(VLOOKUP(Main_S[[#This Row],[Industry]], Mean_PE_S, 3, FALSE))</f>
        <v>0.55437347126384628</v>
      </c>
      <c r="U1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5" spans="1:26" x14ac:dyDescent="0.25">
      <c r="A155" s="68" t="s">
        <v>105</v>
      </c>
      <c r="B155" s="68" t="s">
        <v>343</v>
      </c>
      <c r="C155" s="2">
        <v>449</v>
      </c>
      <c r="D155">
        <f>RTD("tos.rtd", , "LAST", Main_S[[#This Row],[Symbol]])</f>
        <v>6.98</v>
      </c>
      <c r="E155">
        <v>-0.79</v>
      </c>
      <c r="F155">
        <v>1.81</v>
      </c>
      <c r="G155">
        <v>-0.9</v>
      </c>
      <c r="H155" s="1">
        <f>IF(ISNUMBER(Main_S[[#This Row],[Free CF]]),IF(Main_S[[#This Row],[Free CF]]&lt;&gt;0,Main_S[[#This Row],[Current Price]]/Main_S[[#This Row],[Free CF]],""),"")</f>
        <v>-8.8354430379746844</v>
      </c>
      <c r="I155" s="1">
        <f>IF(ISNUMBER(Main_S[[#This Row],[BVPS]]),IF(Main_S[[#This Row],[BVPS]]&lt;&gt;0,Main_S[[#This Row],[Current Price]]/Main_S[[#This Row],[BVPS]],""),"")</f>
        <v>3.8563535911602211</v>
      </c>
      <c r="J155">
        <v>-44.45</v>
      </c>
      <c r="K155">
        <v>-14.83</v>
      </c>
      <c r="L155">
        <v>1.92</v>
      </c>
      <c r="M155" s="1">
        <f>IF(ISNUMBER(Main_S[[#This Row],[EPS]]),IF(Main_S[[#This Row],[EPS]]&lt;&gt;0,Main_S[[#This Row],[Current Price]]/Main_S[[#This Row],[EPS]],""),"")</f>
        <v>-7.7555555555555555</v>
      </c>
      <c r="N1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5" s="1">
        <f>(Main_S[[#This Row],[P/FCF]]-VLOOKUP(Main_S[[#This Row],[Industry]], Mean_PFCF_S, 2, FALSE))/(VLOOKUP(Main_S[[#This Row],[Industry]], Mean_PFCF_S, 3, FALSE))</f>
        <v>-1.0173429063665295E-2</v>
      </c>
      <c r="P155" s="1">
        <f>(Main_S[[#This Row],[P/B]]-VLOOKUP(Main_S[[#This Row],[Industry]], Mean_PB_S, 2, FALSE))/(VLOOKUP(Main_S[[#This Row],[Industry]], Mean_PB_S, 3, FALSE))</f>
        <v>0.12253260818073998</v>
      </c>
      <c r="Q155" s="1">
        <f>(Main_S[[#This Row],[ROE]]-VLOOKUP(Main_S[[#This Row],[Industry]], Mean_ROE_S, 2, FALSE))/(VLOOKUP(Main_S[[#This Row],[Industry]], Mean_ROE_S, 3, FALSE))</f>
        <v>-0.61570979558375738</v>
      </c>
      <c r="R155" s="1">
        <f>(Main_S[[#This Row],[ROA]]-VLOOKUP(Main_S[[#This Row],[Industry]], Mean_ROA_S, 2, FALSE))/(VLOOKUP(Main_S[[#This Row],[Industry]], Mean_ROA_S, 3, FALSE))</f>
        <v>-1.0027818187403965</v>
      </c>
      <c r="S155" s="1">
        <f>(Main_S[[#This Row],[A/E]]-VLOOKUP(Main_S[[#This Row],[Industry]], Mean_AE_S, 2, FALSE))/(VLOOKUP(Main_S[[#This Row],[Industry]], Mean_AE_S, 3, FALSE))</f>
        <v>0.28566129500713694</v>
      </c>
      <c r="T155" s="1">
        <f>(Main_S[[#This Row],[P/E]]-VLOOKUP(Main_S[[#This Row],[Industry]], Mean_PE_S, 2, FALSE))/(VLOOKUP(Main_S[[#This Row],[Industry]], Mean_PE_S, 3, FALSE))</f>
        <v>0.18328064687798687</v>
      </c>
      <c r="U1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6" spans="1:26" x14ac:dyDescent="0.25">
      <c r="A156" s="68" t="s">
        <v>105</v>
      </c>
      <c r="B156" s="68" t="s">
        <v>344</v>
      </c>
      <c r="C156" s="2">
        <v>1483</v>
      </c>
      <c r="D156">
        <f>RTD("tos.rtd", , "LAST", Main_S[[#This Row],[Symbol]])</f>
        <v>23.13</v>
      </c>
      <c r="E156">
        <v>-0.06</v>
      </c>
      <c r="F156">
        <v>2.33</v>
      </c>
      <c r="G156">
        <v>-2.8</v>
      </c>
      <c r="H156" s="1">
        <f>IF(ISNUMBER(Main_S[[#This Row],[Free CF]]),IF(Main_S[[#This Row],[Free CF]]&lt;&gt;0,Main_S[[#This Row],[Current Price]]/Main_S[[#This Row],[Free CF]],""),"")</f>
        <v>-385.5</v>
      </c>
      <c r="I156" s="1">
        <f>IF(ISNUMBER(Main_S[[#This Row],[BVPS]]),IF(Main_S[[#This Row],[BVPS]]&lt;&gt;0,Main_S[[#This Row],[Current Price]]/Main_S[[#This Row],[BVPS]],""),"")</f>
        <v>9.9270386266094413</v>
      </c>
      <c r="J156">
        <v>-92.31</v>
      </c>
      <c r="K156">
        <v>-6.17</v>
      </c>
      <c r="L156">
        <v>5.94</v>
      </c>
      <c r="M156" s="1">
        <f>IF(ISNUMBER(Main_S[[#This Row],[EPS]]),IF(Main_S[[#This Row],[EPS]]&lt;&gt;0,Main_S[[#This Row],[Current Price]]/Main_S[[#This Row],[EPS]],""),"")</f>
        <v>-8.2607142857142861</v>
      </c>
      <c r="N1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6" s="1">
        <f>(Main_S[[#This Row],[P/FCF]]-VLOOKUP(Main_S[[#This Row],[Industry]], Mean_PFCF_S, 2, FALSE))/(VLOOKUP(Main_S[[#This Row],[Industry]], Mean_PFCF_S, 3, FALSE))</f>
        <v>-12.594765394783822</v>
      </c>
      <c r="P156" s="1">
        <f>(Main_S[[#This Row],[P/B]]-VLOOKUP(Main_S[[#This Row],[Industry]], Mean_PB_S, 2, FALSE))/(VLOOKUP(Main_S[[#This Row],[Industry]], Mean_PB_S, 3, FALSE))</f>
        <v>2.2622310384921587</v>
      </c>
      <c r="Q156" s="1">
        <f>(Main_S[[#This Row],[ROE]]-VLOOKUP(Main_S[[#This Row],[Industry]], Mean_ROE_S, 2, FALSE))/(VLOOKUP(Main_S[[#This Row],[Industry]], Mean_ROE_S, 3, FALSE))</f>
        <v>-2.0523103987458158</v>
      </c>
      <c r="R156" s="1">
        <f>(Main_S[[#This Row],[ROA]]-VLOOKUP(Main_S[[#This Row],[Industry]], Mean_ROA_S, 2, FALSE))/(VLOOKUP(Main_S[[#This Row],[Industry]], Mean_ROA_S, 3, FALSE))</f>
        <v>-0.1766107591336101</v>
      </c>
      <c r="S156" s="1">
        <f>(Main_S[[#This Row],[A/E]]-VLOOKUP(Main_S[[#This Row],[Industry]], Mean_AE_S, 2, FALSE))/(VLOOKUP(Main_S[[#This Row],[Industry]], Mean_AE_S, 3, FALSE))</f>
        <v>6.9187784411656477</v>
      </c>
      <c r="T156" s="1">
        <f>(Main_S[[#This Row],[P/E]]-VLOOKUP(Main_S[[#This Row],[Industry]], Mean_PE_S, 2, FALSE))/(VLOOKUP(Main_S[[#This Row],[Industry]], Mean_PE_S, 3, FALSE))</f>
        <v>0.14194001783934632</v>
      </c>
      <c r="U1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7" spans="1:26" x14ac:dyDescent="0.25">
      <c r="A157" s="68" t="s">
        <v>105</v>
      </c>
      <c r="B157" s="68" t="s">
        <v>345</v>
      </c>
      <c r="C157" s="2">
        <v>337</v>
      </c>
      <c r="D157">
        <f>RTD("tos.rtd", , "LAST", Main_S[[#This Row],[Symbol]])</f>
        <v>7.5</v>
      </c>
      <c r="E157">
        <v>0.63</v>
      </c>
      <c r="F157">
        <v>13.1</v>
      </c>
      <c r="G157">
        <v>-1.17</v>
      </c>
      <c r="H157" s="1">
        <f>IF(ISNUMBER(Main_S[[#This Row],[Free CF]]),IF(Main_S[[#This Row],[Free CF]]&lt;&gt;0,Main_S[[#This Row],[Current Price]]/Main_S[[#This Row],[Free CF]],""),"")</f>
        <v>11.904761904761905</v>
      </c>
      <c r="I157" s="1">
        <f>IF(ISNUMBER(Main_S[[#This Row],[BVPS]]),IF(Main_S[[#This Row],[BVPS]]&lt;&gt;0,Main_S[[#This Row],[Current Price]]/Main_S[[#This Row],[BVPS]],""),"")</f>
        <v>0.57251908396946571</v>
      </c>
      <c r="J157">
        <v>-8.25</v>
      </c>
      <c r="K157">
        <v>1.9</v>
      </c>
      <c r="L157">
        <v>2.4700000000000002</v>
      </c>
      <c r="M157" s="1">
        <f>IF(ISNUMBER(Main_S[[#This Row],[EPS]]),IF(Main_S[[#This Row],[EPS]]&lt;&gt;0,Main_S[[#This Row],[Current Price]]/Main_S[[#This Row],[EPS]],""),"")</f>
        <v>-6.4102564102564106</v>
      </c>
      <c r="N1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7" s="1">
        <f>(Main_S[[#This Row],[P/FCF]]-VLOOKUP(Main_S[[#This Row],[Industry]], Mean_PFCF_S, 2, FALSE))/(VLOOKUP(Main_S[[#This Row],[Industry]], Mean_PFCF_S, 3, FALSE))</f>
        <v>0.68276943393065315</v>
      </c>
      <c r="P157" s="1">
        <f>(Main_S[[#This Row],[P/B]]-VLOOKUP(Main_S[[#This Row],[Industry]], Mean_PB_S, 2, FALSE))/(VLOOKUP(Main_S[[#This Row],[Industry]], Mean_PB_S, 3, FALSE))</f>
        <v>-1.0349011080157695</v>
      </c>
      <c r="Q157" s="1">
        <f>(Main_S[[#This Row],[ROE]]-VLOOKUP(Main_S[[#This Row],[Industry]], Mean_ROE_S, 2, FALSE))/(VLOOKUP(Main_S[[#This Row],[Industry]], Mean_ROE_S, 3, FALSE))</f>
        <v>0.47089575883468232</v>
      </c>
      <c r="R157" s="1">
        <f>(Main_S[[#This Row],[ROA]]-VLOOKUP(Main_S[[#This Row],[Industry]], Mean_ROA_S, 2, FALSE))/(VLOOKUP(Main_S[[#This Row],[Industry]], Mean_ROA_S, 3, FALSE))</f>
        <v>0.59327381950689406</v>
      </c>
      <c r="S157" s="1">
        <f>(Main_S[[#This Row],[A/E]]-VLOOKUP(Main_S[[#This Row],[Industry]], Mean_AE_S, 2, FALSE))/(VLOOKUP(Main_S[[#This Row],[Industry]], Mean_AE_S, 3, FALSE))</f>
        <v>1.1931773224666351</v>
      </c>
      <c r="T157" s="1">
        <f>(Main_S[[#This Row],[P/E]]-VLOOKUP(Main_S[[#This Row],[Industry]], Mean_PE_S, 2, FALSE))/(VLOOKUP(Main_S[[#This Row],[Industry]], Mean_PE_S, 3, FALSE))</f>
        <v>0.29337577063114201</v>
      </c>
      <c r="U1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8" spans="1:26" x14ac:dyDescent="0.25">
      <c r="A158" s="68" t="s">
        <v>105</v>
      </c>
      <c r="B158" s="68" t="s">
        <v>346</v>
      </c>
      <c r="C158" s="2">
        <v>579</v>
      </c>
      <c r="D158">
        <f>RTD("tos.rtd", , "LAST", Main_S[[#This Row],[Symbol]])</f>
        <v>12.71</v>
      </c>
      <c r="E158">
        <v>1.8</v>
      </c>
      <c r="F158">
        <v>18.03</v>
      </c>
      <c r="G158">
        <v>-8.4</v>
      </c>
      <c r="H158" s="1">
        <f>IF(ISNUMBER(Main_S[[#This Row],[Free CF]]),IF(Main_S[[#This Row],[Free CF]]&lt;&gt;0,Main_S[[#This Row],[Current Price]]/Main_S[[#This Row],[Free CF]],""),"")</f>
        <v>7.0611111111111118</v>
      </c>
      <c r="I158" s="1">
        <f>IF(ISNUMBER(Main_S[[#This Row],[BVPS]]),IF(Main_S[[#This Row],[BVPS]]&lt;&gt;0,Main_S[[#This Row],[Current Price]]/Main_S[[#This Row],[BVPS]],""),"")</f>
        <v>0.70493621741541879</v>
      </c>
      <c r="J158">
        <v>-37.42</v>
      </c>
      <c r="K158">
        <v>1.97</v>
      </c>
      <c r="L158">
        <v>1.39</v>
      </c>
      <c r="M158" s="1">
        <f>IF(ISNUMBER(Main_S[[#This Row],[EPS]]),IF(Main_S[[#This Row],[EPS]]&lt;&gt;0,Main_S[[#This Row],[Current Price]]/Main_S[[#This Row],[EPS]],""),"")</f>
        <v>-1.513095238095238</v>
      </c>
      <c r="N1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8" s="1">
        <f>(Main_S[[#This Row],[P/FCF]]-VLOOKUP(Main_S[[#This Row],[Industry]], Mean_PFCF_S, 2, FALSE))/(VLOOKUP(Main_S[[#This Row],[Industry]], Mean_PFCF_S, 3, FALSE))</f>
        <v>0.5209401146175614</v>
      </c>
      <c r="P158" s="1">
        <f>(Main_S[[#This Row],[P/B]]-VLOOKUP(Main_S[[#This Row],[Industry]], Mean_PB_S, 2, FALSE))/(VLOOKUP(Main_S[[#This Row],[Industry]], Mean_PB_S, 3, FALSE))</f>
        <v>-0.98822882458710426</v>
      </c>
      <c r="Q158" s="1">
        <f>(Main_S[[#This Row],[ROE]]-VLOOKUP(Main_S[[#This Row],[Industry]], Mean_ROE_S, 2, FALSE))/(VLOOKUP(Main_S[[#This Row],[Industry]], Mean_ROE_S, 3, FALSE))</f>
        <v>-0.40469219758481728</v>
      </c>
      <c r="R158" s="1">
        <f>(Main_S[[#This Row],[ROA]]-VLOOKUP(Main_S[[#This Row],[Industry]], Mean_ROA_S, 2, FALSE))/(VLOOKUP(Main_S[[#This Row],[Industry]], Mean_ROA_S, 3, FALSE))</f>
        <v>0.59995187657069027</v>
      </c>
      <c r="S158" s="1">
        <f>(Main_S[[#This Row],[A/E]]-VLOOKUP(Main_S[[#This Row],[Industry]], Mean_AE_S, 2, FALSE))/(VLOOKUP(Main_S[[#This Row],[Industry]], Mean_AE_S, 3, FALSE))</f>
        <v>-0.58885414963565175</v>
      </c>
      <c r="T158" s="1">
        <f>(Main_S[[#This Row],[P/E]]-VLOOKUP(Main_S[[#This Row],[Industry]], Mean_PE_S, 2, FALSE))/(VLOOKUP(Main_S[[#This Row],[Industry]], Mean_PE_S, 3, FALSE))</f>
        <v>0.69414430391400728</v>
      </c>
      <c r="U1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59" spans="1:26" x14ac:dyDescent="0.25">
      <c r="A159" s="68" t="s">
        <v>105</v>
      </c>
      <c r="B159" s="68" t="s">
        <v>347</v>
      </c>
      <c r="C159" s="2">
        <v>436</v>
      </c>
      <c r="D159">
        <f>RTD("tos.rtd", , "LAST", Main_S[[#This Row],[Symbol]])</f>
        <v>6.54</v>
      </c>
      <c r="E159">
        <v>0.56999999999999995</v>
      </c>
      <c r="F159">
        <v>2.25</v>
      </c>
      <c r="G159">
        <v>-0.52</v>
      </c>
      <c r="H159" s="1">
        <f>IF(ISNUMBER(Main_S[[#This Row],[Free CF]]),IF(Main_S[[#This Row],[Free CF]]&lt;&gt;0,Main_S[[#This Row],[Current Price]]/Main_S[[#This Row],[Free CF]],""),"")</f>
        <v>11.473684210526317</v>
      </c>
      <c r="I159" s="1">
        <f>IF(ISNUMBER(Main_S[[#This Row],[BVPS]]),IF(Main_S[[#This Row],[BVPS]]&lt;&gt;0,Main_S[[#This Row],[Current Price]]/Main_S[[#This Row],[BVPS]],""),"")</f>
        <v>2.9066666666666667</v>
      </c>
      <c r="J159">
        <v>-21.55</v>
      </c>
      <c r="K159">
        <v>3.24</v>
      </c>
      <c r="L159">
        <v>4.92</v>
      </c>
      <c r="M159" s="1">
        <f>IF(ISNUMBER(Main_S[[#This Row],[EPS]]),IF(Main_S[[#This Row],[EPS]]&lt;&gt;0,Main_S[[#This Row],[Current Price]]/Main_S[[#This Row],[EPS]],""),"")</f>
        <v>-12.576923076923077</v>
      </c>
      <c r="N1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59" s="1">
        <f>(Main_S[[#This Row],[P/FCF]]-VLOOKUP(Main_S[[#This Row],[Industry]], Mean_PFCF_S, 2, FALSE))/(VLOOKUP(Main_S[[#This Row],[Industry]], Mean_PFCF_S, 3, FALSE))</f>
        <v>0.66836686595018535</v>
      </c>
      <c r="P159" s="1">
        <f>(Main_S[[#This Row],[P/B]]-VLOOKUP(Main_S[[#This Row],[Industry]], Mean_PB_S, 2, FALSE))/(VLOOKUP(Main_S[[#This Row],[Industry]], Mean_PB_S, 3, FALSE))</f>
        <v>-0.21219792218942432</v>
      </c>
      <c r="Q159" s="1">
        <f>(Main_S[[#This Row],[ROE]]-VLOOKUP(Main_S[[#This Row],[Industry]], Mean_ROE_S, 2, FALSE))/(VLOOKUP(Main_S[[#This Row],[Industry]], Mean_ROE_S, 3, FALSE))</f>
        <v>7.1673276133984873E-2</v>
      </c>
      <c r="R159" s="1">
        <f>(Main_S[[#This Row],[ROA]]-VLOOKUP(Main_S[[#This Row],[Industry]], Mean_ROA_S, 2, FALSE))/(VLOOKUP(Main_S[[#This Row],[Industry]], Mean_ROA_S, 3, FALSE))</f>
        <v>0.72111091187099263</v>
      </c>
      <c r="S159" s="1">
        <f>(Main_S[[#This Row],[A/E]]-VLOOKUP(Main_S[[#This Row],[Industry]], Mean_AE_S, 2, FALSE))/(VLOOKUP(Main_S[[#This Row],[Industry]], Mean_AE_S, 3, FALSE))</f>
        <v>5.2357487175134878</v>
      </c>
      <c r="T159" s="1">
        <f>(Main_S[[#This Row],[P/E]]-VLOOKUP(Main_S[[#This Row],[Industry]], Mean_PE_S, 2, FALSE))/(VLOOKUP(Main_S[[#This Row],[Industry]], Mean_PE_S, 3, FALSE))</f>
        <v>-0.21128516830088753</v>
      </c>
      <c r="U1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0" spans="1:26" x14ac:dyDescent="0.25">
      <c r="A160" s="68" t="s">
        <v>105</v>
      </c>
      <c r="B160" s="68" t="s">
        <v>348</v>
      </c>
      <c r="C160" s="2">
        <v>725</v>
      </c>
      <c r="D160">
        <f>RTD("tos.rtd", , "LAST", Main_S[[#This Row],[Symbol]])</f>
        <v>12.5</v>
      </c>
      <c r="E160">
        <v>0.5</v>
      </c>
      <c r="F160">
        <v>-13.23</v>
      </c>
      <c r="G160">
        <v>0.99</v>
      </c>
      <c r="H160" s="1">
        <f>IF(ISNUMBER(Main_S[[#This Row],[Free CF]]),IF(Main_S[[#This Row],[Free CF]]&lt;&gt;0,Main_S[[#This Row],[Current Price]]/Main_S[[#This Row],[Free CF]],""),"")</f>
        <v>25</v>
      </c>
      <c r="I160" s="1">
        <f>IF(ISNUMBER(Main_S[[#This Row],[BVPS]]),IF(Main_S[[#This Row],[BVPS]]&lt;&gt;0,Main_S[[#This Row],[Current Price]]/Main_S[[#This Row],[BVPS]],""),"")</f>
        <v>-0.94482237339380193</v>
      </c>
      <c r="J160">
        <v>-7.45</v>
      </c>
      <c r="K160">
        <v>3.13</v>
      </c>
      <c r="L160">
        <v>-1.5</v>
      </c>
      <c r="M160" s="1">
        <f>IF(ISNUMBER(Main_S[[#This Row],[EPS]]),IF(Main_S[[#This Row],[EPS]]&lt;&gt;0,Main_S[[#This Row],[Current Price]]/Main_S[[#This Row],[EPS]],""),"")</f>
        <v>12.626262626262626</v>
      </c>
      <c r="N1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0" s="1">
        <f>(Main_S[[#This Row],[P/FCF]]-VLOOKUP(Main_S[[#This Row],[Industry]], Mean_PFCF_S, 2, FALSE))/(VLOOKUP(Main_S[[#This Row],[Industry]], Mean_PFCF_S, 3, FALSE))</f>
        <v>1.120289304267539</v>
      </c>
      <c r="P160" s="1">
        <f>(Main_S[[#This Row],[P/B]]-VLOOKUP(Main_S[[#This Row],[Industry]], Mean_PB_S, 2, FALSE))/(VLOOKUP(Main_S[[#This Row],[Industry]], Mean_PB_S, 3, FALSE))</f>
        <v>-1.5697094724109053</v>
      </c>
      <c r="Q160" s="1">
        <f>(Main_S[[#This Row],[ROE]]-VLOOKUP(Main_S[[#This Row],[Industry]], Mean_ROE_S, 2, FALSE))/(VLOOKUP(Main_S[[#This Row],[Industry]], Mean_ROE_S, 3, FALSE))</f>
        <v>0.49490914125276941</v>
      </c>
      <c r="R160" s="1">
        <f>(Main_S[[#This Row],[ROA]]-VLOOKUP(Main_S[[#This Row],[Industry]], Mean_ROA_S, 2, FALSE))/(VLOOKUP(Main_S[[#This Row],[Industry]], Mean_ROA_S, 3, FALSE))</f>
        <v>0.71061682219931288</v>
      </c>
      <c r="S160" s="1">
        <f>(Main_S[[#This Row],[A/E]]-VLOOKUP(Main_S[[#This Row],[Industry]], Mean_AE_S, 2, FALSE))/(VLOOKUP(Main_S[[#This Row],[Industry]], Mean_AE_S, 3, FALSE))</f>
        <v>-5.3574383666501024</v>
      </c>
      <c r="T160" s="1">
        <f>(Main_S[[#This Row],[P/E]]-VLOOKUP(Main_S[[#This Row],[Industry]], Mean_PE_S, 2, FALSE))/(VLOOKUP(Main_S[[#This Row],[Industry]], Mean_PE_S, 3, FALSE))</f>
        <v>1.8512656470041937</v>
      </c>
      <c r="U1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1" spans="1:26" x14ac:dyDescent="0.25">
      <c r="A161" s="68" t="s">
        <v>105</v>
      </c>
      <c r="B161" s="68" t="s">
        <v>349</v>
      </c>
      <c r="C161" s="2">
        <v>962</v>
      </c>
      <c r="D161">
        <f>RTD("tos.rtd", , "LAST", Main_S[[#This Row],[Symbol]])</f>
        <v>34.96</v>
      </c>
      <c r="E161">
        <v>-2.63</v>
      </c>
      <c r="F161">
        <v>1.84</v>
      </c>
      <c r="G161">
        <v>-3</v>
      </c>
      <c r="H161" s="1">
        <f>IF(ISNUMBER(Main_S[[#This Row],[Free CF]]),IF(Main_S[[#This Row],[Free CF]]&lt;&gt;0,Main_S[[#This Row],[Current Price]]/Main_S[[#This Row],[Free CF]],""),"")</f>
        <v>-13.29277566539924</v>
      </c>
      <c r="I161" s="1">
        <f>IF(ISNUMBER(Main_S[[#This Row],[BVPS]]),IF(Main_S[[#This Row],[BVPS]]&lt;&gt;0,Main_S[[#This Row],[Current Price]]/Main_S[[#This Row],[BVPS]],""),"")</f>
        <v>19</v>
      </c>
      <c r="J161">
        <v>-236.67</v>
      </c>
      <c r="K161">
        <v>-10.15</v>
      </c>
      <c r="L161">
        <v>6.53</v>
      </c>
      <c r="M161" s="1">
        <f>IF(ISNUMBER(Main_S[[#This Row],[EPS]]),IF(Main_S[[#This Row],[EPS]]&lt;&gt;0,Main_S[[#This Row],[Current Price]]/Main_S[[#This Row],[EPS]],""),"")</f>
        <v>-11.653333333333334</v>
      </c>
      <c r="N1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1" s="1">
        <f>(Main_S[[#This Row],[P/FCF]]-VLOOKUP(Main_S[[#This Row],[Industry]], Mean_PFCF_S, 2, FALSE))/(VLOOKUP(Main_S[[#This Row],[Industry]], Mean_PFCF_S, 3, FALSE))</f>
        <v>-0.15909562345341952</v>
      </c>
      <c r="P161" s="1">
        <f>(Main_S[[#This Row],[P/B]]-VLOOKUP(Main_S[[#This Row],[Industry]], Mean_PB_S, 2, FALSE))/(VLOOKUP(Main_S[[#This Row],[Industry]], Mean_PB_S, 3, FALSE))</f>
        <v>5.4601240432448508</v>
      </c>
      <c r="Q161" s="1">
        <f>(Main_S[[#This Row],[ROE]]-VLOOKUP(Main_S[[#This Row],[Industry]], Mean_ROE_S, 2, FALSE))/(VLOOKUP(Main_S[[#This Row],[Industry]], Mean_ROE_S, 3, FALSE))</f>
        <v>-6.3855252560896263</v>
      </c>
      <c r="R161" s="1">
        <f>(Main_S[[#This Row],[ROA]]-VLOOKUP(Main_S[[#This Row],[Industry]], Mean_ROA_S, 2, FALSE))/(VLOOKUP(Main_S[[#This Row],[Industry]], Mean_ROA_S, 3, FALSE))</f>
        <v>-0.5563060036180224</v>
      </c>
      <c r="S161" s="1">
        <f>(Main_S[[#This Row],[A/E]]-VLOOKUP(Main_S[[#This Row],[Industry]], Mean_AE_S, 2, FALSE))/(VLOOKUP(Main_S[[#This Row],[Industry]], Mean_AE_S, 3, FALSE))</f>
        <v>7.8922956342585628</v>
      </c>
      <c r="T161" s="1">
        <f>(Main_S[[#This Row],[P/E]]-VLOOKUP(Main_S[[#This Row],[Industry]], Mean_PE_S, 2, FALSE))/(VLOOKUP(Main_S[[#This Row],[Industry]], Mean_PE_S, 3, FALSE))</f>
        <v>-0.13570143848661859</v>
      </c>
      <c r="U1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2" spans="1:26" x14ac:dyDescent="0.25">
      <c r="A162" s="68" t="s">
        <v>105</v>
      </c>
      <c r="B162" s="68" t="s">
        <v>350</v>
      </c>
      <c r="C162" s="2">
        <v>551</v>
      </c>
      <c r="D162">
        <f>RTD("tos.rtd", , "LAST", Main_S[[#This Row],[Symbol]])</f>
        <v>23.21</v>
      </c>
      <c r="E162">
        <v>-1.79</v>
      </c>
      <c r="F162">
        <v>14.64</v>
      </c>
      <c r="G162">
        <v>-1.64</v>
      </c>
      <c r="H162" s="1">
        <f>IF(ISNUMBER(Main_S[[#This Row],[Free CF]]),IF(Main_S[[#This Row],[Free CF]]&lt;&gt;0,Main_S[[#This Row],[Current Price]]/Main_S[[#This Row],[Free CF]],""),"")</f>
        <v>-12.966480446927374</v>
      </c>
      <c r="I162" s="1">
        <f>IF(ISNUMBER(Main_S[[#This Row],[BVPS]]),IF(Main_S[[#This Row],[BVPS]]&lt;&gt;0,Main_S[[#This Row],[Current Price]]/Main_S[[#This Row],[BVPS]],""),"")</f>
        <v>1.5853825136612021</v>
      </c>
      <c r="J162">
        <v>-10.34</v>
      </c>
      <c r="K162">
        <v>-4.05</v>
      </c>
      <c r="L162">
        <v>1.33</v>
      </c>
      <c r="M162" s="1">
        <f>IF(ISNUMBER(Main_S[[#This Row],[EPS]]),IF(Main_S[[#This Row],[EPS]]&lt;&gt;0,Main_S[[#This Row],[Current Price]]/Main_S[[#This Row],[EPS]],""),"")</f>
        <v>-14.152439024390246</v>
      </c>
      <c r="N1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2" s="1">
        <f>(Main_S[[#This Row],[P/FCF]]-VLOOKUP(Main_S[[#This Row],[Industry]], Mean_PFCF_S, 2, FALSE))/(VLOOKUP(Main_S[[#This Row],[Industry]], Mean_PFCF_S, 3, FALSE))</f>
        <v>-0.14819390172533045</v>
      </c>
      <c r="P162" s="1">
        <f>(Main_S[[#This Row],[P/B]]-VLOOKUP(Main_S[[#This Row],[Industry]], Mean_PB_S, 2, FALSE))/(VLOOKUP(Main_S[[#This Row],[Industry]], Mean_PB_S, 3, FALSE))</f>
        <v>-0.67790312871426606</v>
      </c>
      <c r="Q162" s="1">
        <f>(Main_S[[#This Row],[ROE]]-VLOOKUP(Main_S[[#This Row],[Industry]], Mean_ROE_S, 2, FALSE))/(VLOOKUP(Main_S[[#This Row],[Industry]], Mean_ROE_S, 3, FALSE))</f>
        <v>0.40816079726742988</v>
      </c>
      <c r="R162" s="1">
        <f>(Main_S[[#This Row],[ROA]]-VLOOKUP(Main_S[[#This Row],[Industry]], Mean_ROA_S, 2, FALSE))/(VLOOKUP(Main_S[[#This Row],[Industry]], Mean_ROA_S, 3, FALSE))</f>
        <v>2.5638969084217516E-2</v>
      </c>
      <c r="S162" s="1">
        <f>(Main_S[[#This Row],[A/E]]-VLOOKUP(Main_S[[#This Row],[Industry]], Mean_AE_S, 2, FALSE))/(VLOOKUP(Main_S[[#This Row],[Industry]], Mean_AE_S, 3, FALSE))</f>
        <v>-0.68785589808577852</v>
      </c>
      <c r="T162" s="1">
        <f>(Main_S[[#This Row],[P/E]]-VLOOKUP(Main_S[[#This Row],[Industry]], Mean_PE_S, 2, FALSE))/(VLOOKUP(Main_S[[#This Row],[Industry]], Mean_PE_S, 3, FALSE))</f>
        <v>-0.34022052354702281</v>
      </c>
      <c r="U1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3" spans="1:26" x14ac:dyDescent="0.25">
      <c r="A163" s="68" t="s">
        <v>105</v>
      </c>
      <c r="B163" s="68" t="s">
        <v>351</v>
      </c>
      <c r="C163" s="2">
        <v>1287</v>
      </c>
      <c r="D163">
        <f>RTD("tos.rtd", , "LAST", Main_S[[#This Row],[Symbol]])</f>
        <v>6.49</v>
      </c>
      <c r="E163">
        <v>-0.2</v>
      </c>
      <c r="F163">
        <v>12.26</v>
      </c>
      <c r="G163">
        <v>-2.2400000000000002</v>
      </c>
      <c r="H163" s="1">
        <f>IF(ISNUMBER(Main_S[[#This Row],[Free CF]]),IF(Main_S[[#This Row],[Free CF]]&lt;&gt;0,Main_S[[#This Row],[Current Price]]/Main_S[[#This Row],[Free CF]],""),"")</f>
        <v>-32.449999999999996</v>
      </c>
      <c r="I163" s="1">
        <f>IF(ISNUMBER(Main_S[[#This Row],[BVPS]]),IF(Main_S[[#This Row],[BVPS]]&lt;&gt;0,Main_S[[#This Row],[Current Price]]/Main_S[[#This Row],[BVPS]],""),"")</f>
        <v>0.5293637846655791</v>
      </c>
      <c r="J163">
        <v>-16.71</v>
      </c>
      <c r="K163">
        <v>0.59</v>
      </c>
      <c r="L163">
        <v>1.52</v>
      </c>
      <c r="M163" s="1">
        <f>IF(ISNUMBER(Main_S[[#This Row],[EPS]]),IF(Main_S[[#This Row],[EPS]]&lt;&gt;0,Main_S[[#This Row],[Current Price]]/Main_S[[#This Row],[EPS]],""),"")</f>
        <v>-2.8973214285714284</v>
      </c>
      <c r="N1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3" s="1">
        <f>(Main_S[[#This Row],[P/FCF]]-VLOOKUP(Main_S[[#This Row],[Industry]], Mean_PFCF_S, 2, FALSE))/(VLOOKUP(Main_S[[#This Row],[Industry]], Mean_PFCF_S, 3, FALSE))</f>
        <v>-0.79915014143404606</v>
      </c>
      <c r="P163" s="1">
        <f>(Main_S[[#This Row],[P/B]]-VLOOKUP(Main_S[[#This Row],[Industry]], Mean_PB_S, 2, FALSE))/(VLOOKUP(Main_S[[#This Row],[Industry]], Mean_PB_S, 3, FALSE))</f>
        <v>-1.0501118009838513</v>
      </c>
      <c r="Q163" s="1">
        <f>(Main_S[[#This Row],[ROE]]-VLOOKUP(Main_S[[#This Row],[Industry]], Mean_ROE_S, 2, FALSE))/(VLOOKUP(Main_S[[#This Row],[Industry]], Mean_ROE_S, 3, FALSE))</f>
        <v>0.2169542397634116</v>
      </c>
      <c r="R163" s="1">
        <f>(Main_S[[#This Row],[ROA]]-VLOOKUP(Main_S[[#This Row],[Industry]], Mean_ROA_S, 2, FALSE))/(VLOOKUP(Main_S[[#This Row],[Industry]], Mean_ROA_S, 3, FALSE))</f>
        <v>0.4682987515987081</v>
      </c>
      <c r="S163" s="1">
        <f>(Main_S[[#This Row],[A/E]]-VLOOKUP(Main_S[[#This Row],[Industry]], Mean_AE_S, 2, FALSE))/(VLOOKUP(Main_S[[#This Row],[Industry]], Mean_AE_S, 3, FALSE))</f>
        <v>-0.37435036132704302</v>
      </c>
      <c r="T163" s="1">
        <f>(Main_S[[#This Row],[P/E]]-VLOOKUP(Main_S[[#This Row],[Industry]], Mean_PE_S, 2, FALSE))/(VLOOKUP(Main_S[[#This Row],[Industry]], Mean_PE_S, 3, FALSE))</f>
        <v>0.5808635111064363</v>
      </c>
      <c r="U1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4" spans="1:26" x14ac:dyDescent="0.25">
      <c r="A164" s="68" t="s">
        <v>105</v>
      </c>
      <c r="B164" s="68" t="s">
        <v>352</v>
      </c>
      <c r="C164" s="2">
        <v>605</v>
      </c>
      <c r="D164">
        <f>RTD("tos.rtd", , "LAST", Main_S[[#This Row],[Symbol]])</f>
        <v>13.2</v>
      </c>
      <c r="E164">
        <v>-0.57999999999999996</v>
      </c>
      <c r="F164">
        <v>6.96</v>
      </c>
      <c r="G164">
        <v>-0.71</v>
      </c>
      <c r="H164" s="1">
        <f>IF(ISNUMBER(Main_S[[#This Row],[Free CF]]),IF(Main_S[[#This Row],[Free CF]]&lt;&gt;0,Main_S[[#This Row],[Current Price]]/Main_S[[#This Row],[Free CF]],""),"")</f>
        <v>-22.758620689655174</v>
      </c>
      <c r="I164" s="1">
        <f>IF(ISNUMBER(Main_S[[#This Row],[BVPS]]),IF(Main_S[[#This Row],[BVPS]]&lt;&gt;0,Main_S[[#This Row],[Current Price]]/Main_S[[#This Row],[BVPS]],""),"")</f>
        <v>1.896551724137931</v>
      </c>
      <c r="J164">
        <v>-12.43</v>
      </c>
      <c r="K164">
        <v>-9.19</v>
      </c>
      <c r="L164">
        <v>1.1299999999999999</v>
      </c>
      <c r="M164" s="1">
        <f>IF(ISNUMBER(Main_S[[#This Row],[EPS]]),IF(Main_S[[#This Row],[EPS]]&lt;&gt;0,Main_S[[#This Row],[Current Price]]/Main_S[[#This Row],[EPS]],""),"")</f>
        <v>-18.591549295774648</v>
      </c>
      <c r="N1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4" s="1">
        <f>(Main_S[[#This Row],[P/FCF]]-VLOOKUP(Main_S[[#This Row],[Industry]], Mean_PFCF_S, 2, FALSE))/(VLOOKUP(Main_S[[#This Row],[Industry]], Mean_PFCF_S, 3, FALSE))</f>
        <v>-0.47535526360058955</v>
      </c>
      <c r="P164" s="1">
        <f>(Main_S[[#This Row],[P/B]]-VLOOKUP(Main_S[[#This Row],[Industry]], Mean_PB_S, 2, FALSE))/(VLOOKUP(Main_S[[#This Row],[Industry]], Mean_PB_S, 3, FALSE))</f>
        <v>-0.56822715848514482</v>
      </c>
      <c r="Q164" s="1">
        <f>(Main_S[[#This Row],[ROE]]-VLOOKUP(Main_S[[#This Row],[Industry]], Mean_ROE_S, 2, FALSE))/(VLOOKUP(Main_S[[#This Row],[Industry]], Mean_ROE_S, 3, FALSE))</f>
        <v>0.34542583570017743</v>
      </c>
      <c r="R164" s="1">
        <f>(Main_S[[#This Row],[ROA]]-VLOOKUP(Main_S[[#This Row],[Industry]], Mean_ROA_S, 2, FALSE))/(VLOOKUP(Main_S[[#This Row],[Industry]], Mean_ROA_S, 3, FALSE))</f>
        <v>-0.4647212210288173</v>
      </c>
      <c r="S164" s="1">
        <f>(Main_S[[#This Row],[A/E]]-VLOOKUP(Main_S[[#This Row],[Industry]], Mean_AE_S, 2, FALSE))/(VLOOKUP(Main_S[[#This Row],[Industry]], Mean_AE_S, 3, FALSE))</f>
        <v>-1.0178617262528689</v>
      </c>
      <c r="T164" s="1">
        <f>(Main_S[[#This Row],[P/E]]-VLOOKUP(Main_S[[#This Row],[Industry]], Mean_PE_S, 2, FALSE))/(VLOOKUP(Main_S[[#This Row],[Industry]], Mean_PE_S, 3, FALSE))</f>
        <v>-0.70350358693832049</v>
      </c>
      <c r="U1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5" spans="1:26" x14ac:dyDescent="0.25">
      <c r="A165" s="68" t="s">
        <v>105</v>
      </c>
      <c r="B165" s="68" t="s">
        <v>353</v>
      </c>
      <c r="C165" s="2">
        <v>283</v>
      </c>
      <c r="D165">
        <f>RTD("tos.rtd", , "LAST", Main_S[[#This Row],[Symbol]])</f>
        <v>35.1</v>
      </c>
      <c r="E165">
        <v>-0.03</v>
      </c>
      <c r="F165">
        <v>4.5</v>
      </c>
      <c r="G165">
        <v>-1.1399999999999999</v>
      </c>
      <c r="H165" s="1">
        <f>IF(ISNUMBER(Main_S[[#This Row],[Free CF]]),IF(Main_S[[#This Row],[Free CF]]&lt;&gt;0,Main_S[[#This Row],[Current Price]]/Main_S[[#This Row],[Free CF]],""),"")</f>
        <v>-1170</v>
      </c>
      <c r="I165" s="1">
        <f>IF(ISNUMBER(Main_S[[#This Row],[BVPS]]),IF(Main_S[[#This Row],[BVPS]]&lt;&gt;0,Main_S[[#This Row],[Current Price]]/Main_S[[#This Row],[BVPS]],""),"")</f>
        <v>7.8000000000000007</v>
      </c>
      <c r="J165">
        <v>-23.74</v>
      </c>
      <c r="K165">
        <v>-4.5</v>
      </c>
      <c r="L165">
        <v>2.2400000000000002</v>
      </c>
      <c r="M165" s="1">
        <f>IF(ISNUMBER(Main_S[[#This Row],[EPS]]),IF(Main_S[[#This Row],[EPS]]&lt;&gt;0,Main_S[[#This Row],[Current Price]]/Main_S[[#This Row],[EPS]],""),"")</f>
        <v>-30.789473684210531</v>
      </c>
      <c r="N1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5" s="1">
        <f>(Main_S[[#This Row],[P/FCF]]-VLOOKUP(Main_S[[#This Row],[Industry]], Mean_PFCF_S, 2, FALSE))/(VLOOKUP(Main_S[[#This Row],[Industry]], Mean_PFCF_S, 3, FALSE))</f>
        <v>-38.805387590656643</v>
      </c>
      <c r="P165" s="1">
        <f>(Main_S[[#This Row],[P/B]]-VLOOKUP(Main_S[[#This Row],[Industry]], Mean_PB_S, 2, FALSE))/(VLOOKUP(Main_S[[#This Row],[Industry]], Mean_PB_S, 3, FALSE))</f>
        <v>1.5125263208216606</v>
      </c>
      <c r="Q165" s="1">
        <f>(Main_S[[#This Row],[ROE]]-VLOOKUP(Main_S[[#This Row],[Industry]], Mean_ROE_S, 2, FALSE))/(VLOOKUP(Main_S[[#This Row],[Industry]], Mean_ROE_S, 3, FALSE))</f>
        <v>5.9366417644715992E-3</v>
      </c>
      <c r="R165" s="1">
        <f>(Main_S[[#This Row],[ROA]]-VLOOKUP(Main_S[[#This Row],[Industry]], Mean_ROA_S, 2, FALSE))/(VLOOKUP(Main_S[[#This Row],[Industry]], Mean_ROA_S, 3, FALSE))</f>
        <v>-1.7291397754472325E-2</v>
      </c>
      <c r="S165" s="1">
        <f>(Main_S[[#This Row],[A/E]]-VLOOKUP(Main_S[[#This Row],[Industry]], Mean_AE_S, 2, FALSE))/(VLOOKUP(Main_S[[#This Row],[Industry]], Mean_AE_S, 3, FALSE))</f>
        <v>0.81367062007448143</v>
      </c>
      <c r="T165" s="1">
        <f>(Main_S[[#This Row],[P/E]]-VLOOKUP(Main_S[[#This Row],[Industry]], Mean_PE_S, 2, FALSE))/(VLOOKUP(Main_S[[#This Row],[Industry]], Mean_PE_S, 3, FALSE))</f>
        <v>-1.7017440152988539</v>
      </c>
      <c r="U1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6" spans="1:26" x14ac:dyDescent="0.25">
      <c r="A166" s="68" t="s">
        <v>105</v>
      </c>
      <c r="B166" s="68" t="s">
        <v>354</v>
      </c>
      <c r="C166" s="2">
        <v>963</v>
      </c>
      <c r="D166">
        <f>RTD("tos.rtd", , "LAST", Main_S[[#This Row],[Symbol]])</f>
        <v>19</v>
      </c>
      <c r="E166">
        <v>-0.16</v>
      </c>
      <c r="F166">
        <v>8.06</v>
      </c>
      <c r="G166">
        <v>-0.41</v>
      </c>
      <c r="H166" s="1">
        <f>IF(ISNUMBER(Main_S[[#This Row],[Free CF]]),IF(Main_S[[#This Row],[Free CF]]&lt;&gt;0,Main_S[[#This Row],[Current Price]]/Main_S[[#This Row],[Free CF]],""),"")</f>
        <v>-118.75</v>
      </c>
      <c r="I166" s="1">
        <f>IF(ISNUMBER(Main_S[[#This Row],[BVPS]]),IF(Main_S[[#This Row],[BVPS]]&lt;&gt;0,Main_S[[#This Row],[Current Price]]/Main_S[[#This Row],[BVPS]],""),"")</f>
        <v>2.3573200992555829</v>
      </c>
      <c r="J166">
        <v>-5.16</v>
      </c>
      <c r="K166">
        <v>-1.55</v>
      </c>
      <c r="L166">
        <v>1.28</v>
      </c>
      <c r="M166" s="1">
        <f>IF(ISNUMBER(Main_S[[#This Row],[EPS]]),IF(Main_S[[#This Row],[EPS]]&lt;&gt;0,Main_S[[#This Row],[Current Price]]/Main_S[[#This Row],[EPS]],""),"")</f>
        <v>-46.341463414634148</v>
      </c>
      <c r="N1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6" s="1">
        <f>(Main_S[[#This Row],[P/FCF]]-VLOOKUP(Main_S[[#This Row],[Industry]], Mean_PFCF_S, 2, FALSE))/(VLOOKUP(Main_S[[#This Row],[Industry]], Mean_PFCF_S, 3, FALSE))</f>
        <v>-3.682485636021458</v>
      </c>
      <c r="P166" s="1">
        <f>(Main_S[[#This Row],[P/B]]-VLOOKUP(Main_S[[#This Row],[Industry]], Mean_PB_S, 2, FALSE))/(VLOOKUP(Main_S[[#This Row],[Industry]], Mean_PB_S, 3, FALSE))</f>
        <v>-0.40582285596915579</v>
      </c>
      <c r="Q166" s="1">
        <f>(Main_S[[#This Row],[ROE]]-VLOOKUP(Main_S[[#This Row],[Industry]], Mean_ROE_S, 2, FALSE))/(VLOOKUP(Main_S[[#This Row],[Industry]], Mean_ROE_S, 3, FALSE))</f>
        <v>0.56364744842454362</v>
      </c>
      <c r="R166" s="1">
        <f>(Main_S[[#This Row],[ROA]]-VLOOKUP(Main_S[[#This Row],[Industry]], Mean_ROA_S, 2, FALSE))/(VLOOKUP(Main_S[[#This Row],[Industry]], Mean_ROA_S, 3, FALSE))</f>
        <v>0.26414100707693877</v>
      </c>
      <c r="S166" s="1">
        <f>(Main_S[[#This Row],[A/E]]-VLOOKUP(Main_S[[#This Row],[Industry]], Mean_AE_S, 2, FALSE))/(VLOOKUP(Main_S[[#This Row],[Industry]], Mean_AE_S, 3, FALSE))</f>
        <v>-0.7703573551275511</v>
      </c>
      <c r="T166" s="1">
        <f>(Main_S[[#This Row],[P/E]]-VLOOKUP(Main_S[[#This Row],[Industry]], Mean_PE_S, 2, FALSE))/(VLOOKUP(Main_S[[#This Row],[Industry]], Mean_PE_S, 3, FALSE))</f>
        <v>-2.9744707838853723</v>
      </c>
      <c r="U1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7" spans="1:26" x14ac:dyDescent="0.25">
      <c r="A167" s="68" t="s">
        <v>105</v>
      </c>
      <c r="B167" s="68" t="s">
        <v>355</v>
      </c>
      <c r="C167" s="2">
        <v>1693</v>
      </c>
      <c r="D167">
        <f>RTD("tos.rtd", , "LAST", Main_S[[#This Row],[Symbol]])</f>
        <v>247.79</v>
      </c>
      <c r="E167">
        <v>7.43</v>
      </c>
      <c r="F167">
        <v>44.65</v>
      </c>
      <c r="G167">
        <v>7.58</v>
      </c>
      <c r="H167" s="1">
        <f>IF(ISNUMBER(Main_S[[#This Row],[Free CF]]),IF(Main_S[[#This Row],[Free CF]]&lt;&gt;0,Main_S[[#This Row],[Current Price]]/Main_S[[#This Row],[Free CF]],""),"")</f>
        <v>33.349932705248989</v>
      </c>
      <c r="I167" s="1">
        <f>IF(ISNUMBER(Main_S[[#This Row],[BVPS]]),IF(Main_S[[#This Row],[BVPS]]&lt;&gt;0,Main_S[[#This Row],[Current Price]]/Main_S[[#This Row],[BVPS]],""),"")</f>
        <v>5.5496080627099662</v>
      </c>
      <c r="J167">
        <v>18.760000000000002</v>
      </c>
      <c r="K167">
        <v>10.220000000000001</v>
      </c>
      <c r="L167">
        <v>1.84</v>
      </c>
      <c r="M167" s="1">
        <f>IF(ISNUMBER(Main_S[[#This Row],[EPS]]),IF(Main_S[[#This Row],[EPS]]&lt;&gt;0,Main_S[[#This Row],[Current Price]]/Main_S[[#This Row],[EPS]],""),"")</f>
        <v>32.689973614775724</v>
      </c>
      <c r="N1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7" s="1">
        <f>(Main_S[[#This Row],[P/FCF]]-VLOOKUP(Main_S[[#This Row],[Industry]], Mean_PFCF_S, 2, FALSE))/(VLOOKUP(Main_S[[#This Row],[Industry]], Mean_PFCF_S, 3, FALSE))</f>
        <v>1.3992656350492387</v>
      </c>
      <c r="P167" s="1">
        <f>(Main_S[[#This Row],[P/B]]-VLOOKUP(Main_S[[#This Row],[Industry]], Mean_PB_S, 2, FALSE))/(VLOOKUP(Main_S[[#This Row],[Industry]], Mean_PB_S, 3, FALSE))</f>
        <v>0.71934399169615582</v>
      </c>
      <c r="Q167" s="1">
        <f>(Main_S[[#This Row],[ROE]]-VLOOKUP(Main_S[[#This Row],[Industry]], Mean_ROE_S, 2, FALSE))/(VLOOKUP(Main_S[[#This Row],[Industry]], Mean_ROE_S, 3, FALSE))</f>
        <v>1.2816475827253468</v>
      </c>
      <c r="R167" s="1">
        <f>(Main_S[[#This Row],[ROA]]-VLOOKUP(Main_S[[#This Row],[Industry]], Mean_ROA_S, 2, FALSE))/(VLOOKUP(Main_S[[#This Row],[Industry]], Mean_ROA_S, 3, FALSE))</f>
        <v>1.3870086019466703</v>
      </c>
      <c r="S167" s="1">
        <f>(Main_S[[#This Row],[A/E]]-VLOOKUP(Main_S[[#This Row],[Industry]], Mean_AE_S, 2, FALSE))/(VLOOKUP(Main_S[[#This Row],[Industry]], Mean_AE_S, 3, FALSE))</f>
        <v>0.15365896374030114</v>
      </c>
      <c r="T167" s="1">
        <f>(Main_S[[#This Row],[P/E]]-VLOOKUP(Main_S[[#This Row],[Industry]], Mean_PE_S, 2, FALSE))/(VLOOKUP(Main_S[[#This Row],[Industry]], Mean_PE_S, 3, FALSE))</f>
        <v>3.4932177376945557</v>
      </c>
      <c r="U1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68" spans="1:26" x14ac:dyDescent="0.25">
      <c r="A168" s="68" t="s">
        <v>129</v>
      </c>
      <c r="B168" s="68" t="s">
        <v>356</v>
      </c>
      <c r="C168" s="2">
        <v>1116</v>
      </c>
      <c r="D168">
        <f>RTD("tos.rtd", , "LAST", Main_S[[#This Row],[Symbol]])</f>
        <v>9.0250000000000004</v>
      </c>
      <c r="E168">
        <v>1.76</v>
      </c>
      <c r="F168">
        <v>11.93</v>
      </c>
      <c r="G168">
        <v>0.61</v>
      </c>
      <c r="H168" s="1">
        <f>IF(ISNUMBER(Main_S[[#This Row],[Free CF]]),IF(Main_S[[#This Row],[Free CF]]&lt;&gt;0,Main_S[[#This Row],[Current Price]]/Main_S[[#This Row],[Free CF]],""),"")</f>
        <v>5.1278409090909092</v>
      </c>
      <c r="I168" s="1">
        <f>IF(ISNUMBER(Main_S[[#This Row],[BVPS]]),IF(Main_S[[#This Row],[BVPS]]&lt;&gt;0,Main_S[[#This Row],[Current Price]]/Main_S[[#This Row],[BVPS]],""),"")</f>
        <v>0.75649622799664717</v>
      </c>
      <c r="J168">
        <v>6.23</v>
      </c>
      <c r="K168">
        <v>4.25</v>
      </c>
      <c r="L168">
        <v>2.86</v>
      </c>
      <c r="M168" s="1">
        <f>IF(ISNUMBER(Main_S[[#This Row],[EPS]]),IF(Main_S[[#This Row],[EPS]]&lt;&gt;0,Main_S[[#This Row],[Current Price]]/Main_S[[#This Row],[EPS]],""),"")</f>
        <v>14.795081967213116</v>
      </c>
      <c r="N1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8" s="1">
        <f>(Main_S[[#This Row],[P/FCF]]-VLOOKUP(Main_S[[#This Row],[Industry]], Mean_PFCF_S, 2, FALSE))/(VLOOKUP(Main_S[[#This Row],[Industry]], Mean_PFCF_S, 3, FALSE))</f>
        <v>2.9407428743822342E-3</v>
      </c>
      <c r="P168" s="1">
        <f>(Main_S[[#This Row],[P/B]]-VLOOKUP(Main_S[[#This Row],[Industry]], Mean_PB_S, 2, FALSE))/(VLOOKUP(Main_S[[#This Row],[Industry]], Mean_PB_S, 3, FALSE))</f>
        <v>-0.91635347723973448</v>
      </c>
      <c r="Q168" s="1">
        <f>(Main_S[[#This Row],[ROE]]-VLOOKUP(Main_S[[#This Row],[Industry]], Mean_ROE_S, 2, FALSE))/(VLOOKUP(Main_S[[#This Row],[Industry]], Mean_ROE_S, 3, FALSE))</f>
        <v>0.51735036781651889</v>
      </c>
      <c r="R168" s="1">
        <f>(Main_S[[#This Row],[ROA]]-VLOOKUP(Main_S[[#This Row],[Industry]], Mean_ROA_S, 2, FALSE))/(VLOOKUP(Main_S[[#This Row],[Industry]], Mean_ROA_S, 3, FALSE))</f>
        <v>0.75446221953534398</v>
      </c>
      <c r="S168" s="1">
        <f>(Main_S[[#This Row],[A/E]]-VLOOKUP(Main_S[[#This Row],[Industry]], Mean_AE_S, 2, FALSE))/(VLOOKUP(Main_S[[#This Row],[Industry]], Mean_AE_S, 3, FALSE))</f>
        <v>0.51854707476072603</v>
      </c>
      <c r="T168" s="1">
        <f>(Main_S[[#This Row],[P/E]]-VLOOKUP(Main_S[[#This Row],[Industry]], Mean_PE_S, 2, FALSE))/(VLOOKUP(Main_S[[#This Row],[Industry]], Mean_PE_S, 3, FALSE))</f>
        <v>0.66262467147580872</v>
      </c>
      <c r="U1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69" spans="1:26" x14ac:dyDescent="0.25">
      <c r="A169" s="68" t="s">
        <v>129</v>
      </c>
      <c r="B169" s="68" t="s">
        <v>357</v>
      </c>
      <c r="C169" s="2">
        <v>550</v>
      </c>
      <c r="D169">
        <f>RTD("tos.rtd", , "LAST", Main_S[[#This Row],[Symbol]])</f>
        <v>1.5456000000000001</v>
      </c>
      <c r="E169">
        <v>-0.03</v>
      </c>
      <c r="F169">
        <v>0.84</v>
      </c>
      <c r="G169">
        <v>-0.05</v>
      </c>
      <c r="H169" s="1">
        <f>IF(ISNUMBER(Main_S[[#This Row],[Free CF]]),IF(Main_S[[#This Row],[Free CF]]&lt;&gt;0,Main_S[[#This Row],[Current Price]]/Main_S[[#This Row],[Free CF]],""),"")</f>
        <v>-51.52</v>
      </c>
      <c r="I169" s="1">
        <f>IF(ISNUMBER(Main_S[[#This Row],[BVPS]]),IF(Main_S[[#This Row],[BVPS]]&lt;&gt;0,Main_S[[#This Row],[Current Price]]/Main_S[[#This Row],[BVPS]],""),"")</f>
        <v>1.84</v>
      </c>
      <c r="J169">
        <v>-6.41</v>
      </c>
      <c r="K169">
        <v>-3.73</v>
      </c>
      <c r="L169">
        <v>1.06</v>
      </c>
      <c r="M169" s="1">
        <f>IF(ISNUMBER(Main_S[[#This Row],[EPS]]),IF(Main_S[[#This Row],[EPS]]&lt;&gt;0,Main_S[[#This Row],[Current Price]]/Main_S[[#This Row],[EPS]],""),"")</f>
        <v>-30.911999999999999</v>
      </c>
      <c r="N1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69" s="1">
        <f>(Main_S[[#This Row],[P/FCF]]-VLOOKUP(Main_S[[#This Row],[Industry]], Mean_PFCF_S, 2, FALSE))/(VLOOKUP(Main_S[[#This Row],[Industry]], Mean_PFCF_S, 3, FALSE))</f>
        <v>-2.6453879381610932</v>
      </c>
      <c r="P169" s="1">
        <f>(Main_S[[#This Row],[P/B]]-VLOOKUP(Main_S[[#This Row],[Industry]], Mean_PB_S, 2, FALSE))/(VLOOKUP(Main_S[[#This Row],[Industry]], Mean_PB_S, 3, FALSE))</f>
        <v>-1.8997904801543002E-2</v>
      </c>
      <c r="Q169" s="1">
        <f>(Main_S[[#This Row],[ROE]]-VLOOKUP(Main_S[[#This Row],[Industry]], Mean_ROE_S, 2, FALSE))/(VLOOKUP(Main_S[[#This Row],[Industry]], Mean_ROE_S, 3, FALSE))</f>
        <v>-0.26884229323601422</v>
      </c>
      <c r="R169" s="1">
        <f>(Main_S[[#This Row],[ROA]]-VLOOKUP(Main_S[[#This Row],[Industry]], Mean_ROA_S, 2, FALSE))/(VLOOKUP(Main_S[[#This Row],[Industry]], Mean_ROA_S, 3, FALSE))</f>
        <v>-1.1075816501219895</v>
      </c>
      <c r="S169" s="1">
        <f>(Main_S[[#This Row],[A/E]]-VLOOKUP(Main_S[[#This Row],[Industry]], Mean_AE_S, 2, FALSE))/(VLOOKUP(Main_S[[#This Row],[Industry]], Mean_AE_S, 3, FALSE))</f>
        <v>-1.0950169610638749</v>
      </c>
      <c r="T169" s="1">
        <f>(Main_S[[#This Row],[P/E]]-VLOOKUP(Main_S[[#This Row],[Industry]], Mean_PE_S, 2, FALSE))/(VLOOKUP(Main_S[[#This Row],[Industry]], Mean_PE_S, 3, FALSE))</f>
        <v>-1.3234731268604711</v>
      </c>
      <c r="U1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0" spans="1:26" x14ac:dyDescent="0.25">
      <c r="A170" s="68" t="s">
        <v>129</v>
      </c>
      <c r="B170" s="68" t="s">
        <v>358</v>
      </c>
      <c r="C170" s="2">
        <v>599</v>
      </c>
      <c r="D170">
        <f>RTD("tos.rtd", , "LAST", Main_S[[#This Row],[Symbol]])</f>
        <v>7.23</v>
      </c>
      <c r="E170">
        <v>-0.87</v>
      </c>
      <c r="F170">
        <v>7.32</v>
      </c>
      <c r="G170">
        <v>-4.7300000000000004</v>
      </c>
      <c r="H170" s="1">
        <f>IF(ISNUMBER(Main_S[[#This Row],[Free CF]]),IF(Main_S[[#This Row],[Free CF]]&lt;&gt;0,Main_S[[#This Row],[Current Price]]/Main_S[[#This Row],[Free CF]],""),"")</f>
        <v>-8.3103448275862082</v>
      </c>
      <c r="I170" s="1">
        <f>IF(ISNUMBER(Main_S[[#This Row],[BVPS]]),IF(Main_S[[#This Row],[BVPS]]&lt;&gt;0,Main_S[[#This Row],[Current Price]]/Main_S[[#This Row],[BVPS]],""),"")</f>
        <v>0.98770491803278693</v>
      </c>
      <c r="J170">
        <v>-48.7</v>
      </c>
      <c r="K170">
        <v>3.21</v>
      </c>
      <c r="L170">
        <v>8.24</v>
      </c>
      <c r="M170" s="1">
        <f>IF(ISNUMBER(Main_S[[#This Row],[EPS]]),IF(Main_S[[#This Row],[EPS]]&lt;&gt;0,Main_S[[#This Row],[Current Price]]/Main_S[[#This Row],[EPS]],""),"")</f>
        <v>-1.5285412262156448</v>
      </c>
      <c r="N1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0" s="1">
        <f>(Main_S[[#This Row],[P/FCF]]-VLOOKUP(Main_S[[#This Row],[Industry]], Mean_PFCF_S, 2, FALSE))/(VLOOKUP(Main_S[[#This Row],[Industry]], Mean_PFCF_S, 3, FALSE))</f>
        <v>-0.62530443181174655</v>
      </c>
      <c r="P170" s="1">
        <f>(Main_S[[#This Row],[P/B]]-VLOOKUP(Main_S[[#This Row],[Industry]], Mean_PB_S, 2, FALSE))/(VLOOKUP(Main_S[[#This Row],[Industry]], Mean_PB_S, 3, FALSE))</f>
        <v>-0.72486692060648028</v>
      </c>
      <c r="Q170" s="1">
        <f>(Main_S[[#This Row],[ROE]]-VLOOKUP(Main_S[[#This Row],[Industry]], Mean_ROE_S, 2, FALSE))/(VLOOKUP(Main_S[[#This Row],[Industry]], Mean_ROE_S, 3, FALSE))</f>
        <v>-2.8992289732923138</v>
      </c>
      <c r="R170" s="1">
        <f>(Main_S[[#This Row],[ROA]]-VLOOKUP(Main_S[[#This Row],[Industry]], Mean_ROA_S, 2, FALSE))/(VLOOKUP(Main_S[[#This Row],[Industry]], Mean_ROA_S, 3, FALSE))</f>
        <v>0.51178983551985191</v>
      </c>
      <c r="S170" s="1">
        <f>(Main_S[[#This Row],[A/E]]-VLOOKUP(Main_S[[#This Row],[Industry]], Mean_AE_S, 2, FALSE))/(VLOOKUP(Main_S[[#This Row],[Industry]], Mean_AE_S, 3, FALSE))</f>
        <v>5.34131069294759</v>
      </c>
      <c r="T170" s="1">
        <f>(Main_S[[#This Row],[P/E]]-VLOOKUP(Main_S[[#This Row],[Industry]], Mean_PE_S, 2, FALSE))/(VLOOKUP(Main_S[[#This Row],[Industry]], Mean_PE_S, 3, FALSE))</f>
        <v>-4.6681429241708858E-2</v>
      </c>
      <c r="U1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1" spans="1:26" x14ac:dyDescent="0.25">
      <c r="A171" s="68" t="s">
        <v>129</v>
      </c>
      <c r="B171" s="68" t="s">
        <v>359</v>
      </c>
      <c r="C171" s="2">
        <v>1400</v>
      </c>
      <c r="D171">
        <f>RTD("tos.rtd", , "LAST", Main_S[[#This Row],[Symbol]])</f>
        <v>2.7</v>
      </c>
      <c r="E171">
        <v>-0.24</v>
      </c>
      <c r="F171">
        <v>1.1399999999999999</v>
      </c>
      <c r="G171">
        <v>-0.61</v>
      </c>
      <c r="H171" s="1">
        <f>IF(ISNUMBER(Main_S[[#This Row],[Free CF]]),IF(Main_S[[#This Row],[Free CF]]&lt;&gt;0,Main_S[[#This Row],[Current Price]]/Main_S[[#This Row],[Free CF]],""),"")</f>
        <v>-11.250000000000002</v>
      </c>
      <c r="I171" s="1">
        <f>IF(ISNUMBER(Main_S[[#This Row],[BVPS]]),IF(Main_S[[#This Row],[BVPS]]&lt;&gt;0,Main_S[[#This Row],[Current Price]]/Main_S[[#This Row],[BVPS]],""),"")</f>
        <v>2.3684210526315792</v>
      </c>
      <c r="J171">
        <v>-44.22</v>
      </c>
      <c r="K171">
        <v>-10.220000000000001</v>
      </c>
      <c r="L171">
        <v>3.68</v>
      </c>
      <c r="M171" s="1">
        <f>IF(ISNUMBER(Main_S[[#This Row],[EPS]]),IF(Main_S[[#This Row],[EPS]]&lt;&gt;0,Main_S[[#This Row],[Current Price]]/Main_S[[#This Row],[EPS]],""),"")</f>
        <v>-4.4262295081967213</v>
      </c>
      <c r="N1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1" s="1">
        <f>(Main_S[[#This Row],[P/FCF]]-VLOOKUP(Main_S[[#This Row],[Industry]], Mean_PFCF_S, 2, FALSE))/(VLOOKUP(Main_S[[#This Row],[Industry]], Mean_PFCF_S, 3, FALSE))</f>
        <v>-0.76273549680063935</v>
      </c>
      <c r="P171" s="1">
        <f>(Main_S[[#This Row],[P/B]]-VLOOKUP(Main_S[[#This Row],[Industry]], Mean_PB_S, 2, FALSE))/(VLOOKUP(Main_S[[#This Row],[Industry]], Mean_PB_S, 3, FALSE))</f>
        <v>0.41863931292208389</v>
      </c>
      <c r="Q171" s="1">
        <f>(Main_S[[#This Row],[ROE]]-VLOOKUP(Main_S[[#This Row],[Industry]], Mean_ROE_S, 2, FALSE))/(VLOOKUP(Main_S[[#This Row],[Industry]], Mean_ROE_S, 3, FALSE))</f>
        <v>-2.620578409881289</v>
      </c>
      <c r="R171" s="1">
        <f>(Main_S[[#This Row],[ROA]]-VLOOKUP(Main_S[[#This Row],[Industry]], Mean_ROA_S, 2, FALSE))/(VLOOKUP(Main_S[[#This Row],[Industry]], Mean_ROA_S, 3, FALSE))</f>
        <v>-2.621950661910974</v>
      </c>
      <c r="S171" s="1">
        <f>(Main_S[[#This Row],[A/E]]-VLOOKUP(Main_S[[#This Row],[Industry]], Mean_AE_S, 2, FALSE))/(VLOOKUP(Main_S[[#This Row],[Industry]], Mean_AE_S, 3, FALSE))</f>
        <v>1.2536151355252669</v>
      </c>
      <c r="T171" s="1">
        <f>(Main_S[[#This Row],[P/E]]-VLOOKUP(Main_S[[#This Row],[Industry]], Mean_PE_S, 2, FALSE))/(VLOOKUP(Main_S[[#This Row],[Industry]], Mean_PE_S, 3, FALSE))</f>
        <v>-0.17259391521567086</v>
      </c>
      <c r="U1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2" spans="1:26" x14ac:dyDescent="0.25">
      <c r="A172" s="68" t="s">
        <v>129</v>
      </c>
      <c r="B172" s="68" t="s">
        <v>360</v>
      </c>
      <c r="C172" s="2">
        <v>749</v>
      </c>
      <c r="D172">
        <f>RTD("tos.rtd", , "LAST", Main_S[[#This Row],[Symbol]])</f>
        <v>21.67</v>
      </c>
      <c r="E172">
        <v>6.27</v>
      </c>
      <c r="F172">
        <v>18.559999999999999</v>
      </c>
      <c r="G172">
        <v>-3.85</v>
      </c>
      <c r="H172" s="1">
        <f>IF(ISNUMBER(Main_S[[#This Row],[Free CF]]),IF(Main_S[[#This Row],[Free CF]]&lt;&gt;0,Main_S[[#This Row],[Current Price]]/Main_S[[#This Row],[Free CF]],""),"")</f>
        <v>3.4561403508771935</v>
      </c>
      <c r="I172" s="1">
        <f>IF(ISNUMBER(Main_S[[#This Row],[BVPS]]),IF(Main_S[[#This Row],[BVPS]]&lt;&gt;0,Main_S[[#This Row],[Current Price]]/Main_S[[#This Row],[BVPS]],""),"")</f>
        <v>1.1675646551724139</v>
      </c>
      <c r="J172">
        <v>-19.12</v>
      </c>
      <c r="K172">
        <v>2.8</v>
      </c>
      <c r="L172">
        <v>3.42</v>
      </c>
      <c r="M172" s="1">
        <f>IF(ISNUMBER(Main_S[[#This Row],[EPS]]),IF(Main_S[[#This Row],[EPS]]&lt;&gt;0,Main_S[[#This Row],[Current Price]]/Main_S[[#This Row],[EPS]],""),"")</f>
        <v>-5.628571428571429</v>
      </c>
      <c r="N1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2" s="1">
        <f>(Main_S[[#This Row],[P/FCF]]-VLOOKUP(Main_S[[#This Row],[Industry]], Mean_PFCF_S, 2, FALSE))/(VLOOKUP(Main_S[[#This Row],[Industry]], Mean_PFCF_S, 3, FALSE))</f>
        <v>-7.521250115702291E-2</v>
      </c>
      <c r="P172" s="1">
        <f>(Main_S[[#This Row],[P/B]]-VLOOKUP(Main_S[[#This Row],[Industry]], Mean_PB_S, 2, FALSE))/(VLOOKUP(Main_S[[#This Row],[Industry]], Mean_PB_S, 3, FALSE))</f>
        <v>-0.57590746005832338</v>
      </c>
      <c r="Q172" s="1">
        <f>(Main_S[[#This Row],[ROE]]-VLOOKUP(Main_S[[#This Row],[Industry]], Mean_ROE_S, 2, FALSE))/(VLOOKUP(Main_S[[#This Row],[Industry]], Mean_ROE_S, 3, FALSE))</f>
        <v>-1.0593888693418447</v>
      </c>
      <c r="R172" s="1">
        <f>(Main_S[[#This Row],[ROA]]-VLOOKUP(Main_S[[#This Row],[Industry]], Mean_ROA_S, 2, FALSE))/(VLOOKUP(Main_S[[#This Row],[Industry]], Mean_ROA_S, 3, FALSE))</f>
        <v>0.41612091489835978</v>
      </c>
      <c r="S172" s="1">
        <f>(Main_S[[#This Row],[A/E]]-VLOOKUP(Main_S[[#This Row],[Industry]], Mean_AE_S, 2, FALSE))/(VLOOKUP(Main_S[[#This Row],[Industry]], Mean_AE_S, 3, FALSE))</f>
        <v>1.0205447747950465</v>
      </c>
      <c r="T172" s="1">
        <f>(Main_S[[#This Row],[P/E]]-VLOOKUP(Main_S[[#This Row],[Industry]], Mean_PE_S, 2, FALSE))/(VLOOKUP(Main_S[[#This Row],[Industry]], Mean_PE_S, 3, FALSE))</f>
        <v>-0.22483896211270477</v>
      </c>
      <c r="U1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3" spans="1:26" x14ac:dyDescent="0.25">
      <c r="A173" s="68" t="s">
        <v>129</v>
      </c>
      <c r="B173" s="68" t="s">
        <v>361</v>
      </c>
      <c r="C173" s="2">
        <v>1452</v>
      </c>
      <c r="D173">
        <f>RTD("tos.rtd", , "LAST", Main_S[[#This Row],[Symbol]])</f>
        <v>26.7</v>
      </c>
      <c r="E173">
        <v>0.93</v>
      </c>
      <c r="F173">
        <v>14.87</v>
      </c>
      <c r="G173">
        <v>0.9</v>
      </c>
      <c r="H173" s="1">
        <f>IF(ISNUMBER(Main_S[[#This Row],[Free CF]]),IF(Main_S[[#This Row],[Free CF]]&lt;&gt;0,Main_S[[#This Row],[Current Price]]/Main_S[[#This Row],[Free CF]],""),"")</f>
        <v>28.709677419354836</v>
      </c>
      <c r="I173" s="1">
        <f>IF(ISNUMBER(Main_S[[#This Row],[BVPS]]),IF(Main_S[[#This Row],[BVPS]]&lt;&gt;0,Main_S[[#This Row],[Current Price]]/Main_S[[#This Row],[BVPS]],""),"")</f>
        <v>1.7955615332885004</v>
      </c>
      <c r="J173">
        <v>10.8</v>
      </c>
      <c r="K173">
        <v>4.88</v>
      </c>
      <c r="L173">
        <v>1.9</v>
      </c>
      <c r="M173" s="1">
        <f>IF(ISNUMBER(Main_S[[#This Row],[EPS]]),IF(Main_S[[#This Row],[EPS]]&lt;&gt;0,Main_S[[#This Row],[Current Price]]/Main_S[[#This Row],[EPS]],""),"")</f>
        <v>29.666666666666664</v>
      </c>
      <c r="N1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3" s="1">
        <f>(Main_S[[#This Row],[P/FCF]]-VLOOKUP(Main_S[[#This Row],[Industry]], Mean_PFCF_S, 2, FALSE))/(VLOOKUP(Main_S[[#This Row],[Industry]], Mean_PFCF_S, 3, FALSE))</f>
        <v>1.1054091331850717</v>
      </c>
      <c r="P173" s="1">
        <f>(Main_S[[#This Row],[P/B]]-VLOOKUP(Main_S[[#This Row],[Industry]], Mean_PB_S, 2, FALSE))/(VLOOKUP(Main_S[[#This Row],[Industry]], Mean_PB_S, 3, FALSE))</f>
        <v>-5.5801750588292953E-2</v>
      </c>
      <c r="Q173" s="1">
        <f>(Main_S[[#This Row],[ROE]]-VLOOKUP(Main_S[[#This Row],[Industry]], Mean_ROE_S, 2, FALSE))/(VLOOKUP(Main_S[[#This Row],[Industry]], Mean_ROE_S, 3, FALSE))</f>
        <v>0.80159882201035415</v>
      </c>
      <c r="R173" s="1">
        <f>(Main_S[[#This Row],[ROA]]-VLOOKUP(Main_S[[#This Row],[Industry]], Mean_ROA_S, 2, FALSE))/(VLOOKUP(Main_S[[#This Row],[Industry]], Mean_ROA_S, 3, FALSE))</f>
        <v>0.90146568292934404</v>
      </c>
      <c r="S173" s="1">
        <f>(Main_S[[#This Row],[A/E]]-VLOOKUP(Main_S[[#This Row],[Industry]], Mean_AE_S, 2, FALSE))/(VLOOKUP(Main_S[[#This Row],[Industry]], Mean_AE_S, 3, FALSE))</f>
        <v>-0.34202041101239455</v>
      </c>
      <c r="T173" s="1">
        <f>(Main_S[[#This Row],[P/E]]-VLOOKUP(Main_S[[#This Row],[Industry]], Mean_PE_S, 2, FALSE))/(VLOOKUP(Main_S[[#This Row],[Industry]], Mean_PE_S, 3, FALSE))</f>
        <v>1.308835725827155</v>
      </c>
      <c r="U1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4" spans="1:26" x14ac:dyDescent="0.25">
      <c r="A174" s="68" t="s">
        <v>129</v>
      </c>
      <c r="B174" s="68" t="s">
        <v>362</v>
      </c>
      <c r="C174" s="2">
        <v>940</v>
      </c>
      <c r="D174">
        <f>RTD("tos.rtd", , "LAST", Main_S[[#This Row],[Symbol]])</f>
        <v>5.86</v>
      </c>
      <c r="E174">
        <v>0.14000000000000001</v>
      </c>
      <c r="F174">
        <v>-0.63</v>
      </c>
      <c r="G174">
        <v>-0.06</v>
      </c>
      <c r="H174" s="1">
        <f>IF(ISNUMBER(Main_S[[#This Row],[Free CF]]),IF(Main_S[[#This Row],[Free CF]]&lt;&gt;0,Main_S[[#This Row],[Current Price]]/Main_S[[#This Row],[Free CF]],""),"")</f>
        <v>41.857142857142854</v>
      </c>
      <c r="I174" s="1">
        <f>IF(ISNUMBER(Main_S[[#This Row],[BVPS]]),IF(Main_S[[#This Row],[BVPS]]&lt;&gt;0,Main_S[[#This Row],[Current Price]]/Main_S[[#This Row],[BVPS]],""),"")</f>
        <v>-9.3015873015873023</v>
      </c>
      <c r="J174">
        <v>8.76</v>
      </c>
      <c r="K174">
        <v>5.64</v>
      </c>
      <c r="L174">
        <v>-13.62</v>
      </c>
      <c r="M174" s="1">
        <f>IF(ISNUMBER(Main_S[[#This Row],[EPS]]),IF(Main_S[[#This Row],[EPS]]&lt;&gt;0,Main_S[[#This Row],[Current Price]]/Main_S[[#This Row],[EPS]],""),"")</f>
        <v>-97.666666666666671</v>
      </c>
      <c r="N1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4" s="1">
        <f>(Main_S[[#This Row],[P/FCF]]-VLOOKUP(Main_S[[#This Row],[Industry]], Mean_PFCF_S, 2, FALSE))/(VLOOKUP(Main_S[[#This Row],[Industry]], Mean_PFCF_S, 3, FALSE))</f>
        <v>1.7200629177431497</v>
      </c>
      <c r="P174" s="1">
        <f>(Main_S[[#This Row],[P/B]]-VLOOKUP(Main_S[[#This Row],[Industry]], Mean_PB_S, 2, FALSE))/(VLOOKUP(Main_S[[#This Row],[Industry]], Mean_PB_S, 3, FALSE))</f>
        <v>-9.2464373556122599</v>
      </c>
      <c r="Q174" s="1">
        <f>(Main_S[[#This Row],[ROE]]-VLOOKUP(Main_S[[#This Row],[Industry]], Mean_ROE_S, 2, FALSE))/(VLOOKUP(Main_S[[#This Row],[Industry]], Mean_ROE_S, 3, FALSE))</f>
        <v>0.67471329759997689</v>
      </c>
      <c r="R174" s="1">
        <f>(Main_S[[#This Row],[ROA]]-VLOOKUP(Main_S[[#This Row],[Industry]], Mean_ROA_S, 2, FALSE))/(VLOOKUP(Main_S[[#This Row],[Industry]], Mean_ROA_S, 3, FALSE))</f>
        <v>1.0788031943252805</v>
      </c>
      <c r="S174" s="1">
        <f>(Main_S[[#This Row],[A/E]]-VLOOKUP(Main_S[[#This Row],[Industry]], Mean_AE_S, 2, FALSE))/(VLOOKUP(Main_S[[#This Row],[Industry]], Mean_AE_S, 3, FALSE))</f>
        <v>-14.254528097677843</v>
      </c>
      <c r="T174" s="1">
        <f>(Main_S[[#This Row],[P/E]]-VLOOKUP(Main_S[[#This Row],[Industry]], Mean_PE_S, 2, FALSE))/(VLOOKUP(Main_S[[#This Row],[Industry]], Mean_PE_S, 3, FALSE))</f>
        <v>-4.2241460814464356</v>
      </c>
      <c r="U1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5" spans="1:26" x14ac:dyDescent="0.25">
      <c r="A175" s="68" t="s">
        <v>129</v>
      </c>
      <c r="B175" s="68" t="s">
        <v>363</v>
      </c>
      <c r="C175" s="2">
        <v>454</v>
      </c>
      <c r="D175">
        <f>RTD("tos.rtd", , "LAST", Main_S[[#This Row],[Symbol]])</f>
        <v>13.95</v>
      </c>
      <c r="E175">
        <v>3.34</v>
      </c>
      <c r="F175">
        <v>12.98</v>
      </c>
      <c r="G175">
        <v>-0.44</v>
      </c>
      <c r="H175" s="1">
        <f>IF(ISNUMBER(Main_S[[#This Row],[Free CF]]),IF(Main_S[[#This Row],[Free CF]]&lt;&gt;0,Main_S[[#This Row],[Current Price]]/Main_S[[#This Row],[Free CF]],""),"")</f>
        <v>4.1766467065868262</v>
      </c>
      <c r="I175" s="1">
        <f>IF(ISNUMBER(Main_S[[#This Row],[BVPS]]),IF(Main_S[[#This Row],[BVPS]]&lt;&gt;0,Main_S[[#This Row],[Current Price]]/Main_S[[#This Row],[BVPS]],""),"")</f>
        <v>1.0747303543913713</v>
      </c>
      <c r="J175">
        <v>-3.28</v>
      </c>
      <c r="K175">
        <v>-7.0000000000000007E-2</v>
      </c>
      <c r="L175">
        <v>1.41</v>
      </c>
      <c r="M175" s="1">
        <f>IF(ISNUMBER(Main_S[[#This Row],[EPS]]),IF(Main_S[[#This Row],[EPS]]&lt;&gt;0,Main_S[[#This Row],[Current Price]]/Main_S[[#This Row],[EPS]],""),"")</f>
        <v>-31.704545454545453</v>
      </c>
      <c r="N1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5" s="1">
        <f>(Main_S[[#This Row],[P/FCF]]-VLOOKUP(Main_S[[#This Row],[Industry]], Mean_PFCF_S, 2, FALSE))/(VLOOKUP(Main_S[[#This Row],[Industry]], Mean_PFCF_S, 3, FALSE))</f>
        <v>-4.1528293320110481E-2</v>
      </c>
      <c r="P175" s="1">
        <f>(Main_S[[#This Row],[P/B]]-VLOOKUP(Main_S[[#This Row],[Industry]], Mean_PB_S, 2, FALSE))/(VLOOKUP(Main_S[[#This Row],[Industry]], Mean_PB_S, 3, FALSE))</f>
        <v>-0.65279263505429375</v>
      </c>
      <c r="Q175" s="1">
        <f>(Main_S[[#This Row],[ROE]]-VLOOKUP(Main_S[[#This Row],[Industry]], Mean_ROE_S, 2, FALSE))/(VLOOKUP(Main_S[[#This Row],[Industry]], Mean_ROE_S, 3, FALSE))</f>
        <v>-7.4160091567151157E-2</v>
      </c>
      <c r="R175" s="1">
        <f>(Main_S[[#This Row],[ROA]]-VLOOKUP(Main_S[[#This Row],[Industry]], Mean_ROA_S, 2, FALSE))/(VLOOKUP(Main_S[[#This Row],[Industry]], Mean_ROA_S, 3, FALSE))</f>
        <v>-0.25356152945208466</v>
      </c>
      <c r="S175" s="1">
        <f>(Main_S[[#This Row],[A/E]]-VLOOKUP(Main_S[[#This Row],[Industry]], Mean_AE_S, 2, FALSE))/(VLOOKUP(Main_S[[#This Row],[Industry]], Mean_AE_S, 3, FALSE))</f>
        <v>-0.78126839854242491</v>
      </c>
      <c r="T175" s="1">
        <f>(Main_S[[#This Row],[P/E]]-VLOOKUP(Main_S[[#This Row],[Industry]], Mean_PE_S, 2, FALSE))/(VLOOKUP(Main_S[[#This Row],[Industry]], Mean_PE_S, 3, FALSE))</f>
        <v>-1.3579113958246389</v>
      </c>
      <c r="U1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6" spans="1:26" x14ac:dyDescent="0.25">
      <c r="A176" s="68" t="s">
        <v>129</v>
      </c>
      <c r="B176" s="68" t="s">
        <v>364</v>
      </c>
      <c r="C176" s="2">
        <v>492</v>
      </c>
      <c r="D176">
        <f>RTD("tos.rtd", , "LAST", Main_S[[#This Row],[Symbol]])</f>
        <v>17.03</v>
      </c>
      <c r="E176">
        <v>1.49</v>
      </c>
      <c r="F176">
        <v>15.26</v>
      </c>
      <c r="G176">
        <v>-0.18</v>
      </c>
      <c r="H176" s="1">
        <f>IF(ISNUMBER(Main_S[[#This Row],[Free CF]]),IF(Main_S[[#This Row],[Free CF]]&lt;&gt;0,Main_S[[#This Row],[Current Price]]/Main_S[[#This Row],[Free CF]],""),"")</f>
        <v>11.429530201342283</v>
      </c>
      <c r="I176" s="1">
        <f>IF(ISNUMBER(Main_S[[#This Row],[BVPS]]),IF(Main_S[[#This Row],[BVPS]]&lt;&gt;0,Main_S[[#This Row],[Current Price]]/Main_S[[#This Row],[BVPS]],""),"")</f>
        <v>1.115989515072084</v>
      </c>
      <c r="J176">
        <v>-1.2</v>
      </c>
      <c r="K176">
        <v>-1.79</v>
      </c>
      <c r="L176">
        <v>1.1399999999999999</v>
      </c>
      <c r="M176" s="1">
        <f>IF(ISNUMBER(Main_S[[#This Row],[EPS]]),IF(Main_S[[#This Row],[EPS]]&lt;&gt;0,Main_S[[#This Row],[Current Price]]/Main_S[[#This Row],[EPS]],""),"")</f>
        <v>-94.611111111111114</v>
      </c>
      <c r="N1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6" s="1">
        <f>(Main_S[[#This Row],[P/FCF]]-VLOOKUP(Main_S[[#This Row],[Industry]], Mean_PFCF_S, 2, FALSE))/(VLOOKUP(Main_S[[#This Row],[Industry]], Mean_PFCF_S, 3, FALSE))</f>
        <v>0.29754940268943264</v>
      </c>
      <c r="P176" s="1">
        <f>(Main_S[[#This Row],[P/B]]-VLOOKUP(Main_S[[#This Row],[Industry]], Mean_PB_S, 2, FALSE))/(VLOOKUP(Main_S[[#This Row],[Industry]], Mean_PB_S, 3, FALSE))</f>
        <v>-0.61862188391560213</v>
      </c>
      <c r="Q176" s="1">
        <f>(Main_S[[#This Row],[ROE]]-VLOOKUP(Main_S[[#This Row],[Industry]], Mean_ROE_S, 2, FALSE))/(VLOOKUP(Main_S[[#This Row],[Industry]], Mean_ROE_S, 3, FALSE))</f>
        <v>5.5213384302253012E-2</v>
      </c>
      <c r="R176" s="1">
        <f>(Main_S[[#This Row],[ROA]]-VLOOKUP(Main_S[[#This Row],[Industry]], Mean_ROA_S, 2, FALSE))/(VLOOKUP(Main_S[[#This Row],[Industry]], Mean_ROA_S, 3, FALSE))</f>
        <v>-0.65490431840078311</v>
      </c>
      <c r="S176" s="1">
        <f>(Main_S[[#This Row],[A/E]]-VLOOKUP(Main_S[[#This Row],[Industry]], Mean_AE_S, 2, FALSE))/(VLOOKUP(Main_S[[#This Row],[Industry]], Mean_AE_S, 3, FALSE))</f>
        <v>-1.0233030039161151</v>
      </c>
      <c r="T176" s="1">
        <f>(Main_S[[#This Row],[P/E]]-VLOOKUP(Main_S[[#This Row],[Industry]], Mean_PE_S, 2, FALSE))/(VLOOKUP(Main_S[[#This Row],[Industry]], Mean_PE_S, 3, FALSE))</f>
        <v>-4.0913738303992941</v>
      </c>
      <c r="U1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77" spans="1:26" x14ac:dyDescent="0.25">
      <c r="A177" s="68" t="s">
        <v>129</v>
      </c>
      <c r="B177" s="68" t="s">
        <v>365</v>
      </c>
      <c r="C177" s="2">
        <v>415</v>
      </c>
      <c r="D177">
        <f>RTD("tos.rtd", , "LAST", Main_S[[#This Row],[Symbol]])</f>
        <v>10.47</v>
      </c>
      <c r="E177">
        <v>0.94</v>
      </c>
      <c r="F177">
        <v>10.39</v>
      </c>
      <c r="G177">
        <v>-3.11</v>
      </c>
      <c r="H177" s="1">
        <f>IF(ISNUMBER(Main_S[[#This Row],[Free CF]]),IF(Main_S[[#This Row],[Free CF]]&lt;&gt;0,Main_S[[#This Row],[Current Price]]/Main_S[[#This Row],[Free CF]],""),"")</f>
        <v>11.138297872340427</v>
      </c>
      <c r="I177" s="1">
        <f>IF(ISNUMBER(Main_S[[#This Row],[BVPS]]),IF(Main_S[[#This Row],[BVPS]]&lt;&gt;0,Main_S[[#This Row],[Current Price]]/Main_S[[#This Row],[BVPS]],""),"")</f>
        <v>1.0076997112608277</v>
      </c>
      <c r="J177">
        <v>-24.53</v>
      </c>
      <c r="K177">
        <v>2.19</v>
      </c>
      <c r="L177">
        <v>2.34</v>
      </c>
      <c r="M177" s="1">
        <f>IF(ISNUMBER(Main_S[[#This Row],[EPS]]),IF(Main_S[[#This Row],[EPS]]&lt;&gt;0,Main_S[[#This Row],[Current Price]]/Main_S[[#This Row],[EPS]],""),"")</f>
        <v>-3.366559485530547</v>
      </c>
      <c r="N1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7" s="1">
        <f>(Main_S[[#This Row],[P/FCF]]-VLOOKUP(Main_S[[#This Row],[Industry]], Mean_PFCF_S, 2, FALSE))/(VLOOKUP(Main_S[[#This Row],[Industry]], Mean_PFCF_S, 3, FALSE))</f>
        <v>0.28393407477290827</v>
      </c>
      <c r="P177" s="1">
        <f>(Main_S[[#This Row],[P/B]]-VLOOKUP(Main_S[[#This Row],[Industry]], Mean_PB_S, 2, FALSE))/(VLOOKUP(Main_S[[#This Row],[Industry]], Mean_PB_S, 3, FALSE))</f>
        <v>-0.70830727440445829</v>
      </c>
      <c r="Q177" s="1">
        <f>(Main_S[[#This Row],[ROE]]-VLOOKUP(Main_S[[#This Row],[Industry]], Mean_ROE_S, 2, FALSE))/(VLOOKUP(Main_S[[#This Row],[Industry]], Mean_ROE_S, 3, FALSE))</f>
        <v>-1.3958843041752467</v>
      </c>
      <c r="R177" s="1">
        <f>(Main_S[[#This Row],[ROA]]-VLOOKUP(Main_S[[#This Row],[Industry]], Mean_ROA_S, 2, FALSE))/(VLOOKUP(Main_S[[#This Row],[Industry]], Mean_ROA_S, 3, FALSE))</f>
        <v>0.27378422812004233</v>
      </c>
      <c r="S177" s="1">
        <f>(Main_S[[#This Row],[A/E]]-VLOOKUP(Main_S[[#This Row],[Industry]], Mean_AE_S, 2, FALSE))/(VLOOKUP(Main_S[[#This Row],[Industry]], Mean_AE_S, 3, FALSE))</f>
        <v>5.2406353300285688E-2</v>
      </c>
      <c r="T177" s="1">
        <f>(Main_S[[#This Row],[P/E]]-VLOOKUP(Main_S[[#This Row],[Industry]], Mean_PE_S, 2, FALSE))/(VLOOKUP(Main_S[[#This Row],[Industry]], Mean_PE_S, 3, FALSE))</f>
        <v>-0.12654835272515932</v>
      </c>
      <c r="U1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8" spans="1:26" x14ac:dyDescent="0.25">
      <c r="A178" s="68" t="s">
        <v>129</v>
      </c>
      <c r="B178" s="68" t="s">
        <v>366</v>
      </c>
      <c r="C178" s="2">
        <v>568</v>
      </c>
      <c r="D178">
        <f>RTD("tos.rtd", , "LAST", Main_S[[#This Row],[Symbol]])</f>
        <v>20.29</v>
      </c>
      <c r="E178">
        <v>-1.04</v>
      </c>
      <c r="F178">
        <v>36.81</v>
      </c>
      <c r="G178">
        <v>-1.34</v>
      </c>
      <c r="H178" s="1">
        <f>IF(ISNUMBER(Main_S[[#This Row],[Free CF]]),IF(Main_S[[#This Row],[Free CF]]&lt;&gt;0,Main_S[[#This Row],[Current Price]]/Main_S[[#This Row],[Free CF]],""),"")</f>
        <v>-19.509615384615383</v>
      </c>
      <c r="I178" s="1">
        <f>IF(ISNUMBER(Main_S[[#This Row],[BVPS]]),IF(Main_S[[#This Row],[BVPS]]&lt;&gt;0,Main_S[[#This Row],[Current Price]]/Main_S[[#This Row],[BVPS]],""),"")</f>
        <v>0.55120891062211352</v>
      </c>
      <c r="J178">
        <v>-3.72</v>
      </c>
      <c r="K178">
        <v>-3.69</v>
      </c>
      <c r="L178">
        <v>1.07</v>
      </c>
      <c r="M178" s="1">
        <f>IF(ISNUMBER(Main_S[[#This Row],[EPS]]),IF(Main_S[[#This Row],[EPS]]&lt;&gt;0,Main_S[[#This Row],[Current Price]]/Main_S[[#This Row],[EPS]],""),"")</f>
        <v>-15.141791044776118</v>
      </c>
      <c r="N1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8" s="1">
        <f>(Main_S[[#This Row],[P/FCF]]-VLOOKUP(Main_S[[#This Row],[Industry]], Mean_PFCF_S, 2, FALSE))/(VLOOKUP(Main_S[[#This Row],[Industry]], Mean_PFCF_S, 3, FALSE))</f>
        <v>-1.14887865718168</v>
      </c>
      <c r="P178" s="1">
        <f>(Main_S[[#This Row],[P/B]]-VLOOKUP(Main_S[[#This Row],[Industry]], Mean_PB_S, 2, FALSE))/(VLOOKUP(Main_S[[#This Row],[Industry]], Mean_PB_S, 3, FALSE))</f>
        <v>-1.0863720068995972</v>
      </c>
      <c r="Q178" s="1">
        <f>(Main_S[[#This Row],[ROE]]-VLOOKUP(Main_S[[#This Row],[Industry]], Mean_ROE_S, 2, FALSE))/(VLOOKUP(Main_S[[#This Row],[Industry]], Mean_ROE_S, 3, FALSE))</f>
        <v>-0.10152755761644823</v>
      </c>
      <c r="R178" s="1">
        <f>(Main_S[[#This Row],[ROA]]-VLOOKUP(Main_S[[#This Row],[Industry]], Mean_ROA_S, 2, FALSE))/(VLOOKUP(Main_S[[#This Row],[Industry]], Mean_ROA_S, 3, FALSE))</f>
        <v>-1.0982480968906245</v>
      </c>
      <c r="S178" s="1">
        <f>(Main_S[[#This Row],[A/E]]-VLOOKUP(Main_S[[#This Row],[Industry]], Mean_AE_S, 2, FALSE))/(VLOOKUP(Main_S[[#This Row],[Industry]], Mean_AE_S, 3, FALSE))</f>
        <v>-1.086052716420405</v>
      </c>
      <c r="T178" s="1">
        <f>(Main_S[[#This Row],[P/E]]-VLOOKUP(Main_S[[#This Row],[Industry]], Mean_PE_S, 2, FALSE))/(VLOOKUP(Main_S[[#This Row],[Industry]], Mean_PE_S, 3, FALSE))</f>
        <v>-0.63821438932520835</v>
      </c>
      <c r="U1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79" spans="1:26" x14ac:dyDescent="0.25">
      <c r="A179" s="68" t="s">
        <v>129</v>
      </c>
      <c r="B179" s="68" t="s">
        <v>367</v>
      </c>
      <c r="C179" s="2">
        <v>301</v>
      </c>
      <c r="D179">
        <f>RTD("tos.rtd", , "LAST", Main_S[[#This Row],[Symbol]])</f>
        <v>1.17</v>
      </c>
      <c r="E179">
        <v>-0.12</v>
      </c>
      <c r="F179">
        <v>0.26</v>
      </c>
      <c r="G179">
        <v>-0.13</v>
      </c>
      <c r="H179" s="1">
        <f>IF(ISNUMBER(Main_S[[#This Row],[Free CF]]),IF(Main_S[[#This Row],[Free CF]]&lt;&gt;0,Main_S[[#This Row],[Current Price]]/Main_S[[#This Row],[Free CF]],""),"")</f>
        <v>-9.75</v>
      </c>
      <c r="I179" s="1">
        <f>IF(ISNUMBER(Main_S[[#This Row],[BVPS]]),IF(Main_S[[#This Row],[BVPS]]&lt;&gt;0,Main_S[[#This Row],[Current Price]]/Main_S[[#This Row],[BVPS]],""),"")</f>
        <v>4.5</v>
      </c>
      <c r="J179">
        <v>-57.66</v>
      </c>
      <c r="K179">
        <v>-23.84</v>
      </c>
      <c r="L179">
        <v>1.96</v>
      </c>
      <c r="M179" s="1">
        <f>IF(ISNUMBER(Main_S[[#This Row],[EPS]]),IF(Main_S[[#This Row],[EPS]]&lt;&gt;0,Main_S[[#This Row],[Current Price]]/Main_S[[#This Row],[EPS]],""),"")</f>
        <v>-9</v>
      </c>
      <c r="N1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79" s="1">
        <f>(Main_S[[#This Row],[P/FCF]]-VLOOKUP(Main_S[[#This Row],[Industry]], Mean_PFCF_S, 2, FALSE))/(VLOOKUP(Main_S[[#This Row],[Industry]], Mean_PFCF_S, 3, FALSE))</f>
        <v>-0.69260938152771445</v>
      </c>
      <c r="P179" s="1">
        <f>(Main_S[[#This Row],[P/B]]-VLOOKUP(Main_S[[#This Row],[Industry]], Mean_PB_S, 2, FALSE))/(VLOOKUP(Main_S[[#This Row],[Industry]], Mean_PB_S, 3, FALSE))</f>
        <v>2.1840085676837258</v>
      </c>
      <c r="Q179" s="1">
        <f>(Main_S[[#This Row],[ROE]]-VLOOKUP(Main_S[[#This Row],[Industry]], Mean_ROE_S, 2, FALSE))/(VLOOKUP(Main_S[[#This Row],[Industry]], Mean_ROE_S, 3, FALSE))</f>
        <v>-3.456530100114362</v>
      </c>
      <c r="R179" s="1">
        <f>(Main_S[[#This Row],[ROA]]-VLOOKUP(Main_S[[#This Row],[Industry]], Mean_ROA_S, 2, FALSE))/(VLOOKUP(Main_S[[#This Row],[Industry]], Mean_ROA_S, 3, FALSE))</f>
        <v>-5.8000255371907832</v>
      </c>
      <c r="S179" s="1">
        <f>(Main_S[[#This Row],[A/E]]-VLOOKUP(Main_S[[#This Row],[Industry]], Mean_AE_S, 2, FALSE))/(VLOOKUP(Main_S[[#This Row],[Industry]], Mean_AE_S, 3, FALSE))</f>
        <v>-0.28823494315157444</v>
      </c>
      <c r="T179" s="1">
        <f>(Main_S[[#This Row],[P/E]]-VLOOKUP(Main_S[[#This Row],[Industry]], Mean_PE_S, 2, FALSE))/(VLOOKUP(Main_S[[#This Row],[Industry]], Mean_PE_S, 3, FALSE))</f>
        <v>-0.37133676015121264</v>
      </c>
      <c r="U1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0" spans="1:26" x14ac:dyDescent="0.25">
      <c r="A180" s="68" t="s">
        <v>129</v>
      </c>
      <c r="B180" s="68" t="s">
        <v>368</v>
      </c>
      <c r="C180" s="2">
        <v>441</v>
      </c>
      <c r="D180">
        <f>RTD("tos.rtd", , "LAST", Main_S[[#This Row],[Symbol]])</f>
        <v>3.96</v>
      </c>
      <c r="E180">
        <v>-0.02</v>
      </c>
      <c r="F180">
        <v>1.84</v>
      </c>
      <c r="G180">
        <v>-0.19</v>
      </c>
      <c r="H180" s="1">
        <f>IF(ISNUMBER(Main_S[[#This Row],[Free CF]]),IF(Main_S[[#This Row],[Free CF]]&lt;&gt;0,Main_S[[#This Row],[Current Price]]/Main_S[[#This Row],[Free CF]],""),"")</f>
        <v>-198</v>
      </c>
      <c r="I180" s="1">
        <f>IF(ISNUMBER(Main_S[[#This Row],[BVPS]]),IF(Main_S[[#This Row],[BVPS]]&lt;&gt;0,Main_S[[#This Row],[Current Price]]/Main_S[[#This Row],[BVPS]],""),"")</f>
        <v>2.152173913043478</v>
      </c>
      <c r="J180">
        <v>-9.52</v>
      </c>
      <c r="K180">
        <v>-2.3199999999999998</v>
      </c>
      <c r="L180">
        <v>2.11</v>
      </c>
      <c r="M180" s="1">
        <f>IF(ISNUMBER(Main_S[[#This Row],[EPS]]),IF(Main_S[[#This Row],[EPS]]&lt;&gt;0,Main_S[[#This Row],[Current Price]]/Main_S[[#This Row],[EPS]],""),"")</f>
        <v>-20.842105263157894</v>
      </c>
      <c r="N18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0" s="1">
        <f>(Main_S[[#This Row],[P/FCF]]-VLOOKUP(Main_S[[#This Row],[Industry]], Mean_PFCF_S, 2, FALSE))/(VLOOKUP(Main_S[[#This Row],[Industry]], Mean_PFCF_S, 3, FALSE))</f>
        <v>-9.4934368482797744</v>
      </c>
      <c r="P180" s="1">
        <f>(Main_S[[#This Row],[P/B]]-VLOOKUP(Main_S[[#This Row],[Industry]], Mean_PB_S, 2, FALSE))/(VLOOKUP(Main_S[[#This Row],[Industry]], Mean_PB_S, 3, FALSE))</f>
        <v>0.23954388127959811</v>
      </c>
      <c r="Q180" s="1">
        <f>(Main_S[[#This Row],[ROE]]-VLOOKUP(Main_S[[#This Row],[Industry]], Mean_ROE_S, 2, FALSE))/(VLOOKUP(Main_S[[#This Row],[Industry]], Mean_ROE_S, 3, FALSE))</f>
        <v>-0.46228051917536367</v>
      </c>
      <c r="R180" s="1">
        <f>(Main_S[[#This Row],[ROA]]-VLOOKUP(Main_S[[#This Row],[Industry]], Mean_ROA_S, 2, FALSE))/(VLOOKUP(Main_S[[#This Row],[Industry]], Mean_ROA_S, 3, FALSE))</f>
        <v>-0.77857389871637039</v>
      </c>
      <c r="S180" s="1">
        <f>(Main_S[[#This Row],[A/E]]-VLOOKUP(Main_S[[#This Row],[Industry]], Mean_AE_S, 2, FALSE))/(VLOOKUP(Main_S[[#This Row],[Industry]], Mean_AE_S, 3, FALSE))</f>
        <v>-0.15377127349952444</v>
      </c>
      <c r="T180" s="1">
        <f>(Main_S[[#This Row],[P/E]]-VLOOKUP(Main_S[[#This Row],[Industry]], Mean_PE_S, 2, FALSE))/(VLOOKUP(Main_S[[#This Row],[Industry]], Mean_PE_S, 3, FALSE))</f>
        <v>-0.88590864219994137</v>
      </c>
      <c r="U18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1" spans="1:26" x14ac:dyDescent="0.25">
      <c r="A181" s="68" t="s">
        <v>129</v>
      </c>
      <c r="B181" s="68" t="s">
        <v>369</v>
      </c>
      <c r="C181" s="2">
        <v>1231</v>
      </c>
      <c r="D181">
        <f>RTD("tos.rtd", , "LAST", Main_S[[#This Row],[Symbol]])</f>
        <v>14.42</v>
      </c>
      <c r="E181">
        <v>2.21</v>
      </c>
      <c r="F181">
        <v>9.09</v>
      </c>
      <c r="G181">
        <v>-1.19</v>
      </c>
      <c r="H181" s="1">
        <f>IF(ISNUMBER(Main_S[[#This Row],[Free CF]]),IF(Main_S[[#This Row],[Free CF]]&lt;&gt;0,Main_S[[#This Row],[Current Price]]/Main_S[[#This Row],[Free CF]],""),"")</f>
        <v>6.5248868778280542</v>
      </c>
      <c r="I181" s="1">
        <f>IF(ISNUMBER(Main_S[[#This Row],[BVPS]]),IF(Main_S[[#This Row],[BVPS]]&lt;&gt;0,Main_S[[#This Row],[Current Price]]/Main_S[[#This Row],[BVPS]],""),"")</f>
        <v>1.5863586358635864</v>
      </c>
      <c r="J181">
        <v>-12.28</v>
      </c>
      <c r="K181">
        <v>5.25</v>
      </c>
      <c r="L181">
        <v>2.81</v>
      </c>
      <c r="M181" s="1">
        <f>IF(ISNUMBER(Main_S[[#This Row],[EPS]]),IF(Main_S[[#This Row],[EPS]]&lt;&gt;0,Main_S[[#This Row],[Current Price]]/Main_S[[#This Row],[EPS]],""),"")</f>
        <v>-12.117647058823531</v>
      </c>
      <c r="N18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1" s="1">
        <f>(Main_S[[#This Row],[P/FCF]]-VLOOKUP(Main_S[[#This Row],[Industry]], Mean_PFCF_S, 2, FALSE))/(VLOOKUP(Main_S[[#This Row],[Industry]], Mean_PFCF_S, 3, FALSE))</f>
        <v>6.8253680637872835E-2</v>
      </c>
      <c r="P181" s="1">
        <f>(Main_S[[#This Row],[P/B]]-VLOOKUP(Main_S[[#This Row],[Industry]], Mean_PB_S, 2, FALSE))/(VLOOKUP(Main_S[[#This Row],[Industry]], Mean_PB_S, 3, FALSE))</f>
        <v>-0.22906315550925438</v>
      </c>
      <c r="Q181" s="1">
        <f>(Main_S[[#This Row],[ROE]]-VLOOKUP(Main_S[[#This Row],[Industry]], Mean_ROE_S, 2, FALSE))/(VLOOKUP(Main_S[[#This Row],[Industry]], Mean_ROE_S, 3, FALSE))</f>
        <v>-0.63394916984822691</v>
      </c>
      <c r="R181" s="1">
        <f>(Main_S[[#This Row],[ROA]]-VLOOKUP(Main_S[[#This Row],[Industry]], Mean_ROA_S, 2, FALSE))/(VLOOKUP(Main_S[[#This Row],[Industry]], Mean_ROA_S, 3, FALSE))</f>
        <v>0.98780105031947096</v>
      </c>
      <c r="S181" s="1">
        <f>(Main_S[[#This Row],[A/E]]-VLOOKUP(Main_S[[#This Row],[Industry]], Mean_AE_S, 2, FALSE))/(VLOOKUP(Main_S[[#This Row],[Industry]], Mean_AE_S, 3, FALSE))</f>
        <v>0.47372585154337615</v>
      </c>
      <c r="T181" s="1">
        <f>(Main_S[[#This Row],[P/E]]-VLOOKUP(Main_S[[#This Row],[Industry]], Mean_PE_S, 2, FALSE))/(VLOOKUP(Main_S[[#This Row],[Industry]], Mean_PE_S, 3, FALSE))</f>
        <v>-0.50680705694155781</v>
      </c>
      <c r="U18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2" spans="1:26" x14ac:dyDescent="0.25">
      <c r="A182" s="68" t="s">
        <v>129</v>
      </c>
      <c r="B182" s="68" t="s">
        <v>370</v>
      </c>
      <c r="C182" s="2">
        <v>1030</v>
      </c>
      <c r="D182">
        <f>RTD("tos.rtd", , "LAST", Main_S[[#This Row],[Symbol]])</f>
        <v>8.36</v>
      </c>
      <c r="E182">
        <v>-0.25</v>
      </c>
      <c r="F182">
        <v>6.92</v>
      </c>
      <c r="G182">
        <v>-0.61</v>
      </c>
      <c r="H182" s="1">
        <f>IF(ISNUMBER(Main_S[[#This Row],[Free CF]]),IF(Main_S[[#This Row],[Free CF]]&lt;&gt;0,Main_S[[#This Row],[Current Price]]/Main_S[[#This Row],[Free CF]],""),"")</f>
        <v>-33.44</v>
      </c>
      <c r="I182" s="1">
        <f>IF(ISNUMBER(Main_S[[#This Row],[BVPS]]),IF(Main_S[[#This Row],[BVPS]]&lt;&gt;0,Main_S[[#This Row],[Current Price]]/Main_S[[#This Row],[BVPS]],""),"")</f>
        <v>1.2080924855491328</v>
      </c>
      <c r="J182">
        <v>-8.57</v>
      </c>
      <c r="K182">
        <v>-2.75</v>
      </c>
      <c r="L182">
        <v>1.8</v>
      </c>
      <c r="M182" s="1">
        <f>IF(ISNUMBER(Main_S[[#This Row],[EPS]]),IF(Main_S[[#This Row],[EPS]]&lt;&gt;0,Main_S[[#This Row],[Current Price]]/Main_S[[#This Row],[EPS]],""),"")</f>
        <v>-13.704918032786885</v>
      </c>
      <c r="N18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2" s="1">
        <f>(Main_S[[#This Row],[P/FCF]]-VLOOKUP(Main_S[[#This Row],[Industry]], Mean_PFCF_S, 2, FALSE))/(VLOOKUP(Main_S[[#This Row],[Industry]], Mean_PFCF_S, 3, FALSE))</f>
        <v>-1.8001344954047731</v>
      </c>
      <c r="P182" s="1">
        <f>(Main_S[[#This Row],[P/B]]-VLOOKUP(Main_S[[#This Row],[Industry]], Mean_PB_S, 2, FALSE))/(VLOOKUP(Main_S[[#This Row],[Industry]], Mean_PB_S, 3, FALSE))</f>
        <v>-0.54234239515768545</v>
      </c>
      <c r="Q182" s="1">
        <f>(Main_S[[#This Row],[ROE]]-VLOOKUP(Main_S[[#This Row],[Industry]], Mean_ROE_S, 2, FALSE))/(VLOOKUP(Main_S[[#This Row],[Industry]], Mean_ROE_S, 3, FALSE))</f>
        <v>-0.40319167202347239</v>
      </c>
      <c r="R182" s="1">
        <f>(Main_S[[#This Row],[ROA]]-VLOOKUP(Main_S[[#This Row],[Industry]], Mean_ROA_S, 2, FALSE))/(VLOOKUP(Main_S[[#This Row],[Industry]], Mean_ROA_S, 3, FALSE))</f>
        <v>-0.87890959595354501</v>
      </c>
      <c r="S182" s="1">
        <f>(Main_S[[#This Row],[A/E]]-VLOOKUP(Main_S[[#This Row],[Industry]], Mean_AE_S, 2, FALSE))/(VLOOKUP(Main_S[[#This Row],[Industry]], Mean_AE_S, 3, FALSE))</f>
        <v>-0.43166285744709448</v>
      </c>
      <c r="T182" s="1">
        <f>(Main_S[[#This Row],[P/E]]-VLOOKUP(Main_S[[#This Row],[Industry]], Mean_PE_S, 2, FALSE))/(VLOOKUP(Main_S[[#This Row],[Industry]], Mean_PE_S, 3, FALSE))</f>
        <v>-0.57577832465479861</v>
      </c>
      <c r="U18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3" spans="1:26" x14ac:dyDescent="0.25">
      <c r="A183" s="68" t="s">
        <v>129</v>
      </c>
      <c r="B183" s="68" t="s">
        <v>371</v>
      </c>
      <c r="C183" s="2">
        <v>315</v>
      </c>
      <c r="D183">
        <f>RTD("tos.rtd", , "LAST", Main_S[[#This Row],[Symbol]])</f>
        <v>5.71</v>
      </c>
      <c r="E183">
        <v>-0.67</v>
      </c>
      <c r="F183">
        <v>2.97</v>
      </c>
      <c r="G183">
        <v>-0.91</v>
      </c>
      <c r="H183" s="1">
        <f>IF(ISNUMBER(Main_S[[#This Row],[Free CF]]),IF(Main_S[[#This Row],[Free CF]]&lt;&gt;0,Main_S[[#This Row],[Current Price]]/Main_S[[#This Row],[Free CF]],""),"")</f>
        <v>-8.5223880597014912</v>
      </c>
      <c r="I183" s="1">
        <f>IF(ISNUMBER(Main_S[[#This Row],[BVPS]]),IF(Main_S[[#This Row],[BVPS]]&lt;&gt;0,Main_S[[#This Row],[Current Price]]/Main_S[[#This Row],[BVPS]],""),"")</f>
        <v>1.9225589225589224</v>
      </c>
      <c r="J183">
        <v>-27.83</v>
      </c>
      <c r="K183">
        <v>-16.52</v>
      </c>
      <c r="L183">
        <v>1.1100000000000001</v>
      </c>
      <c r="M183" s="1">
        <f>IF(ISNUMBER(Main_S[[#This Row],[EPS]]),IF(Main_S[[#This Row],[EPS]]&lt;&gt;0,Main_S[[#This Row],[Current Price]]/Main_S[[#This Row],[EPS]],""),"")</f>
        <v>-6.2747252747252746</v>
      </c>
      <c r="N18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3" s="1">
        <f>(Main_S[[#This Row],[P/FCF]]-VLOOKUP(Main_S[[#This Row],[Industry]], Mean_PFCF_S, 2, FALSE))/(VLOOKUP(Main_S[[#This Row],[Industry]], Mean_PFCF_S, 3, FALSE))</f>
        <v>-0.63521761057051973</v>
      </c>
      <c r="P183" s="1">
        <f>(Main_S[[#This Row],[P/B]]-VLOOKUP(Main_S[[#This Row],[Industry]], Mean_PB_S, 2, FALSE))/(VLOOKUP(Main_S[[#This Row],[Industry]], Mean_PB_S, 3, FALSE))</f>
        <v>4.9377223303237384E-2</v>
      </c>
      <c r="Q183" s="1">
        <f>(Main_S[[#This Row],[ROE]]-VLOOKUP(Main_S[[#This Row],[Industry]], Mean_ROE_S, 2, FALSE))/(VLOOKUP(Main_S[[#This Row],[Industry]], Mean_ROE_S, 3, FALSE))</f>
        <v>-1.6011402995449744</v>
      </c>
      <c r="R183" s="1">
        <f>(Main_S[[#This Row],[ROA]]-VLOOKUP(Main_S[[#This Row],[Industry]], Mean_ROA_S, 2, FALSE))/(VLOOKUP(Main_S[[#This Row],[Industry]], Mean_ROA_S, 3, FALSE))</f>
        <v>-4.0919852958509733</v>
      </c>
      <c r="S183" s="1">
        <f>(Main_S[[#This Row],[A/E]]-VLOOKUP(Main_S[[#This Row],[Industry]], Mean_AE_S, 2, FALSE))/(VLOOKUP(Main_S[[#This Row],[Industry]], Mean_AE_S, 3, FALSE))</f>
        <v>-1.050195737846525</v>
      </c>
      <c r="T183" s="1">
        <f>(Main_S[[#This Row],[P/E]]-VLOOKUP(Main_S[[#This Row],[Industry]], Mean_PE_S, 2, FALSE))/(VLOOKUP(Main_S[[#This Row],[Industry]], Mean_PE_S, 3, FALSE))</f>
        <v>-0.25291611506141487</v>
      </c>
      <c r="U18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4" spans="1:26" x14ac:dyDescent="0.25">
      <c r="A184" s="68" t="s">
        <v>129</v>
      </c>
      <c r="B184" s="68" t="s">
        <v>372</v>
      </c>
      <c r="C184" s="2">
        <v>298</v>
      </c>
      <c r="D184">
        <f>RTD("tos.rtd", , "LAST", Main_S[[#This Row],[Symbol]])</f>
        <v>13.44</v>
      </c>
      <c r="E184">
        <v>0.81</v>
      </c>
      <c r="F184">
        <v>1.3</v>
      </c>
      <c r="G184">
        <v>1.02</v>
      </c>
      <c r="H184" s="1">
        <f>IF(ISNUMBER(Main_S[[#This Row],[Free CF]]),IF(Main_S[[#This Row],[Free CF]]&lt;&gt;0,Main_S[[#This Row],[Current Price]]/Main_S[[#This Row],[Free CF]],""),"")</f>
        <v>16.592592592592592</v>
      </c>
      <c r="I184" s="1">
        <f>IF(ISNUMBER(Main_S[[#This Row],[BVPS]]),IF(Main_S[[#This Row],[BVPS]]&lt;&gt;0,Main_S[[#This Row],[Current Price]]/Main_S[[#This Row],[BVPS]],""),"")</f>
        <v>10.338461538461537</v>
      </c>
      <c r="J184">
        <v>72.69</v>
      </c>
      <c r="K184">
        <v>17.13</v>
      </c>
      <c r="L184">
        <v>4.5599999999999996</v>
      </c>
      <c r="M184" s="1">
        <f>IF(ISNUMBER(Main_S[[#This Row],[EPS]]),IF(Main_S[[#This Row],[EPS]]&lt;&gt;0,Main_S[[#This Row],[Current Price]]/Main_S[[#This Row],[EPS]],""),"")</f>
        <v>13.176470588235293</v>
      </c>
      <c r="N18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4" s="1">
        <f>(Main_S[[#This Row],[P/FCF]]-VLOOKUP(Main_S[[#This Row],[Industry]], Mean_PFCF_S, 2, FALSE))/(VLOOKUP(Main_S[[#This Row],[Industry]], Mean_PFCF_S, 3, FALSE))</f>
        <v>0.53892640829618055</v>
      </c>
      <c r="P184" s="1">
        <f>(Main_S[[#This Row],[P/B]]-VLOOKUP(Main_S[[#This Row],[Industry]], Mean_PB_S, 2, FALSE))/(VLOOKUP(Main_S[[#This Row],[Industry]], Mean_PB_S, 3, FALSE))</f>
        <v>7.0194102814382617</v>
      </c>
      <c r="Q184" s="1">
        <f>(Main_S[[#This Row],[ROE]]-VLOOKUP(Main_S[[#This Row],[Industry]], Mean_ROE_S, 2, FALSE))/(VLOOKUP(Main_S[[#This Row],[Industry]], Mean_ROE_S, 3, FALSE))</f>
        <v>4.6510817169898848</v>
      </c>
      <c r="R184" s="1">
        <f>(Main_S[[#This Row],[ROA]]-VLOOKUP(Main_S[[#This Row],[Industry]], Mean_ROA_S, 2, FALSE))/(VLOOKUP(Main_S[[#This Row],[Industry]], Mean_ROA_S, 3, FALSE))</f>
        <v>3.7598663600348998</v>
      </c>
      <c r="S184" s="1">
        <f>(Main_S[[#This Row],[A/E]]-VLOOKUP(Main_S[[#This Row],[Industry]], Mean_AE_S, 2, FALSE))/(VLOOKUP(Main_S[[#This Row],[Industry]], Mean_AE_S, 3, FALSE))</f>
        <v>2.0424686641506269</v>
      </c>
      <c r="T184" s="1">
        <f>(Main_S[[#This Row],[P/E]]-VLOOKUP(Main_S[[#This Row],[Industry]], Mean_PE_S, 2, FALSE))/(VLOOKUP(Main_S[[#This Row],[Industry]], Mean_PE_S, 3, FALSE))</f>
        <v>0.59229157739520411</v>
      </c>
      <c r="U18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8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5" spans="1:26" x14ac:dyDescent="0.25">
      <c r="A185" s="68" t="s">
        <v>129</v>
      </c>
      <c r="B185" s="68" t="s">
        <v>373</v>
      </c>
      <c r="C185" s="2">
        <v>654</v>
      </c>
      <c r="D185">
        <f>RTD("tos.rtd", , "LAST", Main_S[[#This Row],[Symbol]])</f>
        <v>125.93</v>
      </c>
      <c r="E185">
        <v>4.0999999999999996</v>
      </c>
      <c r="F185">
        <v>26.55</v>
      </c>
      <c r="G185">
        <v>9.7100000000000009</v>
      </c>
      <c r="H185" s="1">
        <f>IF(ISNUMBER(Main_S[[#This Row],[Free CF]]),IF(Main_S[[#This Row],[Free CF]]&lt;&gt;0,Main_S[[#This Row],[Current Price]]/Main_S[[#This Row],[Free CF]],""),"")</f>
        <v>30.714634146341467</v>
      </c>
      <c r="I185" s="1">
        <f>IF(ISNUMBER(Main_S[[#This Row],[BVPS]]),IF(Main_S[[#This Row],[BVPS]]&lt;&gt;0,Main_S[[#This Row],[Current Price]]/Main_S[[#This Row],[BVPS]],""),"")</f>
        <v>4.7431261770244824</v>
      </c>
      <c r="J185">
        <v>67.81</v>
      </c>
      <c r="K185">
        <v>16.34</v>
      </c>
      <c r="L185">
        <v>4.4800000000000004</v>
      </c>
      <c r="M185" s="1">
        <f>IF(ISNUMBER(Main_S[[#This Row],[EPS]]),IF(Main_S[[#This Row],[EPS]]&lt;&gt;0,Main_S[[#This Row],[Current Price]]/Main_S[[#This Row],[EPS]],""),"")</f>
        <v>12.969104016477857</v>
      </c>
      <c r="N18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5" s="1">
        <f>(Main_S[[#This Row],[P/FCF]]-VLOOKUP(Main_S[[#This Row],[Industry]], Mean_PFCF_S, 2, FALSE))/(VLOOKUP(Main_S[[#This Row],[Industry]], Mean_PFCF_S, 3, FALSE))</f>
        <v>1.1991423508876655</v>
      </c>
      <c r="P185" s="1">
        <f>(Main_S[[#This Row],[P/B]]-VLOOKUP(Main_S[[#This Row],[Industry]], Mean_PB_S, 2, FALSE))/(VLOOKUP(Main_S[[#This Row],[Industry]], Mean_PB_S, 3, FALSE))</f>
        <v>2.3853651622760315</v>
      </c>
      <c r="Q185" s="1">
        <f>(Main_S[[#This Row],[ROE]]-VLOOKUP(Main_S[[#This Row],[Industry]], Mean_ROE_S, 2, FALSE))/(VLOOKUP(Main_S[[#This Row],[Industry]], Mean_ROE_S, 3, FALSE))</f>
        <v>4.3475516389885911</v>
      </c>
      <c r="R185" s="1">
        <f>(Main_S[[#This Row],[ROA]]-VLOOKUP(Main_S[[#This Row],[Industry]], Mean_ROA_S, 2, FALSE))/(VLOOKUP(Main_S[[#This Row],[Industry]], Mean_ROA_S, 3, FALSE))</f>
        <v>3.5755286837154396</v>
      </c>
      <c r="S185" s="1">
        <f>(Main_S[[#This Row],[A/E]]-VLOOKUP(Main_S[[#This Row],[Industry]], Mean_AE_S, 2, FALSE))/(VLOOKUP(Main_S[[#This Row],[Industry]], Mean_AE_S, 3, FALSE))</f>
        <v>1.9707547070028677</v>
      </c>
      <c r="T185" s="1">
        <f>(Main_S[[#This Row],[P/E]]-VLOOKUP(Main_S[[#This Row],[Industry]], Mean_PE_S, 2, FALSE))/(VLOOKUP(Main_S[[#This Row],[Industry]], Mean_PE_S, 3, FALSE))</f>
        <v>0.58328093235093248</v>
      </c>
      <c r="U18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8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6" spans="1:26" x14ac:dyDescent="0.25">
      <c r="A186" s="68" t="s">
        <v>129</v>
      </c>
      <c r="B186" s="68" t="s">
        <v>374</v>
      </c>
      <c r="C186" s="2">
        <v>991</v>
      </c>
      <c r="D186">
        <f>RTD("tos.rtd", , "LAST", Main_S[[#This Row],[Symbol]])</f>
        <v>1.3</v>
      </c>
      <c r="E186">
        <v>-0.3</v>
      </c>
      <c r="F186">
        <v>1.95</v>
      </c>
      <c r="G186">
        <v>-0.06</v>
      </c>
      <c r="H186" s="1">
        <f>IF(ISNUMBER(Main_S[[#This Row],[Free CF]]),IF(Main_S[[#This Row],[Free CF]]&lt;&gt;0,Main_S[[#This Row],[Current Price]]/Main_S[[#This Row],[Free CF]],""),"")</f>
        <v>-4.3333333333333339</v>
      </c>
      <c r="I186" s="1">
        <f>IF(ISNUMBER(Main_S[[#This Row],[BVPS]]),IF(Main_S[[#This Row],[BVPS]]&lt;&gt;0,Main_S[[#This Row],[Current Price]]/Main_S[[#This Row],[BVPS]],""),"")</f>
        <v>0.66666666666666674</v>
      </c>
      <c r="J186">
        <v>-3.04</v>
      </c>
      <c r="K186">
        <v>-8.1999999999999993</v>
      </c>
      <c r="L186">
        <v>1.62</v>
      </c>
      <c r="M186" s="1">
        <f>IF(ISNUMBER(Main_S[[#This Row],[EPS]]),IF(Main_S[[#This Row],[EPS]]&lt;&gt;0,Main_S[[#This Row],[Current Price]]/Main_S[[#This Row],[EPS]],""),"")</f>
        <v>-21.666666666666668</v>
      </c>
      <c r="N18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6" s="1">
        <f>(Main_S[[#This Row],[P/FCF]]-VLOOKUP(Main_S[[#This Row],[Industry]], Mean_PFCF_S, 2, FALSE))/(VLOOKUP(Main_S[[#This Row],[Industry]], Mean_PFCF_S, 3, FALSE))</f>
        <v>-0.43937618748659729</v>
      </c>
      <c r="P186" s="1">
        <f>(Main_S[[#This Row],[P/B]]-VLOOKUP(Main_S[[#This Row],[Industry]], Mean_PB_S, 2, FALSE))/(VLOOKUP(Main_S[[#This Row],[Industry]], Mean_PB_S, 3, FALSE))</f>
        <v>-0.99075013326622285</v>
      </c>
      <c r="Q186" s="1">
        <f>(Main_S[[#This Row],[ROE]]-VLOOKUP(Main_S[[#This Row],[Industry]], Mean_ROE_S, 2, FALSE))/(VLOOKUP(Main_S[[#This Row],[Industry]], Mean_ROE_S, 3, FALSE))</f>
        <v>-5.9232382812989155E-2</v>
      </c>
      <c r="R186" s="1">
        <f>(Main_S[[#This Row],[ROA]]-VLOOKUP(Main_S[[#This Row],[Industry]], Mean_ROA_S, 2, FALSE))/(VLOOKUP(Main_S[[#This Row],[Industry]], Mean_ROA_S, 3, FALSE))</f>
        <v>-2.1506062237270367</v>
      </c>
      <c r="S186" s="1">
        <f>(Main_S[[#This Row],[A/E]]-VLOOKUP(Main_S[[#This Row],[Industry]], Mean_AE_S, 2, FALSE))/(VLOOKUP(Main_S[[#This Row],[Industry]], Mean_AE_S, 3, FALSE))</f>
        <v>-0.5930192610295546</v>
      </c>
      <c r="T186" s="1">
        <f>(Main_S[[#This Row],[P/E]]-VLOOKUP(Main_S[[#This Row],[Industry]], Mean_PE_S, 2, FALSE))/(VLOOKUP(Main_S[[#This Row],[Industry]], Mean_PE_S, 3, FALSE))</f>
        <v>-0.92173809176481591</v>
      </c>
      <c r="U18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7" spans="1:26" x14ac:dyDescent="0.25">
      <c r="A187" s="68" t="s">
        <v>129</v>
      </c>
      <c r="B187" s="68" t="s">
        <v>375</v>
      </c>
      <c r="C187" s="2">
        <v>956</v>
      </c>
      <c r="D187">
        <f>RTD("tos.rtd", , "LAST", Main_S[[#This Row],[Symbol]])</f>
        <v>29.17</v>
      </c>
      <c r="E187">
        <v>0.61</v>
      </c>
      <c r="F187">
        <v>8.4600000000000009</v>
      </c>
      <c r="G187">
        <v>0.7</v>
      </c>
      <c r="H187" s="1">
        <f>IF(ISNUMBER(Main_S[[#This Row],[Free CF]]),IF(Main_S[[#This Row],[Free CF]]&lt;&gt;0,Main_S[[#This Row],[Current Price]]/Main_S[[#This Row],[Free CF]],""),"")</f>
        <v>47.819672131147541</v>
      </c>
      <c r="I187" s="1">
        <f>IF(ISNUMBER(Main_S[[#This Row],[BVPS]]),IF(Main_S[[#This Row],[BVPS]]&lt;&gt;0,Main_S[[#This Row],[Current Price]]/Main_S[[#This Row],[BVPS]],""),"")</f>
        <v>3.4479905437352243</v>
      </c>
      <c r="J187">
        <v>10.64</v>
      </c>
      <c r="K187">
        <v>3.84</v>
      </c>
      <c r="L187">
        <v>2.3199999999999998</v>
      </c>
      <c r="M187" s="1">
        <f>IF(ISNUMBER(Main_S[[#This Row],[EPS]]),IF(Main_S[[#This Row],[EPS]]&lt;&gt;0,Main_S[[#This Row],[Current Price]]/Main_S[[#This Row],[EPS]],""),"")</f>
        <v>41.671428571428578</v>
      </c>
      <c r="N18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7" s="1">
        <f>(Main_S[[#This Row],[P/FCF]]-VLOOKUP(Main_S[[#This Row],[Industry]], Mean_PFCF_S, 2, FALSE))/(VLOOKUP(Main_S[[#This Row],[Industry]], Mean_PFCF_S, 3, FALSE))</f>
        <v>1.9988155945345103</v>
      </c>
      <c r="P187" s="1">
        <f>(Main_S[[#This Row],[P/B]]-VLOOKUP(Main_S[[#This Row],[Industry]], Mean_PB_S, 2, FALSE))/(VLOOKUP(Main_S[[#This Row],[Industry]], Mean_PB_S, 3, FALSE))</f>
        <v>1.3127365220946243</v>
      </c>
      <c r="Q187" s="1">
        <f>(Main_S[[#This Row],[ROE]]-VLOOKUP(Main_S[[#This Row],[Industry]], Mean_ROE_S, 2, FALSE))/(VLOOKUP(Main_S[[#This Row],[Industry]], Mean_ROE_S, 3, FALSE))</f>
        <v>0.79164701617424604</v>
      </c>
      <c r="R187" s="1">
        <f>(Main_S[[#This Row],[ROA]]-VLOOKUP(Main_S[[#This Row],[Industry]], Mean_ROA_S, 2, FALSE))/(VLOOKUP(Main_S[[#This Row],[Industry]], Mean_ROA_S, 3, FALSE))</f>
        <v>0.65879329891385185</v>
      </c>
      <c r="S187" s="1">
        <f>(Main_S[[#This Row],[A/E]]-VLOOKUP(Main_S[[#This Row],[Industry]], Mean_AE_S, 2, FALSE))/(VLOOKUP(Main_S[[#This Row],[Industry]], Mean_AE_S, 3, FALSE))</f>
        <v>3.4477864013345662E-2</v>
      </c>
      <c r="T187" s="1">
        <f>(Main_S[[#This Row],[P/E]]-VLOOKUP(Main_S[[#This Row],[Industry]], Mean_PE_S, 2, FALSE))/(VLOOKUP(Main_S[[#This Row],[Industry]], Mean_PE_S, 3, FALSE))</f>
        <v>1.8304754840970401</v>
      </c>
      <c r="U18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8" spans="1:26" x14ac:dyDescent="0.25">
      <c r="A188" s="68" t="s">
        <v>129</v>
      </c>
      <c r="B188" s="68" t="s">
        <v>376</v>
      </c>
      <c r="C188" s="2">
        <v>332</v>
      </c>
      <c r="D188">
        <f>RTD("tos.rtd", , "LAST", Main_S[[#This Row],[Symbol]])</f>
        <v>3.5</v>
      </c>
      <c r="E188">
        <v>0.18</v>
      </c>
      <c r="F188">
        <v>1.9</v>
      </c>
      <c r="G188">
        <v>0.48</v>
      </c>
      <c r="H188" s="1">
        <f>IF(ISNUMBER(Main_S[[#This Row],[Free CF]]),IF(Main_S[[#This Row],[Free CF]]&lt;&gt;0,Main_S[[#This Row],[Current Price]]/Main_S[[#This Row],[Free CF]],""),"")</f>
        <v>19.444444444444446</v>
      </c>
      <c r="I188" s="1">
        <f>IF(ISNUMBER(Main_S[[#This Row],[BVPS]]),IF(Main_S[[#This Row],[BVPS]]&lt;&gt;0,Main_S[[#This Row],[Current Price]]/Main_S[[#This Row],[BVPS]],""),"")</f>
        <v>1.8421052631578949</v>
      </c>
      <c r="J188">
        <v>27.56</v>
      </c>
      <c r="K188">
        <v>20.329999999999998</v>
      </c>
      <c r="L188">
        <v>1.36</v>
      </c>
      <c r="M188" s="1">
        <f>IF(ISNUMBER(Main_S[[#This Row],[EPS]]),IF(Main_S[[#This Row],[EPS]]&lt;&gt;0,Main_S[[#This Row],[Current Price]]/Main_S[[#This Row],[EPS]],""),"")</f>
        <v>7.291666666666667</v>
      </c>
      <c r="N18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8" s="1">
        <f>(Main_S[[#This Row],[P/FCF]]-VLOOKUP(Main_S[[#This Row],[Industry]], Mean_PFCF_S, 2, FALSE))/(VLOOKUP(Main_S[[#This Row],[Industry]], Mean_PFCF_S, 3, FALSE))</f>
        <v>0.67225260276569199</v>
      </c>
      <c r="P188" s="1">
        <f>(Main_S[[#This Row],[P/B]]-VLOOKUP(Main_S[[#This Row],[Industry]], Mean_PB_S, 2, FALSE))/(VLOOKUP(Main_S[[#This Row],[Industry]], Mean_PB_S, 3, FALSE))</f>
        <v>-1.7254330228938831E-2</v>
      </c>
      <c r="Q188" s="1">
        <f>(Main_S[[#This Row],[ROE]]-VLOOKUP(Main_S[[#This Row],[Industry]], Mean_ROE_S, 2, FALSE))/(VLOOKUP(Main_S[[#This Row],[Industry]], Mean_ROE_S, 3, FALSE))</f>
        <v>1.8440504833426683</v>
      </c>
      <c r="R188" s="1">
        <f>(Main_S[[#This Row],[ROA]]-VLOOKUP(Main_S[[#This Row],[Industry]], Mean_ROA_S, 2, FALSE))/(VLOOKUP(Main_S[[#This Row],[Industry]], Mean_ROA_S, 3, FALSE))</f>
        <v>4.5065506185441064</v>
      </c>
      <c r="S188" s="1">
        <f>(Main_S[[#This Row],[A/E]]-VLOOKUP(Main_S[[#This Row],[Industry]], Mean_AE_S, 2, FALSE))/(VLOOKUP(Main_S[[#This Row],[Industry]], Mean_AE_S, 3, FALSE))</f>
        <v>-0.82608962175977474</v>
      </c>
      <c r="T188" s="1">
        <f>(Main_S[[#This Row],[P/E]]-VLOOKUP(Main_S[[#This Row],[Industry]], Mean_PE_S, 2, FALSE))/(VLOOKUP(Main_S[[#This Row],[Industry]], Mean_PE_S, 3, FALSE))</f>
        <v>0.33658074202286253</v>
      </c>
      <c r="U18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8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18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89" spans="1:26" x14ac:dyDescent="0.25">
      <c r="A189" s="68" t="s">
        <v>129</v>
      </c>
      <c r="B189" s="68" t="s">
        <v>377</v>
      </c>
      <c r="C189" s="2">
        <v>509</v>
      </c>
      <c r="D189">
        <f>RTD("tos.rtd", , "LAST", Main_S[[#This Row],[Symbol]])</f>
        <v>3.07</v>
      </c>
      <c r="E189">
        <v>0.04</v>
      </c>
      <c r="F189">
        <v>0.7</v>
      </c>
      <c r="G189">
        <v>0.01</v>
      </c>
      <c r="H189" s="1">
        <f>IF(ISNUMBER(Main_S[[#This Row],[Free CF]]),IF(Main_S[[#This Row],[Free CF]]&lt;&gt;0,Main_S[[#This Row],[Current Price]]/Main_S[[#This Row],[Free CF]],""),"")</f>
        <v>76.75</v>
      </c>
      <c r="I189" s="1">
        <f>IF(ISNUMBER(Main_S[[#This Row],[BVPS]]),IF(Main_S[[#This Row],[BVPS]]&lt;&gt;0,Main_S[[#This Row],[Current Price]]/Main_S[[#This Row],[BVPS]],""),"")</f>
        <v>4.3857142857142861</v>
      </c>
      <c r="J189">
        <v>0.97</v>
      </c>
      <c r="K189">
        <v>-1.47</v>
      </c>
      <c r="L189">
        <v>1.18</v>
      </c>
      <c r="M189" s="1">
        <f>IF(ISNUMBER(Main_S[[#This Row],[EPS]]),IF(Main_S[[#This Row],[EPS]]&lt;&gt;0,Main_S[[#This Row],[Current Price]]/Main_S[[#This Row],[EPS]],""),"")</f>
        <v>307</v>
      </c>
      <c r="N18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89" s="1">
        <f>(Main_S[[#This Row],[P/FCF]]-VLOOKUP(Main_S[[#This Row],[Industry]], Mean_PFCF_S, 2, FALSE))/(VLOOKUP(Main_S[[#This Row],[Industry]], Mean_PFCF_S, 3, FALSE))</f>
        <v>3.3513299325442811</v>
      </c>
      <c r="P189" s="1">
        <f>(Main_S[[#This Row],[P/B]]-VLOOKUP(Main_S[[#This Row],[Industry]], Mean_PB_S, 2, FALSE))/(VLOOKUP(Main_S[[#This Row],[Industry]], Mean_PB_S, 3, FALSE))</f>
        <v>2.0893573765995037</v>
      </c>
      <c r="Q189" s="1">
        <f>(Main_S[[#This Row],[ROE]]-VLOOKUP(Main_S[[#This Row],[Industry]], Mean_ROE_S, 2, FALSE))/(VLOOKUP(Main_S[[#This Row],[Industry]], Mean_ROE_S, 3, FALSE))</f>
        <v>0.19018475095446793</v>
      </c>
      <c r="R189" s="1">
        <f>(Main_S[[#This Row],[ROA]]-VLOOKUP(Main_S[[#This Row],[Industry]], Mean_ROA_S, 2, FALSE))/(VLOOKUP(Main_S[[#This Row],[Industry]], Mean_ROA_S, 3, FALSE))</f>
        <v>-0.58023589254986241</v>
      </c>
      <c r="S189" s="1">
        <f>(Main_S[[#This Row],[A/E]]-VLOOKUP(Main_S[[#This Row],[Industry]], Mean_AE_S, 2, FALSE))/(VLOOKUP(Main_S[[#This Row],[Industry]], Mean_AE_S, 3, FALSE))</f>
        <v>-0.98744602534223502</v>
      </c>
      <c r="T189" s="1">
        <f>(Main_S[[#This Row],[P/E]]-VLOOKUP(Main_S[[#This Row],[Industry]], Mean_PE_S, 2, FALSE))/(VLOOKUP(Main_S[[#This Row],[Industry]], Mean_PE_S, 3, FALSE))</f>
        <v>13.35972803905131</v>
      </c>
      <c r="U18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8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8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8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8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8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190" spans="1:26" x14ac:dyDescent="0.25">
      <c r="A190" s="68" t="s">
        <v>129</v>
      </c>
      <c r="B190" s="68" t="s">
        <v>378</v>
      </c>
      <c r="C190" s="2">
        <v>287</v>
      </c>
      <c r="D190">
        <f>RTD("tos.rtd", , "LAST", Main_S[[#This Row],[Symbol]])</f>
        <v>6.89</v>
      </c>
      <c r="E190">
        <v>0.03</v>
      </c>
      <c r="F190">
        <v>3.36</v>
      </c>
      <c r="G190">
        <v>0.28000000000000003</v>
      </c>
      <c r="H190" s="1">
        <f>IF(ISNUMBER(Main_S[[#This Row],[Free CF]]),IF(Main_S[[#This Row],[Free CF]]&lt;&gt;0,Main_S[[#This Row],[Current Price]]/Main_S[[#This Row],[Free CF]],""),"")</f>
        <v>229.66666666666666</v>
      </c>
      <c r="I190" s="1">
        <f>IF(ISNUMBER(Main_S[[#This Row],[BVPS]]),IF(Main_S[[#This Row],[BVPS]]&lt;&gt;0,Main_S[[#This Row],[Current Price]]/Main_S[[#This Row],[BVPS]],""),"")</f>
        <v>2.0505952380952381</v>
      </c>
      <c r="J190">
        <v>9.23</v>
      </c>
      <c r="K190">
        <v>6.5</v>
      </c>
      <c r="L190">
        <v>1.35</v>
      </c>
      <c r="M190" s="1">
        <f>IF(ISNUMBER(Main_S[[#This Row],[EPS]]),IF(Main_S[[#This Row],[EPS]]&lt;&gt;0,Main_S[[#This Row],[Current Price]]/Main_S[[#This Row],[EPS]],""),"")</f>
        <v>24.607142857142854</v>
      </c>
      <c r="N19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0" s="1">
        <f>(Main_S[[#This Row],[P/FCF]]-VLOOKUP(Main_S[[#This Row],[Industry]], Mean_PFCF_S, 2, FALSE))/(VLOOKUP(Main_S[[#This Row],[Industry]], Mean_PFCF_S, 3, FALSE))</f>
        <v>10.500297795089667</v>
      </c>
      <c r="P190" s="1">
        <f>(Main_S[[#This Row],[P/B]]-VLOOKUP(Main_S[[#This Row],[Industry]], Mean_PB_S, 2, FALSE))/(VLOOKUP(Main_S[[#This Row],[Industry]], Mean_PB_S, 3, FALSE))</f>
        <v>0.15541663376927867</v>
      </c>
      <c r="Q190" s="1">
        <f>(Main_S[[#This Row],[ROE]]-VLOOKUP(Main_S[[#This Row],[Industry]], Mean_ROE_S, 2, FALSE))/(VLOOKUP(Main_S[[#This Row],[Industry]], Mean_ROE_S, 3, FALSE))</f>
        <v>0.70394672724354423</v>
      </c>
      <c r="R190" s="1">
        <f>(Main_S[[#This Row],[ROA]]-VLOOKUP(Main_S[[#This Row],[Industry]], Mean_ROA_S, 2, FALSE))/(VLOOKUP(Main_S[[#This Row],[Industry]], Mean_ROA_S, 3, FALSE))</f>
        <v>1.2794745887996297</v>
      </c>
      <c r="S190" s="1">
        <f>(Main_S[[#This Row],[A/E]]-VLOOKUP(Main_S[[#This Row],[Industry]], Mean_AE_S, 2, FALSE))/(VLOOKUP(Main_S[[#This Row],[Industry]], Mean_AE_S, 3, FALSE))</f>
        <v>-0.83505386640324475</v>
      </c>
      <c r="T190" s="1">
        <f>(Main_S[[#This Row],[P/E]]-VLOOKUP(Main_S[[#This Row],[Industry]], Mean_PE_S, 2, FALSE))/(VLOOKUP(Main_S[[#This Row],[Industry]], Mean_PE_S, 3, FALSE))</f>
        <v>1.0889855698724733</v>
      </c>
      <c r="U19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1" spans="1:26" x14ac:dyDescent="0.25">
      <c r="A191" s="68" t="s">
        <v>129</v>
      </c>
      <c r="B191" s="68" t="s">
        <v>379</v>
      </c>
      <c r="C191" s="2">
        <v>1636</v>
      </c>
      <c r="D191">
        <f>RTD("tos.rtd", , "LAST", Main_S[[#This Row],[Symbol]])</f>
        <v>60.93</v>
      </c>
      <c r="E191">
        <v>-0.48</v>
      </c>
      <c r="F191">
        <v>9.02</v>
      </c>
      <c r="G191">
        <v>-1.41</v>
      </c>
      <c r="H191" s="1">
        <f>IF(ISNUMBER(Main_S[[#This Row],[Free CF]]),IF(Main_S[[#This Row],[Free CF]]&lt;&gt;0,Main_S[[#This Row],[Current Price]]/Main_S[[#This Row],[Free CF]],""),"")</f>
        <v>-126.9375</v>
      </c>
      <c r="I191" s="1">
        <f>IF(ISNUMBER(Main_S[[#This Row],[BVPS]]),IF(Main_S[[#This Row],[BVPS]]&lt;&gt;0,Main_S[[#This Row],[Current Price]]/Main_S[[#This Row],[BVPS]],""),"")</f>
        <v>6.7549889135254988</v>
      </c>
      <c r="J191">
        <v>-16.600000000000001</v>
      </c>
      <c r="K191">
        <v>-1.84</v>
      </c>
      <c r="L191">
        <v>1.73</v>
      </c>
      <c r="M191" s="1">
        <f>IF(ISNUMBER(Main_S[[#This Row],[EPS]]),IF(Main_S[[#This Row],[EPS]]&lt;&gt;0,Main_S[[#This Row],[Current Price]]/Main_S[[#This Row],[EPS]],""),"")</f>
        <v>-43.212765957446813</v>
      </c>
      <c r="N19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1" s="1">
        <f>(Main_S[[#This Row],[P/FCF]]-VLOOKUP(Main_S[[#This Row],[Industry]], Mean_PFCF_S, 2, FALSE))/(VLOOKUP(Main_S[[#This Row],[Industry]], Mean_PFCF_S, 3, FALSE))</f>
        <v>-6.1712121372249626</v>
      </c>
      <c r="P191" s="1">
        <f>(Main_S[[#This Row],[P/B]]-VLOOKUP(Main_S[[#This Row],[Industry]], Mean_PB_S, 2, FALSE))/(VLOOKUP(Main_S[[#This Row],[Industry]], Mean_PB_S, 3, FALSE))</f>
        <v>4.051585699969138</v>
      </c>
      <c r="Q191" s="1">
        <f>(Main_S[[#This Row],[ROE]]-VLOOKUP(Main_S[[#This Row],[Industry]], Mean_ROE_S, 2, FALSE))/(VLOOKUP(Main_S[[#This Row],[Industry]], Mean_ROE_S, 3, FALSE))</f>
        <v>-0.90264792742314337</v>
      </c>
      <c r="R191" s="1">
        <f>(Main_S[[#This Row],[ROA]]-VLOOKUP(Main_S[[#This Row],[Industry]], Mean_ROA_S, 2, FALSE))/(VLOOKUP(Main_S[[#This Row],[Industry]], Mean_ROA_S, 3, FALSE))</f>
        <v>-0.66657125993998945</v>
      </c>
      <c r="S191" s="1">
        <f>(Main_S[[#This Row],[A/E]]-VLOOKUP(Main_S[[#This Row],[Industry]], Mean_AE_S, 2, FALSE))/(VLOOKUP(Main_S[[#This Row],[Industry]], Mean_AE_S, 3, FALSE))</f>
        <v>-0.49441256995138461</v>
      </c>
      <c r="T191" s="1">
        <f>(Main_S[[#This Row],[P/E]]-VLOOKUP(Main_S[[#This Row],[Industry]], Mean_PE_S, 2, FALSE))/(VLOOKUP(Main_S[[#This Row],[Industry]], Mean_PE_S, 3, FALSE))</f>
        <v>-1.8579750712956822</v>
      </c>
      <c r="U19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19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2" spans="1:26" x14ac:dyDescent="0.25">
      <c r="A192" s="68" t="s">
        <v>129</v>
      </c>
      <c r="B192" s="68" t="s">
        <v>380</v>
      </c>
      <c r="C192" s="2">
        <v>518</v>
      </c>
      <c r="D192">
        <f>RTD("tos.rtd", , "LAST", Main_S[[#This Row],[Symbol]])</f>
        <v>6.89</v>
      </c>
      <c r="E192">
        <v>2.0699999999999998</v>
      </c>
      <c r="F192">
        <v>5.29</v>
      </c>
      <c r="G192">
        <v>0.43</v>
      </c>
      <c r="H192" s="1">
        <f>IF(ISNUMBER(Main_S[[#This Row],[Free CF]]),IF(Main_S[[#This Row],[Free CF]]&lt;&gt;0,Main_S[[#This Row],[Current Price]]/Main_S[[#This Row],[Free CF]],""),"")</f>
        <v>3.3285024154589373</v>
      </c>
      <c r="I192" s="1">
        <f>IF(ISNUMBER(Main_S[[#This Row],[BVPS]]),IF(Main_S[[#This Row],[BVPS]]&lt;&gt;0,Main_S[[#This Row],[Current Price]]/Main_S[[#This Row],[BVPS]],""),"")</f>
        <v>1.3024574669187146</v>
      </c>
      <c r="J192">
        <v>7.29</v>
      </c>
      <c r="K192">
        <v>6.63</v>
      </c>
      <c r="L192">
        <v>4.79</v>
      </c>
      <c r="M192" s="1">
        <f>IF(ISNUMBER(Main_S[[#This Row],[EPS]]),IF(Main_S[[#This Row],[EPS]]&lt;&gt;0,Main_S[[#This Row],[Current Price]]/Main_S[[#This Row],[EPS]],""),"")</f>
        <v>16.023255813953487</v>
      </c>
      <c r="N19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2" s="1">
        <f>(Main_S[[#This Row],[P/FCF]]-VLOOKUP(Main_S[[#This Row],[Industry]], Mean_PFCF_S, 2, FALSE))/(VLOOKUP(Main_S[[#This Row],[Industry]], Mean_PFCF_S, 3, FALSE))</f>
        <v>-8.1179669538582092E-2</v>
      </c>
      <c r="P192" s="1">
        <f>(Main_S[[#This Row],[P/B]]-VLOOKUP(Main_S[[#This Row],[Industry]], Mean_PB_S, 2, FALSE))/(VLOOKUP(Main_S[[#This Row],[Industry]], Mean_PB_S, 3, FALSE))</f>
        <v>-0.46418951367906131</v>
      </c>
      <c r="Q192" s="1">
        <f>(Main_S[[#This Row],[ROE]]-VLOOKUP(Main_S[[#This Row],[Industry]], Mean_ROE_S, 2, FALSE))/(VLOOKUP(Main_S[[#This Row],[Industry]], Mean_ROE_S, 3, FALSE))</f>
        <v>0.58328108148073454</v>
      </c>
      <c r="R192" s="1">
        <f>(Main_S[[#This Row],[ROA]]-VLOOKUP(Main_S[[#This Row],[Industry]], Mean_ROA_S, 2, FALSE))/(VLOOKUP(Main_S[[#This Row],[Industry]], Mean_ROA_S, 3, FALSE))</f>
        <v>1.3098086368015662</v>
      </c>
      <c r="S192" s="1">
        <f>(Main_S[[#This Row],[A/E]]-VLOOKUP(Main_S[[#This Row],[Industry]], Mean_AE_S, 2, FALSE))/(VLOOKUP(Main_S[[#This Row],[Industry]], Mean_AE_S, 3, FALSE))</f>
        <v>2.2486462909504374</v>
      </c>
      <c r="T192" s="1">
        <f>(Main_S[[#This Row],[P/E]]-VLOOKUP(Main_S[[#This Row],[Industry]], Mean_PE_S, 2, FALSE))/(VLOOKUP(Main_S[[#This Row],[Industry]], Mean_PE_S, 3, FALSE))</f>
        <v>0.71599218626782724</v>
      </c>
      <c r="U19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3" spans="1:26" x14ac:dyDescent="0.25">
      <c r="A193" s="68" t="s">
        <v>129</v>
      </c>
      <c r="B193" s="68" t="s">
        <v>381</v>
      </c>
      <c r="C193" s="2">
        <v>1549</v>
      </c>
      <c r="D193">
        <f>RTD("tos.rtd", , "LAST", Main_S[[#This Row],[Symbol]])</f>
        <v>6.92</v>
      </c>
      <c r="E193">
        <v>-0.63</v>
      </c>
      <c r="F193">
        <v>1.06</v>
      </c>
      <c r="G193">
        <v>-0.89</v>
      </c>
      <c r="H193" s="1">
        <f>IF(ISNUMBER(Main_S[[#This Row],[Free CF]]),IF(Main_S[[#This Row],[Free CF]]&lt;&gt;0,Main_S[[#This Row],[Current Price]]/Main_S[[#This Row],[Free CF]],""),"")</f>
        <v>-10.984126984126984</v>
      </c>
      <c r="I193" s="1">
        <f>IF(ISNUMBER(Main_S[[#This Row],[BVPS]]),IF(Main_S[[#This Row],[BVPS]]&lt;&gt;0,Main_S[[#This Row],[Current Price]]/Main_S[[#This Row],[BVPS]],""),"")</f>
        <v>6.5283018867924527</v>
      </c>
      <c r="J193">
        <v>-65.260000000000005</v>
      </c>
      <c r="K193">
        <v>0.66</v>
      </c>
      <c r="L193">
        <v>29.82</v>
      </c>
      <c r="M193" s="1">
        <f>IF(ISNUMBER(Main_S[[#This Row],[EPS]]),IF(Main_S[[#This Row],[EPS]]&lt;&gt;0,Main_S[[#This Row],[Current Price]]/Main_S[[#This Row],[EPS]],""),"")</f>
        <v>-7.7752808988764039</v>
      </c>
      <c r="N19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3" s="1">
        <f>(Main_S[[#This Row],[P/FCF]]-VLOOKUP(Main_S[[#This Row],[Industry]], Mean_PFCF_S, 2, FALSE))/(VLOOKUP(Main_S[[#This Row],[Industry]], Mean_PFCF_S, 3, FALSE))</f>
        <v>-0.75030573562792502</v>
      </c>
      <c r="P193" s="1">
        <f>(Main_S[[#This Row],[P/B]]-VLOOKUP(Main_S[[#This Row],[Industry]], Mean_PB_S, 2, FALSE))/(VLOOKUP(Main_S[[#This Row],[Industry]], Mean_PB_S, 3, FALSE))</f>
        <v>3.8638439754874305</v>
      </c>
      <c r="Q193" s="1">
        <f>(Main_S[[#This Row],[ROE]]-VLOOKUP(Main_S[[#This Row],[Industry]], Mean_ROE_S, 2, FALSE))/(VLOOKUP(Main_S[[#This Row],[Industry]], Mean_ROE_S, 3, FALSE))</f>
        <v>-3.9292408773294931</v>
      </c>
      <c r="R193" s="1">
        <f>(Main_S[[#This Row],[ROA]]-VLOOKUP(Main_S[[#This Row],[Industry]], Mean_ROA_S, 2, FALSE))/(VLOOKUP(Main_S[[#This Row],[Industry]], Mean_ROA_S, 3, FALSE))</f>
        <v>-8.3224182979671948E-2</v>
      </c>
      <c r="S193" s="1">
        <f>(Main_S[[#This Row],[A/E]]-VLOOKUP(Main_S[[#This Row],[Industry]], Mean_AE_S, 2, FALSE))/(VLOOKUP(Main_S[[#This Row],[Industry]], Mean_AE_S, 3, FALSE))</f>
        <v>24.686150633555865</v>
      </c>
      <c r="T193" s="1">
        <f>(Main_S[[#This Row],[P/E]]-VLOOKUP(Main_S[[#This Row],[Industry]], Mean_PE_S, 2, FALSE))/(VLOOKUP(Main_S[[#This Row],[Industry]], Mean_PE_S, 3, FALSE))</f>
        <v>-0.31811936351086723</v>
      </c>
      <c r="U19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4" spans="1:26" x14ac:dyDescent="0.25">
      <c r="A194" s="68" t="s">
        <v>129</v>
      </c>
      <c r="B194" s="68" t="s">
        <v>382</v>
      </c>
      <c r="C194" s="2">
        <v>460</v>
      </c>
      <c r="D194">
        <f>RTD("tos.rtd", , "LAST", Main_S[[#This Row],[Symbol]])</f>
        <v>3.8</v>
      </c>
      <c r="E194">
        <v>0.7</v>
      </c>
      <c r="F194">
        <v>-14.38</v>
      </c>
      <c r="G194">
        <v>-3.68</v>
      </c>
      <c r="H194" s="1">
        <f>IF(ISNUMBER(Main_S[[#This Row],[Free CF]]),IF(Main_S[[#This Row],[Free CF]]&lt;&gt;0,Main_S[[#This Row],[Current Price]]/Main_S[[#This Row],[Free CF]],""),"")</f>
        <v>5.4285714285714288</v>
      </c>
      <c r="I194" s="1">
        <f>IF(ISNUMBER(Main_S[[#This Row],[BVPS]]),IF(Main_S[[#This Row],[BVPS]]&lt;&gt;0,Main_S[[#This Row],[Current Price]]/Main_S[[#This Row],[BVPS]],""),"")</f>
        <v>-0.26425591098748258</v>
      </c>
      <c r="J194">
        <v>30</v>
      </c>
      <c r="K194">
        <v>3.78</v>
      </c>
      <c r="L194">
        <v>-7.22</v>
      </c>
      <c r="M194" s="1">
        <f>IF(ISNUMBER(Main_S[[#This Row],[EPS]]),IF(Main_S[[#This Row],[EPS]]&lt;&gt;0,Main_S[[#This Row],[Current Price]]/Main_S[[#This Row],[EPS]],""),"")</f>
        <v>-1.0326086956521738</v>
      </c>
      <c r="N19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4" s="1">
        <f>(Main_S[[#This Row],[P/FCF]]-VLOOKUP(Main_S[[#This Row],[Industry]], Mean_PFCF_S, 2, FALSE))/(VLOOKUP(Main_S[[#This Row],[Industry]], Mean_PFCF_S, 3, FALSE))</f>
        <v>1.7000118257833881E-2</v>
      </c>
      <c r="P194" s="1">
        <f>(Main_S[[#This Row],[P/B]]-VLOOKUP(Main_S[[#This Row],[Industry]], Mean_PB_S, 2, FALSE))/(VLOOKUP(Main_S[[#This Row],[Industry]], Mean_PB_S, 3, FALSE))</f>
        <v>-1.761738277610118</v>
      </c>
      <c r="Q194" s="1">
        <f>(Main_S[[#This Row],[ROE]]-VLOOKUP(Main_S[[#This Row],[Industry]], Mean_ROE_S, 2, FALSE))/(VLOOKUP(Main_S[[#This Row],[Industry]], Mean_ROE_S, 3, FALSE))</f>
        <v>1.9958155223433158</v>
      </c>
      <c r="R194" s="1">
        <f>(Main_S[[#This Row],[ROA]]-VLOOKUP(Main_S[[#This Row],[Industry]], Mean_ROA_S, 2, FALSE))/(VLOOKUP(Main_S[[#This Row],[Industry]], Mean_ROA_S, 3, FALSE))</f>
        <v>0.64479296906680428</v>
      </c>
      <c r="S194" s="1">
        <f>(Main_S[[#This Row],[A/E]]-VLOOKUP(Main_S[[#This Row],[Industry]], Mean_AE_S, 2, FALSE))/(VLOOKUP(Main_S[[#This Row],[Industry]], Mean_AE_S, 3, FALSE))</f>
        <v>-8.5174115258570406</v>
      </c>
      <c r="T194" s="1">
        <f>(Main_S[[#This Row],[P/E]]-VLOOKUP(Main_S[[#This Row],[Industry]], Mean_PE_S, 2, FALSE))/(VLOOKUP(Main_S[[#This Row],[Industry]], Mean_PE_S, 3, FALSE))</f>
        <v>-2.5131803567026878E-2</v>
      </c>
      <c r="U19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5" spans="1:26" x14ac:dyDescent="0.25">
      <c r="A195" s="68" t="s">
        <v>129</v>
      </c>
      <c r="B195" s="68" t="s">
        <v>383</v>
      </c>
      <c r="C195" s="2">
        <v>1479</v>
      </c>
      <c r="D195">
        <f>RTD("tos.rtd", , "LAST", Main_S[[#This Row],[Symbol]])</f>
        <v>105.39</v>
      </c>
      <c r="E195">
        <v>5.18</v>
      </c>
      <c r="F195">
        <v>63.44</v>
      </c>
      <c r="G195">
        <v>6.53</v>
      </c>
      <c r="H195" s="1">
        <f>IF(ISNUMBER(Main_S[[#This Row],[Free CF]]),IF(Main_S[[#This Row],[Free CF]]&lt;&gt;0,Main_S[[#This Row],[Current Price]]/Main_S[[#This Row],[Free CF]],""),"")</f>
        <v>20.345559845559848</v>
      </c>
      <c r="I195" s="1">
        <f>IF(ISNUMBER(Main_S[[#This Row],[BVPS]]),IF(Main_S[[#This Row],[BVPS]]&lt;&gt;0,Main_S[[#This Row],[Current Price]]/Main_S[[#This Row],[BVPS]],""),"")</f>
        <v>1.6612547288776798</v>
      </c>
      <c r="J195">
        <v>10.78</v>
      </c>
      <c r="K195">
        <v>3.55</v>
      </c>
      <c r="L195">
        <v>1.56</v>
      </c>
      <c r="M195" s="1">
        <f>IF(ISNUMBER(Main_S[[#This Row],[EPS]]),IF(Main_S[[#This Row],[EPS]]&lt;&gt;0,Main_S[[#This Row],[Current Price]]/Main_S[[#This Row],[EPS]],""),"")</f>
        <v>16.139356814701376</v>
      </c>
      <c r="N19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5" s="1">
        <f>(Main_S[[#This Row],[P/FCF]]-VLOOKUP(Main_S[[#This Row],[Industry]], Mean_PFCF_S, 2, FALSE))/(VLOOKUP(Main_S[[#This Row],[Industry]], Mean_PFCF_S, 3, FALSE))</f>
        <v>0.71438041776090966</v>
      </c>
      <c r="P195" s="1">
        <f>(Main_S[[#This Row],[P/B]]-VLOOKUP(Main_S[[#This Row],[Industry]], Mean_PB_S, 2, FALSE))/(VLOOKUP(Main_S[[#This Row],[Industry]], Mean_PB_S, 3, FALSE))</f>
        <v>-0.16703436691004142</v>
      </c>
      <c r="Q195" s="1">
        <f>(Main_S[[#This Row],[ROE]]-VLOOKUP(Main_S[[#This Row],[Industry]], Mean_ROE_S, 2, FALSE))/(VLOOKUP(Main_S[[#This Row],[Industry]], Mean_ROE_S, 3, FALSE))</f>
        <v>0.80035484628084053</v>
      </c>
      <c r="R195" s="1">
        <f>(Main_S[[#This Row],[ROA]]-VLOOKUP(Main_S[[#This Row],[Industry]], Mean_ROA_S, 2, FALSE))/(VLOOKUP(Main_S[[#This Row],[Industry]], Mean_ROA_S, 3, FALSE))</f>
        <v>0.5911250379864551</v>
      </c>
      <c r="S195" s="1">
        <f>(Main_S[[#This Row],[A/E]]-VLOOKUP(Main_S[[#This Row],[Industry]], Mean_AE_S, 2, FALSE))/(VLOOKUP(Main_S[[#This Row],[Industry]], Mean_AE_S, 3, FALSE))</f>
        <v>-0.64680472889037466</v>
      </c>
      <c r="T195" s="1">
        <f>(Main_S[[#This Row],[P/E]]-VLOOKUP(Main_S[[#This Row],[Industry]], Mean_PE_S, 2, FALSE))/(VLOOKUP(Main_S[[#This Row],[Industry]], Mean_PE_S, 3, FALSE))</f>
        <v>0.72103709248466752</v>
      </c>
      <c r="U19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6" spans="1:26" x14ac:dyDescent="0.25">
      <c r="A196" s="68" t="s">
        <v>129</v>
      </c>
      <c r="B196" s="68" t="s">
        <v>384</v>
      </c>
      <c r="C196" s="2">
        <v>1632</v>
      </c>
      <c r="D196">
        <f>RTD("tos.rtd", , "LAST", Main_S[[#This Row],[Symbol]])</f>
        <v>10.95</v>
      </c>
      <c r="E196">
        <v>0.33</v>
      </c>
      <c r="F196">
        <v>3.75</v>
      </c>
      <c r="G196">
        <v>0.68</v>
      </c>
      <c r="H196" s="1">
        <f>IF(ISNUMBER(Main_S[[#This Row],[Free CF]]),IF(Main_S[[#This Row],[Free CF]]&lt;&gt;0,Main_S[[#This Row],[Current Price]]/Main_S[[#This Row],[Free CF]],""),"")</f>
        <v>33.18181818181818</v>
      </c>
      <c r="I196" s="1">
        <f>IF(ISNUMBER(Main_S[[#This Row],[BVPS]]),IF(Main_S[[#This Row],[BVPS]]&lt;&gt;0,Main_S[[#This Row],[Current Price]]/Main_S[[#This Row],[BVPS]],""),"")</f>
        <v>2.92</v>
      </c>
      <c r="J196">
        <v>132.51</v>
      </c>
      <c r="K196">
        <v>5.16</v>
      </c>
      <c r="L196">
        <v>6.81</v>
      </c>
      <c r="M196" s="1">
        <f>IF(ISNUMBER(Main_S[[#This Row],[EPS]]),IF(Main_S[[#This Row],[EPS]]&lt;&gt;0,Main_S[[#This Row],[Current Price]]/Main_S[[#This Row],[EPS]],""),"")</f>
        <v>16.102941176470587</v>
      </c>
      <c r="N19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6" s="1">
        <f>(Main_S[[#This Row],[P/FCF]]-VLOOKUP(Main_S[[#This Row],[Industry]], Mean_PFCF_S, 2, FALSE))/(VLOOKUP(Main_S[[#This Row],[Industry]], Mean_PFCF_S, 3, FALSE))</f>
        <v>1.3144850389352385</v>
      </c>
      <c r="P196" s="1">
        <f>(Main_S[[#This Row],[P/B]]-VLOOKUP(Main_S[[#This Row],[Industry]], Mean_PB_S, 2, FALSE))/(VLOOKUP(Main_S[[#This Row],[Industry]], Mean_PB_S, 3, FALSE))</f>
        <v>0.87545585094435541</v>
      </c>
      <c r="Q196" s="1">
        <f>(Main_S[[#This Row],[ROE]]-VLOOKUP(Main_S[[#This Row],[Industry]], Mean_ROE_S, 2, FALSE))/(VLOOKUP(Main_S[[#This Row],[Industry]], Mean_ROE_S, 3, FALSE))</f>
        <v>8.3718131239647668</v>
      </c>
      <c r="R196" s="1">
        <f>(Main_S[[#This Row],[ROA]]-VLOOKUP(Main_S[[#This Row],[Industry]], Mean_ROA_S, 2, FALSE))/(VLOOKUP(Main_S[[#This Row],[Industry]], Mean_ROA_S, 3, FALSE))</f>
        <v>0.96680055554889965</v>
      </c>
      <c r="S196" s="1">
        <f>(Main_S[[#This Row],[A/E]]-VLOOKUP(Main_S[[#This Row],[Industry]], Mean_AE_S, 2, FALSE))/(VLOOKUP(Main_S[[#This Row],[Industry]], Mean_AE_S, 3, FALSE))</f>
        <v>4.0594237089313783</v>
      </c>
      <c r="T196" s="1">
        <f>(Main_S[[#This Row],[P/E]]-VLOOKUP(Main_S[[#This Row],[Industry]], Mean_PE_S, 2, FALSE))/(VLOOKUP(Main_S[[#This Row],[Industry]], Mean_PE_S, 3, FALSE))</f>
        <v>0.71945473334463172</v>
      </c>
      <c r="U19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19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7" spans="1:26" x14ac:dyDescent="0.25">
      <c r="A197" s="68" t="s">
        <v>129</v>
      </c>
      <c r="B197" s="68" t="s">
        <v>385</v>
      </c>
      <c r="C197" s="2">
        <v>1931</v>
      </c>
      <c r="D197">
        <f>RTD("tos.rtd", , "LAST", Main_S[[#This Row],[Symbol]])</f>
        <v>15.08</v>
      </c>
      <c r="E197">
        <v>2.87</v>
      </c>
      <c r="F197">
        <v>13.4</v>
      </c>
      <c r="G197">
        <v>0.49</v>
      </c>
      <c r="H197" s="1">
        <f>IF(ISNUMBER(Main_S[[#This Row],[Free CF]]),IF(Main_S[[#This Row],[Free CF]]&lt;&gt;0,Main_S[[#This Row],[Current Price]]/Main_S[[#This Row],[Free CF]],""),"")</f>
        <v>5.2543554006968636</v>
      </c>
      <c r="I197" s="1">
        <f>IF(ISNUMBER(Main_S[[#This Row],[BVPS]]),IF(Main_S[[#This Row],[BVPS]]&lt;&gt;0,Main_S[[#This Row],[Current Price]]/Main_S[[#This Row],[BVPS]],""),"")</f>
        <v>1.1253731343283582</v>
      </c>
      <c r="J197">
        <v>7.72</v>
      </c>
      <c r="K197">
        <v>2.42</v>
      </c>
      <c r="L197">
        <v>3.31</v>
      </c>
      <c r="M197" s="1">
        <f>IF(ISNUMBER(Main_S[[#This Row],[EPS]]),IF(Main_S[[#This Row],[EPS]]&lt;&gt;0,Main_S[[#This Row],[Current Price]]/Main_S[[#This Row],[EPS]],""),"")</f>
        <v>30.775510204081634</v>
      </c>
      <c r="N19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7" s="1">
        <f>(Main_S[[#This Row],[P/FCF]]-VLOOKUP(Main_S[[#This Row],[Industry]], Mean_PFCF_S, 2, FALSE))/(VLOOKUP(Main_S[[#This Row],[Industry]], Mean_PFCF_S, 3, FALSE))</f>
        <v>8.8553894224186556E-3</v>
      </c>
      <c r="P197" s="1">
        <f>(Main_S[[#This Row],[P/B]]-VLOOKUP(Main_S[[#This Row],[Industry]], Mean_PB_S, 2, FALSE))/(VLOOKUP(Main_S[[#This Row],[Industry]], Mean_PB_S, 3, FALSE))</f>
        <v>-0.61085038994683916</v>
      </c>
      <c r="Q197" s="1">
        <f>(Main_S[[#This Row],[ROE]]-VLOOKUP(Main_S[[#This Row],[Industry]], Mean_ROE_S, 2, FALSE))/(VLOOKUP(Main_S[[#This Row],[Industry]], Mean_ROE_S, 3, FALSE))</f>
        <v>0.61002655966527486</v>
      </c>
      <c r="R197" s="1">
        <f>(Main_S[[#This Row],[ROA]]-VLOOKUP(Main_S[[#This Row],[Industry]], Mean_ROA_S, 2, FALSE))/(VLOOKUP(Main_S[[#This Row],[Industry]], Mean_ROA_S, 3, FALSE))</f>
        <v>0.32745215920039156</v>
      </c>
      <c r="S197" s="1">
        <f>(Main_S[[#This Row],[A/E]]-VLOOKUP(Main_S[[#This Row],[Industry]], Mean_AE_S, 2, FALSE))/(VLOOKUP(Main_S[[#This Row],[Industry]], Mean_AE_S, 3, FALSE))</f>
        <v>0.92193808371687647</v>
      </c>
      <c r="T197" s="1">
        <f>(Main_S[[#This Row],[P/E]]-VLOOKUP(Main_S[[#This Row],[Industry]], Mean_PE_S, 2, FALSE))/(VLOOKUP(Main_S[[#This Row],[Industry]], Mean_PE_S, 3, FALSE))</f>
        <v>1.357018012106971</v>
      </c>
      <c r="U19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8" spans="1:26" x14ac:dyDescent="0.25">
      <c r="A198" s="68" t="s">
        <v>129</v>
      </c>
      <c r="B198" s="68" t="s">
        <v>386</v>
      </c>
      <c r="C198" s="2">
        <v>452</v>
      </c>
      <c r="D198">
        <f>RTD("tos.rtd", , "LAST", Main_S[[#This Row],[Symbol]])</f>
        <v>27.01</v>
      </c>
      <c r="E198">
        <v>-2.11</v>
      </c>
      <c r="F198">
        <v>3.98</v>
      </c>
      <c r="G198">
        <v>-0.54</v>
      </c>
      <c r="H198" s="1">
        <f>IF(ISNUMBER(Main_S[[#This Row],[Free CF]]),IF(Main_S[[#This Row],[Free CF]]&lt;&gt;0,Main_S[[#This Row],[Current Price]]/Main_S[[#This Row],[Free CF]],""),"")</f>
        <v>-12.80094786729858</v>
      </c>
      <c r="I198" s="1">
        <f>IF(ISNUMBER(Main_S[[#This Row],[BVPS]]),IF(Main_S[[#This Row],[BVPS]]&lt;&gt;0,Main_S[[#This Row],[Current Price]]/Main_S[[#This Row],[BVPS]],""),"")</f>
        <v>6.7864321608040203</v>
      </c>
      <c r="J198">
        <v>-10.4</v>
      </c>
      <c r="K198">
        <v>-1.27</v>
      </c>
      <c r="L198">
        <v>11.73</v>
      </c>
      <c r="M198" s="1">
        <f>IF(ISNUMBER(Main_S[[#This Row],[EPS]]),IF(Main_S[[#This Row],[EPS]]&lt;&gt;0,Main_S[[#This Row],[Current Price]]/Main_S[[#This Row],[EPS]],""),"")</f>
        <v>-50.018518518518519</v>
      </c>
      <c r="N19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8" s="1">
        <f>(Main_S[[#This Row],[P/FCF]]-VLOOKUP(Main_S[[#This Row],[Industry]], Mean_PFCF_S, 2, FALSE))/(VLOOKUP(Main_S[[#This Row],[Industry]], Mean_PFCF_S, 3, FALSE))</f>
        <v>-0.83524346275029071</v>
      </c>
      <c r="P198" s="1">
        <f>(Main_S[[#This Row],[P/B]]-VLOOKUP(Main_S[[#This Row],[Industry]], Mean_PB_S, 2, FALSE))/(VLOOKUP(Main_S[[#This Row],[Industry]], Mean_PB_S, 3, FALSE))</f>
        <v>4.0776269320257317</v>
      </c>
      <c r="Q198" s="1">
        <f>(Main_S[[#This Row],[ROE]]-VLOOKUP(Main_S[[#This Row],[Industry]], Mean_ROE_S, 2, FALSE))/(VLOOKUP(Main_S[[#This Row],[Industry]], Mean_ROE_S, 3, FALSE))</f>
        <v>-0.51701545127395787</v>
      </c>
      <c r="R198" s="1">
        <f>(Main_S[[#This Row],[ROA]]-VLOOKUP(Main_S[[#This Row],[Industry]], Mean_ROA_S, 2, FALSE))/(VLOOKUP(Main_S[[#This Row],[Industry]], Mean_ROA_S, 3, FALSE))</f>
        <v>-0.53356812639303708</v>
      </c>
      <c r="S198" s="1">
        <f>(Main_S[[#This Row],[A/E]]-VLOOKUP(Main_S[[#This Row],[Industry]], Mean_AE_S, 2, FALSE))/(VLOOKUP(Main_S[[#This Row],[Industry]], Mean_AE_S, 3, FALSE))</f>
        <v>8.4698320735186226</v>
      </c>
      <c r="T198" s="1">
        <f>(Main_S[[#This Row],[P/E]]-VLOOKUP(Main_S[[#This Row],[Industry]], Mean_PE_S, 2, FALSE))/(VLOOKUP(Main_S[[#This Row],[Industry]], Mean_PE_S, 3, FALSE))</f>
        <v>-2.1537036454204106</v>
      </c>
      <c r="U19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19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19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199" spans="1:26" x14ac:dyDescent="0.25">
      <c r="A199" s="68" t="s">
        <v>129</v>
      </c>
      <c r="B199" s="68" t="s">
        <v>387</v>
      </c>
      <c r="C199" s="2">
        <v>1078</v>
      </c>
      <c r="D199">
        <f>RTD("tos.rtd", , "LAST", Main_S[[#This Row],[Symbol]])</f>
        <v>77.209999999999994</v>
      </c>
      <c r="E199">
        <v>4.3600000000000003</v>
      </c>
      <c r="F199">
        <v>32.39</v>
      </c>
      <c r="G199">
        <v>1.84</v>
      </c>
      <c r="H199" s="1">
        <f>IF(ISNUMBER(Main_S[[#This Row],[Free CF]]),IF(Main_S[[#This Row],[Free CF]]&lt;&gt;0,Main_S[[#This Row],[Current Price]]/Main_S[[#This Row],[Free CF]],""),"")</f>
        <v>17.708715596330272</v>
      </c>
      <c r="I199" s="1">
        <f>IF(ISNUMBER(Main_S[[#This Row],[BVPS]]),IF(Main_S[[#This Row],[BVPS]]&lt;&gt;0,Main_S[[#This Row],[Current Price]]/Main_S[[#This Row],[BVPS]],""),"")</f>
        <v>2.3837604198826794</v>
      </c>
      <c r="J199">
        <v>6.46</v>
      </c>
      <c r="K199">
        <v>4.04</v>
      </c>
      <c r="L199">
        <v>2.39</v>
      </c>
      <c r="M199" s="1">
        <f>IF(ISNUMBER(Main_S[[#This Row],[EPS]]),IF(Main_S[[#This Row],[EPS]]&lt;&gt;0,Main_S[[#This Row],[Current Price]]/Main_S[[#This Row],[EPS]],""),"")</f>
        <v>41.961956521739125</v>
      </c>
      <c r="N19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199" s="1">
        <f>(Main_S[[#This Row],[P/FCF]]-VLOOKUP(Main_S[[#This Row],[Industry]], Mean_PFCF_S, 2, FALSE))/(VLOOKUP(Main_S[[#This Row],[Industry]], Mean_PFCF_S, 3, FALSE))</f>
        <v>0.59110598857542829</v>
      </c>
      <c r="P199" s="1">
        <f>(Main_S[[#This Row],[P/B]]-VLOOKUP(Main_S[[#This Row],[Industry]], Mean_PB_S, 2, FALSE))/(VLOOKUP(Main_S[[#This Row],[Industry]], Mean_PB_S, 3, FALSE))</f>
        <v>0.43134334500403965</v>
      </c>
      <c r="Q199" s="1">
        <f>(Main_S[[#This Row],[ROE]]-VLOOKUP(Main_S[[#This Row],[Industry]], Mean_ROE_S, 2, FALSE))/(VLOOKUP(Main_S[[#This Row],[Industry]], Mean_ROE_S, 3, FALSE))</f>
        <v>0.53165608870592407</v>
      </c>
      <c r="R199" s="1">
        <f>(Main_S[[#This Row],[ROA]]-VLOOKUP(Main_S[[#This Row],[Industry]], Mean_ROA_S, 2, FALSE))/(VLOOKUP(Main_S[[#This Row],[Industry]], Mean_ROA_S, 3, FALSE))</f>
        <v>0.7054610650706773</v>
      </c>
      <c r="S199" s="1">
        <f>(Main_S[[#This Row],[A/E]]-VLOOKUP(Main_S[[#This Row],[Industry]], Mean_AE_S, 2, FALSE))/(VLOOKUP(Main_S[[#This Row],[Industry]], Mean_AE_S, 3, FALSE))</f>
        <v>9.7227576517635958E-2</v>
      </c>
      <c r="T199" s="1">
        <f>(Main_S[[#This Row],[P/E]]-VLOOKUP(Main_S[[#This Row],[Industry]], Mean_PE_S, 2, FALSE))/(VLOOKUP(Main_S[[#This Row],[Industry]], Mean_PE_S, 3, FALSE))</f>
        <v>1.843099718627716</v>
      </c>
      <c r="U19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19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19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19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19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19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0" spans="1:26" x14ac:dyDescent="0.25">
      <c r="A200" s="68" t="s">
        <v>149</v>
      </c>
      <c r="B200" s="68" t="s">
        <v>388</v>
      </c>
      <c r="C200" s="2">
        <v>1859</v>
      </c>
      <c r="D200">
        <f>RTD("tos.rtd", , "LAST", Main_S[[#This Row],[Symbol]])</f>
        <v>12.14</v>
      </c>
      <c r="E200">
        <v>0.44</v>
      </c>
      <c r="F200">
        <v>6.73</v>
      </c>
      <c r="G200">
        <v>-0.02</v>
      </c>
      <c r="H200" s="1">
        <f>IF(ISNUMBER(Main_S[[#This Row],[Free CF]]),IF(Main_S[[#This Row],[Free CF]]&lt;&gt;0,Main_S[[#This Row],[Current Price]]/Main_S[[#This Row],[Free CF]],""),"")</f>
        <v>27.590909090909093</v>
      </c>
      <c r="I200" s="1">
        <f>IF(ISNUMBER(Main_S[[#This Row],[BVPS]]),IF(Main_S[[#This Row],[BVPS]]&lt;&gt;0,Main_S[[#This Row],[Current Price]]/Main_S[[#This Row],[BVPS]],""),"")</f>
        <v>1.8038632986627043</v>
      </c>
      <c r="J200">
        <v>-0.25</v>
      </c>
      <c r="K200">
        <v>1.1200000000000001</v>
      </c>
      <c r="L200">
        <v>1.44</v>
      </c>
      <c r="M200" s="1">
        <f>IF(ISNUMBER(Main_S[[#This Row],[EPS]]),IF(Main_S[[#This Row],[EPS]]&lt;&gt;0,Main_S[[#This Row],[Current Price]]/Main_S[[#This Row],[EPS]],""),"")</f>
        <v>-607</v>
      </c>
      <c r="N20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0" s="1">
        <f>(Main_S[[#This Row],[P/FCF]]-VLOOKUP(Main_S[[#This Row],[Industry]], Mean_PFCF_S, 2, FALSE))/(VLOOKUP(Main_S[[#This Row],[Industry]], Mean_PFCF_S, 3, FALSE))</f>
        <v>0.5295974538581667</v>
      </c>
      <c r="P200" s="1">
        <f>(Main_S[[#This Row],[P/B]]-VLOOKUP(Main_S[[#This Row],[Industry]], Mean_PB_S, 2, FALSE))/(VLOOKUP(Main_S[[#This Row],[Industry]], Mean_PB_S, 3, FALSE))</f>
        <v>-0.45026947343028945</v>
      </c>
      <c r="Q200" s="1">
        <f>(Main_S[[#This Row],[ROE]]-VLOOKUP(Main_S[[#This Row],[Industry]], Mean_ROE_S, 2, FALSE))/(VLOOKUP(Main_S[[#This Row],[Industry]], Mean_ROE_S, 3, FALSE))</f>
        <v>0.78789249950961482</v>
      </c>
      <c r="R200" s="1">
        <f>(Main_S[[#This Row],[ROA]]-VLOOKUP(Main_S[[#This Row],[Industry]], Mean_ROA_S, 2, FALSE))/(VLOOKUP(Main_S[[#This Row],[Industry]], Mean_ROA_S, 3, FALSE))</f>
        <v>0.38616042998487038</v>
      </c>
      <c r="S200" s="1">
        <f>(Main_S[[#This Row],[A/E]]-VLOOKUP(Main_S[[#This Row],[Industry]], Mean_AE_S, 2, FALSE))/(VLOOKUP(Main_S[[#This Row],[Industry]], Mean_AE_S, 3, FALSE))</f>
        <v>-1.0138170377096616</v>
      </c>
      <c r="T200" s="1">
        <f>(Main_S[[#This Row],[P/E]]-VLOOKUP(Main_S[[#This Row],[Industry]], Mean_PE_S, 2, FALSE))/(VLOOKUP(Main_S[[#This Row],[Industry]], Mean_PE_S, 3, FALSE))</f>
        <v>-33.956408578569068</v>
      </c>
      <c r="U20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1" spans="1:26" x14ac:dyDescent="0.25">
      <c r="A201" s="68" t="s">
        <v>149</v>
      </c>
      <c r="B201" s="68" t="s">
        <v>389</v>
      </c>
      <c r="C201" s="2">
        <v>355</v>
      </c>
      <c r="D201">
        <f>RTD("tos.rtd", , "LAST", Main_S[[#This Row],[Symbol]])</f>
        <v>25.03</v>
      </c>
      <c r="E201">
        <v>-0.65</v>
      </c>
      <c r="F201">
        <v>5.19</v>
      </c>
      <c r="G201">
        <v>-101.92</v>
      </c>
      <c r="H201" s="1">
        <f>IF(ISNUMBER(Main_S[[#This Row],[Free CF]]),IF(Main_S[[#This Row],[Free CF]]&lt;&gt;0,Main_S[[#This Row],[Current Price]]/Main_S[[#This Row],[Free CF]],""),"")</f>
        <v>-38.507692307692309</v>
      </c>
      <c r="I201" s="1">
        <f>IF(ISNUMBER(Main_S[[#This Row],[BVPS]]),IF(Main_S[[#This Row],[BVPS]]&lt;&gt;0,Main_S[[#This Row],[Current Price]]/Main_S[[#This Row],[BVPS]],""),"")</f>
        <v>4.8227360308285165</v>
      </c>
      <c r="J201">
        <v>-183.57</v>
      </c>
      <c r="K201">
        <v>1.02</v>
      </c>
      <c r="L201">
        <v>61.3</v>
      </c>
      <c r="M201" s="1">
        <f>IF(ISNUMBER(Main_S[[#This Row],[EPS]]),IF(Main_S[[#This Row],[EPS]]&lt;&gt;0,Main_S[[#This Row],[Current Price]]/Main_S[[#This Row],[EPS]],""),"")</f>
        <v>-0.24558477237048668</v>
      </c>
      <c r="N20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1" s="1">
        <f>(Main_S[[#This Row],[P/FCF]]-VLOOKUP(Main_S[[#This Row],[Industry]], Mean_PFCF_S, 2, FALSE))/(VLOOKUP(Main_S[[#This Row],[Industry]], Mean_PFCF_S, 3, FALSE))</f>
        <v>-1.587487367054502</v>
      </c>
      <c r="P201" s="1">
        <f>(Main_S[[#This Row],[P/B]]-VLOOKUP(Main_S[[#This Row],[Industry]], Mean_PB_S, 2, FALSE))/(VLOOKUP(Main_S[[#This Row],[Industry]], Mean_PB_S, 3, FALSE))</f>
        <v>1.4532368996796745</v>
      </c>
      <c r="Q201" s="1">
        <f>(Main_S[[#This Row],[ROE]]-VLOOKUP(Main_S[[#This Row],[Industry]], Mean_ROE_S, 2, FALSE))/(VLOOKUP(Main_S[[#This Row],[Industry]], Mean_ROE_S, 3, FALSE))</f>
        <v>-7.0588132645714214</v>
      </c>
      <c r="R201" s="1">
        <f>(Main_S[[#This Row],[ROA]]-VLOOKUP(Main_S[[#This Row],[Industry]], Mean_ROA_S, 2, FALSE))/(VLOOKUP(Main_S[[#This Row],[Industry]], Mean_ROA_S, 3, FALSE))</f>
        <v>0.35843350616089142</v>
      </c>
      <c r="S201" s="1">
        <f>(Main_S[[#This Row],[A/E]]-VLOOKUP(Main_S[[#This Row],[Industry]], Mean_AE_S, 2, FALSE))/(VLOOKUP(Main_S[[#This Row],[Industry]], Mean_AE_S, 3, FALSE))</f>
        <v>120.14007890608416</v>
      </c>
      <c r="T201" s="1">
        <f>(Main_S[[#This Row],[P/E]]-VLOOKUP(Main_S[[#This Row],[Industry]], Mean_PE_S, 2, FALSE))/(VLOOKUP(Main_S[[#This Row],[Industry]], Mean_PE_S, 3, FALSE))</f>
        <v>0.16813497637236871</v>
      </c>
      <c r="U20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0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0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2" spans="1:26" x14ac:dyDescent="0.25">
      <c r="A202" s="68" t="s">
        <v>149</v>
      </c>
      <c r="B202" s="68" t="s">
        <v>390</v>
      </c>
      <c r="C202" s="2">
        <v>294</v>
      </c>
      <c r="D202">
        <f>RTD("tos.rtd", , "LAST", Main_S[[#This Row],[Symbol]])</f>
        <v>3.6</v>
      </c>
      <c r="E202">
        <v>0.39</v>
      </c>
      <c r="F202">
        <v>3.9</v>
      </c>
      <c r="G202">
        <v>-3.54</v>
      </c>
      <c r="H202" s="1">
        <f>IF(ISNUMBER(Main_S[[#This Row],[Free CF]]),IF(Main_S[[#This Row],[Free CF]]&lt;&gt;0,Main_S[[#This Row],[Current Price]]/Main_S[[#This Row],[Free CF]],""),"")</f>
        <v>9.2307692307692299</v>
      </c>
      <c r="I202" s="1">
        <f>IF(ISNUMBER(Main_S[[#This Row],[BVPS]]),IF(Main_S[[#This Row],[BVPS]]&lt;&gt;0,Main_S[[#This Row],[Current Price]]/Main_S[[#This Row],[BVPS]],""),"")</f>
        <v>0.92307692307692313</v>
      </c>
      <c r="J202">
        <v>-65.48</v>
      </c>
      <c r="K202">
        <v>-0.42</v>
      </c>
      <c r="L202">
        <v>2.4500000000000002</v>
      </c>
      <c r="M202" s="1">
        <f>IF(ISNUMBER(Main_S[[#This Row],[EPS]]),IF(Main_S[[#This Row],[EPS]]&lt;&gt;0,Main_S[[#This Row],[Current Price]]/Main_S[[#This Row],[EPS]],""),"")</f>
        <v>-1.0169491525423728</v>
      </c>
      <c r="N20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2" s="1">
        <f>(Main_S[[#This Row],[P/FCF]]-VLOOKUP(Main_S[[#This Row],[Industry]], Mean_PFCF_S, 2, FALSE))/(VLOOKUP(Main_S[[#This Row],[Industry]], Mean_PFCF_S, 3, FALSE))</f>
        <v>-5.8462998031488689E-2</v>
      </c>
      <c r="P202" s="1">
        <f>(Main_S[[#This Row],[P/B]]-VLOOKUP(Main_S[[#This Row],[Industry]], Mean_PB_S, 2, FALSE))/(VLOOKUP(Main_S[[#This Row],[Industry]], Mean_PB_S, 3, FALSE))</f>
        <v>-1.005636535251786</v>
      </c>
      <c r="Q202" s="1">
        <f>(Main_S[[#This Row],[ROE]]-VLOOKUP(Main_S[[#This Row],[Industry]], Mean_ROE_S, 2, FALSE))/(VLOOKUP(Main_S[[#This Row],[Industry]], Mean_ROE_S, 3, FALSE))</f>
        <v>-2.0041684703300429</v>
      </c>
      <c r="R202" s="1">
        <f>(Main_S[[#This Row],[ROA]]-VLOOKUP(Main_S[[#This Row],[Industry]], Mean_ROA_S, 2, FALSE))/(VLOOKUP(Main_S[[#This Row],[Industry]], Mean_ROA_S, 3, FALSE))</f>
        <v>-4.0834196904405352E-2</v>
      </c>
      <c r="S202" s="1">
        <f>(Main_S[[#This Row],[A/E]]-VLOOKUP(Main_S[[#This Row],[Industry]], Mean_AE_S, 2, FALSE))/(VLOOKUP(Main_S[[#This Row],[Industry]], Mean_AE_S, 3, FALSE))</f>
        <v>1.030376662645029</v>
      </c>
      <c r="T202" s="1">
        <f>(Main_S[[#This Row],[P/E]]-VLOOKUP(Main_S[[#This Row],[Industry]], Mean_PE_S, 2, FALSE))/(VLOOKUP(Main_S[[#This Row],[Industry]], Mean_PE_S, 3, FALSE))</f>
        <v>0.1247525851984523</v>
      </c>
      <c r="U20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3" spans="1:26" x14ac:dyDescent="0.25">
      <c r="A203" s="68" t="s">
        <v>149</v>
      </c>
      <c r="B203" s="68" t="s">
        <v>391</v>
      </c>
      <c r="C203" s="2">
        <v>1227</v>
      </c>
      <c r="D203">
        <f>RTD("tos.rtd", , "LAST", Main_S[[#This Row],[Symbol]])</f>
        <v>9.27</v>
      </c>
      <c r="E203">
        <v>-0.3</v>
      </c>
      <c r="F203">
        <v>8.6999999999999993</v>
      </c>
      <c r="G203">
        <v>-0.81</v>
      </c>
      <c r="H203" s="1">
        <f>IF(ISNUMBER(Main_S[[#This Row],[Free CF]]),IF(Main_S[[#This Row],[Free CF]]&lt;&gt;0,Main_S[[#This Row],[Current Price]]/Main_S[[#This Row],[Free CF]],""),"")</f>
        <v>-30.9</v>
      </c>
      <c r="I203" s="1">
        <f>IF(ISNUMBER(Main_S[[#This Row],[BVPS]]),IF(Main_S[[#This Row],[BVPS]]&lt;&gt;0,Main_S[[#This Row],[Current Price]]/Main_S[[#This Row],[BVPS]],""),"")</f>
        <v>1.0655172413793104</v>
      </c>
      <c r="J203">
        <v>-5.0599999999999996</v>
      </c>
      <c r="K203">
        <v>0.06</v>
      </c>
      <c r="L203">
        <v>2.54</v>
      </c>
      <c r="M203" s="1">
        <f>IF(ISNUMBER(Main_S[[#This Row],[EPS]]),IF(Main_S[[#This Row],[EPS]]&lt;&gt;0,Main_S[[#This Row],[Current Price]]/Main_S[[#This Row],[EPS]],""),"")</f>
        <v>-11.444444444444443</v>
      </c>
      <c r="N20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3" s="1">
        <f>(Main_S[[#This Row],[P/FCF]]-VLOOKUP(Main_S[[#This Row],[Industry]], Mean_PFCF_S, 2, FALSE))/(VLOOKUP(Main_S[[#This Row],[Industry]], Mean_PFCF_S, 3, FALSE))</f>
        <v>-1.3438191264867028</v>
      </c>
      <c r="P203" s="1">
        <f>(Main_S[[#This Row],[P/B]]-VLOOKUP(Main_S[[#This Row],[Industry]], Mean_PB_S, 2, FALSE))/(VLOOKUP(Main_S[[#This Row],[Industry]], Mean_PB_S, 3, FALSE))</f>
        <v>-0.91582286050244122</v>
      </c>
      <c r="Q203" s="1">
        <f>(Main_S[[#This Row],[ROE]]-VLOOKUP(Main_S[[#This Row],[Industry]], Mean_ROE_S, 2, FALSE))/(VLOOKUP(Main_S[[#This Row],[Industry]], Mean_ROE_S, 3, FALSE))</f>
        <v>0.58200850035387741</v>
      </c>
      <c r="R203" s="1">
        <f>(Main_S[[#This Row],[ROA]]-VLOOKUP(Main_S[[#This Row],[Industry]], Mean_ROA_S, 2, FALSE))/(VLOOKUP(Main_S[[#This Row],[Industry]], Mean_ROA_S, 3, FALSE))</f>
        <v>9.2255037450693564E-2</v>
      </c>
      <c r="S203" s="1">
        <f>(Main_S[[#This Row],[A/E]]-VLOOKUP(Main_S[[#This Row],[Industry]], Mean_AE_S, 2, FALSE))/(VLOOKUP(Main_S[[#This Row],[Industry]], Mean_AE_S, 3, FALSE))</f>
        <v>1.2125325369340607</v>
      </c>
      <c r="T203" s="1">
        <f>(Main_S[[#This Row],[P/E]]-VLOOKUP(Main_S[[#This Row],[Industry]], Mean_PE_S, 2, FALSE))/(VLOOKUP(Main_S[[#This Row],[Industry]], Mean_PE_S, 3, FALSE))</f>
        <v>-0.46170135452931182</v>
      </c>
      <c r="U20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4" spans="1:26" x14ac:dyDescent="0.25">
      <c r="A204" s="68" t="s">
        <v>149</v>
      </c>
      <c r="B204" s="68" t="s">
        <v>392</v>
      </c>
      <c r="C204" s="2">
        <v>1362</v>
      </c>
      <c r="D204">
        <f>RTD("tos.rtd", , "LAST", Main_S[[#This Row],[Symbol]])</f>
        <v>4.3</v>
      </c>
      <c r="E204">
        <v>0.28999999999999998</v>
      </c>
      <c r="F204">
        <v>1.89</v>
      </c>
      <c r="G204">
        <v>0.04</v>
      </c>
      <c r="H204" s="1">
        <f>IF(ISNUMBER(Main_S[[#This Row],[Free CF]]),IF(Main_S[[#This Row],[Free CF]]&lt;&gt;0,Main_S[[#This Row],[Current Price]]/Main_S[[#This Row],[Free CF]],""),"")</f>
        <v>14.827586206896552</v>
      </c>
      <c r="I204" s="1">
        <f>IF(ISNUMBER(Main_S[[#This Row],[BVPS]]),IF(Main_S[[#This Row],[BVPS]]&lt;&gt;0,Main_S[[#This Row],[Current Price]]/Main_S[[#This Row],[BVPS]],""),"")</f>
        <v>2.2751322751322753</v>
      </c>
      <c r="J204">
        <v>2.2000000000000002</v>
      </c>
      <c r="K204">
        <v>3.62</v>
      </c>
      <c r="L204">
        <v>1.92</v>
      </c>
      <c r="M204" s="1">
        <f>IF(ISNUMBER(Main_S[[#This Row],[EPS]]),IF(Main_S[[#This Row],[EPS]]&lt;&gt;0,Main_S[[#This Row],[Current Price]]/Main_S[[#This Row],[EPS]],""),"")</f>
        <v>107.5</v>
      </c>
      <c r="N20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4" s="1">
        <f>(Main_S[[#This Row],[P/FCF]]-VLOOKUP(Main_S[[#This Row],[Industry]], Mean_PFCF_S, 2, FALSE))/(VLOOKUP(Main_S[[#This Row],[Industry]], Mean_PFCF_S, 3, FALSE))</f>
        <v>0.12079852966909907</v>
      </c>
      <c r="P204" s="1">
        <f>(Main_S[[#This Row],[P/B]]-VLOOKUP(Main_S[[#This Row],[Industry]], Mean_PB_S, 2, FALSE))/(VLOOKUP(Main_S[[#This Row],[Industry]], Mean_PB_S, 3, FALSE))</f>
        <v>-0.15311766222582604</v>
      </c>
      <c r="Q204" s="1">
        <f>(Main_S[[#This Row],[ROE]]-VLOOKUP(Main_S[[#This Row],[Industry]], Mean_ROE_S, 2, FALSE))/(VLOOKUP(Main_S[[#This Row],[Industry]], Mean_ROE_S, 3, FALSE))</f>
        <v>0.89276064876773464</v>
      </c>
      <c r="R204" s="1">
        <f>(Main_S[[#This Row],[ROA]]-VLOOKUP(Main_S[[#This Row],[Industry]], Mean_ROA_S, 2, FALSE))/(VLOOKUP(Main_S[[#This Row],[Industry]], Mean_ROA_S, 3, FALSE))</f>
        <v>1.0793335255843439</v>
      </c>
      <c r="S204" s="1">
        <f>(Main_S[[#This Row],[A/E]]-VLOOKUP(Main_S[[#This Row],[Industry]], Mean_AE_S, 2, FALSE))/(VLOOKUP(Main_S[[#This Row],[Industry]], Mean_AE_S, 3, FALSE))</f>
        <v>-4.2319041501491947E-2</v>
      </c>
      <c r="T204" s="1">
        <f>(Main_S[[#This Row],[P/E]]-VLOOKUP(Main_S[[#This Row],[Industry]], Mean_PE_S, 2, FALSE))/(VLOOKUP(Main_S[[#This Row],[Industry]], Mean_PE_S, 3, FALSE))</f>
        <v>6.2278665714659427</v>
      </c>
      <c r="U20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05" spans="1:26" x14ac:dyDescent="0.25">
      <c r="A205" s="68" t="s">
        <v>149</v>
      </c>
      <c r="B205" s="68" t="s">
        <v>393</v>
      </c>
      <c r="C205" s="2">
        <v>276</v>
      </c>
      <c r="D205">
        <f>RTD("tos.rtd", , "LAST", Main_S[[#This Row],[Symbol]])</f>
        <v>4.29</v>
      </c>
      <c r="E205">
        <v>-0.03</v>
      </c>
      <c r="F205">
        <v>5.7</v>
      </c>
      <c r="G205">
        <v>-1.1499999999999999</v>
      </c>
      <c r="H205" s="1">
        <f>IF(ISNUMBER(Main_S[[#This Row],[Free CF]]),IF(Main_S[[#This Row],[Free CF]]&lt;&gt;0,Main_S[[#This Row],[Current Price]]/Main_S[[#This Row],[Free CF]],""),"")</f>
        <v>-143</v>
      </c>
      <c r="I205" s="1">
        <f>IF(ISNUMBER(Main_S[[#This Row],[BVPS]]),IF(Main_S[[#This Row],[BVPS]]&lt;&gt;0,Main_S[[#This Row],[Current Price]]/Main_S[[#This Row],[BVPS]],""),"")</f>
        <v>0.75263157894736843</v>
      </c>
      <c r="J205">
        <v>-18.989999999999998</v>
      </c>
      <c r="K205">
        <v>-4.57</v>
      </c>
      <c r="L205">
        <v>2.35</v>
      </c>
      <c r="M205" s="1">
        <f>IF(ISNUMBER(Main_S[[#This Row],[EPS]]),IF(Main_S[[#This Row],[EPS]]&lt;&gt;0,Main_S[[#This Row],[Current Price]]/Main_S[[#This Row],[EPS]],""),"")</f>
        <v>-3.7304347826086959</v>
      </c>
      <c r="N20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5" s="1">
        <f>(Main_S[[#This Row],[P/FCF]]-VLOOKUP(Main_S[[#This Row],[Industry]], Mean_PFCF_S, 2, FALSE))/(VLOOKUP(Main_S[[#This Row],[Industry]], Mean_PFCF_S, 3, FALSE))</f>
        <v>-4.9342915934174743</v>
      </c>
      <c r="P205" s="1">
        <f>(Main_S[[#This Row],[P/B]]-VLOOKUP(Main_S[[#This Row],[Industry]], Mean_PB_S, 2, FALSE))/(VLOOKUP(Main_S[[#This Row],[Industry]], Mean_PB_S, 3, FALSE))</f>
        <v>-1.1131083724579753</v>
      </c>
      <c r="Q205" s="1">
        <f>(Main_S[[#This Row],[ROE]]-VLOOKUP(Main_S[[#This Row],[Industry]], Mean_ROE_S, 2, FALSE))/(VLOOKUP(Main_S[[#This Row],[Industry]], Mean_ROE_S, 3, FALSE))</f>
        <v>-1.4241833999432801E-2</v>
      </c>
      <c r="R205" s="1">
        <f>(Main_S[[#This Row],[ROA]]-VLOOKUP(Main_S[[#This Row],[Industry]], Mean_ROA_S, 2, FALSE))/(VLOOKUP(Main_S[[#This Row],[Industry]], Mean_ROA_S, 3, FALSE))</f>
        <v>-1.1915015355995318</v>
      </c>
      <c r="S205" s="1">
        <f>(Main_S[[#This Row],[A/E]]-VLOOKUP(Main_S[[#This Row],[Industry]], Mean_AE_S, 2, FALSE))/(VLOOKUP(Main_S[[#This Row],[Industry]], Mean_AE_S, 3, FALSE))</f>
        <v>0.82798124676832696</v>
      </c>
      <c r="T205" s="1">
        <f>(Main_S[[#This Row],[P/E]]-VLOOKUP(Main_S[[#This Row],[Industry]], Mean_PE_S, 2, FALSE))/(VLOOKUP(Main_S[[#This Row],[Industry]], Mean_PE_S, 3, FALSE))</f>
        <v>-2.7856866410016914E-2</v>
      </c>
      <c r="U20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6" spans="1:26" x14ac:dyDescent="0.25">
      <c r="A206" s="68" t="s">
        <v>149</v>
      </c>
      <c r="B206" s="68" t="s">
        <v>394</v>
      </c>
      <c r="C206" s="2">
        <v>821</v>
      </c>
      <c r="D206">
        <f>RTD("tos.rtd", , "LAST", Main_S[[#This Row],[Symbol]])</f>
        <v>27.41</v>
      </c>
      <c r="E206">
        <v>0.97</v>
      </c>
      <c r="F206">
        <v>11.81</v>
      </c>
      <c r="G206">
        <v>0.66</v>
      </c>
      <c r="H206" s="1">
        <f>IF(ISNUMBER(Main_S[[#This Row],[Free CF]]),IF(Main_S[[#This Row],[Free CF]]&lt;&gt;0,Main_S[[#This Row],[Current Price]]/Main_S[[#This Row],[Free CF]],""),"")</f>
        <v>28.257731958762889</v>
      </c>
      <c r="I206" s="1">
        <f>IF(ISNUMBER(Main_S[[#This Row],[BVPS]]),IF(Main_S[[#This Row],[BVPS]]&lt;&gt;0,Main_S[[#This Row],[Current Price]]/Main_S[[#This Row],[BVPS]],""),"")</f>
        <v>2.3209144792548688</v>
      </c>
      <c r="J206">
        <v>5.72</v>
      </c>
      <c r="K206">
        <v>2.63</v>
      </c>
      <c r="L206">
        <v>1.42</v>
      </c>
      <c r="M206" s="1">
        <f>IF(ISNUMBER(Main_S[[#This Row],[EPS]]),IF(Main_S[[#This Row],[EPS]]&lt;&gt;0,Main_S[[#This Row],[Current Price]]/Main_S[[#This Row],[EPS]],""),"")</f>
        <v>41.530303030303031</v>
      </c>
      <c r="N20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6" s="1">
        <f>(Main_S[[#This Row],[P/FCF]]-VLOOKUP(Main_S[[#This Row],[Industry]], Mean_PFCF_S, 2, FALSE))/(VLOOKUP(Main_S[[#This Row],[Industry]], Mean_PFCF_S, 3, FALSE))</f>
        <v>0.5509552517827776</v>
      </c>
      <c r="P206" s="1">
        <f>(Main_S[[#This Row],[P/B]]-VLOOKUP(Main_S[[#This Row],[Industry]], Mean_PB_S, 2, FALSE))/(VLOOKUP(Main_S[[#This Row],[Industry]], Mean_PB_S, 3, FALSE))</f>
        <v>-0.12425035808483405</v>
      </c>
      <c r="Q206" s="1">
        <f>(Main_S[[#This Row],[ROE]]-VLOOKUP(Main_S[[#This Row],[Industry]], Mean_ROE_S, 2, FALSE))/(VLOOKUP(Main_S[[#This Row],[Industry]], Mean_ROE_S, 3, FALSE))</f>
        <v>1.0434283570896048</v>
      </c>
      <c r="R206" s="1">
        <f>(Main_S[[#This Row],[ROA]]-VLOOKUP(Main_S[[#This Row],[Industry]], Mean_ROA_S, 2, FALSE))/(VLOOKUP(Main_S[[#This Row],[Industry]], Mean_ROA_S, 3, FALSE))</f>
        <v>0.80483697972695234</v>
      </c>
      <c r="S206" s="1">
        <f>(Main_S[[#This Row],[A/E]]-VLOOKUP(Main_S[[#This Row],[Industry]], Mean_AE_S, 2, FALSE))/(VLOOKUP(Main_S[[#This Row],[Industry]], Mean_AE_S, 3, FALSE))</f>
        <v>-1.0542961208850019</v>
      </c>
      <c r="T206" s="1">
        <f>(Main_S[[#This Row],[P/E]]-VLOOKUP(Main_S[[#This Row],[Industry]], Mean_PE_S, 2, FALSE))/(VLOOKUP(Main_S[[#This Row],[Industry]], Mean_PE_S, 3, FALSE))</f>
        <v>2.5176573977854191</v>
      </c>
      <c r="U20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7" spans="1:26" x14ac:dyDescent="0.25">
      <c r="A207" s="68" t="s">
        <v>149</v>
      </c>
      <c r="B207" s="68" t="s">
        <v>395</v>
      </c>
      <c r="C207" s="2">
        <v>1434</v>
      </c>
      <c r="D207">
        <f>RTD("tos.rtd", , "LAST", Main_S[[#This Row],[Symbol]])</f>
        <v>26.1</v>
      </c>
      <c r="E207">
        <v>0.14000000000000001</v>
      </c>
      <c r="F207">
        <v>4.51</v>
      </c>
      <c r="G207">
        <v>-1.02</v>
      </c>
      <c r="H207" s="1">
        <f>IF(ISNUMBER(Main_S[[#This Row],[Free CF]]),IF(Main_S[[#This Row],[Free CF]]&lt;&gt;0,Main_S[[#This Row],[Current Price]]/Main_S[[#This Row],[Free CF]],""),"")</f>
        <v>186.42857142857142</v>
      </c>
      <c r="I207" s="1">
        <f>IF(ISNUMBER(Main_S[[#This Row],[BVPS]]),IF(Main_S[[#This Row],[BVPS]]&lt;&gt;0,Main_S[[#This Row],[Current Price]]/Main_S[[#This Row],[BVPS]],""),"")</f>
        <v>5.7871396895787148</v>
      </c>
      <c r="J207">
        <v>-22.67</v>
      </c>
      <c r="K207">
        <v>-8.75</v>
      </c>
      <c r="L207">
        <v>1.47</v>
      </c>
      <c r="M207" s="1">
        <f>IF(ISNUMBER(Main_S[[#This Row],[EPS]]),IF(Main_S[[#This Row],[EPS]]&lt;&gt;0,Main_S[[#This Row],[Current Price]]/Main_S[[#This Row],[EPS]],""),"")</f>
        <v>-25.588235294117649</v>
      </c>
      <c r="N20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7" s="1">
        <f>(Main_S[[#This Row],[P/FCF]]-VLOOKUP(Main_S[[#This Row],[Industry]], Mean_PFCF_S, 2, FALSE))/(VLOOKUP(Main_S[[#This Row],[Industry]], Mean_PFCF_S, 3, FALSE))</f>
        <v>5.6170394996656912</v>
      </c>
      <c r="P207" s="1">
        <f>(Main_S[[#This Row],[P/B]]-VLOOKUP(Main_S[[#This Row],[Industry]], Mean_PB_S, 2, FALSE))/(VLOOKUP(Main_S[[#This Row],[Industry]], Mean_PB_S, 3, FALSE))</f>
        <v>2.0613276254402662</v>
      </c>
      <c r="Q207" s="1">
        <f>(Main_S[[#This Row],[ROE]]-VLOOKUP(Main_S[[#This Row],[Industry]], Mean_ROE_S, 2, FALSE))/(VLOOKUP(Main_S[[#This Row],[Industry]], Mean_ROE_S, 3, FALSE))</f>
        <v>-0.1717580745177518</v>
      </c>
      <c r="R207" s="1">
        <f>(Main_S[[#This Row],[ROA]]-VLOOKUP(Main_S[[#This Row],[Industry]], Mean_ROA_S, 2, FALSE))/(VLOOKUP(Main_S[[#This Row],[Industry]], Mean_ROA_S, 3, FALSE))</f>
        <v>-2.3504869514418512</v>
      </c>
      <c r="S207" s="1">
        <f>(Main_S[[#This Row],[A/E]]-VLOOKUP(Main_S[[#This Row],[Industry]], Mean_AE_S, 2, FALSE))/(VLOOKUP(Main_S[[#This Row],[Industry]], Mean_AE_S, 3, FALSE))</f>
        <v>-0.95309841294665087</v>
      </c>
      <c r="T207" s="1">
        <f>(Main_S[[#This Row],[P/E]]-VLOOKUP(Main_S[[#This Row],[Industry]], Mean_PE_S, 2, FALSE))/(VLOOKUP(Main_S[[#This Row],[Industry]], Mean_PE_S, 3, FALSE))</f>
        <v>-1.2571638922029515</v>
      </c>
      <c r="U20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0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8" spans="1:26" x14ac:dyDescent="0.25">
      <c r="A208" s="68" t="s">
        <v>149</v>
      </c>
      <c r="B208" s="68" t="s">
        <v>396</v>
      </c>
      <c r="C208" s="2">
        <v>1740</v>
      </c>
      <c r="D208">
        <f>RTD("tos.rtd", , "LAST", Main_S[[#This Row],[Symbol]])</f>
        <v>23.76</v>
      </c>
      <c r="E208">
        <v>-2.27</v>
      </c>
      <c r="F208">
        <v>5.78</v>
      </c>
      <c r="G208">
        <v>-2.57</v>
      </c>
      <c r="H208" s="1">
        <f>IF(ISNUMBER(Main_S[[#This Row],[Free CF]]),IF(Main_S[[#This Row],[Free CF]]&lt;&gt;0,Main_S[[#This Row],[Current Price]]/Main_S[[#This Row],[Free CF]],""),"")</f>
        <v>-10.466960352422909</v>
      </c>
      <c r="I208" s="1">
        <f>IF(ISNUMBER(Main_S[[#This Row],[BVPS]]),IF(Main_S[[#This Row],[BVPS]]&lt;&gt;0,Main_S[[#This Row],[Current Price]]/Main_S[[#This Row],[BVPS]],""),"")</f>
        <v>4.1107266435986158</v>
      </c>
      <c r="J208">
        <v>-38.58</v>
      </c>
      <c r="K208">
        <v>-16.09</v>
      </c>
      <c r="L208">
        <v>1.95</v>
      </c>
      <c r="M208" s="1">
        <f>IF(ISNUMBER(Main_S[[#This Row],[EPS]]),IF(Main_S[[#This Row],[EPS]]&lt;&gt;0,Main_S[[#This Row],[Current Price]]/Main_S[[#This Row],[EPS]],""),"")</f>
        <v>-9.2451361867704289</v>
      </c>
      <c r="N20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8" s="1">
        <f>(Main_S[[#This Row],[P/FCF]]-VLOOKUP(Main_S[[#This Row],[Industry]], Mean_PFCF_S, 2, FALSE))/(VLOOKUP(Main_S[[#This Row],[Industry]], Mean_PFCF_S, 3, FALSE))</f>
        <v>-0.68936536849981278</v>
      </c>
      <c r="P208" s="1">
        <f>(Main_S[[#This Row],[P/B]]-VLOOKUP(Main_S[[#This Row],[Industry]], Mean_PB_S, 2, FALSE))/(VLOOKUP(Main_S[[#This Row],[Industry]], Mean_PB_S, 3, FALSE))</f>
        <v>1.004289717552556</v>
      </c>
      <c r="Q208" s="1">
        <f>(Main_S[[#This Row],[ROE]]-VLOOKUP(Main_S[[#This Row],[Industry]], Mean_ROE_S, 2, FALSE))/(VLOOKUP(Main_S[[#This Row],[Industry]], Mean_ROE_S, 3, FALSE))</f>
        <v>-0.85275899480211392</v>
      </c>
      <c r="R208" s="1">
        <f>(Main_S[[#This Row],[ROA]]-VLOOKUP(Main_S[[#This Row],[Industry]], Mean_ROA_S, 2, FALSE))/(VLOOKUP(Main_S[[#This Row],[Industry]], Mean_ROA_S, 3, FALSE))</f>
        <v>-4.3856431601219059</v>
      </c>
      <c r="S208" s="1">
        <f>(Main_S[[#This Row],[A/E]]-VLOOKUP(Main_S[[#This Row],[Industry]], Mean_AE_S, 2, FALSE))/(VLOOKUP(Main_S[[#This Row],[Industry]], Mean_AE_S, 3, FALSE))</f>
        <v>1.8399583261518707E-2</v>
      </c>
      <c r="T208" s="1">
        <f>(Main_S[[#This Row],[P/E]]-VLOOKUP(Main_S[[#This Row],[Industry]], Mean_PE_S, 2, FALSE))/(VLOOKUP(Main_S[[#This Row],[Industry]], Mean_PE_S, 3, FALSE))</f>
        <v>-0.33800981055993928</v>
      </c>
      <c r="U20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0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09" spans="1:26" x14ac:dyDescent="0.25">
      <c r="A209" s="68" t="s">
        <v>149</v>
      </c>
      <c r="B209" s="68" t="s">
        <v>397</v>
      </c>
      <c r="C209" s="2">
        <v>583</v>
      </c>
      <c r="D209">
        <f>RTD("tos.rtd", , "LAST", Main_S[[#This Row],[Symbol]])</f>
        <v>31.1</v>
      </c>
      <c r="E209">
        <v>0.41</v>
      </c>
      <c r="F209">
        <v>9.43</v>
      </c>
      <c r="G209">
        <v>0.36</v>
      </c>
      <c r="H209" s="1">
        <f>IF(ISNUMBER(Main_S[[#This Row],[Free CF]]),IF(Main_S[[#This Row],[Free CF]]&lt;&gt;0,Main_S[[#This Row],[Current Price]]/Main_S[[#This Row],[Free CF]],""),"")</f>
        <v>75.853658536585371</v>
      </c>
      <c r="I209" s="1">
        <f>IF(ISNUMBER(Main_S[[#This Row],[BVPS]]),IF(Main_S[[#This Row],[BVPS]]&lt;&gt;0,Main_S[[#This Row],[Current Price]]/Main_S[[#This Row],[BVPS]],""),"")</f>
        <v>3.2979851537645812</v>
      </c>
      <c r="J209">
        <v>3.96</v>
      </c>
      <c r="K209">
        <v>1.95</v>
      </c>
      <c r="L209">
        <v>1.06</v>
      </c>
      <c r="M209" s="1">
        <f>IF(ISNUMBER(Main_S[[#This Row],[EPS]]),IF(Main_S[[#This Row],[EPS]]&lt;&gt;0,Main_S[[#This Row],[Current Price]]/Main_S[[#This Row],[EPS]],""),"")</f>
        <v>86.3888888888889</v>
      </c>
      <c r="N20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09" s="1">
        <f>(Main_S[[#This Row],[P/FCF]]-VLOOKUP(Main_S[[#This Row],[Industry]], Mean_PFCF_S, 2, FALSE))/(VLOOKUP(Main_S[[#This Row],[Industry]], Mean_PFCF_S, 3, FALSE))</f>
        <v>2.0754143411291661</v>
      </c>
      <c r="P209" s="1">
        <f>(Main_S[[#This Row],[P/B]]-VLOOKUP(Main_S[[#This Row],[Industry]], Mean_PB_S, 2, FALSE))/(VLOOKUP(Main_S[[#This Row],[Industry]], Mean_PB_S, 3, FALSE))</f>
        <v>0.49182737056250114</v>
      </c>
      <c r="Q209" s="1">
        <f>(Main_S[[#This Row],[ROE]]-VLOOKUP(Main_S[[#This Row],[Industry]], Mean_ROE_S, 2, FALSE))/(VLOOKUP(Main_S[[#This Row],[Industry]], Mean_ROE_S, 3, FALSE))</f>
        <v>0.96809450292866983</v>
      </c>
      <c r="R209" s="1">
        <f>(Main_S[[#This Row],[ROA]]-VLOOKUP(Main_S[[#This Row],[Industry]], Mean_ROA_S, 2, FALSE))/(VLOOKUP(Main_S[[#This Row],[Industry]], Mean_ROA_S, 3, FALSE))</f>
        <v>0.61629389772389565</v>
      </c>
      <c r="S209" s="1">
        <f>(Main_S[[#This Row],[A/E]]-VLOOKUP(Main_S[[#This Row],[Industry]], Mean_AE_S, 2, FALSE))/(VLOOKUP(Main_S[[#This Row],[Industry]], Mean_AE_S, 3, FALSE))</f>
        <v>-1.7829196180411289</v>
      </c>
      <c r="T209" s="1">
        <f>(Main_S[[#This Row],[P/E]]-VLOOKUP(Main_S[[#This Row],[Industry]], Mean_PE_S, 2, FALSE))/(VLOOKUP(Main_S[[#This Row],[Industry]], Mean_PE_S, 3, FALSE))</f>
        <v>5.0405541885242355</v>
      </c>
      <c r="U20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0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0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0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0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0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0" spans="1:26" x14ac:dyDescent="0.25">
      <c r="A210" s="68" t="s">
        <v>149</v>
      </c>
      <c r="B210" s="68" t="s">
        <v>398</v>
      </c>
      <c r="C210" s="2">
        <v>381</v>
      </c>
      <c r="D210">
        <f>RTD("tos.rtd", , "LAST", Main_S[[#This Row],[Symbol]])</f>
        <v>24.95</v>
      </c>
      <c r="E210">
        <v>0.91</v>
      </c>
      <c r="F210">
        <v>11.77</v>
      </c>
      <c r="G210">
        <v>-1.38</v>
      </c>
      <c r="H210" s="1">
        <f>IF(ISNUMBER(Main_S[[#This Row],[Free CF]]),IF(Main_S[[#This Row],[Free CF]]&lt;&gt;0,Main_S[[#This Row],[Current Price]]/Main_S[[#This Row],[Free CF]],""),"")</f>
        <v>27.417582417582416</v>
      </c>
      <c r="I210" s="1">
        <f>IF(ISNUMBER(Main_S[[#This Row],[BVPS]]),IF(Main_S[[#This Row],[BVPS]]&lt;&gt;0,Main_S[[#This Row],[Current Price]]/Main_S[[#This Row],[BVPS]],""),"")</f>
        <v>2.1197960917587086</v>
      </c>
      <c r="J210">
        <v>-11.59</v>
      </c>
      <c r="K210">
        <v>3.34</v>
      </c>
      <c r="L210">
        <v>2.34</v>
      </c>
      <c r="M210" s="1">
        <f>IF(ISNUMBER(Main_S[[#This Row],[EPS]]),IF(Main_S[[#This Row],[EPS]]&lt;&gt;0,Main_S[[#This Row],[Current Price]]/Main_S[[#This Row],[EPS]],""),"")</f>
        <v>-18.079710144927539</v>
      </c>
      <c r="N21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0" s="1">
        <f>(Main_S[[#This Row],[P/FCF]]-VLOOKUP(Main_S[[#This Row],[Industry]], Mean_PFCF_S, 2, FALSE))/(VLOOKUP(Main_S[[#This Row],[Industry]], Mean_PFCF_S, 3, FALSE))</f>
        <v>0.52404594049184972</v>
      </c>
      <c r="P210" s="1">
        <f>(Main_S[[#This Row],[P/B]]-VLOOKUP(Main_S[[#This Row],[Industry]], Mean_PB_S, 2, FALSE))/(VLOOKUP(Main_S[[#This Row],[Industry]], Mean_PB_S, 3, FALSE))</f>
        <v>-0.25106263747293817</v>
      </c>
      <c r="Q210" s="1">
        <f>(Main_S[[#This Row],[ROE]]-VLOOKUP(Main_S[[#This Row],[Industry]], Mean_ROE_S, 2, FALSE))/(VLOOKUP(Main_S[[#This Row],[Industry]], Mean_ROE_S, 3, FALSE))</f>
        <v>0.30250278008631704</v>
      </c>
      <c r="R210" s="1">
        <f>(Main_S[[#This Row],[ROA]]-VLOOKUP(Main_S[[#This Row],[Industry]], Mean_ROA_S, 2, FALSE))/(VLOOKUP(Main_S[[#This Row],[Industry]], Mean_ROA_S, 3, FALSE))</f>
        <v>1.0016981388772028</v>
      </c>
      <c r="S210" s="1">
        <f>(Main_S[[#This Row],[A/E]]-VLOOKUP(Main_S[[#This Row],[Industry]], Mean_AE_S, 2, FALSE))/(VLOOKUP(Main_S[[#This Row],[Industry]], Mean_AE_S, 3, FALSE))</f>
        <v>0.80774170518065624</v>
      </c>
      <c r="T210" s="1">
        <f>(Main_S[[#This Row],[P/E]]-VLOOKUP(Main_S[[#This Row],[Industry]], Mean_PE_S, 2, FALSE))/(VLOOKUP(Main_S[[#This Row],[Industry]], Mean_PE_S, 3, FALSE))</f>
        <v>-0.83487608175366812</v>
      </c>
      <c r="U21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1" spans="1:26" x14ac:dyDescent="0.25">
      <c r="A211" s="68" t="s">
        <v>149</v>
      </c>
      <c r="B211" s="68" t="s">
        <v>399</v>
      </c>
      <c r="C211" s="2">
        <v>1203</v>
      </c>
      <c r="D211">
        <f>RTD("tos.rtd", , "LAST", Main_S[[#This Row],[Symbol]])</f>
        <v>7.62</v>
      </c>
      <c r="E211">
        <v>1.05</v>
      </c>
      <c r="F211">
        <v>8.14</v>
      </c>
      <c r="G211">
        <v>-5.88</v>
      </c>
      <c r="H211" s="1">
        <f>IF(ISNUMBER(Main_S[[#This Row],[Free CF]]),IF(Main_S[[#This Row],[Free CF]]&lt;&gt;0,Main_S[[#This Row],[Current Price]]/Main_S[[#This Row],[Free CF]],""),"")</f>
        <v>7.2571428571428571</v>
      </c>
      <c r="I211" s="1">
        <f>IF(ISNUMBER(Main_S[[#This Row],[BVPS]]),IF(Main_S[[#This Row],[BVPS]]&lt;&gt;0,Main_S[[#This Row],[Current Price]]/Main_S[[#This Row],[BVPS]],""),"")</f>
        <v>0.93611793611793603</v>
      </c>
      <c r="J211">
        <v>-54.49</v>
      </c>
      <c r="K211">
        <v>-3</v>
      </c>
      <c r="L211">
        <v>2.41</v>
      </c>
      <c r="M211" s="1">
        <f>IF(ISNUMBER(Main_S[[#This Row],[EPS]]),IF(Main_S[[#This Row],[EPS]]&lt;&gt;0,Main_S[[#This Row],[Current Price]]/Main_S[[#This Row],[EPS]],""),"")</f>
        <v>-1.2959183673469388</v>
      </c>
      <c r="N21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1" s="1">
        <f>(Main_S[[#This Row],[P/FCF]]-VLOOKUP(Main_S[[#This Row],[Industry]], Mean_PFCF_S, 2, FALSE))/(VLOOKUP(Main_S[[#This Row],[Industry]], Mean_PFCF_S, 3, FALSE))</f>
        <v>-0.12167665685855307</v>
      </c>
      <c r="P211" s="1">
        <f>(Main_S[[#This Row],[P/B]]-VLOOKUP(Main_S[[#This Row],[Industry]], Mean_PB_S, 2, FALSE))/(VLOOKUP(Main_S[[#This Row],[Industry]], Mean_PB_S, 3, FALSE))</f>
        <v>-0.9974137138089062</v>
      </c>
      <c r="Q211" s="1">
        <f>(Main_S[[#This Row],[ROE]]-VLOOKUP(Main_S[[#This Row],[Industry]], Mean_ROE_S, 2, FALSE))/(VLOOKUP(Main_S[[#This Row],[Industry]], Mean_ROE_S, 3, FALSE))</f>
        <v>-1.5337599150864762</v>
      </c>
      <c r="R211" s="1">
        <f>(Main_S[[#This Row],[ROA]]-VLOOKUP(Main_S[[#This Row],[Industry]], Mean_ROA_S, 2, FALSE))/(VLOOKUP(Main_S[[#This Row],[Industry]], Mean_ROA_S, 3, FALSE))</f>
        <v>-0.75618883156306216</v>
      </c>
      <c r="S211" s="1">
        <f>(Main_S[[#This Row],[A/E]]-VLOOKUP(Main_S[[#This Row],[Industry]], Mean_AE_S, 2, FALSE))/(VLOOKUP(Main_S[[#This Row],[Industry]], Mean_AE_S, 3, FALSE))</f>
        <v>0.94941849629434827</v>
      </c>
      <c r="T211" s="1">
        <f>(Main_S[[#This Row],[P/E]]-VLOOKUP(Main_S[[#This Row],[Industry]], Mean_PE_S, 2, FALSE))/(VLOOKUP(Main_S[[#This Row],[Industry]], Mean_PE_S, 3, FALSE))</f>
        <v>0.10906304609964768</v>
      </c>
      <c r="U21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2" spans="1:26" x14ac:dyDescent="0.25">
      <c r="A212" s="68" t="s">
        <v>191</v>
      </c>
      <c r="B212" s="68" t="s">
        <v>574</v>
      </c>
      <c r="C212" s="2">
        <v>600</v>
      </c>
      <c r="D212">
        <f>RTD("tos.rtd", , "LAST", Main_S[[#This Row],[Symbol]])</f>
        <v>2.1</v>
      </c>
      <c r="E212">
        <v>-0.64</v>
      </c>
      <c r="F212">
        <v>3.57</v>
      </c>
      <c r="G212">
        <v>-0.55000000000000004</v>
      </c>
      <c r="H212" s="1">
        <f>IF(ISNUMBER(Main_S[[#This Row],[Free CF]]),IF(Main_S[[#This Row],[Free CF]]&lt;&gt;0,Main_S[[#This Row],[Current Price]]/Main_S[[#This Row],[Free CF]],""),"")</f>
        <v>-3.28125</v>
      </c>
      <c r="I212" s="1">
        <f>IF(ISNUMBER(Main_S[[#This Row],[BVPS]]),IF(Main_S[[#This Row],[BVPS]]&lt;&gt;0,Main_S[[#This Row],[Current Price]]/Main_S[[#This Row],[BVPS]],""),"")</f>
        <v>0.58823529411764708</v>
      </c>
      <c r="J212">
        <v>-14.75</v>
      </c>
      <c r="K212">
        <v>-12.41</v>
      </c>
      <c r="L212">
        <v>1.29</v>
      </c>
      <c r="M212" s="1">
        <f>IF(ISNUMBER(Main_S[[#This Row],[EPS]]),IF(Main_S[[#This Row],[EPS]]&lt;&gt;0,Main_S[[#This Row],[Current Price]]/Main_S[[#This Row],[EPS]],""),"")</f>
        <v>-3.8181818181818179</v>
      </c>
      <c r="N21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2" s="1">
        <f>(Main_S[[#This Row],[P/FCF]]-VLOOKUP(Main_S[[#This Row],[Industry]], Mean_PFCF_S, 2, FALSE))/(VLOOKUP(Main_S[[#This Row],[Industry]], Mean_PFCF_S, 3, FALSE))</f>
        <v>-7.7546460386659175E-2</v>
      </c>
      <c r="P212" s="1">
        <f>(Main_S[[#This Row],[P/B]]-VLOOKUP(Main_S[[#This Row],[Industry]], Mean_PB_S, 2, FALSE))/(VLOOKUP(Main_S[[#This Row],[Industry]], Mean_PB_S, 3, FALSE))</f>
        <v>-0.71606006325643867</v>
      </c>
      <c r="Q212" s="1">
        <f>(Main_S[[#This Row],[ROE]]-VLOOKUP(Main_S[[#This Row],[Industry]], Mean_ROE_S, 2, FALSE))/(VLOOKUP(Main_S[[#This Row],[Industry]], Mean_ROE_S, 3, FALSE))</f>
        <v>0.5845802367792805</v>
      </c>
      <c r="R212" s="1">
        <f>(Main_S[[#This Row],[ROA]]-VLOOKUP(Main_S[[#This Row],[Industry]], Mean_ROA_S, 2, FALSE))/(VLOOKUP(Main_S[[#This Row],[Industry]], Mean_ROA_S, 3, FALSE))</f>
        <v>-0.77768652718669784</v>
      </c>
      <c r="S212" s="1">
        <f>(Main_S[[#This Row],[A/E]]-VLOOKUP(Main_S[[#This Row],[Industry]], Mean_AE_S, 2, FALSE))/(VLOOKUP(Main_S[[#This Row],[Industry]], Mean_AE_S, 3, FALSE))</f>
        <v>-0.76290151130066386</v>
      </c>
      <c r="T212" s="1">
        <f>(Main_S[[#This Row],[P/E]]-VLOOKUP(Main_S[[#This Row],[Industry]], Mean_PE_S, 2, FALSE))/(VLOOKUP(Main_S[[#This Row],[Industry]], Mean_PE_S, 3, FALSE))</f>
        <v>0.28226401062285189</v>
      </c>
      <c r="U21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3" spans="1:26" x14ac:dyDescent="0.25">
      <c r="A213" s="68" t="s">
        <v>191</v>
      </c>
      <c r="B213" s="68" t="s">
        <v>575</v>
      </c>
      <c r="C213" s="2">
        <v>1338</v>
      </c>
      <c r="D213">
        <f>RTD("tos.rtd", , "LAST", Main_S[[#This Row],[Symbol]])</f>
        <v>9.2899999999999991</v>
      </c>
      <c r="E213">
        <v>-0.6</v>
      </c>
      <c r="F213">
        <v>1.25</v>
      </c>
      <c r="G213">
        <v>-0.96</v>
      </c>
      <c r="H213" s="1">
        <f>IF(ISNUMBER(Main_S[[#This Row],[Free CF]]),IF(Main_S[[#This Row],[Free CF]]&lt;&gt;0,Main_S[[#This Row],[Current Price]]/Main_S[[#This Row],[Free CF]],""),"")</f>
        <v>-15.483333333333333</v>
      </c>
      <c r="I213" s="1">
        <f>IF(ISNUMBER(Main_S[[#This Row],[BVPS]]),IF(Main_S[[#This Row],[BVPS]]&lt;&gt;0,Main_S[[#This Row],[Current Price]]/Main_S[[#This Row],[BVPS]],""),"")</f>
        <v>7.4319999999999995</v>
      </c>
      <c r="J213">
        <v>-61.03</v>
      </c>
      <c r="K213">
        <v>-15.05</v>
      </c>
      <c r="L213">
        <v>2.68</v>
      </c>
      <c r="M213" s="1">
        <f>IF(ISNUMBER(Main_S[[#This Row],[EPS]]),IF(Main_S[[#This Row],[EPS]]&lt;&gt;0,Main_S[[#This Row],[Current Price]]/Main_S[[#This Row],[EPS]],""),"")</f>
        <v>-9.6770833333333321</v>
      </c>
      <c r="N21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3" s="1">
        <f>(Main_S[[#This Row],[P/FCF]]-VLOOKUP(Main_S[[#This Row],[Industry]], Mean_PFCF_S, 2, FALSE))/(VLOOKUP(Main_S[[#This Row],[Industry]], Mean_PFCF_S, 3, FALSE))</f>
        <v>-0.82257783916085603</v>
      </c>
      <c r="P213" s="1">
        <f>(Main_S[[#This Row],[P/B]]-VLOOKUP(Main_S[[#This Row],[Industry]], Mean_PB_S, 2, FALSE))/(VLOOKUP(Main_S[[#This Row],[Industry]], Mean_PB_S, 3, FALSE))</f>
        <v>2.8959474323612597</v>
      </c>
      <c r="Q213" s="1">
        <f>(Main_S[[#This Row],[ROE]]-VLOOKUP(Main_S[[#This Row],[Industry]], Mean_ROE_S, 2, FALSE))/(VLOOKUP(Main_S[[#This Row],[Industry]], Mean_ROE_S, 3, FALSE))</f>
        <v>-1.0812724654634305</v>
      </c>
      <c r="R213" s="1">
        <f>(Main_S[[#This Row],[ROA]]-VLOOKUP(Main_S[[#This Row],[Industry]], Mean_ROA_S, 2, FALSE))/(VLOOKUP(Main_S[[#This Row],[Industry]], Mean_ROA_S, 3, FALSE))</f>
        <v>-1.1501108320532896</v>
      </c>
      <c r="S213" s="1">
        <f>(Main_S[[#This Row],[A/E]]-VLOOKUP(Main_S[[#This Row],[Industry]], Mean_AE_S, 2, FALSE))/(VLOOKUP(Main_S[[#This Row],[Industry]], Mean_AE_S, 3, FALSE))</f>
        <v>1.3357437403913843</v>
      </c>
      <c r="T213" s="1">
        <f>(Main_S[[#This Row],[P/E]]-VLOOKUP(Main_S[[#This Row],[Industry]], Mean_PE_S, 2, FALSE))/(VLOOKUP(Main_S[[#This Row],[Industry]], Mean_PE_S, 3, FALSE))</f>
        <v>-1.6352302059483514</v>
      </c>
      <c r="U21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4" spans="1:26" x14ac:dyDescent="0.25">
      <c r="A214" s="68" t="s">
        <v>191</v>
      </c>
      <c r="B214" s="68" t="s">
        <v>576</v>
      </c>
      <c r="C214" s="2">
        <v>1154</v>
      </c>
      <c r="D214">
        <f>RTD("tos.rtd", , "LAST", Main_S[[#This Row],[Symbol]])</f>
        <v>27.9</v>
      </c>
      <c r="E214">
        <v>0.64</v>
      </c>
      <c r="F214">
        <v>37.619999999999997</v>
      </c>
      <c r="G214">
        <v>-3.3</v>
      </c>
      <c r="H214" s="1">
        <f>IF(ISNUMBER(Main_S[[#This Row],[Free CF]]),IF(Main_S[[#This Row],[Free CF]]&lt;&gt;0,Main_S[[#This Row],[Current Price]]/Main_S[[#This Row],[Free CF]],""),"")</f>
        <v>43.59375</v>
      </c>
      <c r="I214" s="1">
        <f>IF(ISNUMBER(Main_S[[#This Row],[BVPS]]),IF(Main_S[[#This Row],[BVPS]]&lt;&gt;0,Main_S[[#This Row],[Current Price]]/Main_S[[#This Row],[BVPS]],""),"")</f>
        <v>0.74162679425837319</v>
      </c>
      <c r="J214">
        <v>-7.99</v>
      </c>
      <c r="K214">
        <v>-1.65</v>
      </c>
      <c r="L214">
        <v>1.19</v>
      </c>
      <c r="M214" s="1">
        <f>IF(ISNUMBER(Main_S[[#This Row],[EPS]]),IF(Main_S[[#This Row],[EPS]]&lt;&gt;0,Main_S[[#This Row],[Current Price]]/Main_S[[#This Row],[EPS]],""),"")</f>
        <v>-8.454545454545455</v>
      </c>
      <c r="N21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4" s="1">
        <f>(Main_S[[#This Row],[P/FCF]]-VLOOKUP(Main_S[[#This Row],[Industry]], Mean_PFCF_S, 2, FALSE))/(VLOOKUP(Main_S[[#This Row],[Industry]], Mean_PFCF_S, 3, FALSE))</f>
        <v>2.7845341307725398</v>
      </c>
      <c r="P214" s="1">
        <f>(Main_S[[#This Row],[P/B]]-VLOOKUP(Main_S[[#This Row],[Industry]], Mean_PB_S, 2, FALSE))/(VLOOKUP(Main_S[[#This Row],[Industry]], Mean_PB_S, 3, FALSE))</f>
        <v>-0.63510297719587794</v>
      </c>
      <c r="Q214" s="1">
        <f>(Main_S[[#This Row],[ROE]]-VLOOKUP(Main_S[[#This Row],[Industry]], Mean_ROE_S, 2, FALSE))/(VLOOKUP(Main_S[[#This Row],[Industry]], Mean_ROE_S, 3, FALSE))</f>
        <v>0.82790703598327187</v>
      </c>
      <c r="R214" s="1">
        <f>(Main_S[[#This Row],[ROA]]-VLOOKUP(Main_S[[#This Row],[Industry]], Mean_ROA_S, 2, FALSE))/(VLOOKUP(Main_S[[#This Row],[Industry]], Mean_ROA_S, 3, FALSE))</f>
        <v>0.74022465476956167</v>
      </c>
      <c r="S214" s="1">
        <f>(Main_S[[#This Row],[A/E]]-VLOOKUP(Main_S[[#This Row],[Industry]], Mean_AE_S, 2, FALSE))/(VLOOKUP(Main_S[[#This Row],[Industry]], Mean_AE_S, 3, FALSE))</f>
        <v>-0.91388318408426461</v>
      </c>
      <c r="T214" s="1">
        <f>(Main_S[[#This Row],[P/E]]-VLOOKUP(Main_S[[#This Row],[Industry]], Mean_PE_S, 2, FALSE))/(VLOOKUP(Main_S[[#This Row],[Industry]], Mean_PE_S, 3, FALSE))</f>
        <v>-1.235119484501217</v>
      </c>
      <c r="U21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5" spans="1:26" x14ac:dyDescent="0.25">
      <c r="A215" s="68" t="s">
        <v>191</v>
      </c>
      <c r="B215" s="68" t="s">
        <v>577</v>
      </c>
      <c r="C215" s="2">
        <v>1015</v>
      </c>
      <c r="D215">
        <f>RTD("tos.rtd", , "LAST", Main_S[[#This Row],[Symbol]])</f>
        <v>23.09</v>
      </c>
      <c r="E215">
        <v>0.06</v>
      </c>
      <c r="F215">
        <v>7.44</v>
      </c>
      <c r="G215">
        <v>-0.25</v>
      </c>
      <c r="H215" s="1">
        <f>IF(ISNUMBER(Main_S[[#This Row],[Free CF]]),IF(Main_S[[#This Row],[Free CF]]&lt;&gt;0,Main_S[[#This Row],[Current Price]]/Main_S[[#This Row],[Free CF]],""),"")</f>
        <v>384.83333333333337</v>
      </c>
      <c r="I215" s="1">
        <f>IF(ISNUMBER(Main_S[[#This Row],[BVPS]]),IF(Main_S[[#This Row],[BVPS]]&lt;&gt;0,Main_S[[#This Row],[Current Price]]/Main_S[[#This Row],[BVPS]],""),"")</f>
        <v>3.103494623655914</v>
      </c>
      <c r="J215">
        <v>-3.32</v>
      </c>
      <c r="K215">
        <v>-1.1000000000000001</v>
      </c>
      <c r="L215">
        <v>1.1399999999999999</v>
      </c>
      <c r="M215" s="1">
        <f>IF(ISNUMBER(Main_S[[#This Row],[EPS]]),IF(Main_S[[#This Row],[EPS]]&lt;&gt;0,Main_S[[#This Row],[Current Price]]/Main_S[[#This Row],[EPS]],""),"")</f>
        <v>-92.36</v>
      </c>
      <c r="N21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5" s="1">
        <f>(Main_S[[#This Row],[P/FCF]]-VLOOKUP(Main_S[[#This Row],[Industry]], Mean_PFCF_S, 2, FALSE))/(VLOOKUP(Main_S[[#This Row],[Industry]], Mean_PFCF_S, 3, FALSE))</f>
        <v>23.619844816502365</v>
      </c>
      <c r="P215" s="1">
        <f>(Main_S[[#This Row],[P/B]]-VLOOKUP(Main_S[[#This Row],[Industry]], Mean_PB_S, 2, FALSE))/(VLOOKUP(Main_S[[#This Row],[Industry]], Mean_PB_S, 3, FALSE))</f>
        <v>0.61144547531149462</v>
      </c>
      <c r="Q215" s="1">
        <f>(Main_S[[#This Row],[ROE]]-VLOOKUP(Main_S[[#This Row],[Industry]], Mean_ROE_S, 2, FALSE))/(VLOOKUP(Main_S[[#This Row],[Industry]], Mean_ROE_S, 3, FALSE))</f>
        <v>0.99600409993040806</v>
      </c>
      <c r="R215" s="1">
        <f>(Main_S[[#This Row],[ROA]]-VLOOKUP(Main_S[[#This Row],[Industry]], Mean_ROA_S, 2, FALSE))/(VLOOKUP(Main_S[[#This Row],[Industry]], Mean_ROA_S, 3, FALSE))</f>
        <v>0.81781305161676832</v>
      </c>
      <c r="S215" s="1">
        <f>(Main_S[[#This Row],[A/E]]-VLOOKUP(Main_S[[#This Row],[Industry]], Mean_AE_S, 2, FALSE))/(VLOOKUP(Main_S[[#This Row],[Industry]], Mean_AE_S, 3, FALSE))</f>
        <v>-0.98937402047606493</v>
      </c>
      <c r="T215" s="1">
        <f>(Main_S[[#This Row],[P/E]]-VLOOKUP(Main_S[[#This Row],[Industry]], Mean_PE_S, 2, FALSE))/(VLOOKUP(Main_S[[#This Row],[Industry]], Mean_PE_S, 3, FALSE))</f>
        <v>-28.695595379789658</v>
      </c>
      <c r="U21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1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6" spans="1:26" x14ac:dyDescent="0.25">
      <c r="A216" s="68" t="s">
        <v>191</v>
      </c>
      <c r="B216" s="68" t="s">
        <v>578</v>
      </c>
      <c r="C216" s="2">
        <v>476</v>
      </c>
      <c r="D216">
        <f>RTD("tos.rtd", , "LAST", Main_S[[#This Row],[Symbol]])</f>
        <v>2.98</v>
      </c>
      <c r="E216">
        <v>0.17</v>
      </c>
      <c r="F216">
        <v>3.06</v>
      </c>
      <c r="G216">
        <v>-0.05</v>
      </c>
      <c r="H216" s="1">
        <f>IF(ISNUMBER(Main_S[[#This Row],[Free CF]]),IF(Main_S[[#This Row],[Free CF]]&lt;&gt;0,Main_S[[#This Row],[Current Price]]/Main_S[[#This Row],[Free CF]],""),"")</f>
        <v>17.52941176470588</v>
      </c>
      <c r="I216" s="1">
        <f>IF(ISNUMBER(Main_S[[#This Row],[BVPS]]),IF(Main_S[[#This Row],[BVPS]]&lt;&gt;0,Main_S[[#This Row],[Current Price]]/Main_S[[#This Row],[BVPS]],""),"")</f>
        <v>0.97385620915032678</v>
      </c>
      <c r="J216">
        <v>-1.53</v>
      </c>
      <c r="K216">
        <v>-2.91</v>
      </c>
      <c r="L216">
        <v>1.26</v>
      </c>
      <c r="M216" s="1">
        <f>IF(ISNUMBER(Main_S[[#This Row],[EPS]]),IF(Main_S[[#This Row],[EPS]]&lt;&gt;0,Main_S[[#This Row],[Current Price]]/Main_S[[#This Row],[EPS]],""),"")</f>
        <v>-59.599999999999994</v>
      </c>
      <c r="N21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6" s="1">
        <f>(Main_S[[#This Row],[P/FCF]]-VLOOKUP(Main_S[[#This Row],[Industry]], Mean_PFCF_S, 2, FALSE))/(VLOOKUP(Main_S[[#This Row],[Industry]], Mean_PFCF_S, 3, FALSE))</f>
        <v>1.19310508363347</v>
      </c>
      <c r="P216" s="1">
        <f>(Main_S[[#This Row],[P/B]]-VLOOKUP(Main_S[[#This Row],[Industry]], Mean_PB_S, 2, FALSE))/(VLOOKUP(Main_S[[#This Row],[Industry]], Mean_PB_S, 3, FALSE))</f>
        <v>-0.5125367547523052</v>
      </c>
      <c r="Q216" s="1">
        <f>(Main_S[[#This Row],[ROE]]-VLOOKUP(Main_S[[#This Row],[Industry]], Mean_ROE_S, 2, FALSE))/(VLOOKUP(Main_S[[#This Row],[Industry]], Mean_ROE_S, 3, FALSE))</f>
        <v>1.0604353085953702</v>
      </c>
      <c r="R216" s="1">
        <f>(Main_S[[#This Row],[ROA]]-VLOOKUP(Main_S[[#This Row],[Industry]], Mean_ROA_S, 2, FALSE))/(VLOOKUP(Main_S[[#This Row],[Industry]], Mean_ROA_S, 3, FALSE))</f>
        <v>0.56247669108323384</v>
      </c>
      <c r="S216" s="1">
        <f>(Main_S[[#This Row],[A/E]]-VLOOKUP(Main_S[[#This Row],[Industry]], Mean_AE_S, 2, FALSE))/(VLOOKUP(Main_S[[#This Row],[Industry]], Mean_AE_S, 3, FALSE))</f>
        <v>-0.80819601313574407</v>
      </c>
      <c r="T216" s="1">
        <f>(Main_S[[#This Row],[P/E]]-VLOOKUP(Main_S[[#This Row],[Industry]], Mean_PE_S, 2, FALSE))/(VLOOKUP(Main_S[[#This Row],[Industry]], Mean_PE_S, 3, FALSE))</f>
        <v>-17.973942118948294</v>
      </c>
      <c r="U21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17" spans="1:26" x14ac:dyDescent="0.25">
      <c r="A217" s="68" t="s">
        <v>191</v>
      </c>
      <c r="B217" s="68" t="s">
        <v>579</v>
      </c>
      <c r="C217" s="2">
        <v>282</v>
      </c>
      <c r="D217">
        <f>RTD("tos.rtd", , "LAST", Main_S[[#This Row],[Symbol]])</f>
        <v>6.98</v>
      </c>
      <c r="E217">
        <v>-0.76</v>
      </c>
      <c r="F217">
        <v>7.37</v>
      </c>
      <c r="G217">
        <v>-2.4900000000000002</v>
      </c>
      <c r="H217" s="1">
        <f>IF(ISNUMBER(Main_S[[#This Row],[Free CF]]),IF(Main_S[[#This Row],[Free CF]]&lt;&gt;0,Main_S[[#This Row],[Current Price]]/Main_S[[#This Row],[Free CF]],""),"")</f>
        <v>-9.1842105263157894</v>
      </c>
      <c r="I217" s="1">
        <f>IF(ISNUMBER(Main_S[[#This Row],[BVPS]]),IF(Main_S[[#This Row],[BVPS]]&lt;&gt;0,Main_S[[#This Row],[Current Price]]/Main_S[[#This Row],[BVPS]],""),"")</f>
        <v>0.94708276797829039</v>
      </c>
      <c r="J217">
        <v>-25.76</v>
      </c>
      <c r="K217">
        <v>-4.9800000000000004</v>
      </c>
      <c r="L217">
        <v>1.91</v>
      </c>
      <c r="M217" s="1">
        <f>IF(ISNUMBER(Main_S[[#This Row],[EPS]]),IF(Main_S[[#This Row],[EPS]]&lt;&gt;0,Main_S[[#This Row],[Current Price]]/Main_S[[#This Row],[EPS]],""),"")</f>
        <v>-2.8032128514056223</v>
      </c>
      <c r="N21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7" s="1">
        <f>(Main_S[[#This Row],[P/FCF]]-VLOOKUP(Main_S[[#This Row],[Industry]], Mean_PFCF_S, 2, FALSE))/(VLOOKUP(Main_S[[#This Row],[Industry]], Mean_PFCF_S, 3, FALSE))</f>
        <v>-0.43796776711193519</v>
      </c>
      <c r="P217" s="1">
        <f>(Main_S[[#This Row],[P/B]]-VLOOKUP(Main_S[[#This Row],[Industry]], Mean_PB_S, 2, FALSE))/(VLOOKUP(Main_S[[#This Row],[Industry]], Mean_PB_S, 3, FALSE))</f>
        <v>-0.52666726249956231</v>
      </c>
      <c r="Q217" s="1">
        <f>(Main_S[[#This Row],[ROE]]-VLOOKUP(Main_S[[#This Row],[Industry]], Mean_ROE_S, 2, FALSE))/(VLOOKUP(Main_S[[#This Row],[Industry]], Mean_ROE_S, 3, FALSE))</f>
        <v>0.18827431085680316</v>
      </c>
      <c r="R217" s="1">
        <f>(Main_S[[#This Row],[ROA]]-VLOOKUP(Main_S[[#This Row],[Industry]], Mean_ROA_S, 2, FALSE))/(VLOOKUP(Main_S[[#This Row],[Industry]], Mean_ROA_S, 3, FALSE))</f>
        <v>0.27046217931283817</v>
      </c>
      <c r="S217" s="1">
        <f>(Main_S[[#This Row],[A/E]]-VLOOKUP(Main_S[[#This Row],[Industry]], Mean_AE_S, 2, FALSE))/(VLOOKUP(Main_S[[#This Row],[Industry]], Mean_AE_S, 3, FALSE))</f>
        <v>0.17318485995765956</v>
      </c>
      <c r="T217" s="1">
        <f>(Main_S[[#This Row],[P/E]]-VLOOKUP(Main_S[[#This Row],[Industry]], Mean_PE_S, 2, FALSE))/(VLOOKUP(Main_S[[#This Row],[Industry]], Mean_PE_S, 3, FALSE))</f>
        <v>0.61444182906878553</v>
      </c>
      <c r="U21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8" spans="1:26" x14ac:dyDescent="0.25">
      <c r="A218" s="68" t="s">
        <v>191</v>
      </c>
      <c r="B218" s="68" t="s">
        <v>580</v>
      </c>
      <c r="C218" s="2">
        <v>1481</v>
      </c>
      <c r="D218">
        <f>RTD("tos.rtd", , "LAST", Main_S[[#This Row],[Symbol]])</f>
        <v>4.2</v>
      </c>
      <c r="E218">
        <v>-0.67</v>
      </c>
      <c r="F218">
        <v>5.56</v>
      </c>
      <c r="G218">
        <v>-1.1499999999999999</v>
      </c>
      <c r="H218" s="1">
        <f>IF(ISNUMBER(Main_S[[#This Row],[Free CF]]),IF(Main_S[[#This Row],[Free CF]]&lt;&gt;0,Main_S[[#This Row],[Current Price]]/Main_S[[#This Row],[Free CF]],""),"")</f>
        <v>-6.2686567164179108</v>
      </c>
      <c r="I218" s="1">
        <f>IF(ISNUMBER(Main_S[[#This Row],[BVPS]]),IF(Main_S[[#This Row],[BVPS]]&lt;&gt;0,Main_S[[#This Row],[Current Price]]/Main_S[[#This Row],[BVPS]],""),"")</f>
        <v>0.75539568345323749</v>
      </c>
      <c r="J218">
        <v>-18.920000000000002</v>
      </c>
      <c r="K218">
        <v>-2.37</v>
      </c>
      <c r="L218">
        <v>2.0099999999999998</v>
      </c>
      <c r="M218" s="1">
        <f>IF(ISNUMBER(Main_S[[#This Row],[EPS]]),IF(Main_S[[#This Row],[EPS]]&lt;&gt;0,Main_S[[#This Row],[Current Price]]/Main_S[[#This Row],[EPS]],""),"")</f>
        <v>-3.6521739130434785</v>
      </c>
      <c r="N21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8" s="1">
        <f>(Main_S[[#This Row],[P/FCF]]-VLOOKUP(Main_S[[#This Row],[Industry]], Mean_PFCF_S, 2, FALSE))/(VLOOKUP(Main_S[[#This Row],[Industry]], Mean_PFCF_S, 3, FALSE))</f>
        <v>-0.25995070104710366</v>
      </c>
      <c r="P218" s="1">
        <f>(Main_S[[#This Row],[P/B]]-VLOOKUP(Main_S[[#This Row],[Industry]], Mean_PB_S, 2, FALSE))/(VLOOKUP(Main_S[[#This Row],[Industry]], Mean_PB_S, 3, FALSE))</f>
        <v>-0.62783602207460776</v>
      </c>
      <c r="Q218" s="1">
        <f>(Main_S[[#This Row],[ROE]]-VLOOKUP(Main_S[[#This Row],[Industry]], Mean_ROE_S, 2, FALSE))/(VLOOKUP(Main_S[[#This Row],[Industry]], Mean_ROE_S, 3, FALSE))</f>
        <v>0.43448071715196612</v>
      </c>
      <c r="R218" s="1">
        <f>(Main_S[[#This Row],[ROA]]-VLOOKUP(Main_S[[#This Row],[Industry]], Mean_ROA_S, 2, FALSE))/(VLOOKUP(Main_S[[#This Row],[Industry]], Mean_ROA_S, 3, FALSE))</f>
        <v>0.6386543898059458</v>
      </c>
      <c r="S218" s="1">
        <f>(Main_S[[#This Row],[A/E]]-VLOOKUP(Main_S[[#This Row],[Industry]], Mean_AE_S, 2, FALSE))/(VLOOKUP(Main_S[[#This Row],[Industry]], Mean_AE_S, 3, FALSE))</f>
        <v>0.32416653274125995</v>
      </c>
      <c r="T218" s="1">
        <f>(Main_S[[#This Row],[P/E]]-VLOOKUP(Main_S[[#This Row],[Industry]], Mean_PE_S, 2, FALSE))/(VLOOKUP(Main_S[[#This Row],[Industry]], Mean_PE_S, 3, FALSE))</f>
        <v>0.33659487745593858</v>
      </c>
      <c r="U21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19" spans="1:26" x14ac:dyDescent="0.25">
      <c r="A219" s="68" t="s">
        <v>191</v>
      </c>
      <c r="B219" s="68" t="s">
        <v>581</v>
      </c>
      <c r="C219" s="2">
        <v>510</v>
      </c>
      <c r="D219">
        <f>RTD("tos.rtd", , "LAST", Main_S[[#This Row],[Symbol]])</f>
        <v>5</v>
      </c>
      <c r="E219">
        <v>2.65</v>
      </c>
      <c r="F219">
        <v>15.19</v>
      </c>
      <c r="G219">
        <v>-3.03</v>
      </c>
      <c r="H219" s="1">
        <f>IF(ISNUMBER(Main_S[[#This Row],[Free CF]]),IF(Main_S[[#This Row],[Free CF]]&lt;&gt;0,Main_S[[#This Row],[Current Price]]/Main_S[[#This Row],[Free CF]],""),"")</f>
        <v>1.8867924528301887</v>
      </c>
      <c r="I219" s="1">
        <f>IF(ISNUMBER(Main_S[[#This Row],[BVPS]]),IF(Main_S[[#This Row],[BVPS]]&lt;&gt;0,Main_S[[#This Row],[Current Price]]/Main_S[[#This Row],[BVPS]],""),"")</f>
        <v>0.32916392363396973</v>
      </c>
      <c r="J219">
        <v>-17.649999999999999</v>
      </c>
      <c r="K219">
        <v>-1.77</v>
      </c>
      <c r="L219">
        <v>2.63</v>
      </c>
      <c r="M219" s="1">
        <f>IF(ISNUMBER(Main_S[[#This Row],[EPS]]),IF(Main_S[[#This Row],[EPS]]&lt;&gt;0,Main_S[[#This Row],[Current Price]]/Main_S[[#This Row],[EPS]],""),"")</f>
        <v>-1.6501650165016504</v>
      </c>
      <c r="N21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19" s="1">
        <f>(Main_S[[#This Row],[P/FCF]]-VLOOKUP(Main_S[[#This Row],[Industry]], Mean_PFCF_S, 2, FALSE))/(VLOOKUP(Main_S[[#This Row],[Industry]], Mean_PFCF_S, 3, FALSE))</f>
        <v>0.2380024249153582</v>
      </c>
      <c r="P219" s="1">
        <f>(Main_S[[#This Row],[P/B]]-VLOOKUP(Main_S[[#This Row],[Industry]], Mean_PB_S, 2, FALSE))/(VLOOKUP(Main_S[[#This Row],[Industry]], Mean_PB_S, 3, FALSE))</f>
        <v>-0.85279295404134281</v>
      </c>
      <c r="Q219" s="1">
        <f>(Main_S[[#This Row],[ROE]]-VLOOKUP(Main_S[[#This Row],[Industry]], Mean_ROE_S, 2, FALSE))/(VLOOKUP(Main_S[[#This Row],[Industry]], Mean_ROE_S, 3, FALSE))</f>
        <v>0.48019447972431373</v>
      </c>
      <c r="R219" s="1">
        <f>(Main_S[[#This Row],[ROA]]-VLOOKUP(Main_S[[#This Row],[Industry]], Mean_ROA_S, 2, FALSE))/(VLOOKUP(Main_S[[#This Row],[Industry]], Mean_ROA_S, 3, FALSE))</f>
        <v>0.72329627727562573</v>
      </c>
      <c r="S219" s="1">
        <f>(Main_S[[#This Row],[A/E]]-VLOOKUP(Main_S[[#This Row],[Industry]], Mean_AE_S, 2, FALSE))/(VLOOKUP(Main_S[[#This Row],[Industry]], Mean_AE_S, 3, FALSE))</f>
        <v>1.2602529039995838</v>
      </c>
      <c r="T219" s="1">
        <f>(Main_S[[#This Row],[P/E]]-VLOOKUP(Main_S[[#This Row],[Industry]], Mean_PE_S, 2, FALSE))/(VLOOKUP(Main_S[[#This Row],[Industry]], Mean_PE_S, 3, FALSE))</f>
        <v>0.99180993282349383</v>
      </c>
      <c r="U21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1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1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1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1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1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0" spans="1:26" x14ac:dyDescent="0.25">
      <c r="A220" s="68" t="s">
        <v>191</v>
      </c>
      <c r="B220" s="68" t="s">
        <v>582</v>
      </c>
      <c r="C220" s="2">
        <v>387</v>
      </c>
      <c r="D220">
        <f>RTD("tos.rtd", , "LAST", Main_S[[#This Row],[Symbol]])</f>
        <v>1.1399999999999999</v>
      </c>
      <c r="E220">
        <v>-0.43</v>
      </c>
      <c r="F220">
        <v>1.25</v>
      </c>
      <c r="G220">
        <v>-0.52</v>
      </c>
      <c r="H220" s="1">
        <f>IF(ISNUMBER(Main_S[[#This Row],[Free CF]]),IF(Main_S[[#This Row],[Free CF]]&lt;&gt;0,Main_S[[#This Row],[Current Price]]/Main_S[[#This Row],[Free CF]],""),"")</f>
        <v>-2.6511627906976742</v>
      </c>
      <c r="I220" s="1">
        <f>IF(ISNUMBER(Main_S[[#This Row],[BVPS]]),IF(Main_S[[#This Row],[BVPS]]&lt;&gt;0,Main_S[[#This Row],[Current Price]]/Main_S[[#This Row],[BVPS]],""),"")</f>
        <v>0.91199999999999992</v>
      </c>
      <c r="J220">
        <v>-43.75</v>
      </c>
      <c r="K220">
        <v>-18.010000000000002</v>
      </c>
      <c r="L220">
        <v>1.3</v>
      </c>
      <c r="M220" s="1">
        <f>IF(ISNUMBER(Main_S[[#This Row],[EPS]]),IF(Main_S[[#This Row],[EPS]]&lt;&gt;0,Main_S[[#This Row],[Current Price]]/Main_S[[#This Row],[EPS]],""),"")</f>
        <v>-2.1923076923076921</v>
      </c>
      <c r="N22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0" s="1">
        <f>(Main_S[[#This Row],[P/FCF]]-VLOOKUP(Main_S[[#This Row],[Industry]], Mean_PFCF_S, 2, FALSE))/(VLOOKUP(Main_S[[#This Row],[Industry]], Mean_PFCF_S, 3, FALSE))</f>
        <v>-3.9074772440379706E-2</v>
      </c>
      <c r="P220" s="1">
        <f>(Main_S[[#This Row],[P/B]]-VLOOKUP(Main_S[[#This Row],[Industry]], Mean_PB_S, 2, FALSE))/(VLOOKUP(Main_S[[#This Row],[Industry]], Mean_PB_S, 3, FALSE))</f>
        <v>-0.54518327325540894</v>
      </c>
      <c r="Q220" s="1">
        <f>(Main_S[[#This Row],[ROE]]-VLOOKUP(Main_S[[#This Row],[Industry]], Mean_ROE_S, 2, FALSE))/(VLOOKUP(Main_S[[#This Row],[Industry]], Mean_ROE_S, 3, FALSE))</f>
        <v>-0.45927733377038715</v>
      </c>
      <c r="R220" s="1">
        <f>(Main_S[[#This Row],[ROA]]-VLOOKUP(Main_S[[#This Row],[Industry]], Mean_ROA_S, 2, FALSE))/(VLOOKUP(Main_S[[#This Row],[Industry]], Mean_ROA_S, 3, FALSE))</f>
        <v>-1.5676774769037105</v>
      </c>
      <c r="S220" s="1">
        <f>(Main_S[[#This Row],[A/E]]-VLOOKUP(Main_S[[#This Row],[Industry]], Mean_AE_S, 2, FALSE))/(VLOOKUP(Main_S[[#This Row],[Industry]], Mean_AE_S, 3, FALSE))</f>
        <v>-0.74780334402230386</v>
      </c>
      <c r="T220" s="1">
        <f>(Main_S[[#This Row],[P/E]]-VLOOKUP(Main_S[[#This Row],[Industry]], Mean_PE_S, 2, FALSE))/(VLOOKUP(Main_S[[#This Row],[Industry]], Mean_PE_S, 3, FALSE))</f>
        <v>0.81437813221613387</v>
      </c>
      <c r="U22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1" spans="1:26" x14ac:dyDescent="0.25">
      <c r="A221" s="68" t="s">
        <v>191</v>
      </c>
      <c r="B221" s="68" t="s">
        <v>583</v>
      </c>
      <c r="C221" s="2">
        <v>259</v>
      </c>
      <c r="D221">
        <f>RTD("tos.rtd", , "LAST", Main_S[[#This Row],[Symbol]])</f>
        <v>6.95</v>
      </c>
      <c r="E221">
        <v>-0.33</v>
      </c>
      <c r="F221">
        <v>0.06</v>
      </c>
      <c r="G221">
        <v>-1.49</v>
      </c>
      <c r="H221" s="1">
        <f>IF(ISNUMBER(Main_S[[#This Row],[Free CF]]),IF(Main_S[[#This Row],[Free CF]]&lt;&gt;0,Main_S[[#This Row],[Current Price]]/Main_S[[#This Row],[Free CF]],""),"")</f>
        <v>-21.060606060606059</v>
      </c>
      <c r="I221" s="1">
        <f>IF(ISNUMBER(Main_S[[#This Row],[BVPS]]),IF(Main_S[[#This Row],[BVPS]]&lt;&gt;0,Main_S[[#This Row],[Current Price]]/Main_S[[#This Row],[BVPS]],""),"")</f>
        <v>115.83333333333334</v>
      </c>
      <c r="J221">
        <v>-83.58</v>
      </c>
      <c r="K221">
        <v>-3.1</v>
      </c>
      <c r="L221">
        <v>106.64</v>
      </c>
      <c r="M221" s="1">
        <f>IF(ISNUMBER(Main_S[[#This Row],[EPS]]),IF(Main_S[[#This Row],[EPS]]&lt;&gt;0,Main_S[[#This Row],[Current Price]]/Main_S[[#This Row],[EPS]],""),"")</f>
        <v>-4.6644295302013425</v>
      </c>
      <c r="N22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1" s="1">
        <f>(Main_S[[#This Row],[P/FCF]]-VLOOKUP(Main_S[[#This Row],[Industry]], Mean_PFCF_S, 2, FALSE))/(VLOOKUP(Main_S[[#This Row],[Industry]], Mean_PFCF_S, 3, FALSE))</f>
        <v>-1.1631133916798704</v>
      </c>
      <c r="P221" s="1">
        <f>(Main_S[[#This Row],[P/B]]-VLOOKUP(Main_S[[#This Row],[Industry]], Mean_PB_S, 2, FALSE))/(VLOOKUP(Main_S[[#This Row],[Industry]], Mean_PB_S, 3, FALSE))</f>
        <v>60.108088024864493</v>
      </c>
      <c r="Q221" s="1">
        <f>(Main_S[[#This Row],[ROE]]-VLOOKUP(Main_S[[#This Row],[Industry]], Mean_ROE_S, 2, FALSE))/(VLOOKUP(Main_S[[#This Row],[Industry]], Mean_ROE_S, 3, FALSE))</f>
        <v>-1.892961714287396</v>
      </c>
      <c r="R221" s="1">
        <f>(Main_S[[#This Row],[ROA]]-VLOOKUP(Main_S[[#This Row],[Industry]], Mean_ROA_S, 2, FALSE))/(VLOOKUP(Main_S[[#This Row],[Industry]], Mean_ROA_S, 3, FALSE))</f>
        <v>0.53567342671783524</v>
      </c>
      <c r="S221" s="1">
        <f>(Main_S[[#This Row],[A/E]]-VLOOKUP(Main_S[[#This Row],[Industry]], Mean_AE_S, 2, FALSE))/(VLOOKUP(Main_S[[#This Row],[Industry]], Mean_AE_S, 3, FALSE))</f>
        <v>158.29629076622254</v>
      </c>
      <c r="T221" s="1">
        <f>(Main_S[[#This Row],[P/E]]-VLOOKUP(Main_S[[#This Row],[Industry]], Mean_PE_S, 2, FALSE))/(VLOOKUP(Main_S[[#This Row],[Industry]], Mean_PE_S, 3, FALSE))</f>
        <v>5.3050807982585888E-3</v>
      </c>
      <c r="U22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2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2" spans="1:26" x14ac:dyDescent="0.25">
      <c r="A222" s="68" t="s">
        <v>191</v>
      </c>
      <c r="B222" s="68" t="s">
        <v>584</v>
      </c>
      <c r="C222" s="2">
        <v>654</v>
      </c>
      <c r="D222">
        <f>RTD("tos.rtd", , "LAST", Main_S[[#This Row],[Symbol]])</f>
        <v>126.94</v>
      </c>
      <c r="E222">
        <v>7.95</v>
      </c>
      <c r="F222">
        <v>28.57</v>
      </c>
      <c r="G222">
        <v>-46.13</v>
      </c>
      <c r="H222" s="1">
        <f>IF(ISNUMBER(Main_S[[#This Row],[Free CF]]),IF(Main_S[[#This Row],[Free CF]]&lt;&gt;0,Main_S[[#This Row],[Current Price]]/Main_S[[#This Row],[Free CF]],""),"")</f>
        <v>15.967295597484275</v>
      </c>
      <c r="I222" s="1">
        <f>IF(ISNUMBER(Main_S[[#This Row],[BVPS]]),IF(Main_S[[#This Row],[BVPS]]&lt;&gt;0,Main_S[[#This Row],[Current Price]]/Main_S[[#This Row],[BVPS]],""),"")</f>
        <v>4.4431221561078056</v>
      </c>
      <c r="J222">
        <v>-89.38</v>
      </c>
      <c r="K222">
        <v>2.1800000000000002</v>
      </c>
      <c r="L222">
        <v>2.82</v>
      </c>
      <c r="M222" s="1">
        <f>IF(ISNUMBER(Main_S[[#This Row],[EPS]]),IF(Main_S[[#This Row],[EPS]]&lt;&gt;0,Main_S[[#This Row],[Current Price]]/Main_S[[#This Row],[EPS]],""),"")</f>
        <v>-2.7517884240190762</v>
      </c>
      <c r="N22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2" s="1">
        <f>(Main_S[[#This Row],[P/FCF]]-VLOOKUP(Main_S[[#This Row],[Industry]], Mean_PFCF_S, 2, FALSE))/(VLOOKUP(Main_S[[#This Row],[Industry]], Mean_PFCF_S, 3, FALSE))</f>
        <v>1.0977258332155295</v>
      </c>
      <c r="P222" s="1">
        <f>(Main_S[[#This Row],[P/B]]-VLOOKUP(Main_S[[#This Row],[Industry]], Mean_PB_S, 2, FALSE))/(VLOOKUP(Main_S[[#This Row],[Industry]], Mean_PB_S, 3, FALSE))</f>
        <v>1.318475143411141</v>
      </c>
      <c r="Q222" s="1">
        <f>(Main_S[[#This Row],[ROE]]-VLOOKUP(Main_S[[#This Row],[Industry]], Mean_ROE_S, 2, FALSE))/(VLOOKUP(Main_S[[#This Row],[Industry]], Mean_ROE_S, 3, FALSE))</f>
        <v>-2.1017332283973293</v>
      </c>
      <c r="R222" s="1">
        <f>(Main_S[[#This Row],[ROA]]-VLOOKUP(Main_S[[#This Row],[Industry]], Mean_ROA_S, 2, FALSE))/(VLOOKUP(Main_S[[#This Row],[Industry]], Mean_ROA_S, 3, FALSE))</f>
        <v>1.2805220364510184</v>
      </c>
      <c r="S222" s="1">
        <f>(Main_S[[#This Row],[A/E]]-VLOOKUP(Main_S[[#This Row],[Industry]], Mean_AE_S, 2, FALSE))/(VLOOKUP(Main_S[[#This Row],[Industry]], Mean_AE_S, 3, FALSE))</f>
        <v>1.5471180822884247</v>
      </c>
      <c r="T222" s="1">
        <f>(Main_S[[#This Row],[P/E]]-VLOOKUP(Main_S[[#This Row],[Industry]], Mean_PE_S, 2, FALSE))/(VLOOKUP(Main_S[[#This Row],[Industry]], Mean_PE_S, 3, FALSE))</f>
        <v>0.63127195359796318</v>
      </c>
      <c r="U22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3" spans="1:26" x14ac:dyDescent="0.25">
      <c r="A223" s="68" t="s">
        <v>191</v>
      </c>
      <c r="B223" s="68" t="s">
        <v>585</v>
      </c>
      <c r="C223" s="2">
        <v>305</v>
      </c>
      <c r="D223">
        <f>RTD("tos.rtd", , "LAST", Main_S[[#This Row],[Symbol]])</f>
        <v>2.06</v>
      </c>
      <c r="E223">
        <v>-0.17</v>
      </c>
      <c r="F223">
        <v>2.29</v>
      </c>
      <c r="G223">
        <v>-1.05</v>
      </c>
      <c r="H223" s="1">
        <f>IF(ISNUMBER(Main_S[[#This Row],[Free CF]]),IF(Main_S[[#This Row],[Free CF]]&lt;&gt;0,Main_S[[#This Row],[Current Price]]/Main_S[[#This Row],[Free CF]],""),"")</f>
        <v>-12.117647058823529</v>
      </c>
      <c r="I223" s="1">
        <f>IF(ISNUMBER(Main_S[[#This Row],[BVPS]]),IF(Main_S[[#This Row],[BVPS]]&lt;&gt;0,Main_S[[#This Row],[Current Price]]/Main_S[[#This Row],[BVPS]],""),"")</f>
        <v>0.89956331877729256</v>
      </c>
      <c r="J223">
        <v>-37.979999999999997</v>
      </c>
      <c r="K223">
        <v>-3.64</v>
      </c>
      <c r="L223">
        <v>3.1</v>
      </c>
      <c r="M223" s="1">
        <f>IF(ISNUMBER(Main_S[[#This Row],[EPS]]),IF(Main_S[[#This Row],[EPS]]&lt;&gt;0,Main_S[[#This Row],[Current Price]]/Main_S[[#This Row],[EPS]],""),"")</f>
        <v>-1.9619047619047618</v>
      </c>
      <c r="N22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3" s="1">
        <f>(Main_S[[#This Row],[P/FCF]]-VLOOKUP(Main_S[[#This Row],[Industry]], Mean_PFCF_S, 2, FALSE))/(VLOOKUP(Main_S[[#This Row],[Industry]], Mean_PFCF_S, 3, FALSE))</f>
        <v>-0.61707671143380705</v>
      </c>
      <c r="P223" s="1">
        <f>(Main_S[[#This Row],[P/B]]-VLOOKUP(Main_S[[#This Row],[Industry]], Mean_PB_S, 2, FALSE))/(VLOOKUP(Main_S[[#This Row],[Industry]], Mean_PB_S, 3, FALSE))</f>
        <v>-0.55174711460992187</v>
      </c>
      <c r="Q223" s="1">
        <f>(Main_S[[#This Row],[ROE]]-VLOOKUP(Main_S[[#This Row],[Industry]], Mean_ROE_S, 2, FALSE))/(VLOOKUP(Main_S[[#This Row],[Industry]], Mean_ROE_S, 3, FALSE))</f>
        <v>-0.25158567231964279</v>
      </c>
      <c r="R223" s="1">
        <f>(Main_S[[#This Row],[ROA]]-VLOOKUP(Main_S[[#This Row],[Industry]], Mean_ROA_S, 2, FALSE))/(VLOOKUP(Main_S[[#This Row],[Industry]], Mean_ROA_S, 3, FALSE))</f>
        <v>0.45949572799512334</v>
      </c>
      <c r="S223" s="1">
        <f>(Main_S[[#This Row],[A/E]]-VLOOKUP(Main_S[[#This Row],[Industry]], Mean_AE_S, 2, FALSE))/(VLOOKUP(Main_S[[#This Row],[Industry]], Mean_AE_S, 3, FALSE))</f>
        <v>1.9698667660825067</v>
      </c>
      <c r="T223" s="1">
        <f>(Main_S[[#This Row],[P/E]]-VLOOKUP(Main_S[[#This Row],[Industry]], Mean_PE_S, 2, FALSE))/(VLOOKUP(Main_S[[#This Row],[Industry]], Mean_PE_S, 3, FALSE))</f>
        <v>0.88978412519726879</v>
      </c>
      <c r="U22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4" spans="1:26" x14ac:dyDescent="0.25">
      <c r="A224" s="68" t="s">
        <v>191</v>
      </c>
      <c r="B224" s="68" t="s">
        <v>586</v>
      </c>
      <c r="C224" s="2">
        <v>291</v>
      </c>
      <c r="D224">
        <f>RTD("tos.rtd", , "LAST", Main_S[[#This Row],[Symbol]])</f>
        <v>2.2000000000000002</v>
      </c>
      <c r="E224">
        <v>-0.28000000000000003</v>
      </c>
      <c r="F224">
        <v>1.95</v>
      </c>
      <c r="G224">
        <v>-0.39</v>
      </c>
      <c r="H224" s="1">
        <f>IF(ISNUMBER(Main_S[[#This Row],[Free CF]]),IF(Main_S[[#This Row],[Free CF]]&lt;&gt;0,Main_S[[#This Row],[Current Price]]/Main_S[[#This Row],[Free CF]],""),"")</f>
        <v>-7.8571428571428568</v>
      </c>
      <c r="I224" s="1">
        <f>IF(ISNUMBER(Main_S[[#This Row],[BVPS]]),IF(Main_S[[#This Row],[BVPS]]&lt;&gt;0,Main_S[[#This Row],[Current Price]]/Main_S[[#This Row],[BVPS]],""),"")</f>
        <v>1.1282051282051284</v>
      </c>
      <c r="J224">
        <v>-18.73</v>
      </c>
      <c r="K224">
        <v>-12.6</v>
      </c>
      <c r="L224">
        <v>1.1599999999999999</v>
      </c>
      <c r="M224" s="1">
        <f>IF(ISNUMBER(Main_S[[#This Row],[EPS]]),IF(Main_S[[#This Row],[EPS]]&lt;&gt;0,Main_S[[#This Row],[Current Price]]/Main_S[[#This Row],[EPS]],""),"")</f>
        <v>-5.6410256410256414</v>
      </c>
      <c r="N22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4" s="1">
        <f>(Main_S[[#This Row],[P/FCF]]-VLOOKUP(Main_S[[#This Row],[Industry]], Mean_PFCF_S, 2, FALSE))/(VLOOKUP(Main_S[[#This Row],[Industry]], Mean_PFCF_S, 3, FALSE))</f>
        <v>-0.35694004190458095</v>
      </c>
      <c r="P224" s="1">
        <f>(Main_S[[#This Row],[P/B]]-VLOOKUP(Main_S[[#This Row],[Industry]], Mean_PB_S, 2, FALSE))/(VLOOKUP(Main_S[[#This Row],[Industry]], Mean_PB_S, 3, FALSE))</f>
        <v>-0.43107436138754762</v>
      </c>
      <c r="Q224" s="1">
        <f>(Main_S[[#This Row],[ROE]]-VLOOKUP(Main_S[[#This Row],[Industry]], Mean_ROE_S, 2, FALSE))/(VLOOKUP(Main_S[[#This Row],[Industry]], Mean_ROE_S, 3, FALSE))</f>
        <v>0.44131978399349847</v>
      </c>
      <c r="R224" s="1">
        <f>(Main_S[[#This Row],[ROA]]-VLOOKUP(Main_S[[#This Row],[Industry]], Mean_ROA_S, 2, FALSE))/(VLOOKUP(Main_S[[#This Row],[Industry]], Mean_ROA_S, 3, FALSE))</f>
        <v>-0.80448979155209643</v>
      </c>
      <c r="S224" s="1">
        <f>(Main_S[[#This Row],[A/E]]-VLOOKUP(Main_S[[#This Row],[Industry]], Mean_AE_S, 2, FALSE))/(VLOOKUP(Main_S[[#This Row],[Industry]], Mean_AE_S, 3, FALSE))</f>
        <v>-0.95917768591934482</v>
      </c>
      <c r="T224" s="1">
        <f>(Main_S[[#This Row],[P/E]]-VLOOKUP(Main_S[[#This Row],[Industry]], Mean_PE_S, 2, FALSE))/(VLOOKUP(Main_S[[#This Row],[Industry]], Mean_PE_S, 3, FALSE))</f>
        <v>-0.3143141156652437</v>
      </c>
      <c r="U22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5" spans="1:26" x14ac:dyDescent="0.25">
      <c r="A225" s="68" t="s">
        <v>191</v>
      </c>
      <c r="B225" s="68" t="s">
        <v>587</v>
      </c>
      <c r="C225" s="2">
        <v>657</v>
      </c>
      <c r="D225">
        <f>RTD("tos.rtd", , "LAST", Main_S[[#This Row],[Symbol]])</f>
        <v>9.73</v>
      </c>
      <c r="E225">
        <v>0.16</v>
      </c>
      <c r="F225">
        <v>0.59</v>
      </c>
      <c r="G225">
        <v>0.11</v>
      </c>
      <c r="H225" s="1">
        <f>IF(ISNUMBER(Main_S[[#This Row],[Free CF]]),IF(Main_S[[#This Row],[Free CF]]&lt;&gt;0,Main_S[[#This Row],[Current Price]]/Main_S[[#This Row],[Free CF]],""),"")</f>
        <v>60.8125</v>
      </c>
      <c r="I225" s="1">
        <f>IF(ISNUMBER(Main_S[[#This Row],[BVPS]]),IF(Main_S[[#This Row],[BVPS]]&lt;&gt;0,Main_S[[#This Row],[Current Price]]/Main_S[[#This Row],[BVPS]],""),"")</f>
        <v>16.491525423728817</v>
      </c>
      <c r="J225">
        <v>22.94</v>
      </c>
      <c r="K225">
        <v>7.84</v>
      </c>
      <c r="L225">
        <v>1.48</v>
      </c>
      <c r="M225" s="1">
        <f>IF(ISNUMBER(Main_S[[#This Row],[EPS]]),IF(Main_S[[#This Row],[EPS]]&lt;&gt;0,Main_S[[#This Row],[Current Price]]/Main_S[[#This Row],[EPS]],""),"")</f>
        <v>88.454545454545453</v>
      </c>
      <c r="N22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5" s="1">
        <f>(Main_S[[#This Row],[P/FCF]]-VLOOKUP(Main_S[[#This Row],[Industry]], Mean_PFCF_S, 2, FALSE))/(VLOOKUP(Main_S[[#This Row],[Industry]], Mean_PFCF_S, 3, FALSE))</f>
        <v>3.8358717345916857</v>
      </c>
      <c r="P225" s="1">
        <f>(Main_S[[#This Row],[P/B]]-VLOOKUP(Main_S[[#This Row],[Industry]], Mean_PB_S, 2, FALSE))/(VLOOKUP(Main_S[[#This Row],[Industry]], Mean_PB_S, 3, FALSE))</f>
        <v>7.6773908547398015</v>
      </c>
      <c r="Q225" s="1">
        <f>(Main_S[[#This Row],[ROE]]-VLOOKUP(Main_S[[#This Row],[Industry]], Mean_ROE_S, 2, FALSE))/(VLOOKUP(Main_S[[#This Row],[Industry]], Mean_ROE_S, 3, FALSE))</f>
        <v>1.9412351276074518</v>
      </c>
      <c r="R225" s="1">
        <f>(Main_S[[#This Row],[ROA]]-VLOOKUP(Main_S[[#This Row],[Industry]], Mean_ROA_S, 2, FALSE))/(VLOOKUP(Main_S[[#This Row],[Industry]], Mean_ROA_S, 3, FALSE))</f>
        <v>2.0789771749149986</v>
      </c>
      <c r="S225" s="1">
        <f>(Main_S[[#This Row],[A/E]]-VLOOKUP(Main_S[[#This Row],[Industry]], Mean_AE_S, 2, FALSE))/(VLOOKUP(Main_S[[#This Row],[Industry]], Mean_AE_S, 3, FALSE))</f>
        <v>-0.47603633301182285</v>
      </c>
      <c r="T225" s="1">
        <f>(Main_S[[#This Row],[P/E]]-VLOOKUP(Main_S[[#This Row],[Industry]], Mean_PE_S, 2, FALSE))/(VLOOKUP(Main_S[[#This Row],[Industry]], Mean_PE_S, 3, FALSE))</f>
        <v>30.481170825346965</v>
      </c>
      <c r="U22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2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26" spans="1:26" x14ac:dyDescent="0.25">
      <c r="A226" s="68" t="s">
        <v>191</v>
      </c>
      <c r="B226" s="68" t="s">
        <v>588</v>
      </c>
      <c r="C226" s="2">
        <v>339</v>
      </c>
      <c r="D226">
        <f>RTD("tos.rtd", , "LAST", Main_S[[#This Row],[Symbol]])</f>
        <v>1.1499999999999999</v>
      </c>
      <c r="E226">
        <v>-0.77</v>
      </c>
      <c r="F226">
        <v>1.72</v>
      </c>
      <c r="G226">
        <v>-1.1299999999999999</v>
      </c>
      <c r="H226" s="1">
        <f>IF(ISNUMBER(Main_S[[#This Row],[Free CF]]),IF(Main_S[[#This Row],[Free CF]]&lt;&gt;0,Main_S[[#This Row],[Current Price]]/Main_S[[#This Row],[Free CF]],""),"")</f>
        <v>-1.4935064935064934</v>
      </c>
      <c r="I226" s="1">
        <f>IF(ISNUMBER(Main_S[[#This Row],[BVPS]]),IF(Main_S[[#This Row],[BVPS]]&lt;&gt;0,Main_S[[#This Row],[Current Price]]/Main_S[[#This Row],[BVPS]],""),"")</f>
        <v>0.66860465116279066</v>
      </c>
      <c r="J226">
        <v>-51.3</v>
      </c>
      <c r="K226">
        <v>-12.08</v>
      </c>
      <c r="L226">
        <v>2.4900000000000002</v>
      </c>
      <c r="M226" s="1">
        <f>IF(ISNUMBER(Main_S[[#This Row],[EPS]]),IF(Main_S[[#This Row],[EPS]]&lt;&gt;0,Main_S[[#This Row],[Current Price]]/Main_S[[#This Row],[EPS]],""),"")</f>
        <v>-1.0176991150442478</v>
      </c>
      <c r="N22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6" s="1">
        <f>(Main_S[[#This Row],[P/FCF]]-VLOOKUP(Main_S[[#This Row],[Industry]], Mean_PFCF_S, 2, FALSE))/(VLOOKUP(Main_S[[#This Row],[Industry]], Mean_PFCF_S, 3, FALSE))</f>
        <v>3.1609080774001187E-2</v>
      </c>
      <c r="P226" s="1">
        <f>(Main_S[[#This Row],[P/B]]-VLOOKUP(Main_S[[#This Row],[Industry]], Mean_PB_S, 2, FALSE))/(VLOOKUP(Main_S[[#This Row],[Industry]], Mean_PB_S, 3, FALSE))</f>
        <v>-0.67364266106031723</v>
      </c>
      <c r="Q226" s="1">
        <f>(Main_S[[#This Row],[ROE]]-VLOOKUP(Main_S[[#This Row],[Industry]], Mean_ROE_S, 2, FALSE))/(VLOOKUP(Main_S[[#This Row],[Industry]], Mean_ROE_S, 3, FALSE))</f>
        <v>-0.73104025299969699</v>
      </c>
      <c r="R226" s="1">
        <f>(Main_S[[#This Row],[ROA]]-VLOOKUP(Main_S[[#This Row],[Industry]], Mean_ROA_S, 2, FALSE))/(VLOOKUP(Main_S[[#This Row],[Industry]], Mean_ROA_S, 3, FALSE))</f>
        <v>-0.73113348907837383</v>
      </c>
      <c r="S226" s="1">
        <f>(Main_S[[#This Row],[A/E]]-VLOOKUP(Main_S[[#This Row],[Industry]], Mean_AE_S, 2, FALSE))/(VLOOKUP(Main_S[[#This Row],[Industry]], Mean_AE_S, 3, FALSE))</f>
        <v>1.0488785621025434</v>
      </c>
      <c r="T226" s="1">
        <f>(Main_S[[#This Row],[P/E]]-VLOOKUP(Main_S[[#This Row],[Industry]], Mean_PE_S, 2, FALSE))/(VLOOKUP(Main_S[[#This Row],[Industry]], Mean_PE_S, 3, FALSE))</f>
        <v>1.1988026097078568</v>
      </c>
      <c r="U22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7" spans="1:26" x14ac:dyDescent="0.25">
      <c r="A227" s="68" t="s">
        <v>191</v>
      </c>
      <c r="B227" s="68" t="s">
        <v>589</v>
      </c>
      <c r="C227" s="2">
        <v>427</v>
      </c>
      <c r="D227">
        <f>RTD("tos.rtd", , "LAST", Main_S[[#This Row],[Symbol]])</f>
        <v>5.14</v>
      </c>
      <c r="E227">
        <v>-0.79</v>
      </c>
      <c r="F227">
        <v>2.38</v>
      </c>
      <c r="G227">
        <v>-1.37</v>
      </c>
      <c r="H227" s="1">
        <f>IF(ISNUMBER(Main_S[[#This Row],[Free CF]]),IF(Main_S[[#This Row],[Free CF]]&lt;&gt;0,Main_S[[#This Row],[Current Price]]/Main_S[[#This Row],[Free CF]],""),"")</f>
        <v>-6.5063291139240498</v>
      </c>
      <c r="I227" s="1">
        <f>IF(ISNUMBER(Main_S[[#This Row],[BVPS]]),IF(Main_S[[#This Row],[BVPS]]&lt;&gt;0,Main_S[[#This Row],[Current Price]]/Main_S[[#This Row],[BVPS]],""),"")</f>
        <v>2.1596638655462184</v>
      </c>
      <c r="J227">
        <v>-48.91</v>
      </c>
      <c r="K227">
        <v>-17.23</v>
      </c>
      <c r="L227">
        <v>1.33</v>
      </c>
      <c r="M227" s="1">
        <f>IF(ISNUMBER(Main_S[[#This Row],[EPS]]),IF(Main_S[[#This Row],[EPS]]&lt;&gt;0,Main_S[[#This Row],[Current Price]]/Main_S[[#This Row],[EPS]],""),"")</f>
        <v>-3.7518248175182478</v>
      </c>
      <c r="N22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7" s="1">
        <f>(Main_S[[#This Row],[P/FCF]]-VLOOKUP(Main_S[[#This Row],[Industry]], Mean_PFCF_S, 2, FALSE))/(VLOOKUP(Main_S[[#This Row],[Industry]], Mean_PFCF_S, 3, FALSE))</f>
        <v>-0.27446243557417771</v>
      </c>
      <c r="P227" s="1">
        <f>(Main_S[[#This Row],[P/B]]-VLOOKUP(Main_S[[#This Row],[Industry]], Mean_PB_S, 2, FALSE))/(VLOOKUP(Main_S[[#This Row],[Industry]], Mean_PB_S, 3, FALSE))</f>
        <v>0.1133097387107688</v>
      </c>
      <c r="Q227" s="1">
        <f>(Main_S[[#This Row],[ROE]]-VLOOKUP(Main_S[[#This Row],[Industry]], Mean_ROE_S, 2, FALSE))/(VLOOKUP(Main_S[[#This Row],[Industry]], Mean_ROE_S, 3, FALSE))</f>
        <v>-0.64501199115094854</v>
      </c>
      <c r="R227" s="1">
        <f>(Main_S[[#This Row],[ROA]]-VLOOKUP(Main_S[[#This Row],[Industry]], Mean_ROA_S, 2, FALSE))/(VLOOKUP(Main_S[[#This Row],[Industry]], Mean_ROA_S, 3, FALSE))</f>
        <v>-1.4576430231931263</v>
      </c>
      <c r="S227" s="1">
        <f>(Main_S[[#This Row],[A/E]]-VLOOKUP(Main_S[[#This Row],[Industry]], Mean_AE_S, 2, FALSE))/(VLOOKUP(Main_S[[#This Row],[Industry]], Mean_AE_S, 3, FALSE))</f>
        <v>-0.70250884218722365</v>
      </c>
      <c r="T227" s="1">
        <f>(Main_S[[#This Row],[P/E]]-VLOOKUP(Main_S[[#This Row],[Industry]], Mean_PE_S, 2, FALSE))/(VLOOKUP(Main_S[[#This Row],[Industry]], Mean_PE_S, 3, FALSE))</f>
        <v>0.30398124971150325</v>
      </c>
      <c r="U22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8" spans="1:26" x14ac:dyDescent="0.25">
      <c r="A228" s="68" t="s">
        <v>191</v>
      </c>
      <c r="B228" s="68" t="s">
        <v>590</v>
      </c>
      <c r="C228" s="2">
        <v>320</v>
      </c>
      <c r="D228">
        <f>RTD("tos.rtd", , "LAST", Main_S[[#This Row],[Symbol]])</f>
        <v>6.74</v>
      </c>
      <c r="E228">
        <v>-0.28999999999999998</v>
      </c>
      <c r="F228">
        <v>1.54</v>
      </c>
      <c r="G228">
        <v>-0.56999999999999995</v>
      </c>
      <c r="H228" s="1">
        <f>IF(ISNUMBER(Main_S[[#This Row],[Free CF]]),IF(Main_S[[#This Row],[Free CF]]&lt;&gt;0,Main_S[[#This Row],[Current Price]]/Main_S[[#This Row],[Free CF]],""),"")</f>
        <v>-23.241379310344829</v>
      </c>
      <c r="I228" s="1">
        <f>IF(ISNUMBER(Main_S[[#This Row],[BVPS]]),IF(Main_S[[#This Row],[BVPS]]&lt;&gt;0,Main_S[[#This Row],[Current Price]]/Main_S[[#This Row],[BVPS]],""),"")</f>
        <v>4.3766233766233764</v>
      </c>
      <c r="J228">
        <v>-31.02</v>
      </c>
      <c r="K228">
        <v>-12.5</v>
      </c>
      <c r="L228">
        <v>1.44</v>
      </c>
      <c r="M228" s="1">
        <f>IF(ISNUMBER(Main_S[[#This Row],[EPS]]),IF(Main_S[[#This Row],[EPS]]&lt;&gt;0,Main_S[[#This Row],[Current Price]]/Main_S[[#This Row],[EPS]],""),"")</f>
        <v>-11.824561403508774</v>
      </c>
      <c r="N22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8" s="1">
        <f>(Main_S[[#This Row],[P/FCF]]-VLOOKUP(Main_S[[#This Row],[Industry]], Mean_PFCF_S, 2, FALSE))/(VLOOKUP(Main_S[[#This Row],[Industry]], Mean_PFCF_S, 3, FALSE))</f>
        <v>-1.2962664325715292</v>
      </c>
      <c r="P228" s="1">
        <f>(Main_S[[#This Row],[P/B]]-VLOOKUP(Main_S[[#This Row],[Industry]], Mean_PB_S, 2, FALSE))/(VLOOKUP(Main_S[[#This Row],[Industry]], Mean_PB_S, 3, FALSE))</f>
        <v>1.2833783655016471</v>
      </c>
      <c r="Q228" s="1">
        <f>(Main_S[[#This Row],[ROE]]-VLOOKUP(Main_S[[#This Row],[Industry]], Mean_ROE_S, 2, FALSE))/(VLOOKUP(Main_S[[#This Row],[Industry]], Mean_ROE_S, 3, FALSE))</f>
        <v>-1.0598553877226885E-3</v>
      </c>
      <c r="R228" s="1">
        <f>(Main_S[[#This Row],[ROA]]-VLOOKUP(Main_S[[#This Row],[Industry]], Mean_ROA_S, 2, FALSE))/(VLOOKUP(Main_S[[#This Row],[Industry]], Mean_ROA_S, 3, FALSE))</f>
        <v>-0.79038281030714985</v>
      </c>
      <c r="S228" s="1">
        <f>(Main_S[[#This Row],[A/E]]-VLOOKUP(Main_S[[#This Row],[Industry]], Mean_AE_S, 2, FALSE))/(VLOOKUP(Main_S[[#This Row],[Industry]], Mean_AE_S, 3, FALSE))</f>
        <v>-0.53642900212526312</v>
      </c>
      <c r="T228" s="1">
        <f>(Main_S[[#This Row],[P/E]]-VLOOKUP(Main_S[[#This Row],[Industry]], Mean_PE_S, 2, FALSE))/(VLOOKUP(Main_S[[#This Row],[Industry]], Mean_PE_S, 3, FALSE))</f>
        <v>-2.3380542368910207</v>
      </c>
      <c r="U22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2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29" spans="1:26" x14ac:dyDescent="0.25">
      <c r="A229" s="68" t="s">
        <v>191</v>
      </c>
      <c r="B229" s="68" t="s">
        <v>591</v>
      </c>
      <c r="C229" s="2">
        <v>1023</v>
      </c>
      <c r="D229">
        <f>RTD("tos.rtd", , "LAST", Main_S[[#This Row],[Symbol]])</f>
        <v>9.65</v>
      </c>
      <c r="E229">
        <v>-0.06</v>
      </c>
      <c r="F229">
        <v>5.81</v>
      </c>
      <c r="G229">
        <v>-1.52</v>
      </c>
      <c r="H229" s="1">
        <f>IF(ISNUMBER(Main_S[[#This Row],[Free CF]]),IF(Main_S[[#This Row],[Free CF]]&lt;&gt;0,Main_S[[#This Row],[Current Price]]/Main_S[[#This Row],[Free CF]],""),"")</f>
        <v>-160.83333333333334</v>
      </c>
      <c r="I229" s="1">
        <f>IF(ISNUMBER(Main_S[[#This Row],[BVPS]]),IF(Main_S[[#This Row],[BVPS]]&lt;&gt;0,Main_S[[#This Row],[Current Price]]/Main_S[[#This Row],[BVPS]],""),"")</f>
        <v>1.6609294320137695</v>
      </c>
      <c r="J229">
        <v>-25.17</v>
      </c>
      <c r="K229">
        <v>-12.77</v>
      </c>
      <c r="L229">
        <v>1.29</v>
      </c>
      <c r="M229" s="1">
        <f>IF(ISNUMBER(Main_S[[#This Row],[EPS]]),IF(Main_S[[#This Row],[EPS]]&lt;&gt;0,Main_S[[#This Row],[Current Price]]/Main_S[[#This Row],[EPS]],""),"")</f>
        <v>-6.3486842105263159</v>
      </c>
      <c r="N22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29" s="1">
        <f>(Main_S[[#This Row],[P/FCF]]-VLOOKUP(Main_S[[#This Row],[Industry]], Mean_PFCF_S, 2, FALSE))/(VLOOKUP(Main_S[[#This Row],[Industry]], Mean_PFCF_S, 3, FALSE))</f>
        <v>-9.6973173362273002</v>
      </c>
      <c r="P229" s="1">
        <f>(Main_S[[#This Row],[P/B]]-VLOOKUP(Main_S[[#This Row],[Industry]], Mean_PB_S, 2, FALSE))/(VLOOKUP(Main_S[[#This Row],[Industry]], Mean_PB_S, 3, FALSE))</f>
        <v>-0.14991271116298047</v>
      </c>
      <c r="Q229" s="1">
        <f>(Main_S[[#This Row],[ROE]]-VLOOKUP(Main_S[[#This Row],[Industry]], Mean_ROE_S, 2, FALSE))/(VLOOKUP(Main_S[[#This Row],[Industry]], Mean_ROE_S, 3, FALSE))</f>
        <v>0.20951141315419294</v>
      </c>
      <c r="R229" s="1">
        <f>(Main_S[[#This Row],[ROA]]-VLOOKUP(Main_S[[#This Row],[Industry]], Mean_ROA_S, 2, FALSE))/(VLOOKUP(Main_S[[#This Row],[Industry]], Mean_ROA_S, 3, FALSE))</f>
        <v>-0.82847165966850567</v>
      </c>
      <c r="S229" s="1">
        <f>(Main_S[[#This Row],[A/E]]-VLOOKUP(Main_S[[#This Row],[Industry]], Mean_AE_S, 2, FALSE))/(VLOOKUP(Main_S[[#This Row],[Industry]], Mean_AE_S, 3, FALSE))</f>
        <v>-0.76290151130066386</v>
      </c>
      <c r="T229" s="1">
        <f>(Main_S[[#This Row],[P/E]]-VLOOKUP(Main_S[[#This Row],[Industry]], Mean_PE_S, 2, FALSE))/(VLOOKUP(Main_S[[#This Row],[Industry]], Mean_PE_S, 3, FALSE))</f>
        <v>-0.54591575819421922</v>
      </c>
      <c r="U22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2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2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2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2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2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0" spans="1:26" x14ac:dyDescent="0.25">
      <c r="A230" s="68" t="s">
        <v>173</v>
      </c>
      <c r="B230" s="68" t="s">
        <v>524</v>
      </c>
      <c r="C230" s="2">
        <v>252</v>
      </c>
      <c r="D230">
        <f>RTD("tos.rtd", , "LAST", Main_S[[#This Row],[Symbol]])</f>
        <v>5.16</v>
      </c>
      <c r="E230">
        <v>-0.37</v>
      </c>
      <c r="F230">
        <v>7.26</v>
      </c>
      <c r="G230">
        <v>0.23</v>
      </c>
      <c r="H230" s="1">
        <f>IF(ISNUMBER(Main_S[[#This Row],[Free CF]]),IF(Main_S[[#This Row],[Free CF]]&lt;&gt;0,Main_S[[#This Row],[Current Price]]/Main_S[[#This Row],[Free CF]],""),"")</f>
        <v>-13.945945945945946</v>
      </c>
      <c r="I230" s="1">
        <f>IF(ISNUMBER(Main_S[[#This Row],[BVPS]]),IF(Main_S[[#This Row],[BVPS]]&lt;&gt;0,Main_S[[#This Row],[Current Price]]/Main_S[[#This Row],[BVPS]],""),"")</f>
        <v>0.71074380165289264</v>
      </c>
      <c r="J230">
        <v>2.65</v>
      </c>
      <c r="K230">
        <v>2.78</v>
      </c>
      <c r="L230">
        <v>1.51</v>
      </c>
      <c r="M230" s="1">
        <f>IF(ISNUMBER(Main_S[[#This Row],[EPS]]),IF(Main_S[[#This Row],[EPS]]&lt;&gt;0,Main_S[[#This Row],[Current Price]]/Main_S[[#This Row],[EPS]],""),"")</f>
        <v>22.434782608695652</v>
      </c>
      <c r="N23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0" s="1">
        <f>(Main_S[[#This Row],[P/FCF]]-VLOOKUP(Main_S[[#This Row],[Industry]], Mean_PFCF_S, 2, FALSE))/(VLOOKUP(Main_S[[#This Row],[Industry]], Mean_PFCF_S, 3, FALSE))</f>
        <v>-0.77747941914880092</v>
      </c>
      <c r="P230" s="1">
        <f>(Main_S[[#This Row],[P/B]]-VLOOKUP(Main_S[[#This Row],[Industry]], Mean_PB_S, 2, FALSE))/(VLOOKUP(Main_S[[#This Row],[Industry]], Mean_PB_S, 3, FALSE))</f>
        <v>-0.65387685529561912</v>
      </c>
      <c r="Q230" s="1">
        <f>(Main_S[[#This Row],[ROE]]-VLOOKUP(Main_S[[#This Row],[Industry]], Mean_ROE_S, 2, FALSE))/(VLOOKUP(Main_S[[#This Row],[Industry]], Mean_ROE_S, 3, FALSE))</f>
        <v>0.56339050178257721</v>
      </c>
      <c r="R230" s="1">
        <f>(Main_S[[#This Row],[ROA]]-VLOOKUP(Main_S[[#This Row],[Industry]], Mean_ROA_S, 2, FALSE))/(VLOOKUP(Main_S[[#This Row],[Industry]], Mean_ROA_S, 3, FALSE))</f>
        <v>0.84313751448199303</v>
      </c>
      <c r="S230" s="1">
        <f>(Main_S[[#This Row],[A/E]]-VLOOKUP(Main_S[[#This Row],[Industry]], Mean_AE_S, 2, FALSE))/(VLOOKUP(Main_S[[#This Row],[Industry]], Mean_AE_S, 3, FALSE))</f>
        <v>0.26591312320110144</v>
      </c>
      <c r="T230" s="1">
        <f>(Main_S[[#This Row],[P/E]]-VLOOKUP(Main_S[[#This Row],[Industry]], Mean_PE_S, 2, FALSE))/(VLOOKUP(Main_S[[#This Row],[Industry]], Mean_PE_S, 3, FALSE))</f>
        <v>3.4522681651682894</v>
      </c>
      <c r="U23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1" spans="1:26" x14ac:dyDescent="0.25">
      <c r="A231" s="68" t="s">
        <v>173</v>
      </c>
      <c r="B231" s="68" t="s">
        <v>525</v>
      </c>
      <c r="C231" s="2">
        <v>261</v>
      </c>
      <c r="D231">
        <f>RTD("tos.rtd", , "LAST", Main_S[[#This Row],[Symbol]])</f>
        <v>4.46</v>
      </c>
      <c r="E231">
        <v>-9.06</v>
      </c>
      <c r="F231">
        <v>4.78</v>
      </c>
      <c r="G231">
        <v>-10.38</v>
      </c>
      <c r="H231" s="1">
        <f>IF(ISNUMBER(Main_S[[#This Row],[Free CF]]),IF(Main_S[[#This Row],[Free CF]]&lt;&gt;0,Main_S[[#This Row],[Current Price]]/Main_S[[#This Row],[Free CF]],""),"")</f>
        <v>-0.49227373068432667</v>
      </c>
      <c r="I231" s="1">
        <f>IF(ISNUMBER(Main_S[[#This Row],[BVPS]]),IF(Main_S[[#This Row],[BVPS]]&lt;&gt;0,Main_S[[#This Row],[Current Price]]/Main_S[[#This Row],[BVPS]],""),"")</f>
        <v>0.93305439330543927</v>
      </c>
      <c r="J231">
        <v>-198.66</v>
      </c>
      <c r="K231">
        <v>-87.31</v>
      </c>
      <c r="L231">
        <v>1.31</v>
      </c>
      <c r="M231" s="1">
        <f>IF(ISNUMBER(Main_S[[#This Row],[EPS]]),IF(Main_S[[#This Row],[EPS]]&lt;&gt;0,Main_S[[#This Row],[Current Price]]/Main_S[[#This Row],[EPS]],""),"")</f>
        <v>-0.42967244701348745</v>
      </c>
      <c r="N23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1" s="1">
        <f>(Main_S[[#This Row],[P/FCF]]-VLOOKUP(Main_S[[#This Row],[Industry]], Mean_PFCF_S, 2, FALSE))/(VLOOKUP(Main_S[[#This Row],[Industry]], Mean_PFCF_S, 3, FALSE))</f>
        <v>0.38636312186481181</v>
      </c>
      <c r="P231" s="1">
        <f>(Main_S[[#This Row],[P/B]]-VLOOKUP(Main_S[[#This Row],[Industry]], Mean_PB_S, 2, FALSE))/(VLOOKUP(Main_S[[#This Row],[Industry]], Mean_PB_S, 3, FALSE))</f>
        <v>-0.54909597948098665</v>
      </c>
      <c r="Q231" s="1">
        <f>(Main_S[[#This Row],[ROE]]-VLOOKUP(Main_S[[#This Row],[Industry]], Mean_ROE_S, 2, FALSE))/(VLOOKUP(Main_S[[#This Row],[Industry]], Mean_ROE_S, 3, FALSE))</f>
        <v>-4.8246079048180412</v>
      </c>
      <c r="R231" s="1">
        <f>(Main_S[[#This Row],[ROA]]-VLOOKUP(Main_S[[#This Row],[Industry]], Mean_ROA_S, 2, FALSE))/(VLOOKUP(Main_S[[#This Row],[Industry]], Mean_ROA_S, 3, FALSE))</f>
        <v>-4.6960625142478687</v>
      </c>
      <c r="S231" s="1">
        <f>(Main_S[[#This Row],[A/E]]-VLOOKUP(Main_S[[#This Row],[Industry]], Mean_AE_S, 2, FALSE))/(VLOOKUP(Main_S[[#This Row],[Industry]], Mean_AE_S, 3, FALSE))</f>
        <v>-0.19927768334455942</v>
      </c>
      <c r="T231" s="1">
        <f>(Main_S[[#This Row],[P/E]]-VLOOKUP(Main_S[[#This Row],[Industry]], Mean_PE_S, 2, FALSE))/(VLOOKUP(Main_S[[#This Row],[Industry]], Mean_PE_S, 3, FALSE))</f>
        <v>0.62616576380214406</v>
      </c>
      <c r="U23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3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Yes</v>
      </c>
      <c r="Y23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2" spans="1:26" x14ac:dyDescent="0.25">
      <c r="A232" s="68" t="s">
        <v>173</v>
      </c>
      <c r="B232" s="68" t="s">
        <v>526</v>
      </c>
      <c r="C232" s="2">
        <v>434</v>
      </c>
      <c r="D232">
        <f>RTD("tos.rtd", , "LAST", Main_S[[#This Row],[Symbol]])</f>
        <v>4.49</v>
      </c>
      <c r="E232">
        <v>-2.99</v>
      </c>
      <c r="F232">
        <v>2.4</v>
      </c>
      <c r="G232">
        <v>-4.43</v>
      </c>
      <c r="H232" s="1">
        <f>IF(ISNUMBER(Main_S[[#This Row],[Free CF]]),IF(Main_S[[#This Row],[Free CF]]&lt;&gt;0,Main_S[[#This Row],[Current Price]]/Main_S[[#This Row],[Free CF]],""),"")</f>
        <v>-1.5016722408026755</v>
      </c>
      <c r="I232" s="1">
        <f>IF(ISNUMBER(Main_S[[#This Row],[BVPS]]),IF(Main_S[[#This Row],[BVPS]]&lt;&gt;0,Main_S[[#This Row],[Current Price]]/Main_S[[#This Row],[BVPS]],""),"")</f>
        <v>1.8708333333333336</v>
      </c>
      <c r="J232">
        <v>-100.88</v>
      </c>
      <c r="K232">
        <v>-51.31</v>
      </c>
      <c r="L232">
        <v>1.18</v>
      </c>
      <c r="M232" s="1">
        <f>IF(ISNUMBER(Main_S[[#This Row],[EPS]]),IF(Main_S[[#This Row],[EPS]]&lt;&gt;0,Main_S[[#This Row],[Current Price]]/Main_S[[#This Row],[EPS]],""),"")</f>
        <v>-1.0135440180586908</v>
      </c>
      <c r="N23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2" s="1">
        <f>(Main_S[[#This Row],[P/FCF]]-VLOOKUP(Main_S[[#This Row],[Industry]], Mean_PFCF_S, 2, FALSE))/(VLOOKUP(Main_S[[#This Row],[Industry]], Mean_PFCF_S, 3, FALSE))</f>
        <v>0.29904265588981632</v>
      </c>
      <c r="P232" s="1">
        <f>(Main_S[[#This Row],[P/B]]-VLOOKUP(Main_S[[#This Row],[Industry]], Mean_PB_S, 2, FALSE))/(VLOOKUP(Main_S[[#This Row],[Industry]], Mean_PB_S, 3, FALSE))</f>
        <v>-0.10709590235369004</v>
      </c>
      <c r="Q232" s="1">
        <f>(Main_S[[#This Row],[ROE]]-VLOOKUP(Main_S[[#This Row],[Industry]], Mean_ROE_S, 2, FALSE))/(VLOOKUP(Main_S[[#This Row],[Industry]], Mean_ROE_S, 3, FALSE))</f>
        <v>-2.2075571661691491</v>
      </c>
      <c r="R232" s="1">
        <f>(Main_S[[#This Row],[ROA]]-VLOOKUP(Main_S[[#This Row],[Industry]], Mean_ROA_S, 2, FALSE))/(VLOOKUP(Main_S[[#This Row],[Industry]], Mean_ROA_S, 3, FALSE))</f>
        <v>-2.482595969300871</v>
      </c>
      <c r="S232" s="1">
        <f>(Main_S[[#This Row],[A/E]]-VLOOKUP(Main_S[[#This Row],[Industry]], Mean_AE_S, 2, FALSE))/(VLOOKUP(Main_S[[#This Row],[Industry]], Mean_AE_S, 3, FALSE))</f>
        <v>-0.50165170759923938</v>
      </c>
      <c r="T232" s="1">
        <f>(Main_S[[#This Row],[P/E]]-VLOOKUP(Main_S[[#This Row],[Industry]], Mean_PE_S, 2, FALSE))/(VLOOKUP(Main_S[[#This Row],[Industry]], Mean_PE_S, 3, FALSE))</f>
        <v>0.55399781381165192</v>
      </c>
      <c r="U23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3" spans="1:26" x14ac:dyDescent="0.25">
      <c r="A233" s="68" t="s">
        <v>173</v>
      </c>
      <c r="B233" s="68" t="s">
        <v>527</v>
      </c>
      <c r="C233" s="2">
        <v>1160</v>
      </c>
      <c r="D233">
        <f>RTD("tos.rtd", , "LAST", Main_S[[#This Row],[Symbol]])</f>
        <v>23.88</v>
      </c>
      <c r="E233">
        <v>3.56</v>
      </c>
      <c r="F233">
        <v>15.38</v>
      </c>
      <c r="G233">
        <v>3.06</v>
      </c>
      <c r="H233" s="1">
        <f>IF(ISNUMBER(Main_S[[#This Row],[Free CF]]),IF(Main_S[[#This Row],[Free CF]]&lt;&gt;0,Main_S[[#This Row],[Current Price]]/Main_S[[#This Row],[Free CF]],""),"")</f>
        <v>6.7078651685393256</v>
      </c>
      <c r="I233" s="1">
        <f>IF(ISNUMBER(Main_S[[#This Row],[BVPS]]),IF(Main_S[[#This Row],[BVPS]]&lt;&gt;0,Main_S[[#This Row],[Current Price]]/Main_S[[#This Row],[BVPS]],""),"")</f>
        <v>1.5526657997399218</v>
      </c>
      <c r="J233">
        <v>23.26</v>
      </c>
      <c r="K233">
        <v>8.31</v>
      </c>
      <c r="L233">
        <v>2.15</v>
      </c>
      <c r="M233" s="1">
        <f>IF(ISNUMBER(Main_S[[#This Row],[EPS]]),IF(Main_S[[#This Row],[EPS]]&lt;&gt;0,Main_S[[#This Row],[Current Price]]/Main_S[[#This Row],[EPS]],""),"")</f>
        <v>7.8039215686274508</v>
      </c>
      <c r="N23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3" s="1">
        <f>(Main_S[[#This Row],[P/FCF]]-VLOOKUP(Main_S[[#This Row],[Industry]], Mean_PFCF_S, 2, FALSE))/(VLOOKUP(Main_S[[#This Row],[Industry]], Mean_PFCF_S, 3, FALSE))</f>
        <v>1.0092285981484896</v>
      </c>
      <c r="P233" s="1">
        <f>(Main_S[[#This Row],[P/B]]-VLOOKUP(Main_S[[#This Row],[Industry]], Mean_PB_S, 2, FALSE))/(VLOOKUP(Main_S[[#This Row],[Industry]], Mean_PB_S, 3, FALSE))</f>
        <v>-0.25705669629464445</v>
      </c>
      <c r="Q233" s="1">
        <f>(Main_S[[#This Row],[ROE]]-VLOOKUP(Main_S[[#This Row],[Industry]], Mean_ROE_S, 2, FALSE))/(VLOOKUP(Main_S[[#This Row],[Industry]], Mean_ROE_S, 3, FALSE))</f>
        <v>1.1150106257706491</v>
      </c>
      <c r="R233" s="1">
        <f>(Main_S[[#This Row],[ROA]]-VLOOKUP(Main_S[[#This Row],[Industry]], Mean_ROA_S, 2, FALSE))/(VLOOKUP(Main_S[[#This Row],[Industry]], Mean_ROA_S, 3, FALSE))</f>
        <v>1.1831505698585736</v>
      </c>
      <c r="S233" s="1">
        <f>(Main_S[[#This Row],[A/E]]-VLOOKUP(Main_S[[#This Row],[Industry]], Mean_AE_S, 2, FALSE))/(VLOOKUP(Main_S[[#This Row],[Industry]], Mean_AE_S, 3, FALSE))</f>
        <v>1.7545237041472164</v>
      </c>
      <c r="T233" s="1">
        <f>(Main_S[[#This Row],[P/E]]-VLOOKUP(Main_S[[#This Row],[Industry]], Mean_PE_S, 2, FALSE))/(VLOOKUP(Main_S[[#This Row],[Industry]], Mean_PE_S, 3, FALSE))</f>
        <v>1.6438580622969921</v>
      </c>
      <c r="U23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4" spans="1:26" x14ac:dyDescent="0.25">
      <c r="A234" s="68" t="s">
        <v>173</v>
      </c>
      <c r="B234" s="68" t="s">
        <v>528</v>
      </c>
      <c r="C234" s="2">
        <v>1528</v>
      </c>
      <c r="D234">
        <f>RTD("tos.rtd", , "LAST", Main_S[[#This Row],[Symbol]])</f>
        <v>62</v>
      </c>
      <c r="E234">
        <v>2.35</v>
      </c>
      <c r="F234">
        <v>20.54</v>
      </c>
      <c r="G234">
        <v>-1.04</v>
      </c>
      <c r="H234" s="1">
        <f>IF(ISNUMBER(Main_S[[#This Row],[Free CF]]),IF(Main_S[[#This Row],[Free CF]]&lt;&gt;0,Main_S[[#This Row],[Current Price]]/Main_S[[#This Row],[Free CF]],""),"")</f>
        <v>26.382978723404253</v>
      </c>
      <c r="I234" s="1">
        <f>IF(ISNUMBER(Main_S[[#This Row],[BVPS]]),IF(Main_S[[#This Row],[BVPS]]&lt;&gt;0,Main_S[[#This Row],[Current Price]]/Main_S[[#This Row],[BVPS]],""),"")</f>
        <v>3.0185004868549172</v>
      </c>
      <c r="J234">
        <v>-4.18</v>
      </c>
      <c r="K234">
        <v>0.84</v>
      </c>
      <c r="L234">
        <v>3.18</v>
      </c>
      <c r="M234" s="1">
        <f>IF(ISNUMBER(Main_S[[#This Row],[EPS]]),IF(Main_S[[#This Row],[EPS]]&lt;&gt;0,Main_S[[#This Row],[Current Price]]/Main_S[[#This Row],[EPS]],""),"")</f>
        <v>-59.615384615384613</v>
      </c>
      <c r="N23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4" s="1">
        <f>(Main_S[[#This Row],[P/FCF]]-VLOOKUP(Main_S[[#This Row],[Industry]], Mean_PFCF_S, 2, FALSE))/(VLOOKUP(Main_S[[#This Row],[Industry]], Mean_PFCF_S, 3, FALSE))</f>
        <v>2.7112720096454215</v>
      </c>
      <c r="P234" s="1">
        <f>(Main_S[[#This Row],[P/B]]-VLOOKUP(Main_S[[#This Row],[Industry]], Mean_PB_S, 2, FALSE))/(VLOOKUP(Main_S[[#This Row],[Industry]], Mean_PB_S, 3, FALSE))</f>
        <v>0.43383005441594702</v>
      </c>
      <c r="Q234" s="1">
        <f>(Main_S[[#This Row],[ROE]]-VLOOKUP(Main_S[[#This Row],[Industry]], Mean_ROE_S, 2, FALSE))/(VLOOKUP(Main_S[[#This Row],[Industry]], Mean_ROE_S, 3, FALSE))</f>
        <v>0.38058771445416723</v>
      </c>
      <c r="R234" s="1">
        <f>(Main_S[[#This Row],[ROA]]-VLOOKUP(Main_S[[#This Row],[Industry]], Mean_ROA_S, 2, FALSE))/(VLOOKUP(Main_S[[#This Row],[Industry]], Mean_ROA_S, 3, FALSE))</f>
        <v>0.72385626178207152</v>
      </c>
      <c r="S234" s="1">
        <f>(Main_S[[#This Row],[A/E]]-VLOOKUP(Main_S[[#This Row],[Industry]], Mean_AE_S, 2, FALSE))/(VLOOKUP(Main_S[[#This Row],[Industry]], Mean_AE_S, 3, FALSE))</f>
        <v>4.150256357857371</v>
      </c>
      <c r="T234" s="1">
        <f>(Main_S[[#This Row],[P/E]]-VLOOKUP(Main_S[[#This Row],[Industry]], Mean_PE_S, 2, FALSE))/(VLOOKUP(Main_S[[#This Row],[Industry]], Mean_PE_S, 3, FALSE))</f>
        <v>-6.6893325884681811</v>
      </c>
      <c r="U23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35" spans="1:26" x14ac:dyDescent="0.25">
      <c r="A235" s="68" t="s">
        <v>173</v>
      </c>
      <c r="B235" s="68" t="s">
        <v>529</v>
      </c>
      <c r="C235" s="2">
        <v>270</v>
      </c>
      <c r="D235">
        <f>RTD("tos.rtd", , "LAST", Main_S[[#This Row],[Symbol]])</f>
        <v>2.29</v>
      </c>
      <c r="E235">
        <v>-0.41</v>
      </c>
      <c r="F235">
        <v>-0.66</v>
      </c>
      <c r="G235">
        <v>-0.51</v>
      </c>
      <c r="H235" s="1">
        <f>IF(ISNUMBER(Main_S[[#This Row],[Free CF]]),IF(Main_S[[#This Row],[Free CF]]&lt;&gt;0,Main_S[[#This Row],[Current Price]]/Main_S[[#This Row],[Free CF]],""),"")</f>
        <v>-5.5853658536585371</v>
      </c>
      <c r="I235" s="1">
        <f>IF(ISNUMBER(Main_S[[#This Row],[BVPS]]),IF(Main_S[[#This Row],[BVPS]]&lt;&gt;0,Main_S[[#This Row],[Current Price]]/Main_S[[#This Row],[BVPS]],""),"")</f>
        <v>-3.4696969696969697</v>
      </c>
      <c r="J235">
        <v>52.97</v>
      </c>
      <c r="K235">
        <v>-24.22</v>
      </c>
      <c r="L235">
        <v>-1.69</v>
      </c>
      <c r="M235" s="1">
        <f>IF(ISNUMBER(Main_S[[#This Row],[EPS]]),IF(Main_S[[#This Row],[EPS]]&lt;&gt;0,Main_S[[#This Row],[Current Price]]/Main_S[[#This Row],[EPS]],""),"")</f>
        <v>-4.4901960784313726</v>
      </c>
      <c r="N23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5" s="1">
        <f>(Main_S[[#This Row],[P/FCF]]-VLOOKUP(Main_S[[#This Row],[Industry]], Mean_PFCF_S, 2, FALSE))/(VLOOKUP(Main_S[[#This Row],[Industry]], Mean_PFCF_S, 3, FALSE))</f>
        <v>-5.4227163313579844E-2</v>
      </c>
      <c r="P235" s="1">
        <f>(Main_S[[#This Row],[P/B]]-VLOOKUP(Main_S[[#This Row],[Industry]], Mean_PB_S, 2, FALSE))/(VLOOKUP(Main_S[[#This Row],[Industry]], Mean_PB_S, 3, FALSE))</f>
        <v>-2.6242294240020274</v>
      </c>
      <c r="Q235" s="1">
        <f>(Main_S[[#This Row],[ROE]]-VLOOKUP(Main_S[[#This Row],[Industry]], Mean_ROE_S, 2, FALSE))/(VLOOKUP(Main_S[[#This Row],[Industry]], Mean_ROE_S, 3, FALSE))</f>
        <v>1.9101893683075544</v>
      </c>
      <c r="R235" s="1">
        <f>(Main_S[[#This Row],[ROA]]-VLOOKUP(Main_S[[#This Row],[Industry]], Mean_ROA_S, 2, FALSE))/(VLOOKUP(Main_S[[#This Row],[Industry]], Mean_ROA_S, 3, FALSE))</f>
        <v>-0.81696239422825512</v>
      </c>
      <c r="S235" s="1">
        <f>(Main_S[[#This Row],[A/E]]-VLOOKUP(Main_S[[#This Row],[Industry]], Mean_AE_S, 2, FALSE))/(VLOOKUP(Main_S[[#This Row],[Industry]], Mean_AE_S, 3, FALSE))</f>
        <v>-7.1771397815294744</v>
      </c>
      <c r="T235" s="1">
        <f>(Main_S[[#This Row],[P/E]]-VLOOKUP(Main_S[[#This Row],[Industry]], Mean_PE_S, 2, FALSE))/(VLOOKUP(Main_S[[#This Row],[Industry]], Mean_PE_S, 3, FALSE))</f>
        <v>0.12427514110441648</v>
      </c>
      <c r="U23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6" spans="1:26" x14ac:dyDescent="0.25">
      <c r="A236" s="68" t="s">
        <v>173</v>
      </c>
      <c r="B236" s="68" t="s">
        <v>530</v>
      </c>
      <c r="C236" s="2">
        <v>487</v>
      </c>
      <c r="D236">
        <f>RTD("tos.rtd", , "LAST", Main_S[[#This Row],[Symbol]])</f>
        <v>6.29</v>
      </c>
      <c r="E236">
        <v>-3.51</v>
      </c>
      <c r="F236">
        <v>9.0399999999999991</v>
      </c>
      <c r="G236">
        <v>-0.65</v>
      </c>
      <c r="H236" s="1">
        <f>IF(ISNUMBER(Main_S[[#This Row],[Free CF]]),IF(Main_S[[#This Row],[Free CF]]&lt;&gt;0,Main_S[[#This Row],[Current Price]]/Main_S[[#This Row],[Free CF]],""),"")</f>
        <v>-1.7920227920227922</v>
      </c>
      <c r="I236" s="1">
        <f>IF(ISNUMBER(Main_S[[#This Row],[BVPS]]),IF(Main_S[[#This Row],[BVPS]]&lt;&gt;0,Main_S[[#This Row],[Current Price]]/Main_S[[#This Row],[BVPS]],""),"")</f>
        <v>0.69579646017699126</v>
      </c>
      <c r="J236">
        <v>-7.34</v>
      </c>
      <c r="K236">
        <v>-5.39</v>
      </c>
      <c r="L236">
        <v>1.52</v>
      </c>
      <c r="M236" s="1">
        <f>IF(ISNUMBER(Main_S[[#This Row],[EPS]]),IF(Main_S[[#This Row],[EPS]]&lt;&gt;0,Main_S[[#This Row],[Current Price]]/Main_S[[#This Row],[EPS]],""),"")</f>
        <v>-9.6769230769230763</v>
      </c>
      <c r="N23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6" s="1">
        <f>(Main_S[[#This Row],[P/FCF]]-VLOOKUP(Main_S[[#This Row],[Industry]], Mean_PFCF_S, 2, FALSE))/(VLOOKUP(Main_S[[#This Row],[Industry]], Mean_PFCF_S, 3, FALSE))</f>
        <v>0.27392517733750027</v>
      </c>
      <c r="P236" s="1">
        <f>(Main_S[[#This Row],[P/B]]-VLOOKUP(Main_S[[#This Row],[Industry]], Mean_PB_S, 2, FALSE))/(VLOOKUP(Main_S[[#This Row],[Industry]], Mean_PB_S, 3, FALSE))</f>
        <v>-0.6609219336218608</v>
      </c>
      <c r="Q236" s="1">
        <f>(Main_S[[#This Row],[ROE]]-VLOOKUP(Main_S[[#This Row],[Industry]], Mean_ROE_S, 2, FALSE))/(VLOOKUP(Main_S[[#This Row],[Industry]], Mean_ROE_S, 3, FALSE))</f>
        <v>0.29601131504600092</v>
      </c>
      <c r="R236" s="1">
        <f>(Main_S[[#This Row],[ROA]]-VLOOKUP(Main_S[[#This Row],[Industry]], Mean_ROA_S, 2, FALSE))/(VLOOKUP(Main_S[[#This Row],[Industry]], Mean_ROA_S, 3, FALSE))</f>
        <v>0.34080357914263282</v>
      </c>
      <c r="S236" s="1">
        <f>(Main_S[[#This Row],[A/E]]-VLOOKUP(Main_S[[#This Row],[Industry]], Mean_AE_S, 2, FALSE))/(VLOOKUP(Main_S[[#This Row],[Industry]], Mean_AE_S, 3, FALSE))</f>
        <v>0.2891726635283845</v>
      </c>
      <c r="T236" s="1">
        <f>(Main_S[[#This Row],[P/E]]-VLOOKUP(Main_S[[#This Row],[Industry]], Mean_PE_S, 2, FALSE))/(VLOOKUP(Main_S[[#This Row],[Industry]], Mean_PE_S, 3, FALSE))</f>
        <v>-0.51681696408476618</v>
      </c>
      <c r="U23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7" spans="1:26" x14ac:dyDescent="0.25">
      <c r="A237" s="68" t="s">
        <v>173</v>
      </c>
      <c r="B237" s="68" t="s">
        <v>531</v>
      </c>
      <c r="C237" s="2">
        <v>278</v>
      </c>
      <c r="D237">
        <f>RTD("tos.rtd", , "LAST", Main_S[[#This Row],[Symbol]])</f>
        <v>1.41</v>
      </c>
      <c r="E237">
        <v>-0.52</v>
      </c>
      <c r="F237">
        <v>0.69</v>
      </c>
      <c r="G237">
        <v>-0.93</v>
      </c>
      <c r="H237" s="1">
        <f>IF(ISNUMBER(Main_S[[#This Row],[Free CF]]),IF(Main_S[[#This Row],[Free CF]]&lt;&gt;0,Main_S[[#This Row],[Current Price]]/Main_S[[#This Row],[Free CF]],""),"")</f>
        <v>-2.7115384615384612</v>
      </c>
      <c r="I237" s="1">
        <f>IF(ISNUMBER(Main_S[[#This Row],[BVPS]]),IF(Main_S[[#This Row],[BVPS]]&lt;&gt;0,Main_S[[#This Row],[Current Price]]/Main_S[[#This Row],[BVPS]],""),"")</f>
        <v>2.0434782608695654</v>
      </c>
      <c r="J237">
        <v>-83.16</v>
      </c>
      <c r="K237">
        <v>-27.54</v>
      </c>
      <c r="L237">
        <v>1.37</v>
      </c>
      <c r="M237" s="1">
        <f>IF(ISNUMBER(Main_S[[#This Row],[EPS]]),IF(Main_S[[#This Row],[EPS]]&lt;&gt;0,Main_S[[#This Row],[Current Price]]/Main_S[[#This Row],[EPS]],""),"")</f>
        <v>-1.5161290322580643</v>
      </c>
      <c r="N23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7" s="1">
        <f>(Main_S[[#This Row],[P/FCF]]-VLOOKUP(Main_S[[#This Row],[Industry]], Mean_PFCF_S, 2, FALSE))/(VLOOKUP(Main_S[[#This Row],[Industry]], Mean_PFCF_S, 3, FALSE))</f>
        <v>0.19438024446058919</v>
      </c>
      <c r="P237" s="1">
        <f>(Main_S[[#This Row],[P/B]]-VLOOKUP(Main_S[[#This Row],[Industry]], Mean_PB_S, 2, FALSE))/(VLOOKUP(Main_S[[#This Row],[Industry]], Mean_PB_S, 3, FALSE))</f>
        <v>-2.5723770788887389E-2</v>
      </c>
      <c r="Q237" s="1">
        <f>(Main_S[[#This Row],[ROE]]-VLOOKUP(Main_S[[#This Row],[Industry]], Mean_ROE_S, 2, FALSE))/(VLOOKUP(Main_S[[#This Row],[Industry]], Mean_ROE_S, 3, FALSE))</f>
        <v>-1.7332869770828494</v>
      </c>
      <c r="R237" s="1">
        <f>(Main_S[[#This Row],[ROA]]-VLOOKUP(Main_S[[#This Row],[Industry]], Mean_ROA_S, 2, FALSE))/(VLOOKUP(Main_S[[#This Row],[Industry]], Mean_ROA_S, 3, FALSE))</f>
        <v>-1.0210931978178117</v>
      </c>
      <c r="S237" s="1">
        <f>(Main_S[[#This Row],[A/E]]-VLOOKUP(Main_S[[#This Row],[Industry]], Mean_AE_S, 2, FALSE))/(VLOOKUP(Main_S[[#This Row],[Industry]], Mean_AE_S, 3, FALSE))</f>
        <v>-5.9720441380861015E-2</v>
      </c>
      <c r="T237" s="1">
        <f>(Main_S[[#This Row],[P/E]]-VLOOKUP(Main_S[[#This Row],[Industry]], Mean_PE_S, 2, FALSE))/(VLOOKUP(Main_S[[#This Row],[Industry]], Mean_PE_S, 3, FALSE))</f>
        <v>0.49187708046993023</v>
      </c>
      <c r="U23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8" spans="1:26" x14ac:dyDescent="0.25">
      <c r="A238" s="68" t="s">
        <v>173</v>
      </c>
      <c r="B238" s="68" t="s">
        <v>532</v>
      </c>
      <c r="C238" s="2">
        <v>915</v>
      </c>
      <c r="D238">
        <f>RTD("tos.rtd", , "LAST", Main_S[[#This Row],[Symbol]])</f>
        <v>9.0299999999999994</v>
      </c>
      <c r="E238">
        <v>-0.49</v>
      </c>
      <c r="F238">
        <v>0.77</v>
      </c>
      <c r="G238">
        <v>-0.51</v>
      </c>
      <c r="H238" s="1">
        <f>IF(ISNUMBER(Main_S[[#This Row],[Free CF]]),IF(Main_S[[#This Row],[Free CF]]&lt;&gt;0,Main_S[[#This Row],[Current Price]]/Main_S[[#This Row],[Free CF]],""),"")</f>
        <v>-18.428571428571427</v>
      </c>
      <c r="I238" s="1">
        <f>IF(ISNUMBER(Main_S[[#This Row],[BVPS]]),IF(Main_S[[#This Row],[BVPS]]&lt;&gt;0,Main_S[[#This Row],[Current Price]]/Main_S[[#This Row],[BVPS]],""),"")</f>
        <v>11.727272727272727</v>
      </c>
      <c r="J238">
        <v>-60.44</v>
      </c>
      <c r="K238">
        <v>-16.11</v>
      </c>
      <c r="L238">
        <v>2.2200000000000002</v>
      </c>
      <c r="M238" s="1">
        <f>IF(ISNUMBER(Main_S[[#This Row],[EPS]]),IF(Main_S[[#This Row],[EPS]]&lt;&gt;0,Main_S[[#This Row],[Current Price]]/Main_S[[#This Row],[EPS]],""),"")</f>
        <v>-17.705882352941174</v>
      </c>
      <c r="N23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8" s="1">
        <f>(Main_S[[#This Row],[P/FCF]]-VLOOKUP(Main_S[[#This Row],[Industry]], Mean_PFCF_S, 2, FALSE))/(VLOOKUP(Main_S[[#This Row],[Industry]], Mean_PFCF_S, 3, FALSE))</f>
        <v>-1.1652598071824158</v>
      </c>
      <c r="P238" s="1">
        <f>(Main_S[[#This Row],[P/B]]-VLOOKUP(Main_S[[#This Row],[Industry]], Mean_PB_S, 2, FALSE))/(VLOOKUP(Main_S[[#This Row],[Industry]], Mean_PB_S, 3, FALSE))</f>
        <v>4.5385053010516136</v>
      </c>
      <c r="Q238" s="1">
        <f>(Main_S[[#This Row],[ROE]]-VLOOKUP(Main_S[[#This Row],[Industry]], Mean_ROE_S, 2, FALSE))/(VLOOKUP(Main_S[[#This Row],[Industry]], Mean_ROE_S, 3, FALSE))</f>
        <v>-1.1251933712114768</v>
      </c>
      <c r="R238" s="1">
        <f>(Main_S[[#This Row],[ROA]]-VLOOKUP(Main_S[[#This Row],[Industry]], Mean_ROA_S, 2, FALSE))/(VLOOKUP(Main_S[[#This Row],[Industry]], Mean_ROA_S, 3, FALSE))</f>
        <v>-0.31831756979713982</v>
      </c>
      <c r="S238" s="1">
        <f>(Main_S[[#This Row],[A/E]]-VLOOKUP(Main_S[[#This Row],[Industry]], Mean_AE_S, 2, FALSE))/(VLOOKUP(Main_S[[#This Row],[Industry]], Mean_AE_S, 3, FALSE))</f>
        <v>1.9173404864381984</v>
      </c>
      <c r="T238" s="1">
        <f>(Main_S[[#This Row],[P/E]]-VLOOKUP(Main_S[[#This Row],[Industry]], Mean_PE_S, 2, FALSE))/(VLOOKUP(Main_S[[#This Row],[Industry]], Mean_PE_S, 3, FALSE))</f>
        <v>-1.5092159097469322</v>
      </c>
      <c r="U23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3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3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39" spans="1:26" x14ac:dyDescent="0.25">
      <c r="A239" s="68" t="s">
        <v>173</v>
      </c>
      <c r="B239" s="68" t="s">
        <v>533</v>
      </c>
      <c r="C239" s="2">
        <v>1737</v>
      </c>
      <c r="D239">
        <f>RTD("tos.rtd", , "LAST", Main_S[[#This Row],[Symbol]])</f>
        <v>4.67</v>
      </c>
      <c r="E239">
        <v>3.3</v>
      </c>
      <c r="F239">
        <v>-3.2</v>
      </c>
      <c r="G239">
        <v>-0.11</v>
      </c>
      <c r="H239" s="1">
        <f>IF(ISNUMBER(Main_S[[#This Row],[Free CF]]),IF(Main_S[[#This Row],[Free CF]]&lt;&gt;0,Main_S[[#This Row],[Current Price]]/Main_S[[#This Row],[Free CF]],""),"")</f>
        <v>1.4151515151515153</v>
      </c>
      <c r="I239" s="1">
        <f>IF(ISNUMBER(Main_S[[#This Row],[BVPS]]),IF(Main_S[[#This Row],[BVPS]]&lt;&gt;0,Main_S[[#This Row],[Current Price]]/Main_S[[#This Row],[BVPS]],""),"")</f>
        <v>-1.4593749999999999</v>
      </c>
      <c r="J239">
        <v>39.130000000000003</v>
      </c>
      <c r="K239">
        <v>4.3099999999999996</v>
      </c>
      <c r="L239">
        <v>-22.33</v>
      </c>
      <c r="M239" s="1">
        <f>IF(ISNUMBER(Main_S[[#This Row],[EPS]]),IF(Main_S[[#This Row],[EPS]]&lt;&gt;0,Main_S[[#This Row],[Current Price]]/Main_S[[#This Row],[EPS]],""),"")</f>
        <v>-42.454545454545453</v>
      </c>
      <c r="N23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39" s="1">
        <f>(Main_S[[#This Row],[P/FCF]]-VLOOKUP(Main_S[[#This Row],[Industry]], Mean_PFCF_S, 2, FALSE))/(VLOOKUP(Main_S[[#This Row],[Industry]], Mean_PFCF_S, 3, FALSE))</f>
        <v>0.55136956838644147</v>
      </c>
      <c r="P239" s="1">
        <f>(Main_S[[#This Row],[P/B]]-VLOOKUP(Main_S[[#This Row],[Industry]], Mean_PB_S, 2, FALSE))/(VLOOKUP(Main_S[[#This Row],[Industry]], Mean_PB_S, 3, FALSE))</f>
        <v>-1.6767113813913359</v>
      </c>
      <c r="Q239" s="1">
        <f>(Main_S[[#This Row],[ROE]]-VLOOKUP(Main_S[[#This Row],[Industry]], Mean_ROE_S, 2, FALSE))/(VLOOKUP(Main_S[[#This Row],[Industry]], Mean_ROE_S, 3, FALSE))</f>
        <v>1.5397661506464715</v>
      </c>
      <c r="R239" s="1">
        <f>(Main_S[[#This Row],[ROA]]-VLOOKUP(Main_S[[#This Row],[Industry]], Mean_ROA_S, 2, FALSE))/(VLOOKUP(Main_S[[#This Row],[Industry]], Mean_ROA_S, 3, FALSE))</f>
        <v>0.9372098426422405</v>
      </c>
      <c r="S239" s="1">
        <f>(Main_S[[#This Row],[A/E]]-VLOOKUP(Main_S[[#This Row],[Industry]], Mean_AE_S, 2, FALSE))/(VLOOKUP(Main_S[[#This Row],[Industry]], Mean_AE_S, 3, FALSE))</f>
        <v>-55.184831017041688</v>
      </c>
      <c r="T239" s="1">
        <f>(Main_S[[#This Row],[P/E]]-VLOOKUP(Main_S[[#This Row],[Industry]], Mean_PE_S, 2, FALSE))/(VLOOKUP(Main_S[[#This Row],[Industry]], Mean_PE_S, 3, FALSE))</f>
        <v>-4.5682110203512121</v>
      </c>
      <c r="U23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3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3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3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3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3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0" spans="1:26" x14ac:dyDescent="0.25">
      <c r="A240" s="68" t="s">
        <v>173</v>
      </c>
      <c r="B240" s="68" t="s">
        <v>534</v>
      </c>
      <c r="C240" s="2">
        <v>1980</v>
      </c>
      <c r="D240">
        <f>RTD("tos.rtd", , "LAST", Main_S[[#This Row],[Symbol]])</f>
        <v>60.89</v>
      </c>
      <c r="E240">
        <v>-0.96</v>
      </c>
      <c r="F240">
        <v>4.58</v>
      </c>
      <c r="G240">
        <v>-1.18</v>
      </c>
      <c r="H240" s="1">
        <f>IF(ISNUMBER(Main_S[[#This Row],[Free CF]]),IF(Main_S[[#This Row],[Free CF]]&lt;&gt;0,Main_S[[#This Row],[Current Price]]/Main_S[[#This Row],[Free CF]],""),"")</f>
        <v>-63.427083333333336</v>
      </c>
      <c r="I240" s="1">
        <f>IF(ISNUMBER(Main_S[[#This Row],[BVPS]]),IF(Main_S[[#This Row],[BVPS]]&lt;&gt;0,Main_S[[#This Row],[Current Price]]/Main_S[[#This Row],[BVPS]],""),"")</f>
        <v>13.29475982532751</v>
      </c>
      <c r="J240">
        <v>-30.6</v>
      </c>
      <c r="K240">
        <v>-20.260000000000002</v>
      </c>
      <c r="L240">
        <v>1.04</v>
      </c>
      <c r="M240" s="1">
        <f>IF(ISNUMBER(Main_S[[#This Row],[EPS]]),IF(Main_S[[#This Row],[EPS]]&lt;&gt;0,Main_S[[#This Row],[Current Price]]/Main_S[[#This Row],[EPS]],""),"")</f>
        <v>-51.601694915254242</v>
      </c>
      <c r="N24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0" s="1">
        <f>(Main_S[[#This Row],[P/FCF]]-VLOOKUP(Main_S[[#This Row],[Industry]], Mean_PFCF_S, 2, FALSE))/(VLOOKUP(Main_S[[#This Row],[Industry]], Mean_PFCF_S, 3, FALSE))</f>
        <v>-5.0579652038294673</v>
      </c>
      <c r="P240" s="1">
        <f>(Main_S[[#This Row],[P/B]]-VLOOKUP(Main_S[[#This Row],[Industry]], Mean_PB_S, 2, FALSE))/(VLOOKUP(Main_S[[#This Row],[Industry]], Mean_PB_S, 3, FALSE))</f>
        <v>5.2773035280790284</v>
      </c>
      <c r="Q240" s="1">
        <f>(Main_S[[#This Row],[ROE]]-VLOOKUP(Main_S[[#This Row],[Industry]], Mean_ROE_S, 2, FALSE))/(VLOOKUP(Main_S[[#This Row],[Industry]], Mean_ROE_S, 3, FALSE))</f>
        <v>-0.32653521983815981</v>
      </c>
      <c r="R240" s="1">
        <f>(Main_S[[#This Row],[ROA]]-VLOOKUP(Main_S[[#This Row],[Industry]], Mean_ROA_S, 2, FALSE))/(VLOOKUP(Main_S[[#This Row],[Industry]], Mean_ROA_S, 3, FALSE))</f>
        <v>-0.57348107428408546</v>
      </c>
      <c r="S240" s="1">
        <f>(Main_S[[#This Row],[A/E]]-VLOOKUP(Main_S[[#This Row],[Industry]], Mean_AE_S, 2, FALSE))/(VLOOKUP(Main_S[[#This Row],[Industry]], Mean_AE_S, 3, FALSE))</f>
        <v>-0.82728527218120185</v>
      </c>
      <c r="T240" s="1">
        <f>(Main_S[[#This Row],[P/E]]-VLOOKUP(Main_S[[#This Row],[Industry]], Mean_PE_S, 2, FALSE))/(VLOOKUP(Main_S[[#This Row],[Industry]], Mean_PE_S, 3, FALSE))</f>
        <v>-5.6988209996216055</v>
      </c>
      <c r="U24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4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1" spans="1:26" x14ac:dyDescent="0.25">
      <c r="A241" s="68" t="s">
        <v>173</v>
      </c>
      <c r="B241" s="68" t="s">
        <v>535</v>
      </c>
      <c r="C241" s="2">
        <v>869</v>
      </c>
      <c r="D241">
        <f>RTD("tos.rtd", , "LAST", Main_S[[#This Row],[Symbol]])</f>
        <v>29.8</v>
      </c>
      <c r="E241">
        <v>6.3</v>
      </c>
      <c r="F241">
        <v>7.28</v>
      </c>
      <c r="G241">
        <v>1.86</v>
      </c>
      <c r="H241" s="1">
        <f>IF(ISNUMBER(Main_S[[#This Row],[Free CF]]),IF(Main_S[[#This Row],[Free CF]]&lt;&gt;0,Main_S[[#This Row],[Current Price]]/Main_S[[#This Row],[Free CF]],""),"")</f>
        <v>4.7301587301587302</v>
      </c>
      <c r="I241" s="1">
        <f>IF(ISNUMBER(Main_S[[#This Row],[BVPS]]),IF(Main_S[[#This Row],[BVPS]]&lt;&gt;0,Main_S[[#This Row],[Current Price]]/Main_S[[#This Row],[BVPS]],""),"")</f>
        <v>4.0934065934065931</v>
      </c>
      <c r="J241">
        <v>32.619999999999997</v>
      </c>
      <c r="K241">
        <v>8.89</v>
      </c>
      <c r="L241">
        <v>7.27</v>
      </c>
      <c r="M241" s="1">
        <f>IF(ISNUMBER(Main_S[[#This Row],[EPS]]),IF(Main_S[[#This Row],[EPS]]&lt;&gt;0,Main_S[[#This Row],[Current Price]]/Main_S[[#This Row],[EPS]],""),"")</f>
        <v>16.021505376344084</v>
      </c>
      <c r="N24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1" s="1">
        <f>(Main_S[[#This Row],[P/FCF]]-VLOOKUP(Main_S[[#This Row],[Industry]], Mean_PFCF_S, 2, FALSE))/(VLOOKUP(Main_S[[#This Row],[Industry]], Mean_PFCF_S, 3, FALSE))</f>
        <v>0.83814230662930134</v>
      </c>
      <c r="P241" s="1">
        <f>(Main_S[[#This Row],[P/B]]-VLOOKUP(Main_S[[#This Row],[Industry]], Mean_PB_S, 2, FALSE))/(VLOOKUP(Main_S[[#This Row],[Industry]], Mean_PB_S, 3, FALSE))</f>
        <v>0.94046180068475382</v>
      </c>
      <c r="Q241" s="1">
        <f>(Main_S[[#This Row],[ROE]]-VLOOKUP(Main_S[[#This Row],[Industry]], Mean_ROE_S, 2, FALSE))/(VLOOKUP(Main_S[[#This Row],[Industry]], Mean_ROE_S, 3, FALSE))</f>
        <v>1.365528061992306</v>
      </c>
      <c r="R241" s="1">
        <f>(Main_S[[#This Row],[ROA]]-VLOOKUP(Main_S[[#This Row],[Industry]], Mean_ROA_S, 2, FALSE))/(VLOOKUP(Main_S[[#This Row],[Industry]], Mean_ROA_S, 3, FALSE))</f>
        <v>1.2188119753049418</v>
      </c>
      <c r="S241" s="1">
        <f>(Main_S[[#This Row],[A/E]]-VLOOKUP(Main_S[[#This Row],[Industry]], Mean_AE_S, 2, FALSE))/(VLOOKUP(Main_S[[#This Row],[Industry]], Mean_AE_S, 3, FALSE))</f>
        <v>13.663408351716138</v>
      </c>
      <c r="T241" s="1">
        <f>(Main_S[[#This Row],[P/E]]-VLOOKUP(Main_S[[#This Row],[Industry]], Mean_PE_S, 2, FALSE))/(VLOOKUP(Main_S[[#This Row],[Industry]], Mean_PE_S, 3, FALSE))</f>
        <v>2.6595714600504485</v>
      </c>
      <c r="U24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2" spans="1:26" x14ac:dyDescent="0.25">
      <c r="A242" s="68" t="s">
        <v>173</v>
      </c>
      <c r="B242" s="68" t="s">
        <v>536</v>
      </c>
      <c r="C242" s="2">
        <v>792</v>
      </c>
      <c r="D242">
        <f>RTD("tos.rtd", , "LAST", Main_S[[#This Row],[Symbol]])</f>
        <v>11.63</v>
      </c>
      <c r="E242">
        <v>-0.86</v>
      </c>
      <c r="F242">
        <v>1.31</v>
      </c>
      <c r="G242">
        <v>-0.3</v>
      </c>
      <c r="H242" s="1">
        <f>IF(ISNUMBER(Main_S[[#This Row],[Free CF]]),IF(Main_S[[#This Row],[Free CF]]&lt;&gt;0,Main_S[[#This Row],[Current Price]]/Main_S[[#This Row],[Free CF]],""),"")</f>
        <v>-13.52325581395349</v>
      </c>
      <c r="I242" s="1">
        <f>IF(ISNUMBER(Main_S[[#This Row],[BVPS]]),IF(Main_S[[#This Row],[BVPS]]&lt;&gt;0,Main_S[[#This Row],[Current Price]]/Main_S[[#This Row],[BVPS]],""),"")</f>
        <v>8.8778625954198471</v>
      </c>
      <c r="J242">
        <v>-23.16</v>
      </c>
      <c r="K242">
        <v>-13.91</v>
      </c>
      <c r="L242">
        <v>1.4</v>
      </c>
      <c r="M242" s="1">
        <f>IF(ISNUMBER(Main_S[[#This Row],[EPS]]),IF(Main_S[[#This Row],[EPS]]&lt;&gt;0,Main_S[[#This Row],[Current Price]]/Main_S[[#This Row],[EPS]],""),"")</f>
        <v>-38.766666666666673</v>
      </c>
      <c r="N24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2" s="1">
        <f>(Main_S[[#This Row],[P/FCF]]-VLOOKUP(Main_S[[#This Row],[Industry]], Mean_PFCF_S, 2, FALSE))/(VLOOKUP(Main_S[[#This Row],[Industry]], Mean_PFCF_S, 3, FALSE))</f>
        <v>-0.7409135842296608</v>
      </c>
      <c r="P242" s="1">
        <f>(Main_S[[#This Row],[P/B]]-VLOOKUP(Main_S[[#This Row],[Industry]], Mean_PB_S, 2, FALSE))/(VLOOKUP(Main_S[[#This Row],[Industry]], Mean_PB_S, 3, FALSE))</f>
        <v>3.1955027614458391</v>
      </c>
      <c r="Q242" s="1">
        <f>(Main_S[[#This Row],[ROE]]-VLOOKUP(Main_S[[#This Row],[Industry]], Mean_ROE_S, 2, FALSE))/(VLOOKUP(Main_S[[#This Row],[Industry]], Mean_ROE_S, 3, FALSE))</f>
        <v>-0.12740597566197079</v>
      </c>
      <c r="R242" s="1">
        <f>(Main_S[[#This Row],[ROA]]-VLOOKUP(Main_S[[#This Row],[Industry]], Mean_ROA_S, 2, FALSE))/(VLOOKUP(Main_S[[#This Row],[Industry]], Mean_ROA_S, 3, FALSE))</f>
        <v>-0.18305016982815667</v>
      </c>
      <c r="S242" s="1">
        <f>(Main_S[[#This Row],[A/E]]-VLOOKUP(Main_S[[#This Row],[Industry]], Mean_AE_S, 2, FALSE))/(VLOOKUP(Main_S[[#This Row],[Industry]], Mean_AE_S, 3, FALSE))</f>
        <v>1.0058179600987678E-2</v>
      </c>
      <c r="T242" s="1">
        <f>(Main_S[[#This Row],[P/E]]-VLOOKUP(Main_S[[#This Row],[Industry]], Mean_PE_S, 2, FALSE))/(VLOOKUP(Main_S[[#This Row],[Industry]], Mean_PE_S, 3, FALSE))</f>
        <v>-4.1123802090339279</v>
      </c>
      <c r="U24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3" spans="1:26" x14ac:dyDescent="0.25">
      <c r="A243" s="68" t="s">
        <v>173</v>
      </c>
      <c r="B243" s="68" t="s">
        <v>537</v>
      </c>
      <c r="C243" s="2">
        <v>708</v>
      </c>
      <c r="D243">
        <f>RTD("tos.rtd", , "LAST", Main_S[[#This Row],[Symbol]])</f>
        <v>2.04</v>
      </c>
      <c r="E243">
        <v>0.01</v>
      </c>
      <c r="F243">
        <v>2.78</v>
      </c>
      <c r="G243">
        <v>0.11</v>
      </c>
      <c r="H243" s="1">
        <f>IF(ISNUMBER(Main_S[[#This Row],[Free CF]]),IF(Main_S[[#This Row],[Free CF]]&lt;&gt;0,Main_S[[#This Row],[Current Price]]/Main_S[[#This Row],[Free CF]],""),"")</f>
        <v>204</v>
      </c>
      <c r="I243" s="1">
        <f>IF(ISNUMBER(Main_S[[#This Row],[BVPS]]),IF(Main_S[[#This Row],[BVPS]]&lt;&gt;0,Main_S[[#This Row],[Current Price]]/Main_S[[#This Row],[BVPS]],""),"")</f>
        <v>0.73381294964028787</v>
      </c>
      <c r="J243">
        <v>3.63</v>
      </c>
      <c r="K243">
        <v>-2.94</v>
      </c>
      <c r="L243">
        <v>1.1000000000000001</v>
      </c>
      <c r="M243" s="1">
        <f>IF(ISNUMBER(Main_S[[#This Row],[EPS]]),IF(Main_S[[#This Row],[EPS]]&lt;&gt;0,Main_S[[#This Row],[Current Price]]/Main_S[[#This Row],[EPS]],""),"")</f>
        <v>18.545454545454547</v>
      </c>
      <c r="N24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3" s="1">
        <f>(Main_S[[#This Row],[P/FCF]]-VLOOKUP(Main_S[[#This Row],[Industry]], Mean_PFCF_S, 2, FALSE))/(VLOOKUP(Main_S[[#This Row],[Industry]], Mean_PFCF_S, 3, FALSE))</f>
        <v>18.076463168035946</v>
      </c>
      <c r="P243" s="1">
        <f>(Main_S[[#This Row],[P/B]]-VLOOKUP(Main_S[[#This Row],[Industry]], Mean_PB_S, 2, FALSE))/(VLOOKUP(Main_S[[#This Row],[Industry]], Mean_PB_S, 3, FALSE))</f>
        <v>-0.64300375423260481</v>
      </c>
      <c r="Q243" s="1">
        <f>(Main_S[[#This Row],[ROE]]-VLOOKUP(Main_S[[#This Row],[Industry]], Mean_ROE_S, 2, FALSE))/(VLOOKUP(Main_S[[#This Row],[Industry]], Mean_ROE_S, 3, FALSE))</f>
        <v>0.58961989147245153</v>
      </c>
      <c r="R243" s="1">
        <f>(Main_S[[#This Row],[ROA]]-VLOOKUP(Main_S[[#This Row],[Industry]], Mean_ROA_S, 2, FALSE))/(VLOOKUP(Main_S[[#This Row],[Industry]], Mean_ROA_S, 3, FALSE))</f>
        <v>0.49144227456263684</v>
      </c>
      <c r="S243" s="1">
        <f>(Main_S[[#This Row],[A/E]]-VLOOKUP(Main_S[[#This Row],[Industry]], Mean_AE_S, 2, FALSE))/(VLOOKUP(Main_S[[#This Row],[Industry]], Mean_AE_S, 3, FALSE))</f>
        <v>-0.68772803021750339</v>
      </c>
      <c r="T243" s="1">
        <f>(Main_S[[#This Row],[P/E]]-VLOOKUP(Main_S[[#This Row],[Industry]], Mean_PE_S, 2, FALSE))/(VLOOKUP(Main_S[[#This Row],[Industry]], Mean_PE_S, 3, FALSE))</f>
        <v>2.9715377321688874</v>
      </c>
      <c r="U24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4" spans="1:26" x14ac:dyDescent="0.25">
      <c r="A244" s="68" t="s">
        <v>173</v>
      </c>
      <c r="B244" s="68" t="s">
        <v>538</v>
      </c>
      <c r="C244" s="2">
        <v>896</v>
      </c>
      <c r="D244">
        <f>RTD("tos.rtd", , "LAST", Main_S[[#This Row],[Symbol]])</f>
        <v>20.03</v>
      </c>
      <c r="E244">
        <v>-1.56</v>
      </c>
      <c r="F244">
        <v>6.33</v>
      </c>
      <c r="G244">
        <v>-1.89</v>
      </c>
      <c r="H244" s="1">
        <f>IF(ISNUMBER(Main_S[[#This Row],[Free CF]]),IF(Main_S[[#This Row],[Free CF]]&lt;&gt;0,Main_S[[#This Row],[Current Price]]/Main_S[[#This Row],[Free CF]],""),"")</f>
        <v>-12.839743589743589</v>
      </c>
      <c r="I244" s="1">
        <f>IF(ISNUMBER(Main_S[[#This Row],[BVPS]]),IF(Main_S[[#This Row],[BVPS]]&lt;&gt;0,Main_S[[#This Row],[Current Price]]/Main_S[[#This Row],[BVPS]],""),"")</f>
        <v>3.1642969984202214</v>
      </c>
      <c r="J244">
        <v>-32.04</v>
      </c>
      <c r="K244">
        <v>-21.87</v>
      </c>
      <c r="L244">
        <v>1.05</v>
      </c>
      <c r="M244" s="1">
        <f>IF(ISNUMBER(Main_S[[#This Row],[EPS]]),IF(Main_S[[#This Row],[EPS]]&lt;&gt;0,Main_S[[#This Row],[Current Price]]/Main_S[[#This Row],[EPS]],""),"")</f>
        <v>-10.5978835978836</v>
      </c>
      <c r="N24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4" s="1">
        <f>(Main_S[[#This Row],[P/FCF]]-VLOOKUP(Main_S[[#This Row],[Industry]], Mean_PFCF_S, 2, FALSE))/(VLOOKUP(Main_S[[#This Row],[Industry]], Mean_PFCF_S, 3, FALSE))</f>
        <v>-0.68178470171266936</v>
      </c>
      <c r="P244" s="1">
        <f>(Main_S[[#This Row],[P/B]]-VLOOKUP(Main_S[[#This Row],[Industry]], Mean_PB_S, 2, FALSE))/(VLOOKUP(Main_S[[#This Row],[Industry]], Mean_PB_S, 3, FALSE))</f>
        <v>0.50254781571994722</v>
      </c>
      <c r="Q244" s="1">
        <f>(Main_S[[#This Row],[ROE]]-VLOOKUP(Main_S[[#This Row],[Industry]], Mean_ROE_S, 2, FALSE))/(VLOOKUP(Main_S[[#This Row],[Industry]], Mean_ROE_S, 3, FALSE))</f>
        <v>-0.36507636387226083</v>
      </c>
      <c r="R244" s="1">
        <f>(Main_S[[#This Row],[ROA]]-VLOOKUP(Main_S[[#This Row],[Industry]], Mean_ROA_S, 2, FALSE))/(VLOOKUP(Main_S[[#This Row],[Industry]], Mean_ROA_S, 3, FALSE))</f>
        <v>-0.67247221698865955</v>
      </c>
      <c r="S244" s="1">
        <f>(Main_S[[#This Row],[A/E]]-VLOOKUP(Main_S[[#This Row],[Industry]], Mean_AE_S, 2, FALSE))/(VLOOKUP(Main_S[[#This Row],[Industry]], Mean_AE_S, 3, FALSE))</f>
        <v>-0.80402573185391868</v>
      </c>
      <c r="T244" s="1">
        <f>(Main_S[[#This Row],[P/E]]-VLOOKUP(Main_S[[#This Row],[Industry]], Mean_PE_S, 2, FALSE))/(VLOOKUP(Main_S[[#This Row],[Industry]], Mean_PE_S, 3, FALSE))</f>
        <v>-0.63064993029841154</v>
      </c>
      <c r="U24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5" spans="1:26" x14ac:dyDescent="0.25">
      <c r="A245" s="68" t="s">
        <v>173</v>
      </c>
      <c r="B245" s="68" t="s">
        <v>539</v>
      </c>
      <c r="C245" s="2">
        <v>748</v>
      </c>
      <c r="D245">
        <f>RTD("tos.rtd", , "LAST", Main_S[[#This Row],[Symbol]])</f>
        <v>10.130000000000001</v>
      </c>
      <c r="E245">
        <v>-0.37</v>
      </c>
      <c r="F245">
        <v>0.09</v>
      </c>
      <c r="G245">
        <v>-0.81</v>
      </c>
      <c r="H245" s="1">
        <f>IF(ISNUMBER(Main_S[[#This Row],[Free CF]]),IF(Main_S[[#This Row],[Free CF]]&lt;&gt;0,Main_S[[#This Row],[Current Price]]/Main_S[[#This Row],[Free CF]],""),"")</f>
        <v>-27.378378378378383</v>
      </c>
      <c r="I245" s="1">
        <f>IF(ISNUMBER(Main_S[[#This Row],[BVPS]]),IF(Main_S[[#This Row],[BVPS]]&lt;&gt;0,Main_S[[#This Row],[Current Price]]/Main_S[[#This Row],[BVPS]],""),"")</f>
        <v>112.55555555555557</v>
      </c>
      <c r="J245">
        <v>664.86</v>
      </c>
      <c r="K245">
        <v>-8.08</v>
      </c>
      <c r="L245">
        <v>42.12</v>
      </c>
      <c r="M245" s="1">
        <f>IF(ISNUMBER(Main_S[[#This Row],[EPS]]),IF(Main_S[[#This Row],[EPS]]&lt;&gt;0,Main_S[[#This Row],[Current Price]]/Main_S[[#This Row],[EPS]],""),"")</f>
        <v>-12.506172839506172</v>
      </c>
      <c r="N24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5" s="1">
        <f>(Main_S[[#This Row],[P/FCF]]-VLOOKUP(Main_S[[#This Row],[Industry]], Mean_PFCF_S, 2, FALSE))/(VLOOKUP(Main_S[[#This Row],[Industry]], Mean_PFCF_S, 3, FALSE))</f>
        <v>-1.9394845612409168</v>
      </c>
      <c r="P245" s="1">
        <f>(Main_S[[#This Row],[P/B]]-VLOOKUP(Main_S[[#This Row],[Industry]], Mean_PB_S, 2, FALSE))/(VLOOKUP(Main_S[[#This Row],[Industry]], Mean_PB_S, 3, FALSE))</f>
        <v>52.061548189376943</v>
      </c>
      <c r="Q245" s="1">
        <f>(Main_S[[#This Row],[ROE]]-VLOOKUP(Main_S[[#This Row],[Industry]], Mean_ROE_S, 2, FALSE))/(VLOOKUP(Main_S[[#This Row],[Industry]], Mean_ROE_S, 3, FALSE))</f>
        <v>18.287231467631248</v>
      </c>
      <c r="R245" s="1">
        <f>(Main_S[[#This Row],[ROA]]-VLOOKUP(Main_S[[#This Row],[Industry]], Mean_ROA_S, 2, FALSE))/(VLOOKUP(Main_S[[#This Row],[Industry]], Mean_ROA_S, 3, FALSE))</f>
        <v>0.17540844008964879</v>
      </c>
      <c r="S245" s="1">
        <f>(Main_S[[#This Row],[A/E]]-VLOOKUP(Main_S[[#This Row],[Industry]], Mean_AE_S, 2, FALSE))/(VLOOKUP(Main_S[[#This Row],[Industry]], Mean_AE_S, 3, FALSE))</f>
        <v>94.72290639229756</v>
      </c>
      <c r="T245" s="1">
        <f>(Main_S[[#This Row],[P/E]]-VLOOKUP(Main_S[[#This Row],[Industry]], Mean_PE_S, 2, FALSE))/(VLOOKUP(Main_S[[#This Row],[Industry]], Mean_PE_S, 3, FALSE))</f>
        <v>-0.86651913405203973</v>
      </c>
      <c r="U24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4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4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6" spans="1:26" x14ac:dyDescent="0.25">
      <c r="A246" s="68" t="s">
        <v>173</v>
      </c>
      <c r="B246" s="68" t="s">
        <v>540</v>
      </c>
      <c r="C246" s="2">
        <v>462</v>
      </c>
      <c r="D246">
        <f>RTD("tos.rtd", , "LAST", Main_S[[#This Row],[Symbol]])</f>
        <v>17.07</v>
      </c>
      <c r="E246">
        <v>-0.35</v>
      </c>
      <c r="F246">
        <v>0.91</v>
      </c>
      <c r="G246">
        <v>-0.15</v>
      </c>
      <c r="H246" s="1">
        <f>IF(ISNUMBER(Main_S[[#This Row],[Free CF]]),IF(Main_S[[#This Row],[Free CF]]&lt;&gt;0,Main_S[[#This Row],[Current Price]]/Main_S[[#This Row],[Free CF]],""),"")</f>
        <v>-48.771428571428572</v>
      </c>
      <c r="I246" s="1">
        <f>IF(ISNUMBER(Main_S[[#This Row],[BVPS]]),IF(Main_S[[#This Row],[BVPS]]&lt;&gt;0,Main_S[[#This Row],[Current Price]]/Main_S[[#This Row],[BVPS]],""),"")</f>
        <v>18.758241758241759</v>
      </c>
      <c r="J246">
        <v>-19.16</v>
      </c>
      <c r="K246">
        <v>-2.5299999999999998</v>
      </c>
      <c r="L246">
        <v>3.12</v>
      </c>
      <c r="M246" s="1">
        <f>IF(ISNUMBER(Main_S[[#This Row],[EPS]]),IF(Main_S[[#This Row],[EPS]]&lt;&gt;0,Main_S[[#This Row],[Current Price]]/Main_S[[#This Row],[EPS]],""),"")</f>
        <v>-113.80000000000001</v>
      </c>
      <c r="N24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6" s="1">
        <f>(Main_S[[#This Row],[P/FCF]]-VLOOKUP(Main_S[[#This Row],[Industry]], Mean_PFCF_S, 2, FALSE))/(VLOOKUP(Main_S[[#This Row],[Industry]], Mean_PFCF_S, 3, FALSE))</f>
        <v>-3.7901422477324358</v>
      </c>
      <c r="P246" s="1">
        <f>(Main_S[[#This Row],[P/B]]-VLOOKUP(Main_S[[#This Row],[Industry]], Mean_PB_S, 2, FALSE))/(VLOOKUP(Main_S[[#This Row],[Industry]], Mean_PB_S, 3, FALSE))</f>
        <v>7.8523874126242044</v>
      </c>
      <c r="Q246" s="1">
        <f>(Main_S[[#This Row],[ROE]]-VLOOKUP(Main_S[[#This Row],[Industry]], Mean_ROE_S, 2, FALSE))/(VLOOKUP(Main_S[[#This Row],[Industry]], Mean_ROE_S, 3, FALSE))</f>
        <v>-2.0347242233912214E-2</v>
      </c>
      <c r="R246" s="1">
        <f>(Main_S[[#This Row],[ROA]]-VLOOKUP(Main_S[[#This Row],[Industry]], Mean_ROA_S, 2, FALSE))/(VLOOKUP(Main_S[[#This Row],[Industry]], Mean_ROA_S, 3, FALSE))</f>
        <v>0.51665119910231094</v>
      </c>
      <c r="S246" s="1">
        <f>(Main_S[[#This Row],[A/E]]-VLOOKUP(Main_S[[#This Row],[Industry]], Mean_AE_S, 2, FALSE))/(VLOOKUP(Main_S[[#This Row],[Industry]], Mean_AE_S, 3, FALSE))</f>
        <v>4.0106991158936722</v>
      </c>
      <c r="T246" s="1">
        <f>(Main_S[[#This Row],[P/E]]-VLOOKUP(Main_S[[#This Row],[Industry]], Mean_PE_S, 2, FALSE))/(VLOOKUP(Main_S[[#This Row],[Industry]], Mean_PE_S, 3, FALSE))</f>
        <v>-13.386683182762205</v>
      </c>
      <c r="U24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4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4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7" spans="1:26" x14ac:dyDescent="0.25">
      <c r="A247" s="68" t="s">
        <v>173</v>
      </c>
      <c r="B247" s="68" t="s">
        <v>541</v>
      </c>
      <c r="C247" s="2">
        <v>1527</v>
      </c>
      <c r="D247">
        <f>RTD("tos.rtd", , "LAST", Main_S[[#This Row],[Symbol]])</f>
        <v>14.89</v>
      </c>
      <c r="E247">
        <v>-1.19</v>
      </c>
      <c r="F247">
        <v>4.84</v>
      </c>
      <c r="G247">
        <v>-1.45</v>
      </c>
      <c r="H247" s="1">
        <f>IF(ISNUMBER(Main_S[[#This Row],[Free CF]]),IF(Main_S[[#This Row],[Free CF]]&lt;&gt;0,Main_S[[#This Row],[Current Price]]/Main_S[[#This Row],[Free CF]],""),"")</f>
        <v>-12.512605042016808</v>
      </c>
      <c r="I247" s="1">
        <f>IF(ISNUMBER(Main_S[[#This Row],[BVPS]]),IF(Main_S[[#This Row],[BVPS]]&lt;&gt;0,Main_S[[#This Row],[Current Price]]/Main_S[[#This Row],[BVPS]],""),"")</f>
        <v>3.0764462809917359</v>
      </c>
      <c r="J247">
        <v>-34.4</v>
      </c>
      <c r="K247">
        <v>-24.01</v>
      </c>
      <c r="L247">
        <v>1.06</v>
      </c>
      <c r="M247" s="1">
        <f>IF(ISNUMBER(Main_S[[#This Row],[EPS]]),IF(Main_S[[#This Row],[EPS]]&lt;&gt;0,Main_S[[#This Row],[Current Price]]/Main_S[[#This Row],[EPS]],""),"")</f>
        <v>-10.26896551724138</v>
      </c>
      <c r="N24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7" s="1">
        <f>(Main_S[[#This Row],[P/FCF]]-VLOOKUP(Main_S[[#This Row],[Industry]], Mean_PFCF_S, 2, FALSE))/(VLOOKUP(Main_S[[#This Row],[Industry]], Mean_PFCF_S, 3, FALSE))</f>
        <v>-0.65348478830925394</v>
      </c>
      <c r="P247" s="1">
        <f>(Main_S[[#This Row],[P/B]]-VLOOKUP(Main_S[[#This Row],[Industry]], Mean_PB_S, 2, FALSE))/(VLOOKUP(Main_S[[#This Row],[Industry]], Mean_PB_S, 3, FALSE))</f>
        <v>0.46114144346986891</v>
      </c>
      <c r="Q247" s="1">
        <f>(Main_S[[#This Row],[ROE]]-VLOOKUP(Main_S[[#This Row],[Industry]], Mean_ROE_S, 2, FALSE))/(VLOOKUP(Main_S[[#This Row],[Industry]], Mean_ROE_S, 3, FALSE))</f>
        <v>-0.42824101659481539</v>
      </c>
      <c r="R247" s="1">
        <f>(Main_S[[#This Row],[ROA]]-VLOOKUP(Main_S[[#This Row],[Industry]], Mean_ROA_S, 2, FALSE))/(VLOOKUP(Main_S[[#This Row],[Industry]], Mean_ROA_S, 3, FALSE))</f>
        <v>-0.80405050604939776</v>
      </c>
      <c r="S247" s="1">
        <f>(Main_S[[#This Row],[A/E]]-VLOOKUP(Main_S[[#This Row],[Industry]], Mean_AE_S, 2, FALSE))/(VLOOKUP(Main_S[[#This Row],[Industry]], Mean_AE_S, 3, FALSE))</f>
        <v>-0.78076619152663562</v>
      </c>
      <c r="T247" s="1">
        <f>(Main_S[[#This Row],[P/E]]-VLOOKUP(Main_S[[#This Row],[Industry]], Mean_PE_S, 2, FALSE))/(VLOOKUP(Main_S[[#This Row],[Industry]], Mean_PE_S, 3, FALSE))</f>
        <v>-0.58999485344261682</v>
      </c>
      <c r="U24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48" spans="1:26" x14ac:dyDescent="0.25">
      <c r="A248" s="68" t="s">
        <v>173</v>
      </c>
      <c r="B248" s="68" t="s">
        <v>542</v>
      </c>
      <c r="C248" s="2">
        <v>274</v>
      </c>
      <c r="D248">
        <f>RTD("tos.rtd", , "LAST", Main_S[[#This Row],[Symbol]])</f>
        <v>5.79</v>
      </c>
      <c r="E248">
        <v>0.12</v>
      </c>
      <c r="F248">
        <v>4.2300000000000004</v>
      </c>
      <c r="G248">
        <v>-0.01</v>
      </c>
      <c r="H248" s="1">
        <f>IF(ISNUMBER(Main_S[[#This Row],[Free CF]]),IF(Main_S[[#This Row],[Free CF]]&lt;&gt;0,Main_S[[#This Row],[Current Price]]/Main_S[[#This Row],[Free CF]],""),"")</f>
        <v>48.25</v>
      </c>
      <c r="I248" s="1">
        <f>IF(ISNUMBER(Main_S[[#This Row],[BVPS]]),IF(Main_S[[#This Row],[BVPS]]&lt;&gt;0,Main_S[[#This Row],[Current Price]]/Main_S[[#This Row],[BVPS]],""),"")</f>
        <v>1.3687943262411346</v>
      </c>
      <c r="J248">
        <v>-0.23</v>
      </c>
      <c r="K248">
        <v>-2.74</v>
      </c>
      <c r="L248">
        <v>1.06</v>
      </c>
      <c r="M248" s="1">
        <f>IF(ISNUMBER(Main_S[[#This Row],[EPS]]),IF(Main_S[[#This Row],[EPS]]&lt;&gt;0,Main_S[[#This Row],[Current Price]]/Main_S[[#This Row],[EPS]],""),"")</f>
        <v>-579</v>
      </c>
      <c r="N24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8" s="1">
        <f>(Main_S[[#This Row],[P/FCF]]-VLOOKUP(Main_S[[#This Row],[Industry]], Mean_PFCF_S, 2, FALSE))/(VLOOKUP(Main_S[[#This Row],[Industry]], Mean_PFCF_S, 3, FALSE))</f>
        <v>4.6029317141298325</v>
      </c>
      <c r="P248" s="1">
        <f>(Main_S[[#This Row],[P/B]]-VLOOKUP(Main_S[[#This Row],[Industry]], Mean_PB_S, 2, FALSE))/(VLOOKUP(Main_S[[#This Row],[Industry]], Mean_PB_S, 3, FALSE))</f>
        <v>-0.34372019661334019</v>
      </c>
      <c r="Q248" s="1">
        <f>(Main_S[[#This Row],[ROE]]-VLOOKUP(Main_S[[#This Row],[Industry]], Mean_ROE_S, 2, FALSE))/(VLOOKUP(Main_S[[#This Row],[Industry]], Mean_ROE_S, 3, FALSE))</f>
        <v>0.48630821371437505</v>
      </c>
      <c r="R248" s="1">
        <f>(Main_S[[#This Row],[ROA]]-VLOOKUP(Main_S[[#This Row],[Industry]], Mean_ROA_S, 2, FALSE))/(VLOOKUP(Main_S[[#This Row],[Industry]], Mean_ROA_S, 3, FALSE))</f>
        <v>0.50373931092345348</v>
      </c>
      <c r="S248" s="1">
        <f>(Main_S[[#This Row],[A/E]]-VLOOKUP(Main_S[[#This Row],[Industry]], Mean_AE_S, 2, FALSE))/(VLOOKUP(Main_S[[#This Row],[Industry]], Mean_AE_S, 3, FALSE))</f>
        <v>-0.78076619152663562</v>
      </c>
      <c r="T248" s="1">
        <f>(Main_S[[#This Row],[P/E]]-VLOOKUP(Main_S[[#This Row],[Industry]], Mean_PE_S, 2, FALSE))/(VLOOKUP(Main_S[[#This Row],[Industry]], Mean_PE_S, 3, FALSE))</f>
        <v>-70.886537603620411</v>
      </c>
      <c r="U24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4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49" spans="1:26" x14ac:dyDescent="0.25">
      <c r="A249" s="68" t="s">
        <v>173</v>
      </c>
      <c r="B249" s="68" t="s">
        <v>543</v>
      </c>
      <c r="C249" s="2">
        <v>637</v>
      </c>
      <c r="D249">
        <f>RTD("tos.rtd", , "LAST", Main_S[[#This Row],[Symbol]])</f>
        <v>10.06</v>
      </c>
      <c r="E249">
        <v>-0.81</v>
      </c>
      <c r="F249">
        <v>3.44</v>
      </c>
      <c r="G249">
        <v>-0.75</v>
      </c>
      <c r="H249" s="1">
        <f>IF(ISNUMBER(Main_S[[#This Row],[Free CF]]),IF(Main_S[[#This Row],[Free CF]]&lt;&gt;0,Main_S[[#This Row],[Current Price]]/Main_S[[#This Row],[Free CF]],""),"")</f>
        <v>-12.419753086419753</v>
      </c>
      <c r="I249" s="1">
        <f>IF(ISNUMBER(Main_S[[#This Row],[BVPS]]),IF(Main_S[[#This Row],[BVPS]]&lt;&gt;0,Main_S[[#This Row],[Current Price]]/Main_S[[#This Row],[BVPS]],""),"")</f>
        <v>2.9244186046511631</v>
      </c>
      <c r="J249">
        <v>-19.579999999999998</v>
      </c>
      <c r="K249">
        <v>-15.15</v>
      </c>
      <c r="L249">
        <v>1.05</v>
      </c>
      <c r="M249" s="1">
        <f>IF(ISNUMBER(Main_S[[#This Row],[EPS]]),IF(Main_S[[#This Row],[EPS]]&lt;&gt;0,Main_S[[#This Row],[Current Price]]/Main_S[[#This Row],[EPS]],""),"")</f>
        <v>-13.413333333333334</v>
      </c>
      <c r="N24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49" s="1">
        <f>(Main_S[[#This Row],[P/FCF]]-VLOOKUP(Main_S[[#This Row],[Industry]], Mean_PFCF_S, 2, FALSE))/(VLOOKUP(Main_S[[#This Row],[Industry]], Mean_PFCF_S, 3, FALSE))</f>
        <v>-0.64545240471828369</v>
      </c>
      <c r="P249" s="1">
        <f>(Main_S[[#This Row],[P/B]]-VLOOKUP(Main_S[[#This Row],[Industry]], Mean_PB_S, 2, FALSE))/(VLOOKUP(Main_S[[#This Row],[Industry]], Mean_PB_S, 3, FALSE))</f>
        <v>0.38948676900467127</v>
      </c>
      <c r="Q249" s="1">
        <f>(Main_S[[#This Row],[ROE]]-VLOOKUP(Main_S[[#This Row],[Industry]], Mean_ROE_S, 2, FALSE))/(VLOOKUP(Main_S[[#This Row],[Industry]], Mean_ROE_S, 3, FALSE))</f>
        <v>-3.1588409243858313E-2</v>
      </c>
      <c r="R249" s="1">
        <f>(Main_S[[#This Row],[ROA]]-VLOOKUP(Main_S[[#This Row],[Industry]], Mean_ROA_S, 2, FALSE))/(VLOOKUP(Main_S[[#This Row],[Industry]], Mean_ROA_S, 3, FALSE))</f>
        <v>-0.25929179526521995</v>
      </c>
      <c r="S249" s="1">
        <f>(Main_S[[#This Row],[A/E]]-VLOOKUP(Main_S[[#This Row],[Industry]], Mean_AE_S, 2, FALSE))/(VLOOKUP(Main_S[[#This Row],[Industry]], Mean_AE_S, 3, FALSE))</f>
        <v>-0.80402573185391868</v>
      </c>
      <c r="T249" s="1">
        <f>(Main_S[[#This Row],[P/E]]-VLOOKUP(Main_S[[#This Row],[Industry]], Mean_PE_S, 2, FALSE))/(VLOOKUP(Main_S[[#This Row],[Industry]], Mean_PE_S, 3, FALSE))</f>
        <v>-0.97864638325972597</v>
      </c>
      <c r="U24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4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4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4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4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4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0" spans="1:26" x14ac:dyDescent="0.25">
      <c r="A250" s="68" t="s">
        <v>173</v>
      </c>
      <c r="B250" s="68" t="s">
        <v>544</v>
      </c>
      <c r="C250" s="2">
        <v>1530</v>
      </c>
      <c r="D250">
        <f>RTD("tos.rtd", , "LAST", Main_S[[#This Row],[Symbol]])</f>
        <v>23.89</v>
      </c>
      <c r="E250">
        <v>-2.2400000000000002</v>
      </c>
      <c r="F250">
        <v>15.1</v>
      </c>
      <c r="G250">
        <v>-2.33</v>
      </c>
      <c r="H250" s="1">
        <f>IF(ISNUMBER(Main_S[[#This Row],[Free CF]]),IF(Main_S[[#This Row],[Free CF]]&lt;&gt;0,Main_S[[#This Row],[Current Price]]/Main_S[[#This Row],[Free CF]],""),"")</f>
        <v>-10.665178571428571</v>
      </c>
      <c r="I250" s="1">
        <f>IF(ISNUMBER(Main_S[[#This Row],[BVPS]]),IF(Main_S[[#This Row],[BVPS]]&lt;&gt;0,Main_S[[#This Row],[Current Price]]/Main_S[[#This Row],[BVPS]],""),"")</f>
        <v>1.5821192052980133</v>
      </c>
      <c r="J250">
        <v>-18.600000000000001</v>
      </c>
      <c r="K250">
        <v>-14.28</v>
      </c>
      <c r="L250">
        <v>1.04</v>
      </c>
      <c r="M250" s="1">
        <f>IF(ISNUMBER(Main_S[[#This Row],[EPS]]),IF(Main_S[[#This Row],[EPS]]&lt;&gt;0,Main_S[[#This Row],[Current Price]]/Main_S[[#This Row],[EPS]],""),"")</f>
        <v>-10.253218884120171</v>
      </c>
      <c r="N25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0" s="1">
        <f>(Main_S[[#This Row],[P/FCF]]-VLOOKUP(Main_S[[#This Row],[Industry]], Mean_PFCF_S, 2, FALSE))/(VLOOKUP(Main_S[[#This Row],[Industry]], Mean_PFCF_S, 3, FALSE))</f>
        <v>-0.49366868134136066</v>
      </c>
      <c r="P250" s="1">
        <f>(Main_S[[#This Row],[P/B]]-VLOOKUP(Main_S[[#This Row],[Industry]], Mean_PB_S, 2, FALSE))/(VLOOKUP(Main_S[[#This Row],[Industry]], Mean_PB_S, 3, FALSE))</f>
        <v>-0.2431745253771031</v>
      </c>
      <c r="Q250" s="1">
        <f>(Main_S[[#This Row],[ROE]]-VLOOKUP(Main_S[[#This Row],[Industry]], Mean_ROE_S, 2, FALSE))/(VLOOKUP(Main_S[[#This Row],[Industry]], Mean_ROE_S, 3, FALSE))</f>
        <v>-5.3590195539840449E-3</v>
      </c>
      <c r="R250" s="1">
        <f>(Main_S[[#This Row],[ROA]]-VLOOKUP(Main_S[[#This Row],[Industry]], Mean_ROA_S, 2, FALSE))/(VLOOKUP(Main_S[[#This Row],[Industry]], Mean_ROA_S, 3, FALSE))</f>
        <v>-0.20579968709566743</v>
      </c>
      <c r="S250" s="1">
        <f>(Main_S[[#This Row],[A/E]]-VLOOKUP(Main_S[[#This Row],[Industry]], Mean_AE_S, 2, FALSE))/(VLOOKUP(Main_S[[#This Row],[Industry]], Mean_AE_S, 3, FALSE))</f>
        <v>-0.82728527218120185</v>
      </c>
      <c r="T250" s="1">
        <f>(Main_S[[#This Row],[P/E]]-VLOOKUP(Main_S[[#This Row],[Industry]], Mean_PE_S, 2, FALSE))/(VLOOKUP(Main_S[[#This Row],[Industry]], Mean_PE_S, 3, FALSE))</f>
        <v>-0.58804853118963274</v>
      </c>
      <c r="U25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1" spans="1:26" x14ac:dyDescent="0.25">
      <c r="A251" s="68" t="s">
        <v>173</v>
      </c>
      <c r="B251" s="68" t="s">
        <v>545</v>
      </c>
      <c r="C251" s="2">
        <v>1919</v>
      </c>
      <c r="D251">
        <f>RTD("tos.rtd", , "LAST", Main_S[[#This Row],[Symbol]])</f>
        <v>34.369999999999997</v>
      </c>
      <c r="E251">
        <v>3.38</v>
      </c>
      <c r="F251">
        <v>11.53</v>
      </c>
      <c r="G251">
        <v>2.5099999999999998</v>
      </c>
      <c r="H251" s="1">
        <f>IF(ISNUMBER(Main_S[[#This Row],[Free CF]]),IF(Main_S[[#This Row],[Free CF]]&lt;&gt;0,Main_S[[#This Row],[Current Price]]/Main_S[[#This Row],[Free CF]],""),"")</f>
        <v>10.168639053254438</v>
      </c>
      <c r="I251" s="1">
        <f>IF(ISNUMBER(Main_S[[#This Row],[BVPS]]),IF(Main_S[[#This Row],[BVPS]]&lt;&gt;0,Main_S[[#This Row],[Current Price]]/Main_S[[#This Row],[BVPS]],""),"")</f>
        <v>2.9809193408499568</v>
      </c>
      <c r="J251">
        <v>25.84</v>
      </c>
      <c r="K251">
        <v>13.17</v>
      </c>
      <c r="L251">
        <v>1.52</v>
      </c>
      <c r="M251" s="1">
        <f>IF(ISNUMBER(Main_S[[#This Row],[EPS]]),IF(Main_S[[#This Row],[EPS]]&lt;&gt;0,Main_S[[#This Row],[Current Price]]/Main_S[[#This Row],[EPS]],""),"")</f>
        <v>13.693227091633466</v>
      </c>
      <c r="N25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1" s="1">
        <f>(Main_S[[#This Row],[P/FCF]]-VLOOKUP(Main_S[[#This Row],[Industry]], Mean_PFCF_S, 2, FALSE))/(VLOOKUP(Main_S[[#This Row],[Industry]], Mean_PFCF_S, 3, FALSE))</f>
        <v>1.3086112356481103</v>
      </c>
      <c r="P251" s="1">
        <f>(Main_S[[#This Row],[P/B]]-VLOOKUP(Main_S[[#This Row],[Industry]], Mean_PB_S, 2, FALSE))/(VLOOKUP(Main_S[[#This Row],[Industry]], Mean_PB_S, 3, FALSE))</f>
        <v>0.41611706394056847</v>
      </c>
      <c r="Q251" s="1">
        <f>(Main_S[[#This Row],[ROE]]-VLOOKUP(Main_S[[#This Row],[Industry]], Mean_ROE_S, 2, FALSE))/(VLOOKUP(Main_S[[#This Row],[Industry]], Mean_ROE_S, 3, FALSE))</f>
        <v>1.1840635088317468</v>
      </c>
      <c r="R251" s="1">
        <f>(Main_S[[#This Row],[ROA]]-VLOOKUP(Main_S[[#This Row],[Industry]], Mean_ROA_S, 2, FALSE))/(VLOOKUP(Main_S[[#This Row],[Industry]], Mean_ROA_S, 3, FALSE))</f>
        <v>1.4819685534264182</v>
      </c>
      <c r="S251" s="1">
        <f>(Main_S[[#This Row],[A/E]]-VLOOKUP(Main_S[[#This Row],[Industry]], Mean_AE_S, 2, FALSE))/(VLOOKUP(Main_S[[#This Row],[Industry]], Mean_AE_S, 3, FALSE))</f>
        <v>0.2891726635283845</v>
      </c>
      <c r="T251" s="1">
        <f>(Main_S[[#This Row],[P/E]]-VLOOKUP(Main_S[[#This Row],[Industry]], Mean_PE_S, 2, FALSE))/(VLOOKUP(Main_S[[#This Row],[Industry]], Mean_PE_S, 3, FALSE))</f>
        <v>2.3717905864001776</v>
      </c>
      <c r="U25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2" spans="1:26" x14ac:dyDescent="0.25">
      <c r="A252" s="68" t="s">
        <v>173</v>
      </c>
      <c r="B252" s="68" t="s">
        <v>546</v>
      </c>
      <c r="C252" s="2">
        <v>902</v>
      </c>
      <c r="D252">
        <f>RTD("tos.rtd", , "LAST", Main_S[[#This Row],[Symbol]])</f>
        <v>26.27</v>
      </c>
      <c r="E252">
        <v>-1.71</v>
      </c>
      <c r="F252">
        <v>1.96</v>
      </c>
      <c r="G252">
        <v>-0.49</v>
      </c>
      <c r="H252" s="1">
        <f>IF(ISNUMBER(Main_S[[#This Row],[Free CF]]),IF(Main_S[[#This Row],[Free CF]]&lt;&gt;0,Main_S[[#This Row],[Current Price]]/Main_S[[#This Row],[Free CF]],""),"")</f>
        <v>-15.362573099415204</v>
      </c>
      <c r="I252" s="1">
        <f>IF(ISNUMBER(Main_S[[#This Row],[BVPS]]),IF(Main_S[[#This Row],[BVPS]]&lt;&gt;0,Main_S[[#This Row],[Current Price]]/Main_S[[#This Row],[BVPS]],""),"")</f>
        <v>13.403061224489797</v>
      </c>
      <c r="J252">
        <v>-25.02</v>
      </c>
      <c r="K252">
        <v>1.62</v>
      </c>
      <c r="L252">
        <v>5.58</v>
      </c>
      <c r="M252" s="1">
        <f>IF(ISNUMBER(Main_S[[#This Row],[EPS]]),IF(Main_S[[#This Row],[EPS]]&lt;&gt;0,Main_S[[#This Row],[Current Price]]/Main_S[[#This Row],[EPS]],""),"")</f>
        <v>-53.612244897959187</v>
      </c>
      <c r="N25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2" s="1">
        <f>(Main_S[[#This Row],[P/FCF]]-VLOOKUP(Main_S[[#This Row],[Industry]], Mean_PFCF_S, 2, FALSE))/(VLOOKUP(Main_S[[#This Row],[Industry]], Mean_PFCF_S, 3, FALSE))</f>
        <v>-0.90002818647288152</v>
      </c>
      <c r="P252" s="1">
        <f>(Main_S[[#This Row],[P/B]]-VLOOKUP(Main_S[[#This Row],[Industry]], Mean_PB_S, 2, FALSE))/(VLOOKUP(Main_S[[#This Row],[Industry]], Mean_PB_S, 3, FALSE))</f>
        <v>5.3283488488251951</v>
      </c>
      <c r="Q252" s="1">
        <f>(Main_S[[#This Row],[ROE]]-VLOOKUP(Main_S[[#This Row],[Industry]], Mean_ROE_S, 2, FALSE))/(VLOOKUP(Main_S[[#This Row],[Industry]], Mean_ROE_S, 3, FALSE))</f>
        <v>-0.17718828670601802</v>
      </c>
      <c r="R252" s="1">
        <f>(Main_S[[#This Row],[ROA]]-VLOOKUP(Main_S[[#This Row],[Industry]], Mean_ROA_S, 2, FALSE))/(VLOOKUP(Main_S[[#This Row],[Industry]], Mean_ROA_S, 3, FALSE))</f>
        <v>0.77181470358925641</v>
      </c>
      <c r="S252" s="1">
        <f>(Main_S[[#This Row],[A/E]]-VLOOKUP(Main_S[[#This Row],[Industry]], Mean_AE_S, 2, FALSE))/(VLOOKUP(Main_S[[#This Row],[Industry]], Mean_AE_S, 3, FALSE))</f>
        <v>9.7325460364053029</v>
      </c>
      <c r="T252" s="1">
        <f>(Main_S[[#This Row],[P/E]]-VLOOKUP(Main_S[[#This Row],[Industry]], Mean_PE_S, 2, FALSE))/(VLOOKUP(Main_S[[#This Row],[Industry]], Mean_PE_S, 3, FALSE))</f>
        <v>-5.9473298803425712</v>
      </c>
      <c r="U25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3" spans="1:26" x14ac:dyDescent="0.25">
      <c r="A253" s="68" t="s">
        <v>173</v>
      </c>
      <c r="B253" s="68" t="s">
        <v>547</v>
      </c>
      <c r="C253" s="2">
        <v>1432</v>
      </c>
      <c r="D253">
        <f>RTD("tos.rtd", , "LAST", Main_S[[#This Row],[Symbol]])</f>
        <v>11.19</v>
      </c>
      <c r="E253">
        <v>0.79</v>
      </c>
      <c r="F253">
        <v>-2.2799999999999998</v>
      </c>
      <c r="G253">
        <v>-0.48</v>
      </c>
      <c r="H253" s="1">
        <f>IF(ISNUMBER(Main_S[[#This Row],[Free CF]]),IF(Main_S[[#This Row],[Free CF]]&lt;&gt;0,Main_S[[#This Row],[Current Price]]/Main_S[[#This Row],[Free CF]],""),"")</f>
        <v>14.164556962025316</v>
      </c>
      <c r="I253" s="1">
        <f>IF(ISNUMBER(Main_S[[#This Row],[BVPS]]),IF(Main_S[[#This Row],[BVPS]]&lt;&gt;0,Main_S[[#This Row],[Current Price]]/Main_S[[#This Row],[BVPS]],""),"")</f>
        <v>-4.9078947368421053</v>
      </c>
      <c r="J253">
        <v>45.09</v>
      </c>
      <c r="K253">
        <v>12.6</v>
      </c>
      <c r="L253">
        <v>-4.82</v>
      </c>
      <c r="M253" s="1">
        <f>IF(ISNUMBER(Main_S[[#This Row],[EPS]]),IF(Main_S[[#This Row],[EPS]]&lt;&gt;0,Main_S[[#This Row],[Current Price]]/Main_S[[#This Row],[EPS]],""),"")</f>
        <v>-23.3125</v>
      </c>
      <c r="N25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3" s="1">
        <f>(Main_S[[#This Row],[P/FCF]]-VLOOKUP(Main_S[[#This Row],[Industry]], Mean_PFCF_S, 2, FALSE))/(VLOOKUP(Main_S[[#This Row],[Industry]], Mean_PFCF_S, 3, FALSE))</f>
        <v>1.6542878047078289</v>
      </c>
      <c r="P253" s="1">
        <f>(Main_S[[#This Row],[P/B]]-VLOOKUP(Main_S[[#This Row],[Industry]], Mean_PB_S, 2, FALSE))/(VLOOKUP(Main_S[[#This Row],[Industry]], Mean_PB_S, 3, FALSE))</f>
        <v>-3.3020901616120519</v>
      </c>
      <c r="Q253" s="1">
        <f>(Main_S[[#This Row],[ROE]]-VLOOKUP(Main_S[[#This Row],[Industry]], Mean_ROE_S, 2, FALSE))/(VLOOKUP(Main_S[[#This Row],[Industry]], Mean_ROE_S, 3, FALSE))</f>
        <v>1.6992836634542789</v>
      </c>
      <c r="R253" s="1">
        <f>(Main_S[[#This Row],[ROA]]-VLOOKUP(Main_S[[#This Row],[Industry]], Mean_ROA_S, 2, FALSE))/(VLOOKUP(Main_S[[#This Row],[Industry]], Mean_ROA_S, 3, FALSE))</f>
        <v>1.4469219997980907</v>
      </c>
      <c r="S253" s="1">
        <f>(Main_S[[#This Row],[A/E]]-VLOOKUP(Main_S[[#This Row],[Industry]], Mean_AE_S, 2, FALSE))/(VLOOKUP(Main_S[[#This Row],[Industry]], Mean_AE_S, 3, FALSE))</f>
        <v>-14.457375903969069</v>
      </c>
      <c r="T253" s="1">
        <f>(Main_S[[#This Row],[P/E]]-VLOOKUP(Main_S[[#This Row],[Industry]], Mean_PE_S, 2, FALSE))/(VLOOKUP(Main_S[[#This Row],[Industry]], Mean_PE_S, 3, FALSE))</f>
        <v>-2.20220752303003</v>
      </c>
      <c r="U25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4" spans="1:26" x14ac:dyDescent="0.25">
      <c r="A254" s="68" t="s">
        <v>173</v>
      </c>
      <c r="B254" s="68" t="s">
        <v>548</v>
      </c>
      <c r="C254" s="2">
        <v>1176</v>
      </c>
      <c r="D254">
        <f>RTD("tos.rtd", , "LAST", Main_S[[#This Row],[Symbol]])</f>
        <v>18.260000000000002</v>
      </c>
      <c r="E254">
        <v>2.94</v>
      </c>
      <c r="F254">
        <v>11.03</v>
      </c>
      <c r="G254">
        <v>0.36</v>
      </c>
      <c r="H254" s="1">
        <f>IF(ISNUMBER(Main_S[[#This Row],[Free CF]]),IF(Main_S[[#This Row],[Free CF]]&lt;&gt;0,Main_S[[#This Row],[Current Price]]/Main_S[[#This Row],[Free CF]],""),"")</f>
        <v>6.2108843537414975</v>
      </c>
      <c r="I254" s="1">
        <f>IF(ISNUMBER(Main_S[[#This Row],[BVPS]]),IF(Main_S[[#This Row],[BVPS]]&lt;&gt;0,Main_S[[#This Row],[Current Price]]/Main_S[[#This Row],[BVPS]],""),"")</f>
        <v>1.6554850407978243</v>
      </c>
      <c r="J254">
        <v>3.42</v>
      </c>
      <c r="K254">
        <v>8.8800000000000008</v>
      </c>
      <c r="L254">
        <v>1.88</v>
      </c>
      <c r="M254" s="1">
        <f>IF(ISNUMBER(Main_S[[#This Row],[EPS]]),IF(Main_S[[#This Row],[EPS]]&lt;&gt;0,Main_S[[#This Row],[Current Price]]/Main_S[[#This Row],[EPS]],""),"")</f>
        <v>50.722222222222229</v>
      </c>
      <c r="N25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4" s="1">
        <f>(Main_S[[#This Row],[P/FCF]]-VLOOKUP(Main_S[[#This Row],[Industry]], Mean_PFCF_S, 2, FALSE))/(VLOOKUP(Main_S[[#This Row],[Industry]], Mean_PFCF_S, 3, FALSE))</f>
        <v>0.96623606755352076</v>
      </c>
      <c r="P254" s="1">
        <f>(Main_S[[#This Row],[P/B]]-VLOOKUP(Main_S[[#This Row],[Industry]], Mean_PB_S, 2, FALSE))/(VLOOKUP(Main_S[[#This Row],[Industry]], Mean_PB_S, 3, FALSE))</f>
        <v>-0.20859526200778447</v>
      </c>
      <c r="Q254" s="1">
        <f>(Main_S[[#This Row],[ROE]]-VLOOKUP(Main_S[[#This Row],[Industry]], Mean_ROE_S, 2, FALSE))/(VLOOKUP(Main_S[[#This Row],[Industry]], Mean_ROE_S, 3, FALSE))</f>
        <v>0.58399930796747845</v>
      </c>
      <c r="R254" s="1">
        <f>(Main_S[[#This Row],[ROA]]-VLOOKUP(Main_S[[#This Row],[Industry]], Mean_ROA_S, 2, FALSE))/(VLOOKUP(Main_S[[#This Row],[Industry]], Mean_ROA_S, 3, FALSE))</f>
        <v>1.2181971234869011</v>
      </c>
      <c r="S254" s="1">
        <f>(Main_S[[#This Row],[A/E]]-VLOOKUP(Main_S[[#This Row],[Industry]], Mean_AE_S, 2, FALSE))/(VLOOKUP(Main_S[[#This Row],[Industry]], Mean_AE_S, 3, FALSE))</f>
        <v>1.1265161153105741</v>
      </c>
      <c r="T254" s="1">
        <f>(Main_S[[#This Row],[P/E]]-VLOOKUP(Main_S[[#This Row],[Industry]], Mean_PE_S, 2, FALSE))/(VLOOKUP(Main_S[[#This Row],[Industry]], Mean_PE_S, 3, FALSE))</f>
        <v>6.9486646821859068</v>
      </c>
      <c r="U25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5" spans="1:26" x14ac:dyDescent="0.25">
      <c r="A255" s="68" t="s">
        <v>173</v>
      </c>
      <c r="B255" s="68" t="s">
        <v>549</v>
      </c>
      <c r="C255" s="2">
        <v>698</v>
      </c>
      <c r="D255">
        <f>RTD("tos.rtd", , "LAST", Main_S[[#This Row],[Symbol]])</f>
        <v>28.96</v>
      </c>
      <c r="E255">
        <v>-2.81</v>
      </c>
      <c r="F255">
        <v>7.42</v>
      </c>
      <c r="G255">
        <v>-2.34</v>
      </c>
      <c r="H255" s="1">
        <f>IF(ISNUMBER(Main_S[[#This Row],[Free CF]]),IF(Main_S[[#This Row],[Free CF]]&lt;&gt;0,Main_S[[#This Row],[Current Price]]/Main_S[[#This Row],[Free CF]],""),"")</f>
        <v>-10.306049822064058</v>
      </c>
      <c r="I255" s="1">
        <f>IF(ISNUMBER(Main_S[[#This Row],[BVPS]]),IF(Main_S[[#This Row],[BVPS]]&lt;&gt;0,Main_S[[#This Row],[Current Price]]/Main_S[[#This Row],[BVPS]],""),"")</f>
        <v>3.9029649595687332</v>
      </c>
      <c r="J255">
        <v>-38.94</v>
      </c>
      <c r="K255">
        <v>-25.64</v>
      </c>
      <c r="L255">
        <v>1.06</v>
      </c>
      <c r="M255" s="1">
        <f>IF(ISNUMBER(Main_S[[#This Row],[EPS]]),IF(Main_S[[#This Row],[EPS]]&lt;&gt;0,Main_S[[#This Row],[Current Price]]/Main_S[[#This Row],[EPS]],""),"")</f>
        <v>-12.376068376068377</v>
      </c>
      <c r="N25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5" s="1">
        <f>(Main_S[[#This Row],[P/FCF]]-VLOOKUP(Main_S[[#This Row],[Industry]], Mean_PFCF_S, 2, FALSE))/(VLOOKUP(Main_S[[#This Row],[Industry]], Mean_PFCF_S, 3, FALSE))</f>
        <v>-0.46260137796694817</v>
      </c>
      <c r="P255" s="1">
        <f>(Main_S[[#This Row],[P/B]]-VLOOKUP(Main_S[[#This Row],[Industry]], Mean_PB_S, 2, FALSE))/(VLOOKUP(Main_S[[#This Row],[Industry]], Mean_PB_S, 3, FALSE))</f>
        <v>0.85070160960808217</v>
      </c>
      <c r="Q255" s="1">
        <f>(Main_S[[#This Row],[ROE]]-VLOOKUP(Main_S[[#This Row],[Industry]], Mean_ROE_S, 2, FALSE))/(VLOOKUP(Main_S[[#This Row],[Industry]], Mean_ROE_S, 3, FALSE))</f>
        <v>-0.54975267903566183</v>
      </c>
      <c r="R255" s="1">
        <f>(Main_S[[#This Row],[ROA]]-VLOOKUP(Main_S[[#This Row],[Industry]], Mean_ROA_S, 2, FALSE))/(VLOOKUP(Main_S[[#This Row],[Industry]], Mean_ROA_S, 3, FALSE))</f>
        <v>-0.90427135239005341</v>
      </c>
      <c r="S255" s="1">
        <f>(Main_S[[#This Row],[A/E]]-VLOOKUP(Main_S[[#This Row],[Industry]], Mean_AE_S, 2, FALSE))/(VLOOKUP(Main_S[[#This Row],[Industry]], Mean_AE_S, 3, FALSE))</f>
        <v>-0.78076619152663562</v>
      </c>
      <c r="T255" s="1">
        <f>(Main_S[[#This Row],[P/E]]-VLOOKUP(Main_S[[#This Row],[Industry]], Mean_PE_S, 2, FALSE))/(VLOOKUP(Main_S[[#This Row],[Industry]], Mean_PE_S, 3, FALSE))</f>
        <v>-0.8504379051028198</v>
      </c>
      <c r="U25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6" spans="1:26" x14ac:dyDescent="0.25">
      <c r="A256" s="68" t="s">
        <v>173</v>
      </c>
      <c r="B256" s="68" t="s">
        <v>550</v>
      </c>
      <c r="C256" s="2">
        <v>1325</v>
      </c>
      <c r="D256">
        <f>RTD("tos.rtd", , "LAST", Main_S[[#This Row],[Symbol]])</f>
        <v>15.99</v>
      </c>
      <c r="E256">
        <v>-1.29</v>
      </c>
      <c r="F256">
        <v>0.91</v>
      </c>
      <c r="G256">
        <v>-1.66</v>
      </c>
      <c r="H256" s="1">
        <f>IF(ISNUMBER(Main_S[[#This Row],[Free CF]]),IF(Main_S[[#This Row],[Free CF]]&lt;&gt;0,Main_S[[#This Row],[Current Price]]/Main_S[[#This Row],[Free CF]],""),"")</f>
        <v>-12.395348837209303</v>
      </c>
      <c r="I256" s="1">
        <f>IF(ISNUMBER(Main_S[[#This Row],[BVPS]]),IF(Main_S[[#This Row],[BVPS]]&lt;&gt;0,Main_S[[#This Row],[Current Price]]/Main_S[[#This Row],[BVPS]],""),"")</f>
        <v>17.571428571428569</v>
      </c>
      <c r="J256">
        <v>-209.35</v>
      </c>
      <c r="K256">
        <v>-43.49</v>
      </c>
      <c r="L256">
        <v>2.98</v>
      </c>
      <c r="M256" s="1">
        <f>IF(ISNUMBER(Main_S[[#This Row],[EPS]]),IF(Main_S[[#This Row],[EPS]]&lt;&gt;0,Main_S[[#This Row],[Current Price]]/Main_S[[#This Row],[EPS]],""),"")</f>
        <v>-9.6325301204819276</v>
      </c>
      <c r="N25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6" s="1">
        <f>(Main_S[[#This Row],[P/FCF]]-VLOOKUP(Main_S[[#This Row],[Industry]], Mean_PFCF_S, 2, FALSE))/(VLOOKUP(Main_S[[#This Row],[Industry]], Mean_PFCF_S, 3, FALSE))</f>
        <v>-0.64334125595843794</v>
      </c>
      <c r="P256" s="1">
        <f>(Main_S[[#This Row],[P/B]]-VLOOKUP(Main_S[[#This Row],[Industry]], Mean_PB_S, 2, FALSE))/(VLOOKUP(Main_S[[#This Row],[Industry]], Mean_PB_S, 3, FALSE))</f>
        <v>7.2930108925122061</v>
      </c>
      <c r="Q256" s="1">
        <f>(Main_S[[#This Row],[ROE]]-VLOOKUP(Main_S[[#This Row],[Industry]], Mean_ROE_S, 2, FALSE))/(VLOOKUP(Main_S[[#This Row],[Industry]], Mean_ROE_S, 3, FALSE))</f>
        <v>-5.1107223699045274</v>
      </c>
      <c r="R256" s="1">
        <f>(Main_S[[#This Row],[ROA]]-VLOOKUP(Main_S[[#This Row],[Industry]], Mean_ROA_S, 2, FALSE))/(VLOOKUP(Main_S[[#This Row],[Industry]], Mean_ROA_S, 3, FALSE))</f>
        <v>-2.0017818475929401</v>
      </c>
      <c r="S256" s="1">
        <f>(Main_S[[#This Row],[A/E]]-VLOOKUP(Main_S[[#This Row],[Industry]], Mean_AE_S, 2, FALSE))/(VLOOKUP(Main_S[[#This Row],[Industry]], Mean_AE_S, 3, FALSE))</f>
        <v>3.6850655513117094</v>
      </c>
      <c r="T256" s="1">
        <f>(Main_S[[#This Row],[P/E]]-VLOOKUP(Main_S[[#This Row],[Industry]], Mean_PE_S, 2, FALSE))/(VLOOKUP(Main_S[[#This Row],[Industry]], Mean_PE_S, 3, FALSE))</f>
        <v>-0.51132988641349031</v>
      </c>
      <c r="U25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5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7" spans="1:26" x14ac:dyDescent="0.25">
      <c r="A257" s="68" t="s">
        <v>173</v>
      </c>
      <c r="B257" s="68" t="s">
        <v>551</v>
      </c>
      <c r="C257" s="2">
        <v>416</v>
      </c>
      <c r="D257">
        <f>RTD("tos.rtd", , "LAST", Main_S[[#This Row],[Symbol]])</f>
        <v>9.86</v>
      </c>
      <c r="H257" s="1" t="str">
        <f>IF(ISNUMBER(Main_S[[#This Row],[Free CF]]),IF(Main_S[[#This Row],[Free CF]]&lt;&gt;0,Main_S[[#This Row],[Current Price]]/Main_S[[#This Row],[Free CF]],""),"")</f>
        <v/>
      </c>
      <c r="I257" s="1" t="str">
        <f>IF(ISNUMBER(Main_S[[#This Row],[BVPS]]),IF(Main_S[[#This Row],[BVPS]]&lt;&gt;0,Main_S[[#This Row],[Current Price]]/Main_S[[#This Row],[BVPS]],""),"")</f>
        <v/>
      </c>
      <c r="J257">
        <v>50.48</v>
      </c>
      <c r="K257">
        <v>23.07</v>
      </c>
      <c r="L257">
        <v>-0.77</v>
      </c>
      <c r="M257" s="1" t="str">
        <f>IF(ISNUMBER(Main_S[[#This Row],[EPS]]),IF(Main_S[[#This Row],[EPS]]&lt;&gt;0,Main_S[[#This Row],[Current Price]]/Main_S[[#This Row],[EPS]],""),"")</f>
        <v/>
      </c>
      <c r="N25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7" s="1" t="e">
        <f>(Main_S[[#This Row],[P/FCF]]-VLOOKUP(Main_S[[#This Row],[Industry]], Mean_PFCF_S, 2, FALSE))/(VLOOKUP(Main_S[[#This Row],[Industry]], Mean_PFCF_S, 3, FALSE))</f>
        <v>#VALUE!</v>
      </c>
      <c r="P257" s="1" t="e">
        <f>(Main_S[[#This Row],[P/B]]-VLOOKUP(Main_S[[#This Row],[Industry]], Mean_PB_S, 2, FALSE))/(VLOOKUP(Main_S[[#This Row],[Industry]], Mean_PB_S, 3, FALSE))</f>
        <v>#VALUE!</v>
      </c>
      <c r="Q257" s="1">
        <f>(Main_S[[#This Row],[ROE]]-VLOOKUP(Main_S[[#This Row],[Industry]], Mean_ROE_S, 2, FALSE))/(VLOOKUP(Main_S[[#This Row],[Industry]], Mean_ROE_S, 3, FALSE))</f>
        <v>1.8435453067485876</v>
      </c>
      <c r="R257" s="1">
        <f>(Main_S[[#This Row],[ROA]]-VLOOKUP(Main_S[[#This Row],[Industry]], Mean_ROA_S, 2, FALSE))/(VLOOKUP(Main_S[[#This Row],[Industry]], Mean_ROA_S, 3, FALSE))</f>
        <v>2.0906718532868425</v>
      </c>
      <c r="S257" s="1">
        <f>(Main_S[[#This Row],[A/E]]-VLOOKUP(Main_S[[#This Row],[Industry]], Mean_AE_S, 2, FALSE))/(VLOOKUP(Main_S[[#This Row],[Industry]], Mean_AE_S, 3, FALSE))</f>
        <v>-5.0372620714194341</v>
      </c>
      <c r="T257" s="1" t="e">
        <f>(Main_S[[#This Row],[P/E]]-VLOOKUP(Main_S[[#This Row],[Industry]], Mean_PE_S, 2, FALSE))/(VLOOKUP(Main_S[[#This Row],[Industry]], Mean_PE_S, 3, FALSE))</f>
        <v>#VALUE!</v>
      </c>
      <c r="U25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5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5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5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58" spans="1:26" x14ac:dyDescent="0.25">
      <c r="A258" s="68" t="s">
        <v>173</v>
      </c>
      <c r="B258" s="68" t="s">
        <v>552</v>
      </c>
      <c r="C258" s="2">
        <v>362</v>
      </c>
      <c r="D258">
        <f>RTD("tos.rtd", , "LAST", Main_S[[#This Row],[Symbol]])</f>
        <v>10.27</v>
      </c>
      <c r="E258">
        <v>-5.22</v>
      </c>
      <c r="F258">
        <v>7.7</v>
      </c>
      <c r="G258">
        <v>-5.82</v>
      </c>
      <c r="H258" s="1">
        <f>IF(ISNUMBER(Main_S[[#This Row],[Free CF]]),IF(Main_S[[#This Row],[Free CF]]&lt;&gt;0,Main_S[[#This Row],[Current Price]]/Main_S[[#This Row],[Free CF]],""),"")</f>
        <v>-1.9674329501915708</v>
      </c>
      <c r="I258" s="1">
        <f>IF(ISNUMBER(Main_S[[#This Row],[BVPS]]),IF(Main_S[[#This Row],[BVPS]]&lt;&gt;0,Main_S[[#This Row],[Current Price]]/Main_S[[#This Row],[BVPS]],""),"")</f>
        <v>1.3337662337662337</v>
      </c>
      <c r="J258">
        <v>-36.71</v>
      </c>
      <c r="K258">
        <v>-24.17</v>
      </c>
      <c r="L258">
        <v>1.04</v>
      </c>
      <c r="M258" s="1">
        <f>IF(ISNUMBER(Main_S[[#This Row],[EPS]]),IF(Main_S[[#This Row],[EPS]]&lt;&gt;0,Main_S[[#This Row],[Current Price]]/Main_S[[#This Row],[EPS]],""),"")</f>
        <v>-1.7646048109965635</v>
      </c>
      <c r="N25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8" s="1">
        <f>(Main_S[[#This Row],[P/FCF]]-VLOOKUP(Main_S[[#This Row],[Industry]], Mean_PFCF_S, 2, FALSE))/(VLOOKUP(Main_S[[#This Row],[Industry]], Mean_PFCF_S, 3, FALSE))</f>
        <v>0.25875089622403841</v>
      </c>
      <c r="P258" s="1">
        <f>(Main_S[[#This Row],[P/B]]-VLOOKUP(Main_S[[#This Row],[Industry]], Mean_PB_S, 2, FALSE))/(VLOOKUP(Main_S[[#This Row],[Industry]], Mean_PB_S, 3, FALSE))</f>
        <v>-0.36022986527263828</v>
      </c>
      <c r="Q258" s="1">
        <f>(Main_S[[#This Row],[ROE]]-VLOOKUP(Main_S[[#This Row],[Industry]], Mean_ROE_S, 2, FALSE))/(VLOOKUP(Main_S[[#This Row],[Industry]], Mean_ROE_S, 3, FALSE))</f>
        <v>-0.49006743514951928</v>
      </c>
      <c r="R258" s="1">
        <f>(Main_S[[#This Row],[ROA]]-VLOOKUP(Main_S[[#This Row],[Industry]], Mean_ROA_S, 2, FALSE))/(VLOOKUP(Main_S[[#This Row],[Industry]], Mean_ROA_S, 3, FALSE))</f>
        <v>-0.81388813513805114</v>
      </c>
      <c r="S258" s="1">
        <f>(Main_S[[#This Row],[A/E]]-VLOOKUP(Main_S[[#This Row],[Industry]], Mean_AE_S, 2, FALSE))/(VLOOKUP(Main_S[[#This Row],[Industry]], Mean_AE_S, 3, FALSE))</f>
        <v>-0.82728527218120185</v>
      </c>
      <c r="T258" s="1">
        <f>(Main_S[[#This Row],[P/E]]-VLOOKUP(Main_S[[#This Row],[Industry]], Mean_PE_S, 2, FALSE))/(VLOOKUP(Main_S[[#This Row],[Industry]], Mean_PE_S, 3, FALSE))</f>
        <v>0.4611648682932899</v>
      </c>
      <c r="U25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59" spans="1:26" x14ac:dyDescent="0.25">
      <c r="A259" s="68" t="s">
        <v>173</v>
      </c>
      <c r="B259" s="68" t="s">
        <v>553</v>
      </c>
      <c r="C259" s="2">
        <v>498</v>
      </c>
      <c r="D259">
        <f>RTD("tos.rtd", , "LAST", Main_S[[#This Row],[Symbol]])</f>
        <v>6.37</v>
      </c>
      <c r="E259">
        <v>-1.1200000000000001</v>
      </c>
      <c r="F259">
        <v>3.21</v>
      </c>
      <c r="G259">
        <v>-1.54</v>
      </c>
      <c r="H259" s="1">
        <f>IF(ISNUMBER(Main_S[[#This Row],[Free CF]]),IF(Main_S[[#This Row],[Free CF]]&lt;&gt;0,Main_S[[#This Row],[Current Price]]/Main_S[[#This Row],[Free CF]],""),"")</f>
        <v>-5.6874999999999991</v>
      </c>
      <c r="I259" s="1">
        <f>IF(ISNUMBER(Main_S[[#This Row],[BVPS]]),IF(Main_S[[#This Row],[BVPS]]&lt;&gt;0,Main_S[[#This Row],[Current Price]]/Main_S[[#This Row],[BVPS]],""),"")</f>
        <v>1.9844236760124612</v>
      </c>
      <c r="J259">
        <v>-68.010000000000005</v>
      </c>
      <c r="K259">
        <v>-30.44</v>
      </c>
      <c r="L259">
        <v>1.25</v>
      </c>
      <c r="M259" s="1">
        <f>IF(ISNUMBER(Main_S[[#This Row],[EPS]]),IF(Main_S[[#This Row],[EPS]]&lt;&gt;0,Main_S[[#This Row],[Current Price]]/Main_S[[#This Row],[EPS]],""),"")</f>
        <v>-4.1363636363636367</v>
      </c>
      <c r="N25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59" s="1">
        <f>(Main_S[[#This Row],[P/FCF]]-VLOOKUP(Main_S[[#This Row],[Industry]], Mean_PFCF_S, 2, FALSE))/(VLOOKUP(Main_S[[#This Row],[Industry]], Mean_PFCF_S, 3, FALSE))</f>
        <v>-6.3062525324812838E-2</v>
      </c>
      <c r="P259" s="1">
        <f>(Main_S[[#This Row],[P/B]]-VLOOKUP(Main_S[[#This Row],[Industry]], Mean_PB_S, 2, FALSE))/(VLOOKUP(Main_S[[#This Row],[Industry]], Mean_PB_S, 3, FALSE))</f>
        <v>-5.3557762305890468E-2</v>
      </c>
      <c r="Q259" s="1">
        <f>(Main_S[[#This Row],[ROE]]-VLOOKUP(Main_S[[#This Row],[Industry]], Mean_ROE_S, 2, FALSE))/(VLOOKUP(Main_S[[#This Row],[Industry]], Mean_ROE_S, 3, FALSE))</f>
        <v>-1.3278020242240778</v>
      </c>
      <c r="R259" s="1">
        <f>(Main_S[[#This Row],[ROA]]-VLOOKUP(Main_S[[#This Row],[Industry]], Mean_ROA_S, 2, FALSE))/(VLOOKUP(Main_S[[#This Row],[Industry]], Mean_ROA_S, 3, FALSE))</f>
        <v>-1.1994002250496529</v>
      </c>
      <c r="S259" s="1">
        <f>(Main_S[[#This Row],[A/E]]-VLOOKUP(Main_S[[#This Row],[Industry]], Mean_AE_S, 2, FALSE))/(VLOOKUP(Main_S[[#This Row],[Industry]], Mean_AE_S, 3, FALSE))</f>
        <v>-0.33883492530825787</v>
      </c>
      <c r="T259" s="1">
        <f>(Main_S[[#This Row],[P/E]]-VLOOKUP(Main_S[[#This Row],[Industry]], Mean_PE_S, 2, FALSE))/(VLOOKUP(Main_S[[#This Row],[Industry]], Mean_PE_S, 3, FALSE))</f>
        <v>0.16800969378771732</v>
      </c>
      <c r="U25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5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5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5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5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5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0" spans="1:26" x14ac:dyDescent="0.25">
      <c r="A260" s="68" t="s">
        <v>173</v>
      </c>
      <c r="B260" s="68" t="s">
        <v>554</v>
      </c>
      <c r="C260" s="2">
        <v>693</v>
      </c>
      <c r="D260">
        <f>RTD("tos.rtd", , "LAST", Main_S[[#This Row],[Symbol]])</f>
        <v>2.19</v>
      </c>
      <c r="E260">
        <v>-0.49</v>
      </c>
      <c r="F260">
        <v>1.37</v>
      </c>
      <c r="G260">
        <v>-2.11</v>
      </c>
      <c r="H260" s="1">
        <f>IF(ISNUMBER(Main_S[[#This Row],[Free CF]]),IF(Main_S[[#This Row],[Free CF]]&lt;&gt;0,Main_S[[#This Row],[Current Price]]/Main_S[[#This Row],[Free CF]],""),"")</f>
        <v>-4.4693877551020407</v>
      </c>
      <c r="I260" s="1">
        <f>IF(ISNUMBER(Main_S[[#This Row],[BVPS]]),IF(Main_S[[#This Row],[BVPS]]&lt;&gt;0,Main_S[[#This Row],[Current Price]]/Main_S[[#This Row],[BVPS]],""),"")</f>
        <v>1.5985401459854014</v>
      </c>
      <c r="J260">
        <v>-106.27</v>
      </c>
      <c r="K260">
        <v>-18.02</v>
      </c>
      <c r="L260">
        <v>1.17</v>
      </c>
      <c r="M260" s="1">
        <f>IF(ISNUMBER(Main_S[[#This Row],[EPS]]),IF(Main_S[[#This Row],[EPS]]&lt;&gt;0,Main_S[[#This Row],[Current Price]]/Main_S[[#This Row],[EPS]],""),"")</f>
        <v>-1.0379146919431279</v>
      </c>
      <c r="N26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0" s="1">
        <f>(Main_S[[#This Row],[P/FCF]]-VLOOKUP(Main_S[[#This Row],[Industry]], Mean_PFCF_S, 2, FALSE))/(VLOOKUP(Main_S[[#This Row],[Industry]], Mean_PFCF_S, 3, FALSE))</f>
        <v>4.2313228421709356E-2</v>
      </c>
      <c r="P260" s="1">
        <f>(Main_S[[#This Row],[P/B]]-VLOOKUP(Main_S[[#This Row],[Industry]], Mean_PB_S, 2, FALSE))/(VLOOKUP(Main_S[[#This Row],[Industry]], Mean_PB_S, 3, FALSE))</f>
        <v>-0.23543490067395889</v>
      </c>
      <c r="Q260" s="1">
        <f>(Main_S[[#This Row],[ROE]]-VLOOKUP(Main_S[[#This Row],[Industry]], Mean_ROE_S, 2, FALSE))/(VLOOKUP(Main_S[[#This Row],[Industry]], Mean_ROE_S, 3, FALSE))</f>
        <v>-2.3518188094634578</v>
      </c>
      <c r="R260" s="1">
        <f>(Main_S[[#This Row],[ROA]]-VLOOKUP(Main_S[[#This Row],[Industry]], Mean_ROA_S, 2, FALSE))/(VLOOKUP(Main_S[[#This Row],[Industry]], Mean_ROA_S, 3, FALSE))</f>
        <v>-0.43575426704293885</v>
      </c>
      <c r="S260" s="1">
        <f>(Main_S[[#This Row],[A/E]]-VLOOKUP(Main_S[[#This Row],[Industry]], Mean_AE_S, 2, FALSE))/(VLOOKUP(Main_S[[#This Row],[Industry]], Mean_AE_S, 3, FALSE))</f>
        <v>-0.52491124792652244</v>
      </c>
      <c r="T260" s="1">
        <f>(Main_S[[#This Row],[P/E]]-VLOOKUP(Main_S[[#This Row],[Industry]], Mean_PE_S, 2, FALSE))/(VLOOKUP(Main_S[[#This Row],[Industry]], Mean_PE_S, 3, FALSE))</f>
        <v>0.550985539090041</v>
      </c>
      <c r="U26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1" spans="1:26" x14ac:dyDescent="0.25">
      <c r="A261" s="68" t="s">
        <v>173</v>
      </c>
      <c r="B261" s="68" t="s">
        <v>555</v>
      </c>
      <c r="C261" s="2">
        <v>1123</v>
      </c>
      <c r="D261">
        <f>RTD("tos.rtd", , "LAST", Main_S[[#This Row],[Symbol]])</f>
        <v>7</v>
      </c>
      <c r="E261">
        <v>-0.89</v>
      </c>
      <c r="F261">
        <v>1.67</v>
      </c>
      <c r="G261">
        <v>-1.1499999999999999</v>
      </c>
      <c r="H261" s="1">
        <f>IF(ISNUMBER(Main_S[[#This Row],[Free CF]]),IF(Main_S[[#This Row],[Free CF]]&lt;&gt;0,Main_S[[#This Row],[Current Price]]/Main_S[[#This Row],[Free CF]],""),"")</f>
        <v>-7.8651685393258424</v>
      </c>
      <c r="I261" s="1">
        <f>IF(ISNUMBER(Main_S[[#This Row],[BVPS]]),IF(Main_S[[#This Row],[BVPS]]&lt;&gt;0,Main_S[[#This Row],[Current Price]]/Main_S[[#This Row],[BVPS]],""),"")</f>
        <v>4.1916167664670656</v>
      </c>
      <c r="J261">
        <v>-57.19</v>
      </c>
      <c r="K261">
        <v>-27.21</v>
      </c>
      <c r="L261">
        <v>1.53</v>
      </c>
      <c r="M261" s="1">
        <f>IF(ISNUMBER(Main_S[[#This Row],[EPS]]),IF(Main_S[[#This Row],[EPS]]&lt;&gt;0,Main_S[[#This Row],[Current Price]]/Main_S[[#This Row],[EPS]],""),"")</f>
        <v>-6.0869565217391308</v>
      </c>
      <c r="N26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1" s="1">
        <f>(Main_S[[#This Row],[P/FCF]]-VLOOKUP(Main_S[[#This Row],[Industry]], Mean_PFCF_S, 2, FALSE))/(VLOOKUP(Main_S[[#This Row],[Industry]], Mean_PFCF_S, 3, FALSE))</f>
        <v>-0.25144702330740376</v>
      </c>
      <c r="P261" s="1">
        <f>(Main_S[[#This Row],[P/B]]-VLOOKUP(Main_S[[#This Row],[Industry]], Mean_PB_S, 2, FALSE))/(VLOOKUP(Main_S[[#This Row],[Industry]], Mean_PB_S, 3, FALSE))</f>
        <v>0.98675085902735504</v>
      </c>
      <c r="Q261" s="1">
        <f>(Main_S[[#This Row],[ROE]]-VLOOKUP(Main_S[[#This Row],[Industry]], Mean_ROE_S, 2, FALSE))/(VLOOKUP(Main_S[[#This Row],[Industry]], Mean_ROE_S, 3, FALSE))</f>
        <v>-1.0382081503011791</v>
      </c>
      <c r="R261" s="1">
        <f>(Main_S[[#This Row],[ROA]]-VLOOKUP(Main_S[[#This Row],[Industry]], Mean_ROA_S, 2, FALSE))/(VLOOKUP(Main_S[[#This Row],[Industry]], Mean_ROA_S, 3, FALSE))</f>
        <v>-1.0008030878224643</v>
      </c>
      <c r="S261" s="1">
        <f>(Main_S[[#This Row],[A/E]]-VLOOKUP(Main_S[[#This Row],[Industry]], Mean_AE_S, 2, FALSE))/(VLOOKUP(Main_S[[#This Row],[Industry]], Mean_AE_S, 3, FALSE))</f>
        <v>0.31243220385566756</v>
      </c>
      <c r="T261" s="1">
        <f>(Main_S[[#This Row],[P/E]]-VLOOKUP(Main_S[[#This Row],[Industry]], Mean_PE_S, 2, FALSE))/(VLOOKUP(Main_S[[#This Row],[Industry]], Mean_PE_S, 3, FALSE))</f>
        <v>-7.3088343493995178E-2</v>
      </c>
      <c r="U26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2" spans="1:26" x14ac:dyDescent="0.25">
      <c r="A262" s="68" t="s">
        <v>173</v>
      </c>
      <c r="B262" s="68" t="s">
        <v>556</v>
      </c>
      <c r="C262" s="2">
        <v>370</v>
      </c>
      <c r="D262">
        <f>RTD("tos.rtd", , "LAST", Main_S[[#This Row],[Symbol]])</f>
        <v>4.43</v>
      </c>
      <c r="E262">
        <v>-2.56</v>
      </c>
      <c r="F262">
        <v>-3.15</v>
      </c>
      <c r="G262">
        <v>-3.14</v>
      </c>
      <c r="H262" s="1">
        <f>IF(ISNUMBER(Main_S[[#This Row],[Free CF]]),IF(Main_S[[#This Row],[Free CF]]&lt;&gt;0,Main_S[[#This Row],[Current Price]]/Main_S[[#This Row],[Free CF]],""),"")</f>
        <v>-1.7304687499999998</v>
      </c>
      <c r="I262" s="1">
        <f>IF(ISNUMBER(Main_S[[#This Row],[BVPS]]),IF(Main_S[[#This Row],[BVPS]]&lt;&gt;0,Main_S[[#This Row],[Current Price]]/Main_S[[#This Row],[BVPS]],""),"")</f>
        <v>-1.4063492063492062</v>
      </c>
      <c r="J262">
        <v>175.95</v>
      </c>
      <c r="K262">
        <v>-32.28</v>
      </c>
      <c r="L262">
        <v>-1.52</v>
      </c>
      <c r="M262" s="1">
        <f>IF(ISNUMBER(Main_S[[#This Row],[EPS]]),IF(Main_S[[#This Row],[EPS]]&lt;&gt;0,Main_S[[#This Row],[Current Price]]/Main_S[[#This Row],[EPS]],""),"")</f>
        <v>-1.4108280254777068</v>
      </c>
      <c r="N26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2" s="1">
        <f>(Main_S[[#This Row],[P/FCF]]-VLOOKUP(Main_S[[#This Row],[Industry]], Mean_PFCF_S, 2, FALSE))/(VLOOKUP(Main_S[[#This Row],[Industry]], Mean_PFCF_S, 3, FALSE))</f>
        <v>0.27925005901524763</v>
      </c>
      <c r="P262" s="1">
        <f>(Main_S[[#This Row],[P/B]]-VLOOKUP(Main_S[[#This Row],[Industry]], Mean_PB_S, 2, FALSE))/(VLOOKUP(Main_S[[#This Row],[Industry]], Mean_PB_S, 3, FALSE))</f>
        <v>-1.651718919007088</v>
      </c>
      <c r="Q262" s="1">
        <f>(Main_S[[#This Row],[ROE]]-VLOOKUP(Main_S[[#This Row],[Industry]], Mean_ROE_S, 2, FALSE))/(VLOOKUP(Main_S[[#This Row],[Industry]], Mean_ROE_S, 3, FALSE))</f>
        <v>5.2017101275532154</v>
      </c>
      <c r="R262" s="1">
        <f>(Main_S[[#This Row],[ROA]]-VLOOKUP(Main_S[[#This Row],[Industry]], Mean_ROA_S, 2, FALSE))/(VLOOKUP(Main_S[[#This Row],[Industry]], Mean_ROA_S, 3, FALSE))</f>
        <v>-1.3125329595691664</v>
      </c>
      <c r="S262" s="1">
        <f>(Main_S[[#This Row],[A/E]]-VLOOKUP(Main_S[[#This Row],[Industry]], Mean_AE_S, 2, FALSE))/(VLOOKUP(Main_S[[#This Row],[Industry]], Mean_AE_S, 3, FALSE))</f>
        <v>-6.7817275959656627</v>
      </c>
      <c r="T262" s="1">
        <f>(Main_S[[#This Row],[P/E]]-VLOOKUP(Main_S[[#This Row],[Industry]], Mean_PE_S, 2, FALSE))/(VLOOKUP(Main_S[[#This Row],[Industry]], Mean_PE_S, 3, FALSE))</f>
        <v>0.50489254169142717</v>
      </c>
      <c r="U26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6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3" spans="1:26" x14ac:dyDescent="0.25">
      <c r="A263" s="68" t="s">
        <v>173</v>
      </c>
      <c r="B263" s="68" t="s">
        <v>557</v>
      </c>
      <c r="C263" s="2">
        <v>785</v>
      </c>
      <c r="D263">
        <f>RTD("tos.rtd", , "LAST", Main_S[[#This Row],[Symbol]])</f>
        <v>24.6</v>
      </c>
      <c r="E263">
        <v>0.38</v>
      </c>
      <c r="F263">
        <v>6.09</v>
      </c>
      <c r="G263">
        <v>0.48</v>
      </c>
      <c r="H263" s="1">
        <f>IF(ISNUMBER(Main_S[[#This Row],[Free CF]]),IF(Main_S[[#This Row],[Free CF]]&lt;&gt;0,Main_S[[#This Row],[Current Price]]/Main_S[[#This Row],[Free CF]],""),"")</f>
        <v>64.736842105263165</v>
      </c>
      <c r="I263" s="1">
        <f>IF(ISNUMBER(Main_S[[#This Row],[BVPS]]),IF(Main_S[[#This Row],[BVPS]]&lt;&gt;0,Main_S[[#This Row],[Current Price]]/Main_S[[#This Row],[BVPS]],""),"")</f>
        <v>4.0394088669950738</v>
      </c>
      <c r="J263">
        <v>7.46</v>
      </c>
      <c r="K263">
        <v>5.6</v>
      </c>
      <c r="L263">
        <v>5.21</v>
      </c>
      <c r="M263" s="1">
        <f>IF(ISNUMBER(Main_S[[#This Row],[EPS]]),IF(Main_S[[#This Row],[EPS]]&lt;&gt;0,Main_S[[#This Row],[Current Price]]/Main_S[[#This Row],[EPS]],""),"")</f>
        <v>51.250000000000007</v>
      </c>
      <c r="N26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3" s="1">
        <f>(Main_S[[#This Row],[P/FCF]]-VLOOKUP(Main_S[[#This Row],[Industry]], Mean_PFCF_S, 2, FALSE))/(VLOOKUP(Main_S[[#This Row],[Industry]], Mean_PFCF_S, 3, FALSE))</f>
        <v>6.0291659721127981</v>
      </c>
      <c r="P263" s="1">
        <f>(Main_S[[#This Row],[P/B]]-VLOOKUP(Main_S[[#This Row],[Industry]], Mean_PB_S, 2, FALSE))/(VLOOKUP(Main_S[[#This Row],[Industry]], Mean_PB_S, 3, FALSE))</f>
        <v>0.91501124062218697</v>
      </c>
      <c r="Q263" s="1">
        <f>(Main_S[[#This Row],[ROE]]-VLOOKUP(Main_S[[#This Row],[Industry]], Mean_ROE_S, 2, FALSE))/(VLOOKUP(Main_S[[#This Row],[Industry]], Mean_ROE_S, 3, FALSE))</f>
        <v>0.69212862872981773</v>
      </c>
      <c r="R263" s="1">
        <f>(Main_S[[#This Row],[ROA]]-VLOOKUP(Main_S[[#This Row],[Industry]], Mean_ROA_S, 2, FALSE))/(VLOOKUP(Main_S[[#This Row],[Industry]], Mean_ROA_S, 3, FALSE))</f>
        <v>1.0165257271695078</v>
      </c>
      <c r="S263" s="1">
        <f>(Main_S[[#This Row],[A/E]]-VLOOKUP(Main_S[[#This Row],[Industry]], Mean_AE_S, 2, FALSE))/(VLOOKUP(Main_S[[#This Row],[Industry]], Mean_AE_S, 3, FALSE))</f>
        <v>8.8719430442958291</v>
      </c>
      <c r="T263" s="1">
        <f>(Main_S[[#This Row],[P/E]]-VLOOKUP(Main_S[[#This Row],[Industry]], Mean_PE_S, 2, FALSE))/(VLOOKUP(Main_S[[#This Row],[Industry]], Mean_PE_S, 3, FALSE))</f>
        <v>7.0138993025401337</v>
      </c>
      <c r="U26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6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6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64" spans="1:26" x14ac:dyDescent="0.25">
      <c r="A264" s="68" t="s">
        <v>173</v>
      </c>
      <c r="B264" s="68" t="s">
        <v>558</v>
      </c>
      <c r="C264" s="2">
        <v>1166</v>
      </c>
      <c r="D264">
        <f>RTD("tos.rtd", , "LAST", Main_S[[#This Row],[Symbol]])</f>
        <v>23.4</v>
      </c>
      <c r="E264">
        <v>3.87</v>
      </c>
      <c r="F264">
        <v>16.829999999999998</v>
      </c>
      <c r="G264">
        <v>-2.15</v>
      </c>
      <c r="H264" s="1">
        <f>IF(ISNUMBER(Main_S[[#This Row],[Free CF]]),IF(Main_S[[#This Row],[Free CF]]&lt;&gt;0,Main_S[[#This Row],[Current Price]]/Main_S[[#This Row],[Free CF]],""),"")</f>
        <v>6.0465116279069759</v>
      </c>
      <c r="I264" s="1">
        <f>IF(ISNUMBER(Main_S[[#This Row],[BVPS]]),IF(Main_S[[#This Row],[BVPS]]&lt;&gt;0,Main_S[[#This Row],[Current Price]]/Main_S[[#This Row],[BVPS]],""),"")</f>
        <v>1.3903743315508021</v>
      </c>
      <c r="J264">
        <v>-12.08</v>
      </c>
      <c r="K264">
        <v>3.9</v>
      </c>
      <c r="L264">
        <v>2</v>
      </c>
      <c r="M264" s="1">
        <f>IF(ISNUMBER(Main_S[[#This Row],[EPS]]),IF(Main_S[[#This Row],[EPS]]&lt;&gt;0,Main_S[[#This Row],[Current Price]]/Main_S[[#This Row],[EPS]],""),"")</f>
        <v>-10.883720930232558</v>
      </c>
      <c r="N26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4" s="1">
        <f>(Main_S[[#This Row],[P/FCF]]-VLOOKUP(Main_S[[#This Row],[Industry]], Mean_PFCF_S, 2, FALSE))/(VLOOKUP(Main_S[[#This Row],[Industry]], Mean_PFCF_S, 3, FALSE))</f>
        <v>0.9520166062906269</v>
      </c>
      <c r="P264" s="1">
        <f>(Main_S[[#This Row],[P/B]]-VLOOKUP(Main_S[[#This Row],[Industry]], Mean_PB_S, 2, FALSE))/(VLOOKUP(Main_S[[#This Row],[Industry]], Mean_PB_S, 3, FALSE))</f>
        <v>-0.33354896797496109</v>
      </c>
      <c r="Q264" s="1">
        <f>(Main_S[[#This Row],[ROE]]-VLOOKUP(Main_S[[#This Row],[Industry]], Mean_ROE_S, 2, FALSE))/(VLOOKUP(Main_S[[#This Row],[Industry]], Mean_ROE_S, 3, FALSE))</f>
        <v>0.1691467159337515</v>
      </c>
      <c r="R264" s="1">
        <f>(Main_S[[#This Row],[ROA]]-VLOOKUP(Main_S[[#This Row],[Industry]], Mean_ROA_S, 2, FALSE))/(VLOOKUP(Main_S[[#This Row],[Industry]], Mean_ROA_S, 3, FALSE))</f>
        <v>0.91200091810256634</v>
      </c>
      <c r="S264" s="1">
        <f>(Main_S[[#This Row],[A/E]]-VLOOKUP(Main_S[[#This Row],[Industry]], Mean_AE_S, 2, FALSE))/(VLOOKUP(Main_S[[#This Row],[Industry]], Mean_AE_S, 3, FALSE))</f>
        <v>1.4056305992379707</v>
      </c>
      <c r="T264" s="1">
        <f>(Main_S[[#This Row],[P/E]]-VLOOKUP(Main_S[[#This Row],[Industry]], Mean_PE_S, 2, FALSE))/(VLOOKUP(Main_S[[#This Row],[Industry]], Mean_PE_S, 3, FALSE))</f>
        <v>-0.66598012160991538</v>
      </c>
      <c r="U26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5" spans="1:26" x14ac:dyDescent="0.25">
      <c r="A265" s="68" t="s">
        <v>173</v>
      </c>
      <c r="B265" s="68" t="s">
        <v>559</v>
      </c>
      <c r="C265" s="2">
        <v>932</v>
      </c>
      <c r="D265">
        <f>RTD("tos.rtd", , "LAST", Main_S[[#This Row],[Symbol]])</f>
        <v>16.11</v>
      </c>
      <c r="E265">
        <v>-2.31</v>
      </c>
      <c r="F265">
        <v>5.0999999999999996</v>
      </c>
      <c r="G265">
        <v>-2.57</v>
      </c>
      <c r="H265" s="1">
        <f>IF(ISNUMBER(Main_S[[#This Row],[Free CF]]),IF(Main_S[[#This Row],[Free CF]]&lt;&gt;0,Main_S[[#This Row],[Current Price]]/Main_S[[#This Row],[Free CF]],""),"")</f>
        <v>-6.9740259740259738</v>
      </c>
      <c r="I265" s="1">
        <f>IF(ISNUMBER(Main_S[[#This Row],[BVPS]]),IF(Main_S[[#This Row],[BVPS]]&lt;&gt;0,Main_S[[#This Row],[Current Price]]/Main_S[[#This Row],[BVPS]],""),"")</f>
        <v>3.158823529411765</v>
      </c>
      <c r="J265">
        <v>-41.18</v>
      </c>
      <c r="K265">
        <v>-26.39</v>
      </c>
      <c r="L265">
        <v>1.0900000000000001</v>
      </c>
      <c r="M265" s="1">
        <f>IF(ISNUMBER(Main_S[[#This Row],[EPS]]),IF(Main_S[[#This Row],[EPS]]&lt;&gt;0,Main_S[[#This Row],[Current Price]]/Main_S[[#This Row],[EPS]],""),"")</f>
        <v>-6.2684824902723735</v>
      </c>
      <c r="N26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5" s="1">
        <f>(Main_S[[#This Row],[P/FCF]]-VLOOKUP(Main_S[[#This Row],[Industry]], Mean_PFCF_S, 2, FALSE))/(VLOOKUP(Main_S[[#This Row],[Industry]], Mean_PFCF_S, 3, FALSE))</f>
        <v>-0.17435657461730833</v>
      </c>
      <c r="P265" s="1">
        <f>(Main_S[[#This Row],[P/B]]-VLOOKUP(Main_S[[#This Row],[Industry]], Mean_PB_S, 2, FALSE))/(VLOOKUP(Main_S[[#This Row],[Industry]], Mean_PB_S, 3, FALSE))</f>
        <v>0.49996802466191859</v>
      </c>
      <c r="Q265" s="1">
        <f>(Main_S[[#This Row],[ROE]]-VLOOKUP(Main_S[[#This Row],[Industry]], Mean_ROE_S, 2, FALSE))/(VLOOKUP(Main_S[[#This Row],[Industry]], Mean_ROE_S, 3, FALSE))</f>
        <v>-0.60970556975537471</v>
      </c>
      <c r="R265" s="1">
        <f>(Main_S[[#This Row],[ROA]]-VLOOKUP(Main_S[[#This Row],[Industry]], Mean_ROA_S, 2, FALSE))/(VLOOKUP(Main_S[[#This Row],[Industry]], Mean_ROA_S, 3, FALSE))</f>
        <v>-0.95038523874311587</v>
      </c>
      <c r="S265" s="1">
        <f>(Main_S[[#This Row],[A/E]]-VLOOKUP(Main_S[[#This Row],[Industry]], Mean_AE_S, 2, FALSE))/(VLOOKUP(Main_S[[#This Row],[Industry]], Mean_AE_S, 3, FALSE))</f>
        <v>-0.71098757054478645</v>
      </c>
      <c r="T265" s="1">
        <f>(Main_S[[#This Row],[P/E]]-VLOOKUP(Main_S[[#This Row],[Industry]], Mean_PE_S, 2, FALSE))/(VLOOKUP(Main_S[[#This Row],[Industry]], Mean_PE_S, 3, FALSE))</f>
        <v>-9.5525395867741392E-2</v>
      </c>
      <c r="U26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6" spans="1:26" x14ac:dyDescent="0.25">
      <c r="A266" s="68" t="s">
        <v>173</v>
      </c>
      <c r="B266" s="68" t="s">
        <v>560</v>
      </c>
      <c r="C266" s="2">
        <v>373</v>
      </c>
      <c r="D266">
        <f>RTD("tos.rtd", , "LAST", Main_S[[#This Row],[Symbol]])</f>
        <v>9.99</v>
      </c>
      <c r="E266">
        <v>-3.24</v>
      </c>
      <c r="F266">
        <v>8.35</v>
      </c>
      <c r="G266">
        <v>-3.78</v>
      </c>
      <c r="H266" s="1">
        <f>IF(ISNUMBER(Main_S[[#This Row],[Free CF]]),IF(Main_S[[#This Row],[Free CF]]&lt;&gt;0,Main_S[[#This Row],[Current Price]]/Main_S[[#This Row],[Free CF]],""),"")</f>
        <v>-3.083333333333333</v>
      </c>
      <c r="I266" s="1">
        <f>IF(ISNUMBER(Main_S[[#This Row],[BVPS]]),IF(Main_S[[#This Row],[BVPS]]&lt;&gt;0,Main_S[[#This Row],[Current Price]]/Main_S[[#This Row],[BVPS]],""),"")</f>
        <v>1.1964071856287426</v>
      </c>
      <c r="J266">
        <v>-35.090000000000003</v>
      </c>
      <c r="K266">
        <v>-22.07</v>
      </c>
      <c r="L266">
        <v>1.03</v>
      </c>
      <c r="M266" s="1">
        <f>IF(ISNUMBER(Main_S[[#This Row],[EPS]]),IF(Main_S[[#This Row],[EPS]]&lt;&gt;0,Main_S[[#This Row],[Current Price]]/Main_S[[#This Row],[EPS]],""),"")</f>
        <v>-2.6428571428571432</v>
      </c>
      <c r="N26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6" s="1">
        <f>(Main_S[[#This Row],[P/FCF]]-VLOOKUP(Main_S[[#This Row],[Industry]], Mean_PFCF_S, 2, FALSE))/(VLOOKUP(Main_S[[#This Row],[Industry]], Mean_PFCF_S, 3, FALSE))</f>
        <v>0.16221722744916575</v>
      </c>
      <c r="P266" s="1">
        <f>(Main_S[[#This Row],[P/B]]-VLOOKUP(Main_S[[#This Row],[Industry]], Mean_PB_S, 2, FALSE))/(VLOOKUP(Main_S[[#This Row],[Industry]], Mean_PB_S, 3, FALSE))</f>
        <v>-0.42497082636640859</v>
      </c>
      <c r="Q266" s="1">
        <f>(Main_S[[#This Row],[ROE]]-VLOOKUP(Main_S[[#This Row],[Industry]], Mean_ROE_S, 2, FALSE))/(VLOOKUP(Main_S[[#This Row],[Industry]], Mean_ROE_S, 3, FALSE))</f>
        <v>-0.44670864811115563</v>
      </c>
      <c r="R266" s="1">
        <f>(Main_S[[#This Row],[ROA]]-VLOOKUP(Main_S[[#This Row],[Industry]], Mean_ROA_S, 2, FALSE))/(VLOOKUP(Main_S[[#This Row],[Industry]], Mean_ROA_S, 3, FALSE))</f>
        <v>-0.68476925334947614</v>
      </c>
      <c r="S266" s="1">
        <f>(Main_S[[#This Row],[A/E]]-VLOOKUP(Main_S[[#This Row],[Industry]], Mean_AE_S, 2, FALSE))/(VLOOKUP(Main_S[[#This Row],[Industry]], Mean_AE_S, 3, FALSE))</f>
        <v>-0.8505448125084849</v>
      </c>
      <c r="T266" s="1">
        <f>(Main_S[[#This Row],[P/E]]-VLOOKUP(Main_S[[#This Row],[Industry]], Mean_PE_S, 2, FALSE))/(VLOOKUP(Main_S[[#This Row],[Industry]], Mean_PE_S, 3, FALSE))</f>
        <v>0.35261073839913132</v>
      </c>
      <c r="U26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7" spans="1:26" x14ac:dyDescent="0.25">
      <c r="A267" s="68" t="s">
        <v>173</v>
      </c>
      <c r="B267" s="68" t="s">
        <v>561</v>
      </c>
      <c r="C267" s="2">
        <v>314</v>
      </c>
      <c r="D267">
        <f>RTD("tos.rtd", , "LAST", Main_S[[#This Row],[Symbol]])</f>
        <v>6.73</v>
      </c>
      <c r="E267">
        <v>-7.03</v>
      </c>
      <c r="F267">
        <v>9.4600000000000009</v>
      </c>
      <c r="G267">
        <v>-7.26</v>
      </c>
      <c r="H267" s="1">
        <f>IF(ISNUMBER(Main_S[[#This Row],[Free CF]]),IF(Main_S[[#This Row],[Free CF]]&lt;&gt;0,Main_S[[#This Row],[Current Price]]/Main_S[[#This Row],[Free CF]],""),"")</f>
        <v>-0.95732574679943105</v>
      </c>
      <c r="I267" s="1">
        <f>IF(ISNUMBER(Main_S[[#This Row],[BVPS]]),IF(Main_S[[#This Row],[BVPS]]&lt;&gt;0,Main_S[[#This Row],[Current Price]]/Main_S[[#This Row],[BVPS]],""),"")</f>
        <v>0.71141649048625788</v>
      </c>
      <c r="J267">
        <v>-27.05</v>
      </c>
      <c r="K267">
        <v>-17.2</v>
      </c>
      <c r="L267">
        <v>1.0900000000000001</v>
      </c>
      <c r="M267" s="1">
        <f>IF(ISNUMBER(Main_S[[#This Row],[EPS]]),IF(Main_S[[#This Row],[EPS]]&lt;&gt;0,Main_S[[#This Row],[Current Price]]/Main_S[[#This Row],[EPS]],""),"")</f>
        <v>-0.92699724517906346</v>
      </c>
      <c r="N26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7" s="1">
        <f>(Main_S[[#This Row],[P/FCF]]-VLOOKUP(Main_S[[#This Row],[Industry]], Mean_PFCF_S, 2, FALSE))/(VLOOKUP(Main_S[[#This Row],[Industry]], Mean_PFCF_S, 3, FALSE))</f>
        <v>0.34613266942931059</v>
      </c>
      <c r="P267" s="1">
        <f>(Main_S[[#This Row],[P/B]]-VLOOKUP(Main_S[[#This Row],[Industry]], Mean_PB_S, 2, FALSE))/(VLOOKUP(Main_S[[#This Row],[Industry]], Mean_PB_S, 3, FALSE))</f>
        <v>-0.65355979921391472</v>
      </c>
      <c r="Q267" s="1">
        <f>(Main_S[[#This Row],[ROE]]-VLOOKUP(Main_S[[#This Row],[Industry]], Mean_ROE_S, 2, FALSE))/(VLOOKUP(Main_S[[#This Row],[Industry]], Mean_ROE_S, 3, FALSE))</f>
        <v>-0.2315205939207578</v>
      </c>
      <c r="R267" s="1">
        <f>(Main_S[[#This Row],[ROA]]-VLOOKUP(Main_S[[#This Row],[Industry]], Mean_ROA_S, 2, FALSE))/(VLOOKUP(Main_S[[#This Row],[Industry]], Mean_ROA_S, 3, FALSE))</f>
        <v>-0.38533641796359058</v>
      </c>
      <c r="S267" s="1">
        <f>(Main_S[[#This Row],[A/E]]-VLOOKUP(Main_S[[#This Row],[Industry]], Mean_AE_S, 2, FALSE))/(VLOOKUP(Main_S[[#This Row],[Industry]], Mean_AE_S, 3, FALSE))</f>
        <v>-0.71098757054478645</v>
      </c>
      <c r="T267" s="1">
        <f>(Main_S[[#This Row],[P/E]]-VLOOKUP(Main_S[[#This Row],[Industry]], Mean_PE_S, 2, FALSE))/(VLOOKUP(Main_S[[#This Row],[Industry]], Mean_PE_S, 3, FALSE))</f>
        <v>0.56469520598958323</v>
      </c>
      <c r="U26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8" spans="1:26" x14ac:dyDescent="0.25">
      <c r="A268" s="68" t="s">
        <v>173</v>
      </c>
      <c r="B268" s="68" t="s">
        <v>562</v>
      </c>
      <c r="C268" s="2">
        <v>375</v>
      </c>
      <c r="D268">
        <f>RTD("tos.rtd", , "LAST", Main_S[[#This Row],[Symbol]])</f>
        <v>5.94</v>
      </c>
      <c r="E268">
        <v>0.68</v>
      </c>
      <c r="F268">
        <v>3.02</v>
      </c>
      <c r="G268">
        <v>0.82</v>
      </c>
      <c r="H268" s="1">
        <f>IF(ISNUMBER(Main_S[[#This Row],[Free CF]]),IF(Main_S[[#This Row],[Free CF]]&lt;&gt;0,Main_S[[#This Row],[Current Price]]/Main_S[[#This Row],[Free CF]],""),"")</f>
        <v>8.735294117647058</v>
      </c>
      <c r="I268" s="1">
        <f>IF(ISNUMBER(Main_S[[#This Row],[BVPS]]),IF(Main_S[[#This Row],[BVPS]]&lt;&gt;0,Main_S[[#This Row],[Current Price]]/Main_S[[#This Row],[BVPS]],""),"")</f>
        <v>1.9668874172185431</v>
      </c>
      <c r="J268">
        <v>28.7</v>
      </c>
      <c r="K268">
        <v>17.54</v>
      </c>
      <c r="L268">
        <v>1.1299999999999999</v>
      </c>
      <c r="M268" s="1">
        <f>IF(ISNUMBER(Main_S[[#This Row],[EPS]]),IF(Main_S[[#This Row],[EPS]]&lt;&gt;0,Main_S[[#This Row],[Current Price]]/Main_S[[#This Row],[EPS]],""),"")</f>
        <v>7.2439024390243913</v>
      </c>
      <c r="N26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8" s="1">
        <f>(Main_S[[#This Row],[P/FCF]]-VLOOKUP(Main_S[[#This Row],[Industry]], Mean_PFCF_S, 2, FALSE))/(VLOOKUP(Main_S[[#This Row],[Industry]], Mean_PFCF_S, 3, FALSE))</f>
        <v>1.1846162560384599</v>
      </c>
      <c r="P268" s="1">
        <f>(Main_S[[#This Row],[P/B]]-VLOOKUP(Main_S[[#This Row],[Industry]], Mean_PB_S, 2, FALSE))/(VLOOKUP(Main_S[[#This Row],[Industry]], Mean_PB_S, 3, FALSE))</f>
        <v>-6.1823066002309017E-2</v>
      </c>
      <c r="Q268" s="1">
        <f>(Main_S[[#This Row],[ROE]]-VLOOKUP(Main_S[[#This Row],[Industry]], Mean_ROE_S, 2, FALSE))/(VLOOKUP(Main_S[[#This Row],[Industry]], Mean_ROE_S, 3, FALSE))</f>
        <v>1.2606105032328088</v>
      </c>
      <c r="R268" s="1">
        <f>(Main_S[[#This Row],[ROA]]-VLOOKUP(Main_S[[#This Row],[Industry]], Mean_ROA_S, 2, FALSE))/(VLOOKUP(Main_S[[#This Row],[Industry]], Mean_ROA_S, 3, FALSE))</f>
        <v>1.7506587979102619</v>
      </c>
      <c r="S268" s="1">
        <f>(Main_S[[#This Row],[A/E]]-VLOOKUP(Main_S[[#This Row],[Industry]], Mean_AE_S, 2, FALSE))/(VLOOKUP(Main_S[[#This Row],[Industry]], Mean_AE_S, 3, FALSE))</f>
        <v>-0.61794940923565467</v>
      </c>
      <c r="T268" s="1">
        <f>(Main_S[[#This Row],[P/E]]-VLOOKUP(Main_S[[#This Row],[Industry]], Mean_PE_S, 2, FALSE))/(VLOOKUP(Main_S[[#This Row],[Industry]], Mean_PE_S, 3, FALSE))</f>
        <v>1.5746383322344992</v>
      </c>
      <c r="U26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69" spans="1:26" x14ac:dyDescent="0.25">
      <c r="A269" s="68" t="s">
        <v>173</v>
      </c>
      <c r="B269" s="68" t="s">
        <v>563</v>
      </c>
      <c r="C269" s="2">
        <v>334</v>
      </c>
      <c r="D269">
        <f>RTD("tos.rtd", , "LAST", Main_S[[#This Row],[Symbol]])</f>
        <v>1.32</v>
      </c>
      <c r="E269">
        <v>0.13</v>
      </c>
      <c r="F269">
        <v>3.12</v>
      </c>
      <c r="G269">
        <v>-0.28000000000000003</v>
      </c>
      <c r="H269" s="1">
        <f>IF(ISNUMBER(Main_S[[#This Row],[Free CF]]),IF(Main_S[[#This Row],[Free CF]]&lt;&gt;0,Main_S[[#This Row],[Current Price]]/Main_S[[#This Row],[Free CF]],""),"")</f>
        <v>10.153846153846153</v>
      </c>
      <c r="I269" s="1">
        <f>IF(ISNUMBER(Main_S[[#This Row],[BVPS]]),IF(Main_S[[#This Row],[BVPS]]&lt;&gt;0,Main_S[[#This Row],[Current Price]]/Main_S[[#This Row],[BVPS]],""),"")</f>
        <v>0.42307692307692307</v>
      </c>
      <c r="J269">
        <v>-9.09</v>
      </c>
      <c r="K269">
        <v>-1.1599999999999999</v>
      </c>
      <c r="L269">
        <v>1.19</v>
      </c>
      <c r="M269" s="1">
        <f>IF(ISNUMBER(Main_S[[#This Row],[EPS]]),IF(Main_S[[#This Row],[EPS]]&lt;&gt;0,Main_S[[#This Row],[Current Price]]/Main_S[[#This Row],[EPS]],""),"")</f>
        <v>-4.7142857142857144</v>
      </c>
      <c r="N26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69" s="1">
        <f>(Main_S[[#This Row],[P/FCF]]-VLOOKUP(Main_S[[#This Row],[Industry]], Mean_PFCF_S, 2, FALSE))/(VLOOKUP(Main_S[[#This Row],[Industry]], Mean_PFCF_S, 3, FALSE))</f>
        <v>1.307331540011051</v>
      </c>
      <c r="P269" s="1">
        <f>(Main_S[[#This Row],[P/B]]-VLOOKUP(Main_S[[#This Row],[Industry]], Mean_PB_S, 2, FALSE))/(VLOOKUP(Main_S[[#This Row],[Industry]], Mean_PB_S, 3, FALSE))</f>
        <v>-0.78946188188383093</v>
      </c>
      <c r="Q269" s="1">
        <f>(Main_S[[#This Row],[ROE]]-VLOOKUP(Main_S[[#This Row],[Industry]], Mean_ROE_S, 2, FALSE))/(VLOOKUP(Main_S[[#This Row],[Industry]], Mean_ROE_S, 3, FALSE))</f>
        <v>0.24917311917122528</v>
      </c>
      <c r="R269" s="1">
        <f>(Main_S[[#This Row],[ROA]]-VLOOKUP(Main_S[[#This Row],[Industry]], Mean_ROA_S, 2, FALSE))/(VLOOKUP(Main_S[[#This Row],[Industry]], Mean_ROA_S, 3, FALSE))</f>
        <v>0.60088589817390503</v>
      </c>
      <c r="S269" s="1">
        <f>(Main_S[[#This Row],[A/E]]-VLOOKUP(Main_S[[#This Row],[Industry]], Mean_AE_S, 2, FALSE))/(VLOOKUP(Main_S[[#This Row],[Industry]], Mean_AE_S, 3, FALSE))</f>
        <v>-0.47839216727195627</v>
      </c>
      <c r="T269" s="1">
        <f>(Main_S[[#This Row],[P/E]]-VLOOKUP(Main_S[[#This Row],[Industry]], Mean_PE_S, 2, FALSE))/(VLOOKUP(Main_S[[#This Row],[Industry]], Mean_PE_S, 3, FALSE))</f>
        <v>9.6577115655474555E-2</v>
      </c>
      <c r="U26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6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6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6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6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6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0" spans="1:26" x14ac:dyDescent="0.25">
      <c r="A270" s="68" t="s">
        <v>173</v>
      </c>
      <c r="B270" s="68" t="s">
        <v>564</v>
      </c>
      <c r="C270" s="2">
        <v>1732</v>
      </c>
      <c r="D270">
        <f>RTD("tos.rtd", , "LAST", Main_S[[#This Row],[Symbol]])</f>
        <v>32.274999999999999</v>
      </c>
      <c r="E270">
        <v>3.11</v>
      </c>
      <c r="F270">
        <v>18.579999999999998</v>
      </c>
      <c r="G270">
        <v>1.32</v>
      </c>
      <c r="H270" s="1">
        <f>IF(ISNUMBER(Main_S[[#This Row],[Free CF]]),IF(Main_S[[#This Row],[Free CF]]&lt;&gt;0,Main_S[[#This Row],[Current Price]]/Main_S[[#This Row],[Free CF]],""),"")</f>
        <v>10.377813504823152</v>
      </c>
      <c r="I270" s="1">
        <f>IF(ISNUMBER(Main_S[[#This Row],[BVPS]]),IF(Main_S[[#This Row],[BVPS]]&lt;&gt;0,Main_S[[#This Row],[Current Price]]/Main_S[[#This Row],[BVPS]],""),"")</f>
        <v>1.7370828848223898</v>
      </c>
      <c r="J270">
        <v>7.55</v>
      </c>
      <c r="K270">
        <v>2.9</v>
      </c>
      <c r="L270">
        <v>1.32</v>
      </c>
      <c r="M270" s="1">
        <f>IF(ISNUMBER(Main_S[[#This Row],[EPS]]),IF(Main_S[[#This Row],[EPS]]&lt;&gt;0,Main_S[[#This Row],[Current Price]]/Main_S[[#This Row],[EPS]],""),"")</f>
        <v>24.450757575757574</v>
      </c>
      <c r="N270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0" s="1">
        <f>(Main_S[[#This Row],[P/FCF]]-VLOOKUP(Main_S[[#This Row],[Industry]], Mean_PFCF_S, 2, FALSE))/(VLOOKUP(Main_S[[#This Row],[Industry]], Mean_PFCF_S, 3, FALSE))</f>
        <v>1.3267063788427469</v>
      </c>
      <c r="P270" s="1">
        <f>(Main_S[[#This Row],[P/B]]-VLOOKUP(Main_S[[#This Row],[Industry]], Mean_PB_S, 2, FALSE))/(VLOOKUP(Main_S[[#This Row],[Industry]], Mean_PB_S, 3, FALSE))</f>
        <v>-0.17013603477113287</v>
      </c>
      <c r="Q270" s="1">
        <f>(Main_S[[#This Row],[ROE]]-VLOOKUP(Main_S[[#This Row],[Industry]], Mean_ROE_S, 2, FALSE))/(VLOOKUP(Main_S[[#This Row],[Industry]], Mean_ROE_S, 3, FALSE))</f>
        <v>0.69453745023194902</v>
      </c>
      <c r="R270" s="1">
        <f>(Main_S[[#This Row],[ROA]]-VLOOKUP(Main_S[[#This Row],[Industry]], Mean_ROA_S, 2, FALSE))/(VLOOKUP(Main_S[[#This Row],[Industry]], Mean_ROA_S, 3, FALSE))</f>
        <v>0.85051573629848309</v>
      </c>
      <c r="S270" s="1">
        <f>(Main_S[[#This Row],[A/E]]-VLOOKUP(Main_S[[#This Row],[Industry]], Mean_AE_S, 2, FALSE))/(VLOOKUP(Main_S[[#This Row],[Industry]], Mean_AE_S, 3, FALSE))</f>
        <v>-0.17601814301727636</v>
      </c>
      <c r="T270" s="1">
        <f>(Main_S[[#This Row],[P/E]]-VLOOKUP(Main_S[[#This Row],[Industry]], Mean_PE_S, 2, FALSE))/(VLOOKUP(Main_S[[#This Row],[Industry]], Mean_PE_S, 3, FALSE))</f>
        <v>3.7014475871849597</v>
      </c>
      <c r="U270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0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0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0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0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0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  <row r="271" spans="1:26" x14ac:dyDescent="0.25">
      <c r="A271" s="68" t="s">
        <v>173</v>
      </c>
      <c r="B271" s="68" t="s">
        <v>565</v>
      </c>
      <c r="C271" s="2">
        <v>1989</v>
      </c>
      <c r="D271">
        <f>RTD("tos.rtd", , "LAST", Main_S[[#This Row],[Symbol]])</f>
        <v>41.46</v>
      </c>
      <c r="E271">
        <v>-1.89</v>
      </c>
      <c r="F271">
        <v>8.15</v>
      </c>
      <c r="G271">
        <v>-2.72</v>
      </c>
      <c r="H271" s="1">
        <f>IF(ISNUMBER(Main_S[[#This Row],[Free CF]]),IF(Main_S[[#This Row],[Free CF]]&lt;&gt;0,Main_S[[#This Row],[Current Price]]/Main_S[[#This Row],[Free CF]],""),"")</f>
        <v>-21.936507936507937</v>
      </c>
      <c r="I271" s="1">
        <f>IF(ISNUMBER(Main_S[[#This Row],[BVPS]]),IF(Main_S[[#This Row],[BVPS]]&lt;&gt;0,Main_S[[#This Row],[Current Price]]/Main_S[[#This Row],[BVPS]],""),"")</f>
        <v>5.0871165644171779</v>
      </c>
      <c r="J271">
        <v>-33.979999999999997</v>
      </c>
      <c r="K271">
        <v>-16.05</v>
      </c>
      <c r="L271">
        <v>1.46</v>
      </c>
      <c r="M271" s="1">
        <f>IF(ISNUMBER(Main_S[[#This Row],[EPS]]),IF(Main_S[[#This Row],[EPS]]&lt;&gt;0,Main_S[[#This Row],[Current Price]]/Main_S[[#This Row],[EPS]],""),"")</f>
        <v>-15.242647058823529</v>
      </c>
      <c r="N271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1" s="1">
        <f>(Main_S[[#This Row],[P/FCF]]-VLOOKUP(Main_S[[#This Row],[Industry]], Mean_PFCF_S, 2, FALSE))/(VLOOKUP(Main_S[[#This Row],[Industry]], Mean_PFCF_S, 3, FALSE))</f>
        <v>-1.4687223617762402</v>
      </c>
      <c r="P271" s="1">
        <f>(Main_S[[#This Row],[P/B]]-VLOOKUP(Main_S[[#This Row],[Industry]], Mean_PB_S, 2, FALSE))/(VLOOKUP(Main_S[[#This Row],[Industry]], Mean_PB_S, 3, FALSE))</f>
        <v>1.408823655575393</v>
      </c>
      <c r="Q271" s="1">
        <f>(Main_S[[#This Row],[ROE]]-VLOOKUP(Main_S[[#This Row],[Industry]], Mean_ROE_S, 2, FALSE))/(VLOOKUP(Main_S[[#This Row],[Industry]], Mean_ROE_S, 3, FALSE))</f>
        <v>-0.41699984958486919</v>
      </c>
      <c r="R271" s="1">
        <f>(Main_S[[#This Row],[ROA]]-VLOOKUP(Main_S[[#This Row],[Industry]], Mean_ROA_S, 2, FALSE))/(VLOOKUP(Main_S[[#This Row],[Industry]], Mean_ROA_S, 3, FALSE))</f>
        <v>-0.3146284588888949</v>
      </c>
      <c r="S271" s="1">
        <f>(Main_S[[#This Row],[A/E]]-VLOOKUP(Main_S[[#This Row],[Industry]], Mean_AE_S, 2, FALSE))/(VLOOKUP(Main_S[[#This Row],[Industry]], Mean_AE_S, 3, FALSE))</f>
        <v>0.1496154215646861</v>
      </c>
      <c r="T271" s="1">
        <f>(Main_S[[#This Row],[P/E]]-VLOOKUP(Main_S[[#This Row],[Industry]], Mean_PE_S, 2, FALSE))/(VLOOKUP(Main_S[[#This Row],[Industry]], Mean_PE_S, 3, FALSE))</f>
        <v>-1.2047540206323912</v>
      </c>
      <c r="U271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1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1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1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1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1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2" spans="1:26" x14ac:dyDescent="0.25">
      <c r="A272" s="68" t="s">
        <v>173</v>
      </c>
      <c r="B272" s="68" t="s">
        <v>566</v>
      </c>
      <c r="C272" s="2">
        <v>500</v>
      </c>
      <c r="D272">
        <f>RTD("tos.rtd", , "LAST", Main_S[[#This Row],[Symbol]])</f>
        <v>8.91</v>
      </c>
      <c r="E272">
        <v>-0.24</v>
      </c>
      <c r="F272">
        <v>3.55</v>
      </c>
      <c r="G272">
        <v>-1.1499999999999999</v>
      </c>
      <c r="H272" s="1">
        <f>IF(ISNUMBER(Main_S[[#This Row],[Free CF]]),IF(Main_S[[#This Row],[Free CF]]&lt;&gt;0,Main_S[[#This Row],[Current Price]]/Main_S[[#This Row],[Free CF]],""),"")</f>
        <v>-37.125</v>
      </c>
      <c r="I272" s="1">
        <f>IF(ISNUMBER(Main_S[[#This Row],[BVPS]]),IF(Main_S[[#This Row],[BVPS]]&lt;&gt;0,Main_S[[#This Row],[Current Price]]/Main_S[[#This Row],[BVPS]],""),"")</f>
        <v>2.5098591549295777</v>
      </c>
      <c r="J272">
        <v>-29.04</v>
      </c>
      <c r="K272">
        <v>-7.21</v>
      </c>
      <c r="L272">
        <v>2.02</v>
      </c>
      <c r="M272" s="1">
        <f>IF(ISNUMBER(Main_S[[#This Row],[EPS]]),IF(Main_S[[#This Row],[EPS]]&lt;&gt;0,Main_S[[#This Row],[Current Price]]/Main_S[[#This Row],[EPS]],""),"")</f>
        <v>-7.7478260869565228</v>
      </c>
      <c r="N272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2" s="1">
        <f>(Main_S[[#This Row],[P/FCF]]-VLOOKUP(Main_S[[#This Row],[Industry]], Mean_PFCF_S, 2, FALSE))/(VLOOKUP(Main_S[[#This Row],[Industry]], Mean_PFCF_S, 3, FALSE))</f>
        <v>-2.7826397008122834</v>
      </c>
      <c r="P272" s="1">
        <f>(Main_S[[#This Row],[P/B]]-VLOOKUP(Main_S[[#This Row],[Industry]], Mean_PB_S, 2, FALSE))/(VLOOKUP(Main_S[[#This Row],[Industry]], Mean_PB_S, 3, FALSE))</f>
        <v>0.19409390941951146</v>
      </c>
      <c r="Q272" s="1">
        <f>(Main_S[[#This Row],[ROE]]-VLOOKUP(Main_S[[#This Row],[Industry]], Mean_ROE_S, 2, FALSE))/(VLOOKUP(Main_S[[#This Row],[Industry]], Mean_ROE_S, 3, FALSE))</f>
        <v>-0.28478231380121688</v>
      </c>
      <c r="R272" s="1">
        <f>(Main_S[[#This Row],[ROA]]-VLOOKUP(Main_S[[#This Row],[Industry]], Mean_ROA_S, 2, FALSE))/(VLOOKUP(Main_S[[#This Row],[Industry]], Mean_ROA_S, 3, FALSE))</f>
        <v>0.22890054825920123</v>
      </c>
      <c r="S272" s="1">
        <f>(Main_S[[#This Row],[A/E]]-VLOOKUP(Main_S[[#This Row],[Industry]], Mean_AE_S, 2, FALSE))/(VLOOKUP(Main_S[[#This Row],[Industry]], Mean_AE_S, 3, FALSE))</f>
        <v>1.4521496798925371</v>
      </c>
      <c r="T272" s="1">
        <f>(Main_S[[#This Row],[P/E]]-VLOOKUP(Main_S[[#This Row],[Industry]], Mean_PE_S, 2, FALSE))/(VLOOKUP(Main_S[[#This Row],[Industry]], Mean_PE_S, 3, FALSE))</f>
        <v>-0.27837587189475632</v>
      </c>
      <c r="U272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2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2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2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2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2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3" spans="1:26" x14ac:dyDescent="0.25">
      <c r="A273" s="68" t="s">
        <v>173</v>
      </c>
      <c r="B273" s="68" t="s">
        <v>567</v>
      </c>
      <c r="C273" s="2">
        <v>264</v>
      </c>
      <c r="D273">
        <f>RTD("tos.rtd", , "LAST", Main_S[[#This Row],[Symbol]])</f>
        <v>2.9</v>
      </c>
      <c r="E273">
        <v>-0.88</v>
      </c>
      <c r="F273">
        <v>3.97</v>
      </c>
      <c r="G273">
        <v>-1.1200000000000001</v>
      </c>
      <c r="H273" s="1">
        <f>IF(ISNUMBER(Main_S[[#This Row],[Free CF]]),IF(Main_S[[#This Row],[Free CF]]&lt;&gt;0,Main_S[[#This Row],[Current Price]]/Main_S[[#This Row],[Free CF]],""),"")</f>
        <v>-3.2954545454545454</v>
      </c>
      <c r="I273" s="1">
        <f>IF(ISNUMBER(Main_S[[#This Row],[BVPS]]),IF(Main_S[[#This Row],[BVPS]]&lt;&gt;0,Main_S[[#This Row],[Current Price]]/Main_S[[#This Row],[BVPS]],""),"")</f>
        <v>0.7304785894206548</v>
      </c>
      <c r="J273">
        <v>-29.56</v>
      </c>
      <c r="K273">
        <v>-20.13</v>
      </c>
      <c r="L273">
        <v>1.05</v>
      </c>
      <c r="M273" s="1">
        <f>IF(ISNUMBER(Main_S[[#This Row],[EPS]]),IF(Main_S[[#This Row],[EPS]]&lt;&gt;0,Main_S[[#This Row],[Current Price]]/Main_S[[#This Row],[EPS]],""),"")</f>
        <v>-2.589285714285714</v>
      </c>
      <c r="N273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3" s="1">
        <f>(Main_S[[#This Row],[P/FCF]]-VLOOKUP(Main_S[[#This Row],[Industry]], Mean_PFCF_S, 2, FALSE))/(VLOOKUP(Main_S[[#This Row],[Industry]], Mean_PFCF_S, 3, FALSE))</f>
        <v>0.14386716758684892</v>
      </c>
      <c r="P273" s="1">
        <f>(Main_S[[#This Row],[P/B]]-VLOOKUP(Main_S[[#This Row],[Industry]], Mean_PB_S, 2, FALSE))/(VLOOKUP(Main_S[[#This Row],[Industry]], Mean_PB_S, 3, FALSE))</f>
        <v>-0.64457532660573169</v>
      </c>
      <c r="Q273" s="1">
        <f>(Main_S[[#This Row],[ROE]]-VLOOKUP(Main_S[[#This Row],[Industry]], Mean_ROE_S, 2, FALSE))/(VLOOKUP(Main_S[[#This Row],[Industry]], Mean_ROE_S, 3, FALSE))</f>
        <v>-0.29869994914686449</v>
      </c>
      <c r="R273" s="1">
        <f>(Main_S[[#This Row],[ROA]]-VLOOKUP(Main_S[[#This Row],[Industry]], Mean_ROA_S, 2, FALSE))/(VLOOKUP(Main_S[[#This Row],[Industry]], Mean_ROA_S, 3, FALSE))</f>
        <v>-0.56548800064955451</v>
      </c>
      <c r="S273" s="1">
        <f>(Main_S[[#This Row],[A/E]]-VLOOKUP(Main_S[[#This Row],[Industry]], Mean_AE_S, 2, FALSE))/(VLOOKUP(Main_S[[#This Row],[Industry]], Mean_AE_S, 3, FALSE))</f>
        <v>-0.80402573185391868</v>
      </c>
      <c r="T273" s="1">
        <f>(Main_S[[#This Row],[P/E]]-VLOOKUP(Main_S[[#This Row],[Industry]], Mean_PE_S, 2, FALSE))/(VLOOKUP(Main_S[[#This Row],[Industry]], Mean_PE_S, 3, FALSE))</f>
        <v>0.35923229760801906</v>
      </c>
      <c r="U273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3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3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3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3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3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4" spans="1:26" x14ac:dyDescent="0.25">
      <c r="A274" s="68" t="s">
        <v>173</v>
      </c>
      <c r="B274" s="68" t="s">
        <v>568</v>
      </c>
      <c r="C274" s="2">
        <v>439</v>
      </c>
      <c r="D274">
        <f>RTD("tos.rtd", , "LAST", Main_S[[#This Row],[Symbol]])</f>
        <v>0.45040000000000002</v>
      </c>
      <c r="E274">
        <v>-0.1</v>
      </c>
      <c r="F274">
        <v>2.8</v>
      </c>
      <c r="G274">
        <v>-1.1200000000000001</v>
      </c>
      <c r="H274" s="1">
        <f>IF(ISNUMBER(Main_S[[#This Row],[Free CF]]),IF(Main_S[[#This Row],[Free CF]]&lt;&gt;0,Main_S[[#This Row],[Current Price]]/Main_S[[#This Row],[Free CF]],""),"")</f>
        <v>-4.5039999999999996</v>
      </c>
      <c r="I274" s="1">
        <f>IF(ISNUMBER(Main_S[[#This Row],[BVPS]]),IF(Main_S[[#This Row],[BVPS]]&lt;&gt;0,Main_S[[#This Row],[Current Price]]/Main_S[[#This Row],[BVPS]],""),"")</f>
        <v>0.16085714285714287</v>
      </c>
      <c r="J274">
        <v>-30.73</v>
      </c>
      <c r="K274">
        <v>-1.63</v>
      </c>
      <c r="L274">
        <v>1.25</v>
      </c>
      <c r="M274" s="1">
        <f>IF(ISNUMBER(Main_S[[#This Row],[EPS]]),IF(Main_S[[#This Row],[EPS]]&lt;&gt;0,Main_S[[#This Row],[Current Price]]/Main_S[[#This Row],[EPS]],""),"")</f>
        <v>-0.40214285714285714</v>
      </c>
      <c r="N274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4" s="1">
        <f>(Main_S[[#This Row],[P/FCF]]-VLOOKUP(Main_S[[#This Row],[Industry]], Mean_PFCF_S, 2, FALSE))/(VLOOKUP(Main_S[[#This Row],[Industry]], Mean_PFCF_S, 3, FALSE))</f>
        <v>3.9319012239860555E-2</v>
      </c>
      <c r="P274" s="1">
        <f>(Main_S[[#This Row],[P/B]]-VLOOKUP(Main_S[[#This Row],[Industry]], Mean_PB_S, 2, FALSE))/(VLOOKUP(Main_S[[#This Row],[Industry]], Mean_PB_S, 3, FALSE))</f>
        <v>-0.91305301635524283</v>
      </c>
      <c r="Q274" s="1">
        <f>(Main_S[[#This Row],[ROE]]-VLOOKUP(Main_S[[#This Row],[Industry]], Mean_ROE_S, 2, FALSE))/(VLOOKUP(Main_S[[#This Row],[Industry]], Mean_ROE_S, 3, FALSE))</f>
        <v>-0.33001462867457171</v>
      </c>
      <c r="R274" s="1">
        <f>(Main_S[[#This Row],[ROA]]-VLOOKUP(Main_S[[#This Row],[Industry]], Mean_ROA_S, 2, FALSE))/(VLOOKUP(Main_S[[#This Row],[Industry]], Mean_ROA_S, 3, FALSE))</f>
        <v>0.57198786272598579</v>
      </c>
      <c r="S274" s="1">
        <f>(Main_S[[#This Row],[A/E]]-VLOOKUP(Main_S[[#This Row],[Industry]], Mean_AE_S, 2, FALSE))/(VLOOKUP(Main_S[[#This Row],[Industry]], Mean_AE_S, 3, FALSE))</f>
        <v>-0.33883492530825787</v>
      </c>
      <c r="T274" s="1">
        <f>(Main_S[[#This Row],[P/E]]-VLOOKUP(Main_S[[#This Row],[Industry]], Mean_PE_S, 2, FALSE))/(VLOOKUP(Main_S[[#This Row],[Industry]], Mean_PE_S, 3, FALSE))</f>
        <v>0.62956848824287326</v>
      </c>
      <c r="U274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4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4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4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4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4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5" spans="1:26" x14ac:dyDescent="0.25">
      <c r="A275" s="68" t="s">
        <v>173</v>
      </c>
      <c r="B275" s="68" t="s">
        <v>569</v>
      </c>
      <c r="C275" s="2">
        <v>644</v>
      </c>
      <c r="D275">
        <f>RTD("tos.rtd", , "LAST", Main_S[[#This Row],[Symbol]])</f>
        <v>6.4550000000000001</v>
      </c>
      <c r="E275">
        <v>-0.38</v>
      </c>
      <c r="F275">
        <v>1.06</v>
      </c>
      <c r="G275">
        <v>-0.47</v>
      </c>
      <c r="H275" s="1">
        <f>IF(ISNUMBER(Main_S[[#This Row],[Free CF]]),IF(Main_S[[#This Row],[Free CF]]&lt;&gt;0,Main_S[[#This Row],[Current Price]]/Main_S[[#This Row],[Free CF]],""),"")</f>
        <v>-16.986842105263158</v>
      </c>
      <c r="I275" s="1">
        <f>IF(ISNUMBER(Main_S[[#This Row],[BVPS]]),IF(Main_S[[#This Row],[BVPS]]&lt;&gt;0,Main_S[[#This Row],[Current Price]]/Main_S[[#This Row],[BVPS]],""),"")</f>
        <v>6.0896226415094334</v>
      </c>
      <c r="J275">
        <v>-52.59</v>
      </c>
      <c r="K275">
        <v>-32.15</v>
      </c>
      <c r="L275">
        <v>1.1100000000000001</v>
      </c>
      <c r="M275" s="1">
        <f>IF(ISNUMBER(Main_S[[#This Row],[EPS]]),IF(Main_S[[#This Row],[EPS]]&lt;&gt;0,Main_S[[#This Row],[Current Price]]/Main_S[[#This Row],[EPS]],""),"")</f>
        <v>-13.73404255319149</v>
      </c>
      <c r="N275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5" s="1">
        <f>(Main_S[[#This Row],[P/FCF]]-VLOOKUP(Main_S[[#This Row],[Industry]], Mean_PFCF_S, 2, FALSE))/(VLOOKUP(Main_S[[#This Row],[Industry]], Mean_PFCF_S, 3, FALSE))</f>
        <v>-1.040539515782013</v>
      </c>
      <c r="P275" s="1">
        <f>(Main_S[[#This Row],[P/B]]-VLOOKUP(Main_S[[#This Row],[Industry]], Mean_PB_S, 2, FALSE))/(VLOOKUP(Main_S[[#This Row],[Industry]], Mean_PB_S, 3, FALSE))</f>
        <v>1.8813313484674727</v>
      </c>
      <c r="Q275" s="1">
        <f>(Main_S[[#This Row],[ROE]]-VLOOKUP(Main_S[[#This Row],[Industry]], Mean_ROE_S, 2, FALSE))/(VLOOKUP(Main_S[[#This Row],[Industry]], Mean_ROE_S, 3, FALSE))</f>
        <v>-0.91509060685891186</v>
      </c>
      <c r="R275" s="1">
        <f>(Main_S[[#This Row],[ROA]]-VLOOKUP(Main_S[[#This Row],[Industry]], Mean_ROA_S, 2, FALSE))/(VLOOKUP(Main_S[[#This Row],[Industry]], Mean_ROA_S, 3, FALSE))</f>
        <v>-1.3045398859346355</v>
      </c>
      <c r="S275" s="1">
        <f>(Main_S[[#This Row],[A/E]]-VLOOKUP(Main_S[[#This Row],[Industry]], Mean_AE_S, 2, FALSE))/(VLOOKUP(Main_S[[#This Row],[Industry]], Mean_AE_S, 3, FALSE))</f>
        <v>-0.66446848989022034</v>
      </c>
      <c r="T275" s="1">
        <f>(Main_S[[#This Row],[P/E]]-VLOOKUP(Main_S[[#This Row],[Industry]], Mean_PE_S, 2, FALSE))/(VLOOKUP(Main_S[[#This Row],[Industry]], Mean_PE_S, 3, FALSE))</f>
        <v>-1.0182868249047623</v>
      </c>
      <c r="U275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5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5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5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5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5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6" spans="1:26" x14ac:dyDescent="0.25">
      <c r="A276" s="68" t="s">
        <v>173</v>
      </c>
      <c r="B276" s="68" t="s">
        <v>570</v>
      </c>
      <c r="C276" s="2">
        <v>1000</v>
      </c>
      <c r="D276">
        <f>RTD("tos.rtd", , "LAST", Main_S[[#This Row],[Symbol]])</f>
        <v>6.39</v>
      </c>
      <c r="E276">
        <v>-1.1000000000000001</v>
      </c>
      <c r="F276">
        <v>1.37</v>
      </c>
      <c r="G276">
        <v>-0.7</v>
      </c>
      <c r="H276" s="1">
        <f>IF(ISNUMBER(Main_S[[#This Row],[Free CF]]),IF(Main_S[[#This Row],[Free CF]]&lt;&gt;0,Main_S[[#This Row],[Current Price]]/Main_S[[#This Row],[Free CF]],""),"")</f>
        <v>-5.8090909090909086</v>
      </c>
      <c r="I276" s="1">
        <f>IF(ISNUMBER(Main_S[[#This Row],[BVPS]]),IF(Main_S[[#This Row],[BVPS]]&lt;&gt;0,Main_S[[#This Row],[Current Price]]/Main_S[[#This Row],[BVPS]],""),"")</f>
        <v>4.6642335766423351</v>
      </c>
      <c r="J276">
        <v>-73.239999999999995</v>
      </c>
      <c r="K276">
        <v>-22</v>
      </c>
      <c r="L276">
        <v>1.68</v>
      </c>
      <c r="M276" s="1">
        <f>IF(ISNUMBER(Main_S[[#This Row],[EPS]]),IF(Main_S[[#This Row],[EPS]]&lt;&gt;0,Main_S[[#This Row],[Current Price]]/Main_S[[#This Row],[EPS]],""),"")</f>
        <v>-9.1285714285714281</v>
      </c>
      <c r="N276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6" s="1">
        <f>(Main_S[[#This Row],[P/FCF]]-VLOOKUP(Main_S[[#This Row],[Industry]], Mean_PFCF_S, 2, FALSE))/(VLOOKUP(Main_S[[#This Row],[Industry]], Mean_PFCF_S, 3, FALSE))</f>
        <v>-7.3581041781605183E-2</v>
      </c>
      <c r="P276" s="1">
        <f>(Main_S[[#This Row],[P/B]]-VLOOKUP(Main_S[[#This Row],[Industry]], Mean_PB_S, 2, FALSE))/(VLOOKUP(Main_S[[#This Row],[Industry]], Mean_PB_S, 3, FALSE))</f>
        <v>1.2095076918294569</v>
      </c>
      <c r="Q276" s="1">
        <f>(Main_S[[#This Row],[ROE]]-VLOOKUP(Main_S[[#This Row],[Industry]], Mean_ROE_S, 2, FALSE))/(VLOOKUP(Main_S[[#This Row],[Industry]], Mean_ROE_S, 3, FALSE))</f>
        <v>-1.467781318181264</v>
      </c>
      <c r="R276" s="1">
        <f>(Main_S[[#This Row],[ROA]]-VLOOKUP(Main_S[[#This Row],[Industry]], Mean_ROA_S, 2, FALSE))/(VLOOKUP(Main_S[[#This Row],[Industry]], Mean_ROA_S, 3, FALSE))</f>
        <v>-0.68046529062319028</v>
      </c>
      <c r="S276" s="1">
        <f>(Main_S[[#This Row],[A/E]]-VLOOKUP(Main_S[[#This Row],[Industry]], Mean_AE_S, 2, FALSE))/(VLOOKUP(Main_S[[#This Row],[Industry]], Mean_AE_S, 3, FALSE))</f>
        <v>0.66132530876491313</v>
      </c>
      <c r="T276" s="1">
        <f>(Main_S[[#This Row],[P/E]]-VLOOKUP(Main_S[[#This Row],[Industry]], Mean_PE_S, 2, FALSE))/(VLOOKUP(Main_S[[#This Row],[Industry]], Mean_PE_S, 3, FALSE))</f>
        <v>-0.44903936315686982</v>
      </c>
      <c r="U276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6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No</v>
      </c>
      <c r="W276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6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6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6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7" spans="1:26" x14ac:dyDescent="0.25">
      <c r="A277" s="68" t="s">
        <v>173</v>
      </c>
      <c r="B277" s="68" t="s">
        <v>571</v>
      </c>
      <c r="C277" s="2">
        <v>701</v>
      </c>
      <c r="D277">
        <f>RTD("tos.rtd", , "LAST", Main_S[[#This Row],[Symbol]])</f>
        <v>4.9000000000000004</v>
      </c>
      <c r="E277">
        <v>-0.26</v>
      </c>
      <c r="F277">
        <v>-0.2</v>
      </c>
      <c r="G277">
        <v>-0.37</v>
      </c>
      <c r="H277" s="1">
        <f>IF(ISNUMBER(Main_S[[#This Row],[Free CF]]),IF(Main_S[[#This Row],[Free CF]]&lt;&gt;0,Main_S[[#This Row],[Current Price]]/Main_S[[#This Row],[Free CF]],""),"")</f>
        <v>-18.846153846153847</v>
      </c>
      <c r="I277" s="1">
        <f>IF(ISNUMBER(Main_S[[#This Row],[BVPS]]),IF(Main_S[[#This Row],[BVPS]]&lt;&gt;0,Main_S[[#This Row],[Current Price]]/Main_S[[#This Row],[BVPS]],""),"")</f>
        <v>-24.5</v>
      </c>
      <c r="J277">
        <v>301.32</v>
      </c>
      <c r="K277">
        <v>-5.33</v>
      </c>
      <c r="L277">
        <v>-10.91</v>
      </c>
      <c r="M277" s="1">
        <f>IF(ISNUMBER(Main_S[[#This Row],[EPS]]),IF(Main_S[[#This Row],[EPS]]&lt;&gt;0,Main_S[[#This Row],[Current Price]]/Main_S[[#This Row],[EPS]],""),"")</f>
        <v>-13.243243243243244</v>
      </c>
      <c r="N277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7" s="1">
        <f>(Main_S[[#This Row],[P/FCF]]-VLOOKUP(Main_S[[#This Row],[Industry]], Mean_PFCF_S, 2, FALSE))/(VLOOKUP(Main_S[[#This Row],[Industry]], Mean_PFCF_S, 3, FALSE))</f>
        <v>-1.2013837868799753</v>
      </c>
      <c r="P277" s="1">
        <f>(Main_S[[#This Row],[P/B]]-VLOOKUP(Main_S[[#This Row],[Industry]], Mean_PB_S, 2, FALSE))/(VLOOKUP(Main_S[[#This Row],[Industry]], Mean_PB_S, 3, FALSE))</f>
        <v>-12.53636880423578</v>
      </c>
      <c r="Q277" s="1">
        <f>(Main_S[[#This Row],[ROE]]-VLOOKUP(Main_S[[#This Row],[Industry]], Mean_ROE_S, 2, FALSE))/(VLOOKUP(Main_S[[#This Row],[Industry]], Mean_ROE_S, 3, FALSE))</f>
        <v>8.5571984800221408</v>
      </c>
      <c r="R277" s="1">
        <f>(Main_S[[#This Row],[ROA]]-VLOOKUP(Main_S[[#This Row],[Industry]], Mean_ROA_S, 2, FALSE))/(VLOOKUP(Main_S[[#This Row],[Industry]], Mean_ROA_S, 3, FALSE))</f>
        <v>0.34449269005087779</v>
      </c>
      <c r="S277" s="1">
        <f>(Main_S[[#This Row],[A/E]]-VLOOKUP(Main_S[[#This Row],[Industry]], Mean_AE_S, 2, FALSE))/(VLOOKUP(Main_S[[#This Row],[Industry]], Mean_AE_S, 3, FALSE))</f>
        <v>-28.622435963284449</v>
      </c>
      <c r="T277" s="1">
        <f>(Main_S[[#This Row],[P/E]]-VLOOKUP(Main_S[[#This Row],[Industry]], Mean_PE_S, 2, FALSE))/(VLOOKUP(Main_S[[#This Row],[Industry]], Mean_PE_S, 3, FALSE))</f>
        <v>-0.95762283334869669</v>
      </c>
      <c r="U277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7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7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7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7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7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8" spans="1:26" x14ac:dyDescent="0.25">
      <c r="A278" s="68" t="s">
        <v>173</v>
      </c>
      <c r="B278" s="68" t="s">
        <v>572</v>
      </c>
      <c r="C278" s="2">
        <v>411</v>
      </c>
      <c r="D278">
        <f>RTD("tos.rtd", , "LAST", Main_S[[#This Row],[Symbol]])</f>
        <v>7.87</v>
      </c>
      <c r="E278">
        <v>-1.51</v>
      </c>
      <c r="F278">
        <v>0.74</v>
      </c>
      <c r="G278">
        <v>-2.2799999999999998</v>
      </c>
      <c r="H278" s="1">
        <f>IF(ISNUMBER(Main_S[[#This Row],[Free CF]]),IF(Main_S[[#This Row],[Free CF]]&lt;&gt;0,Main_S[[#This Row],[Current Price]]/Main_S[[#This Row],[Free CF]],""),"")</f>
        <v>-5.2119205298013247</v>
      </c>
      <c r="I278" s="1">
        <f>IF(ISNUMBER(Main_S[[#This Row],[BVPS]]),IF(Main_S[[#This Row],[BVPS]]&lt;&gt;0,Main_S[[#This Row],[Current Price]]/Main_S[[#This Row],[BVPS]],""),"")</f>
        <v>10.635135135135135</v>
      </c>
      <c r="J278">
        <v>-207.84</v>
      </c>
      <c r="K278">
        <v>-31.03</v>
      </c>
      <c r="L278">
        <v>4.49</v>
      </c>
      <c r="M278" s="1">
        <f>IF(ISNUMBER(Main_S[[#This Row],[EPS]]),IF(Main_S[[#This Row],[EPS]]&lt;&gt;0,Main_S[[#This Row],[Current Price]]/Main_S[[#This Row],[EPS]],""),"")</f>
        <v>-3.4517543859649127</v>
      </c>
      <c r="N278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8" s="1">
        <f>(Main_S[[#This Row],[P/FCF]]-VLOOKUP(Main_S[[#This Row],[Industry]], Mean_PFCF_S, 2, FALSE))/(VLOOKUP(Main_S[[#This Row],[Industry]], Mean_PFCF_S, 3, FALSE))</f>
        <v>-2.1921369944049782E-2</v>
      </c>
      <c r="P278" s="1">
        <f>(Main_S[[#This Row],[P/B]]-VLOOKUP(Main_S[[#This Row],[Industry]], Mean_PB_S, 2, FALSE))/(VLOOKUP(Main_S[[#This Row],[Industry]], Mean_PB_S, 3, FALSE))</f>
        <v>4.0237518987795635</v>
      </c>
      <c r="Q278" s="1">
        <f>(Main_S[[#This Row],[ROE]]-VLOOKUP(Main_S[[#This Row],[Industry]], Mean_ROE_S, 2, FALSE))/(VLOOKUP(Main_S[[#This Row],[Industry]], Mean_ROE_S, 3, FALSE))</f>
        <v>-5.0703076980354362</v>
      </c>
      <c r="R278" s="1">
        <f>(Main_S[[#This Row],[ROA]]-VLOOKUP(Main_S[[#This Row],[Industry]], Mean_ROA_S, 2, FALSE))/(VLOOKUP(Main_S[[#This Row],[Industry]], Mean_ROA_S, 3, FALSE))</f>
        <v>-1.2356764823140625</v>
      </c>
      <c r="S278" s="1">
        <f>(Main_S[[#This Row],[A/E]]-VLOOKUP(Main_S[[#This Row],[Industry]], Mean_AE_S, 2, FALSE))/(VLOOKUP(Main_S[[#This Row],[Industry]], Mean_AE_S, 3, FALSE))</f>
        <v>7.1972561407314508</v>
      </c>
      <c r="T278" s="1">
        <f>(Main_S[[#This Row],[P/E]]-VLOOKUP(Main_S[[#This Row],[Industry]], Mean_PE_S, 2, FALSE))/(VLOOKUP(Main_S[[#This Row],[Industry]], Mean_PE_S, 3, FALSE))</f>
        <v>0.2526290666017747</v>
      </c>
      <c r="U278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No</v>
      </c>
      <c r="V278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8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Yes</v>
      </c>
      <c r="X278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8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Yes</v>
      </c>
      <c r="Z278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No</v>
      </c>
    </row>
    <row r="279" spans="1:26" x14ac:dyDescent="0.25">
      <c r="A279" s="68" t="s">
        <v>173</v>
      </c>
      <c r="B279" s="68" t="s">
        <v>573</v>
      </c>
      <c r="C279" s="2">
        <v>546</v>
      </c>
      <c r="D279">
        <f>RTD("tos.rtd", , "LAST", Main_S[[#This Row],[Symbol]])</f>
        <v>7.41</v>
      </c>
      <c r="H279" s="1" t="str">
        <f>IF(ISNUMBER(Main_S[[#This Row],[Free CF]]),IF(Main_S[[#This Row],[Free CF]]&lt;&gt;0,Main_S[[#This Row],[Current Price]]/Main_S[[#This Row],[Free CF]],""),"")</f>
        <v/>
      </c>
      <c r="I279" s="1" t="str">
        <f>IF(ISNUMBER(Main_S[[#This Row],[BVPS]]),IF(Main_S[[#This Row],[BVPS]]&lt;&gt;0,Main_S[[#This Row],[Current Price]]/Main_S[[#This Row],[BVPS]],""),"")</f>
        <v/>
      </c>
      <c r="J279">
        <v>7.15</v>
      </c>
      <c r="K279">
        <v>3.82</v>
      </c>
      <c r="L279">
        <v>1.73</v>
      </c>
      <c r="M279" s="1" t="str">
        <f>IF(ISNUMBER(Main_S[[#This Row],[EPS]]),IF(Main_S[[#This Row],[EPS]]&lt;&gt;0,Main_S[[#This Row],[Current Price]]/Main_S[[#This Row],[EPS]],""),"")</f>
        <v/>
      </c>
      <c r="N279" t="str">
        <f>IF(AND(Main_S[[#This Row],[P/FCF]]&gt;0, Main_S[[#This Row],[P/FCF]]&lt;VLOOKUP(Main_S[[#This Row],[Industry]], Mean_PFCF_S, 2, FALSE), Main_S[[#This Row],[P/B]]&gt;0,  Main_S[[#This Row],[P/B]]&lt;VLOOKUP(Main_S[[#This Row],[Industry]], Mean_PB_S, 2, FALSE), Main_S[[#This Row],[ROE]]&gt;10, Main_S[[#This Row],[ROA]]&gt;5, Main_S[[#This Row],[A/E]]&gt;1, Main_S[[#This Row],[A/E]]&lt;VLOOKUP(Main_S[[#This Row],[Industry]], Mean_AE_S, 2, FALSE)), "YES", "NO")</f>
        <v>NO</v>
      </c>
      <c r="O279" s="1" t="e">
        <f>(Main_S[[#This Row],[P/FCF]]-VLOOKUP(Main_S[[#This Row],[Industry]], Mean_PFCF_S, 2, FALSE))/(VLOOKUP(Main_S[[#This Row],[Industry]], Mean_PFCF_S, 3, FALSE))</f>
        <v>#VALUE!</v>
      </c>
      <c r="P279" s="1" t="e">
        <f>(Main_S[[#This Row],[P/B]]-VLOOKUP(Main_S[[#This Row],[Industry]], Mean_PB_S, 2, FALSE))/(VLOOKUP(Main_S[[#This Row],[Industry]], Mean_PB_S, 3, FALSE))</f>
        <v>#VALUE!</v>
      </c>
      <c r="Q279" s="1">
        <f>(Main_S[[#This Row],[ROE]]-VLOOKUP(Main_S[[#This Row],[Industry]], Mean_ROE_S, 2, FALSE))/(VLOOKUP(Main_S[[#This Row],[Industry]], Mean_ROE_S, 3, FALSE))</f>
        <v>0.6838315768891432</v>
      </c>
      <c r="R279" s="1">
        <f>(Main_S[[#This Row],[ROA]]-VLOOKUP(Main_S[[#This Row],[Industry]], Mean_ROA_S, 2, FALSE))/(VLOOKUP(Main_S[[#This Row],[Industry]], Mean_ROA_S, 3, FALSE))</f>
        <v>0.90708210355823971</v>
      </c>
      <c r="S279" s="1">
        <f>(Main_S[[#This Row],[A/E]]-VLOOKUP(Main_S[[#This Row],[Industry]], Mean_AE_S, 2, FALSE))/(VLOOKUP(Main_S[[#This Row],[Industry]], Mean_AE_S, 3, FALSE))</f>
        <v>0.77762301040132842</v>
      </c>
      <c r="T279" s="1" t="e">
        <f>(Main_S[[#This Row],[P/E]]-VLOOKUP(Main_S[[#This Row],[Industry]], Mean_PE_S, 2, FALSE))/(VLOOKUP(Main_S[[#This Row],[Industry]], Mean_PE_S, 3, FALSE))</f>
        <v>#VALUE!</v>
      </c>
      <c r="U279" t="str">
        <f>IF(OR(Main_S[[#This Row],[P/FCF]]&lt;_xlfn.XLOOKUP(Main_S[[#This Row],[Industry]], Quartile_S[Industry], Quartile_S[P/FCF LB]), Main_S[[#This Row],[P/FCF]]&gt;_xlfn.XLOOKUP(Main_S[[#This Row],[Industry]], Quartile_S[Industry], Quartile_S[P/FCF UB])), "Yes", "No")</f>
        <v>Yes</v>
      </c>
      <c r="V279" t="str">
        <f>IF(OR(Main_S[[#This Row],[P/B]]&lt;_xlfn.XLOOKUP(Main_S[[#This Row],[Industry]],Quartile_S[Industry],Quartile_S[P/B LB]),Main_S[[#This Row],[P/B]]&gt;_xlfn.XLOOKUP(Main_S[[#This Row],[Industry]],Quartile_S[Industry],Quartile_S[P/B UB])),"Yes","No")</f>
        <v>Yes</v>
      </c>
      <c r="W279" t="str">
        <f>IF(OR(Main_S[[#This Row],[ROE]]&lt;_xlfn.XLOOKUP(Main_S[[#This Row],[Industry]],Quartile_S[Industry],Quartile_S[ROE LB]),Main_S[[#This Row],[ROE]]&gt;_xlfn.XLOOKUP(Main_S[[#This Row],[Industry]],Quartile_S[Industry],Quartile_S[ROE UB])),"Yes","No")</f>
        <v>No</v>
      </c>
      <c r="X279" t="str">
        <f>IF(OR(Main_S[[#This Row],[ROA]]&lt;_xlfn.XLOOKUP(Main_S[[#This Row],[Industry]],Quartile_S[Industry],Quartile_S[ROA LB]),Main_S[[#This Row],[ROA]]&gt;_xlfn.XLOOKUP(Main_S[[#This Row],[Industry]],Quartile_S[Industry],Quartile_S[ROA UB])),"Yes","No")</f>
        <v>No</v>
      </c>
      <c r="Y279" t="str">
        <f>IF(OR(Main_S[[#This Row],[A/E]]&lt;_xlfn.XLOOKUP(Main_S[[#This Row],[Industry]],Quartile_S[Industry],Quartile_S[A/E LB]),Main_S[[#This Row],[A/E]]&gt;_xlfn.XLOOKUP(Main_S[[#This Row],[Industry]],Quartile_S[Industry],Quartile_S[A/E UB])),"Yes","No")</f>
        <v>No</v>
      </c>
      <c r="Z279" t="str">
        <f>IF(OR(Main_S[[#This Row],[P/E]]&lt;_xlfn.XLOOKUP(Main_S[[#This Row],[Industry]],Quartile_S[Industry],Quartile_S[P/E LB]),Main_S[[#This Row],[P/E]]&gt;_xlfn.XLOOKUP(Main_S[[#This Row],[Industry]],Quartile_S[Industry],Quartile_S[P/E UB])),"Yes","No")</f>
        <v>Yes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3DAE7-D49B-458A-9273-F0E72B30D474}">
  <sheetPr codeName="Sheet5"/>
  <dimension ref="A1:Y28"/>
  <sheetViews>
    <sheetView topLeftCell="A5" workbookViewId="0">
      <selection activeCell="B24" sqref="B24"/>
    </sheetView>
  </sheetViews>
  <sheetFormatPr defaultRowHeight="15" x14ac:dyDescent="0.25"/>
  <cols>
    <col min="1" max="1" width="31.42578125" bestFit="1" customWidth="1"/>
    <col min="2" max="3" width="60.140625" bestFit="1" customWidth="1"/>
    <col min="4" max="4" width="45.140625" bestFit="1" customWidth="1"/>
    <col min="5" max="5" width="45.42578125" bestFit="1" customWidth="1"/>
    <col min="6" max="7" width="58" bestFit="1" customWidth="1"/>
    <col min="8" max="8" width="39" bestFit="1" customWidth="1"/>
    <col min="9" max="9" width="39.28515625" bestFit="1" customWidth="1"/>
    <col min="10" max="11" width="58.7109375" bestFit="1" customWidth="1"/>
    <col min="12" max="12" width="40.7109375" bestFit="1" customWidth="1"/>
    <col min="13" max="13" width="41" bestFit="1" customWidth="1"/>
    <col min="14" max="15" width="58.85546875" bestFit="1" customWidth="1"/>
    <col min="16" max="16" width="41.140625" bestFit="1" customWidth="1"/>
    <col min="17" max="17" width="41.42578125" bestFit="1" customWidth="1"/>
    <col min="18" max="19" width="57.85546875" bestFit="1" customWidth="1"/>
    <col min="20" max="20" width="38.5703125" bestFit="1" customWidth="1"/>
    <col min="21" max="21" width="38.85546875" bestFit="1" customWidth="1"/>
    <col min="22" max="23" width="57.85546875" bestFit="1" customWidth="1"/>
    <col min="24" max="24" width="38.5703125" bestFit="1" customWidth="1"/>
    <col min="25" max="25" width="38.85546875" bestFit="1" customWidth="1"/>
  </cols>
  <sheetData>
    <row r="1" spans="1:25" x14ac:dyDescent="0.25">
      <c r="A1" t="s">
        <v>0</v>
      </c>
    </row>
    <row r="2" spans="1:25" x14ac:dyDescent="0.2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72</v>
      </c>
      <c r="G2" t="s">
        <v>73</v>
      </c>
      <c r="H2" t="s">
        <v>74</v>
      </c>
      <c r="I2" t="s">
        <v>75</v>
      </c>
      <c r="J2" t="s">
        <v>6</v>
      </c>
      <c r="K2" t="s">
        <v>7</v>
      </c>
      <c r="L2" t="s">
        <v>8</v>
      </c>
      <c r="M2" t="s">
        <v>9</v>
      </c>
      <c r="N2" t="s">
        <v>10</v>
      </c>
      <c r="O2" t="s">
        <v>11</v>
      </c>
      <c r="P2" t="s">
        <v>12</v>
      </c>
      <c r="Q2" t="s">
        <v>13</v>
      </c>
      <c r="R2" t="s">
        <v>14</v>
      </c>
      <c r="S2" t="s">
        <v>15</v>
      </c>
      <c r="T2" t="s">
        <v>16</v>
      </c>
      <c r="U2" t="s">
        <v>17</v>
      </c>
      <c r="V2" t="s">
        <v>18</v>
      </c>
      <c r="W2" t="s">
        <v>19</v>
      </c>
      <c r="X2" t="s">
        <v>20</v>
      </c>
      <c r="Y2" t="s">
        <v>21</v>
      </c>
    </row>
    <row r="3" spans="1:25" x14ac:dyDescent="0.25">
      <c r="A3" t="s">
        <v>105</v>
      </c>
      <c r="B3" s="1" cm="1">
        <f t="array" ref="B3">_xlfn.QUARTILE.INC(IF(Quartile_L[[#This Row],[Industry]]=Main_L[Industry],Main_L[P/FCF]),1)</f>
        <v>22.628498528990601</v>
      </c>
      <c r="C3" s="1" cm="1">
        <f t="array" ref="C3">_xlfn.QUARTILE.INC(IF(Quartile_L[[#This Row],[Industry]]=Main_L[Industry],Main_L[P/FCF]),3)</f>
        <v>49.92077299050046</v>
      </c>
      <c r="D3" s="1">
        <f>Quartile_L[[#This Row],[P/FCF Q1]]-1.5*(Quartile_L[[#This Row],[P/FCF Q3]]-Quartile_L[[#This Row],[P/FCF Q1]])</f>
        <v>-18.309913163274185</v>
      </c>
      <c r="E3" s="1">
        <f>Quartile_L[[#This Row],[P/FCF Q3]]+1.5*(Quartile_L[[#This Row],[P/FCF Q3]]-Quartile_L[[#This Row],[P/FCF Q1]])</f>
        <v>90.859184682765246</v>
      </c>
      <c r="F3" s="1" cm="1">
        <f t="array" ref="F3">_xlfn.QUARTILE.INC(IF(Quartile_L[[#This Row],[Industry]]=Main_L[Industry],Main_L[P/B]),1)</f>
        <v>2.2483117738654759</v>
      </c>
      <c r="G3" s="1" cm="1">
        <f t="array" ref="G3">_xlfn.QUARTILE.INC(IF(Quartile_L[[#This Row],[Industry]]=Main_L[Industry],Main_L[P/B]),3)</f>
        <v>6.9648916167281794</v>
      </c>
      <c r="H3" s="1">
        <f>Quartile_L[[#This Row],[P/B Q1]]-1.5*(Quartile_L[[#This Row],[P/B Q3]]-Quartile_L[[#This Row],[P/B Q1]])</f>
        <v>-4.8265579904285794</v>
      </c>
      <c r="I3" s="1">
        <f>Quartile_L[[#This Row],[P/B Q3]]+1.5*(Quartile_L[[#This Row],[P/B Q3]]-Quartile_L[[#This Row],[P/B Q1]])</f>
        <v>14.039761381022235</v>
      </c>
      <c r="J3" s="1" cm="1">
        <f t="array" ref="J3">_xlfn.QUARTILE.INC(IF(Quartile_L[[#This Row],[Industry]]=Main_L[Industry],Main_L[ROE]),1)</f>
        <v>6.22</v>
      </c>
      <c r="K3" s="1" cm="1">
        <f t="array" ref="K3">_xlfn.QUARTILE.INC(IF(Quartile_L[[#This Row],[Industry]]=Main_L[Industry],Main_L[ROE]),3)</f>
        <v>20.18</v>
      </c>
      <c r="L3" s="1">
        <f>Quartile_L[[#This Row],[ROE Q1]]-1.5*(Quartile_L[[#This Row],[ROE Q3]]-Quartile_L[[#This Row],[ROE Q1]])</f>
        <v>-14.720000000000002</v>
      </c>
      <c r="M3" s="1">
        <f>Quartile_L[[#This Row],[ROE Q3]]+1.5*(Quartile_L[[#This Row],[ROE Q3]]-Quartile_L[[#This Row],[ROE Q1]])</f>
        <v>41.120000000000005</v>
      </c>
      <c r="N3" s="1" cm="1">
        <f t="array" ref="N3">_xlfn.QUARTILE.INC(IF(Quartile_L[[#This Row],[Industry]]=Main_L[Industry],Main_L[ROA]),1)</f>
        <v>4.5449999999999999</v>
      </c>
      <c r="O3" s="1" cm="1">
        <f t="array" ref="O3">_xlfn.QUARTILE.INC(IF(Quartile_L[[#This Row],[Industry]]=Main_L[Industry],Main_L[ROA]),3)</f>
        <v>6.8599999999999994</v>
      </c>
      <c r="P3" s="1">
        <f>Quartile_L[[#This Row],[ROA Q1]]-1.5*(Quartile_L[[#This Row],[ROA Q3]]-Quartile_L[[#This Row],[ROA Q1]])</f>
        <v>1.0725000000000007</v>
      </c>
      <c r="Q3" s="1">
        <f>Quartile_L[[#This Row],[ROA Q3]]+1.5*(Quartile_L[[#This Row],[ROA Q3]]-Quartile_L[[#This Row],[ROA Q1]])</f>
        <v>10.3325</v>
      </c>
      <c r="R3" s="1" cm="1">
        <f t="array" ref="R3">_xlfn.QUARTILE.INC(IF(Quartile_L[[#This Row],[Industry]]=Main_L[Industry],Main_L[P/E]),1)</f>
        <v>24.963552262868987</v>
      </c>
      <c r="S3" s="1" cm="1">
        <f t="array" ref="S3">_xlfn.QUARTILE.INC(IF(Quartile_L[[#This Row],[Industry]]=Main_L[Industry],Main_L[P/E]),3)</f>
        <v>53.386881604788172</v>
      </c>
      <c r="T3" s="1">
        <f>Quartile_L[[#This Row],[P/E Q1]]-1.5*(Quartile_L[[#This Row],[P/E Q3]]-Quartile_L[[#This Row],[P/E Q1]])</f>
        <v>-17.671441750009791</v>
      </c>
      <c r="U3" s="1">
        <f>Quartile_L[[#This Row],[P/E Q3]]+1.5*(Quartile_L[[#This Row],[P/E Q3]]-Quartile_L[[#This Row],[P/E Q1]])</f>
        <v>96.02187561766695</v>
      </c>
      <c r="V3" s="1" cm="1">
        <f t="array" ref="V3">_xlfn.QUARTILE.INC(IF(Quartile_L[[#This Row],[Industry]]=Main_L[Industry],Main_L[A/E]),1)</f>
        <v>1.53</v>
      </c>
      <c r="W3" s="1" cm="1">
        <f t="array" ref="W3">_xlfn.QUARTILE.INC(IF(Quartile_L[[#This Row],[Industry]]=Main_L[Industry],Main_L[A/E]),3)</f>
        <v>2.3150000000000004</v>
      </c>
      <c r="X3" s="1">
        <f>Quartile_L[[#This Row],[A/E Q1]]-1.5*(Quartile_L[[#This Row],[A/E Q3]]-Quartile_L[[#This Row],[A/E Q1]])</f>
        <v>0.35249999999999937</v>
      </c>
      <c r="Y3" s="1">
        <f>Quartile_L[[#This Row],[A/E Q3]]+1.5*(Quartile_L[[#This Row],[A/E Q3]]-Quartile_L[[#This Row],[A/E Q1]])</f>
        <v>3.492500000000001</v>
      </c>
    </row>
    <row r="4" spans="1:25" x14ac:dyDescent="0.25">
      <c r="A4" t="s">
        <v>129</v>
      </c>
      <c r="B4" s="1" cm="1">
        <f t="array" ref="B4">_xlfn.QUARTILE.INC(IF(Quartile_L[[#This Row],[Industry]]=Main_L[Industry],Main_L[P/FCF]),1)</f>
        <v>11.55377913945885</v>
      </c>
      <c r="C4" s="1" cm="1">
        <f t="array" ref="C4">_xlfn.QUARTILE.INC(IF(Quartile_L[[#This Row],[Industry]]=Main_L[Industry],Main_L[P/FCF]),3)</f>
        <v>21.885589819399343</v>
      </c>
      <c r="D4" s="1">
        <f>Quartile_L[[#This Row],[P/FCF Q1]]-1.5*(Quartile_L[[#This Row],[P/FCF Q3]]-Quartile_L[[#This Row],[P/FCF Q1]])</f>
        <v>-3.9439368804518882</v>
      </c>
      <c r="E4" s="1">
        <f>Quartile_L[[#This Row],[P/FCF Q3]]+1.5*(Quartile_L[[#This Row],[P/FCF Q3]]-Quartile_L[[#This Row],[P/FCF Q1]])</f>
        <v>37.383305839310083</v>
      </c>
      <c r="F4" s="1" cm="1">
        <f t="array" ref="F4">_xlfn.QUARTILE.INC(IF(Quartile_L[[#This Row],[Industry]]=Main_L[Industry],Main_L[P/B]),1)</f>
        <v>1.0217126873019859</v>
      </c>
      <c r="G4" s="1" cm="1">
        <f t="array" ref="G4">_xlfn.QUARTILE.INC(IF(Quartile_L[[#This Row],[Industry]]=Main_L[Industry],Main_L[P/B]),3)</f>
        <v>3.6967646388343831</v>
      </c>
      <c r="H4" s="1">
        <f>Quartile_L[[#This Row],[P/B Q1]]-1.5*(Quartile_L[[#This Row],[P/B Q3]]-Quartile_L[[#This Row],[P/B Q1]])</f>
        <v>-2.9908652399966096</v>
      </c>
      <c r="I4" s="1">
        <f>Quartile_L[[#This Row],[P/B Q3]]+1.5*(Quartile_L[[#This Row],[P/B Q3]]-Quartile_L[[#This Row],[P/B Q1]])</f>
        <v>7.7093425661329782</v>
      </c>
      <c r="J4" s="1" cm="1">
        <f t="array" ref="J4">_xlfn.QUARTILE.INC(IF(Quartile_L[[#This Row],[Industry]]=Main_L[Industry],Main_L[ROE]),1)</f>
        <v>9.5399999999999991</v>
      </c>
      <c r="K4" s="1" cm="1">
        <f t="array" ref="K4">_xlfn.QUARTILE.INC(IF(Quartile_L[[#This Row],[Industry]]=Main_L[Industry],Main_L[ROE]),3)</f>
        <v>27.77</v>
      </c>
      <c r="L4" s="1">
        <f>Quartile_L[[#This Row],[ROE Q1]]-1.5*(Quartile_L[[#This Row],[ROE Q3]]-Quartile_L[[#This Row],[ROE Q1]])</f>
        <v>-17.805</v>
      </c>
      <c r="M4" s="1">
        <f>Quartile_L[[#This Row],[ROE Q3]]+1.5*(Quartile_L[[#This Row],[ROE Q3]]-Quartile_L[[#This Row],[ROE Q1]])</f>
        <v>55.114999999999995</v>
      </c>
      <c r="N4" s="1" cm="1">
        <f t="array" ref="N4">_xlfn.QUARTILE.INC(IF(Quartile_L[[#This Row],[Industry]]=Main_L[Industry],Main_L[ROA]),1)</f>
        <v>3.9</v>
      </c>
      <c r="O4" s="1" cm="1">
        <f t="array" ref="O4">_xlfn.QUARTILE.INC(IF(Quartile_L[[#This Row],[Industry]]=Main_L[Industry],Main_L[ROA]),3)</f>
        <v>7.2050000000000001</v>
      </c>
      <c r="P4" s="1">
        <f>Quartile_L[[#This Row],[ROA Q1]]-1.5*(Quartile_L[[#This Row],[ROA Q3]]-Quartile_L[[#This Row],[ROA Q1]])</f>
        <v>-1.0575000000000006</v>
      </c>
      <c r="Q4" s="1">
        <f>Quartile_L[[#This Row],[ROA Q3]]+1.5*(Quartile_L[[#This Row],[ROA Q3]]-Quartile_L[[#This Row],[ROA Q1]])</f>
        <v>12.162500000000001</v>
      </c>
      <c r="R4" s="1" cm="1">
        <f t="array" ref="R4">_xlfn.QUARTILE.INC(IF(Quartile_L[[#This Row],[Industry]]=Main_L[Industry],Main_L[P/E]),1)</f>
        <v>13.928796873575081</v>
      </c>
      <c r="S4" s="1" cm="1">
        <f t="array" ref="S4">_xlfn.QUARTILE.INC(IF(Quartile_L[[#This Row],[Industry]]=Main_L[Industry],Main_L[P/E]),3)</f>
        <v>23.718916495736416</v>
      </c>
      <c r="T4" s="1">
        <f>Quartile_L[[#This Row],[P/E Q1]]-1.5*(Quartile_L[[#This Row],[P/E Q3]]-Quartile_L[[#This Row],[P/E Q1]])</f>
        <v>-0.75638255966692114</v>
      </c>
      <c r="U4" s="1">
        <f>Quartile_L[[#This Row],[P/E Q3]]+1.5*(Quartile_L[[#This Row],[P/E Q3]]-Quartile_L[[#This Row],[P/E Q1]])</f>
        <v>38.404095928978421</v>
      </c>
      <c r="V4" s="1" cm="1">
        <f t="array" ref="V4">_xlfn.QUARTILE.INC(IF(Quartile_L[[#This Row],[Industry]]=Main_L[Industry],Main_L[A/E]),1)</f>
        <v>2.1550000000000002</v>
      </c>
      <c r="W4" s="1" cm="1">
        <f t="array" ref="W4">_xlfn.QUARTILE.INC(IF(Quartile_L[[#This Row],[Industry]]=Main_L[Industry],Main_L[A/E]),3)</f>
        <v>3.5350000000000001</v>
      </c>
      <c r="X4" s="1">
        <f>Quartile_L[[#This Row],[A/E Q1]]-1.5*(Quartile_L[[#This Row],[A/E Q3]]-Quartile_L[[#This Row],[A/E Q1]])</f>
        <v>8.5000000000000409E-2</v>
      </c>
      <c r="Y4" s="1">
        <f>Quartile_L[[#This Row],[A/E Q3]]+1.5*(Quartile_L[[#This Row],[A/E Q3]]-Quartile_L[[#This Row],[A/E Q1]])</f>
        <v>5.6050000000000004</v>
      </c>
    </row>
    <row r="5" spans="1:25" x14ac:dyDescent="0.25">
      <c r="A5" t="s">
        <v>149</v>
      </c>
      <c r="B5" s="1" cm="1">
        <f t="array" ref="B5">_xlfn.QUARTILE.INC(IF(Quartile_L[[#This Row],[Industry]]=Main_L[Industry],Main_L[P/FCF]),1)</f>
        <v>39.551092552828067</v>
      </c>
      <c r="C5" s="1" cm="1">
        <f t="array" ref="C5">_xlfn.QUARTILE.INC(IF(Quartile_L[[#This Row],[Industry]]=Main_L[Industry],Main_L[P/FCF]),3)</f>
        <v>45.672944829437313</v>
      </c>
      <c r="D5" s="1">
        <f>Quartile_L[[#This Row],[P/FCF Q1]]-1.5*(Quartile_L[[#This Row],[P/FCF Q3]]-Quartile_L[[#This Row],[P/FCF Q1]])</f>
        <v>30.368314137914197</v>
      </c>
      <c r="E5" s="1">
        <f>Quartile_L[[#This Row],[P/FCF Q3]]+1.5*(Quartile_L[[#This Row],[P/FCF Q3]]-Quartile_L[[#This Row],[P/FCF Q1]])</f>
        <v>54.855723244351182</v>
      </c>
      <c r="F5" s="1" cm="1">
        <f t="array" ref="F5">_xlfn.QUARTILE.INC(IF(Quartile_L[[#This Row],[Industry]]=Main_L[Industry],Main_L[P/B]),1)</f>
        <v>7.7900297792533646</v>
      </c>
      <c r="G5" s="1" cm="1">
        <f t="array" ref="G5">_xlfn.QUARTILE.INC(IF(Quartile_L[[#This Row],[Industry]]=Main_L[Industry],Main_L[P/B]),3)</f>
        <v>9.9215250779329391</v>
      </c>
      <c r="H5" s="1">
        <f>Quartile_L[[#This Row],[P/B Q1]]-1.5*(Quartile_L[[#This Row],[P/B Q3]]-Quartile_L[[#This Row],[P/B Q1]])</f>
        <v>4.5927868312340028</v>
      </c>
      <c r="I5" s="1">
        <f>Quartile_L[[#This Row],[P/B Q3]]+1.5*(Quartile_L[[#This Row],[P/B Q3]]-Quartile_L[[#This Row],[P/B Q1]])</f>
        <v>13.118768025952301</v>
      </c>
      <c r="J5" s="1" cm="1">
        <f t="array" ref="J5">_xlfn.QUARTILE.INC(IF(Quartile_L[[#This Row],[Industry]]=Main_L[Industry],Main_L[ROE]),1)</f>
        <v>15.532500000000001</v>
      </c>
      <c r="K5" s="1" cm="1">
        <f t="array" ref="K5">_xlfn.QUARTILE.INC(IF(Quartile_L[[#This Row],[Industry]]=Main_L[Industry],Main_L[ROE]),3)</f>
        <v>19.337499999999999</v>
      </c>
      <c r="L5" s="1">
        <f>Quartile_L[[#This Row],[ROE Q1]]-1.5*(Quartile_L[[#This Row],[ROE Q3]]-Quartile_L[[#This Row],[ROE Q1]])</f>
        <v>9.8250000000000028</v>
      </c>
      <c r="M5" s="1">
        <f>Quartile_L[[#This Row],[ROE Q3]]+1.5*(Quartile_L[[#This Row],[ROE Q3]]-Quartile_L[[#This Row],[ROE Q1]])</f>
        <v>25.044999999999995</v>
      </c>
      <c r="N5" s="1" cm="1">
        <f t="array" ref="N5">_xlfn.QUARTILE.INC(IF(Quartile_L[[#This Row],[Industry]]=Main_L[Industry],Main_L[ROA]),1)</f>
        <v>8.1475000000000009</v>
      </c>
      <c r="O5" s="1" cm="1">
        <f t="array" ref="O5">_xlfn.QUARTILE.INC(IF(Quartile_L[[#This Row],[Industry]]=Main_L[Industry],Main_L[ROA]),3)</f>
        <v>11.3025</v>
      </c>
      <c r="P5" s="1">
        <f>Quartile_L[[#This Row],[ROA Q1]]-1.5*(Quartile_L[[#This Row],[ROA Q3]]-Quartile_L[[#This Row],[ROA Q1]])</f>
        <v>3.4150000000000018</v>
      </c>
      <c r="Q5" s="1">
        <f>Quartile_L[[#This Row],[ROA Q3]]+1.5*(Quartile_L[[#This Row],[ROA Q3]]-Quartile_L[[#This Row],[ROA Q1]])</f>
        <v>16.035</v>
      </c>
      <c r="R5" s="1" cm="1">
        <f t="array" ref="R5">_xlfn.QUARTILE.INC(IF(Quartile_L[[#This Row],[Industry]]=Main_L[Industry],Main_L[P/E]),1)</f>
        <v>56.982499999999995</v>
      </c>
      <c r="S5" s="1" cm="1">
        <f t="array" ref="S5">_xlfn.QUARTILE.INC(IF(Quartile_L[[#This Row],[Industry]]=Main_L[Industry],Main_L[P/E]),3)</f>
        <v>59.280833333333334</v>
      </c>
      <c r="T5" s="1">
        <f>Quartile_L[[#This Row],[P/E Q1]]-1.5*(Quartile_L[[#This Row],[P/E Q3]]-Quartile_L[[#This Row],[P/E Q1]])</f>
        <v>53.534999999999982</v>
      </c>
      <c r="U5" s="1">
        <f>Quartile_L[[#This Row],[P/E Q3]]+1.5*(Quartile_L[[#This Row],[P/E Q3]]-Quartile_L[[#This Row],[P/E Q1]])</f>
        <v>62.728333333333339</v>
      </c>
      <c r="V5" s="1" cm="1">
        <f t="array" ref="V5">_xlfn.QUARTILE.INC(IF(Quartile_L[[#This Row],[Industry]]=Main_L[Industry],Main_L[A/E]),1)</f>
        <v>1.17</v>
      </c>
      <c r="W5" s="1" cm="1">
        <f t="array" ref="W5">_xlfn.QUARTILE.INC(IF(Quartile_L[[#This Row],[Industry]]=Main_L[Industry],Main_L[A/E]),3)</f>
        <v>1.23</v>
      </c>
      <c r="X5" s="1">
        <f>Quartile_L[[#This Row],[A/E Q1]]-1.5*(Quartile_L[[#This Row],[A/E Q3]]-Quartile_L[[#This Row],[A/E Q1]])</f>
        <v>1.0799999999999998</v>
      </c>
      <c r="Y5" s="1">
        <f>Quartile_L[[#This Row],[A/E Q3]]+1.5*(Quartile_L[[#This Row],[A/E Q3]]-Quartile_L[[#This Row],[A/E Q1]])</f>
        <v>1.32</v>
      </c>
    </row>
    <row r="6" spans="1:25" x14ac:dyDescent="0.25">
      <c r="A6" t="s">
        <v>152</v>
      </c>
      <c r="B6" s="1" cm="1">
        <f t="array" ref="B6">_xlfn.QUARTILE.INC(IF(Quartile_L[[#This Row],[Industry]]=Main_L[Industry],Main_L[P/FCF]),1)</f>
        <v>-22.081389966496207</v>
      </c>
      <c r="C6" s="1" cm="1">
        <f t="array" ref="C6">_xlfn.QUARTILE.INC(IF(Quartile_L[[#This Row],[Industry]]=Main_L[Industry],Main_L[P/FCF]),3)</f>
        <v>19.203938261351052</v>
      </c>
      <c r="D6" s="1">
        <f>Quartile_L[[#This Row],[P/FCF Q1]]-1.5*(Quartile_L[[#This Row],[P/FCF Q3]]-Quartile_L[[#This Row],[P/FCF Q1]])</f>
        <v>-84.009382308267092</v>
      </c>
      <c r="E6" s="1">
        <f>Quartile_L[[#This Row],[P/FCF Q3]]+1.5*(Quartile_L[[#This Row],[P/FCF Q3]]-Quartile_L[[#This Row],[P/FCF Q1]])</f>
        <v>81.131930603121944</v>
      </c>
      <c r="F6" s="1" cm="1">
        <f t="array" ref="F6">_xlfn.QUARTILE.INC(IF(Quartile_L[[#This Row],[Industry]]=Main_L[Industry],Main_L[P/B]),1)</f>
        <v>2.0617659053570851</v>
      </c>
      <c r="G6" s="1" cm="1">
        <f t="array" ref="G6">_xlfn.QUARTILE.INC(IF(Quartile_L[[#This Row],[Industry]]=Main_L[Industry],Main_L[P/B]),3)</f>
        <v>18.534884453438025</v>
      </c>
      <c r="H6" s="1">
        <f>Quartile_L[[#This Row],[P/B Q1]]-1.5*(Quartile_L[[#This Row],[P/B Q3]]-Quartile_L[[#This Row],[P/B Q1]])</f>
        <v>-22.647911916764325</v>
      </c>
      <c r="I6" s="1">
        <f>Quartile_L[[#This Row],[P/B Q3]]+1.5*(Quartile_L[[#This Row],[P/B Q3]]-Quartile_L[[#This Row],[P/B Q1]])</f>
        <v>43.244562275559431</v>
      </c>
      <c r="J6" s="1" cm="1">
        <f t="array" ref="J6">_xlfn.QUARTILE.INC(IF(Quartile_L[[#This Row],[Industry]]=Main_L[Industry],Main_L[ROE]),1)</f>
        <v>-4.3650000000000002</v>
      </c>
      <c r="K6" s="1" cm="1">
        <f t="array" ref="K6">_xlfn.QUARTILE.INC(IF(Quartile_L[[#This Row],[Industry]]=Main_L[Industry],Main_L[ROE]),3)</f>
        <v>25.512499999999999</v>
      </c>
      <c r="L6" s="1">
        <f>Quartile_L[[#This Row],[ROE Q1]]-1.5*(Quartile_L[[#This Row],[ROE Q3]]-Quartile_L[[#This Row],[ROE Q1]])</f>
        <v>-49.181249999999999</v>
      </c>
      <c r="M6" s="1">
        <f>Quartile_L[[#This Row],[ROE Q3]]+1.5*(Quartile_L[[#This Row],[ROE Q3]]-Quartile_L[[#This Row],[ROE Q1]])</f>
        <v>70.328749999999999</v>
      </c>
      <c r="N6" s="1" cm="1">
        <f t="array" ref="N6">_xlfn.QUARTILE.INC(IF(Quartile_L[[#This Row],[Industry]]=Main_L[Industry],Main_L[ROA]),1)</f>
        <v>-2.2599999999999998</v>
      </c>
      <c r="O6" s="1" cm="1">
        <f t="array" ref="O6">_xlfn.QUARTILE.INC(IF(Quartile_L[[#This Row],[Industry]]=Main_L[Industry],Main_L[ROA]),3)</f>
        <v>9.2899999999999991</v>
      </c>
      <c r="P6" s="1">
        <f>Quartile_L[[#This Row],[ROA Q1]]-1.5*(Quartile_L[[#This Row],[ROA Q3]]-Quartile_L[[#This Row],[ROA Q1]])</f>
        <v>-19.585000000000001</v>
      </c>
      <c r="Q6" s="1">
        <f>Quartile_L[[#This Row],[ROA Q3]]+1.5*(Quartile_L[[#This Row],[ROA Q3]]-Quartile_L[[#This Row],[ROA Q1]])</f>
        <v>26.614999999999998</v>
      </c>
      <c r="R6" s="1" cm="1">
        <f t="array" ref="R6">_xlfn.QUARTILE.INC(IF(Quartile_L[[#This Row],[Industry]]=Main_L[Industry],Main_L[P/E]),1)</f>
        <v>-29.723625319693092</v>
      </c>
      <c r="S6" s="1" cm="1">
        <f t="array" ref="S6">_xlfn.QUARTILE.INC(IF(Quartile_L[[#This Row],[Industry]]=Main_L[Industry],Main_L[P/E]),3)</f>
        <v>22.724582088142636</v>
      </c>
      <c r="T6" s="1">
        <f>Quartile_L[[#This Row],[P/E Q1]]-1.5*(Quartile_L[[#This Row],[P/E Q3]]-Quartile_L[[#This Row],[P/E Q1]])</f>
        <v>-108.39593643144667</v>
      </c>
      <c r="U6" s="1">
        <f>Quartile_L[[#This Row],[P/E Q3]]+1.5*(Quartile_L[[#This Row],[P/E Q3]]-Quartile_L[[#This Row],[P/E Q1]])</f>
        <v>101.39689319989623</v>
      </c>
      <c r="V6" s="1" cm="1">
        <f t="array" ref="V6">_xlfn.QUARTILE.INC(IF(Quartile_L[[#This Row],[Industry]]=Main_L[Industry],Main_L[A/E]),1)</f>
        <v>1.2450000000000001</v>
      </c>
      <c r="W6" s="1" cm="1">
        <f t="array" ref="W6">_xlfn.QUARTILE.INC(IF(Quartile_L[[#This Row],[Industry]]=Main_L[Industry],Main_L[A/E]),3)</f>
        <v>2.5249999999999999</v>
      </c>
      <c r="X6" s="1">
        <f>Quartile_L[[#This Row],[A/E Q1]]-1.5*(Quartile_L[[#This Row],[A/E Q3]]-Quartile_L[[#This Row],[A/E Q1]])</f>
        <v>-0.6749999999999996</v>
      </c>
      <c r="Y6" s="1">
        <f>Quartile_L[[#This Row],[A/E Q3]]+1.5*(Quartile_L[[#This Row],[A/E Q3]]-Quartile_L[[#This Row],[A/E Q1]])</f>
        <v>4.4449999999999994</v>
      </c>
    </row>
    <row r="7" spans="1:25" x14ac:dyDescent="0.25">
      <c r="A7" t="s">
        <v>173</v>
      </c>
      <c r="B7" s="1" cm="1">
        <f t="array" ref="B7">_xlfn.QUARTILE.INC(IF(Quartile_L[[#This Row],[Industry]]=Main_L[Industry],Main_L[P/FCF]),1)</f>
        <v>10.258726899383984</v>
      </c>
      <c r="C7" s="1" cm="1">
        <f t="array" ref="C7">_xlfn.QUARTILE.INC(IF(Quartile_L[[#This Row],[Industry]]=Main_L[Industry],Main_L[P/FCF]),3)</f>
        <v>30.13824884792627</v>
      </c>
      <c r="D7" s="1">
        <f>Quartile_L[[#This Row],[P/FCF Q1]]-1.5*(Quartile_L[[#This Row],[P/FCF Q3]]-Quartile_L[[#This Row],[P/FCF Q1]])</f>
        <v>-19.560556023429445</v>
      </c>
      <c r="E7" s="1">
        <f>Quartile_L[[#This Row],[P/FCF Q3]]+1.5*(Quartile_L[[#This Row],[P/FCF Q3]]-Quartile_L[[#This Row],[P/FCF Q1]])</f>
        <v>59.957531770739699</v>
      </c>
      <c r="F7" s="1" cm="1">
        <f t="array" ref="F7">_xlfn.QUARTILE.INC(IF(Quartile_L[[#This Row],[Industry]]=Main_L[Industry],Main_L[P/B]),1)</f>
        <v>2.1065468549422337</v>
      </c>
      <c r="G7" s="1" cm="1">
        <f t="array" ref="G7">_xlfn.QUARTILE.INC(IF(Quartile_L[[#This Row],[Industry]]=Main_L[Industry],Main_L[P/B]),3)</f>
        <v>5.4560776302349341</v>
      </c>
      <c r="H7" s="1">
        <f>Quartile_L[[#This Row],[P/B Q1]]-1.5*(Quartile_L[[#This Row],[P/B Q3]]-Quartile_L[[#This Row],[P/B Q1]])</f>
        <v>-2.9177493079968166</v>
      </c>
      <c r="I7" s="1">
        <f>Quartile_L[[#This Row],[P/B Q3]]+1.5*(Quartile_L[[#This Row],[P/B Q3]]-Quartile_L[[#This Row],[P/B Q1]])</f>
        <v>10.480373793173985</v>
      </c>
      <c r="J7" s="1" cm="1">
        <f t="array" ref="J7">_xlfn.QUARTILE.INC(IF(Quartile_L[[#This Row],[Industry]]=Main_L[Industry],Main_L[ROE]),1)</f>
        <v>8.9499999999999993</v>
      </c>
      <c r="K7" s="1" cm="1">
        <f t="array" ref="K7">_xlfn.QUARTILE.INC(IF(Quartile_L[[#This Row],[Industry]]=Main_L[Industry],Main_L[ROE]),3)</f>
        <v>32.89</v>
      </c>
      <c r="L7" s="1">
        <f>Quartile_L[[#This Row],[ROE Q1]]-1.5*(Quartile_L[[#This Row],[ROE Q3]]-Quartile_L[[#This Row],[ROE Q1]])</f>
        <v>-26.960000000000004</v>
      </c>
      <c r="M7" s="1">
        <f>Quartile_L[[#This Row],[ROE Q3]]+1.5*(Quartile_L[[#This Row],[ROE Q3]]-Quartile_L[[#This Row],[ROE Q1]])</f>
        <v>68.800000000000011</v>
      </c>
      <c r="N7" s="1" cm="1">
        <f t="array" ref="N7">_xlfn.QUARTILE.INC(IF(Quartile_L[[#This Row],[Industry]]=Main_L[Industry],Main_L[ROA]),1)</f>
        <v>4.6399999999999997</v>
      </c>
      <c r="O7" s="1" cm="1">
        <f t="array" ref="O7">_xlfn.QUARTILE.INC(IF(Quartile_L[[#This Row],[Industry]]=Main_L[Industry],Main_L[ROA]),3)</f>
        <v>11.42</v>
      </c>
      <c r="P7" s="1">
        <f>Quartile_L[[#This Row],[ROA Q1]]-1.5*(Quartile_L[[#This Row],[ROA Q3]]-Quartile_L[[#This Row],[ROA Q1]])</f>
        <v>-5.53</v>
      </c>
      <c r="Q7" s="1">
        <f>Quartile_L[[#This Row],[ROA Q3]]+1.5*(Quartile_L[[#This Row],[ROA Q3]]-Quartile_L[[#This Row],[ROA Q1]])</f>
        <v>21.59</v>
      </c>
      <c r="R7" s="1" cm="1">
        <f t="array" ref="R7">_xlfn.QUARTILE.INC(IF(Quartile_L[[#This Row],[Industry]]=Main_L[Industry],Main_L[P/E]),1)</f>
        <v>13.625754527162979</v>
      </c>
      <c r="S7" s="1" cm="1">
        <f t="array" ref="S7">_xlfn.QUARTILE.INC(IF(Quartile_L[[#This Row],[Industry]]=Main_L[Industry],Main_L[P/E]),3)</f>
        <v>20.828025477707008</v>
      </c>
      <c r="T7" s="1">
        <f>Quartile_L[[#This Row],[P/E Q1]]-1.5*(Quartile_L[[#This Row],[P/E Q3]]-Quartile_L[[#This Row],[P/E Q1]])</f>
        <v>2.8223481013469343</v>
      </c>
      <c r="U7" s="1">
        <f>Quartile_L[[#This Row],[P/E Q3]]+1.5*(Quartile_L[[#This Row],[P/E Q3]]-Quartile_L[[#This Row],[P/E Q1]])</f>
        <v>31.631431903523051</v>
      </c>
      <c r="V7" s="1" cm="1">
        <f t="array" ref="V7">_xlfn.QUARTILE.INC(IF(Quartile_L[[#This Row],[Industry]]=Main_L[Industry],Main_L[A/E]),1)</f>
        <v>2.23</v>
      </c>
      <c r="W7" s="1" cm="1">
        <f t="array" ref="W7">_xlfn.QUARTILE.INC(IF(Quartile_L[[#This Row],[Industry]]=Main_L[Industry],Main_L[A/E]),3)</f>
        <v>3.25</v>
      </c>
      <c r="X7" s="1">
        <f>Quartile_L[[#This Row],[A/E Q1]]-1.5*(Quartile_L[[#This Row],[A/E Q3]]-Quartile_L[[#This Row],[A/E Q1]])</f>
        <v>0.7</v>
      </c>
      <c r="Y7" s="1">
        <f>Quartile_L[[#This Row],[A/E Q3]]+1.5*(Quartile_L[[#This Row],[A/E Q3]]-Quartile_L[[#This Row],[A/E Q1]])</f>
        <v>4.78</v>
      </c>
    </row>
    <row r="8" spans="1:25" x14ac:dyDescent="0.25">
      <c r="A8" t="s">
        <v>191</v>
      </c>
      <c r="B8" s="1" cm="1">
        <f t="array" ref="B8">_xlfn.QUARTILE.INC(IF(Quartile_L[[#This Row],[Industry]]=Main_L[Industry],Main_L[P/FCF]),1)</f>
        <v>15.463648670476658</v>
      </c>
      <c r="C8" s="1" cm="1">
        <f t="array" ref="C8">_xlfn.QUARTILE.INC(IF(Quartile_L[[#This Row],[Industry]]=Main_L[Industry],Main_L[P/FCF]),3)</f>
        <v>28.816353311700709</v>
      </c>
      <c r="D8" s="1">
        <f>Quartile_L[[#This Row],[P/FCF Q1]]-1.5*(Quartile_L[[#This Row],[P/FCF Q3]]-Quartile_L[[#This Row],[P/FCF Q1]])</f>
        <v>-4.5654082913594181</v>
      </c>
      <c r="E8" s="1">
        <f>Quartile_L[[#This Row],[P/FCF Q3]]+1.5*(Quartile_L[[#This Row],[P/FCF Q3]]-Quartile_L[[#This Row],[P/FCF Q1]])</f>
        <v>48.845410273536785</v>
      </c>
      <c r="F8" s="1" cm="1">
        <f t="array" ref="F8">_xlfn.QUARTILE.INC(IF(Quartile_L[[#This Row],[Industry]]=Main_L[Industry],Main_L[P/B]),1)</f>
        <v>2.1446646845075756</v>
      </c>
      <c r="G8" s="1" cm="1">
        <f t="array" ref="G8">_xlfn.QUARTILE.INC(IF(Quartile_L[[#This Row],[Industry]]=Main_L[Industry],Main_L[P/B]),3)</f>
        <v>5.619467253001762</v>
      </c>
      <c r="H8" s="1">
        <f>Quartile_L[[#This Row],[P/B Q1]]-1.5*(Quartile_L[[#This Row],[P/B Q3]]-Quartile_L[[#This Row],[P/B Q1]])</f>
        <v>-3.0675391682337034</v>
      </c>
      <c r="I8" s="1">
        <f>Quartile_L[[#This Row],[P/B Q3]]+1.5*(Quartile_L[[#This Row],[P/B Q3]]-Quartile_L[[#This Row],[P/B Q1]])</f>
        <v>10.831671105743041</v>
      </c>
      <c r="J8" s="1" cm="1">
        <f t="array" ref="J8">_xlfn.QUARTILE.INC(IF(Quartile_L[[#This Row],[Industry]]=Main_L[Industry],Main_L[ROE]),1)</f>
        <v>2.8649999999999998</v>
      </c>
      <c r="K8" s="1" cm="1">
        <f t="array" ref="K8">_xlfn.QUARTILE.INC(IF(Quartile_L[[#This Row],[Industry]]=Main_L[Industry],Main_L[ROE]),3)</f>
        <v>21.094999999999999</v>
      </c>
      <c r="L8" s="1">
        <f>Quartile_L[[#This Row],[ROE Q1]]-1.5*(Quartile_L[[#This Row],[ROE Q3]]-Quartile_L[[#This Row],[ROE Q1]])</f>
        <v>-24.48</v>
      </c>
      <c r="M8" s="1">
        <f>Quartile_L[[#This Row],[ROE Q3]]+1.5*(Quartile_L[[#This Row],[ROE Q3]]-Quartile_L[[#This Row],[ROE Q1]])</f>
        <v>48.44</v>
      </c>
      <c r="N8" s="1" cm="1">
        <f t="array" ref="N8">_xlfn.QUARTILE.INC(IF(Quartile_L[[#This Row],[Industry]]=Main_L[Industry],Main_L[ROA]),1)</f>
        <v>2.5024999999999999</v>
      </c>
      <c r="O8" s="1" cm="1">
        <f t="array" ref="O8">_xlfn.QUARTILE.INC(IF(Quartile_L[[#This Row],[Industry]]=Main_L[Industry],Main_L[ROA]),3)</f>
        <v>8.875</v>
      </c>
      <c r="P8" s="1">
        <f>Quartile_L[[#This Row],[ROA Q1]]-1.5*(Quartile_L[[#This Row],[ROA Q3]]-Quartile_L[[#This Row],[ROA Q1]])</f>
        <v>-7.0562500000000004</v>
      </c>
      <c r="Q8" s="1">
        <f>Quartile_L[[#This Row],[ROA Q3]]+1.5*(Quartile_L[[#This Row],[ROA Q3]]-Quartile_L[[#This Row],[ROA Q1]])</f>
        <v>18.43375</v>
      </c>
      <c r="R8" s="1" cm="1">
        <f t="array" ref="R8">_xlfn.QUARTILE.INC(IF(Quartile_L[[#This Row],[Industry]]=Main_L[Industry],Main_L[P/E]),1)</f>
        <v>17.702379378525741</v>
      </c>
      <c r="S8" s="1" cm="1">
        <f t="array" ref="S8">_xlfn.QUARTILE.INC(IF(Quartile_L[[#This Row],[Industry]]=Main_L[Industry],Main_L[P/E]),3)</f>
        <v>33.705241070787288</v>
      </c>
      <c r="T8" s="1">
        <f>Quartile_L[[#This Row],[P/E Q1]]-1.5*(Quartile_L[[#This Row],[P/E Q3]]-Quartile_L[[#This Row],[P/E Q1]])</f>
        <v>-6.3019131598665794</v>
      </c>
      <c r="U8" s="1">
        <f>Quartile_L[[#This Row],[P/E Q3]]+1.5*(Quartile_L[[#This Row],[P/E Q3]]-Quartile_L[[#This Row],[P/E Q1]])</f>
        <v>57.709533609179609</v>
      </c>
      <c r="V8" s="1" cm="1">
        <f t="array" ref="V8">_xlfn.QUARTILE.INC(IF(Quartile_L[[#This Row],[Industry]]=Main_L[Industry],Main_L[A/E]),1)</f>
        <v>1.5075000000000001</v>
      </c>
      <c r="W8" s="1" cm="1">
        <f t="array" ref="W8">_xlfn.QUARTILE.INC(IF(Quartile_L[[#This Row],[Industry]]=Main_L[Industry],Main_L[A/E]),3)</f>
        <v>2.5325000000000002</v>
      </c>
      <c r="X8" s="1">
        <f>Quartile_L[[#This Row],[A/E Q1]]-1.5*(Quartile_L[[#This Row],[A/E Q3]]-Quartile_L[[#This Row],[A/E Q1]])</f>
        <v>-3.0000000000000027E-2</v>
      </c>
      <c r="Y8" s="1">
        <f>Quartile_L[[#This Row],[A/E Q3]]+1.5*(Quartile_L[[#This Row],[A/E Q3]]-Quartile_L[[#This Row],[A/E Q1]])</f>
        <v>4.07</v>
      </c>
    </row>
    <row r="11" spans="1:25" x14ac:dyDescent="0.25">
      <c r="A11" t="s">
        <v>22</v>
      </c>
    </row>
    <row r="12" spans="1:25" x14ac:dyDescent="0.25">
      <c r="A12" t="s">
        <v>1</v>
      </c>
      <c r="B12" t="s">
        <v>2</v>
      </c>
      <c r="C12" t="s">
        <v>3</v>
      </c>
      <c r="D12" t="s">
        <v>4</v>
      </c>
      <c r="E12" t="s">
        <v>5</v>
      </c>
      <c r="F12" t="s">
        <v>72</v>
      </c>
      <c r="G12" t="s">
        <v>73</v>
      </c>
      <c r="H12" t="s">
        <v>74</v>
      </c>
      <c r="I12" t="s">
        <v>75</v>
      </c>
      <c r="J12" t="s">
        <v>6</v>
      </c>
      <c r="K12" t="s">
        <v>7</v>
      </c>
      <c r="L12" t="s">
        <v>8</v>
      </c>
      <c r="M12" t="s">
        <v>9</v>
      </c>
      <c r="N12" t="s">
        <v>10</v>
      </c>
      <c r="O12" t="s">
        <v>11</v>
      </c>
      <c r="P12" t="s">
        <v>12</v>
      </c>
      <c r="Q12" t="s">
        <v>13</v>
      </c>
      <c r="R12" t="s">
        <v>14</v>
      </c>
      <c r="S12" t="s">
        <v>15</v>
      </c>
      <c r="T12" t="s">
        <v>16</v>
      </c>
      <c r="U12" t="s">
        <v>17</v>
      </c>
      <c r="V12" t="s">
        <v>18</v>
      </c>
      <c r="W12" t="s">
        <v>19</v>
      </c>
      <c r="X12" t="s">
        <v>20</v>
      </c>
      <c r="Y12" t="s">
        <v>21</v>
      </c>
    </row>
    <row r="13" spans="1:25" x14ac:dyDescent="0.25">
      <c r="A13" t="s">
        <v>105</v>
      </c>
      <c r="B13" s="1" cm="1">
        <f t="array" ref="B13">_xlfn.QUARTILE.INC(IF(Quartile_M[[#This Row],[Industry]]=Main_M[Industry],Main_M[P/FCF]),1)</f>
        <v>-24.5</v>
      </c>
      <c r="C13" s="1" cm="1">
        <f t="array" ref="C13">_xlfn.QUARTILE.INC(IF(Quartile_M[[#This Row],[Industry]]=Main_M[Industry],Main_M[P/FCF]),3)</f>
        <v>32.003278688524588</v>
      </c>
      <c r="D13" s="1">
        <f>Quartile_M[[#This Row],[P/FCF Q1]]-1.5*(Quartile_M[[#This Row],[P/FCF Q3]]-Quartile_M[[#This Row],[P/FCF Q1]])</f>
        <v>-109.25491803278689</v>
      </c>
      <c r="E13" s="1">
        <f>Quartile_M[[#This Row],[P/FCF Q3]]+1.5*(Quartile_M[[#This Row],[P/FCF Q3]]-Quartile_M[[#This Row],[P/FCF Q1]])</f>
        <v>116.75819672131148</v>
      </c>
      <c r="F13" s="1" cm="1">
        <f t="array" ref="F13">_xlfn.QUARTILE.INC(IF(Quartile_M[[#This Row],[Industry]]=Main_M[Industry],Main_M[P/B]),1)</f>
        <v>1.7912924151696608</v>
      </c>
      <c r="G13" s="1" cm="1">
        <f t="array" ref="G13">_xlfn.QUARTILE.INC(IF(Quartile_M[[#This Row],[Industry]]=Main_M[Industry],Main_M[P/B]),3)</f>
        <v>7.4065832174316171</v>
      </c>
      <c r="H13" s="1">
        <f>Quartile_M[[#This Row],[P/B Q1]]-1.5*(Quartile_M[[#This Row],[P/B Q3]]-Quartile_M[[#This Row],[P/B Q1]])</f>
        <v>-6.6316437882232737</v>
      </c>
      <c r="I13" s="1">
        <f>Quartile_M[[#This Row],[P/B Q3]]+1.5*(Quartile_M[[#This Row],[P/B Q3]]-Quartile_M[[#This Row],[P/B Q1]])</f>
        <v>15.829519420824552</v>
      </c>
      <c r="J13" s="1" cm="1">
        <f t="array" ref="J13">_xlfn.QUARTILE.INC(IF(Quartile_M[[#This Row],[Industry]]=Main_M[Industry],Main_M[ROE]),1)</f>
        <v>-25.23</v>
      </c>
      <c r="K13" s="1" cm="1">
        <f t="array" ref="K13">_xlfn.QUARTILE.INC(IF(Quartile_M[[#This Row],[Industry]]=Main_M[Industry],Main_M[ROE]),3)</f>
        <v>9.16</v>
      </c>
      <c r="L13" s="1">
        <f>Quartile_M[[#This Row],[ROE Q1]]-1.5*(Quartile_M[[#This Row],[ROE Q3]]-Quartile_M[[#This Row],[ROE Q1]])</f>
        <v>-76.814999999999998</v>
      </c>
      <c r="M13" s="1">
        <f>Quartile_M[[#This Row],[ROE Q3]]+1.5*(Quartile_M[[#This Row],[ROE Q3]]-Quartile_M[[#This Row],[ROE Q1]])</f>
        <v>60.745000000000005</v>
      </c>
      <c r="N13" s="1" cm="1">
        <f t="array" ref="N13">_xlfn.QUARTILE.INC(IF(Quartile_M[[#This Row],[Industry]]=Main_M[Industry],Main_M[ROA]),1)</f>
        <v>0.61</v>
      </c>
      <c r="O13" s="1" cm="1">
        <f t="array" ref="O13">_xlfn.QUARTILE.INC(IF(Quartile_M[[#This Row],[Industry]]=Main_M[Industry],Main_M[ROA]),3)</f>
        <v>4.51</v>
      </c>
      <c r="P13" s="1">
        <f>Quartile_M[[#This Row],[ROA Q1]]-1.5*(Quartile_M[[#This Row],[ROA Q3]]-Quartile_M[[#This Row],[ROA Q1]])</f>
        <v>-5.2399999999999993</v>
      </c>
      <c r="Q13" s="1">
        <f>Quartile_M[[#This Row],[ROA Q3]]+1.5*(Quartile_M[[#This Row],[ROA Q3]]-Quartile_M[[#This Row],[ROA Q1]])</f>
        <v>10.36</v>
      </c>
      <c r="R13" s="1" cm="1">
        <f t="array" ref="R13">_xlfn.QUARTILE.INC(IF(Quartile_M[[#This Row],[Industry]]=Main_M[Industry],Main_M[P/E]),1)</f>
        <v>-28.244755244755247</v>
      </c>
      <c r="S13" s="1" cm="1">
        <f t="array" ref="S13">_xlfn.QUARTILE.INC(IF(Quartile_M[[#This Row],[Industry]]=Main_M[Industry],Main_M[P/E]),3)</f>
        <v>47.848039215686271</v>
      </c>
      <c r="T13" s="1">
        <f>Quartile_M[[#This Row],[P/E Q1]]-1.5*(Quartile_M[[#This Row],[P/E Q3]]-Quartile_M[[#This Row],[P/E Q1]])</f>
        <v>-142.38394693541753</v>
      </c>
      <c r="U13" s="1">
        <f>Quartile_M[[#This Row],[P/E Q3]]+1.5*(Quartile_M[[#This Row],[P/E Q3]]-Quartile_M[[#This Row],[P/E Q1]])</f>
        <v>161.98723090634854</v>
      </c>
      <c r="V13" s="1" cm="1">
        <f t="array" ref="V13">_xlfn.QUARTILE.INC(IF(Quartile_M[[#This Row],[Industry]]=Main_M[Industry],Main_M[A/E]),1)</f>
        <v>1.73</v>
      </c>
      <c r="W13" s="1" cm="1">
        <f t="array" ref="W13">_xlfn.QUARTILE.INC(IF(Quartile_M[[#This Row],[Industry]]=Main_M[Industry],Main_M[A/E]),3)</f>
        <v>2.5</v>
      </c>
      <c r="X13" s="1">
        <f>Quartile_M[[#This Row],[A/E Q1]]-1.5*(Quartile_M[[#This Row],[A/E Q3]]-Quartile_M[[#This Row],[A/E Q1]])</f>
        <v>0.57499999999999996</v>
      </c>
      <c r="Y13" s="1">
        <f>Quartile_M[[#This Row],[A/E Q3]]+1.5*(Quartile_M[[#This Row],[A/E Q3]]-Quartile_M[[#This Row],[A/E Q1]])</f>
        <v>3.6550000000000002</v>
      </c>
    </row>
    <row r="14" spans="1:25" x14ac:dyDescent="0.25">
      <c r="A14" t="s">
        <v>129</v>
      </c>
      <c r="B14" s="1" cm="1">
        <f t="array" ref="B14">_xlfn.QUARTILE.INC(IF(Quartile_M[[#This Row],[Industry]]=Main_M[Industry],Main_M[P/FCF]),1)</f>
        <v>11.575457665903889</v>
      </c>
      <c r="C14" s="1" cm="1">
        <f t="array" ref="C14">_xlfn.QUARTILE.INC(IF(Quartile_M[[#This Row],[Industry]]=Main_M[Industry],Main_M[P/FCF]),3)</f>
        <v>28.887907608695652</v>
      </c>
      <c r="D14" s="1">
        <f>Quartile_M[[#This Row],[P/FCF Q1]]-1.5*(Quartile_M[[#This Row],[P/FCF Q3]]-Quartile_M[[#This Row],[P/FCF Q1]])</f>
        <v>-14.39321724828376</v>
      </c>
      <c r="E14" s="1">
        <f>Quartile_M[[#This Row],[P/FCF Q3]]+1.5*(Quartile_M[[#This Row],[P/FCF Q3]]-Quartile_M[[#This Row],[P/FCF Q1]])</f>
        <v>54.856582522883301</v>
      </c>
      <c r="F14" s="1" cm="1">
        <f t="array" ref="F14">_xlfn.QUARTILE.INC(IF(Quartile_M[[#This Row],[Industry]]=Main_M[Industry],Main_M[P/B]),1)</f>
        <v>1.7775326508216287</v>
      </c>
      <c r="G14" s="1" cm="1">
        <f t="array" ref="G14">_xlfn.QUARTILE.INC(IF(Quartile_M[[#This Row],[Industry]]=Main_M[Industry],Main_M[P/B]),3)</f>
        <v>4.6930909277351036</v>
      </c>
      <c r="H14" s="1">
        <f>Quartile_M[[#This Row],[P/B Q1]]-1.5*(Quartile_M[[#This Row],[P/B Q3]]-Quartile_M[[#This Row],[P/B Q1]])</f>
        <v>-2.5958047645485838</v>
      </c>
      <c r="I14" s="1">
        <f>Quartile_M[[#This Row],[P/B Q3]]+1.5*(Quartile_M[[#This Row],[P/B Q3]]-Quartile_M[[#This Row],[P/B Q1]])</f>
        <v>9.066428343105315</v>
      </c>
      <c r="J14" s="1" cm="1">
        <f t="array" ref="J14">_xlfn.QUARTILE.INC(IF(Quartile_M[[#This Row],[Industry]]=Main_M[Industry],Main_M[ROE]),1)</f>
        <v>2.7150000000000003</v>
      </c>
      <c r="K14" s="1" cm="1">
        <f t="array" ref="K14">_xlfn.QUARTILE.INC(IF(Quartile_M[[#This Row],[Industry]]=Main_M[Industry],Main_M[ROE]),3)</f>
        <v>18.982500000000002</v>
      </c>
      <c r="L14" s="1">
        <f>Quartile_M[[#This Row],[ROE Q1]]-1.5*(Quartile_M[[#This Row],[ROE Q3]]-Quartile_M[[#This Row],[ROE Q1]])</f>
        <v>-21.686250000000005</v>
      </c>
      <c r="M14" s="1">
        <f>Quartile_M[[#This Row],[ROE Q3]]+1.5*(Quartile_M[[#This Row],[ROE Q3]]-Quartile_M[[#This Row],[ROE Q1]])</f>
        <v>43.383750000000006</v>
      </c>
      <c r="N14" s="1" cm="1">
        <f t="array" ref="N14">_xlfn.QUARTILE.INC(IF(Quartile_M[[#This Row],[Industry]]=Main_M[Industry],Main_M[ROA]),1)</f>
        <v>3.4674999999999998</v>
      </c>
      <c r="O14" s="1" cm="1">
        <f t="array" ref="O14">_xlfn.QUARTILE.INC(IF(Quartile_M[[#This Row],[Industry]]=Main_M[Industry],Main_M[ROA]),3)</f>
        <v>6.3375000000000004</v>
      </c>
      <c r="P14" s="1">
        <f>Quartile_M[[#This Row],[ROA Q1]]-1.5*(Quartile_M[[#This Row],[ROA Q3]]-Quartile_M[[#This Row],[ROA Q1]])</f>
        <v>-0.8375000000000008</v>
      </c>
      <c r="Q14" s="1">
        <f>Quartile_M[[#This Row],[ROA Q3]]+1.5*(Quartile_M[[#This Row],[ROA Q3]]-Quartile_M[[#This Row],[ROA Q1]])</f>
        <v>10.642500000000002</v>
      </c>
      <c r="R14" s="1" cm="1">
        <f t="array" ref="R14">_xlfn.QUARTILE.INC(IF(Quartile_M[[#This Row],[Industry]]=Main_M[Industry],Main_M[P/E]),1)</f>
        <v>9.5654539659411721</v>
      </c>
      <c r="S14" s="1" cm="1">
        <f t="array" ref="S14">_xlfn.QUARTILE.INC(IF(Quartile_M[[#This Row],[Industry]]=Main_M[Industry],Main_M[P/E]),3)</f>
        <v>61.930185758513929</v>
      </c>
      <c r="T14" s="1">
        <f>Quartile_M[[#This Row],[P/E Q1]]-1.5*(Quartile_M[[#This Row],[P/E Q3]]-Quartile_M[[#This Row],[P/E Q1]])</f>
        <v>-68.981643722917966</v>
      </c>
      <c r="U14" s="1">
        <f>Quartile_M[[#This Row],[P/E Q3]]+1.5*(Quartile_M[[#This Row],[P/E Q3]]-Quartile_M[[#This Row],[P/E Q1]])</f>
        <v>140.47728344737305</v>
      </c>
      <c r="V14" s="1" cm="1">
        <f t="array" ref="V14">_xlfn.QUARTILE.INC(IF(Quartile_M[[#This Row],[Industry]]=Main_M[Industry],Main_M[A/E]),1)</f>
        <v>1.5874999999999999</v>
      </c>
      <c r="W14" s="1" cm="1">
        <f t="array" ref="W14">_xlfn.QUARTILE.INC(IF(Quartile_M[[#This Row],[Industry]]=Main_M[Industry],Main_M[A/E]),3)</f>
        <v>3.5125000000000002</v>
      </c>
      <c r="X14" s="1">
        <f>Quartile_M[[#This Row],[A/E Q1]]-1.5*(Quartile_M[[#This Row],[A/E Q3]]-Quartile_M[[#This Row],[A/E Q1]])</f>
        <v>-1.3000000000000003</v>
      </c>
      <c r="Y14" s="1">
        <f>Quartile_M[[#This Row],[A/E Q3]]+1.5*(Quartile_M[[#This Row],[A/E Q3]]-Quartile_M[[#This Row],[A/E Q1]])</f>
        <v>6.4</v>
      </c>
    </row>
    <row r="15" spans="1:25" x14ac:dyDescent="0.25">
      <c r="A15" t="s">
        <v>149</v>
      </c>
      <c r="B15" s="1" cm="1">
        <f t="array" ref="B15">_xlfn.QUARTILE.INC(IF(Quartile_M[[#This Row],[Industry]]=Main_M[Industry],Main_M[P/FCF]),1)</f>
        <v>32.32231404958678</v>
      </c>
      <c r="C15" s="1" cm="1">
        <f t="array" ref="C15">_xlfn.QUARTILE.INC(IF(Quartile_M[[#This Row],[Industry]]=Main_M[Industry],Main_M[P/FCF]),3)</f>
        <v>32.32231404958678</v>
      </c>
      <c r="D15" s="1">
        <f>Quartile_M[[#This Row],[P/FCF Q1]]-1.5*(Quartile_M[[#This Row],[P/FCF Q3]]-Quartile_M[[#This Row],[P/FCF Q1]])</f>
        <v>32.32231404958678</v>
      </c>
      <c r="E15" s="1">
        <f>Quartile_M[[#This Row],[P/FCF Q3]]+1.5*(Quartile_M[[#This Row],[P/FCF Q3]]-Quartile_M[[#This Row],[P/FCF Q1]])</f>
        <v>32.32231404958678</v>
      </c>
      <c r="F15" s="1" cm="1">
        <f t="array" ref="F15">_xlfn.QUARTILE.INC(IF(Quartile_M[[#This Row],[Industry]]=Main_M[Industry],Main_M[P/B]),1)</f>
        <v>2.164360819037078</v>
      </c>
      <c r="G15" s="1" cm="1">
        <f t="array" ref="G15">_xlfn.QUARTILE.INC(IF(Quartile_M[[#This Row],[Industry]]=Main_M[Industry],Main_M[P/B]),3)</f>
        <v>2.164360819037078</v>
      </c>
      <c r="H15" s="1">
        <f>Quartile_M[[#This Row],[P/B Q1]]-1.5*(Quartile_M[[#This Row],[P/B Q3]]-Quartile_M[[#This Row],[P/B Q1]])</f>
        <v>2.164360819037078</v>
      </c>
      <c r="I15" s="1">
        <f>Quartile_M[[#This Row],[P/B Q3]]+1.5*(Quartile_M[[#This Row],[P/B Q3]]-Quartile_M[[#This Row],[P/B Q1]])</f>
        <v>2.164360819037078</v>
      </c>
      <c r="J15" s="1" cm="1">
        <f t="array" ref="J15">_xlfn.QUARTILE.INC(IF(Quartile_M[[#This Row],[Industry]]=Main_M[Industry],Main_M[ROE]),1)</f>
        <v>1.01</v>
      </c>
      <c r="K15" s="1" cm="1">
        <f t="array" ref="K15">_xlfn.QUARTILE.INC(IF(Quartile_M[[#This Row],[Industry]]=Main_M[Industry],Main_M[ROE]),3)</f>
        <v>1.01</v>
      </c>
      <c r="L15" s="1">
        <f>Quartile_M[[#This Row],[ROE Q1]]-1.5*(Quartile_M[[#This Row],[ROE Q3]]-Quartile_M[[#This Row],[ROE Q1]])</f>
        <v>1.01</v>
      </c>
      <c r="M15" s="1">
        <f>Quartile_M[[#This Row],[ROE Q3]]+1.5*(Quartile_M[[#This Row],[ROE Q3]]-Quartile_M[[#This Row],[ROE Q1]])</f>
        <v>1.01</v>
      </c>
      <c r="N15" s="1" cm="1">
        <f t="array" ref="N15">_xlfn.QUARTILE.INC(IF(Quartile_M[[#This Row],[Industry]]=Main_M[Industry],Main_M[ROA]),1)</f>
        <v>2.33</v>
      </c>
      <c r="O15" s="1" cm="1">
        <f t="array" ref="O15">_xlfn.QUARTILE.INC(IF(Quartile_M[[#This Row],[Industry]]=Main_M[Industry],Main_M[ROA]),3)</f>
        <v>2.33</v>
      </c>
      <c r="P15" s="1">
        <f>Quartile_M[[#This Row],[ROA Q1]]-1.5*(Quartile_M[[#This Row],[ROA Q3]]-Quartile_M[[#This Row],[ROA Q1]])</f>
        <v>2.33</v>
      </c>
      <c r="Q15" s="1">
        <f>Quartile_M[[#This Row],[ROA Q3]]+1.5*(Quartile_M[[#This Row],[ROA Q3]]-Quartile_M[[#This Row],[ROA Q1]])</f>
        <v>2.33</v>
      </c>
      <c r="R15" s="1" cm="1">
        <f t="array" ref="R15">_xlfn.QUARTILE.INC(IF(Quartile_M[[#This Row],[Industry]]=Main_M[Industry],Main_M[P/E]),1)</f>
        <v>260.73333333333335</v>
      </c>
      <c r="S15" s="1" cm="1">
        <f t="array" ref="S15">_xlfn.QUARTILE.INC(IF(Quartile_M[[#This Row],[Industry]]=Main_M[Industry],Main_M[P/E]),3)</f>
        <v>260.73333333333335</v>
      </c>
      <c r="T15" s="1">
        <f>Quartile_M[[#This Row],[P/E Q1]]-1.5*(Quartile_M[[#This Row],[P/E Q3]]-Quartile_M[[#This Row],[P/E Q1]])</f>
        <v>260.73333333333335</v>
      </c>
      <c r="U15" s="1">
        <f>Quartile_M[[#This Row],[P/E Q3]]+1.5*(Quartile_M[[#This Row],[P/E Q3]]-Quartile_M[[#This Row],[P/E Q1]])</f>
        <v>260.73333333333335</v>
      </c>
      <c r="V15" s="1" cm="1">
        <f t="array" ref="V15">_xlfn.QUARTILE.INC(IF(Quartile_M[[#This Row],[Industry]]=Main_M[Industry],Main_M[A/E]),1)</f>
        <v>1.48</v>
      </c>
      <c r="W15" s="1" cm="1">
        <f t="array" ref="W15">_xlfn.QUARTILE.INC(IF(Quartile_M[[#This Row],[Industry]]=Main_M[Industry],Main_M[A/E]),3)</f>
        <v>1.48</v>
      </c>
      <c r="X15" s="1">
        <f>Quartile_M[[#This Row],[A/E Q1]]-1.5*(Quartile_M[[#This Row],[A/E Q3]]-Quartile_M[[#This Row],[A/E Q1]])</f>
        <v>1.48</v>
      </c>
      <c r="Y15" s="1">
        <f>Quartile_M[[#This Row],[A/E Q3]]+1.5*(Quartile_M[[#This Row],[A/E Q3]]-Quartile_M[[#This Row],[A/E Q1]])</f>
        <v>1.48</v>
      </c>
    </row>
    <row r="16" spans="1:25" x14ac:dyDescent="0.25">
      <c r="A16" t="s">
        <v>152</v>
      </c>
      <c r="B16" s="1" cm="1">
        <f t="array" ref="B16">_xlfn.QUARTILE.INC(IF(Quartile_M[[#This Row],[Industry]]=Main_M[Industry],Main_M[P/FCF]),1)</f>
        <v>-22.921487603305785</v>
      </c>
      <c r="C16" s="1" cm="1">
        <f t="array" ref="C16">_xlfn.QUARTILE.INC(IF(Quartile_M[[#This Row],[Industry]]=Main_M[Industry],Main_M[P/FCF]),3)</f>
        <v>-6.4524886877828056</v>
      </c>
      <c r="D16" s="1">
        <f>Quartile_M[[#This Row],[P/FCF Q1]]-1.5*(Quartile_M[[#This Row],[P/FCF Q3]]-Quartile_M[[#This Row],[P/FCF Q1]])</f>
        <v>-47.624985976590253</v>
      </c>
      <c r="E16" s="1">
        <f>Quartile_M[[#This Row],[P/FCF Q3]]+1.5*(Quartile_M[[#This Row],[P/FCF Q3]]-Quartile_M[[#This Row],[P/FCF Q1]])</f>
        <v>18.251009685501664</v>
      </c>
      <c r="F16" s="1" cm="1">
        <f t="array" ref="F16">_xlfn.QUARTILE.INC(IF(Quartile_M[[#This Row],[Industry]]=Main_M[Industry],Main_M[P/B]),1)</f>
        <v>1.9384920634920635</v>
      </c>
      <c r="G16" s="1" cm="1">
        <f t="array" ref="G16">_xlfn.QUARTILE.INC(IF(Quartile_M[[#This Row],[Industry]]=Main_M[Industry],Main_M[P/B]),3)</f>
        <v>7.9898218829516532</v>
      </c>
      <c r="H16" s="1">
        <f>Quartile_M[[#This Row],[P/B Q1]]-1.5*(Quartile_M[[#This Row],[P/B Q3]]-Quartile_M[[#This Row],[P/B Q1]])</f>
        <v>-7.1385026656973221</v>
      </c>
      <c r="I16" s="1">
        <f>Quartile_M[[#This Row],[P/B Q3]]+1.5*(Quartile_M[[#This Row],[P/B Q3]]-Quartile_M[[#This Row],[P/B Q1]])</f>
        <v>17.066816612141039</v>
      </c>
      <c r="J16" s="1" cm="1">
        <f t="array" ref="J16">_xlfn.QUARTILE.INC(IF(Quartile_M[[#This Row],[Industry]]=Main_M[Industry],Main_M[ROE]),1)</f>
        <v>-44.540000000000006</v>
      </c>
      <c r="K16" s="1" cm="1">
        <f t="array" ref="K16">_xlfn.QUARTILE.INC(IF(Quartile_M[[#This Row],[Industry]]=Main_M[Industry],Main_M[ROE]),3)</f>
        <v>16.5</v>
      </c>
      <c r="L16" s="1">
        <f>Quartile_M[[#This Row],[ROE Q1]]-1.5*(Quartile_M[[#This Row],[ROE Q3]]-Quartile_M[[#This Row],[ROE Q1]])</f>
        <v>-136.10000000000002</v>
      </c>
      <c r="M16" s="1">
        <f>Quartile_M[[#This Row],[ROE Q3]]+1.5*(Quartile_M[[#This Row],[ROE Q3]]-Quartile_M[[#This Row],[ROE Q1]])</f>
        <v>108.06</v>
      </c>
      <c r="N16" s="1" cm="1">
        <f t="array" ref="N16">_xlfn.QUARTILE.INC(IF(Quartile_M[[#This Row],[Industry]]=Main_M[Industry],Main_M[ROA]),1)</f>
        <v>-22.925000000000001</v>
      </c>
      <c r="O16" s="1" cm="1">
        <f t="array" ref="O16">_xlfn.QUARTILE.INC(IF(Quartile_M[[#This Row],[Industry]]=Main_M[Industry],Main_M[ROA]),3)</f>
        <v>1.0549999999999999</v>
      </c>
      <c r="P16" s="1">
        <f>Quartile_M[[#This Row],[ROA Q1]]-1.5*(Quartile_M[[#This Row],[ROA Q3]]-Quartile_M[[#This Row],[ROA Q1]])</f>
        <v>-58.894999999999996</v>
      </c>
      <c r="Q16" s="1">
        <f>Quartile_M[[#This Row],[ROA Q3]]+1.5*(Quartile_M[[#This Row],[ROA Q3]]-Quartile_M[[#This Row],[ROA Q1]])</f>
        <v>37.024999999999999</v>
      </c>
      <c r="R16" s="1" cm="1">
        <f t="array" ref="R16">_xlfn.QUARTILE.INC(IF(Quartile_M[[#This Row],[Industry]]=Main_M[Industry],Main_M[P/E]),1)</f>
        <v>-13.085253456221198</v>
      </c>
      <c r="S16" s="1" cm="1">
        <f t="array" ref="S16">_xlfn.QUARTILE.INC(IF(Quartile_M[[#This Row],[Industry]]=Main_M[Industry],Main_M[P/E]),3)</f>
        <v>10.465721040189125</v>
      </c>
      <c r="T16" s="1">
        <f>Quartile_M[[#This Row],[P/E Q1]]-1.5*(Quartile_M[[#This Row],[P/E Q3]]-Quartile_M[[#This Row],[P/E Q1]])</f>
        <v>-48.411715200836682</v>
      </c>
      <c r="U16" s="1">
        <f>Quartile_M[[#This Row],[P/E Q3]]+1.5*(Quartile_M[[#This Row],[P/E Q3]]-Quartile_M[[#This Row],[P/E Q1]])</f>
        <v>45.792182784804609</v>
      </c>
      <c r="V16" s="1" cm="1">
        <f t="array" ref="V16">_xlfn.QUARTILE.INC(IF(Quartile_M[[#This Row],[Industry]]=Main_M[Industry],Main_M[A/E]),1)</f>
        <v>1.0750000000000002</v>
      </c>
      <c r="W16" s="1" cm="1">
        <f t="array" ref="W16">_xlfn.QUARTILE.INC(IF(Quartile_M[[#This Row],[Industry]]=Main_M[Industry],Main_M[A/E]),3)</f>
        <v>1.6150000000000002</v>
      </c>
      <c r="X16" s="1">
        <f>Quartile_M[[#This Row],[A/E Q1]]-1.5*(Quartile_M[[#This Row],[A/E Q3]]-Quartile_M[[#This Row],[A/E Q1]])</f>
        <v>0.26500000000000012</v>
      </c>
      <c r="Y16" s="1">
        <f>Quartile_M[[#This Row],[A/E Q3]]+1.5*(Quartile_M[[#This Row],[A/E Q3]]-Quartile_M[[#This Row],[A/E Q1]])</f>
        <v>2.4250000000000003</v>
      </c>
    </row>
    <row r="17" spans="1:25" x14ac:dyDescent="0.25">
      <c r="A17" t="s">
        <v>173</v>
      </c>
      <c r="B17" s="1" cm="1">
        <f t="array" ref="B17">_xlfn.QUARTILE.INC(IF(Quartile_M[[#This Row],[Industry]]=Main_M[Industry],Main_M[P/FCF]),1)</f>
        <v>-42.624257137799354</v>
      </c>
      <c r="C17" s="1" cm="1">
        <f t="array" ref="C17">_xlfn.QUARTILE.INC(IF(Quartile_M[[#This Row],[Industry]]=Main_M[Industry],Main_M[P/FCF]),3)</f>
        <v>17.151545454545452</v>
      </c>
      <c r="D17" s="1">
        <f>Quartile_M[[#This Row],[P/FCF Q1]]-1.5*(Quartile_M[[#This Row],[P/FCF Q3]]-Quartile_M[[#This Row],[P/FCF Q1]])</f>
        <v>-132.28796102631657</v>
      </c>
      <c r="E17" s="1">
        <f>Quartile_M[[#This Row],[P/FCF Q3]]+1.5*(Quartile_M[[#This Row],[P/FCF Q3]]-Quartile_M[[#This Row],[P/FCF Q1]])</f>
        <v>106.81524934306266</v>
      </c>
      <c r="F17" s="1" cm="1">
        <f t="array" ref="F17">_xlfn.QUARTILE.INC(IF(Quartile_M[[#This Row],[Industry]]=Main_M[Industry],Main_M[P/B]),1)</f>
        <v>1.7335530332005149</v>
      </c>
      <c r="G17" s="1" cm="1">
        <f t="array" ref="G17">_xlfn.QUARTILE.INC(IF(Quartile_M[[#This Row],[Industry]]=Main_M[Industry],Main_M[P/B]),3)</f>
        <v>20.950295564279589</v>
      </c>
      <c r="H17" s="1">
        <f>Quartile_M[[#This Row],[P/B Q1]]-1.5*(Quartile_M[[#This Row],[P/B Q3]]-Quartile_M[[#This Row],[P/B Q1]])</f>
        <v>-27.091560763418094</v>
      </c>
      <c r="I17" s="1">
        <f>Quartile_M[[#This Row],[P/B Q3]]+1.5*(Quartile_M[[#This Row],[P/B Q3]]-Quartile_M[[#This Row],[P/B Q1]])</f>
        <v>49.775409360898195</v>
      </c>
      <c r="J17" s="1" cm="1">
        <f t="array" ref="J17">_xlfn.QUARTILE.INC(IF(Quartile_M[[#This Row],[Industry]]=Main_M[Industry],Main_M[ROE]),1)</f>
        <v>-57.894999999999996</v>
      </c>
      <c r="K17" s="1" cm="1">
        <f t="array" ref="K17">_xlfn.QUARTILE.INC(IF(Quartile_M[[#This Row],[Industry]]=Main_M[Industry],Main_M[ROE]),3)</f>
        <v>9.0549999999999997</v>
      </c>
      <c r="L17" s="1">
        <f>Quartile_M[[#This Row],[ROE Q1]]-1.5*(Quartile_M[[#This Row],[ROE Q3]]-Quartile_M[[#This Row],[ROE Q1]])</f>
        <v>-158.32</v>
      </c>
      <c r="M17" s="1">
        <f>Quartile_M[[#This Row],[ROE Q3]]+1.5*(Quartile_M[[#This Row],[ROE Q3]]-Quartile_M[[#This Row],[ROE Q1]])</f>
        <v>109.47999999999999</v>
      </c>
      <c r="N17" s="1" cm="1">
        <f t="array" ref="N17">_xlfn.QUARTILE.INC(IF(Quartile_M[[#This Row],[Industry]]=Main_M[Industry],Main_M[ROA]),1)</f>
        <v>-11.39</v>
      </c>
      <c r="O17" s="1" cm="1">
        <f t="array" ref="O17">_xlfn.QUARTILE.INC(IF(Quartile_M[[#This Row],[Industry]]=Main_M[Industry],Main_M[ROA]),3)</f>
        <v>6.43</v>
      </c>
      <c r="P17" s="1">
        <f>Quartile_M[[#This Row],[ROA Q1]]-1.5*(Quartile_M[[#This Row],[ROA Q3]]-Quartile_M[[#This Row],[ROA Q1]])</f>
        <v>-38.120000000000005</v>
      </c>
      <c r="Q17" s="1">
        <f>Quartile_M[[#This Row],[ROA Q3]]+1.5*(Quartile_M[[#This Row],[ROA Q3]]-Quartile_M[[#This Row],[ROA Q1]])</f>
        <v>33.159999999999997</v>
      </c>
      <c r="R17" s="1" cm="1">
        <f t="array" ref="R17">_xlfn.QUARTILE.INC(IF(Quartile_M[[#This Row],[Industry]]=Main_M[Industry],Main_M[P/E]),1)</f>
        <v>-110.47524752475248</v>
      </c>
      <c r="S17" s="1" cm="1">
        <f t="array" ref="S17">_xlfn.QUARTILE.INC(IF(Quartile_M[[#This Row],[Industry]]=Main_M[Industry],Main_M[P/E]),3)</f>
        <v>19.781275890637943</v>
      </c>
      <c r="T17" s="1">
        <f>Quartile_M[[#This Row],[P/E Q1]]-1.5*(Quartile_M[[#This Row],[P/E Q3]]-Quartile_M[[#This Row],[P/E Q1]])</f>
        <v>-305.86003264783807</v>
      </c>
      <c r="U17" s="1">
        <f>Quartile_M[[#This Row],[P/E Q3]]+1.5*(Quartile_M[[#This Row],[P/E Q3]]-Quartile_M[[#This Row],[P/E Q1]])</f>
        <v>215.16606101372355</v>
      </c>
      <c r="V17" s="1" cm="1">
        <f t="array" ref="V17">_xlfn.QUARTILE.INC(IF(Quartile_M[[#This Row],[Industry]]=Main_M[Industry],Main_M[A/E]),1)</f>
        <v>1.1850000000000001</v>
      </c>
      <c r="W17" s="1" cm="1">
        <f t="array" ref="W17">_xlfn.QUARTILE.INC(IF(Quartile_M[[#This Row],[Industry]]=Main_M[Industry],Main_M[A/E]),3)</f>
        <v>2.2749999999999999</v>
      </c>
      <c r="X17" s="1">
        <f>Quartile_M[[#This Row],[A/E Q1]]-1.5*(Quartile_M[[#This Row],[A/E Q3]]-Quartile_M[[#This Row],[A/E Q1]])</f>
        <v>-0.44999999999999973</v>
      </c>
      <c r="Y17" s="1">
        <f>Quartile_M[[#This Row],[A/E Q3]]+1.5*(Quartile_M[[#This Row],[A/E Q3]]-Quartile_M[[#This Row],[A/E Q1]])</f>
        <v>3.9099999999999997</v>
      </c>
    </row>
    <row r="18" spans="1:25" x14ac:dyDescent="0.25">
      <c r="A18" t="s">
        <v>191</v>
      </c>
      <c r="B18" s="1" cm="1">
        <f t="array" ref="B18">_xlfn.QUARTILE.INC(IF(Quartile_M[[#This Row],[Industry]]=Main_M[Industry],Main_M[P/FCF]),1)</f>
        <v>15.487720689945231</v>
      </c>
      <c r="C18" s="1" cm="1">
        <f t="array" ref="C18">_xlfn.QUARTILE.INC(IF(Quartile_M[[#This Row],[Industry]]=Main_M[Industry],Main_M[P/FCF]),3)</f>
        <v>34.851812993117342</v>
      </c>
      <c r="D18" s="1">
        <f>Quartile_M[[#This Row],[P/FCF Q1]]-1.5*(Quartile_M[[#This Row],[P/FCF Q3]]-Quartile_M[[#This Row],[P/FCF Q1]])</f>
        <v>-13.558417764812933</v>
      </c>
      <c r="E18" s="1">
        <f>Quartile_M[[#This Row],[P/FCF Q3]]+1.5*(Quartile_M[[#This Row],[P/FCF Q3]]-Quartile_M[[#This Row],[P/FCF Q1]])</f>
        <v>63.897951447875506</v>
      </c>
      <c r="F18" s="1" cm="1">
        <f t="array" ref="F18">_xlfn.QUARTILE.INC(IF(Quartile_M[[#This Row],[Industry]]=Main_M[Industry],Main_M[P/B]),1)</f>
        <v>2.2333743884790636</v>
      </c>
      <c r="G18" s="1" cm="1">
        <f t="array" ref="G18">_xlfn.QUARTILE.INC(IF(Quartile_M[[#This Row],[Industry]]=Main_M[Industry],Main_M[P/B]),3)</f>
        <v>4.4166432620311706</v>
      </c>
      <c r="H18" s="1">
        <f>Quartile_M[[#This Row],[P/B Q1]]-1.5*(Quartile_M[[#This Row],[P/B Q3]]-Quartile_M[[#This Row],[P/B Q1]])</f>
        <v>-1.0415289218490971</v>
      </c>
      <c r="I18" s="1">
        <f>Quartile_M[[#This Row],[P/B Q3]]+1.5*(Quartile_M[[#This Row],[P/B Q3]]-Quartile_M[[#This Row],[P/B Q1]])</f>
        <v>7.6915465723593313</v>
      </c>
      <c r="J18" s="1" cm="1">
        <f t="array" ref="J18">_xlfn.QUARTILE.INC(IF(Quartile_M[[#This Row],[Industry]]=Main_M[Industry],Main_M[ROE]),1)</f>
        <v>1.1000000000000001</v>
      </c>
      <c r="K18" s="1" cm="1">
        <f t="array" ref="K18">_xlfn.QUARTILE.INC(IF(Quartile_M[[#This Row],[Industry]]=Main_M[Industry],Main_M[ROE]),3)</f>
        <v>8.9149999999999991</v>
      </c>
      <c r="L18" s="1">
        <f>Quartile_M[[#This Row],[ROE Q1]]-1.5*(Quartile_M[[#This Row],[ROE Q3]]-Quartile_M[[#This Row],[ROE Q1]])</f>
        <v>-10.6225</v>
      </c>
      <c r="M18" s="1">
        <f>Quartile_M[[#This Row],[ROE Q3]]+1.5*(Quartile_M[[#This Row],[ROE Q3]]-Quartile_M[[#This Row],[ROE Q1]])</f>
        <v>20.637499999999999</v>
      </c>
      <c r="N18" s="1" cm="1">
        <f t="array" ref="N18">_xlfn.QUARTILE.INC(IF(Quartile_M[[#This Row],[Industry]]=Main_M[Industry],Main_M[ROA]),1)</f>
        <v>3.7324999999999999</v>
      </c>
      <c r="O18" s="1" cm="1">
        <f t="array" ref="O18">_xlfn.QUARTILE.INC(IF(Quartile_M[[#This Row],[Industry]]=Main_M[Industry],Main_M[ROA]),3)</f>
        <v>5.57</v>
      </c>
      <c r="P18" s="1">
        <f>Quartile_M[[#This Row],[ROA Q1]]-1.5*(Quartile_M[[#This Row],[ROA Q3]]-Quartile_M[[#This Row],[ROA Q1]])</f>
        <v>0.9762499999999994</v>
      </c>
      <c r="Q18" s="1">
        <f>Quartile_M[[#This Row],[ROA Q3]]+1.5*(Quartile_M[[#This Row],[ROA Q3]]-Quartile_M[[#This Row],[ROA Q1]])</f>
        <v>8.3262500000000017</v>
      </c>
      <c r="R18" s="1" cm="1">
        <f t="array" ref="R18">_xlfn.QUARTILE.INC(IF(Quartile_M[[#This Row],[Industry]]=Main_M[Industry],Main_M[P/E]),1)</f>
        <v>15.514760974319797</v>
      </c>
      <c r="S18" s="1" cm="1">
        <f t="array" ref="S18">_xlfn.QUARTILE.INC(IF(Quartile_M[[#This Row],[Industry]]=Main_M[Industry],Main_M[P/E]),3)</f>
        <v>96.678508771929813</v>
      </c>
      <c r="T18" s="1">
        <f>Quartile_M[[#This Row],[P/E Q1]]-1.5*(Quartile_M[[#This Row],[P/E Q3]]-Quartile_M[[#This Row],[P/E Q1]])</f>
        <v>-106.23086072209522</v>
      </c>
      <c r="U18" s="1">
        <f>Quartile_M[[#This Row],[P/E Q3]]+1.5*(Quartile_M[[#This Row],[P/E Q3]]-Quartile_M[[#This Row],[P/E Q1]])</f>
        <v>218.42413046834483</v>
      </c>
      <c r="V18" s="1" cm="1">
        <f t="array" ref="V18">_xlfn.QUARTILE.INC(IF(Quartile_M[[#This Row],[Industry]]=Main_M[Industry],Main_M[A/E]),1)</f>
        <v>1.4775</v>
      </c>
      <c r="W18" s="1" cm="1">
        <f t="array" ref="W18">_xlfn.QUARTILE.INC(IF(Quartile_M[[#This Row],[Industry]]=Main_M[Industry],Main_M[A/E]),3)</f>
        <v>2.9424999999999999</v>
      </c>
      <c r="X18" s="1">
        <f>Quartile_M[[#This Row],[A/E Q1]]-1.5*(Quartile_M[[#This Row],[A/E Q3]]-Quartile_M[[#This Row],[A/E Q1]])</f>
        <v>-0.71999999999999975</v>
      </c>
      <c r="Y18" s="1">
        <f>Quartile_M[[#This Row],[A/E Q3]]+1.5*(Quartile_M[[#This Row],[A/E Q3]]-Quartile_M[[#This Row],[A/E Q1]])</f>
        <v>5.14</v>
      </c>
    </row>
    <row r="21" spans="1:25" x14ac:dyDescent="0.25">
      <c r="A21" t="s">
        <v>23</v>
      </c>
    </row>
    <row r="22" spans="1:25" x14ac:dyDescent="0.25">
      <c r="A22" t="s">
        <v>1</v>
      </c>
      <c r="B22" t="s">
        <v>2</v>
      </c>
      <c r="C22" t="s">
        <v>3</v>
      </c>
      <c r="D22" t="s">
        <v>4</v>
      </c>
      <c r="E22" t="s">
        <v>5</v>
      </c>
      <c r="F22" t="s">
        <v>72</v>
      </c>
      <c r="G22" t="s">
        <v>73</v>
      </c>
      <c r="H22" t="s">
        <v>74</v>
      </c>
      <c r="I22" t="s">
        <v>75</v>
      </c>
      <c r="J22" t="s">
        <v>6</v>
      </c>
      <c r="K22" t="s">
        <v>7</v>
      </c>
      <c r="L22" t="s">
        <v>8</v>
      </c>
      <c r="M22" t="s">
        <v>9</v>
      </c>
      <c r="N22" t="s">
        <v>10</v>
      </c>
      <c r="O22" t="s">
        <v>11</v>
      </c>
      <c r="P22" t="s">
        <v>12</v>
      </c>
      <c r="Q22" t="s">
        <v>13</v>
      </c>
      <c r="R22" t="s">
        <v>14</v>
      </c>
      <c r="S22" t="s">
        <v>15</v>
      </c>
      <c r="T22" t="s">
        <v>16</v>
      </c>
      <c r="U22" t="s">
        <v>17</v>
      </c>
      <c r="V22" t="s">
        <v>18</v>
      </c>
      <c r="W22" t="s">
        <v>19</v>
      </c>
      <c r="X22" t="s">
        <v>20</v>
      </c>
      <c r="Y22" t="s">
        <v>21</v>
      </c>
    </row>
    <row r="23" spans="1:25" x14ac:dyDescent="0.25">
      <c r="A23" t="s">
        <v>105</v>
      </c>
      <c r="B23" s="1" cm="1">
        <f t="array" ref="B23">_xlfn.QUARTILE.INC(IF(Quartile_S[[#This Row],[Industry]]=Main_S[Industry],Main_S[P/FCF]),1)</f>
        <v>-35.584848484848479</v>
      </c>
      <c r="C23" s="1" cm="1">
        <f t="array" ref="C23">_xlfn.QUARTILE.INC(IF(Quartile_S[[#This Row],[Industry]]=Main_S[Industry],Main_S[P/FCF]),3)</f>
        <v>9.2964859057009228</v>
      </c>
      <c r="D23" s="1">
        <f>Quartile_S[[#This Row],[P/FCF Q1]]-1.5*(Quartile_S[[#This Row],[P/FCF Q3]]-Quartile_S[[#This Row],[P/FCF Q1]])</f>
        <v>-102.90685007067258</v>
      </c>
      <c r="E23" s="1">
        <f>Quartile_S[[#This Row],[P/FCF Q3]]+1.5*(Quartile_S[[#This Row],[P/FCF Q3]]-Quartile_S[[#This Row],[P/FCF Q1]])</f>
        <v>76.618487491525016</v>
      </c>
      <c r="F23" s="1" cm="1">
        <f t="array" ref="F23">_xlfn.QUARTILE.INC(IF(Quartile_S[[#This Row],[Industry]]=Main_S[Industry],Main_S[P/B]),1)</f>
        <v>0.95562356541698545</v>
      </c>
      <c r="G23" s="1" cm="1">
        <f t="array" ref="G23">_xlfn.QUARTILE.INC(IF(Quartile_S[[#This Row],[Industry]]=Main_S[Industry],Main_S[P/B]),3)</f>
        <v>5.5815384615384618</v>
      </c>
      <c r="H23" s="1">
        <f>Quartile_S[[#This Row],[P/B Q1]]-1.5*(Quartile_S[[#This Row],[P/B Q3]]-Quartile_S[[#This Row],[P/B Q1]])</f>
        <v>-5.9832487787652298</v>
      </c>
      <c r="I23" s="1">
        <f>Quartile_S[[#This Row],[P/B Q3]]+1.5*(Quartile_S[[#This Row],[P/B Q3]]-Quartile_S[[#This Row],[P/B Q1]])</f>
        <v>12.520410805720676</v>
      </c>
      <c r="J23" s="1" cm="1">
        <f t="array" ref="J23">_xlfn.QUARTILE.INC(IF(Quartile_S[[#This Row],[Industry]]=Main_S[Industry],Main_S[ROE]),1)</f>
        <v>-49.9</v>
      </c>
      <c r="K23" s="1" cm="1">
        <f t="array" ref="K23">_xlfn.QUARTILE.INC(IF(Quartile_S[[#This Row],[Industry]]=Main_S[Industry],Main_S[ROE]),3)</f>
        <v>-5.6850000000000005</v>
      </c>
      <c r="L23" s="1">
        <f>Quartile_S[[#This Row],[ROE Q1]]-1.5*(Quartile_S[[#This Row],[ROE Q3]]-Quartile_S[[#This Row],[ROE Q1]])</f>
        <v>-116.2225</v>
      </c>
      <c r="M23" s="1">
        <f>Quartile_S[[#This Row],[ROE Q3]]+1.5*(Quartile_S[[#This Row],[ROE Q3]]-Quartile_S[[#This Row],[ROE Q1]])</f>
        <v>60.637499999999989</v>
      </c>
      <c r="N23" s="1" cm="1">
        <f t="array" ref="N23">_xlfn.QUARTILE.INC(IF(Quartile_S[[#This Row],[Industry]]=Main_S[Industry],Main_S[ROA]),1)</f>
        <v>-12.58</v>
      </c>
      <c r="O23" s="1" cm="1">
        <f t="array" ref="O23">_xlfn.QUARTILE.INC(IF(Quartile_S[[#This Row],[Industry]]=Main_S[Industry],Main_S[ROA]),3)</f>
        <v>1.9524999999999999</v>
      </c>
      <c r="P23" s="1">
        <f>Quartile_S[[#This Row],[ROA Q1]]-1.5*(Quartile_S[[#This Row],[ROA Q3]]-Quartile_S[[#This Row],[ROA Q1]])</f>
        <v>-34.378750000000004</v>
      </c>
      <c r="Q23" s="1">
        <f>Quartile_S[[#This Row],[ROA Q3]]+1.5*(Quartile_S[[#This Row],[ROA Q3]]-Quartile_S[[#This Row],[ROA Q1]])</f>
        <v>23.751250000000002</v>
      </c>
      <c r="R23" s="1" cm="1">
        <f t="array" ref="R23">_xlfn.QUARTILE.INC(IF(Quartile_S[[#This Row],[Industry]]=Main_S[Industry],Main_S[P/E]),1)</f>
        <v>-18.591549295774648</v>
      </c>
      <c r="S23" s="1" cm="1">
        <f t="array" ref="S23">_xlfn.QUARTILE.INC(IF(Quartile_S[[#This Row],[Industry]]=Main_S[Industry],Main_S[P/E]),3)</f>
        <v>-2.4933244325767689</v>
      </c>
      <c r="T23" s="1">
        <f>Quartile_S[[#This Row],[P/E Q1]]-1.5*(Quartile_S[[#This Row],[P/E Q3]]-Quartile_S[[#This Row],[P/E Q1]])</f>
        <v>-42.738886590571468</v>
      </c>
      <c r="U23" s="1">
        <f>Quartile_S[[#This Row],[P/E Q3]]+1.5*(Quartile_S[[#This Row],[P/E Q3]]-Quartile_S[[#This Row],[P/E Q1]])</f>
        <v>21.654012862220046</v>
      </c>
      <c r="V23" s="1" cm="1">
        <f t="array" ref="V23">_xlfn.QUARTILE.INC(IF(Quartile_S[[#This Row],[Industry]]=Main_S[Industry],Main_S[A/E]),1)</f>
        <v>1.1575</v>
      </c>
      <c r="W23" s="1" cm="1">
        <f t="array" ref="W23">_xlfn.QUARTILE.INC(IF(Quartile_S[[#This Row],[Industry]]=Main_S[Industry],Main_S[A/E]),3)</f>
        <v>2.3225000000000002</v>
      </c>
      <c r="X23" s="1">
        <f>Quartile_S[[#This Row],[A/E Q1]]-1.5*(Quartile_S[[#This Row],[A/E Q3]]-Quartile_S[[#This Row],[A/E Q1]])</f>
        <v>-0.59000000000000052</v>
      </c>
      <c r="Y23" s="1">
        <f>Quartile_S[[#This Row],[A/E Q3]]+1.5*(Quartile_S[[#This Row],[A/E Q3]]-Quartile_S[[#This Row],[A/E Q1]])</f>
        <v>4.07</v>
      </c>
    </row>
    <row r="24" spans="1:25" x14ac:dyDescent="0.25">
      <c r="A24" t="s">
        <v>129</v>
      </c>
      <c r="B24" s="1" cm="1">
        <f t="array" ref="B24">_xlfn.QUARTILE.INC(IF(Quartile_S[[#This Row],[Industry]]=Main_S[Industry],Main_S[P/FCF]),1)</f>
        <v>-10.058531746031747</v>
      </c>
      <c r="C24" s="1" cm="1">
        <f t="array" ref="C24">_xlfn.QUARTILE.INC(IF(Quartile_S[[#This Row],[Industry]]=Main_S[Industry],Main_S[P/FCF]),3)</f>
        <v>19.669723294723298</v>
      </c>
      <c r="D24" s="1">
        <f>Quartile_S[[#This Row],[P/FCF Q1]]-1.5*(Quartile_S[[#This Row],[P/FCF Q3]]-Quartile_S[[#This Row],[P/FCF Q1]])</f>
        <v>-54.650914307164314</v>
      </c>
      <c r="E24" s="1">
        <f>Quartile_S[[#This Row],[P/FCF Q3]]+1.5*(Quartile_S[[#This Row],[P/FCF Q3]]-Quartile_S[[#This Row],[P/FCF Q1]])</f>
        <v>64.262105855855864</v>
      </c>
      <c r="F24" s="1" cm="1">
        <f t="array" ref="F24">_xlfn.QUARTILE.INC(IF(Quartile_S[[#This Row],[Industry]]=Main_S[Industry],Main_S[P/B]),1)</f>
        <v>1.1056747249019059</v>
      </c>
      <c r="G24" s="1" cm="1">
        <f t="array" ref="G24">_xlfn.QUARTILE.INC(IF(Quartile_S[[#This Row],[Industry]]=Main_S[Industry],Main_S[P/B]),3)</f>
        <v>3.0519976359338061</v>
      </c>
      <c r="H24" s="1">
        <f>Quartile_S[[#This Row],[P/B Q1]]-1.5*(Quartile_S[[#This Row],[P/B Q3]]-Quartile_S[[#This Row],[P/B Q1]])</f>
        <v>-1.8138096416459446</v>
      </c>
      <c r="I24" s="1">
        <f>Quartile_S[[#This Row],[P/B Q3]]+1.5*(Quartile_S[[#This Row],[P/B Q3]]-Quartile_S[[#This Row],[P/B Q1]])</f>
        <v>5.9714820024816566</v>
      </c>
      <c r="J24" s="1" cm="1">
        <f t="array" ref="J24">_xlfn.QUARTILE.INC(IF(Quartile_S[[#This Row],[Industry]]=Main_S[Industry],Main_S[ROE]),1)</f>
        <v>-13.36</v>
      </c>
      <c r="K24" s="1" cm="1">
        <f t="array" ref="K24">_xlfn.QUARTILE.INC(IF(Quartile_S[[#This Row],[Industry]]=Main_S[Industry],Main_S[ROE]),3)</f>
        <v>9.5824999999999996</v>
      </c>
      <c r="L24" s="1">
        <f>Quartile_S[[#This Row],[ROE Q1]]-1.5*(Quartile_S[[#This Row],[ROE Q3]]-Quartile_S[[#This Row],[ROE Q1]])</f>
        <v>-47.77375</v>
      </c>
      <c r="M24" s="1">
        <f>Quartile_S[[#This Row],[ROE Q3]]+1.5*(Quartile_S[[#This Row],[ROE Q3]]-Quartile_S[[#This Row],[ROE Q1]])</f>
        <v>43.996250000000003</v>
      </c>
      <c r="N24" s="1" cm="1">
        <f t="array" ref="N24">_xlfn.QUARTILE.INC(IF(Quartile_S[[#This Row],[Industry]]=Main_S[Industry],Main_S[ROA]),1)</f>
        <v>-1.96</v>
      </c>
      <c r="O24" s="1" cm="1">
        <f t="array" ref="O24">_xlfn.QUARTILE.INC(IF(Quartile_S[[#This Row],[Industry]]=Main_S[Industry],Main_S[ROA]),3)</f>
        <v>4.95</v>
      </c>
      <c r="P24" s="1">
        <f>Quartile_S[[#This Row],[ROA Q1]]-1.5*(Quartile_S[[#This Row],[ROA Q3]]-Quartile_S[[#This Row],[ROA Q1]])</f>
        <v>-12.324999999999999</v>
      </c>
      <c r="Q24" s="1">
        <f>Quartile_S[[#This Row],[ROA Q3]]+1.5*(Quartile_S[[#This Row],[ROA Q3]]-Quartile_S[[#This Row],[ROA Q1]])</f>
        <v>15.315000000000001</v>
      </c>
      <c r="R24" s="1" cm="1">
        <f t="array" ref="R24">_xlfn.QUARTILE.INC(IF(Quartile_S[[#This Row],[Industry]]=Main_S[Industry],Main_S[P/E]),1)</f>
        <v>-16.566869599371564</v>
      </c>
      <c r="S24" s="1" cm="1">
        <f t="array" ref="S24">_xlfn.QUARTILE.INC(IF(Quartile_S[[#This Row],[Industry]]=Main_S[Industry],Main_S[P/E]),3)</f>
        <v>16.043177154582761</v>
      </c>
      <c r="T24" s="1">
        <f>Quartile_S[[#This Row],[P/E Q1]]-1.5*(Quartile_S[[#This Row],[P/E Q3]]-Quartile_S[[#This Row],[P/E Q1]])</f>
        <v>-65.481939730303054</v>
      </c>
      <c r="U24" s="1">
        <f>Quartile_S[[#This Row],[P/E Q3]]+1.5*(Quartile_S[[#This Row],[P/E Q3]]-Quartile_S[[#This Row],[P/E Q1]])</f>
        <v>64.958247285514247</v>
      </c>
      <c r="V24" s="1" cm="1">
        <f t="array" ref="V24">_xlfn.QUARTILE.INC(IF(Quartile_S[[#This Row],[Industry]]=Main_S[Industry],Main_S[A/E]),1)</f>
        <v>1.3575000000000002</v>
      </c>
      <c r="W24" s="1" cm="1">
        <f t="array" ref="W24">_xlfn.QUARTILE.INC(IF(Quartile_S[[#This Row],[Industry]]=Main_S[Industry],Main_S[A/E]),3)</f>
        <v>3.4849999999999999</v>
      </c>
      <c r="X24" s="1">
        <f>Quartile_S[[#This Row],[A/E Q1]]-1.5*(Quartile_S[[#This Row],[A/E Q3]]-Quartile_S[[#This Row],[A/E Q1]])</f>
        <v>-1.8337499999999991</v>
      </c>
      <c r="Y24" s="1">
        <f>Quartile_S[[#This Row],[A/E Q3]]+1.5*(Quartile_S[[#This Row],[A/E Q3]]-Quartile_S[[#This Row],[A/E Q1]])</f>
        <v>6.6762499999999996</v>
      </c>
    </row>
    <row r="25" spans="1:25" x14ac:dyDescent="0.25">
      <c r="A25" t="s">
        <v>149</v>
      </c>
      <c r="B25" s="1" cm="1">
        <f t="array" ref="B25">_xlfn.QUARTILE.INC(IF(Quartile_S[[#This Row],[Industry]]=Main_S[Industry],Main_S[P/FCF]),1)</f>
        <v>-15.575220264317181</v>
      </c>
      <c r="C25" s="1" cm="1">
        <f t="array" ref="C25">_xlfn.QUARTILE.INC(IF(Quartile_S[[#This Row],[Industry]]=Main_S[Industry],Main_S[P/FCF]),3)</f>
        <v>27.757614807872542</v>
      </c>
      <c r="D25" s="1">
        <f>Quartile_S[[#This Row],[P/FCF Q1]]-1.5*(Quartile_S[[#This Row],[P/FCF Q3]]-Quartile_S[[#This Row],[P/FCF Q1]])</f>
        <v>-80.574472872601774</v>
      </c>
      <c r="E25" s="1">
        <f>Quartile_S[[#This Row],[P/FCF Q3]]+1.5*(Quartile_S[[#This Row],[P/FCF Q3]]-Quartile_S[[#This Row],[P/FCF Q1]])</f>
        <v>92.756867416157135</v>
      </c>
      <c r="F25" s="1" cm="1">
        <f t="array" ref="F25">_xlfn.QUARTILE.INC(IF(Quartile_S[[#This Row],[Industry]]=Main_S[Industry],Main_S[P/B]),1)</f>
        <v>1.0331674150639667</v>
      </c>
      <c r="G25" s="1" cm="1">
        <f t="array" ref="G25">_xlfn.QUARTILE.INC(IF(Quartile_S[[#This Row],[Industry]]=Main_S[Industry],Main_S[P/B]),3)</f>
        <v>3.5011705262230901</v>
      </c>
      <c r="H25" s="1">
        <f>Quartile_S[[#This Row],[P/B Q1]]-1.5*(Quartile_S[[#This Row],[P/B Q3]]-Quartile_S[[#This Row],[P/B Q1]])</f>
        <v>-2.6688372516747183</v>
      </c>
      <c r="I25" s="1">
        <f>Quartile_S[[#This Row],[P/B Q3]]+1.5*(Quartile_S[[#This Row],[P/B Q3]]-Quartile_S[[#This Row],[P/B Q1]])</f>
        <v>7.2031751929617744</v>
      </c>
      <c r="J25" s="1" cm="1">
        <f t="array" ref="J25">_xlfn.QUARTILE.INC(IF(Quartile_S[[#This Row],[Industry]]=Main_S[Industry],Main_S[ROE]),1)</f>
        <v>-42.557499999999997</v>
      </c>
      <c r="K25" s="1" cm="1">
        <f t="array" ref="K25">_xlfn.QUARTILE.INC(IF(Quartile_S[[#This Row],[Industry]]=Main_S[Industry],Main_S[ROE]),3)</f>
        <v>0.36250000000000004</v>
      </c>
      <c r="L25" s="1">
        <f>Quartile_S[[#This Row],[ROE Q1]]-1.5*(Quartile_S[[#This Row],[ROE Q3]]-Quartile_S[[#This Row],[ROE Q1]])</f>
        <v>-106.9375</v>
      </c>
      <c r="M25" s="1">
        <f>Quartile_S[[#This Row],[ROE Q3]]+1.5*(Quartile_S[[#This Row],[ROE Q3]]-Quartile_S[[#This Row],[ROE Q1]])</f>
        <v>64.742499999999993</v>
      </c>
      <c r="N25" s="1" cm="1">
        <f t="array" ref="N25">_xlfn.QUARTILE.INC(IF(Quartile_S[[#This Row],[Industry]]=Main_S[Industry],Main_S[ROA]),1)</f>
        <v>-3.3925000000000001</v>
      </c>
      <c r="O25" s="1" cm="1">
        <f t="array" ref="O25">_xlfn.QUARTILE.INC(IF(Quartile_S[[#This Row],[Industry]]=Main_S[Industry],Main_S[ROA]),3)</f>
        <v>2.12</v>
      </c>
      <c r="P25" s="1">
        <f>Quartile_S[[#This Row],[ROA Q1]]-1.5*(Quartile_S[[#This Row],[ROA Q3]]-Quartile_S[[#This Row],[ROA Q1]])</f>
        <v>-11.661250000000001</v>
      </c>
      <c r="Q25" s="1">
        <f>Quartile_S[[#This Row],[ROA Q3]]+1.5*(Quartile_S[[#This Row],[ROA Q3]]-Quartile_S[[#This Row],[ROA Q1]])</f>
        <v>10.388750000000002</v>
      </c>
      <c r="R25" s="1" cm="1">
        <f t="array" ref="R25">_xlfn.QUARTILE.INC(IF(Quartile_S[[#This Row],[Industry]]=Main_S[Industry],Main_S[P/E]),1)</f>
        <v>-13.103260869565217</v>
      </c>
      <c r="S25" s="1" cm="1">
        <f t="array" ref="S25">_xlfn.QUARTILE.INC(IF(Quartile_S[[#This Row],[Industry]]=Main_S[Industry],Main_S[P/E]),3)</f>
        <v>10.198387178297892</v>
      </c>
      <c r="T25" s="1">
        <f>Quartile_S[[#This Row],[P/E Q1]]-1.5*(Quartile_S[[#This Row],[P/E Q3]]-Quartile_S[[#This Row],[P/E Q1]])</f>
        <v>-48.055732941359885</v>
      </c>
      <c r="U25" s="1">
        <f>Quartile_S[[#This Row],[P/E Q3]]+1.5*(Quartile_S[[#This Row],[P/E Q3]]-Quartile_S[[#This Row],[P/E Q1]])</f>
        <v>45.150859250092559</v>
      </c>
      <c r="V25" s="1" cm="1">
        <f t="array" ref="V25">_xlfn.QUARTILE.INC(IF(Quartile_S[[#This Row],[Industry]]=Main_S[Industry],Main_S[A/E]),1)</f>
        <v>1.4624999999999999</v>
      </c>
      <c r="W25" s="1" cm="1">
        <f t="array" ref="W25">_xlfn.QUARTILE.INC(IF(Quartile_S[[#This Row],[Industry]]=Main_S[Industry],Main_S[A/E]),3)</f>
        <v>2.42</v>
      </c>
      <c r="X25" s="1">
        <f>Quartile_S[[#This Row],[A/E Q1]]-1.5*(Quartile_S[[#This Row],[A/E Q3]]-Quartile_S[[#This Row],[A/E Q1]])</f>
        <v>2.6249999999999885E-2</v>
      </c>
      <c r="Y25" s="1">
        <f>Quartile_S[[#This Row],[A/E Q3]]+1.5*(Quartile_S[[#This Row],[A/E Q3]]-Quartile_S[[#This Row],[A/E Q1]])</f>
        <v>3.8562500000000002</v>
      </c>
    </row>
    <row r="26" spans="1:25" x14ac:dyDescent="0.25">
      <c r="A26" t="s">
        <v>152</v>
      </c>
      <c r="B26" s="1" cm="1">
        <f t="array" ref="B26">_xlfn.QUARTILE.INC(IF(Quartile_S[[#This Row],[Industry]]=Main_S[Industry],Main_S[P/FCF]),1)</f>
        <v>-7.3854865771812079</v>
      </c>
      <c r="C26" s="1" cm="1">
        <f t="array" ref="C26">_xlfn.QUARTILE.INC(IF(Quartile_S[[#This Row],[Industry]]=Main_S[Industry],Main_S[P/FCF]),3)</f>
        <v>-2.3772145669291338</v>
      </c>
      <c r="D26" s="1">
        <f>Quartile_S[[#This Row],[P/FCF Q1]]-1.5*(Quartile_S[[#This Row],[P/FCF Q3]]-Quartile_S[[#This Row],[P/FCF Q1]])</f>
        <v>-14.89789459255932</v>
      </c>
      <c r="E26" s="1">
        <f>Quartile_S[[#This Row],[P/FCF Q3]]+1.5*(Quartile_S[[#This Row],[P/FCF Q3]]-Quartile_S[[#This Row],[P/FCF Q1]])</f>
        <v>5.1351934484489785</v>
      </c>
      <c r="F26" s="1" cm="1">
        <f t="array" ref="F26">_xlfn.QUARTILE.INC(IF(Quartile_S[[#This Row],[Industry]]=Main_S[Industry],Main_S[P/B]),1)</f>
        <v>0.95599716110716826</v>
      </c>
      <c r="G26" s="1" cm="1">
        <f t="array" ref="G26">_xlfn.QUARTILE.INC(IF(Quartile_S[[#This Row],[Industry]]=Main_S[Industry],Main_S[P/B]),3)</f>
        <v>4.0759999999999996</v>
      </c>
      <c r="H26" s="1">
        <f>Quartile_S[[#This Row],[P/B Q1]]-1.5*(Quartile_S[[#This Row],[P/B Q3]]-Quartile_S[[#This Row],[P/B Q1]])</f>
        <v>-3.7240070972320787</v>
      </c>
      <c r="I26" s="1">
        <f>Quartile_S[[#This Row],[P/B Q3]]+1.5*(Quartile_S[[#This Row],[P/B Q3]]-Quartile_S[[#This Row],[P/B Q1]])</f>
        <v>8.7560042583392459</v>
      </c>
      <c r="J26" s="1" cm="1">
        <f t="array" ref="J26">_xlfn.QUARTILE.INC(IF(Quartile_S[[#This Row],[Industry]]=Main_S[Industry],Main_S[ROE]),1)</f>
        <v>-78.057500000000005</v>
      </c>
      <c r="K26" s="1" cm="1">
        <f t="array" ref="K26">_xlfn.QUARTILE.INC(IF(Quartile_S[[#This Row],[Industry]]=Main_S[Industry],Main_S[ROE]),3)</f>
        <v>-16.785</v>
      </c>
      <c r="L26" s="1">
        <f>Quartile_S[[#This Row],[ROE Q1]]-1.5*(Quartile_S[[#This Row],[ROE Q3]]-Quartile_S[[#This Row],[ROE Q1]])</f>
        <v>-169.96625</v>
      </c>
      <c r="M26" s="1">
        <f>Quartile_S[[#This Row],[ROE Q3]]+1.5*(Quartile_S[[#This Row],[ROE Q3]]-Quartile_S[[#This Row],[ROE Q1]])</f>
        <v>75.123750000000015</v>
      </c>
      <c r="N26" s="1" cm="1">
        <f t="array" ref="N26">_xlfn.QUARTILE.INC(IF(Quartile_S[[#This Row],[Industry]]=Main_S[Industry],Main_S[ROA]),1)</f>
        <v>-33.622500000000002</v>
      </c>
      <c r="O26" s="1" cm="1">
        <f t="array" ref="O26">_xlfn.QUARTILE.INC(IF(Quartile_S[[#This Row],[Industry]]=Main_S[Industry],Main_S[ROA]),3)</f>
        <v>-11.1175</v>
      </c>
      <c r="P26" s="1">
        <f>Quartile_S[[#This Row],[ROA Q1]]-1.5*(Quartile_S[[#This Row],[ROA Q3]]-Quartile_S[[#This Row],[ROA Q1]])</f>
        <v>-67.38000000000001</v>
      </c>
      <c r="Q26" s="1">
        <f>Quartile_S[[#This Row],[ROA Q3]]+1.5*(Quartile_S[[#This Row],[ROA Q3]]-Quartile_S[[#This Row],[ROA Q1]])</f>
        <v>22.640000000000008</v>
      </c>
      <c r="R26" s="1" cm="1">
        <f t="array" ref="R26">_xlfn.QUARTILE.INC(IF(Quartile_S[[#This Row],[Industry]]=Main_S[Industry],Main_S[P/E]),1)</f>
        <v>-7.1666666666666661</v>
      </c>
      <c r="S26" s="1" cm="1">
        <f t="array" ref="S26">_xlfn.QUARTILE.INC(IF(Quartile_S[[#This Row],[Industry]]=Main_S[Industry],Main_S[P/E]),3)</f>
        <v>-1.9275362318840583</v>
      </c>
      <c r="T26" s="1">
        <f>Quartile_S[[#This Row],[P/E Q1]]-1.5*(Quartile_S[[#This Row],[P/E Q3]]-Quartile_S[[#This Row],[P/E Q1]])</f>
        <v>-15.025362318840578</v>
      </c>
      <c r="U26" s="1">
        <f>Quartile_S[[#This Row],[P/E Q3]]+1.5*(Quartile_S[[#This Row],[P/E Q3]]-Quartile_S[[#This Row],[P/E Q1]])</f>
        <v>5.9311594202898528</v>
      </c>
      <c r="V26" s="1" cm="1">
        <f t="array" ref="V26">_xlfn.QUARTILE.INC(IF(Quartile_S[[#This Row],[Industry]]=Main_S[Industry],Main_S[A/E]),1)</f>
        <v>1.0900000000000001</v>
      </c>
      <c r="W26" s="1" cm="1">
        <f t="array" ref="W26">_xlfn.QUARTILE.INC(IF(Quartile_S[[#This Row],[Industry]]=Main_S[Industry],Main_S[A/E]),3)</f>
        <v>1.7949999999999999</v>
      </c>
      <c r="X26" s="1">
        <f>Quartile_S[[#This Row],[A/E Q1]]-1.5*(Quartile_S[[#This Row],[A/E Q3]]-Quartile_S[[#This Row],[A/E Q1]])</f>
        <v>3.2500000000000417E-2</v>
      </c>
      <c r="Y26" s="1">
        <f>Quartile_S[[#This Row],[A/E Q3]]+1.5*(Quartile_S[[#This Row],[A/E Q3]]-Quartile_S[[#This Row],[A/E Q1]])</f>
        <v>2.8524999999999996</v>
      </c>
    </row>
    <row r="27" spans="1:25" x14ac:dyDescent="0.25">
      <c r="A27" t="s">
        <v>173</v>
      </c>
      <c r="B27" s="1" cm="1">
        <f t="array" ref="B27">_xlfn.QUARTILE.INC(IF(Quartile_S[[#This Row],[Industry]]=Main_S[Industry],Main_S[P/FCF]),1)</f>
        <v>-12.594389678948504</v>
      </c>
      <c r="C27" s="1" cm="1">
        <f t="array" ref="C27">_xlfn.QUARTILE.INC(IF(Quartile_S[[#This Row],[Industry]]=Main_S[Industry],Main_S[P/FCF]),3)</f>
        <v>5.0592469545957917</v>
      </c>
      <c r="D27" s="1">
        <f>Quartile_S[[#This Row],[P/FCF Q1]]-1.5*(Quartile_S[[#This Row],[P/FCF Q3]]-Quartile_S[[#This Row],[P/FCF Q1]])</f>
        <v>-39.074844629264945</v>
      </c>
      <c r="E27" s="1">
        <f>Quartile_S[[#This Row],[P/FCF Q3]]+1.5*(Quartile_S[[#This Row],[P/FCF Q3]]-Quartile_S[[#This Row],[P/FCF Q1]])</f>
        <v>31.539701904912235</v>
      </c>
      <c r="F27" s="1" cm="1">
        <f t="array" ref="F27">_xlfn.QUARTILE.INC(IF(Quartile_S[[#This Row],[Industry]]=Main_S[Industry],Main_S[P/B]),1)</f>
        <v>0.88324403238915139</v>
      </c>
      <c r="G27" s="1" cm="1">
        <f t="array" ref="G27">_xlfn.QUARTILE.INC(IF(Quartile_S[[#This Row],[Industry]]=Main_S[Industry],Main_S[P/B]),3)</f>
        <v>4.1179591366717112</v>
      </c>
      <c r="H27" s="1">
        <f>Quartile_S[[#This Row],[P/B Q1]]-1.5*(Quartile_S[[#This Row],[P/B Q3]]-Quartile_S[[#This Row],[P/B Q1]])</f>
        <v>-3.9688286240346882</v>
      </c>
      <c r="I27" s="1">
        <f>Quartile_S[[#This Row],[P/B Q3]]+1.5*(Quartile_S[[#This Row],[P/B Q3]]-Quartile_S[[#This Row],[P/B Q1]])</f>
        <v>8.9700317930955507</v>
      </c>
      <c r="J27" s="1" cm="1">
        <f t="array" ref="J27">_xlfn.QUARTILE.INC(IF(Quartile_S[[#This Row],[Industry]]=Main_S[Industry],Main_S[ROE]),1)</f>
        <v>-38.3825</v>
      </c>
      <c r="K27" s="1" cm="1">
        <f t="array" ref="K27">_xlfn.QUARTILE.INC(IF(Quartile_S[[#This Row],[Industry]]=Main_S[Industry],Main_S[ROE]),3)</f>
        <v>7.3825000000000003</v>
      </c>
      <c r="L27" s="1">
        <f>Quartile_S[[#This Row],[ROE Q1]]-1.5*(Quartile_S[[#This Row],[ROE Q3]]-Quartile_S[[#This Row],[ROE Q1]])</f>
        <v>-107.03</v>
      </c>
      <c r="M27" s="1">
        <f>Quartile_S[[#This Row],[ROE Q3]]+1.5*(Quartile_S[[#This Row],[ROE Q3]]-Quartile_S[[#This Row],[ROE Q1]])</f>
        <v>76.03</v>
      </c>
      <c r="N27" s="1" cm="1">
        <f t="array" ref="N27">_xlfn.QUARTILE.INC(IF(Quartile_S[[#This Row],[Industry]]=Main_S[Industry],Main_S[ROA]),1)</f>
        <v>-24.130000000000003</v>
      </c>
      <c r="O27" s="1" cm="1">
        <f t="array" ref="O27">_xlfn.QUARTILE.INC(IF(Quartile_S[[#This Row],[Industry]]=Main_S[Industry],Main_S[ROA]),3)</f>
        <v>2.4899999999999998</v>
      </c>
      <c r="P27" s="1">
        <f>Quartile_S[[#This Row],[ROA Q1]]-1.5*(Quartile_S[[#This Row],[ROA Q3]]-Quartile_S[[#This Row],[ROA Q1]])</f>
        <v>-64.06</v>
      </c>
      <c r="Q27" s="1">
        <f>Quartile_S[[#This Row],[ROA Q3]]+1.5*(Quartile_S[[#This Row],[ROA Q3]]-Quartile_S[[#This Row],[ROA Q1]])</f>
        <v>42.42</v>
      </c>
      <c r="R27" s="1" cm="1">
        <f t="array" ref="R27">_xlfn.QUARTILE.INC(IF(Quartile_S[[#This Row],[Industry]]=Main_S[Industry],Main_S[P/E]),1)</f>
        <v>-13.285765765765767</v>
      </c>
      <c r="S27" s="1" cm="1">
        <f t="array" ref="S27">_xlfn.QUARTILE.INC(IF(Quartile_S[[#This Row],[Industry]]=Main_S[Industry],Main_S[P/E]),3)</f>
        <v>-0.99190732483878397</v>
      </c>
      <c r="T27" s="1">
        <f>Quartile_S[[#This Row],[P/E Q1]]-1.5*(Quartile_S[[#This Row],[P/E Q3]]-Quartile_S[[#This Row],[P/E Q1]])</f>
        <v>-31.72655342715624</v>
      </c>
      <c r="U27" s="1">
        <f>Quartile_S[[#This Row],[P/E Q3]]+1.5*(Quartile_S[[#This Row],[P/E Q3]]-Quartile_S[[#This Row],[P/E Q1]])</f>
        <v>17.448880336551689</v>
      </c>
      <c r="V27" s="1" cm="1">
        <f t="array" ref="V27">_xlfn.QUARTILE.INC(IF(Quartile_S[[#This Row],[Industry]]=Main_S[Industry],Main_S[A/E]),1)</f>
        <v>1.0525</v>
      </c>
      <c r="W27" s="1" cm="1">
        <f t="array" ref="W27">_xlfn.QUARTILE.INC(IF(Quartile_S[[#This Row],[Industry]]=Main_S[Industry],Main_S[A/E]),3)</f>
        <v>1.8424999999999998</v>
      </c>
      <c r="X27" s="1">
        <f>Quartile_S[[#This Row],[A/E Q1]]-1.5*(Quartile_S[[#This Row],[A/E Q3]]-Quartile_S[[#This Row],[A/E Q1]])</f>
        <v>-0.13249999999999962</v>
      </c>
      <c r="Y27" s="1">
        <f>Quartile_S[[#This Row],[A/E Q3]]+1.5*(Quartile_S[[#This Row],[A/E Q3]]-Quartile_S[[#This Row],[A/E Q1]])</f>
        <v>3.0274999999999994</v>
      </c>
    </row>
    <row r="28" spans="1:25" x14ac:dyDescent="0.25">
      <c r="A28" t="s">
        <v>191</v>
      </c>
      <c r="B28" s="1" cm="1">
        <f t="array" ref="B28">_xlfn.QUARTILE.INC(IF(Quartile_S[[#This Row],[Industry]]=Main_S[Industry],Main_S[P/FCF]),1)</f>
        <v>-11.384287925696594</v>
      </c>
      <c r="C28" s="1" cm="1">
        <f t="array" ref="C28">_xlfn.QUARTILE.INC(IF(Quartile_S[[#This Row],[Industry]]=Main_S[Industry],Main_S[P/FCF]),3)</f>
        <v>12.447169811320753</v>
      </c>
      <c r="D28" s="1">
        <f>Quartile_S[[#This Row],[P/FCF Q1]]-1.5*(Quartile_S[[#This Row],[P/FCF Q3]]-Quartile_S[[#This Row],[P/FCF Q1]])</f>
        <v>-47.131474531222608</v>
      </c>
      <c r="E28" s="1">
        <f>Quartile_S[[#This Row],[P/FCF Q3]]+1.5*(Quartile_S[[#This Row],[P/FCF Q3]]-Quartile_S[[#This Row],[P/FCF Q1]])</f>
        <v>48.194356416846773</v>
      </c>
      <c r="F28" s="1" cm="1">
        <f t="array" ref="F28">_xlfn.QUARTILE.INC(IF(Quartile_S[[#This Row],[Industry]]=Main_S[Industry],Main_S[P/B]),1)</f>
        <v>0.79143759228425126</v>
      </c>
      <c r="G28" s="1" cm="1">
        <f t="array" ref="G28">_xlfn.QUARTILE.INC(IF(Quartile_S[[#This Row],[Industry]]=Main_S[Industry],Main_S[P/B]),3)</f>
        <v>4.0583411883815108</v>
      </c>
      <c r="H28" s="1">
        <f>Quartile_S[[#This Row],[P/B Q1]]-1.5*(Quartile_S[[#This Row],[P/B Q3]]-Quartile_S[[#This Row],[P/B Q1]])</f>
        <v>-4.1089178018616384</v>
      </c>
      <c r="I28" s="1">
        <f>Quartile_S[[#This Row],[P/B Q3]]+1.5*(Quartile_S[[#This Row],[P/B Q3]]-Quartile_S[[#This Row],[P/B Q1]])</f>
        <v>8.9586965825274003</v>
      </c>
      <c r="J28" s="1" cm="1">
        <f t="array" ref="J28">_xlfn.QUARTILE.INC(IF(Quartile_S[[#This Row],[Industry]]=Main_S[Industry],Main_S[ROE]),1)</f>
        <v>-47.62</v>
      </c>
      <c r="K28" s="1" cm="1">
        <f t="array" ref="K28">_xlfn.QUARTILE.INC(IF(Quartile_S[[#This Row],[Industry]]=Main_S[Industry],Main_S[ROE]),3)</f>
        <v>-15.475</v>
      </c>
      <c r="L28" s="1">
        <f>Quartile_S[[#This Row],[ROE Q1]]-1.5*(Quartile_S[[#This Row],[ROE Q3]]-Quartile_S[[#This Row],[ROE Q1]])</f>
        <v>-95.837499999999991</v>
      </c>
      <c r="M28" s="1">
        <f>Quartile_S[[#This Row],[ROE Q3]]+1.5*(Quartile_S[[#This Row],[ROE Q3]]-Quartile_S[[#This Row],[ROE Q1]])</f>
        <v>32.742499999999993</v>
      </c>
      <c r="N28" s="1" cm="1">
        <f t="array" ref="N28">_xlfn.QUARTILE.INC(IF(Quartile_S[[#This Row],[Industry]]=Main_S[Industry],Main_S[ROA]),1)</f>
        <v>-12.574999999999999</v>
      </c>
      <c r="O28" s="1" cm="1">
        <f t="array" ref="O28">_xlfn.QUARTILE.INC(IF(Quartile_S[[#This Row],[Industry]]=Main_S[Industry],Main_S[ROA]),3)</f>
        <v>-1.92</v>
      </c>
      <c r="P28" s="1">
        <f>Quartile_S[[#This Row],[ROA Q1]]-1.5*(Quartile_S[[#This Row],[ROA Q3]]-Quartile_S[[#This Row],[ROA Q1]])</f>
        <v>-28.557499999999997</v>
      </c>
      <c r="Q28" s="1">
        <f>Quartile_S[[#This Row],[ROA Q3]]+1.5*(Quartile_S[[#This Row],[ROA Q3]]-Quartile_S[[#This Row],[ROA Q1]])</f>
        <v>14.062499999999998</v>
      </c>
      <c r="R28" s="1" cm="1">
        <f t="array" ref="R28">_xlfn.QUARTILE.INC(IF(Quartile_S[[#This Row],[Industry]]=Main_S[Industry],Main_S[P/E]),1)</f>
        <v>-7.9280801435406705</v>
      </c>
      <c r="S28" s="1" cm="1">
        <f t="array" ref="S28">_xlfn.QUARTILE.INC(IF(Quartile_S[[#This Row],[Industry]]=Main_S[Industry],Main_S[P/E]),3)</f>
        <v>-2.332177875235538</v>
      </c>
      <c r="T28" s="1">
        <f>Quartile_S[[#This Row],[P/E Q1]]-1.5*(Quartile_S[[#This Row],[P/E Q3]]-Quartile_S[[#This Row],[P/E Q1]])</f>
        <v>-16.32193354599837</v>
      </c>
      <c r="U28" s="1">
        <f>Quartile_S[[#This Row],[P/E Q3]]+1.5*(Quartile_S[[#This Row],[P/E Q3]]-Quartile_S[[#This Row],[P/E Q1]])</f>
        <v>6.0616755272221612</v>
      </c>
      <c r="V28" s="1" cm="1">
        <f t="array" ref="V28">_xlfn.QUARTILE.INC(IF(Quartile_S[[#This Row],[Industry]]=Main_S[Industry],Main_S[A/E]),1)</f>
        <v>1.29</v>
      </c>
      <c r="W28" s="1" cm="1">
        <f t="array" ref="W28">_xlfn.QUARTILE.INC(IF(Quartile_S[[#This Row],[Industry]]=Main_S[Industry],Main_S[A/E]),3)</f>
        <v>2.5949999999999998</v>
      </c>
      <c r="X28" s="1">
        <f>Quartile_S[[#This Row],[A/E Q1]]-1.5*(Quartile_S[[#This Row],[A/E Q3]]-Quartile_S[[#This Row],[A/E Q1]])</f>
        <v>-0.66749999999999954</v>
      </c>
      <c r="Y28" s="1">
        <f>Quartile_S[[#This Row],[A/E Q3]]+1.5*(Quartile_S[[#This Row],[A/E Q3]]-Quartile_S[[#This Row],[A/E Q1]])</f>
        <v>4.5524999999999993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E5DF7-6D09-48D2-A179-6B6FB67C4BE7}">
  <sheetPr codeName="Sheet6"/>
  <dimension ref="A1:K30"/>
  <sheetViews>
    <sheetView workbookViewId="0">
      <selection activeCell="I29" sqref="I29"/>
    </sheetView>
  </sheetViews>
  <sheetFormatPr defaultRowHeight="15" x14ac:dyDescent="0.25"/>
  <cols>
    <col min="1" max="1" width="31.42578125" bestFit="1" customWidth="1"/>
    <col min="2" max="2" width="14.85546875" bestFit="1" customWidth="1"/>
    <col min="3" max="3" width="15.4257812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" bestFit="1" customWidth="1"/>
    <col min="11" max="11" width="14.5703125" bestFit="1" customWidth="1"/>
  </cols>
  <sheetData>
    <row r="1" spans="1:11" x14ac:dyDescent="0.25">
      <c r="A1" s="27" t="s">
        <v>55</v>
      </c>
      <c r="B1" s="27"/>
      <c r="C1" s="27"/>
      <c r="E1" s="27" t="s">
        <v>80</v>
      </c>
      <c r="F1" s="27"/>
      <c r="G1" s="27"/>
      <c r="I1" s="27" t="s">
        <v>56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11.365499544137002</v>
      </c>
      <c r="C5" s="1">
        <v>21.216348319599987</v>
      </c>
      <c r="E5" s="6" t="s">
        <v>152</v>
      </c>
      <c r="F5" s="1">
        <v>7.8437152335338283</v>
      </c>
      <c r="G5" s="1">
        <v>10.172152249511782</v>
      </c>
      <c r="I5" s="6" t="s">
        <v>152</v>
      </c>
      <c r="J5" s="1">
        <v>8.8362499999999997</v>
      </c>
      <c r="K5" s="1">
        <v>22.615715463754409</v>
      </c>
    </row>
    <row r="6" spans="1:11" x14ac:dyDescent="0.25">
      <c r="A6" s="6" t="s">
        <v>105</v>
      </c>
      <c r="B6" s="1">
        <v>35.164777468176673</v>
      </c>
      <c r="C6" s="1">
        <v>17.59044041592886</v>
      </c>
      <c r="E6" s="6" t="s">
        <v>105</v>
      </c>
      <c r="F6" s="1">
        <v>4.3713423736484138</v>
      </c>
      <c r="G6" s="1">
        <v>2.6784946737492334</v>
      </c>
      <c r="I6" s="6" t="s">
        <v>105</v>
      </c>
      <c r="J6" s="1">
        <v>11.126190476190478</v>
      </c>
      <c r="K6" s="1">
        <v>9.3478586680589348</v>
      </c>
    </row>
    <row r="7" spans="1:11" x14ac:dyDescent="0.25">
      <c r="A7" s="6" t="s">
        <v>129</v>
      </c>
      <c r="B7" s="1">
        <v>16.463657164953787</v>
      </c>
      <c r="C7" s="1">
        <v>7.4572674865252928</v>
      </c>
      <c r="E7" s="6" t="s">
        <v>129</v>
      </c>
      <c r="F7" s="1">
        <v>2.3899318442241206</v>
      </c>
      <c r="G7" s="1">
        <v>1.3002582171621375</v>
      </c>
      <c r="I7" s="6" t="s">
        <v>129</v>
      </c>
      <c r="J7" s="1">
        <v>19.635999999999999</v>
      </c>
      <c r="K7" s="1">
        <v>12.202139593803494</v>
      </c>
    </row>
    <row r="8" spans="1:11" x14ac:dyDescent="0.25">
      <c r="A8" s="6" t="s">
        <v>149</v>
      </c>
      <c r="B8" s="1">
        <v>42.61201869113269</v>
      </c>
      <c r="C8" s="1">
        <v>6.1218522766092454</v>
      </c>
      <c r="E8" s="6" t="s">
        <v>149</v>
      </c>
      <c r="F8" s="1">
        <v>8.8557774285931519</v>
      </c>
      <c r="G8" s="1">
        <v>2.1314952986795719</v>
      </c>
      <c r="I8" s="6" t="s">
        <v>149</v>
      </c>
      <c r="J8" s="1">
        <v>17.434999999999999</v>
      </c>
      <c r="K8" s="1">
        <v>3.8050000000000002</v>
      </c>
    </row>
    <row r="9" spans="1:11" x14ac:dyDescent="0.25">
      <c r="A9" s="6" t="s">
        <v>191</v>
      </c>
      <c r="B9" s="1">
        <v>22.881819110699038</v>
      </c>
      <c r="C9" s="1">
        <v>7.2879594215901946</v>
      </c>
      <c r="E9" s="6" t="s">
        <v>191</v>
      </c>
      <c r="F9" s="1">
        <v>3.7172083512792415</v>
      </c>
      <c r="G9" s="1">
        <v>1.6905762726533884</v>
      </c>
      <c r="I9" s="6" t="s">
        <v>191</v>
      </c>
      <c r="J9" s="1">
        <v>17.018749999999997</v>
      </c>
      <c r="K9" s="1">
        <v>11.574495061880672</v>
      </c>
    </row>
    <row r="10" spans="1:11" x14ac:dyDescent="0.25">
      <c r="A10" s="6" t="s">
        <v>173</v>
      </c>
      <c r="B10" s="1">
        <v>20.10872016872052</v>
      </c>
      <c r="C10" s="1">
        <v>13.486226354277708</v>
      </c>
      <c r="E10" s="6" t="s">
        <v>173</v>
      </c>
      <c r="F10" s="1">
        <v>3.3575388188108799</v>
      </c>
      <c r="G10" s="1">
        <v>2.1370716627653743</v>
      </c>
      <c r="I10" s="6" t="s">
        <v>173</v>
      </c>
      <c r="J10" s="1">
        <v>20.58285714285714</v>
      </c>
      <c r="K10" s="1">
        <v>14.812773169788024</v>
      </c>
    </row>
    <row r="21" spans="1:11" x14ac:dyDescent="0.25">
      <c r="A21" s="27" t="s">
        <v>57</v>
      </c>
      <c r="B21" s="27"/>
      <c r="C21" s="27"/>
      <c r="E21" s="27" t="s">
        <v>58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4.7144444444444433</v>
      </c>
      <c r="C25" s="1">
        <v>6.8363710501846295</v>
      </c>
      <c r="E25" s="6" t="s">
        <v>152</v>
      </c>
      <c r="F25" s="1">
        <v>1.5093750000000004</v>
      </c>
      <c r="G25" s="1">
        <v>0.48812740076233979</v>
      </c>
      <c r="I25" s="6" t="s">
        <v>152</v>
      </c>
      <c r="J25" s="1">
        <v>1.5926353669358291</v>
      </c>
      <c r="K25" s="1">
        <v>42.581367186245998</v>
      </c>
    </row>
    <row r="26" spans="1:11" x14ac:dyDescent="0.25">
      <c r="A26" s="6" t="s">
        <v>105</v>
      </c>
      <c r="B26" s="1">
        <v>5.4138095238095234</v>
      </c>
      <c r="C26" s="1">
        <v>1.8083680519567564</v>
      </c>
      <c r="E26" s="6" t="s">
        <v>105</v>
      </c>
      <c r="F26" s="1">
        <v>1.8304999999999996</v>
      </c>
      <c r="G26" s="1">
        <v>0.46342717874548645</v>
      </c>
      <c r="I26" s="6" t="s">
        <v>105</v>
      </c>
      <c r="J26" s="1">
        <v>40.756398313189791</v>
      </c>
      <c r="K26" s="1">
        <v>18.483980331938973</v>
      </c>
    </row>
    <row r="27" spans="1:11" x14ac:dyDescent="0.25">
      <c r="A27" s="6" t="s">
        <v>129</v>
      </c>
      <c r="B27" s="1">
        <v>5.8484210526315792</v>
      </c>
      <c r="C27" s="1">
        <v>2.5703169232358425</v>
      </c>
      <c r="E27" s="6" t="s">
        <v>129</v>
      </c>
      <c r="F27" s="1">
        <v>2.7953846153846156</v>
      </c>
      <c r="G27" s="1">
        <v>0.63117247898244855</v>
      </c>
      <c r="I27" s="6" t="s">
        <v>129</v>
      </c>
      <c r="J27" s="1">
        <v>17.325823877195504</v>
      </c>
      <c r="K27" s="1">
        <v>6.2544868830401121</v>
      </c>
    </row>
    <row r="28" spans="1:11" x14ac:dyDescent="0.25">
      <c r="A28" s="6" t="s">
        <v>149</v>
      </c>
      <c r="B28" s="1">
        <v>9.7250000000000014</v>
      </c>
      <c r="C28" s="1">
        <v>3.1549999999999958</v>
      </c>
      <c r="E28" s="6" t="s">
        <v>149</v>
      </c>
      <c r="F28" s="1">
        <v>1.2</v>
      </c>
      <c r="G28" s="1">
        <v>6.0000000000000393E-2</v>
      </c>
      <c r="I28" s="6" t="s">
        <v>149</v>
      </c>
      <c r="J28" s="1">
        <v>58.131666666666661</v>
      </c>
      <c r="K28" s="1">
        <v>2.298333333333388</v>
      </c>
    </row>
    <row r="29" spans="1:11" x14ac:dyDescent="0.25">
      <c r="A29" s="6" t="s">
        <v>191</v>
      </c>
      <c r="B29" s="1">
        <v>5.945555555555555</v>
      </c>
      <c r="C29" s="1">
        <v>3.1348829895268335</v>
      </c>
      <c r="E29" s="6" t="s">
        <v>191</v>
      </c>
      <c r="F29" s="1">
        <v>1.92875</v>
      </c>
      <c r="G29" s="1">
        <v>0.42627565905174619</v>
      </c>
      <c r="I29" s="6" t="s">
        <v>191</v>
      </c>
      <c r="J29" s="1">
        <v>29.075327286032088</v>
      </c>
      <c r="K29" s="1">
        <v>7.6889245537942958</v>
      </c>
    </row>
    <row r="30" spans="1:11" x14ac:dyDescent="0.25">
      <c r="A30" s="6" t="s">
        <v>173</v>
      </c>
      <c r="B30" s="1">
        <v>7.8012500000000014</v>
      </c>
      <c r="C30" s="1">
        <v>4.2474152066286122</v>
      </c>
      <c r="E30" s="6" t="s">
        <v>173</v>
      </c>
      <c r="F30" s="1">
        <v>2.5157142857142856</v>
      </c>
      <c r="G30" s="1">
        <v>0.65902215750430793</v>
      </c>
      <c r="I30" s="6" t="s">
        <v>173</v>
      </c>
      <c r="J30" s="1">
        <v>16.999678239973012</v>
      </c>
      <c r="K30" s="1">
        <v>4.7980076203068638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63721-54CC-4C95-B1F3-821FC4084D80}">
  <sheetPr codeName="Sheet7"/>
  <dimension ref="A1:K30"/>
  <sheetViews>
    <sheetView workbookViewId="0">
      <selection activeCell="G13" sqref="G13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60</v>
      </c>
      <c r="B1" s="27"/>
      <c r="C1" s="27"/>
      <c r="E1" s="27" t="s">
        <v>79</v>
      </c>
      <c r="F1" s="27"/>
      <c r="G1" s="27"/>
      <c r="I1" s="27" t="s">
        <v>62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-13.158442557654748</v>
      </c>
      <c r="C5" s="1">
        <v>14.792023440209215</v>
      </c>
      <c r="E5" s="6" t="s">
        <v>152</v>
      </c>
      <c r="F5" s="1">
        <v>5.0123426995203362</v>
      </c>
      <c r="G5" s="1">
        <v>4.7486197978954729</v>
      </c>
      <c r="I5" s="6" t="s">
        <v>152</v>
      </c>
      <c r="J5" s="1">
        <v>-17.102352941176473</v>
      </c>
      <c r="K5" s="1">
        <v>79.783468865847098</v>
      </c>
    </row>
    <row r="6" spans="1:11" x14ac:dyDescent="0.25">
      <c r="A6" s="6" t="s">
        <v>105</v>
      </c>
      <c r="B6" s="1">
        <v>8.6697608460381659</v>
      </c>
      <c r="C6" s="1">
        <v>39.066763705165926</v>
      </c>
      <c r="E6" s="6" t="s">
        <v>105</v>
      </c>
      <c r="F6" s="1">
        <v>3.7203006882340715</v>
      </c>
      <c r="G6" s="1">
        <v>2.5546548777140909</v>
      </c>
      <c r="I6" s="6" t="s">
        <v>105</v>
      </c>
      <c r="J6" s="1">
        <v>-10.302857142857144</v>
      </c>
      <c r="K6" s="1">
        <v>32.286511210139281</v>
      </c>
    </row>
    <row r="7" spans="1:11" x14ac:dyDescent="0.25">
      <c r="A7" s="6" t="s">
        <v>129</v>
      </c>
      <c r="B7" s="1">
        <v>16.913293895469895</v>
      </c>
      <c r="C7" s="1">
        <v>9.6149445712729289</v>
      </c>
      <c r="E7" s="6" t="s">
        <v>129</v>
      </c>
      <c r="F7" s="1">
        <v>3.0931273123390337</v>
      </c>
      <c r="G7" s="1">
        <v>1.6066884448676169</v>
      </c>
      <c r="I7" s="6" t="s">
        <v>129</v>
      </c>
      <c r="J7" s="1">
        <v>9.3586666666666662</v>
      </c>
      <c r="K7" s="1">
        <v>7.1606208917631955</v>
      </c>
    </row>
    <row r="8" spans="1:11" x14ac:dyDescent="0.25">
      <c r="A8" s="6" t="s">
        <v>149</v>
      </c>
      <c r="B8" s="1">
        <v>32.32231404958678</v>
      </c>
      <c r="C8" s="1">
        <v>0</v>
      </c>
      <c r="E8" s="6" t="s">
        <v>149</v>
      </c>
      <c r="F8" s="1">
        <v>2.164360819037078</v>
      </c>
      <c r="G8" s="1">
        <v>0</v>
      </c>
      <c r="I8" s="6" t="s">
        <v>149</v>
      </c>
      <c r="J8" s="1">
        <v>1.01</v>
      </c>
      <c r="K8" s="1">
        <v>0</v>
      </c>
    </row>
    <row r="9" spans="1:11" x14ac:dyDescent="0.25">
      <c r="A9" s="6" t="s">
        <v>191</v>
      </c>
      <c r="B9" s="1">
        <v>28.801796581331715</v>
      </c>
      <c r="C9" s="1">
        <v>15.479075780246129</v>
      </c>
      <c r="E9" s="6" t="s">
        <v>191</v>
      </c>
      <c r="F9" s="1">
        <v>2.8421402873687818</v>
      </c>
      <c r="G9" s="1">
        <v>1.1635983573298798</v>
      </c>
      <c r="I9" s="6" t="s">
        <v>191</v>
      </c>
      <c r="J9" s="1">
        <v>2.2512499999999998</v>
      </c>
      <c r="K9" s="1">
        <v>11.783253410561109</v>
      </c>
    </row>
    <row r="10" spans="1:11" x14ac:dyDescent="0.25">
      <c r="A10" s="6" t="s">
        <v>173</v>
      </c>
      <c r="B10" s="1">
        <v>4.3968886974782828</v>
      </c>
      <c r="C10" s="1">
        <v>26.939899305375455</v>
      </c>
      <c r="E10" s="6" t="s">
        <v>173</v>
      </c>
      <c r="F10" s="1">
        <v>5.0610534837706815</v>
      </c>
      <c r="G10" s="1">
        <v>11.490024305898293</v>
      </c>
      <c r="I10" s="6" t="s">
        <v>173</v>
      </c>
      <c r="J10" s="1">
        <v>-17.107272727272726</v>
      </c>
      <c r="K10" s="1">
        <v>119.14497472261638</v>
      </c>
    </row>
    <row r="21" spans="1:11" x14ac:dyDescent="0.25">
      <c r="A21" s="27" t="s">
        <v>64</v>
      </c>
      <c r="B21" s="27"/>
      <c r="C21" s="27"/>
      <c r="E21" s="27" t="s">
        <v>66</v>
      </c>
      <c r="F21" s="27"/>
      <c r="G21" s="27"/>
      <c r="I21" s="27" t="s">
        <v>59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-11.715777777777779</v>
      </c>
      <c r="C25" s="1">
        <v>16.901663756222195</v>
      </c>
      <c r="E25" s="6" t="s">
        <v>152</v>
      </c>
      <c r="F25" s="1">
        <v>1.2237500000000001</v>
      </c>
      <c r="G25" s="1">
        <v>0.17105828684983218</v>
      </c>
      <c r="I25" s="6" t="s">
        <v>152</v>
      </c>
      <c r="J25" s="1">
        <v>-7.4633051082940707</v>
      </c>
      <c r="K25" s="1">
        <v>17.020179946337997</v>
      </c>
    </row>
    <row r="26" spans="1:11" x14ac:dyDescent="0.25">
      <c r="A26" s="6" t="s">
        <v>105</v>
      </c>
      <c r="B26" s="1">
        <v>2.415</v>
      </c>
      <c r="C26" s="1">
        <v>5.8760222514895215</v>
      </c>
      <c r="E26" s="6" t="s">
        <v>105</v>
      </c>
      <c r="F26" s="1">
        <v>2.004375</v>
      </c>
      <c r="G26" s="1">
        <v>0.64344744103539631</v>
      </c>
      <c r="I26" s="6" t="s">
        <v>105</v>
      </c>
      <c r="J26" s="1">
        <v>17.963523275066354</v>
      </c>
      <c r="K26" s="1">
        <v>46.270805366436875</v>
      </c>
    </row>
    <row r="27" spans="1:11" x14ac:dyDescent="0.25">
      <c r="A27" s="6" t="s">
        <v>129</v>
      </c>
      <c r="B27" s="1">
        <v>5.6183333333333332</v>
      </c>
      <c r="C27" s="1">
        <v>3.6063204547325265</v>
      </c>
      <c r="E27" s="6" t="s">
        <v>129</v>
      </c>
      <c r="F27" s="1">
        <v>2.3858823529411768</v>
      </c>
      <c r="G27" s="1">
        <v>1.0034883792728442</v>
      </c>
      <c r="I27" s="6" t="s">
        <v>129</v>
      </c>
      <c r="J27" s="1">
        <v>24.85048460598609</v>
      </c>
      <c r="K27" s="1">
        <v>36.090711125796929</v>
      </c>
    </row>
    <row r="28" spans="1:11" x14ac:dyDescent="0.25">
      <c r="A28" s="6" t="s">
        <v>149</v>
      </c>
      <c r="B28" s="1">
        <v>2.33</v>
      </c>
      <c r="C28" s="1">
        <v>0</v>
      </c>
      <c r="E28" s="6" t="s">
        <v>149</v>
      </c>
      <c r="F28" s="1">
        <v>1.48</v>
      </c>
      <c r="G28" s="1">
        <v>0</v>
      </c>
      <c r="I28" s="6" t="s">
        <v>149</v>
      </c>
      <c r="J28" s="1">
        <v>260.73333333333335</v>
      </c>
      <c r="K28" s="1">
        <v>0</v>
      </c>
    </row>
    <row r="29" spans="1:11" x14ac:dyDescent="0.25">
      <c r="A29" s="6" t="s">
        <v>191</v>
      </c>
      <c r="B29" s="1">
        <v>4.5724999999999998</v>
      </c>
      <c r="C29" s="1">
        <v>1.6736393727443195</v>
      </c>
      <c r="E29" s="6" t="s">
        <v>191</v>
      </c>
      <c r="F29" s="1">
        <v>2.0055555555555555</v>
      </c>
      <c r="G29" s="1">
        <v>0.70688850466299913</v>
      </c>
      <c r="I29" s="6" t="s">
        <v>191</v>
      </c>
      <c r="J29" s="1">
        <v>56.12865492553631</v>
      </c>
      <c r="K29" s="1">
        <v>47.131111045616429</v>
      </c>
    </row>
    <row r="30" spans="1:11" x14ac:dyDescent="0.25">
      <c r="A30" s="6" t="s">
        <v>173</v>
      </c>
      <c r="B30" s="1">
        <v>-2.602222222222224</v>
      </c>
      <c r="C30" s="1">
        <v>12.196844562588744</v>
      </c>
      <c r="E30" s="6" t="s">
        <v>173</v>
      </c>
      <c r="F30" s="1">
        <v>1.6950000000000001</v>
      </c>
      <c r="G30" s="1">
        <v>0.47610398023961081</v>
      </c>
      <c r="I30" s="6" t="s">
        <v>173</v>
      </c>
      <c r="J30" s="1">
        <v>-19.65753537489374</v>
      </c>
      <c r="K30" s="1">
        <v>69.50508440135701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91A86-58FD-423B-B7BA-62C453D67AD1}">
  <sheetPr codeName="Sheet8"/>
  <dimension ref="A1:K30"/>
  <sheetViews>
    <sheetView workbookViewId="0">
      <selection activeCell="F12" sqref="F12"/>
    </sheetView>
  </sheetViews>
  <sheetFormatPr defaultRowHeight="15" x14ac:dyDescent="0.25"/>
  <cols>
    <col min="1" max="1" width="31.42578125" bestFit="1" customWidth="1"/>
    <col min="2" max="2" width="16.28515625" bestFit="1" customWidth="1"/>
    <col min="3" max="3" width="16.85546875" bestFit="1" customWidth="1"/>
    <col min="5" max="5" width="31.42578125" bestFit="1" customWidth="1"/>
    <col min="6" max="6" width="14" bestFit="1" customWidth="1"/>
    <col min="7" max="7" width="14.5703125" bestFit="1" customWidth="1"/>
    <col min="9" max="9" width="31.42578125" bestFit="1" customWidth="1"/>
    <col min="10" max="10" width="14.85546875" bestFit="1" customWidth="1"/>
    <col min="11" max="11" width="15.42578125" bestFit="1" customWidth="1"/>
  </cols>
  <sheetData>
    <row r="1" spans="1:11" x14ac:dyDescent="0.25">
      <c r="A1" s="27" t="s">
        <v>61</v>
      </c>
      <c r="B1" s="27"/>
      <c r="C1" s="27"/>
      <c r="E1" s="27" t="s">
        <v>81</v>
      </c>
      <c r="F1" s="27"/>
      <c r="G1" s="27"/>
      <c r="I1" s="27" t="s">
        <v>63</v>
      </c>
      <c r="J1" s="27"/>
      <c r="K1" s="27"/>
    </row>
    <row r="2" spans="1:11" x14ac:dyDescent="0.25">
      <c r="A2" s="3" t="s">
        <v>35</v>
      </c>
      <c r="B2" t="s">
        <v>41</v>
      </c>
      <c r="E2" s="3" t="s">
        <v>76</v>
      </c>
      <c r="F2" t="s">
        <v>41</v>
      </c>
      <c r="I2" s="3" t="s">
        <v>36</v>
      </c>
      <c r="J2" t="s">
        <v>41</v>
      </c>
    </row>
    <row r="4" spans="1:11" x14ac:dyDescent="0.25">
      <c r="A4" s="3" t="s">
        <v>40</v>
      </c>
      <c r="B4" t="s">
        <v>42</v>
      </c>
      <c r="C4" t="s">
        <v>43</v>
      </c>
      <c r="E4" s="3" t="s">
        <v>40</v>
      </c>
      <c r="F4" t="s">
        <v>77</v>
      </c>
      <c r="G4" t="s">
        <v>78</v>
      </c>
      <c r="I4" s="3" t="s">
        <v>40</v>
      </c>
      <c r="J4" t="s">
        <v>44</v>
      </c>
      <c r="K4" t="s">
        <v>45</v>
      </c>
    </row>
    <row r="5" spans="1:11" x14ac:dyDescent="0.25">
      <c r="A5" s="6" t="s">
        <v>152</v>
      </c>
      <c r="B5" s="1">
        <v>-4.7804839730783453</v>
      </c>
      <c r="C5" s="1">
        <v>3.3950199132448664</v>
      </c>
      <c r="E5" s="6" t="s">
        <v>152</v>
      </c>
      <c r="F5" s="1">
        <v>2.3055904115884069</v>
      </c>
      <c r="G5" s="1">
        <v>1.7829977539482873</v>
      </c>
      <c r="I5" s="6" t="s">
        <v>152</v>
      </c>
      <c r="J5" s="1">
        <v>-44.692547169811313</v>
      </c>
      <c r="K5" s="1">
        <v>41.093137678530269</v>
      </c>
    </row>
    <row r="6" spans="1:11" x14ac:dyDescent="0.25">
      <c r="A6" s="6" t="s">
        <v>105</v>
      </c>
      <c r="B6" s="1">
        <v>-8.5309460656860168</v>
      </c>
      <c r="C6" s="1">
        <v>29.930613403123601</v>
      </c>
      <c r="E6" s="6" t="s">
        <v>105</v>
      </c>
      <c r="F6" s="1">
        <v>3.5087079321740071</v>
      </c>
      <c r="G6" s="1">
        <v>2.8371685231201824</v>
      </c>
      <c r="I6" s="6" t="s">
        <v>105</v>
      </c>
      <c r="J6" s="1">
        <v>-23.937777777777779</v>
      </c>
      <c r="K6" s="1">
        <v>33.314756999723365</v>
      </c>
    </row>
    <row r="7" spans="1:11" x14ac:dyDescent="0.25">
      <c r="A7" s="6" t="s">
        <v>129</v>
      </c>
      <c r="B7" s="1">
        <v>5.0649383186022492</v>
      </c>
      <c r="C7" s="1">
        <v>21.390034142945602</v>
      </c>
      <c r="E7" s="6" t="s">
        <v>129</v>
      </c>
      <c r="F7" s="1">
        <v>1.8629388462554517</v>
      </c>
      <c r="G7" s="1">
        <v>1.2074408465079021</v>
      </c>
      <c r="I7" s="6" t="s">
        <v>129</v>
      </c>
      <c r="J7" s="1">
        <v>-2.087692307692306</v>
      </c>
      <c r="K7" s="1">
        <v>16.077484090321978</v>
      </c>
    </row>
    <row r="8" spans="1:11" x14ac:dyDescent="0.25">
      <c r="A8" s="6" t="s">
        <v>149</v>
      </c>
      <c r="B8" s="1">
        <v>11.056072763853319</v>
      </c>
      <c r="C8" s="1">
        <v>31.221517789781565</v>
      </c>
      <c r="E8" s="6" t="s">
        <v>149</v>
      </c>
      <c r="F8" s="1">
        <v>2.5179697785083768</v>
      </c>
      <c r="G8" s="1">
        <v>1.5859535722139737</v>
      </c>
      <c r="I8" s="6" t="s">
        <v>149</v>
      </c>
      <c r="J8" s="1">
        <v>-18.65727272727273</v>
      </c>
      <c r="K8" s="1">
        <v>23.362670337297839</v>
      </c>
    </row>
    <row r="9" spans="1:11" x14ac:dyDescent="0.25">
      <c r="A9" s="6" t="s">
        <v>191</v>
      </c>
      <c r="B9" s="1">
        <v>-2.0111982964061448</v>
      </c>
      <c r="C9" s="1">
        <v>16.377945521448332</v>
      </c>
      <c r="E9" s="6" t="s">
        <v>191</v>
      </c>
      <c r="F9" s="1">
        <v>1.9449729515427587</v>
      </c>
      <c r="G9" s="1">
        <v>1.8947260530842236</v>
      </c>
      <c r="I9" s="6" t="s">
        <v>191</v>
      </c>
      <c r="J9" s="1">
        <v>-30.990555555555559</v>
      </c>
      <c r="K9" s="1">
        <v>27.781567924759479</v>
      </c>
    </row>
    <row r="10" spans="1:11" x14ac:dyDescent="0.25">
      <c r="A10" s="6" t="s">
        <v>173</v>
      </c>
      <c r="B10" s="1">
        <v>-4.9585160396373205</v>
      </c>
      <c r="C10" s="1">
        <v>11.559701369520793</v>
      </c>
      <c r="E10" s="6" t="s">
        <v>173</v>
      </c>
      <c r="F10" s="1">
        <v>2.0980556506761645</v>
      </c>
      <c r="G10" s="1">
        <v>2.1216714397943712</v>
      </c>
      <c r="I10" s="6" t="s">
        <v>173</v>
      </c>
      <c r="J10" s="1">
        <v>-18.39977272727273</v>
      </c>
      <c r="K10" s="1">
        <v>37.362668807285331</v>
      </c>
    </row>
    <row r="21" spans="1:11" x14ac:dyDescent="0.25">
      <c r="A21" s="27" t="s">
        <v>65</v>
      </c>
      <c r="B21" s="27"/>
      <c r="C21" s="27"/>
      <c r="E21" s="27" t="s">
        <v>67</v>
      </c>
      <c r="F21" s="27"/>
      <c r="G21" s="27"/>
      <c r="I21" s="27" t="s">
        <v>68</v>
      </c>
      <c r="J21" s="27"/>
      <c r="K21" s="27"/>
    </row>
    <row r="22" spans="1:11" x14ac:dyDescent="0.25">
      <c r="A22" s="3" t="s">
        <v>37</v>
      </c>
      <c r="B22" t="s">
        <v>41</v>
      </c>
      <c r="E22" s="3" t="s">
        <v>39</v>
      </c>
      <c r="F22" t="s">
        <v>41</v>
      </c>
      <c r="I22" s="3" t="s">
        <v>38</v>
      </c>
      <c r="J22" t="s">
        <v>41</v>
      </c>
    </row>
    <row r="24" spans="1:11" x14ac:dyDescent="0.25">
      <c r="A24" s="3" t="s">
        <v>40</v>
      </c>
      <c r="B24" t="s">
        <v>46</v>
      </c>
      <c r="C24" t="s">
        <v>47</v>
      </c>
      <c r="E24" s="3" t="s">
        <v>40</v>
      </c>
      <c r="F24" t="s">
        <v>48</v>
      </c>
      <c r="G24" t="s">
        <v>49</v>
      </c>
      <c r="I24" s="3" t="s">
        <v>40</v>
      </c>
      <c r="J24" t="s">
        <v>50</v>
      </c>
      <c r="K24" t="s">
        <v>51</v>
      </c>
    </row>
    <row r="25" spans="1:11" x14ac:dyDescent="0.25">
      <c r="A25" s="6" t="s">
        <v>152</v>
      </c>
      <c r="B25" s="1">
        <v>-22.653613445378156</v>
      </c>
      <c r="C25" s="1">
        <v>16.495640968953747</v>
      </c>
      <c r="E25" s="6" t="s">
        <v>152</v>
      </c>
      <c r="F25" s="1">
        <v>1.4300000000000002</v>
      </c>
      <c r="G25" s="1">
        <v>0.44658750994671148</v>
      </c>
      <c r="I25" s="6" t="s">
        <v>152</v>
      </c>
      <c r="J25" s="1">
        <v>-4.229304476851544</v>
      </c>
      <c r="K25" s="1">
        <v>3.2961362064802189</v>
      </c>
    </row>
    <row r="26" spans="1:11" x14ac:dyDescent="0.25">
      <c r="A26" s="6" t="s">
        <v>105</v>
      </c>
      <c r="B26" s="1">
        <v>-4.3187499999999996</v>
      </c>
      <c r="C26" s="1">
        <v>10.482090723586591</v>
      </c>
      <c r="E26" s="6" t="s">
        <v>105</v>
      </c>
      <c r="F26" s="1">
        <v>1.7468750000000002</v>
      </c>
      <c r="G26" s="1">
        <v>0.60604990254516078</v>
      </c>
      <c r="I26" s="6" t="s">
        <v>105</v>
      </c>
      <c r="J26" s="1">
        <v>-9.9951397368464541</v>
      </c>
      <c r="K26" s="1">
        <v>12.219425342719513</v>
      </c>
    </row>
    <row r="27" spans="1:11" x14ac:dyDescent="0.25">
      <c r="A27" s="6" t="s">
        <v>129</v>
      </c>
      <c r="B27" s="1">
        <v>1.0166666666666666</v>
      </c>
      <c r="C27" s="1">
        <v>4.2856133145072119</v>
      </c>
      <c r="E27" s="6" t="s">
        <v>129</v>
      </c>
      <c r="F27" s="1">
        <v>2.281538461538462</v>
      </c>
      <c r="G27" s="1">
        <v>1.1155429595827115</v>
      </c>
      <c r="I27" s="6" t="s">
        <v>129</v>
      </c>
      <c r="J27" s="1">
        <v>-0.45423767757630468</v>
      </c>
      <c r="K27" s="1">
        <v>23.013510213596309</v>
      </c>
    </row>
    <row r="28" spans="1:11" x14ac:dyDescent="0.25">
      <c r="A28" s="6" t="s">
        <v>149</v>
      </c>
      <c r="B28" s="1">
        <v>-0.27272727272727271</v>
      </c>
      <c r="C28" s="1">
        <v>3.6066027603652691</v>
      </c>
      <c r="E28" s="6" t="s">
        <v>149</v>
      </c>
      <c r="F28" s="1">
        <v>1.9409090909090907</v>
      </c>
      <c r="G28" s="1">
        <v>0.49408233663216644</v>
      </c>
      <c r="I28" s="6" t="s">
        <v>149</v>
      </c>
      <c r="J28" s="1">
        <v>-3.2351233460917244</v>
      </c>
      <c r="K28" s="1">
        <v>17.78058699161026</v>
      </c>
    </row>
    <row r="29" spans="1:11" x14ac:dyDescent="0.25">
      <c r="A29" s="6" t="s">
        <v>191</v>
      </c>
      <c r="B29" s="1">
        <v>-6.8972222222222221</v>
      </c>
      <c r="C29" s="1">
        <v>7.0886888033413689</v>
      </c>
      <c r="E29" s="6" t="s">
        <v>191</v>
      </c>
      <c r="F29" s="1">
        <v>1.7952941176470587</v>
      </c>
      <c r="G29" s="1">
        <v>0.66233204438878002</v>
      </c>
      <c r="I29" s="6" t="s">
        <v>191</v>
      </c>
      <c r="J29" s="1">
        <v>-4.6806391988711642</v>
      </c>
      <c r="K29" s="1">
        <v>3.0554989238132872</v>
      </c>
    </row>
    <row r="30" spans="1:11" x14ac:dyDescent="0.25">
      <c r="A30" s="6" t="s">
        <v>173</v>
      </c>
      <c r="B30" s="1">
        <v>-10.93285714285714</v>
      </c>
      <c r="C30" s="1">
        <v>16.264081371449883</v>
      </c>
      <c r="E30" s="6" t="s">
        <v>173</v>
      </c>
      <c r="F30" s="1">
        <v>1.3956756756756754</v>
      </c>
      <c r="G30" s="1">
        <v>0.42993111038699972</v>
      </c>
      <c r="I30" s="6" t="s">
        <v>173</v>
      </c>
      <c r="J30" s="1">
        <v>-5.4956385482266148</v>
      </c>
      <c r="K30" s="1">
        <v>8.0904552661136417</v>
      </c>
    </row>
  </sheetData>
  <mergeCells count="6">
    <mergeCell ref="A1:C1"/>
    <mergeCell ref="E1:G1"/>
    <mergeCell ref="I1:K1"/>
    <mergeCell ref="A21:C21"/>
    <mergeCell ref="E21:G21"/>
    <mergeCell ref="I21:K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29769-BCC2-47EA-9108-B1B7CE962C71}">
  <sheetPr codeName="Sheet9">
    <tabColor theme="9" tint="0.39997558519241921"/>
  </sheetPr>
  <dimension ref="A1:T11"/>
  <sheetViews>
    <sheetView tabSelected="1" zoomScaleNormal="100"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I28" sqref="I28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8.140625" style="1" bestFit="1" customWidth="1"/>
    <col min="8" max="8" width="8.5703125" style="1" bestFit="1" customWidth="1"/>
    <col min="9" max="9" width="11.7109375" style="1" bestFit="1" customWidth="1"/>
    <col min="10" max="11" width="7.28515625" style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Large Cap"</f>
        <v>Health Care - Large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x14ac:dyDescent="0.25">
      <c r="C2" s="37" t="s">
        <v>104</v>
      </c>
      <c r="D2" s="38"/>
      <c r="E2" s="38"/>
      <c r="F2" s="38"/>
      <c r="G2" s="38"/>
      <c r="H2" s="39"/>
      <c r="I2" s="45" t="s">
        <v>69</v>
      </c>
      <c r="J2" s="46"/>
      <c r="K2" s="46"/>
      <c r="L2" s="46"/>
      <c r="M2" s="47"/>
      <c r="N2" s="48" t="s">
        <v>86</v>
      </c>
      <c r="O2" s="49"/>
      <c r="P2" s="49"/>
      <c r="Q2" s="49"/>
      <c r="R2" s="49"/>
      <c r="S2" s="50"/>
      <c r="T2" s="43" t="str">
        <f>"Max Score:"&amp;IFERROR(CHAR(10)&amp;MAX($T$9:$T$1048576)&amp;"/5", CHAR(10)&amp;"0/5")</f>
        <v>Max Score:
5/5</v>
      </c>
    </row>
    <row r="3" spans="1:20" s="10" customFormat="1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3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str" cm="1">
        <f t="array" ref="A9:S11">_xlfn._xlws.FILTER(_xlfn._xlws.FILTER(Main_L[], Main_L[Preliminary Criteria]="YES"), COUNTIF($A$8:$S$8,Main_L[#Headers]))</f>
        <v>Biotechnology</v>
      </c>
      <c r="B9" t="str">
        <v>GMAB</v>
      </c>
      <c r="C9" s="9">
        <v>12808</v>
      </c>
      <c r="D9" s="1">
        <v>19.309999999999999</v>
      </c>
      <c r="E9" s="1">
        <v>16.16</v>
      </c>
      <c r="F9" s="1">
        <v>80.22</v>
      </c>
      <c r="G9" s="1">
        <v>16.86</v>
      </c>
      <c r="H9" s="1">
        <v>1.1949257425742574</v>
      </c>
      <c r="I9" s="1">
        <v>0.2407130391423585</v>
      </c>
      <c r="J9" s="1">
        <v>22.97</v>
      </c>
      <c r="K9" s="1">
        <v>10.91</v>
      </c>
      <c r="L9" s="1">
        <v>1.25</v>
      </c>
      <c r="M9" s="1">
        <v>1.1453143534994068</v>
      </c>
      <c r="N9" s="1">
        <v>-0.47937437905688096</v>
      </c>
      <c r="O9" s="1">
        <v>-0.7474329923400802</v>
      </c>
      <c r="P9" s="1">
        <v>0.6249525920438721</v>
      </c>
      <c r="Q9" s="1">
        <v>0.90626379259917933</v>
      </c>
      <c r="R9" s="1">
        <v>-0.53136742496921463</v>
      </c>
      <c r="S9" s="1">
        <v>-1.0505088093576039E-2</v>
      </c>
      <c r="T9">
        <f t="shared" ref="T9:T25" si="0">SUM(IF($I9&lt;(0.7*VLOOKUP($A9, Mean_PB_L, 2, FALSE)),1,0), IF($J9&gt;VLOOKUP($A9, Mean_ROE_L, 2, FALSE),1,0), IF($K9&gt;VLOOKUP($A9, Mean_ROA_L, 2,FALSE),1,0), IF($M9&lt;VLOOKUP($A9, Mean_PE_L, 2, FALSE),1,0), IF(AND($M9&gt;1,$M9&lt;25),1,0))</f>
        <v>5</v>
      </c>
    </row>
    <row r="10" spans="1:20" x14ac:dyDescent="0.25">
      <c r="A10" t="str">
        <v>Health Care Equipment &amp; Supplies</v>
      </c>
      <c r="B10" t="str">
        <v>ALGN</v>
      </c>
      <c r="C10" s="2">
        <v>12608</v>
      </c>
      <c r="D10" s="1">
        <v>190.42</v>
      </c>
      <c r="E10" s="1">
        <v>8.68</v>
      </c>
      <c r="F10" s="1">
        <v>51.58</v>
      </c>
      <c r="G10" s="1">
        <v>5.5</v>
      </c>
      <c r="H10" s="1">
        <v>21.937788018433178</v>
      </c>
      <c r="I10" s="1">
        <v>3.6917409848778595</v>
      </c>
      <c r="J10" s="1">
        <v>10.84</v>
      </c>
      <c r="K10" s="1">
        <v>6.72</v>
      </c>
      <c r="L10" s="1">
        <v>1.61</v>
      </c>
      <c r="M10" s="1">
        <v>34.621818181818178</v>
      </c>
      <c r="N10" s="1">
        <v>-0.75194191486905115</v>
      </c>
      <c r="O10" s="1">
        <v>-0.25372512233495675</v>
      </c>
      <c r="P10" s="1">
        <v>-3.0615618651614194E-2</v>
      </c>
      <c r="Q10" s="1">
        <v>0.72230344634606014</v>
      </c>
      <c r="R10" s="1">
        <v>-0.47580290952485926</v>
      </c>
      <c r="S10" s="1">
        <v>-0.33188631567474164</v>
      </c>
      <c r="T10">
        <f t="shared" si="0"/>
        <v>2</v>
      </c>
    </row>
    <row r="11" spans="1:20" x14ac:dyDescent="0.25">
      <c r="A11" t="str">
        <v>Health Care Providers &amp; Services</v>
      </c>
      <c r="B11" t="str">
        <v>UHS</v>
      </c>
      <c r="C11" s="2">
        <v>12166</v>
      </c>
      <c r="D11" s="1">
        <v>192.17</v>
      </c>
      <c r="E11" s="1">
        <v>16.010000000000002</v>
      </c>
      <c r="F11" s="1">
        <v>104.44</v>
      </c>
      <c r="G11" s="1">
        <v>17.8</v>
      </c>
      <c r="H11" s="1">
        <v>12.003123048094938</v>
      </c>
      <c r="I11" s="1">
        <v>1.8400038299502106</v>
      </c>
      <c r="J11" s="1">
        <v>18.47</v>
      </c>
      <c r="K11" s="1">
        <v>7.57</v>
      </c>
      <c r="L11" s="1">
        <v>2.19</v>
      </c>
      <c r="M11" s="1">
        <v>10.796067415730336</v>
      </c>
      <c r="N11" s="1">
        <v>-0.59814591938919848</v>
      </c>
      <c r="O11" s="1">
        <v>-0.42293754195543454</v>
      </c>
      <c r="P11" s="1">
        <v>-9.5557012033538766E-2</v>
      </c>
      <c r="Q11" s="1">
        <v>0.66979248037673045</v>
      </c>
      <c r="R11" s="1">
        <v>-0.95914292137799306</v>
      </c>
      <c r="S11" s="1">
        <v>-1.0440115366092597</v>
      </c>
      <c r="T11">
        <f t="shared" si="0"/>
        <v>3</v>
      </c>
    </row>
  </sheetData>
  <autoFilter ref="A8:T8" xr:uid="{97C29769-BCC2-47EA-9108-B1B7CE962C71}"/>
  <mergeCells count="14">
    <mergeCell ref="C1:T1"/>
    <mergeCell ref="Q4:Q6"/>
    <mergeCell ref="R4:R6"/>
    <mergeCell ref="S4:S6"/>
    <mergeCell ref="C2:H6"/>
    <mergeCell ref="T2:T6"/>
    <mergeCell ref="I2:M2"/>
    <mergeCell ref="N2:S2"/>
    <mergeCell ref="K4:K6"/>
    <mergeCell ref="J4:J6"/>
    <mergeCell ref="I4:I6"/>
    <mergeCell ref="N4:N6"/>
    <mergeCell ref="O4:O6"/>
    <mergeCell ref="P4:P6"/>
  </mergeCells>
  <phoneticPr fontId="6" type="noConversion"/>
  <conditionalFormatting sqref="I9:I1048576">
    <cfRule type="expression" dxfId="59" priority="1">
      <formula>$I9 &lt; (0.7*VLOOKUP($A9, Mean_PB_L, 2, FALSE))</formula>
    </cfRule>
  </conditionalFormatting>
  <conditionalFormatting sqref="J9:J1048576">
    <cfRule type="expression" dxfId="58" priority="3">
      <formula>$J9 &gt; VLOOKUP($A9, Mean_ROE_L, 2, FALSE)</formula>
    </cfRule>
  </conditionalFormatting>
  <conditionalFormatting sqref="K9:K1048576">
    <cfRule type="expression" dxfId="57" priority="4">
      <formula>$K9 &gt; VLOOKUP($A9, Mean_ROA_L, 2, FALSE)</formula>
    </cfRule>
  </conditionalFormatting>
  <conditionalFormatting sqref="M9:M1048576">
    <cfRule type="expression" dxfId="56" priority="5">
      <formula>AND($M9&gt;1, $M9&lt;25, $M9 &lt; VLOOKUP($A9, Mean_PE_L, 2, FALSE))</formula>
    </cfRule>
    <cfRule type="expression" dxfId="55" priority="6">
      <formula>AND($M9&gt;1, $M9&lt;25)</formula>
    </cfRule>
    <cfRule type="expression" dxfId="54" priority="9">
      <formula xml:space="preserve"> $M9 &lt; VLOOKUP($A9, Mean_PE_L, 2, FALSE)</formula>
    </cfRule>
  </conditionalFormatting>
  <conditionalFormatting sqref="N9:N1048576">
    <cfRule type="expression" dxfId="53" priority="10">
      <formula>$N9&lt;0</formula>
    </cfRule>
  </conditionalFormatting>
  <conditionalFormatting sqref="O9:O1048576">
    <cfRule type="expression" dxfId="52" priority="11">
      <formula>$O9&lt;0</formula>
    </cfRule>
  </conditionalFormatting>
  <conditionalFormatting sqref="P9:P1048576">
    <cfRule type="expression" dxfId="51" priority="12">
      <formula>$P9&gt;0</formula>
    </cfRule>
  </conditionalFormatting>
  <conditionalFormatting sqref="Q9:Q1048576">
    <cfRule type="expression" dxfId="50" priority="14">
      <formula>$Q9&gt;0</formula>
    </cfRule>
  </conditionalFormatting>
  <conditionalFormatting sqref="R9:R1048576">
    <cfRule type="expression" dxfId="49" priority="15">
      <formula>$R9&lt;0</formula>
    </cfRule>
  </conditionalFormatting>
  <conditionalFormatting sqref="S9:S1048576">
    <cfRule type="expression" dxfId="48" priority="16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9" r:id="rId3" name="CommandButton1">
          <controlPr defaultSize="0" autoLine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9219" r:id="rId3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C1E5-2754-4118-8E3A-5ED7654E3417}">
  <sheetPr codeName="Sheet10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K31" sqref="K31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style="2" bestFit="1" customWidth="1"/>
    <col min="4" max="4" width="15.42578125" style="1" bestFit="1" customWidth="1"/>
    <col min="5" max="5" width="10.140625" style="1" bestFit="1" customWidth="1"/>
    <col min="6" max="6" width="7.85546875" style="1" bestFit="1" customWidth="1"/>
    <col min="7" max="7" width="6.7109375" style="1" bestFit="1" customWidth="1"/>
    <col min="8" max="8" width="8.5703125" style="1" bestFit="1" customWidth="1"/>
    <col min="9" max="9" width="11.710937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4.855468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Mid Cap"</f>
        <v>Health Care - Mid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88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_xlfn._xlws.FILTER(_xlfn._xlws.FILTER(Main_M[], Main_M[Preliminary Criteria]="YES"), COUNTIF($A$8:$S$8,Main_M[#Headers]))</f>
        <v>#VALUE!</v>
      </c>
      <c r="T9" t="e" vm="2">
        <f t="shared" ref="T9:T28" si="0">SUM(IF($I9 &lt; (0.7*VLOOKUP($A9, Mean_PB_M, 2, FALSE)),1,0), IF($J9&gt;VLOOKUP($A9, Mean_ROE_M, 2, FALSE),1,0), IF($K9&gt;VLOOKUP($A9, Mean_ROA_M, 2,FALSE),1,0), IF($M9&lt;VLOOKUP($A9, Mean_PE_M, 2, FALSE),1,0), IF(AND($M9&gt;1,$M9&lt;25),1,0))</f>
        <v>#VALUE!</v>
      </c>
    </row>
  </sheetData>
  <autoFilter ref="A8:T8" xr:uid="{0BF3C1E5-2754-4118-8E3A-5ED7654E3417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47" priority="1">
      <formula>$I9 &lt; (0.7*VLOOKUP($A9, Mean_PB_M, 2, FALSE))</formula>
    </cfRule>
  </conditionalFormatting>
  <conditionalFormatting sqref="J9:J1048576">
    <cfRule type="expression" dxfId="46" priority="3">
      <formula>$J9 &gt; VLOOKUP($A9, Mean_ROE_M, 2, FALSE)</formula>
    </cfRule>
  </conditionalFormatting>
  <conditionalFormatting sqref="K9:K1048576">
    <cfRule type="expression" dxfId="45" priority="4">
      <formula>$K9 &gt; VLOOKUP($A9, Mean_ROA_M, 2, FALSE)</formula>
    </cfRule>
  </conditionalFormatting>
  <conditionalFormatting sqref="M9:M1048576">
    <cfRule type="expression" dxfId="44" priority="5">
      <formula>AND($M9&gt;1, $M9&lt;25, $M9 &lt; VLOOKUP($A9, Mean_PE_M, 2, FALSE))</formula>
    </cfRule>
    <cfRule type="expression" dxfId="43" priority="6">
      <formula>AND($M9&gt;1, $M9&lt;25)</formula>
    </cfRule>
    <cfRule type="expression" dxfId="42" priority="7">
      <formula xml:space="preserve"> $M9 &lt; VLOOKUP($A9, Mean_PE_M, 2, FALSE)</formula>
    </cfRule>
  </conditionalFormatting>
  <conditionalFormatting sqref="N9:N1048576">
    <cfRule type="expression" dxfId="41" priority="8">
      <formula>$N9&lt;0</formula>
    </cfRule>
  </conditionalFormatting>
  <conditionalFormatting sqref="O9:O1048576">
    <cfRule type="expression" dxfId="40" priority="9">
      <formula>$O9&lt;0</formula>
    </cfRule>
  </conditionalFormatting>
  <conditionalFormatting sqref="P9:P1048576">
    <cfRule type="expression" dxfId="39" priority="10">
      <formula>$P9&gt;0</formula>
    </cfRule>
  </conditionalFormatting>
  <conditionalFormatting sqref="Q9:Q1048576">
    <cfRule type="expression" dxfId="38" priority="11">
      <formula>$Q9&gt;0</formula>
    </cfRule>
  </conditionalFormatting>
  <conditionalFormatting sqref="R9:R1048576">
    <cfRule type="expression" dxfId="37" priority="12">
      <formula>$R9&lt;0</formula>
    </cfRule>
  </conditionalFormatting>
  <conditionalFormatting sqref="S9:S1048576">
    <cfRule type="expression" dxfId="36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1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41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40F71-5FB0-44DA-81D2-9D55F6DCA29E}">
  <sheetPr codeName="Sheet11">
    <tabColor theme="9" tint="0.39997558519241921"/>
  </sheetPr>
  <dimension ref="A1:T9"/>
  <sheetViews>
    <sheetView workbookViewId="0">
      <pane xSplit="2" ySplit="8" topLeftCell="C9" activePane="bottomRight" state="frozen"/>
      <selection pane="topRight" activeCell="C1" sqref="C1"/>
      <selection pane="bottomLeft" activeCell="A7" sqref="A7"/>
      <selection pane="bottomRight" activeCell="G22" sqref="G22"/>
    </sheetView>
  </sheetViews>
  <sheetFormatPr defaultRowHeight="15" x14ac:dyDescent="0.25"/>
  <cols>
    <col min="1" max="1" width="31.42578125" bestFit="1" customWidth="1"/>
    <col min="2" max="2" width="10" bestFit="1" customWidth="1"/>
    <col min="3" max="3" width="17" bestFit="1" customWidth="1"/>
    <col min="4" max="4" width="15.42578125" bestFit="1" customWidth="1"/>
    <col min="5" max="5" width="10.140625" bestFit="1" customWidth="1"/>
    <col min="6" max="6" width="7.85546875" bestFit="1" customWidth="1"/>
    <col min="7" max="7" width="6.7109375" bestFit="1" customWidth="1"/>
    <col min="8" max="8" width="8.5703125" style="1" bestFit="1" customWidth="1"/>
    <col min="9" max="9" width="9.5703125" style="1" bestFit="1" customWidth="1"/>
    <col min="10" max="11" width="7.28515625" style="1" bestFit="1" customWidth="1"/>
    <col min="12" max="12" width="6.28515625" style="1" bestFit="1" customWidth="1"/>
    <col min="13" max="13" width="10.7109375" style="1" bestFit="1" customWidth="1"/>
    <col min="14" max="14" width="15.7109375" style="1" bestFit="1" customWidth="1"/>
    <col min="15" max="15" width="13.28515625" style="1" bestFit="1" customWidth="1"/>
    <col min="16" max="17" width="14.140625" style="1" bestFit="1" customWidth="1"/>
    <col min="18" max="19" width="13.28515625" style="1" bestFit="1" customWidth="1"/>
    <col min="20" max="20" width="10.42578125" bestFit="1" customWidth="1"/>
    <col min="21" max="21" width="16.140625" bestFit="1" customWidth="1"/>
    <col min="22" max="22" width="13.7109375" bestFit="1" customWidth="1"/>
    <col min="23" max="24" width="14.5703125" bestFit="1" customWidth="1"/>
    <col min="25" max="26" width="13.7109375" bestFit="1" customWidth="1"/>
  </cols>
  <sheetData>
    <row r="1" spans="1:20" ht="24.75" thickBot="1" x14ac:dyDescent="0.3">
      <c r="A1" s="25"/>
      <c r="B1" s="25"/>
      <c r="C1" s="28" t="str" cm="1">
        <f t="array" aca="1" ref="C1" ca="1">MID(CELL("filename", A1), FIND("[", CELL("filename", A1)) + 1, FIND(".x", CELL("filename", A1)) - FIND("[", CELL("filename", A1)) - 1) &amp; " - Small Cap"</f>
        <v>Health Care - Small Cap</v>
      </c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30"/>
    </row>
    <row r="2" spans="1:20" ht="15" customHeight="1" x14ac:dyDescent="0.25">
      <c r="C2" s="58" t="s">
        <v>89</v>
      </c>
      <c r="D2" s="59"/>
      <c r="E2" s="59"/>
      <c r="F2" s="59"/>
      <c r="G2" s="59"/>
      <c r="H2" s="60"/>
      <c r="I2" s="61" t="s">
        <v>69</v>
      </c>
      <c r="J2" s="62"/>
      <c r="K2" s="62"/>
      <c r="L2" s="62"/>
      <c r="M2" s="63"/>
      <c r="N2" s="65" t="s">
        <v>86</v>
      </c>
      <c r="O2" s="66"/>
      <c r="P2" s="66"/>
      <c r="Q2" s="66"/>
      <c r="R2" s="66"/>
      <c r="S2" s="67"/>
      <c r="T2" s="64" t="str">
        <f>"Max Score:"&amp;IFERROR(CHAR(10)&amp;MAX($T$9:$T$1048576)&amp;"/5", CHAR(10)&amp;"0/5")</f>
        <v>Max Score:
0/5</v>
      </c>
    </row>
    <row r="3" spans="1:20" ht="15" customHeight="1" x14ac:dyDescent="0.25">
      <c r="C3" s="37"/>
      <c r="D3" s="38"/>
      <c r="E3" s="38"/>
      <c r="F3" s="38"/>
      <c r="G3" s="38"/>
      <c r="H3" s="39"/>
      <c r="I3" s="16" t="s">
        <v>71</v>
      </c>
      <c r="J3" s="15" t="s">
        <v>30</v>
      </c>
      <c r="K3" s="15" t="s">
        <v>83</v>
      </c>
      <c r="L3" s="14"/>
      <c r="M3" s="17" t="s">
        <v>32</v>
      </c>
      <c r="N3" s="22" t="s">
        <v>96</v>
      </c>
      <c r="O3" s="23" t="s">
        <v>97</v>
      </c>
      <c r="P3" s="23" t="s">
        <v>98</v>
      </c>
      <c r="Q3" s="23" t="s">
        <v>99</v>
      </c>
      <c r="R3" s="23" t="s">
        <v>100</v>
      </c>
      <c r="S3" s="24" t="s">
        <v>101</v>
      </c>
      <c r="T3" s="43"/>
    </row>
    <row r="4" spans="1:20" s="10" customFormat="1" ht="15" customHeight="1" x14ac:dyDescent="0.25">
      <c r="C4" s="37"/>
      <c r="D4" s="38"/>
      <c r="E4" s="38"/>
      <c r="F4" s="38"/>
      <c r="G4" s="38"/>
      <c r="H4" s="39"/>
      <c r="I4" s="53" t="s">
        <v>82</v>
      </c>
      <c r="J4" s="51" t="s">
        <v>87</v>
      </c>
      <c r="K4" s="51" t="s">
        <v>87</v>
      </c>
      <c r="L4" s="13"/>
      <c r="M4" s="18" t="s">
        <v>84</v>
      </c>
      <c r="N4" s="55" t="s">
        <v>102</v>
      </c>
      <c r="O4" s="31" t="s">
        <v>102</v>
      </c>
      <c r="P4" s="31" t="s">
        <v>103</v>
      </c>
      <c r="Q4" s="31" t="s">
        <v>103</v>
      </c>
      <c r="R4" s="31" t="s">
        <v>102</v>
      </c>
      <c r="S4" s="34" t="s">
        <v>102</v>
      </c>
      <c r="T4" s="43"/>
    </row>
    <row r="5" spans="1:20" s="10" customFormat="1" x14ac:dyDescent="0.25">
      <c r="A5" s="26"/>
      <c r="C5" s="37"/>
      <c r="D5" s="38"/>
      <c r="E5" s="38"/>
      <c r="F5" s="38"/>
      <c r="G5" s="38"/>
      <c r="H5" s="39"/>
      <c r="I5" s="53"/>
      <c r="J5" s="51"/>
      <c r="K5" s="51"/>
      <c r="L5" s="13"/>
      <c r="M5" s="19" t="s">
        <v>53</v>
      </c>
      <c r="N5" s="56"/>
      <c r="O5" s="32"/>
      <c r="P5" s="32"/>
      <c r="Q5" s="32"/>
      <c r="R5" s="32"/>
      <c r="S5" s="35"/>
      <c r="T5" s="43"/>
    </row>
    <row r="6" spans="1:20" s="10" customFormat="1" ht="30.75" thickBot="1" x14ac:dyDescent="0.3">
      <c r="A6" s="26" t="str">
        <f>"Number of stocks: "&amp;COUNTA($B$9:$B$1048576)</f>
        <v>Number of stocks: 0</v>
      </c>
      <c r="C6" s="40"/>
      <c r="D6" s="41"/>
      <c r="E6" s="41"/>
      <c r="F6" s="41"/>
      <c r="G6" s="41"/>
      <c r="H6" s="42"/>
      <c r="I6" s="54"/>
      <c r="J6" s="52"/>
      <c r="K6" s="52"/>
      <c r="L6" s="20"/>
      <c r="M6" s="21" t="s">
        <v>85</v>
      </c>
      <c r="N6" s="57"/>
      <c r="O6" s="33"/>
      <c r="P6" s="33"/>
      <c r="Q6" s="33"/>
      <c r="R6" s="33"/>
      <c r="S6" s="36"/>
      <c r="T6" s="44"/>
    </row>
    <row r="7" spans="1:20" x14ac:dyDescent="0.25">
      <c r="C7" s="2"/>
      <c r="D7" s="1"/>
      <c r="E7" s="1"/>
      <c r="F7" s="1"/>
      <c r="G7" s="1"/>
    </row>
    <row r="8" spans="1:20" x14ac:dyDescent="0.25">
      <c r="A8" s="4" t="s">
        <v>1</v>
      </c>
      <c r="B8" s="5" t="s">
        <v>24</v>
      </c>
      <c r="C8" s="8" t="s">
        <v>54</v>
      </c>
      <c r="D8" s="7" t="s">
        <v>25</v>
      </c>
      <c r="E8" s="5" t="s">
        <v>26</v>
      </c>
      <c r="F8" s="5" t="s">
        <v>27</v>
      </c>
      <c r="G8" s="5" t="s">
        <v>28</v>
      </c>
      <c r="H8" s="5" t="s">
        <v>29</v>
      </c>
      <c r="I8" s="11" t="s">
        <v>71</v>
      </c>
      <c r="J8" s="11" t="s">
        <v>30</v>
      </c>
      <c r="K8" s="11" t="s">
        <v>31</v>
      </c>
      <c r="L8" s="7" t="s">
        <v>33</v>
      </c>
      <c r="M8" s="11" t="s">
        <v>32</v>
      </c>
      <c r="N8" s="7" t="s">
        <v>90</v>
      </c>
      <c r="O8" s="7" t="s">
        <v>91</v>
      </c>
      <c r="P8" s="7" t="s">
        <v>92</v>
      </c>
      <c r="Q8" s="7" t="s">
        <v>93</v>
      </c>
      <c r="R8" s="7" t="s">
        <v>94</v>
      </c>
      <c r="S8" s="7" t="s">
        <v>95</v>
      </c>
      <c r="T8" s="12" t="s">
        <v>52</v>
      </c>
    </row>
    <row r="9" spans="1:20" x14ac:dyDescent="0.25">
      <c r="A9" t="e" cm="1" vm="1">
        <f t="array" ref="A9">_xlfn._xlws.FILTER(_xlfn._xlws.FILTER(Main_S[], Main_S[Preliminary Criteria]="YES"), COUNTIF($A$8:$S$8,Main_S[#Headers]))</f>
        <v>#VALUE!</v>
      </c>
      <c r="T9" t="e" vm="2">
        <f>SUM(IF($I9 &lt; (0.7*VLOOKUP($A9, Mean_PB_S, 2, FALSE)),1,0), IF($J9&gt;VLOOKUP($A9, Mean_ROE_S, 2, FALSE),1,0), IF($K9&gt;VLOOKUP($A9, Mean_ROA_S, 2,FALSE),1,0), IF($M9&lt;VLOOKUP($A9, Mean_PE_S, 2, FALSE),1,0), IF(AND($M9&gt;1,$M9&lt;25),1,0))</f>
        <v>#VALUE!</v>
      </c>
    </row>
  </sheetData>
  <autoFilter ref="A8:T8" xr:uid="{F6F40F71-5FB0-44DA-81D2-9D55F6DCA29E}"/>
  <mergeCells count="14">
    <mergeCell ref="C1:T1"/>
    <mergeCell ref="I4:I6"/>
    <mergeCell ref="C2:H6"/>
    <mergeCell ref="J4:J6"/>
    <mergeCell ref="K4:K6"/>
    <mergeCell ref="I2:M2"/>
    <mergeCell ref="T2:T6"/>
    <mergeCell ref="N2:S2"/>
    <mergeCell ref="N4:N6"/>
    <mergeCell ref="O4:O6"/>
    <mergeCell ref="P4:P6"/>
    <mergeCell ref="Q4:Q6"/>
    <mergeCell ref="R4:R6"/>
    <mergeCell ref="S4:S6"/>
  </mergeCells>
  <conditionalFormatting sqref="I9:I1048576">
    <cfRule type="expression" dxfId="35" priority="1">
      <formula>$I9 &lt; (0.7*VLOOKUP($A9, Mean_PB_S, 2, FALSE))</formula>
    </cfRule>
  </conditionalFormatting>
  <conditionalFormatting sqref="J9:J1048576">
    <cfRule type="expression" dxfId="34" priority="3">
      <formula>$J9 &gt; VLOOKUP($A9, Mean_ROE_S, 2, FALSE)</formula>
    </cfRule>
  </conditionalFormatting>
  <conditionalFormatting sqref="K9:K1048576">
    <cfRule type="expression" dxfId="33" priority="4">
      <formula>$K9 &gt; VLOOKUP($A9, Mean_ROA_S, 2, FALSE)</formula>
    </cfRule>
  </conditionalFormatting>
  <conditionalFormatting sqref="M9:M1048576">
    <cfRule type="expression" dxfId="32" priority="5">
      <formula>AND($M9&gt;1, $M9&lt;25, $M9 &lt; VLOOKUP($A9, Mean_PE_S, 2, FALSE))</formula>
    </cfRule>
    <cfRule type="expression" dxfId="31" priority="6">
      <formula>AND($M9&gt;1, $M9&lt;25)</formula>
    </cfRule>
    <cfRule type="expression" dxfId="30" priority="7">
      <formula xml:space="preserve"> $M9 &lt; VLOOKUP($A9, Mean_PE_S, 2, FALSE)</formula>
    </cfRule>
  </conditionalFormatting>
  <conditionalFormatting sqref="N9:N1048576">
    <cfRule type="expression" dxfId="29" priority="8">
      <formula>$N9&lt;0</formula>
    </cfRule>
  </conditionalFormatting>
  <conditionalFormatting sqref="O9:O1048576">
    <cfRule type="expression" dxfId="28" priority="9">
      <formula>$O9&lt;0</formula>
    </cfRule>
  </conditionalFormatting>
  <conditionalFormatting sqref="P9:P1048576">
    <cfRule type="expression" dxfId="27" priority="10">
      <formula>$P9&gt;0</formula>
    </cfRule>
  </conditionalFormatting>
  <conditionalFormatting sqref="Q9:Q1048576">
    <cfRule type="expression" dxfId="26" priority="11">
      <formula>$Q9&gt;0</formula>
    </cfRule>
  </conditionalFormatting>
  <conditionalFormatting sqref="R9:R1048576">
    <cfRule type="expression" dxfId="25" priority="12">
      <formula>$R9&lt;0</formula>
    </cfRule>
  </conditionalFormatting>
  <conditionalFormatting sqref="S9:S1048576">
    <cfRule type="expression" dxfId="24" priority="13">
      <formula>$S9&lt;0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9" r:id="rId3" name="CommandButton1">
          <controlPr defaultSize="0" autoLine="0" autoPict="0" r:id="rId4">
            <anchor moveWithCells="1" siz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11269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81F70B-6B2C-4725-86C4-DB71D896056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18</vt:i4>
      </vt:variant>
    </vt:vector>
  </HeadingPairs>
  <TitlesOfParts>
    <vt:vector size="29" baseType="lpstr">
      <vt:lpstr>Dynamic Path</vt:lpstr>
      <vt:lpstr>Main_L</vt:lpstr>
      <vt:lpstr>Main_M</vt:lpstr>
      <vt:lpstr>Main_S</vt:lpstr>
      <vt:lpstr>Quartile Tables</vt:lpstr>
      <vt:lpstr>Mean_L</vt:lpstr>
      <vt:lpstr>Mean_M</vt:lpstr>
      <vt:lpstr>Mean_S</vt:lpstr>
      <vt:lpstr>Result_L</vt:lpstr>
      <vt:lpstr>Result_M</vt:lpstr>
      <vt:lpstr>Result_S</vt:lpstr>
      <vt:lpstr>Mean_AE_L</vt:lpstr>
      <vt:lpstr>Mean_AE_M</vt:lpstr>
      <vt:lpstr>Mean_AE_S</vt:lpstr>
      <vt:lpstr>Mean_PB_L</vt:lpstr>
      <vt:lpstr>Mean_PB_M</vt:lpstr>
      <vt:lpstr>Mean_PB_S</vt:lpstr>
      <vt:lpstr>Mean_PE_L</vt:lpstr>
      <vt:lpstr>Mean_PE_M</vt:lpstr>
      <vt:lpstr>Mean_PE_S</vt:lpstr>
      <vt:lpstr>Mean_PFCF_L</vt:lpstr>
      <vt:lpstr>Mean_PFCF_M</vt:lpstr>
      <vt:lpstr>Mean_PFCF_S</vt:lpstr>
      <vt:lpstr>Mean_ROA_L</vt:lpstr>
      <vt:lpstr>Mean_ROA_M</vt:lpstr>
      <vt:lpstr>Mean_ROA_S</vt:lpstr>
      <vt:lpstr>Mean_ROE_L</vt:lpstr>
      <vt:lpstr>Mean_ROE_M</vt:lpstr>
      <vt:lpstr>Mean_ROE_S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Ngan Vu</dc:creator>
  <cp:lastModifiedBy>Ngan Vu</cp:lastModifiedBy>
  <dcterms:created xsi:type="dcterms:W3CDTF">2024-11-08T05:29:25Z</dcterms:created>
  <dcterms:modified xsi:type="dcterms:W3CDTF">2025-05-14T03:05:23Z</dcterms:modified>
</cp:coreProperties>
</file>
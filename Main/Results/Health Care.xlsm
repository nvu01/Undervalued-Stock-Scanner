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11CC1CA2-5027-4DF9-A6B3-927F8B57708F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Main_L!$A$1:$M$94</definedName>
    <definedName name="ExternalData_1" localSheetId="2" hidden="1">Main_M!$A$1:$M$114</definedName>
    <definedName name="ExternalData_1" localSheetId="3" hidden="1">Main_S!$A$1:$M$284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Y27" i="1"/>
  <c r="Y26" i="1"/>
  <c r="Y25" i="1"/>
  <c r="Y24" i="1"/>
  <c r="Y23" i="1"/>
  <c r="X28" i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P23" i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M28" i="1"/>
  <c r="M27" i="1"/>
  <c r="M26" i="1"/>
  <c r="M25" i="1"/>
  <c r="M24" i="1"/>
  <c r="M23" i="1"/>
  <c r="L28" i="1"/>
  <c r="L27" i="1"/>
  <c r="L26" i="1"/>
  <c r="L25" i="1"/>
  <c r="L24" i="1"/>
  <c r="L23" i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Y18" i="1"/>
  <c r="Y17" i="1"/>
  <c r="Y16" i="1"/>
  <c r="Y15" i="1"/>
  <c r="Y14" i="1"/>
  <c r="Y13" i="1"/>
  <c r="X18" i="1"/>
  <c r="X17" i="1"/>
  <c r="X16" i="1"/>
  <c r="X15" i="1"/>
  <c r="X14" i="1"/>
  <c r="X13" i="1"/>
  <c r="W18" i="1" a="1"/>
  <c r="W18" i="1" s="1"/>
  <c r="W17" i="1" a="1"/>
  <c r="W17" i="1" s="1"/>
  <c r="W16" i="1" a="1"/>
  <c r="W16" i="1" s="1"/>
  <c r="W15" i="1" a="1"/>
  <c r="W15" i="1"/>
  <c r="W14" i="1" a="1"/>
  <c r="W14" i="1" s="1"/>
  <c r="W13" i="1" a="1"/>
  <c r="W13" i="1" s="1"/>
  <c r="V18" i="1" a="1"/>
  <c r="V18" i="1" s="1"/>
  <c r="V17" i="1" a="1"/>
  <c r="V17" i="1" s="1"/>
  <c r="V16" i="1" a="1"/>
  <c r="V16" i="1" s="1"/>
  <c r="V15" i="1" a="1"/>
  <c r="V15" i="1" s="1"/>
  <c r="V14" i="1" a="1"/>
  <c r="V14" i="1" s="1"/>
  <c r="V13" i="1" a="1"/>
  <c r="V13" i="1" s="1"/>
  <c r="Q18" i="1"/>
  <c r="Q17" i="1"/>
  <c r="Q16" i="1"/>
  <c r="Q15" i="1"/>
  <c r="Q14" i="1"/>
  <c r="Q13" i="1"/>
  <c r="P18" i="1"/>
  <c r="P17" i="1"/>
  <c r="P16" i="1"/>
  <c r="P15" i="1"/>
  <c r="P14" i="1"/>
  <c r="P13" i="1"/>
  <c r="O18" i="1" a="1"/>
  <c r="O18" i="1"/>
  <c r="O17" i="1" a="1"/>
  <c r="O17" i="1" s="1"/>
  <c r="O16" i="1" a="1"/>
  <c r="O16" i="1" s="1"/>
  <c r="O15" i="1" a="1"/>
  <c r="O15" i="1" s="1"/>
  <c r="O14" i="1" a="1"/>
  <c r="O14" i="1" s="1"/>
  <c r="O13" i="1" a="1"/>
  <c r="O13" i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M18" i="1"/>
  <c r="M17" i="1"/>
  <c r="M16" i="1"/>
  <c r="M15" i="1"/>
  <c r="M14" i="1"/>
  <c r="M13" i="1"/>
  <c r="L18" i="1"/>
  <c r="L17" i="1"/>
  <c r="L16" i="1"/>
  <c r="L15" i="1"/>
  <c r="L14" i="1"/>
  <c r="L13" i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/>
  <c r="V8" i="1" a="1"/>
  <c r="V8" i="1" s="1"/>
  <c r="V7" i="1" a="1"/>
  <c r="V7" i="1" s="1"/>
  <c r="V6" i="1" a="1"/>
  <c r="V6" i="1" s="1"/>
  <c r="V5" i="1" a="1"/>
  <c r="V5" i="1"/>
  <c r="V4" i="1" a="1"/>
  <c r="V4" i="1" s="1"/>
  <c r="V3" i="1" a="1"/>
  <c r="V3" i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8" i="1" a="1"/>
  <c r="N8" i="1" s="1"/>
  <c r="N7" i="1" a="1"/>
  <c r="N7" i="1" s="1"/>
  <c r="N6" i="1" a="1"/>
  <c r="N6" i="1"/>
  <c r="N5" i="1" a="1"/>
  <c r="N5" i="1" s="1"/>
  <c r="N4" i="1" a="1"/>
  <c r="N4" i="1" s="1"/>
  <c r="N3" i="1" a="1"/>
  <c r="N3" i="1" s="1"/>
  <c r="M8" i="1"/>
  <c r="M7" i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283" i="4"/>
  <c r="M275" i="4"/>
  <c r="M256" i="4"/>
  <c r="M255" i="4"/>
  <c r="M251" i="4"/>
  <c r="T251" i="4" s="1"/>
  <c r="M245" i="4"/>
  <c r="T245" i="4" s="1"/>
  <c r="M239" i="4"/>
  <c r="T239" i="4" s="1"/>
  <c r="M237" i="4"/>
  <c r="T237" i="4" s="1"/>
  <c r="M236" i="4"/>
  <c r="M235" i="4"/>
  <c r="M234" i="4"/>
  <c r="M219" i="4"/>
  <c r="T219" i="4" s="1"/>
  <c r="M218" i="4"/>
  <c r="M203" i="4"/>
  <c r="T203" i="4" s="1"/>
  <c r="M199" i="4"/>
  <c r="M197" i="4"/>
  <c r="M196" i="4"/>
  <c r="M195" i="4"/>
  <c r="M190" i="4"/>
  <c r="T190" i="4" s="1"/>
  <c r="M183" i="4"/>
  <c r="M181" i="4"/>
  <c r="T181" i="4" s="1"/>
  <c r="M177" i="4"/>
  <c r="T177" i="4" s="1"/>
  <c r="M176" i="4"/>
  <c r="T176" i="4" s="1"/>
  <c r="M175" i="4"/>
  <c r="T175" i="4" s="1"/>
  <c r="M173" i="4"/>
  <c r="M163" i="4"/>
  <c r="M155" i="4"/>
  <c r="T155" i="4" s="1"/>
  <c r="M154" i="4"/>
  <c r="T154" i="4" s="1"/>
  <c r="M145" i="4"/>
  <c r="T145" i="4" s="1"/>
  <c r="M134" i="4"/>
  <c r="T134" i="4" s="1"/>
  <c r="M130" i="4"/>
  <c r="M124" i="4"/>
  <c r="M121" i="4"/>
  <c r="T121" i="4" s="1"/>
  <c r="M117" i="4"/>
  <c r="M116" i="4"/>
  <c r="T116" i="4" s="1"/>
  <c r="M105" i="4"/>
  <c r="T105" i="4" s="1"/>
  <c r="M104" i="4"/>
  <c r="M98" i="4"/>
  <c r="M94" i="4"/>
  <c r="T94" i="4" s="1"/>
  <c r="M56" i="4"/>
  <c r="M52" i="4"/>
  <c r="T52" i="4" s="1"/>
  <c r="M50" i="4"/>
  <c r="M41" i="4"/>
  <c r="T41" i="4" s="1"/>
  <c r="M37" i="4"/>
  <c r="M36" i="4"/>
  <c r="T36" i="4" s="1"/>
  <c r="M35" i="4"/>
  <c r="M21" i="4"/>
  <c r="T21" i="4" s="1"/>
  <c r="M12" i="4"/>
  <c r="T12" i="4" s="1"/>
  <c r="M2" i="4"/>
  <c r="I279" i="4"/>
  <c r="I274" i="4"/>
  <c r="P274" i="4" s="1"/>
  <c r="I273" i="4"/>
  <c r="P273" i="4" s="1"/>
  <c r="I267" i="4"/>
  <c r="I256" i="4"/>
  <c r="I255" i="4"/>
  <c r="I251" i="4"/>
  <c r="I246" i="4"/>
  <c r="I239" i="4"/>
  <c r="P239" i="4" s="1"/>
  <c r="I237" i="4"/>
  <c r="P237" i="4" s="1"/>
  <c r="I236" i="4"/>
  <c r="P236" i="4" s="1"/>
  <c r="I235" i="4"/>
  <c r="P235" i="4" s="1"/>
  <c r="I234" i="4"/>
  <c r="I218" i="4"/>
  <c r="P218" i="4" s="1"/>
  <c r="I197" i="4"/>
  <c r="I196" i="4"/>
  <c r="N196" i="4" s="1"/>
  <c r="I195" i="4"/>
  <c r="P195" i="4" s="1"/>
  <c r="I193" i="4"/>
  <c r="P193" i="4" s="1"/>
  <c r="I186" i="4"/>
  <c r="P186" i="4" s="1"/>
  <c r="I182" i="4"/>
  <c r="P182" i="4" s="1"/>
  <c r="I177" i="4"/>
  <c r="I176" i="4"/>
  <c r="I175" i="4"/>
  <c r="N175" i="4" s="1"/>
  <c r="I165" i="4"/>
  <c r="P165" i="4" s="1"/>
  <c r="I164" i="4"/>
  <c r="I161" i="4"/>
  <c r="I158" i="4"/>
  <c r="P158" i="4" s="1"/>
  <c r="I155" i="4"/>
  <c r="P155" i="4" s="1"/>
  <c r="I146" i="4"/>
  <c r="P146" i="4" s="1"/>
  <c r="I144" i="4"/>
  <c r="I126" i="4"/>
  <c r="I121" i="4"/>
  <c r="P121" i="4" s="1"/>
  <c r="I117" i="4"/>
  <c r="I116" i="4"/>
  <c r="P116" i="4" s="1"/>
  <c r="I97" i="4"/>
  <c r="P97" i="4" s="1"/>
  <c r="I96" i="4"/>
  <c r="I94" i="4"/>
  <c r="P94" i="4" s="1"/>
  <c r="I86" i="4"/>
  <c r="P86" i="4" s="1"/>
  <c r="I84" i="4"/>
  <c r="P84" i="4" s="1"/>
  <c r="I76" i="4"/>
  <c r="I56" i="4"/>
  <c r="I41" i="4"/>
  <c r="P41" i="4" s="1"/>
  <c r="I35" i="4"/>
  <c r="P35" i="4" s="1"/>
  <c r="I34" i="4"/>
  <c r="P34" i="4" s="1"/>
  <c r="I16" i="4"/>
  <c r="P16" i="4" s="1"/>
  <c r="I2" i="4"/>
  <c r="H283" i="4"/>
  <c r="O283" i="4" s="1"/>
  <c r="H276" i="4"/>
  <c r="O276" i="4" s="1"/>
  <c r="H275" i="4"/>
  <c r="O275" i="4" s="1"/>
  <c r="H267" i="4"/>
  <c r="O267" i="4" s="1"/>
  <c r="H263" i="4"/>
  <c r="N263" i="4" s="1"/>
  <c r="H258" i="4"/>
  <c r="O258" i="4" s="1"/>
  <c r="H256" i="4"/>
  <c r="N256" i="4" s="1"/>
  <c r="H255" i="4"/>
  <c r="H251" i="4"/>
  <c r="N251" i="4" s="1"/>
  <c r="H244" i="4"/>
  <c r="H237" i="4"/>
  <c r="H236" i="4"/>
  <c r="O236" i="4" s="1"/>
  <c r="H235" i="4"/>
  <c r="H234" i="4"/>
  <c r="H230" i="4"/>
  <c r="O230" i="4" s="1"/>
  <c r="H229" i="4"/>
  <c r="O229" i="4" s="1"/>
  <c r="H218" i="4"/>
  <c r="H217" i="4"/>
  <c r="H215" i="4"/>
  <c r="H210" i="4"/>
  <c r="N210" i="4" s="1"/>
  <c r="H209" i="4"/>
  <c r="O209" i="4" s="1"/>
  <c r="H203" i="4"/>
  <c r="O203" i="4" s="1"/>
  <c r="H199" i="4"/>
  <c r="O199" i="4" s="1"/>
  <c r="H196" i="4"/>
  <c r="H190" i="4"/>
  <c r="N190" i="4" s="1"/>
  <c r="H189" i="4"/>
  <c r="H185" i="4"/>
  <c r="O185" i="4" s="1"/>
  <c r="H183" i="4"/>
  <c r="H179" i="4"/>
  <c r="N179" i="4" s="1"/>
  <c r="H177" i="4"/>
  <c r="O177" i="4" s="1"/>
  <c r="H176" i="4"/>
  <c r="O176" i="4" s="1"/>
  <c r="H175" i="4"/>
  <c r="O175" i="4" s="1"/>
  <c r="H170" i="4"/>
  <c r="H169" i="4"/>
  <c r="H167" i="4"/>
  <c r="O167" i="4" s="1"/>
  <c r="H164" i="4"/>
  <c r="O164" i="4" s="1"/>
  <c r="H158" i="4"/>
  <c r="H155" i="4"/>
  <c r="H145" i="4"/>
  <c r="H144" i="4"/>
  <c r="O144" i="4" s="1"/>
  <c r="H138" i="4"/>
  <c r="H129" i="4"/>
  <c r="H118" i="4"/>
  <c r="H117" i="4"/>
  <c r="H116" i="4"/>
  <c r="H109" i="4"/>
  <c r="O109" i="4" s="1"/>
  <c r="H98" i="4"/>
  <c r="H97" i="4"/>
  <c r="H96" i="4"/>
  <c r="O96" i="4" s="1"/>
  <c r="H89" i="4"/>
  <c r="O89" i="4" s="1"/>
  <c r="H76" i="4"/>
  <c r="O76" i="4" s="1"/>
  <c r="H43" i="4"/>
  <c r="H41" i="4"/>
  <c r="H37" i="4"/>
  <c r="O37" i="4" s="1"/>
  <c r="H35" i="4"/>
  <c r="H9" i="4"/>
  <c r="H2" i="4"/>
  <c r="D284" i="4"/>
  <c r="I284" i="4" s="1"/>
  <c r="D283" i="4"/>
  <c r="I283" i="4" s="1"/>
  <c r="D282" i="4"/>
  <c r="D281" i="4"/>
  <c r="H281" i="4" s="1"/>
  <c r="O281" i="4" s="1"/>
  <c r="D280" i="4"/>
  <c r="D279" i="4"/>
  <c r="D278" i="4"/>
  <c r="I278" i="4" s="1"/>
  <c r="P278" i="4" s="1"/>
  <c r="D277" i="4"/>
  <c r="M277" i="4" s="1"/>
  <c r="T277" i="4" s="1"/>
  <c r="D276" i="4"/>
  <c r="I276" i="4" s="1"/>
  <c r="D275" i="4"/>
  <c r="I275" i="4" s="1"/>
  <c r="D274" i="4"/>
  <c r="D273" i="4"/>
  <c r="H273" i="4" s="1"/>
  <c r="D272" i="4"/>
  <c r="D271" i="4"/>
  <c r="D270" i="4"/>
  <c r="I270" i="4" s="1"/>
  <c r="D269" i="4"/>
  <c r="M269" i="4" s="1"/>
  <c r="T269" i="4" s="1"/>
  <c r="D268" i="4"/>
  <c r="D267" i="4"/>
  <c r="M267" i="4" s="1"/>
  <c r="D266" i="4"/>
  <c r="D265" i="4"/>
  <c r="I265" i="4" s="1"/>
  <c r="P265" i="4" s="1"/>
  <c r="D264" i="4"/>
  <c r="I264" i="4" s="1"/>
  <c r="P264" i="4" s="1"/>
  <c r="D263" i="4"/>
  <c r="I263" i="4" s="1"/>
  <c r="P263" i="4" s="1"/>
  <c r="D262" i="4"/>
  <c r="D261" i="4"/>
  <c r="I261" i="4" s="1"/>
  <c r="P261" i="4" s="1"/>
  <c r="D260" i="4"/>
  <c r="D259" i="4"/>
  <c r="I259" i="4" s="1"/>
  <c r="P259" i="4" s="1"/>
  <c r="D258" i="4"/>
  <c r="I258" i="4" s="1"/>
  <c r="P258" i="4" s="1"/>
  <c r="D257" i="4"/>
  <c r="I257" i="4" s="1"/>
  <c r="P257" i="4" s="1"/>
  <c r="D256" i="4"/>
  <c r="D255" i="4"/>
  <c r="D254" i="4"/>
  <c r="D253" i="4"/>
  <c r="I253" i="4" s="1"/>
  <c r="P253" i="4" s="1"/>
  <c r="D252" i="4"/>
  <c r="D251" i="4"/>
  <c r="D250" i="4"/>
  <c r="M250" i="4" s="1"/>
  <c r="T250" i="4" s="1"/>
  <c r="D249" i="4"/>
  <c r="M249" i="4" s="1"/>
  <c r="D248" i="4"/>
  <c r="D247" i="4"/>
  <c r="I247" i="4" s="1"/>
  <c r="P247" i="4" s="1"/>
  <c r="D246" i="4"/>
  <c r="D245" i="4"/>
  <c r="H245" i="4" s="1"/>
  <c r="O245" i="4" s="1"/>
  <c r="D244" i="4"/>
  <c r="M244" i="4" s="1"/>
  <c r="T244" i="4" s="1"/>
  <c r="D243" i="4"/>
  <c r="I243" i="4" s="1"/>
  <c r="P243" i="4" s="1"/>
  <c r="D242" i="4"/>
  <c r="D241" i="4"/>
  <c r="M241" i="4" s="1"/>
  <c r="T241" i="4" s="1"/>
  <c r="D240" i="4"/>
  <c r="D239" i="4"/>
  <c r="H239" i="4" s="1"/>
  <c r="D238" i="4"/>
  <c r="M238" i="4" s="1"/>
  <c r="T238" i="4" s="1"/>
  <c r="D237" i="4"/>
  <c r="D236" i="4"/>
  <c r="D235" i="4"/>
  <c r="D234" i="4"/>
  <c r="D233" i="4"/>
  <c r="D232" i="4"/>
  <c r="D231" i="4"/>
  <c r="D230" i="4"/>
  <c r="D229" i="4"/>
  <c r="M229" i="4" s="1"/>
  <c r="D228" i="4"/>
  <c r="D227" i="4"/>
  <c r="D226" i="4"/>
  <c r="D225" i="4"/>
  <c r="I225" i="4" s="1"/>
  <c r="P225" i="4" s="1"/>
  <c r="D224" i="4"/>
  <c r="M224" i="4" s="1"/>
  <c r="T224" i="4" s="1"/>
  <c r="D223" i="4"/>
  <c r="I223" i="4" s="1"/>
  <c r="D222" i="4"/>
  <c r="M222" i="4" s="1"/>
  <c r="T222" i="4" s="1"/>
  <c r="D221" i="4"/>
  <c r="M221" i="4" s="1"/>
  <c r="T221" i="4" s="1"/>
  <c r="D220" i="4"/>
  <c r="M220" i="4" s="1"/>
  <c r="T220" i="4" s="1"/>
  <c r="D219" i="4"/>
  <c r="H219" i="4" s="1"/>
  <c r="D218" i="4"/>
  <c r="D217" i="4"/>
  <c r="M217" i="4" s="1"/>
  <c r="T217" i="4" s="1"/>
  <c r="D216" i="4"/>
  <c r="I216" i="4" s="1"/>
  <c r="D215" i="4"/>
  <c r="M215" i="4" s="1"/>
  <c r="T215" i="4" s="1"/>
  <c r="D214" i="4"/>
  <c r="D213" i="4"/>
  <c r="M213" i="4" s="1"/>
  <c r="D212" i="4"/>
  <c r="D211" i="4"/>
  <c r="D210" i="4"/>
  <c r="I210" i="4" s="1"/>
  <c r="D209" i="4"/>
  <c r="M209" i="4" s="1"/>
  <c r="T209" i="4" s="1"/>
  <c r="D208" i="4"/>
  <c r="H208" i="4" s="1"/>
  <c r="D207" i="4"/>
  <c r="D206" i="4"/>
  <c r="D205" i="4"/>
  <c r="I205" i="4" s="1"/>
  <c r="D204" i="4"/>
  <c r="I204" i="4" s="1"/>
  <c r="P204" i="4" s="1"/>
  <c r="D203" i="4"/>
  <c r="I203" i="4" s="1"/>
  <c r="D202" i="4"/>
  <c r="D201" i="4"/>
  <c r="H201" i="4" s="1"/>
  <c r="O201" i="4" s="1"/>
  <c r="D200" i="4"/>
  <c r="D199" i="4"/>
  <c r="I199" i="4" s="1"/>
  <c r="D198" i="4"/>
  <c r="H198" i="4" s="1"/>
  <c r="D197" i="4"/>
  <c r="H197" i="4" s="1"/>
  <c r="O197" i="4" s="1"/>
  <c r="D196" i="4"/>
  <c r="D195" i="4"/>
  <c r="H195" i="4" s="1"/>
  <c r="N195" i="4" s="1"/>
  <c r="D194" i="4"/>
  <c r="D193" i="4"/>
  <c r="H193" i="4" s="1"/>
  <c r="N193" i="4" s="1"/>
  <c r="D192" i="4"/>
  <c r="D191" i="4"/>
  <c r="D190" i="4"/>
  <c r="I190" i="4" s="1"/>
  <c r="P190" i="4" s="1"/>
  <c r="D189" i="4"/>
  <c r="M189" i="4" s="1"/>
  <c r="D188" i="4"/>
  <c r="D187" i="4"/>
  <c r="I187" i="4" s="1"/>
  <c r="P187" i="4" s="1"/>
  <c r="D186" i="4"/>
  <c r="D185" i="4"/>
  <c r="M185" i="4" s="1"/>
  <c r="T185" i="4" s="1"/>
  <c r="D184" i="4"/>
  <c r="H184" i="4" s="1"/>
  <c r="D183" i="4"/>
  <c r="I183" i="4" s="1"/>
  <c r="P183" i="4" s="1"/>
  <c r="D182" i="4"/>
  <c r="M182" i="4" s="1"/>
  <c r="T182" i="4" s="1"/>
  <c r="D181" i="4"/>
  <c r="I181" i="4" s="1"/>
  <c r="D180" i="4"/>
  <c r="D179" i="4"/>
  <c r="I179" i="4" s="1"/>
  <c r="P179" i="4" s="1"/>
  <c r="D178" i="4"/>
  <c r="H178" i="4" s="1"/>
  <c r="D177" i="4"/>
  <c r="D176" i="4"/>
  <c r="D175" i="4"/>
  <c r="D174" i="4"/>
  <c r="M174" i="4" s="1"/>
  <c r="T174" i="4" s="1"/>
  <c r="D173" i="4"/>
  <c r="H173" i="4" s="1"/>
  <c r="O173" i="4" s="1"/>
  <c r="D172" i="4"/>
  <c r="D171" i="4"/>
  <c r="I171" i="4" s="1"/>
  <c r="P171" i="4" s="1"/>
  <c r="D170" i="4"/>
  <c r="D169" i="4"/>
  <c r="M169" i="4" s="1"/>
  <c r="D168" i="4"/>
  <c r="D167" i="4"/>
  <c r="M167" i="4" s="1"/>
  <c r="T167" i="4" s="1"/>
  <c r="D166" i="4"/>
  <c r="D165" i="4"/>
  <c r="H165" i="4" s="1"/>
  <c r="O165" i="4" s="1"/>
  <c r="D164" i="4"/>
  <c r="M164" i="4" s="1"/>
  <c r="D163" i="4"/>
  <c r="I163" i="4" s="1"/>
  <c r="P163" i="4" s="1"/>
  <c r="D162" i="4"/>
  <c r="D161" i="4"/>
  <c r="H161" i="4" s="1"/>
  <c r="D160" i="4"/>
  <c r="D159" i="4"/>
  <c r="D158" i="4"/>
  <c r="M158" i="4" s="1"/>
  <c r="T158" i="4" s="1"/>
  <c r="D157" i="4"/>
  <c r="I157" i="4" s="1"/>
  <c r="P157" i="4" s="1"/>
  <c r="D156" i="4"/>
  <c r="I156" i="4" s="1"/>
  <c r="P156" i="4" s="1"/>
  <c r="D155" i="4"/>
  <c r="D154" i="4"/>
  <c r="D153" i="4"/>
  <c r="M153" i="4" s="1"/>
  <c r="T153" i="4" s="1"/>
  <c r="D152" i="4"/>
  <c r="D151" i="4"/>
  <c r="D150" i="4"/>
  <c r="D149" i="4"/>
  <c r="M149" i="4" s="1"/>
  <c r="D148" i="4"/>
  <c r="D147" i="4"/>
  <c r="D146" i="4"/>
  <c r="D145" i="4"/>
  <c r="I145" i="4" s="1"/>
  <c r="P145" i="4" s="1"/>
  <c r="D144" i="4"/>
  <c r="M144" i="4" s="1"/>
  <c r="T144" i="4" s="1"/>
  <c r="D143" i="4"/>
  <c r="I143" i="4" s="1"/>
  <c r="P143" i="4" s="1"/>
  <c r="D142" i="4"/>
  <c r="D141" i="4"/>
  <c r="M141" i="4" s="1"/>
  <c r="T141" i="4" s="1"/>
  <c r="D140" i="4"/>
  <c r="M140" i="4" s="1"/>
  <c r="T140" i="4" s="1"/>
  <c r="D139" i="4"/>
  <c r="I139" i="4" s="1"/>
  <c r="P139" i="4" s="1"/>
  <c r="D138" i="4"/>
  <c r="M138" i="4" s="1"/>
  <c r="T138" i="4" s="1"/>
  <c r="D137" i="4"/>
  <c r="H137" i="4" s="1"/>
  <c r="D136" i="4"/>
  <c r="H136" i="4" s="1"/>
  <c r="D135" i="4"/>
  <c r="H135" i="4" s="1"/>
  <c r="D134" i="4"/>
  <c r="D133" i="4"/>
  <c r="D132" i="4"/>
  <c r="D131" i="4"/>
  <c r="M131" i="4" s="1"/>
  <c r="T131" i="4" s="1"/>
  <c r="D130" i="4"/>
  <c r="I130" i="4" s="1"/>
  <c r="D129" i="4"/>
  <c r="M129" i="4" s="1"/>
  <c r="D128" i="4"/>
  <c r="D127" i="4"/>
  <c r="D126" i="4"/>
  <c r="D125" i="4"/>
  <c r="I125" i="4" s="1"/>
  <c r="D124" i="4"/>
  <c r="I124" i="4" s="1"/>
  <c r="P124" i="4" s="1"/>
  <c r="D123" i="4"/>
  <c r="I123" i="4" s="1"/>
  <c r="P123" i="4" s="1"/>
  <c r="D122" i="4"/>
  <c r="D121" i="4"/>
  <c r="H121" i="4" s="1"/>
  <c r="O121" i="4" s="1"/>
  <c r="D120" i="4"/>
  <c r="M120" i="4" s="1"/>
  <c r="T120" i="4" s="1"/>
  <c r="D119" i="4"/>
  <c r="D118" i="4"/>
  <c r="M118" i="4" s="1"/>
  <c r="D117" i="4"/>
  <c r="D116" i="4"/>
  <c r="D115" i="4"/>
  <c r="I115" i="4" s="1"/>
  <c r="D114" i="4"/>
  <c r="D113" i="4"/>
  <c r="D112" i="4"/>
  <c r="D111" i="4"/>
  <c r="D110" i="4"/>
  <c r="H110" i="4" s="1"/>
  <c r="O110" i="4" s="1"/>
  <c r="D109" i="4"/>
  <c r="M109" i="4" s="1"/>
  <c r="D108" i="4"/>
  <c r="D107" i="4"/>
  <c r="I107" i="4" s="1"/>
  <c r="P107" i="4" s="1"/>
  <c r="D106" i="4"/>
  <c r="I106" i="4" s="1"/>
  <c r="P106" i="4" s="1"/>
  <c r="D105" i="4"/>
  <c r="I105" i="4" s="1"/>
  <c r="P105" i="4" s="1"/>
  <c r="D104" i="4"/>
  <c r="H104" i="4" s="1"/>
  <c r="O104" i="4" s="1"/>
  <c r="D103" i="4"/>
  <c r="D102" i="4"/>
  <c r="D101" i="4"/>
  <c r="M101" i="4" s="1"/>
  <c r="T101" i="4" s="1"/>
  <c r="D100" i="4"/>
  <c r="D99" i="4"/>
  <c r="I99" i="4" s="1"/>
  <c r="D98" i="4"/>
  <c r="I98" i="4" s="1"/>
  <c r="D97" i="4"/>
  <c r="M97" i="4" s="1"/>
  <c r="T97" i="4" s="1"/>
  <c r="D96" i="4"/>
  <c r="M96" i="4" s="1"/>
  <c r="T96" i="4" s="1"/>
  <c r="D95" i="4"/>
  <c r="I95" i="4" s="1"/>
  <c r="P95" i="4" s="1"/>
  <c r="D94" i="4"/>
  <c r="H94" i="4" s="1"/>
  <c r="D93" i="4"/>
  <c r="H93" i="4" s="1"/>
  <c r="O93" i="4" s="1"/>
  <c r="D92" i="4"/>
  <c r="M92" i="4" s="1"/>
  <c r="T92" i="4" s="1"/>
  <c r="D91" i="4"/>
  <c r="M91" i="4" s="1"/>
  <c r="T91" i="4" s="1"/>
  <c r="D90" i="4"/>
  <c r="I90" i="4" s="1"/>
  <c r="D89" i="4"/>
  <c r="M89" i="4" s="1"/>
  <c r="D88" i="4"/>
  <c r="D87" i="4"/>
  <c r="M87" i="4" s="1"/>
  <c r="T87" i="4" s="1"/>
  <c r="D86" i="4"/>
  <c r="D85" i="4"/>
  <c r="M85" i="4" s="1"/>
  <c r="T85" i="4" s="1"/>
  <c r="D84" i="4"/>
  <c r="M84" i="4" s="1"/>
  <c r="T84" i="4" s="1"/>
  <c r="D83" i="4"/>
  <c r="H83" i="4" s="1"/>
  <c r="D82" i="4"/>
  <c r="H82" i="4" s="1"/>
  <c r="O82" i="4" s="1"/>
  <c r="D81" i="4"/>
  <c r="M81" i="4" s="1"/>
  <c r="T81" i="4" s="1"/>
  <c r="D80" i="4"/>
  <c r="D79" i="4"/>
  <c r="D78" i="4"/>
  <c r="I78" i="4" s="1"/>
  <c r="P78" i="4" s="1"/>
  <c r="D77" i="4"/>
  <c r="H77" i="4" s="1"/>
  <c r="D76" i="4"/>
  <c r="M76" i="4" s="1"/>
  <c r="T76" i="4" s="1"/>
  <c r="D75" i="4"/>
  <c r="H75" i="4" s="1"/>
  <c r="D74" i="4"/>
  <c r="D73" i="4"/>
  <c r="D72" i="4"/>
  <c r="D71" i="4"/>
  <c r="D70" i="4"/>
  <c r="I70" i="4" s="1"/>
  <c r="P70" i="4" s="1"/>
  <c r="D69" i="4"/>
  <c r="M69" i="4" s="1"/>
  <c r="D68" i="4"/>
  <c r="D67" i="4"/>
  <c r="M67" i="4" s="1"/>
  <c r="D66" i="4"/>
  <c r="D65" i="4"/>
  <c r="M65" i="4" s="1"/>
  <c r="T65" i="4" s="1"/>
  <c r="D64" i="4"/>
  <c r="I64" i="4" s="1"/>
  <c r="P64" i="4" s="1"/>
  <c r="D63" i="4"/>
  <c r="D62" i="4"/>
  <c r="M62" i="4" s="1"/>
  <c r="T62" i="4" s="1"/>
  <c r="D61" i="4"/>
  <c r="I61" i="4" s="1"/>
  <c r="P61" i="4" s="1"/>
  <c r="D60" i="4"/>
  <c r="D59" i="4"/>
  <c r="H59" i="4" s="1"/>
  <c r="O59" i="4" s="1"/>
  <c r="D58" i="4"/>
  <c r="M58" i="4" s="1"/>
  <c r="T58" i="4" s="1"/>
  <c r="D57" i="4"/>
  <c r="M57" i="4" s="1"/>
  <c r="T57" i="4" s="1"/>
  <c r="D56" i="4"/>
  <c r="H56" i="4" s="1"/>
  <c r="D55" i="4"/>
  <c r="M55" i="4" s="1"/>
  <c r="T55" i="4" s="1"/>
  <c r="D54" i="4"/>
  <c r="D53" i="4"/>
  <c r="D52" i="4"/>
  <c r="D51" i="4"/>
  <c r="D50" i="4"/>
  <c r="D49" i="4"/>
  <c r="M49" i="4" s="1"/>
  <c r="D48" i="4"/>
  <c r="D47" i="4"/>
  <c r="D46" i="4"/>
  <c r="D45" i="4"/>
  <c r="I45" i="4" s="1"/>
  <c r="D44" i="4"/>
  <c r="I44" i="4" s="1"/>
  <c r="P44" i="4" s="1"/>
  <c r="D43" i="4"/>
  <c r="D42" i="4"/>
  <c r="D41" i="4"/>
  <c r="D40" i="4"/>
  <c r="D39" i="4"/>
  <c r="D38" i="4"/>
  <c r="H38" i="4" s="1"/>
  <c r="O38" i="4" s="1"/>
  <c r="D37" i="4"/>
  <c r="I37" i="4" s="1"/>
  <c r="N37" i="4" s="1"/>
  <c r="D36" i="4"/>
  <c r="I36" i="4" s="1"/>
  <c r="P36" i="4" s="1"/>
  <c r="D35" i="4"/>
  <c r="D34" i="4"/>
  <c r="D33" i="4"/>
  <c r="H33" i="4" s="1"/>
  <c r="D32" i="4"/>
  <c r="D31" i="4"/>
  <c r="H31" i="4" s="1"/>
  <c r="D30" i="4"/>
  <c r="H30" i="4" s="1"/>
  <c r="O30" i="4" s="1"/>
  <c r="D29" i="4"/>
  <c r="M29" i="4" s="1"/>
  <c r="D28" i="4"/>
  <c r="D27" i="4"/>
  <c r="I27" i="4" s="1"/>
  <c r="P27" i="4" s="1"/>
  <c r="D26" i="4"/>
  <c r="I26" i="4" s="1"/>
  <c r="P26" i="4" s="1"/>
  <c r="D25" i="4"/>
  <c r="H25" i="4" s="1"/>
  <c r="O25" i="4" s="1"/>
  <c r="D24" i="4"/>
  <c r="M24" i="4" s="1"/>
  <c r="D23" i="4"/>
  <c r="M23" i="4" s="1"/>
  <c r="T23" i="4" s="1"/>
  <c r="D22" i="4"/>
  <c r="D21" i="4"/>
  <c r="I21" i="4" s="1"/>
  <c r="P21" i="4" s="1"/>
  <c r="D20" i="4"/>
  <c r="D19" i="4"/>
  <c r="D18" i="4"/>
  <c r="I18" i="4" s="1"/>
  <c r="D17" i="4"/>
  <c r="H17" i="4" s="1"/>
  <c r="D16" i="4"/>
  <c r="H16" i="4" s="1"/>
  <c r="D15" i="4"/>
  <c r="H15" i="4" s="1"/>
  <c r="D14" i="4"/>
  <c r="D13" i="4"/>
  <c r="I13" i="4" s="1"/>
  <c r="P13" i="4" s="1"/>
  <c r="D12" i="4"/>
  <c r="D11" i="4"/>
  <c r="I11" i="4" s="1"/>
  <c r="D10" i="4"/>
  <c r="I10" i="4" s="1"/>
  <c r="D9" i="4"/>
  <c r="M9" i="4" s="1"/>
  <c r="D8" i="4"/>
  <c r="D7" i="4"/>
  <c r="M7" i="4" s="1"/>
  <c r="D6" i="4"/>
  <c r="D5" i="4"/>
  <c r="M5" i="4" s="1"/>
  <c r="T5" i="4" s="1"/>
  <c r="D4" i="4"/>
  <c r="H4" i="4" s="1"/>
  <c r="D3" i="4"/>
  <c r="D2" i="4"/>
  <c r="M113" i="3"/>
  <c r="T113" i="3" s="1"/>
  <c r="M112" i="3"/>
  <c r="T112" i="3" s="1"/>
  <c r="M104" i="3"/>
  <c r="M101" i="3"/>
  <c r="T101" i="3" s="1"/>
  <c r="M100" i="3"/>
  <c r="T100" i="3" s="1"/>
  <c r="M85" i="3"/>
  <c r="T85" i="3" s="1"/>
  <c r="M79" i="3"/>
  <c r="T79" i="3" s="1"/>
  <c r="M68" i="3"/>
  <c r="M67" i="3"/>
  <c r="M65" i="3"/>
  <c r="M64" i="3"/>
  <c r="T64" i="3" s="1"/>
  <c r="M60" i="3"/>
  <c r="T60" i="3" s="1"/>
  <c r="M59" i="3"/>
  <c r="T59" i="3" s="1"/>
  <c r="M58" i="3"/>
  <c r="T58" i="3" s="1"/>
  <c r="M54" i="3"/>
  <c r="T54" i="3" s="1"/>
  <c r="M53" i="3"/>
  <c r="T53" i="3" s="1"/>
  <c r="M45" i="3"/>
  <c r="T45" i="3" s="1"/>
  <c r="M40" i="3"/>
  <c r="T40" i="3" s="1"/>
  <c r="M39" i="3"/>
  <c r="M25" i="3"/>
  <c r="T25" i="3" s="1"/>
  <c r="M21" i="3"/>
  <c r="M20" i="3"/>
  <c r="T20" i="3" s="1"/>
  <c r="M18" i="3"/>
  <c r="T18" i="3" s="1"/>
  <c r="M14" i="3"/>
  <c r="M13" i="3"/>
  <c r="T13" i="3" s="1"/>
  <c r="M7" i="3"/>
  <c r="T7" i="3" s="1"/>
  <c r="M2" i="3"/>
  <c r="I112" i="3"/>
  <c r="P112" i="3" s="1"/>
  <c r="I109" i="3"/>
  <c r="P109" i="3" s="1"/>
  <c r="I108" i="3"/>
  <c r="P108" i="3" s="1"/>
  <c r="I106" i="3"/>
  <c r="P106" i="3" s="1"/>
  <c r="I105" i="3"/>
  <c r="N105" i="3" s="1"/>
  <c r="I104" i="3"/>
  <c r="I100" i="3"/>
  <c r="N100" i="3" s="1"/>
  <c r="I87" i="3"/>
  <c r="P87" i="3" s="1"/>
  <c r="I80" i="3"/>
  <c r="P80" i="3" s="1"/>
  <c r="I79" i="3"/>
  <c r="I77" i="3"/>
  <c r="P77" i="3" s="1"/>
  <c r="I68" i="3"/>
  <c r="I67" i="3"/>
  <c r="I65" i="3"/>
  <c r="I60" i="3"/>
  <c r="I59" i="3"/>
  <c r="P59" i="3" s="1"/>
  <c r="I48" i="3"/>
  <c r="P48" i="3" s="1"/>
  <c r="I39" i="3"/>
  <c r="I38" i="3"/>
  <c r="I34" i="3"/>
  <c r="P34" i="3" s="1"/>
  <c r="I30" i="3"/>
  <c r="P30" i="3" s="1"/>
  <c r="I27" i="3"/>
  <c r="P27" i="3" s="1"/>
  <c r="I24" i="3"/>
  <c r="I20" i="3"/>
  <c r="P20" i="3" s="1"/>
  <c r="I7" i="3"/>
  <c r="I4" i="3"/>
  <c r="I2" i="3"/>
  <c r="H112" i="3"/>
  <c r="H109" i="3"/>
  <c r="O109" i="3" s="1"/>
  <c r="H108" i="3"/>
  <c r="N108" i="3" s="1"/>
  <c r="H104" i="3"/>
  <c r="H102" i="3"/>
  <c r="H101" i="3"/>
  <c r="N101" i="3" s="1"/>
  <c r="H85" i="3"/>
  <c r="O85" i="3" s="1"/>
  <c r="H80" i="3"/>
  <c r="O80" i="3" s="1"/>
  <c r="H79" i="3"/>
  <c r="H73" i="3"/>
  <c r="H68" i="3"/>
  <c r="H67" i="3"/>
  <c r="O67" i="3" s="1"/>
  <c r="H65" i="3"/>
  <c r="O65" i="3" s="1"/>
  <c r="H60" i="3"/>
  <c r="N60" i="3" s="1"/>
  <c r="H59" i="3"/>
  <c r="N59" i="3" s="1"/>
  <c r="H58" i="3"/>
  <c r="N58" i="3" s="1"/>
  <c r="H48" i="3"/>
  <c r="O48" i="3" s="1"/>
  <c r="H45" i="3"/>
  <c r="O45" i="3" s="1"/>
  <c r="H44" i="3"/>
  <c r="H40" i="3"/>
  <c r="H33" i="3"/>
  <c r="O33" i="3" s="1"/>
  <c r="H27" i="3"/>
  <c r="O27" i="3" s="1"/>
  <c r="H25" i="3"/>
  <c r="O25" i="3" s="1"/>
  <c r="H21" i="3"/>
  <c r="H20" i="3"/>
  <c r="H7" i="3"/>
  <c r="O7" i="3" s="1"/>
  <c r="H6" i="3"/>
  <c r="O6" i="3" s="1"/>
  <c r="H4" i="3"/>
  <c r="O4" i="3" s="1"/>
  <c r="H3" i="3"/>
  <c r="O3" i="3" s="1"/>
  <c r="H2" i="3"/>
  <c r="D114" i="3"/>
  <c r="D113" i="3"/>
  <c r="I113" i="3" s="1"/>
  <c r="P113" i="3" s="1"/>
  <c r="D112" i="3"/>
  <c r="D111" i="3"/>
  <c r="D110" i="3"/>
  <c r="D109" i="3"/>
  <c r="M109" i="3" s="1"/>
  <c r="D108" i="3"/>
  <c r="M108" i="3" s="1"/>
  <c r="D107" i="3"/>
  <c r="H107" i="3" s="1"/>
  <c r="O107" i="3" s="1"/>
  <c r="D106" i="3"/>
  <c r="D105" i="3"/>
  <c r="H105" i="3" s="1"/>
  <c r="O105" i="3" s="1"/>
  <c r="D104" i="3"/>
  <c r="D103" i="3"/>
  <c r="I103" i="3" s="1"/>
  <c r="P103" i="3" s="1"/>
  <c r="D102" i="3"/>
  <c r="D101" i="3"/>
  <c r="I101" i="3" s="1"/>
  <c r="D100" i="3"/>
  <c r="H100" i="3" s="1"/>
  <c r="D99" i="3"/>
  <c r="H99" i="3" s="1"/>
  <c r="D98" i="3"/>
  <c r="H98" i="3" s="1"/>
  <c r="O98" i="3" s="1"/>
  <c r="D97" i="3"/>
  <c r="H97" i="3" s="1"/>
  <c r="O97" i="3" s="1"/>
  <c r="D96" i="3"/>
  <c r="M96" i="3" s="1"/>
  <c r="T96" i="3" s="1"/>
  <c r="D95" i="3"/>
  <c r="D94" i="3"/>
  <c r="D93" i="3"/>
  <c r="I93" i="3" s="1"/>
  <c r="D92" i="3"/>
  <c r="H92" i="3" s="1"/>
  <c r="O92" i="3" s="1"/>
  <c r="D91" i="3"/>
  <c r="M91" i="3" s="1"/>
  <c r="T91" i="3" s="1"/>
  <c r="D90" i="3"/>
  <c r="D89" i="3"/>
  <c r="M89" i="3" s="1"/>
  <c r="D88" i="3"/>
  <c r="M88" i="3" s="1"/>
  <c r="T88" i="3" s="1"/>
  <c r="D87" i="3"/>
  <c r="H87" i="3" s="1"/>
  <c r="N87" i="3" s="1"/>
  <c r="D86" i="3"/>
  <c r="D85" i="3"/>
  <c r="I85" i="3" s="1"/>
  <c r="D84" i="3"/>
  <c r="H84" i="3" s="1"/>
  <c r="D83" i="3"/>
  <c r="D82" i="3"/>
  <c r="D81" i="3"/>
  <c r="I81" i="3" s="1"/>
  <c r="D80" i="3"/>
  <c r="M80" i="3" s="1"/>
  <c r="D79" i="3"/>
  <c r="D78" i="3"/>
  <c r="H78" i="3" s="1"/>
  <c r="D77" i="3"/>
  <c r="H77" i="3" s="1"/>
  <c r="D76" i="3"/>
  <c r="H76" i="3" s="1"/>
  <c r="O76" i="3" s="1"/>
  <c r="D75" i="3"/>
  <c r="D74" i="3"/>
  <c r="D73" i="3"/>
  <c r="M73" i="3" s="1"/>
  <c r="T73" i="3" s="1"/>
  <c r="D72" i="3"/>
  <c r="I72" i="3" s="1"/>
  <c r="P72" i="3" s="1"/>
  <c r="D71" i="3"/>
  <c r="D70" i="3"/>
  <c r="D69" i="3"/>
  <c r="M69" i="3" s="1"/>
  <c r="T69" i="3" s="1"/>
  <c r="D68" i="3"/>
  <c r="D67" i="3"/>
  <c r="D66" i="3"/>
  <c r="I66" i="3" s="1"/>
  <c r="P66" i="3" s="1"/>
  <c r="D65" i="3"/>
  <c r="D64" i="3"/>
  <c r="H64" i="3" s="1"/>
  <c r="O64" i="3" s="1"/>
  <c r="D63" i="3"/>
  <c r="H63" i="3" s="1"/>
  <c r="D62" i="3"/>
  <c r="D61" i="3"/>
  <c r="I61" i="3" s="1"/>
  <c r="P61" i="3" s="1"/>
  <c r="D60" i="3"/>
  <c r="D59" i="3"/>
  <c r="D58" i="3"/>
  <c r="I58" i="3" s="1"/>
  <c r="P58" i="3" s="1"/>
  <c r="D57" i="3"/>
  <c r="D56" i="3"/>
  <c r="H56" i="3" s="1"/>
  <c r="O56" i="3" s="1"/>
  <c r="D55" i="3"/>
  <c r="D54" i="3"/>
  <c r="H54" i="3" s="1"/>
  <c r="D53" i="3"/>
  <c r="I53" i="3" s="1"/>
  <c r="P53" i="3" s="1"/>
  <c r="D52" i="3"/>
  <c r="I52" i="3" s="1"/>
  <c r="P52" i="3" s="1"/>
  <c r="D51" i="3"/>
  <c r="D50" i="3"/>
  <c r="H50" i="3" s="1"/>
  <c r="O50" i="3" s="1"/>
  <c r="D49" i="3"/>
  <c r="M49" i="3" s="1"/>
  <c r="T49" i="3" s="1"/>
  <c r="D48" i="3"/>
  <c r="M48" i="3" s="1"/>
  <c r="T48" i="3" s="1"/>
  <c r="D47" i="3"/>
  <c r="M47" i="3" s="1"/>
  <c r="T47" i="3" s="1"/>
  <c r="D46" i="3"/>
  <c r="M46" i="3" s="1"/>
  <c r="T46" i="3" s="1"/>
  <c r="D45" i="3"/>
  <c r="I45" i="3" s="1"/>
  <c r="P45" i="3" s="1"/>
  <c r="D44" i="3"/>
  <c r="M44" i="3" s="1"/>
  <c r="D43" i="3"/>
  <c r="I43" i="3" s="1"/>
  <c r="D42" i="3"/>
  <c r="D41" i="3"/>
  <c r="I41" i="3" s="1"/>
  <c r="P41" i="3" s="1"/>
  <c r="D40" i="3"/>
  <c r="I40" i="3" s="1"/>
  <c r="D39" i="3"/>
  <c r="H39" i="3" s="1"/>
  <c r="D38" i="3"/>
  <c r="M38" i="3" s="1"/>
  <c r="T38" i="3" s="1"/>
  <c r="D37" i="3"/>
  <c r="H37" i="3" s="1"/>
  <c r="D36" i="3"/>
  <c r="H36" i="3" s="1"/>
  <c r="O36" i="3" s="1"/>
  <c r="D35" i="3"/>
  <c r="D34" i="3"/>
  <c r="D33" i="3"/>
  <c r="I33" i="3" s="1"/>
  <c r="D32" i="3"/>
  <c r="D31" i="3"/>
  <c r="M31" i="3" s="1"/>
  <c r="T31" i="3" s="1"/>
  <c r="D30" i="3"/>
  <c r="D29" i="3"/>
  <c r="M29" i="3" s="1"/>
  <c r="T29" i="3" s="1"/>
  <c r="D28" i="3"/>
  <c r="M28" i="3" s="1"/>
  <c r="T28" i="3" s="1"/>
  <c r="D27" i="3"/>
  <c r="M27" i="3" s="1"/>
  <c r="T27" i="3" s="1"/>
  <c r="D26" i="3"/>
  <c r="I26" i="3" s="1"/>
  <c r="P26" i="3" s="1"/>
  <c r="D25" i="3"/>
  <c r="I25" i="3" s="1"/>
  <c r="D24" i="3"/>
  <c r="M24" i="3" s="1"/>
  <c r="T24" i="3" s="1"/>
  <c r="D23" i="3"/>
  <c r="D22" i="3"/>
  <c r="H22" i="3" s="1"/>
  <c r="O22" i="3" s="1"/>
  <c r="D21" i="3"/>
  <c r="I21" i="3" s="1"/>
  <c r="D20" i="3"/>
  <c r="D19" i="3"/>
  <c r="M19" i="3" s="1"/>
  <c r="D18" i="3"/>
  <c r="H18" i="3" s="1"/>
  <c r="D17" i="3"/>
  <c r="D16" i="3"/>
  <c r="M16" i="3" s="1"/>
  <c r="T16" i="3" s="1"/>
  <c r="D15" i="3"/>
  <c r="D14" i="3"/>
  <c r="D13" i="3"/>
  <c r="H13" i="3" s="1"/>
  <c r="D12" i="3"/>
  <c r="D11" i="3"/>
  <c r="I11" i="3" s="1"/>
  <c r="P11" i="3" s="1"/>
  <c r="D10" i="3"/>
  <c r="D9" i="3"/>
  <c r="M9" i="3" s="1"/>
  <c r="D8" i="3"/>
  <c r="M8" i="3" s="1"/>
  <c r="T8" i="3" s="1"/>
  <c r="D7" i="3"/>
  <c r="D6" i="3"/>
  <c r="D5" i="3"/>
  <c r="I5" i="3" s="1"/>
  <c r="P5" i="3" s="1"/>
  <c r="D4" i="3"/>
  <c r="M4" i="3" s="1"/>
  <c r="D3" i="3"/>
  <c r="I3" i="3" s="1"/>
  <c r="D2" i="3"/>
  <c r="M90" i="2"/>
  <c r="T90" i="2" s="1"/>
  <c r="M87" i="2"/>
  <c r="T87" i="2" s="1"/>
  <c r="M85" i="2"/>
  <c r="T85" i="2" s="1"/>
  <c r="M77" i="2"/>
  <c r="T77" i="2" s="1"/>
  <c r="M76" i="2"/>
  <c r="T76" i="2" s="1"/>
  <c r="M74" i="2"/>
  <c r="T74" i="2" s="1"/>
  <c r="M65" i="2"/>
  <c r="T65" i="2" s="1"/>
  <c r="M59" i="2"/>
  <c r="T59" i="2" s="1"/>
  <c r="M56" i="2"/>
  <c r="T56" i="2" s="1"/>
  <c r="M55" i="2"/>
  <c r="T55" i="2" s="1"/>
  <c r="M54" i="2"/>
  <c r="T54" i="2" s="1"/>
  <c r="M53" i="2"/>
  <c r="T53" i="2" s="1"/>
  <c r="M39" i="2"/>
  <c r="T39" i="2" s="1"/>
  <c r="M37" i="2"/>
  <c r="T37" i="2" s="1"/>
  <c r="M30" i="2"/>
  <c r="T30" i="2" s="1"/>
  <c r="M19" i="2"/>
  <c r="M15" i="2"/>
  <c r="T15" i="2" s="1"/>
  <c r="M14" i="2"/>
  <c r="T14" i="2" s="1"/>
  <c r="M13" i="2"/>
  <c r="M10" i="2"/>
  <c r="T10" i="2" s="1"/>
  <c r="M6" i="2"/>
  <c r="M5" i="2"/>
  <c r="T5" i="2" s="1"/>
  <c r="M4" i="2"/>
  <c r="T4" i="2" s="1"/>
  <c r="I91" i="2"/>
  <c r="I90" i="2"/>
  <c r="P90" i="2" s="1"/>
  <c r="I59" i="2"/>
  <c r="P59" i="2" s="1"/>
  <c r="I56" i="2"/>
  <c r="N56" i="2" s="1"/>
  <c r="I54" i="2"/>
  <c r="P54" i="2" s="1"/>
  <c r="I51" i="2"/>
  <c r="P51" i="2" s="1"/>
  <c r="I41" i="2"/>
  <c r="P41" i="2" s="1"/>
  <c r="I30" i="2"/>
  <c r="P30" i="2" s="1"/>
  <c r="I27" i="2"/>
  <c r="N27" i="2" s="1"/>
  <c r="I24" i="2"/>
  <c r="N24" i="2" s="1"/>
  <c r="I19" i="2"/>
  <c r="P19" i="2" s="1"/>
  <c r="I12" i="2"/>
  <c r="P12" i="2" s="1"/>
  <c r="I11" i="2"/>
  <c r="I5" i="2"/>
  <c r="P5" i="2" s="1"/>
  <c r="H94" i="2"/>
  <c r="O94" i="2" s="1"/>
  <c r="H92" i="2"/>
  <c r="O92" i="2" s="1"/>
  <c r="H90" i="2"/>
  <c r="O90" i="2" s="1"/>
  <c r="H74" i="2"/>
  <c r="N74" i="2" s="1"/>
  <c r="H73" i="2"/>
  <c r="H70" i="2"/>
  <c r="H67" i="2"/>
  <c r="O67" i="2" s="1"/>
  <c r="H65" i="2"/>
  <c r="H61" i="2"/>
  <c r="O61" i="2" s="1"/>
  <c r="H59" i="2"/>
  <c r="O59" i="2" s="1"/>
  <c r="H56" i="2"/>
  <c r="O56" i="2" s="1"/>
  <c r="H54" i="2"/>
  <c r="O54" i="2" s="1"/>
  <c r="H53" i="2"/>
  <c r="N53" i="2" s="1"/>
  <c r="H39" i="2"/>
  <c r="O39" i="2" s="1"/>
  <c r="H35" i="2"/>
  <c r="N35" i="2" s="1"/>
  <c r="H33" i="2"/>
  <c r="N33" i="2" s="1"/>
  <c r="H30" i="2"/>
  <c r="H27" i="2"/>
  <c r="O27" i="2" s="1"/>
  <c r="H24" i="2"/>
  <c r="H19" i="2"/>
  <c r="N19" i="2" s="1"/>
  <c r="H14" i="2"/>
  <c r="H13" i="2"/>
  <c r="O13" i="2" s="1"/>
  <c r="H11" i="2"/>
  <c r="H10" i="2"/>
  <c r="O10" i="2" s="1"/>
  <c r="D94" i="2"/>
  <c r="D93" i="2"/>
  <c r="D92" i="2"/>
  <c r="D91" i="2"/>
  <c r="D90" i="2"/>
  <c r="D89" i="2"/>
  <c r="H89" i="2" s="1"/>
  <c r="D88" i="2"/>
  <c r="D87" i="2"/>
  <c r="H87" i="2" s="1"/>
  <c r="O87" i="2" s="1"/>
  <c r="D86" i="2"/>
  <c r="H86" i="2" s="1"/>
  <c r="O86" i="2" s="1"/>
  <c r="D85" i="2"/>
  <c r="H85" i="2" s="1"/>
  <c r="O85" i="2" s="1"/>
  <c r="D84" i="2"/>
  <c r="H84" i="2" s="1"/>
  <c r="O84" i="2" s="1"/>
  <c r="D83" i="2"/>
  <c r="D82" i="2"/>
  <c r="I82" i="2" s="1"/>
  <c r="P82" i="2" s="1"/>
  <c r="D81" i="2"/>
  <c r="M81" i="2" s="1"/>
  <c r="T81" i="2" s="1"/>
  <c r="D80" i="2"/>
  <c r="D79" i="2"/>
  <c r="I79" i="2" s="1"/>
  <c r="P79" i="2" s="1"/>
  <c r="D78" i="2"/>
  <c r="H78" i="2" s="1"/>
  <c r="O78" i="2" s="1"/>
  <c r="D77" i="2"/>
  <c r="H77" i="2" s="1"/>
  <c r="D76" i="2"/>
  <c r="I76" i="2" s="1"/>
  <c r="P76" i="2" s="1"/>
  <c r="D75" i="2"/>
  <c r="I75" i="2" s="1"/>
  <c r="D74" i="2"/>
  <c r="I74" i="2" s="1"/>
  <c r="D73" i="2"/>
  <c r="D72" i="2"/>
  <c r="I72" i="2" s="1"/>
  <c r="P72" i="2" s="1"/>
  <c r="D71" i="2"/>
  <c r="H71" i="2" s="1"/>
  <c r="D70" i="2"/>
  <c r="M70" i="2" s="1"/>
  <c r="T70" i="2" s="1"/>
  <c r="D69" i="2"/>
  <c r="H69" i="2" s="1"/>
  <c r="O69" i="2" s="1"/>
  <c r="D68" i="2"/>
  <c r="D67" i="2"/>
  <c r="M67" i="2" s="1"/>
  <c r="D66" i="2"/>
  <c r="M66" i="2" s="1"/>
  <c r="T66" i="2" s="1"/>
  <c r="D65" i="2"/>
  <c r="I65" i="2" s="1"/>
  <c r="P65" i="2" s="1"/>
  <c r="D64" i="2"/>
  <c r="I64" i="2" s="1"/>
  <c r="D63" i="2"/>
  <c r="D62" i="2"/>
  <c r="D61" i="2"/>
  <c r="M61" i="2" s="1"/>
  <c r="D60" i="2"/>
  <c r="M60" i="2" s="1"/>
  <c r="T60" i="2" s="1"/>
  <c r="D59" i="2"/>
  <c r="D58" i="2"/>
  <c r="I58" i="2" s="1"/>
  <c r="P58" i="2" s="1"/>
  <c r="D57" i="2"/>
  <c r="D56" i="2"/>
  <c r="D55" i="2"/>
  <c r="I55" i="2" s="1"/>
  <c r="D54" i="2"/>
  <c r="D53" i="2"/>
  <c r="I53" i="2" s="1"/>
  <c r="P53" i="2" s="1"/>
  <c r="D52" i="2"/>
  <c r="H52" i="2" s="1"/>
  <c r="O52" i="2" s="1"/>
  <c r="D51" i="2"/>
  <c r="M51" i="2" s="1"/>
  <c r="D50" i="2"/>
  <c r="M50" i="2" s="1"/>
  <c r="T50" i="2" s="1"/>
  <c r="D49" i="2"/>
  <c r="I49" i="2" s="1"/>
  <c r="P49" i="2" s="1"/>
  <c r="D48" i="2"/>
  <c r="H48" i="2" s="1"/>
  <c r="D47" i="2"/>
  <c r="I47" i="2" s="1"/>
  <c r="D46" i="2"/>
  <c r="H46" i="2" s="1"/>
  <c r="D45" i="2"/>
  <c r="M45" i="2" s="1"/>
  <c r="D44" i="2"/>
  <c r="H44" i="2" s="1"/>
  <c r="D43" i="2"/>
  <c r="D42" i="2"/>
  <c r="D41" i="2"/>
  <c r="M41" i="2" s="1"/>
  <c r="T41" i="2" s="1"/>
  <c r="D40" i="2"/>
  <c r="D39" i="2"/>
  <c r="I39" i="2" s="1"/>
  <c r="D38" i="2"/>
  <c r="H38" i="2" s="1"/>
  <c r="D37" i="2"/>
  <c r="H37" i="2" s="1"/>
  <c r="D36" i="2"/>
  <c r="H36" i="2" s="1"/>
  <c r="O36" i="2" s="1"/>
  <c r="D35" i="2"/>
  <c r="I35" i="2" s="1"/>
  <c r="D34" i="2"/>
  <c r="M34" i="2" s="1"/>
  <c r="T34" i="2" s="1"/>
  <c r="D33" i="2"/>
  <c r="I33" i="2" s="1"/>
  <c r="P33" i="2" s="1"/>
  <c r="D32" i="2"/>
  <c r="M32" i="2" s="1"/>
  <c r="T32" i="2" s="1"/>
  <c r="D31" i="2"/>
  <c r="M31" i="2" s="1"/>
  <c r="T31" i="2" s="1"/>
  <c r="D30" i="2"/>
  <c r="D29" i="2"/>
  <c r="H29" i="2" s="1"/>
  <c r="O29" i="2" s="1"/>
  <c r="D28" i="2"/>
  <c r="H28" i="2" s="1"/>
  <c r="D27" i="2"/>
  <c r="M27" i="2" s="1"/>
  <c r="T27" i="2" s="1"/>
  <c r="D26" i="2"/>
  <c r="H26" i="2" s="1"/>
  <c r="O26" i="2" s="1"/>
  <c r="D25" i="2"/>
  <c r="H25" i="2" s="1"/>
  <c r="O25" i="2" s="1"/>
  <c r="D24" i="2"/>
  <c r="M24" i="2" s="1"/>
  <c r="T24" i="2" s="1"/>
  <c r="D23" i="2"/>
  <c r="M23" i="2" s="1"/>
  <c r="T23" i="2" s="1"/>
  <c r="D22" i="2"/>
  <c r="H22" i="2" s="1"/>
  <c r="O22" i="2" s="1"/>
  <c r="D21" i="2"/>
  <c r="M21" i="2" s="1"/>
  <c r="T21" i="2" s="1"/>
  <c r="D20" i="2"/>
  <c r="D19" i="2"/>
  <c r="D18" i="2"/>
  <c r="H18" i="2" s="1"/>
  <c r="D17" i="2"/>
  <c r="D16" i="2"/>
  <c r="M16" i="2" s="1"/>
  <c r="T16" i="2" s="1"/>
  <c r="D15" i="2"/>
  <c r="D14" i="2"/>
  <c r="I14" i="2" s="1"/>
  <c r="P14" i="2" s="1"/>
  <c r="D13" i="2"/>
  <c r="I13" i="2" s="1"/>
  <c r="D12" i="2"/>
  <c r="H12" i="2" s="1"/>
  <c r="D11" i="2"/>
  <c r="M11" i="2" s="1"/>
  <c r="D10" i="2"/>
  <c r="I10" i="2" s="1"/>
  <c r="P10" i="2" s="1"/>
  <c r="D9" i="2"/>
  <c r="M9" i="2" s="1"/>
  <c r="T9" i="2" s="1"/>
  <c r="D8" i="2"/>
  <c r="D7" i="2"/>
  <c r="I7" i="2" s="1"/>
  <c r="P7" i="2" s="1"/>
  <c r="D6" i="2"/>
  <c r="H6" i="2" s="1"/>
  <c r="D5" i="2"/>
  <c r="H5" i="2" s="1"/>
  <c r="O5" i="2" s="1"/>
  <c r="D4" i="2"/>
  <c r="H4" i="2" s="1"/>
  <c r="O4" i="2" s="1"/>
  <c r="D3" i="2"/>
  <c r="H3" i="2" s="1"/>
  <c r="O3" i="2" s="1"/>
  <c r="D2" i="2"/>
  <c r="I2" i="2" s="1"/>
  <c r="N2" i="4"/>
  <c r="N234" i="4"/>
  <c r="N218" i="4"/>
  <c r="N235" i="4"/>
  <c r="N177" i="4"/>
  <c r="N255" i="4"/>
  <c r="N158" i="4"/>
  <c r="N164" i="4"/>
  <c r="O2" i="4"/>
  <c r="O234" i="4"/>
  <c r="O218" i="4"/>
  <c r="O235" i="4"/>
  <c r="O129" i="4"/>
  <c r="O4" i="4"/>
  <c r="O189" i="4"/>
  <c r="O255" i="4"/>
  <c r="O193" i="4"/>
  <c r="O196" i="4"/>
  <c r="O33" i="4"/>
  <c r="O35" i="4"/>
  <c r="O158" i="4"/>
  <c r="O43" i="4"/>
  <c r="O273" i="4"/>
  <c r="O116" i="4"/>
  <c r="O117" i="4"/>
  <c r="O217" i="4"/>
  <c r="P2" i="4"/>
  <c r="P234" i="4"/>
  <c r="P130" i="4"/>
  <c r="P176" i="4"/>
  <c r="P177" i="4"/>
  <c r="P205" i="4"/>
  <c r="P181" i="4"/>
  <c r="P10" i="4"/>
  <c r="P246" i="4"/>
  <c r="P210" i="4"/>
  <c r="P223" i="4"/>
  <c r="P251" i="4"/>
  <c r="P18" i="4"/>
  <c r="P255" i="4"/>
  <c r="P144" i="4"/>
  <c r="P256" i="4"/>
  <c r="P196" i="4"/>
  <c r="P45" i="4"/>
  <c r="P56" i="4"/>
  <c r="P270" i="4"/>
  <c r="P76" i="4"/>
  <c r="P161" i="4"/>
  <c r="P203" i="4"/>
  <c r="P279" i="4"/>
  <c r="P90" i="4"/>
  <c r="P96" i="4"/>
  <c r="P98" i="4"/>
  <c r="P99" i="4"/>
  <c r="P283" i="4"/>
  <c r="P164" i="4"/>
  <c r="P125" i="4"/>
  <c r="P126" i="4"/>
  <c r="Q2" i="4"/>
  <c r="Q234" i="4"/>
  <c r="Q166" i="4"/>
  <c r="Q218" i="4"/>
  <c r="Q127" i="4"/>
  <c r="Q235" i="4"/>
  <c r="Q167" i="4"/>
  <c r="Q168" i="4"/>
  <c r="Q236" i="4"/>
  <c r="Q128" i="4"/>
  <c r="Q169" i="4"/>
  <c r="Q237" i="4"/>
  <c r="Q170" i="4"/>
  <c r="Q171" i="4"/>
  <c r="Q238" i="4"/>
  <c r="Q239" i="4"/>
  <c r="Q240" i="4"/>
  <c r="Q241" i="4"/>
  <c r="Q3" i="4"/>
  <c r="Q172" i="4"/>
  <c r="Q242" i="4"/>
  <c r="Q129" i="4"/>
  <c r="Q243" i="4"/>
  <c r="Q130" i="4"/>
  <c r="Q173" i="4"/>
  <c r="Q174" i="4"/>
  <c r="Q175" i="4"/>
  <c r="Q4" i="4"/>
  <c r="Q131" i="4"/>
  <c r="Q176" i="4"/>
  <c r="Q132" i="4"/>
  <c r="Q219" i="4"/>
  <c r="Q204" i="4"/>
  <c r="Q177" i="4"/>
  <c r="Q5" i="4"/>
  <c r="Q244" i="4"/>
  <c r="Q205" i="4"/>
  <c r="Q178" i="4"/>
  <c r="Q133" i="4"/>
  <c r="Q206" i="4"/>
  <c r="Q179" i="4"/>
  <c r="Q134" i="4"/>
  <c r="Q220" i="4"/>
  <c r="Q180" i="4"/>
  <c r="Q135" i="4"/>
  <c r="Q245" i="4"/>
  <c r="Q6" i="4"/>
  <c r="Q181" i="4"/>
  <c r="Q182" i="4"/>
  <c r="Q7" i="4"/>
  <c r="Q183" i="4"/>
  <c r="Q8" i="4"/>
  <c r="Q9" i="4"/>
  <c r="Q207" i="4"/>
  <c r="Q10" i="4"/>
  <c r="Q208" i="4"/>
  <c r="Q209" i="4"/>
  <c r="Q11" i="4"/>
  <c r="Q246" i="4"/>
  <c r="Q210" i="4"/>
  <c r="Q12" i="4"/>
  <c r="Q136" i="4"/>
  <c r="Q184" i="4"/>
  <c r="Q211" i="4"/>
  <c r="Q185" i="4"/>
  <c r="Q221" i="4"/>
  <c r="Q137" i="4"/>
  <c r="Q212" i="4"/>
  <c r="Q222" i="4"/>
  <c r="Q213" i="4"/>
  <c r="Q186" i="4"/>
  <c r="Q187" i="4"/>
  <c r="Q247" i="4"/>
  <c r="Q223" i="4"/>
  <c r="Q248" i="4"/>
  <c r="Q249" i="4"/>
  <c r="Q188" i="4"/>
  <c r="Q250" i="4"/>
  <c r="Q13" i="4"/>
  <c r="Q189" i="4"/>
  <c r="Q14" i="4"/>
  <c r="Q15" i="4"/>
  <c r="Q251" i="4"/>
  <c r="Q190" i="4"/>
  <c r="Q138" i="4"/>
  <c r="Q214" i="4"/>
  <c r="Q139" i="4"/>
  <c r="Q252" i="4"/>
  <c r="Q191" i="4"/>
  <c r="Q16" i="4"/>
  <c r="Q17" i="4"/>
  <c r="Q18" i="4"/>
  <c r="Q140" i="4"/>
  <c r="Q141" i="4"/>
  <c r="Q142" i="4"/>
  <c r="Q192" i="4"/>
  <c r="Q253" i="4"/>
  <c r="Q254" i="4"/>
  <c r="Q255" i="4"/>
  <c r="Q193" i="4"/>
  <c r="Q19" i="4"/>
  <c r="Q143" i="4"/>
  <c r="Q20" i="4"/>
  <c r="Q144" i="4"/>
  <c r="Q21" i="4"/>
  <c r="Q194" i="4"/>
  <c r="Q224" i="4"/>
  <c r="Q256" i="4"/>
  <c r="Q257" i="4"/>
  <c r="Q195" i="4"/>
  <c r="Q145" i="4"/>
  <c r="Q22" i="4"/>
  <c r="Q23" i="4"/>
  <c r="Q225" i="4"/>
  <c r="Q258" i="4"/>
  <c r="Q215" i="4"/>
  <c r="Q196" i="4"/>
  <c r="Q197" i="4"/>
  <c r="Q259" i="4"/>
  <c r="Q24" i="4"/>
  <c r="Q198" i="4"/>
  <c r="Q25" i="4"/>
  <c r="Q26" i="4"/>
  <c r="Q226" i="4"/>
  <c r="Q146" i="4"/>
  <c r="Q27" i="4"/>
  <c r="Q28" i="4"/>
  <c r="Q227" i="4"/>
  <c r="Q228" i="4"/>
  <c r="Q147" i="4"/>
  <c r="Q29" i="4"/>
  <c r="Q216" i="4"/>
  <c r="Q260" i="4"/>
  <c r="Q261" i="4"/>
  <c r="Q30" i="4"/>
  <c r="Q148" i="4"/>
  <c r="Q149" i="4"/>
  <c r="Q31" i="4"/>
  <c r="Q32" i="4"/>
  <c r="Q262" i="4"/>
  <c r="Q33" i="4"/>
  <c r="Q229" i="4"/>
  <c r="Q150" i="4"/>
  <c r="Q230" i="4"/>
  <c r="Q34" i="4"/>
  <c r="Q151" i="4"/>
  <c r="Q152" i="4"/>
  <c r="Q263" i="4"/>
  <c r="Q35" i="4"/>
  <c r="Q264" i="4"/>
  <c r="Q153" i="4"/>
  <c r="Q154" i="4"/>
  <c r="Q231" i="4"/>
  <c r="Q155" i="4"/>
  <c r="Q156" i="4"/>
  <c r="Q232" i="4"/>
  <c r="Q36" i="4"/>
  <c r="Q157" i="4"/>
  <c r="Q37" i="4"/>
  <c r="Q199" i="4"/>
  <c r="Q158" i="4"/>
  <c r="Q38" i="4"/>
  <c r="Q233" i="4"/>
  <c r="Q265" i="4"/>
  <c r="Q39" i="4"/>
  <c r="Q40" i="4"/>
  <c r="Q41" i="4"/>
  <c r="Q42" i="4"/>
  <c r="Q200" i="4"/>
  <c r="Q266" i="4"/>
  <c r="Q267" i="4"/>
  <c r="Q43" i="4"/>
  <c r="Q159" i="4"/>
  <c r="Q44" i="4"/>
  <c r="Q45" i="4"/>
  <c r="Q46" i="4"/>
  <c r="Q47" i="4"/>
  <c r="Q48" i="4"/>
  <c r="Q49" i="4"/>
  <c r="Q201" i="4"/>
  <c r="Q50" i="4"/>
  <c r="Q51" i="4"/>
  <c r="Q52" i="4"/>
  <c r="Q53" i="4"/>
  <c r="Q54" i="4"/>
  <c r="Q268" i="4"/>
  <c r="Q55" i="4"/>
  <c r="Q56" i="4"/>
  <c r="Q269" i="4"/>
  <c r="Q57" i="4"/>
  <c r="Q58" i="4"/>
  <c r="Q270" i="4"/>
  <c r="Q271" i="4"/>
  <c r="Q59" i="4"/>
  <c r="Q60" i="4"/>
  <c r="Q61" i="4"/>
  <c r="Q272" i="4"/>
  <c r="Q62" i="4"/>
  <c r="Q63" i="4"/>
  <c r="Q64" i="4"/>
  <c r="Q273" i="4"/>
  <c r="Q274" i="4"/>
  <c r="Q65" i="4"/>
  <c r="Q66" i="4"/>
  <c r="Q67" i="4"/>
  <c r="Q160" i="4"/>
  <c r="Q202" i="4"/>
  <c r="Q68" i="4"/>
  <c r="Q69" i="4"/>
  <c r="Q70" i="4"/>
  <c r="Q71" i="4"/>
  <c r="Q72" i="4"/>
  <c r="Q73" i="4"/>
  <c r="Q74" i="4"/>
  <c r="Q75" i="4"/>
  <c r="Q76" i="4"/>
  <c r="Q161" i="4"/>
  <c r="Q203" i="4"/>
  <c r="Q77" i="4"/>
  <c r="Q275" i="4"/>
  <c r="Q276" i="4"/>
  <c r="Q78" i="4"/>
  <c r="Q162" i="4"/>
  <c r="Q79" i="4"/>
  <c r="Q80" i="4"/>
  <c r="Q81" i="4"/>
  <c r="Q277" i="4"/>
  <c r="Q82" i="4"/>
  <c r="Q278" i="4"/>
  <c r="Q83" i="4"/>
  <c r="Q84" i="4"/>
  <c r="Q85" i="4"/>
  <c r="Q86" i="4"/>
  <c r="Q87" i="4"/>
  <c r="Q88" i="4"/>
  <c r="Q89" i="4"/>
  <c r="Q279" i="4"/>
  <c r="Q90" i="4"/>
  <c r="Q91" i="4"/>
  <c r="Q92" i="4"/>
  <c r="Q93" i="4"/>
  <c r="Q163" i="4"/>
  <c r="Q94" i="4"/>
  <c r="Q95" i="4"/>
  <c r="Q96" i="4"/>
  <c r="Q97" i="4"/>
  <c r="Q98" i="4"/>
  <c r="Q99" i="4"/>
  <c r="Q100" i="4"/>
  <c r="Q101" i="4"/>
  <c r="Q102" i="4"/>
  <c r="Q103" i="4"/>
  <c r="Q104" i="4"/>
  <c r="Q105" i="4"/>
  <c r="Q280" i="4"/>
  <c r="Q106" i="4"/>
  <c r="Q107" i="4"/>
  <c r="Q108" i="4"/>
  <c r="Q281" i="4"/>
  <c r="Q109" i="4"/>
  <c r="Q282" i="4"/>
  <c r="Q110" i="4"/>
  <c r="Q111" i="4"/>
  <c r="Q283" i="4"/>
  <c r="Q112" i="4"/>
  <c r="Q113" i="4"/>
  <c r="Q114" i="4"/>
  <c r="Q115" i="4"/>
  <c r="Q164" i="4"/>
  <c r="Q116" i="4"/>
  <c r="Q117" i="4"/>
  <c r="Q118" i="4"/>
  <c r="Q119" i="4"/>
  <c r="Q120" i="4"/>
  <c r="Q217" i="4"/>
  <c r="Q121" i="4"/>
  <c r="Q122" i="4"/>
  <c r="Q284" i="4"/>
  <c r="Q123" i="4"/>
  <c r="Q124" i="4"/>
  <c r="Q125" i="4"/>
  <c r="Q165" i="4"/>
  <c r="Q126" i="4"/>
  <c r="R2" i="4"/>
  <c r="R234" i="4"/>
  <c r="R166" i="4"/>
  <c r="R218" i="4"/>
  <c r="R127" i="4"/>
  <c r="R235" i="4"/>
  <c r="R167" i="4"/>
  <c r="R168" i="4"/>
  <c r="R236" i="4"/>
  <c r="R128" i="4"/>
  <c r="R169" i="4"/>
  <c r="R237" i="4"/>
  <c r="R170" i="4"/>
  <c r="R171" i="4"/>
  <c r="R238" i="4"/>
  <c r="R239" i="4"/>
  <c r="R240" i="4"/>
  <c r="R241" i="4"/>
  <c r="R3" i="4"/>
  <c r="R172" i="4"/>
  <c r="R242" i="4"/>
  <c r="R129" i="4"/>
  <c r="R243" i="4"/>
  <c r="R130" i="4"/>
  <c r="R173" i="4"/>
  <c r="R174" i="4"/>
  <c r="R175" i="4"/>
  <c r="R4" i="4"/>
  <c r="R131" i="4"/>
  <c r="R176" i="4"/>
  <c r="R132" i="4"/>
  <c r="R219" i="4"/>
  <c r="R204" i="4"/>
  <c r="R177" i="4"/>
  <c r="R5" i="4"/>
  <c r="R244" i="4"/>
  <c r="R205" i="4"/>
  <c r="R178" i="4"/>
  <c r="R133" i="4"/>
  <c r="R206" i="4"/>
  <c r="R179" i="4"/>
  <c r="R134" i="4"/>
  <c r="R220" i="4"/>
  <c r="R180" i="4"/>
  <c r="R135" i="4"/>
  <c r="R245" i="4"/>
  <c r="R6" i="4"/>
  <c r="R181" i="4"/>
  <c r="R182" i="4"/>
  <c r="R7" i="4"/>
  <c r="R183" i="4"/>
  <c r="R8" i="4"/>
  <c r="R9" i="4"/>
  <c r="R207" i="4"/>
  <c r="R10" i="4"/>
  <c r="R208" i="4"/>
  <c r="R209" i="4"/>
  <c r="R11" i="4"/>
  <c r="R246" i="4"/>
  <c r="R210" i="4"/>
  <c r="R12" i="4"/>
  <c r="R136" i="4"/>
  <c r="R184" i="4"/>
  <c r="R211" i="4"/>
  <c r="R185" i="4"/>
  <c r="R221" i="4"/>
  <c r="R137" i="4"/>
  <c r="R212" i="4"/>
  <c r="R222" i="4"/>
  <c r="R213" i="4"/>
  <c r="R186" i="4"/>
  <c r="R187" i="4"/>
  <c r="R247" i="4"/>
  <c r="R223" i="4"/>
  <c r="R248" i="4"/>
  <c r="R249" i="4"/>
  <c r="R188" i="4"/>
  <c r="R250" i="4"/>
  <c r="R13" i="4"/>
  <c r="R189" i="4"/>
  <c r="R14" i="4"/>
  <c r="R15" i="4"/>
  <c r="R251" i="4"/>
  <c r="R190" i="4"/>
  <c r="R138" i="4"/>
  <c r="R214" i="4"/>
  <c r="R139" i="4"/>
  <c r="R252" i="4"/>
  <c r="R191" i="4"/>
  <c r="R16" i="4"/>
  <c r="R17" i="4"/>
  <c r="R18" i="4"/>
  <c r="R140" i="4"/>
  <c r="R141" i="4"/>
  <c r="R142" i="4"/>
  <c r="R192" i="4"/>
  <c r="R253" i="4"/>
  <c r="R254" i="4"/>
  <c r="R255" i="4"/>
  <c r="R193" i="4"/>
  <c r="R19" i="4"/>
  <c r="R143" i="4"/>
  <c r="R20" i="4"/>
  <c r="R144" i="4"/>
  <c r="R21" i="4"/>
  <c r="R194" i="4"/>
  <c r="R224" i="4"/>
  <c r="R256" i="4"/>
  <c r="R257" i="4"/>
  <c r="R195" i="4"/>
  <c r="R145" i="4"/>
  <c r="R22" i="4"/>
  <c r="R23" i="4"/>
  <c r="R225" i="4"/>
  <c r="R258" i="4"/>
  <c r="R215" i="4"/>
  <c r="R196" i="4"/>
  <c r="R197" i="4"/>
  <c r="R259" i="4"/>
  <c r="R24" i="4"/>
  <c r="R198" i="4"/>
  <c r="R25" i="4"/>
  <c r="R26" i="4"/>
  <c r="R226" i="4"/>
  <c r="R146" i="4"/>
  <c r="R27" i="4"/>
  <c r="R28" i="4"/>
  <c r="R227" i="4"/>
  <c r="R228" i="4"/>
  <c r="R147" i="4"/>
  <c r="R29" i="4"/>
  <c r="R216" i="4"/>
  <c r="R260" i="4"/>
  <c r="R261" i="4"/>
  <c r="R30" i="4"/>
  <c r="R148" i="4"/>
  <c r="R149" i="4"/>
  <c r="R31" i="4"/>
  <c r="R32" i="4"/>
  <c r="R262" i="4"/>
  <c r="R33" i="4"/>
  <c r="R229" i="4"/>
  <c r="R150" i="4"/>
  <c r="R230" i="4"/>
  <c r="R34" i="4"/>
  <c r="R151" i="4"/>
  <c r="R152" i="4"/>
  <c r="R263" i="4"/>
  <c r="R35" i="4"/>
  <c r="R264" i="4"/>
  <c r="R153" i="4"/>
  <c r="R154" i="4"/>
  <c r="R231" i="4"/>
  <c r="R155" i="4"/>
  <c r="R156" i="4"/>
  <c r="R232" i="4"/>
  <c r="R36" i="4"/>
  <c r="R157" i="4"/>
  <c r="R37" i="4"/>
  <c r="R199" i="4"/>
  <c r="R158" i="4"/>
  <c r="R38" i="4"/>
  <c r="R233" i="4"/>
  <c r="R265" i="4"/>
  <c r="R39" i="4"/>
  <c r="R40" i="4"/>
  <c r="R41" i="4"/>
  <c r="R42" i="4"/>
  <c r="R200" i="4"/>
  <c r="R266" i="4"/>
  <c r="R267" i="4"/>
  <c r="R43" i="4"/>
  <c r="R159" i="4"/>
  <c r="R44" i="4"/>
  <c r="R45" i="4"/>
  <c r="R46" i="4"/>
  <c r="R47" i="4"/>
  <c r="R48" i="4"/>
  <c r="R49" i="4"/>
  <c r="R201" i="4"/>
  <c r="R50" i="4"/>
  <c r="R51" i="4"/>
  <c r="R52" i="4"/>
  <c r="R53" i="4"/>
  <c r="R54" i="4"/>
  <c r="R268" i="4"/>
  <c r="R55" i="4"/>
  <c r="R56" i="4"/>
  <c r="R269" i="4"/>
  <c r="R57" i="4"/>
  <c r="R58" i="4"/>
  <c r="R270" i="4"/>
  <c r="R271" i="4"/>
  <c r="R59" i="4"/>
  <c r="R60" i="4"/>
  <c r="R61" i="4"/>
  <c r="R272" i="4"/>
  <c r="R62" i="4"/>
  <c r="R63" i="4"/>
  <c r="R64" i="4"/>
  <c r="R273" i="4"/>
  <c r="R274" i="4"/>
  <c r="R65" i="4"/>
  <c r="R66" i="4"/>
  <c r="R67" i="4"/>
  <c r="R160" i="4"/>
  <c r="R202" i="4"/>
  <c r="R68" i="4"/>
  <c r="R69" i="4"/>
  <c r="R70" i="4"/>
  <c r="R71" i="4"/>
  <c r="R72" i="4"/>
  <c r="R73" i="4"/>
  <c r="R74" i="4"/>
  <c r="R75" i="4"/>
  <c r="R76" i="4"/>
  <c r="R161" i="4"/>
  <c r="R203" i="4"/>
  <c r="R77" i="4"/>
  <c r="R275" i="4"/>
  <c r="R276" i="4"/>
  <c r="R78" i="4"/>
  <c r="R162" i="4"/>
  <c r="R79" i="4"/>
  <c r="R80" i="4"/>
  <c r="R81" i="4"/>
  <c r="R277" i="4"/>
  <c r="R82" i="4"/>
  <c r="R278" i="4"/>
  <c r="R83" i="4"/>
  <c r="R84" i="4"/>
  <c r="R85" i="4"/>
  <c r="R86" i="4"/>
  <c r="R87" i="4"/>
  <c r="R88" i="4"/>
  <c r="R89" i="4"/>
  <c r="R279" i="4"/>
  <c r="R90" i="4"/>
  <c r="R91" i="4"/>
  <c r="R92" i="4"/>
  <c r="R93" i="4"/>
  <c r="R163" i="4"/>
  <c r="R94" i="4"/>
  <c r="R95" i="4"/>
  <c r="R96" i="4"/>
  <c r="R97" i="4"/>
  <c r="R98" i="4"/>
  <c r="R99" i="4"/>
  <c r="R100" i="4"/>
  <c r="R101" i="4"/>
  <c r="R102" i="4"/>
  <c r="R103" i="4"/>
  <c r="R104" i="4"/>
  <c r="R105" i="4"/>
  <c r="R280" i="4"/>
  <c r="R106" i="4"/>
  <c r="R107" i="4"/>
  <c r="R108" i="4"/>
  <c r="R281" i="4"/>
  <c r="R109" i="4"/>
  <c r="R282" i="4"/>
  <c r="R110" i="4"/>
  <c r="R111" i="4"/>
  <c r="R283" i="4"/>
  <c r="R112" i="4"/>
  <c r="R113" i="4"/>
  <c r="R114" i="4"/>
  <c r="R115" i="4"/>
  <c r="R164" i="4"/>
  <c r="R116" i="4"/>
  <c r="R117" i="4"/>
  <c r="R118" i="4"/>
  <c r="R119" i="4"/>
  <c r="R120" i="4"/>
  <c r="R217" i="4"/>
  <c r="R121" i="4"/>
  <c r="R122" i="4"/>
  <c r="R284" i="4"/>
  <c r="R123" i="4"/>
  <c r="R124" i="4"/>
  <c r="R125" i="4"/>
  <c r="R165" i="4"/>
  <c r="R126" i="4"/>
  <c r="S2" i="4"/>
  <c r="S234" i="4"/>
  <c r="S166" i="4"/>
  <c r="S218" i="4"/>
  <c r="S127" i="4"/>
  <c r="S235" i="4"/>
  <c r="S167" i="4"/>
  <c r="S168" i="4"/>
  <c r="S236" i="4"/>
  <c r="S128" i="4"/>
  <c r="S169" i="4"/>
  <c r="S237" i="4"/>
  <c r="S170" i="4"/>
  <c r="S171" i="4"/>
  <c r="S238" i="4"/>
  <c r="S239" i="4"/>
  <c r="S240" i="4"/>
  <c r="S241" i="4"/>
  <c r="S3" i="4"/>
  <c r="S172" i="4"/>
  <c r="S242" i="4"/>
  <c r="S129" i="4"/>
  <c r="S243" i="4"/>
  <c r="S130" i="4"/>
  <c r="S173" i="4"/>
  <c r="S174" i="4"/>
  <c r="S175" i="4"/>
  <c r="S4" i="4"/>
  <c r="S131" i="4"/>
  <c r="S176" i="4"/>
  <c r="S132" i="4"/>
  <c r="S219" i="4"/>
  <c r="S204" i="4"/>
  <c r="S177" i="4"/>
  <c r="S5" i="4"/>
  <c r="S244" i="4"/>
  <c r="S205" i="4"/>
  <c r="S178" i="4"/>
  <c r="S133" i="4"/>
  <c r="S206" i="4"/>
  <c r="S179" i="4"/>
  <c r="S134" i="4"/>
  <c r="S220" i="4"/>
  <c r="S180" i="4"/>
  <c r="S135" i="4"/>
  <c r="S245" i="4"/>
  <c r="S6" i="4"/>
  <c r="S181" i="4"/>
  <c r="S182" i="4"/>
  <c r="S7" i="4"/>
  <c r="S183" i="4"/>
  <c r="S8" i="4"/>
  <c r="S9" i="4"/>
  <c r="S207" i="4"/>
  <c r="S10" i="4"/>
  <c r="S208" i="4"/>
  <c r="S209" i="4"/>
  <c r="S11" i="4"/>
  <c r="S246" i="4"/>
  <c r="S210" i="4"/>
  <c r="S12" i="4"/>
  <c r="S136" i="4"/>
  <c r="S184" i="4"/>
  <c r="S211" i="4"/>
  <c r="S185" i="4"/>
  <c r="S221" i="4"/>
  <c r="S137" i="4"/>
  <c r="S212" i="4"/>
  <c r="S222" i="4"/>
  <c r="S213" i="4"/>
  <c r="S186" i="4"/>
  <c r="S187" i="4"/>
  <c r="S247" i="4"/>
  <c r="S223" i="4"/>
  <c r="S248" i="4"/>
  <c r="S249" i="4"/>
  <c r="S188" i="4"/>
  <c r="S250" i="4"/>
  <c r="S13" i="4"/>
  <c r="S189" i="4"/>
  <c r="S14" i="4"/>
  <c r="S15" i="4"/>
  <c r="S251" i="4"/>
  <c r="S190" i="4"/>
  <c r="S138" i="4"/>
  <c r="S214" i="4"/>
  <c r="S139" i="4"/>
  <c r="S252" i="4"/>
  <c r="S191" i="4"/>
  <c r="S16" i="4"/>
  <c r="S17" i="4"/>
  <c r="S18" i="4"/>
  <c r="S140" i="4"/>
  <c r="S141" i="4"/>
  <c r="S142" i="4"/>
  <c r="S192" i="4"/>
  <c r="S253" i="4"/>
  <c r="S254" i="4"/>
  <c r="S255" i="4"/>
  <c r="S193" i="4"/>
  <c r="S19" i="4"/>
  <c r="S143" i="4"/>
  <c r="S20" i="4"/>
  <c r="S144" i="4"/>
  <c r="S21" i="4"/>
  <c r="S194" i="4"/>
  <c r="S224" i="4"/>
  <c r="S256" i="4"/>
  <c r="S257" i="4"/>
  <c r="S195" i="4"/>
  <c r="S145" i="4"/>
  <c r="S22" i="4"/>
  <c r="S23" i="4"/>
  <c r="S225" i="4"/>
  <c r="S258" i="4"/>
  <c r="S215" i="4"/>
  <c r="S196" i="4"/>
  <c r="S197" i="4"/>
  <c r="S259" i="4"/>
  <c r="S24" i="4"/>
  <c r="S198" i="4"/>
  <c r="S25" i="4"/>
  <c r="S26" i="4"/>
  <c r="S226" i="4"/>
  <c r="S146" i="4"/>
  <c r="S27" i="4"/>
  <c r="S28" i="4"/>
  <c r="S227" i="4"/>
  <c r="S228" i="4"/>
  <c r="S147" i="4"/>
  <c r="S29" i="4"/>
  <c r="S216" i="4"/>
  <c r="S260" i="4"/>
  <c r="S261" i="4"/>
  <c r="S30" i="4"/>
  <c r="S148" i="4"/>
  <c r="S149" i="4"/>
  <c r="S31" i="4"/>
  <c r="S32" i="4"/>
  <c r="S262" i="4"/>
  <c r="S33" i="4"/>
  <c r="S229" i="4"/>
  <c r="S150" i="4"/>
  <c r="S230" i="4"/>
  <c r="S34" i="4"/>
  <c r="S151" i="4"/>
  <c r="S152" i="4"/>
  <c r="S263" i="4"/>
  <c r="S35" i="4"/>
  <c r="S264" i="4"/>
  <c r="S153" i="4"/>
  <c r="S154" i="4"/>
  <c r="S231" i="4"/>
  <c r="S155" i="4"/>
  <c r="S156" i="4"/>
  <c r="S232" i="4"/>
  <c r="S36" i="4"/>
  <c r="S157" i="4"/>
  <c r="S37" i="4"/>
  <c r="S199" i="4"/>
  <c r="S158" i="4"/>
  <c r="S38" i="4"/>
  <c r="S233" i="4"/>
  <c r="S265" i="4"/>
  <c r="S39" i="4"/>
  <c r="S40" i="4"/>
  <c r="S41" i="4"/>
  <c r="S42" i="4"/>
  <c r="S200" i="4"/>
  <c r="S266" i="4"/>
  <c r="S267" i="4"/>
  <c r="S43" i="4"/>
  <c r="S159" i="4"/>
  <c r="S44" i="4"/>
  <c r="S45" i="4"/>
  <c r="S46" i="4"/>
  <c r="S47" i="4"/>
  <c r="S48" i="4"/>
  <c r="S49" i="4"/>
  <c r="S201" i="4"/>
  <c r="S50" i="4"/>
  <c r="S51" i="4"/>
  <c r="S52" i="4"/>
  <c r="S53" i="4"/>
  <c r="S54" i="4"/>
  <c r="S268" i="4"/>
  <c r="S55" i="4"/>
  <c r="S56" i="4"/>
  <c r="S269" i="4"/>
  <c r="S57" i="4"/>
  <c r="S58" i="4"/>
  <c r="S270" i="4"/>
  <c r="S271" i="4"/>
  <c r="S59" i="4"/>
  <c r="S60" i="4"/>
  <c r="S61" i="4"/>
  <c r="S272" i="4"/>
  <c r="S62" i="4"/>
  <c r="S63" i="4"/>
  <c r="S64" i="4"/>
  <c r="S273" i="4"/>
  <c r="S274" i="4"/>
  <c r="S65" i="4"/>
  <c r="S66" i="4"/>
  <c r="S67" i="4"/>
  <c r="S160" i="4"/>
  <c r="S202" i="4"/>
  <c r="S68" i="4"/>
  <c r="S69" i="4"/>
  <c r="S70" i="4"/>
  <c r="S71" i="4"/>
  <c r="S72" i="4"/>
  <c r="S73" i="4"/>
  <c r="S74" i="4"/>
  <c r="S75" i="4"/>
  <c r="S76" i="4"/>
  <c r="S161" i="4"/>
  <c r="S203" i="4"/>
  <c r="S77" i="4"/>
  <c r="S275" i="4"/>
  <c r="S276" i="4"/>
  <c r="S78" i="4"/>
  <c r="S162" i="4"/>
  <c r="S79" i="4"/>
  <c r="S80" i="4"/>
  <c r="S81" i="4"/>
  <c r="S277" i="4"/>
  <c r="S82" i="4"/>
  <c r="S278" i="4"/>
  <c r="S83" i="4"/>
  <c r="S84" i="4"/>
  <c r="S85" i="4"/>
  <c r="S86" i="4"/>
  <c r="S87" i="4"/>
  <c r="S88" i="4"/>
  <c r="S89" i="4"/>
  <c r="S279" i="4"/>
  <c r="S90" i="4"/>
  <c r="S91" i="4"/>
  <c r="S92" i="4"/>
  <c r="S93" i="4"/>
  <c r="S163" i="4"/>
  <c r="S94" i="4"/>
  <c r="S95" i="4"/>
  <c r="S96" i="4"/>
  <c r="S97" i="4"/>
  <c r="S98" i="4"/>
  <c r="S99" i="4"/>
  <c r="S100" i="4"/>
  <c r="S101" i="4"/>
  <c r="S102" i="4"/>
  <c r="S103" i="4"/>
  <c r="S104" i="4"/>
  <c r="S105" i="4"/>
  <c r="S280" i="4"/>
  <c r="S106" i="4"/>
  <c r="S107" i="4"/>
  <c r="S108" i="4"/>
  <c r="S281" i="4"/>
  <c r="S109" i="4"/>
  <c r="S282" i="4"/>
  <c r="S110" i="4"/>
  <c r="S111" i="4"/>
  <c r="S283" i="4"/>
  <c r="S112" i="4"/>
  <c r="S113" i="4"/>
  <c r="S114" i="4"/>
  <c r="S115" i="4"/>
  <c r="S164" i="4"/>
  <c r="S116" i="4"/>
  <c r="S117" i="4"/>
  <c r="S118" i="4"/>
  <c r="S119" i="4"/>
  <c r="S120" i="4"/>
  <c r="S217" i="4"/>
  <c r="S121" i="4"/>
  <c r="S122" i="4"/>
  <c r="S284" i="4"/>
  <c r="S123" i="4"/>
  <c r="S124" i="4"/>
  <c r="S125" i="4"/>
  <c r="S165" i="4"/>
  <c r="S126" i="4"/>
  <c r="T2" i="4"/>
  <c r="T234" i="4"/>
  <c r="T218" i="4"/>
  <c r="T235" i="4"/>
  <c r="T236" i="4"/>
  <c r="T169" i="4"/>
  <c r="T129" i="4"/>
  <c r="T130" i="4"/>
  <c r="T173" i="4"/>
  <c r="T7" i="4"/>
  <c r="T183" i="4"/>
  <c r="T9" i="4"/>
  <c r="T213" i="4"/>
  <c r="T249" i="4"/>
  <c r="T189" i="4"/>
  <c r="T255" i="4"/>
  <c r="T256" i="4"/>
  <c r="T195" i="4"/>
  <c r="T196" i="4"/>
  <c r="T197" i="4"/>
  <c r="T24" i="4"/>
  <c r="T29" i="4"/>
  <c r="T149" i="4"/>
  <c r="T229" i="4"/>
  <c r="T35" i="4"/>
  <c r="T37" i="4"/>
  <c r="T199" i="4"/>
  <c r="T267" i="4"/>
  <c r="T49" i="4"/>
  <c r="T50" i="4"/>
  <c r="T56" i="4"/>
  <c r="T67" i="4"/>
  <c r="T69" i="4"/>
  <c r="T275" i="4"/>
  <c r="T89" i="4"/>
  <c r="T163" i="4"/>
  <c r="T98" i="4"/>
  <c r="T104" i="4"/>
  <c r="T109" i="4"/>
  <c r="T283" i="4"/>
  <c r="T164" i="4"/>
  <c r="T117" i="4"/>
  <c r="T118" i="4"/>
  <c r="T124" i="4"/>
  <c r="N68" i="3"/>
  <c r="N7" i="3"/>
  <c r="N85" i="3"/>
  <c r="N20" i="3"/>
  <c r="N112" i="3"/>
  <c r="N104" i="3"/>
  <c r="N27" i="3"/>
  <c r="N40" i="3"/>
  <c r="N45" i="3"/>
  <c r="O68" i="3"/>
  <c r="O54" i="3"/>
  <c r="O77" i="3"/>
  <c r="O79" i="3"/>
  <c r="O100" i="3"/>
  <c r="O102" i="3"/>
  <c r="O20" i="3"/>
  <c r="O21" i="3"/>
  <c r="O112" i="3"/>
  <c r="O104" i="3"/>
  <c r="O40" i="3"/>
  <c r="O44" i="3"/>
  <c r="P2" i="3"/>
  <c r="P68" i="3"/>
  <c r="P93" i="3"/>
  <c r="P3" i="3"/>
  <c r="P7" i="3"/>
  <c r="P60" i="3"/>
  <c r="P79" i="3"/>
  <c r="P81" i="3"/>
  <c r="P101" i="3"/>
  <c r="P85" i="3"/>
  <c r="P21" i="3"/>
  <c r="P24" i="3"/>
  <c r="P25" i="3"/>
  <c r="P67" i="3"/>
  <c r="P104" i="3"/>
  <c r="P33" i="3"/>
  <c r="P39" i="3"/>
  <c r="P40" i="3"/>
  <c r="P43" i="3"/>
  <c r="Q2" i="3"/>
  <c r="Q68" i="3"/>
  <c r="Q69" i="3"/>
  <c r="Q92" i="3"/>
  <c r="Q93" i="3"/>
  <c r="Q94" i="3"/>
  <c r="Q50" i="3"/>
  <c r="Q3" i="3"/>
  <c r="Q70" i="3"/>
  <c r="Q51" i="3"/>
  <c r="Q4" i="3"/>
  <c r="Q71" i="3"/>
  <c r="Q52" i="3"/>
  <c r="Q105" i="3"/>
  <c r="Q5" i="3"/>
  <c r="Q72" i="3"/>
  <c r="Q6" i="3"/>
  <c r="Q53" i="3"/>
  <c r="Q54" i="3"/>
  <c r="Q55" i="3"/>
  <c r="Q7" i="3"/>
  <c r="Q56" i="3"/>
  <c r="Q57" i="3"/>
  <c r="Q58" i="3"/>
  <c r="Q59" i="3"/>
  <c r="Q95" i="3"/>
  <c r="Q106" i="3"/>
  <c r="Q8" i="3"/>
  <c r="Q96" i="3"/>
  <c r="Q73" i="3"/>
  <c r="Q74" i="3"/>
  <c r="Q107" i="3"/>
  <c r="Q60" i="3"/>
  <c r="Q75" i="3"/>
  <c r="Q89" i="3"/>
  <c r="Q97" i="3"/>
  <c r="Q61" i="3"/>
  <c r="Q76" i="3"/>
  <c r="Q9" i="3"/>
  <c r="Q108" i="3"/>
  <c r="Q90" i="3"/>
  <c r="Q98" i="3"/>
  <c r="Q77" i="3"/>
  <c r="Q10" i="3"/>
  <c r="Q78" i="3"/>
  <c r="Q99" i="3"/>
  <c r="Q79" i="3"/>
  <c r="Q80" i="3"/>
  <c r="Q109" i="3"/>
  <c r="Q110" i="3"/>
  <c r="Q81" i="3"/>
  <c r="Q82" i="3"/>
  <c r="Q91" i="3"/>
  <c r="Q11" i="3"/>
  <c r="Q100" i="3"/>
  <c r="Q12" i="3"/>
  <c r="Q83" i="3"/>
  <c r="Q84" i="3"/>
  <c r="Q13" i="3"/>
  <c r="Q14" i="3"/>
  <c r="Q111" i="3"/>
  <c r="Q62" i="3"/>
  <c r="Q15" i="3"/>
  <c r="Q16" i="3"/>
  <c r="Q17" i="3"/>
  <c r="Q101" i="3"/>
  <c r="Q18" i="3"/>
  <c r="Q63" i="3"/>
  <c r="Q85" i="3"/>
  <c r="Q102" i="3"/>
  <c r="Q19" i="3"/>
  <c r="Q64" i="3"/>
  <c r="Q20" i="3"/>
  <c r="Q65" i="3"/>
  <c r="Q21" i="3"/>
  <c r="Q112" i="3"/>
  <c r="Q66" i="3"/>
  <c r="Q22" i="3"/>
  <c r="Q23" i="3"/>
  <c r="Q24" i="3"/>
  <c r="Q103" i="3"/>
  <c r="Q113" i="3"/>
  <c r="Q25" i="3"/>
  <c r="Q67" i="3"/>
  <c r="Q26" i="3"/>
  <c r="Q86" i="3"/>
  <c r="Q104" i="3"/>
  <c r="Q27" i="3"/>
  <c r="Q28" i="3"/>
  <c r="Q29" i="3"/>
  <c r="Q30" i="3"/>
  <c r="Q31" i="3"/>
  <c r="Q32" i="3"/>
  <c r="Q114" i="3"/>
  <c r="Q87" i="3"/>
  <c r="Q33" i="3"/>
  <c r="Q34" i="3"/>
  <c r="Q88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R2" i="3"/>
  <c r="R68" i="3"/>
  <c r="R69" i="3"/>
  <c r="R92" i="3"/>
  <c r="R93" i="3"/>
  <c r="R94" i="3"/>
  <c r="R50" i="3"/>
  <c r="R3" i="3"/>
  <c r="R70" i="3"/>
  <c r="R51" i="3"/>
  <c r="R4" i="3"/>
  <c r="R71" i="3"/>
  <c r="R52" i="3"/>
  <c r="R105" i="3"/>
  <c r="R5" i="3"/>
  <c r="R72" i="3"/>
  <c r="R6" i="3"/>
  <c r="R53" i="3"/>
  <c r="R54" i="3"/>
  <c r="R55" i="3"/>
  <c r="R7" i="3"/>
  <c r="R56" i="3"/>
  <c r="R57" i="3"/>
  <c r="R58" i="3"/>
  <c r="R59" i="3"/>
  <c r="R95" i="3"/>
  <c r="R106" i="3"/>
  <c r="R8" i="3"/>
  <c r="R96" i="3"/>
  <c r="R73" i="3"/>
  <c r="R74" i="3"/>
  <c r="R107" i="3"/>
  <c r="R60" i="3"/>
  <c r="R75" i="3"/>
  <c r="R89" i="3"/>
  <c r="R97" i="3"/>
  <c r="R61" i="3"/>
  <c r="R76" i="3"/>
  <c r="R9" i="3"/>
  <c r="R108" i="3"/>
  <c r="R90" i="3"/>
  <c r="R98" i="3"/>
  <c r="R77" i="3"/>
  <c r="R10" i="3"/>
  <c r="R78" i="3"/>
  <c r="R99" i="3"/>
  <c r="R79" i="3"/>
  <c r="R80" i="3"/>
  <c r="R109" i="3"/>
  <c r="R110" i="3"/>
  <c r="R81" i="3"/>
  <c r="R82" i="3"/>
  <c r="R91" i="3"/>
  <c r="R11" i="3"/>
  <c r="R100" i="3"/>
  <c r="R12" i="3"/>
  <c r="R83" i="3"/>
  <c r="R84" i="3"/>
  <c r="R13" i="3"/>
  <c r="R14" i="3"/>
  <c r="R111" i="3"/>
  <c r="R62" i="3"/>
  <c r="R15" i="3"/>
  <c r="R16" i="3"/>
  <c r="R17" i="3"/>
  <c r="R101" i="3"/>
  <c r="R18" i="3"/>
  <c r="R63" i="3"/>
  <c r="R85" i="3"/>
  <c r="R102" i="3"/>
  <c r="R19" i="3"/>
  <c r="R64" i="3"/>
  <c r="R20" i="3"/>
  <c r="R65" i="3"/>
  <c r="R21" i="3"/>
  <c r="R112" i="3"/>
  <c r="R66" i="3"/>
  <c r="R22" i="3"/>
  <c r="R23" i="3"/>
  <c r="R24" i="3"/>
  <c r="R103" i="3"/>
  <c r="R113" i="3"/>
  <c r="R25" i="3"/>
  <c r="R67" i="3"/>
  <c r="R26" i="3"/>
  <c r="R86" i="3"/>
  <c r="R104" i="3"/>
  <c r="R27" i="3"/>
  <c r="R28" i="3"/>
  <c r="R29" i="3"/>
  <c r="R30" i="3"/>
  <c r="R31" i="3"/>
  <c r="R32" i="3"/>
  <c r="R114" i="3"/>
  <c r="R87" i="3"/>
  <c r="R33" i="3"/>
  <c r="R34" i="3"/>
  <c r="R88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S2" i="3"/>
  <c r="S68" i="3"/>
  <c r="S69" i="3"/>
  <c r="S92" i="3"/>
  <c r="S93" i="3"/>
  <c r="S94" i="3"/>
  <c r="S50" i="3"/>
  <c r="S3" i="3"/>
  <c r="S70" i="3"/>
  <c r="S51" i="3"/>
  <c r="S4" i="3"/>
  <c r="S71" i="3"/>
  <c r="S52" i="3"/>
  <c r="S105" i="3"/>
  <c r="S5" i="3"/>
  <c r="S72" i="3"/>
  <c r="S6" i="3"/>
  <c r="S53" i="3"/>
  <c r="S54" i="3"/>
  <c r="S55" i="3"/>
  <c r="S7" i="3"/>
  <c r="S56" i="3"/>
  <c r="S57" i="3"/>
  <c r="S58" i="3"/>
  <c r="S59" i="3"/>
  <c r="S95" i="3"/>
  <c r="S106" i="3"/>
  <c r="S8" i="3"/>
  <c r="S96" i="3"/>
  <c r="S73" i="3"/>
  <c r="S74" i="3"/>
  <c r="S107" i="3"/>
  <c r="S60" i="3"/>
  <c r="S75" i="3"/>
  <c r="S89" i="3"/>
  <c r="S97" i="3"/>
  <c r="S61" i="3"/>
  <c r="S76" i="3"/>
  <c r="S9" i="3"/>
  <c r="S108" i="3"/>
  <c r="S90" i="3"/>
  <c r="S98" i="3"/>
  <c r="S77" i="3"/>
  <c r="S10" i="3"/>
  <c r="S78" i="3"/>
  <c r="S99" i="3"/>
  <c r="S79" i="3"/>
  <c r="S80" i="3"/>
  <c r="S109" i="3"/>
  <c r="S110" i="3"/>
  <c r="S81" i="3"/>
  <c r="S82" i="3"/>
  <c r="S91" i="3"/>
  <c r="S11" i="3"/>
  <c r="S100" i="3"/>
  <c r="S12" i="3"/>
  <c r="S83" i="3"/>
  <c r="S84" i="3"/>
  <c r="S13" i="3"/>
  <c r="S14" i="3"/>
  <c r="S111" i="3"/>
  <c r="S62" i="3"/>
  <c r="S15" i="3"/>
  <c r="S16" i="3"/>
  <c r="S17" i="3"/>
  <c r="S101" i="3"/>
  <c r="S18" i="3"/>
  <c r="S63" i="3"/>
  <c r="S85" i="3"/>
  <c r="S102" i="3"/>
  <c r="S19" i="3"/>
  <c r="S64" i="3"/>
  <c r="S20" i="3"/>
  <c r="S65" i="3"/>
  <c r="S21" i="3"/>
  <c r="S112" i="3"/>
  <c r="S66" i="3"/>
  <c r="S22" i="3"/>
  <c r="S23" i="3"/>
  <c r="S24" i="3"/>
  <c r="S103" i="3"/>
  <c r="S113" i="3"/>
  <c r="S25" i="3"/>
  <c r="S67" i="3"/>
  <c r="S26" i="3"/>
  <c r="S86" i="3"/>
  <c r="S104" i="3"/>
  <c r="S27" i="3"/>
  <c r="S28" i="3"/>
  <c r="S29" i="3"/>
  <c r="S30" i="3"/>
  <c r="S31" i="3"/>
  <c r="S32" i="3"/>
  <c r="S114" i="3"/>
  <c r="S87" i="3"/>
  <c r="S33" i="3"/>
  <c r="S34" i="3"/>
  <c r="S88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T2" i="3"/>
  <c r="T68" i="3"/>
  <c r="T4" i="3"/>
  <c r="T89" i="3"/>
  <c r="T9" i="3"/>
  <c r="T108" i="3"/>
  <c r="T80" i="3"/>
  <c r="T109" i="3"/>
  <c r="T14" i="3"/>
  <c r="T19" i="3"/>
  <c r="T65" i="3"/>
  <c r="T21" i="3"/>
  <c r="T67" i="3"/>
  <c r="T104" i="3"/>
  <c r="T39" i="3"/>
  <c r="T44" i="3"/>
  <c r="O65" i="2"/>
  <c r="O48" i="2"/>
  <c r="O6" i="2"/>
  <c r="O24" i="2"/>
  <c r="O71" i="2"/>
  <c r="O73" i="2"/>
  <c r="O30" i="2"/>
  <c r="O74" i="2"/>
  <c r="O38" i="2"/>
  <c r="P55" i="2"/>
  <c r="P27" i="2"/>
  <c r="P75" i="2"/>
  <c r="P64" i="2"/>
  <c r="P74" i="2"/>
  <c r="P35" i="2"/>
  <c r="P11" i="2"/>
  <c r="P13" i="2"/>
  <c r="P91" i="2"/>
  <c r="Q65" i="2"/>
  <c r="Q45" i="2"/>
  <c r="Q2" i="2"/>
  <c r="Q46" i="2"/>
  <c r="Q3" i="2"/>
  <c r="Q47" i="2"/>
  <c r="Q48" i="2"/>
  <c r="Q4" i="2"/>
  <c r="Q49" i="2"/>
  <c r="Q50" i="2"/>
  <c r="Q51" i="2"/>
  <c r="Q5" i="2"/>
  <c r="Q66" i="2"/>
  <c r="Q6" i="2"/>
  <c r="Q52" i="2"/>
  <c r="Q53" i="2"/>
  <c r="Q54" i="2"/>
  <c r="Q55" i="2"/>
  <c r="Q67" i="2"/>
  <c r="Q68" i="2"/>
  <c r="Q22" i="2"/>
  <c r="Q69" i="2"/>
  <c r="Q23" i="2"/>
  <c r="Q56" i="2"/>
  <c r="Q57" i="2"/>
  <c r="Q24" i="2"/>
  <c r="Q58" i="2"/>
  <c r="Q25" i="2"/>
  <c r="Q7" i="2"/>
  <c r="Q26" i="2"/>
  <c r="Q8" i="2"/>
  <c r="Q27" i="2"/>
  <c r="Q75" i="2"/>
  <c r="Q76" i="2"/>
  <c r="Q64" i="2"/>
  <c r="Q70" i="2"/>
  <c r="Q77" i="2"/>
  <c r="Q78" i="2"/>
  <c r="Q59" i="2"/>
  <c r="Q79" i="2"/>
  <c r="Q28" i="2"/>
  <c r="Q71" i="2"/>
  <c r="Q80" i="2"/>
  <c r="Q9" i="2"/>
  <c r="Q29" i="2"/>
  <c r="Q81" i="2"/>
  <c r="Q60" i="2"/>
  <c r="Q72" i="2"/>
  <c r="Q73" i="2"/>
  <c r="Q30" i="2"/>
  <c r="Q74" i="2"/>
  <c r="Q31" i="2"/>
  <c r="Q32" i="2"/>
  <c r="Q33" i="2"/>
  <c r="Q61" i="2"/>
  <c r="Q34" i="2"/>
  <c r="Q10" i="2"/>
  <c r="Q35" i="2"/>
  <c r="Q82" i="2"/>
  <c r="Q36" i="2"/>
  <c r="Q62" i="2"/>
  <c r="Q11" i="2"/>
  <c r="Q83" i="2"/>
  <c r="Q37" i="2"/>
  <c r="Q38" i="2"/>
  <c r="Q84" i="2"/>
  <c r="Q39" i="2"/>
  <c r="Q85" i="2"/>
  <c r="Q40" i="2"/>
  <c r="Q12" i="2"/>
  <c r="Q86" i="2"/>
  <c r="Q63" i="2"/>
  <c r="Q41" i="2"/>
  <c r="Q13" i="2"/>
  <c r="Q87" i="2"/>
  <c r="Q42" i="2"/>
  <c r="Q88" i="2"/>
  <c r="Q14" i="2"/>
  <c r="Q89" i="2"/>
  <c r="Q43" i="2"/>
  <c r="Q90" i="2"/>
  <c r="Q91" i="2"/>
  <c r="Q44" i="2"/>
  <c r="Q15" i="2"/>
  <c r="Q92" i="2"/>
  <c r="Q16" i="2"/>
  <c r="Q93" i="2"/>
  <c r="Q94" i="2"/>
  <c r="Q17" i="2"/>
  <c r="Q18" i="2"/>
  <c r="Q19" i="2"/>
  <c r="Q20" i="2"/>
  <c r="Q21" i="2"/>
  <c r="R65" i="2"/>
  <c r="R45" i="2"/>
  <c r="R2" i="2"/>
  <c r="R46" i="2"/>
  <c r="R3" i="2"/>
  <c r="R47" i="2"/>
  <c r="R48" i="2"/>
  <c r="R4" i="2"/>
  <c r="R49" i="2"/>
  <c r="R50" i="2"/>
  <c r="R51" i="2"/>
  <c r="R5" i="2"/>
  <c r="R66" i="2"/>
  <c r="R6" i="2"/>
  <c r="R52" i="2"/>
  <c r="R53" i="2"/>
  <c r="R54" i="2"/>
  <c r="R55" i="2"/>
  <c r="R67" i="2"/>
  <c r="R68" i="2"/>
  <c r="R22" i="2"/>
  <c r="R69" i="2"/>
  <c r="R23" i="2"/>
  <c r="R56" i="2"/>
  <c r="R57" i="2"/>
  <c r="R24" i="2"/>
  <c r="R58" i="2"/>
  <c r="R25" i="2"/>
  <c r="R7" i="2"/>
  <c r="R26" i="2"/>
  <c r="R8" i="2"/>
  <c r="R27" i="2"/>
  <c r="R75" i="2"/>
  <c r="R76" i="2"/>
  <c r="R64" i="2"/>
  <c r="R70" i="2"/>
  <c r="R77" i="2"/>
  <c r="R78" i="2"/>
  <c r="R59" i="2"/>
  <c r="R79" i="2"/>
  <c r="R28" i="2"/>
  <c r="R71" i="2"/>
  <c r="R80" i="2"/>
  <c r="R9" i="2"/>
  <c r="R29" i="2"/>
  <c r="R81" i="2"/>
  <c r="R60" i="2"/>
  <c r="R72" i="2"/>
  <c r="R73" i="2"/>
  <c r="R30" i="2"/>
  <c r="R74" i="2"/>
  <c r="R31" i="2"/>
  <c r="R32" i="2"/>
  <c r="R33" i="2"/>
  <c r="R61" i="2"/>
  <c r="R34" i="2"/>
  <c r="R10" i="2"/>
  <c r="R35" i="2"/>
  <c r="R82" i="2"/>
  <c r="R36" i="2"/>
  <c r="R62" i="2"/>
  <c r="R11" i="2"/>
  <c r="R83" i="2"/>
  <c r="R37" i="2"/>
  <c r="R38" i="2"/>
  <c r="R84" i="2"/>
  <c r="R39" i="2"/>
  <c r="R85" i="2"/>
  <c r="R40" i="2"/>
  <c r="R12" i="2"/>
  <c r="R86" i="2"/>
  <c r="R63" i="2"/>
  <c r="R41" i="2"/>
  <c r="R13" i="2"/>
  <c r="R87" i="2"/>
  <c r="R42" i="2"/>
  <c r="R88" i="2"/>
  <c r="R14" i="2"/>
  <c r="R89" i="2"/>
  <c r="R43" i="2"/>
  <c r="R90" i="2"/>
  <c r="R91" i="2"/>
  <c r="R44" i="2"/>
  <c r="R15" i="2"/>
  <c r="R92" i="2"/>
  <c r="R16" i="2"/>
  <c r="R93" i="2"/>
  <c r="R94" i="2"/>
  <c r="R17" i="2"/>
  <c r="R18" i="2"/>
  <c r="R19" i="2"/>
  <c r="R20" i="2"/>
  <c r="R21" i="2"/>
  <c r="S65" i="2"/>
  <c r="S45" i="2"/>
  <c r="S2" i="2"/>
  <c r="S46" i="2"/>
  <c r="S3" i="2"/>
  <c r="S47" i="2"/>
  <c r="S48" i="2"/>
  <c r="S4" i="2"/>
  <c r="S49" i="2"/>
  <c r="S50" i="2"/>
  <c r="S51" i="2"/>
  <c r="S5" i="2"/>
  <c r="S66" i="2"/>
  <c r="S6" i="2"/>
  <c r="S52" i="2"/>
  <c r="S53" i="2"/>
  <c r="S54" i="2"/>
  <c r="S55" i="2"/>
  <c r="S67" i="2"/>
  <c r="S68" i="2"/>
  <c r="S22" i="2"/>
  <c r="S69" i="2"/>
  <c r="S23" i="2"/>
  <c r="S56" i="2"/>
  <c r="S57" i="2"/>
  <c r="S24" i="2"/>
  <c r="S58" i="2"/>
  <c r="S25" i="2"/>
  <c r="S7" i="2"/>
  <c r="S26" i="2"/>
  <c r="S8" i="2"/>
  <c r="S27" i="2"/>
  <c r="S75" i="2"/>
  <c r="S76" i="2"/>
  <c r="S64" i="2"/>
  <c r="S70" i="2"/>
  <c r="S77" i="2"/>
  <c r="S78" i="2"/>
  <c r="S59" i="2"/>
  <c r="S79" i="2"/>
  <c r="S28" i="2"/>
  <c r="S71" i="2"/>
  <c r="S80" i="2"/>
  <c r="S9" i="2"/>
  <c r="S29" i="2"/>
  <c r="S81" i="2"/>
  <c r="S60" i="2"/>
  <c r="S72" i="2"/>
  <c r="S73" i="2"/>
  <c r="S30" i="2"/>
  <c r="S74" i="2"/>
  <c r="S31" i="2"/>
  <c r="S32" i="2"/>
  <c r="S33" i="2"/>
  <c r="S61" i="2"/>
  <c r="S34" i="2"/>
  <c r="S10" i="2"/>
  <c r="S35" i="2"/>
  <c r="S82" i="2"/>
  <c r="S36" i="2"/>
  <c r="S62" i="2"/>
  <c r="S11" i="2"/>
  <c r="S83" i="2"/>
  <c r="S37" i="2"/>
  <c r="S38" i="2"/>
  <c r="S84" i="2"/>
  <c r="S39" i="2"/>
  <c r="S85" i="2"/>
  <c r="S40" i="2"/>
  <c r="S12" i="2"/>
  <c r="S86" i="2"/>
  <c r="S63" i="2"/>
  <c r="S41" i="2"/>
  <c r="S13" i="2"/>
  <c r="S87" i="2"/>
  <c r="S42" i="2"/>
  <c r="S88" i="2"/>
  <c r="S14" i="2"/>
  <c r="S89" i="2"/>
  <c r="S43" i="2"/>
  <c r="S90" i="2"/>
  <c r="S91" i="2"/>
  <c r="S44" i="2"/>
  <c r="S15" i="2"/>
  <c r="S92" i="2"/>
  <c r="S16" i="2"/>
  <c r="S93" i="2"/>
  <c r="S94" i="2"/>
  <c r="S17" i="2"/>
  <c r="S18" i="2"/>
  <c r="S19" i="2"/>
  <c r="S20" i="2"/>
  <c r="S21" i="2"/>
  <c r="T45" i="2"/>
  <c r="T51" i="2"/>
  <c r="T6" i="2"/>
  <c r="T67" i="2"/>
  <c r="T61" i="2"/>
  <c r="T11" i="2"/>
  <c r="T13" i="2"/>
  <c r="T19" i="2"/>
  <c r="Y230" i="4"/>
  <c r="Y267" i="4"/>
  <c r="C1" i="12" a="1"/>
  <c r="C1" i="12" s="1"/>
  <c r="C1" i="11" a="1"/>
  <c r="C1" i="11" s="1"/>
  <c r="C1" i="9" a="1"/>
  <c r="C1" i="9" s="1"/>
  <c r="O78" i="3" l="1"/>
  <c r="O99" i="3"/>
  <c r="O184" i="4"/>
  <c r="N14" i="2"/>
  <c r="O84" i="3"/>
  <c r="N84" i="3"/>
  <c r="O56" i="4"/>
  <c r="N56" i="4"/>
  <c r="N275" i="4"/>
  <c r="P275" i="4"/>
  <c r="N199" i="4"/>
  <c r="P199" i="4"/>
  <c r="I16" i="2"/>
  <c r="P16" i="2" s="1"/>
  <c r="H204" i="4"/>
  <c r="H53" i="3"/>
  <c r="H84" i="4"/>
  <c r="H205" i="4"/>
  <c r="H261" i="4"/>
  <c r="M10" i="4"/>
  <c r="T10" i="4" s="1"/>
  <c r="H16" i="2"/>
  <c r="N13" i="2"/>
  <c r="I34" i="2"/>
  <c r="P34" i="2" s="1"/>
  <c r="H8" i="3"/>
  <c r="H61" i="3"/>
  <c r="M61" i="3"/>
  <c r="T61" i="3" s="1"/>
  <c r="I245" i="4"/>
  <c r="P245" i="4" s="1"/>
  <c r="M184" i="4"/>
  <c r="T184" i="4" s="1"/>
  <c r="I36" i="2"/>
  <c r="P36" i="2" s="1"/>
  <c r="N67" i="3"/>
  <c r="H105" i="4"/>
  <c r="H278" i="4"/>
  <c r="M123" i="4"/>
  <c r="T123" i="4" s="1"/>
  <c r="O14" i="2"/>
  <c r="N10" i="2"/>
  <c r="P105" i="3"/>
  <c r="H23" i="2"/>
  <c r="O23" i="2" s="1"/>
  <c r="I37" i="2"/>
  <c r="P37" i="2" s="1"/>
  <c r="H10" i="4"/>
  <c r="N10" i="4" s="1"/>
  <c r="H223" i="4"/>
  <c r="O223" i="4" s="1"/>
  <c r="N30" i="2"/>
  <c r="O215" i="4"/>
  <c r="H76" i="2"/>
  <c r="O76" i="2" s="1"/>
  <c r="H11" i="4"/>
  <c r="O11" i="4" s="1"/>
  <c r="H284" i="4"/>
  <c r="O284" i="4" s="1"/>
  <c r="I184" i="4"/>
  <c r="P184" i="4" s="1"/>
  <c r="M38" i="4"/>
  <c r="T38" i="4" s="1"/>
  <c r="M258" i="4"/>
  <c r="T258" i="4" s="1"/>
  <c r="I45" i="2"/>
  <c r="P45" i="2" s="1"/>
  <c r="H24" i="3"/>
  <c r="I8" i="3"/>
  <c r="P8" i="3" s="1"/>
  <c r="I78" i="3"/>
  <c r="P78" i="3" s="1"/>
  <c r="H181" i="4"/>
  <c r="O181" i="4" s="1"/>
  <c r="M261" i="4"/>
  <c r="T261" i="4" s="1"/>
  <c r="M78" i="3"/>
  <c r="T78" i="3" s="1"/>
  <c r="M45" i="4"/>
  <c r="T45" i="4" s="1"/>
  <c r="M143" i="4"/>
  <c r="T143" i="4" s="1"/>
  <c r="M263" i="4"/>
  <c r="T263" i="4" s="1"/>
  <c r="O108" i="3"/>
  <c r="H123" i="4"/>
  <c r="O123" i="4" s="1"/>
  <c r="I24" i="4"/>
  <c r="P24" i="4" s="1"/>
  <c r="M201" i="4"/>
  <c r="T201" i="4" s="1"/>
  <c r="M265" i="4"/>
  <c r="T265" i="4" s="1"/>
  <c r="O59" i="3"/>
  <c r="P175" i="4"/>
  <c r="H34" i="2"/>
  <c r="I4" i="2"/>
  <c r="P4" i="2" s="1"/>
  <c r="M36" i="2"/>
  <c r="T36" i="2" s="1"/>
  <c r="H28" i="3"/>
  <c r="I84" i="3"/>
  <c r="P84" i="3" s="1"/>
  <c r="M84" i="3"/>
  <c r="T84" i="3" s="1"/>
  <c r="I118" i="4"/>
  <c r="P118" i="4" s="1"/>
  <c r="M270" i="4"/>
  <c r="T270" i="4" s="1"/>
  <c r="N237" i="4"/>
  <c r="N197" i="4"/>
  <c r="N267" i="4"/>
  <c r="M204" i="4"/>
  <c r="T204" i="4" s="1"/>
  <c r="N65" i="2"/>
  <c r="O210" i="4"/>
  <c r="O179" i="4"/>
  <c r="I6" i="2"/>
  <c r="I28" i="3"/>
  <c r="P28" i="3" s="1"/>
  <c r="I89" i="3"/>
  <c r="P89" i="3" s="1"/>
  <c r="M97" i="3"/>
  <c r="T97" i="3" s="1"/>
  <c r="H45" i="4"/>
  <c r="H143" i="4"/>
  <c r="N143" i="4" s="1"/>
  <c r="M64" i="4"/>
  <c r="T64" i="4" s="1"/>
  <c r="M156" i="4"/>
  <c r="T156" i="4" s="1"/>
  <c r="M205" i="4"/>
  <c r="T205" i="4" s="1"/>
  <c r="M276" i="4"/>
  <c r="T276" i="4" s="1"/>
  <c r="N109" i="3"/>
  <c r="I9" i="2"/>
  <c r="P9" i="2" s="1"/>
  <c r="I97" i="3"/>
  <c r="P97" i="3" s="1"/>
  <c r="M98" i="3"/>
  <c r="T98" i="3" s="1"/>
  <c r="H49" i="4"/>
  <c r="O49" i="4" s="1"/>
  <c r="I138" i="4"/>
  <c r="P138" i="4" s="1"/>
  <c r="I215" i="4"/>
  <c r="P215" i="4" s="1"/>
  <c r="M278" i="4"/>
  <c r="T278" i="4" s="1"/>
  <c r="O58" i="3"/>
  <c r="I67" i="2"/>
  <c r="P67" i="2" s="1"/>
  <c r="H41" i="3"/>
  <c r="H89" i="3"/>
  <c r="I98" i="3"/>
  <c r="M99" i="3"/>
  <c r="T99" i="3" s="1"/>
  <c r="I38" i="4"/>
  <c r="P38" i="4" s="1"/>
  <c r="I217" i="4"/>
  <c r="N258" i="4"/>
  <c r="H45" i="2"/>
  <c r="O45" i="2" s="1"/>
  <c r="H43" i="3"/>
  <c r="I36" i="3"/>
  <c r="I99" i="3"/>
  <c r="P99" i="3" s="1"/>
  <c r="M41" i="3"/>
  <c r="T41" i="3" s="1"/>
  <c r="H64" i="4"/>
  <c r="H149" i="4"/>
  <c r="O149" i="4" s="1"/>
  <c r="M93" i="4"/>
  <c r="T93" i="4" s="1"/>
  <c r="M171" i="4"/>
  <c r="T171" i="4" s="1"/>
  <c r="I77" i="2"/>
  <c r="P77" i="2" s="1"/>
  <c r="M43" i="3"/>
  <c r="T43" i="3" s="1"/>
  <c r="H67" i="4"/>
  <c r="O67" i="4" s="1"/>
  <c r="I221" i="4"/>
  <c r="P221" i="4" s="1"/>
  <c r="N48" i="3"/>
  <c r="I85" i="2"/>
  <c r="H69" i="4"/>
  <c r="O69" i="4" s="1"/>
  <c r="H156" i="4"/>
  <c r="I224" i="4"/>
  <c r="P224" i="4" s="1"/>
  <c r="P39" i="2"/>
  <c r="N39" i="2"/>
  <c r="O18" i="3"/>
  <c r="O39" i="3"/>
  <c r="N39" i="3"/>
  <c r="O15" i="4"/>
  <c r="O75" i="4"/>
  <c r="O12" i="2"/>
  <c r="N12" i="2"/>
  <c r="N16" i="4"/>
  <c r="O16" i="4"/>
  <c r="P216" i="4"/>
  <c r="O17" i="4"/>
  <c r="N17" i="4"/>
  <c r="O178" i="4"/>
  <c r="O136" i="4"/>
  <c r="O77" i="4"/>
  <c r="O137" i="4"/>
  <c r="N137" i="4"/>
  <c r="O13" i="3"/>
  <c r="M3" i="2"/>
  <c r="T3" i="2" s="1"/>
  <c r="H85" i="4"/>
  <c r="I55" i="4"/>
  <c r="P55" i="4" s="1"/>
  <c r="M95" i="4"/>
  <c r="T95" i="4" s="1"/>
  <c r="I29" i="3"/>
  <c r="P29" i="3" s="1"/>
  <c r="N145" i="4"/>
  <c r="H277" i="4"/>
  <c r="H95" i="4"/>
  <c r="I57" i="4"/>
  <c r="P57" i="4" s="1"/>
  <c r="N283" i="4"/>
  <c r="H60" i="2"/>
  <c r="M107" i="3"/>
  <c r="T107" i="3" s="1"/>
  <c r="I58" i="4"/>
  <c r="P58" i="4" s="1"/>
  <c r="I178" i="4"/>
  <c r="P178" i="4" s="1"/>
  <c r="M157" i="4"/>
  <c r="T157" i="4" s="1"/>
  <c r="M257" i="4"/>
  <c r="T257" i="4" s="1"/>
  <c r="I277" i="4"/>
  <c r="P277" i="4" s="1"/>
  <c r="H64" i="2"/>
  <c r="O64" i="2" s="1"/>
  <c r="H157" i="4"/>
  <c r="I65" i="4"/>
  <c r="P65" i="4" s="1"/>
  <c r="M259" i="4"/>
  <c r="T259" i="4" s="1"/>
  <c r="H238" i="4"/>
  <c r="M115" i="4"/>
  <c r="T115" i="4" s="1"/>
  <c r="H29" i="3"/>
  <c r="I238" i="4"/>
  <c r="P238" i="4" s="1"/>
  <c r="I88" i="3"/>
  <c r="P88" i="3" s="1"/>
  <c r="H55" i="4"/>
  <c r="I75" i="4"/>
  <c r="P75" i="4" s="1"/>
  <c r="I135" i="4"/>
  <c r="P135" i="4" s="1"/>
  <c r="I185" i="4"/>
  <c r="P185" i="4" s="1"/>
  <c r="I241" i="4"/>
  <c r="P241" i="4" s="1"/>
  <c r="M165" i="4"/>
  <c r="T165" i="4" s="1"/>
  <c r="N3" i="3"/>
  <c r="N144" i="4"/>
  <c r="H32" i="2"/>
  <c r="O32" i="2" s="1"/>
  <c r="I60" i="2"/>
  <c r="P60" i="2" s="1"/>
  <c r="M72" i="2"/>
  <c r="T72" i="2" s="1"/>
  <c r="H38" i="3"/>
  <c r="O38" i="3" s="1"/>
  <c r="H69" i="3"/>
  <c r="H113" i="3"/>
  <c r="O113" i="3" s="1"/>
  <c r="I47" i="3"/>
  <c r="P47" i="3" s="1"/>
  <c r="I92" i="3"/>
  <c r="P92" i="3" s="1"/>
  <c r="H163" i="4"/>
  <c r="O163" i="4" s="1"/>
  <c r="I5" i="4"/>
  <c r="P5" i="4" s="1"/>
  <c r="I136" i="4"/>
  <c r="P136" i="4" s="1"/>
  <c r="I244" i="4"/>
  <c r="P244" i="4" s="1"/>
  <c r="M12" i="2"/>
  <c r="T12" i="2" s="1"/>
  <c r="M71" i="2"/>
  <c r="T71" i="2" s="1"/>
  <c r="I61" i="2"/>
  <c r="P61" i="2" s="1"/>
  <c r="M76" i="3"/>
  <c r="T76" i="3" s="1"/>
  <c r="H57" i="4"/>
  <c r="O57" i="4" s="1"/>
  <c r="H115" i="4"/>
  <c r="O115" i="4" s="1"/>
  <c r="H249" i="4"/>
  <c r="O249" i="4" s="1"/>
  <c r="I15" i="4"/>
  <c r="P15" i="4" s="1"/>
  <c r="I77" i="4"/>
  <c r="P77" i="4" s="1"/>
  <c r="I137" i="4"/>
  <c r="P137" i="4" s="1"/>
  <c r="M4" i="4"/>
  <c r="T4" i="4" s="1"/>
  <c r="M216" i="4"/>
  <c r="T216" i="4" s="1"/>
  <c r="M264" i="4"/>
  <c r="T264" i="4" s="1"/>
  <c r="H72" i="2"/>
  <c r="I25" i="2"/>
  <c r="P25" i="2" s="1"/>
  <c r="N79" i="3"/>
  <c r="H5" i="4"/>
  <c r="O5" i="4" s="1"/>
  <c r="I17" i="4"/>
  <c r="P17" i="4" s="1"/>
  <c r="I50" i="2"/>
  <c r="P50" i="2" s="1"/>
  <c r="P56" i="2"/>
  <c r="I49" i="3"/>
  <c r="P49" i="3" s="1"/>
  <c r="H58" i="4"/>
  <c r="N58" i="4" s="1"/>
  <c r="M25" i="2"/>
  <c r="T25" i="2" s="1"/>
  <c r="H7" i="4"/>
  <c r="H65" i="4"/>
  <c r="I85" i="4"/>
  <c r="P85" i="4" s="1"/>
  <c r="M86" i="2"/>
  <c r="T86" i="2" s="1"/>
  <c r="H257" i="4"/>
  <c r="I25" i="4"/>
  <c r="P25" i="4" s="1"/>
  <c r="M15" i="4"/>
  <c r="T15" i="4" s="1"/>
  <c r="M75" i="4"/>
  <c r="T75" i="4" s="1"/>
  <c r="N59" i="2"/>
  <c r="H41" i="2"/>
  <c r="N41" i="2" s="1"/>
  <c r="I32" i="2"/>
  <c r="I9" i="3"/>
  <c r="P9" i="3" s="1"/>
  <c r="N65" i="3"/>
  <c r="M87" i="3"/>
  <c r="T87" i="3" s="1"/>
  <c r="M16" i="4"/>
  <c r="T16" i="4" s="1"/>
  <c r="M178" i="4"/>
  <c r="T178" i="4" s="1"/>
  <c r="H81" i="2"/>
  <c r="H9" i="3"/>
  <c r="H47" i="3"/>
  <c r="I13" i="3"/>
  <c r="P13" i="3" s="1"/>
  <c r="M92" i="3"/>
  <c r="T92" i="3" s="1"/>
  <c r="H216" i="4"/>
  <c r="O216" i="4" s="1"/>
  <c r="H259" i="4"/>
  <c r="O259" i="4" s="1"/>
  <c r="M17" i="4"/>
  <c r="T17" i="4" s="1"/>
  <c r="M77" i="4"/>
  <c r="T77" i="4" s="1"/>
  <c r="M135" i="4"/>
  <c r="T135" i="4" s="1"/>
  <c r="N70" i="2"/>
  <c r="O53" i="2"/>
  <c r="I81" i="2"/>
  <c r="P81" i="2" s="1"/>
  <c r="H88" i="3"/>
  <c r="I18" i="3"/>
  <c r="P18" i="3" s="1"/>
  <c r="M93" i="3"/>
  <c r="T93" i="3" s="1"/>
  <c r="H130" i="4"/>
  <c r="M136" i="4"/>
  <c r="T136" i="4" s="1"/>
  <c r="O101" i="3"/>
  <c r="H47" i="2"/>
  <c r="O47" i="2" s="1"/>
  <c r="M38" i="2"/>
  <c r="T38" i="2" s="1"/>
  <c r="H49" i="3"/>
  <c r="M90" i="4"/>
  <c r="T90" i="4" s="1"/>
  <c r="M137" i="4"/>
  <c r="T137" i="4" s="1"/>
  <c r="H264" i="4"/>
  <c r="I104" i="4"/>
  <c r="I219" i="4"/>
  <c r="P219" i="4" s="1"/>
  <c r="M25" i="4"/>
  <c r="T25" i="4" s="1"/>
  <c r="I70" i="2"/>
  <c r="P70" i="2" s="1"/>
  <c r="H50" i="2"/>
  <c r="I38" i="2"/>
  <c r="P38" i="2" s="1"/>
  <c r="I69" i="3"/>
  <c r="P69" i="3" s="1"/>
  <c r="N76" i="3"/>
  <c r="H51" i="2"/>
  <c r="O51" i="2" s="1"/>
  <c r="H93" i="3"/>
  <c r="I76" i="3"/>
  <c r="P76" i="3" s="1"/>
  <c r="H141" i="4"/>
  <c r="O141" i="4" s="1"/>
  <c r="M84" i="2"/>
  <c r="T84" i="2" s="1"/>
  <c r="M7" i="2"/>
  <c r="T7" i="2" s="1"/>
  <c r="H7" i="2"/>
  <c r="H79" i="2"/>
  <c r="M79" i="2"/>
  <c r="T79" i="2" s="1"/>
  <c r="O195" i="4"/>
  <c r="M52" i="2"/>
  <c r="T52" i="2" s="1"/>
  <c r="I52" i="2"/>
  <c r="P52" i="2" s="1"/>
  <c r="H265" i="4"/>
  <c r="N265" i="4" s="1"/>
  <c r="H36" i="4"/>
  <c r="N36" i="4" s="1"/>
  <c r="H269" i="4"/>
  <c r="O269" i="4" s="1"/>
  <c r="I46" i="2"/>
  <c r="P46" i="2" s="1"/>
  <c r="O135" i="4"/>
  <c r="N115" i="4"/>
  <c r="P115" i="4"/>
  <c r="O198" i="4"/>
  <c r="M198" i="4"/>
  <c r="T198" i="4" s="1"/>
  <c r="I198" i="4"/>
  <c r="P198" i="4" s="1"/>
  <c r="M61" i="4"/>
  <c r="T61" i="4" s="1"/>
  <c r="I64" i="3"/>
  <c r="P64" i="3" s="1"/>
  <c r="N125" i="4"/>
  <c r="H19" i="3"/>
  <c r="O19" i="3" s="1"/>
  <c r="H75" i="2"/>
  <c r="N75" i="2" s="1"/>
  <c r="I21" i="2"/>
  <c r="P21" i="2" s="1"/>
  <c r="H61" i="4"/>
  <c r="O61" i="4" s="1"/>
  <c r="M125" i="4"/>
  <c r="T125" i="4" s="1"/>
  <c r="M70" i="4"/>
  <c r="T70" i="4" s="1"/>
  <c r="I19" i="3"/>
  <c r="P19" i="3" s="1"/>
  <c r="H243" i="4"/>
  <c r="O243" i="4" s="1"/>
  <c r="O263" i="4"/>
  <c r="I26" i="2"/>
  <c r="H70" i="4"/>
  <c r="H125" i="4"/>
  <c r="O125" i="4" s="1"/>
  <c r="I4" i="4"/>
  <c r="P4" i="4" s="1"/>
  <c r="H21" i="2"/>
  <c r="H29" i="4"/>
  <c r="O29" i="4" s="1"/>
  <c r="I107" i="3"/>
  <c r="P107" i="3" s="1"/>
  <c r="M75" i="2"/>
  <c r="T75" i="2" s="1"/>
  <c r="M243" i="4"/>
  <c r="T243" i="4" s="1"/>
  <c r="M26" i="2"/>
  <c r="T26" i="2" s="1"/>
  <c r="M47" i="2"/>
  <c r="T47" i="2" s="1"/>
  <c r="H103" i="3"/>
  <c r="M78" i="2"/>
  <c r="T78" i="2" s="1"/>
  <c r="M44" i="4"/>
  <c r="T44" i="4" s="1"/>
  <c r="O46" i="2"/>
  <c r="M46" i="2"/>
  <c r="T46" i="2" s="1"/>
  <c r="H44" i="4"/>
  <c r="O44" i="4" s="1"/>
  <c r="M225" i="4"/>
  <c r="T225" i="4" s="1"/>
  <c r="H225" i="4"/>
  <c r="M29" i="2"/>
  <c r="T29" i="2" s="1"/>
  <c r="O18" i="2"/>
  <c r="O208" i="4"/>
  <c r="O31" i="4"/>
  <c r="N37" i="2"/>
  <c r="O37" i="2"/>
  <c r="N77" i="2"/>
  <c r="O77" i="2"/>
  <c r="I39" i="4"/>
  <c r="P39" i="4" s="1"/>
  <c r="H39" i="4"/>
  <c r="M39" i="4"/>
  <c r="T39" i="4" s="1"/>
  <c r="M160" i="4"/>
  <c r="T160" i="4" s="1"/>
  <c r="H160" i="4"/>
  <c r="P267" i="4"/>
  <c r="M8" i="4"/>
  <c r="T8" i="4" s="1"/>
  <c r="H8" i="4"/>
  <c r="I8" i="4"/>
  <c r="P8" i="4" s="1"/>
  <c r="O89" i="2"/>
  <c r="N5" i="2"/>
  <c r="N51" i="2"/>
  <c r="P37" i="4"/>
  <c r="M43" i="2"/>
  <c r="T43" i="2" s="1"/>
  <c r="H43" i="2"/>
  <c r="I43" i="2"/>
  <c r="P43" i="2" s="1"/>
  <c r="H63" i="2"/>
  <c r="I63" i="2"/>
  <c r="P63" i="2" s="1"/>
  <c r="M63" i="2"/>
  <c r="T63" i="2" s="1"/>
  <c r="M83" i="2"/>
  <c r="T83" i="2" s="1"/>
  <c r="H83" i="2"/>
  <c r="H120" i="4"/>
  <c r="O265" i="4"/>
  <c r="I222" i="4"/>
  <c r="P222" i="4" s="1"/>
  <c r="H51" i="3"/>
  <c r="N51" i="3" s="1"/>
  <c r="M51" i="3"/>
  <c r="T51" i="3" s="1"/>
  <c r="I51" i="3"/>
  <c r="P51" i="3" s="1"/>
  <c r="I19" i="4"/>
  <c r="P19" i="4" s="1"/>
  <c r="H19" i="4"/>
  <c r="M19" i="4"/>
  <c r="T19" i="4" s="1"/>
  <c r="M40" i="4"/>
  <c r="T40" i="4" s="1"/>
  <c r="I40" i="4"/>
  <c r="P40" i="4" s="1"/>
  <c r="H40" i="4"/>
  <c r="O40" i="4" s="1"/>
  <c r="P65" i="3"/>
  <c r="N36" i="2"/>
  <c r="I23" i="2"/>
  <c r="I83" i="2"/>
  <c r="P83" i="2" s="1"/>
  <c r="M28" i="2"/>
  <c r="T28" i="2" s="1"/>
  <c r="M10" i="3"/>
  <c r="T10" i="3" s="1"/>
  <c r="H10" i="3"/>
  <c r="M30" i="3"/>
  <c r="T30" i="3" s="1"/>
  <c r="H30" i="3"/>
  <c r="M50" i="3"/>
  <c r="T50" i="3" s="1"/>
  <c r="I50" i="3"/>
  <c r="M70" i="3"/>
  <c r="T70" i="3" s="1"/>
  <c r="I70" i="3"/>
  <c r="P70" i="3" s="1"/>
  <c r="H70" i="3"/>
  <c r="M90" i="3"/>
  <c r="T90" i="3" s="1"/>
  <c r="H90" i="3"/>
  <c r="M110" i="3"/>
  <c r="T110" i="3" s="1"/>
  <c r="I110" i="3"/>
  <c r="P110" i="3" s="1"/>
  <c r="H110" i="3"/>
  <c r="N98" i="3"/>
  <c r="P98" i="3"/>
  <c r="O19" i="2"/>
  <c r="M102" i="4"/>
  <c r="T102" i="4" s="1"/>
  <c r="H102" i="4"/>
  <c r="M242" i="4"/>
  <c r="T242" i="4" s="1"/>
  <c r="H242" i="4"/>
  <c r="I242" i="4"/>
  <c r="P242" i="4" s="1"/>
  <c r="M282" i="4"/>
  <c r="T282" i="4" s="1"/>
  <c r="I282" i="4"/>
  <c r="P282" i="4" s="1"/>
  <c r="O238" i="4"/>
  <c r="N238" i="4"/>
  <c r="H49" i="2"/>
  <c r="M49" i="2"/>
  <c r="T49" i="2" s="1"/>
  <c r="M69" i="2"/>
  <c r="T69" i="2" s="1"/>
  <c r="I69" i="2"/>
  <c r="P69" i="2" s="1"/>
  <c r="I89" i="2"/>
  <c r="P89" i="2" s="1"/>
  <c r="M89" i="2"/>
  <c r="T89" i="2" s="1"/>
  <c r="P2" i="2"/>
  <c r="I28" i="2"/>
  <c r="P28" i="2" s="1"/>
  <c r="H15" i="3"/>
  <c r="I15" i="3"/>
  <c r="P15" i="3" s="1"/>
  <c r="H35" i="3"/>
  <c r="I35" i="3"/>
  <c r="P35" i="3" s="1"/>
  <c r="M35" i="3"/>
  <c r="T35" i="3" s="1"/>
  <c r="H55" i="3"/>
  <c r="I55" i="3"/>
  <c r="P55" i="3" s="1"/>
  <c r="H75" i="3"/>
  <c r="I75" i="3"/>
  <c r="P75" i="3" s="1"/>
  <c r="M75" i="3"/>
  <c r="T75" i="3" s="1"/>
  <c r="H95" i="3"/>
  <c r="I95" i="3"/>
  <c r="P95" i="3" s="1"/>
  <c r="M95" i="3"/>
  <c r="T95" i="3" s="1"/>
  <c r="I3" i="4"/>
  <c r="M3" i="4"/>
  <c r="T3" i="4" s="1"/>
  <c r="H3" i="4"/>
  <c r="I23" i="4"/>
  <c r="H23" i="4"/>
  <c r="O23" i="4" s="1"/>
  <c r="I43" i="4"/>
  <c r="P43" i="4" s="1"/>
  <c r="M43" i="4"/>
  <c r="T43" i="4" s="1"/>
  <c r="I63" i="4"/>
  <c r="P63" i="4" s="1"/>
  <c r="M63" i="4"/>
  <c r="T63" i="4" s="1"/>
  <c r="H63" i="4"/>
  <c r="I83" i="4"/>
  <c r="P83" i="4" s="1"/>
  <c r="M83" i="4"/>
  <c r="T83" i="4" s="1"/>
  <c r="I103" i="4"/>
  <c r="P103" i="4" s="1"/>
  <c r="H103" i="4"/>
  <c r="O239" i="4"/>
  <c r="N239" i="4"/>
  <c r="H8" i="2"/>
  <c r="M8" i="2"/>
  <c r="T8" i="2" s="1"/>
  <c r="O28" i="2"/>
  <c r="H68" i="2"/>
  <c r="M68" i="2"/>
  <c r="T68" i="2" s="1"/>
  <c r="I68" i="2"/>
  <c r="P68" i="2" s="1"/>
  <c r="H88" i="2"/>
  <c r="I88" i="2"/>
  <c r="P88" i="2" s="1"/>
  <c r="M88" i="2"/>
  <c r="T88" i="2" s="1"/>
  <c r="O37" i="3"/>
  <c r="N37" i="3"/>
  <c r="I42" i="4"/>
  <c r="P42" i="4" s="1"/>
  <c r="M42" i="4"/>
  <c r="T42" i="4" s="1"/>
  <c r="H42" i="4"/>
  <c r="O42" i="4" s="1"/>
  <c r="M82" i="4"/>
  <c r="T82" i="4" s="1"/>
  <c r="I82" i="4"/>
  <c r="M142" i="4"/>
  <c r="T142" i="4" s="1"/>
  <c r="I142" i="4"/>
  <c r="M162" i="4"/>
  <c r="T162" i="4" s="1"/>
  <c r="H162" i="4"/>
  <c r="I162" i="4"/>
  <c r="P162" i="4" s="1"/>
  <c r="M202" i="4"/>
  <c r="T202" i="4" s="1"/>
  <c r="H202" i="4"/>
  <c r="I202" i="4"/>
  <c r="P202" i="4" s="1"/>
  <c r="M262" i="4"/>
  <c r="T262" i="4" s="1"/>
  <c r="I262" i="4"/>
  <c r="P262" i="4" s="1"/>
  <c r="H262" i="4"/>
  <c r="O262" i="4" s="1"/>
  <c r="O35" i="2"/>
  <c r="P100" i="3"/>
  <c r="O170" i="4"/>
  <c r="N110" i="4"/>
  <c r="I3" i="2"/>
  <c r="P3" i="2" s="1"/>
  <c r="I29" i="2"/>
  <c r="P29" i="2" s="1"/>
  <c r="M77" i="3"/>
  <c r="T77" i="3" s="1"/>
  <c r="H171" i="4"/>
  <c r="I140" i="4"/>
  <c r="P140" i="4" s="1"/>
  <c r="M111" i="3"/>
  <c r="T111" i="3" s="1"/>
  <c r="I111" i="3"/>
  <c r="P111" i="3" s="1"/>
  <c r="M119" i="4"/>
  <c r="T119" i="4" s="1"/>
  <c r="H119" i="4"/>
  <c r="N90" i="2"/>
  <c r="M60" i="4"/>
  <c r="T60" i="4" s="1"/>
  <c r="H60" i="4"/>
  <c r="M180" i="4"/>
  <c r="T180" i="4" s="1"/>
  <c r="H180" i="4"/>
  <c r="I180" i="4"/>
  <c r="P180" i="4" s="1"/>
  <c r="M122" i="4"/>
  <c r="T122" i="4" s="1"/>
  <c r="I122" i="4"/>
  <c r="P122" i="4" s="1"/>
  <c r="H122" i="4"/>
  <c r="N38" i="2"/>
  <c r="O34" i="2"/>
  <c r="N2" i="3"/>
  <c r="O237" i="4"/>
  <c r="N4" i="2"/>
  <c r="I17" i="3"/>
  <c r="P17" i="3" s="1"/>
  <c r="H17" i="3"/>
  <c r="M37" i="3"/>
  <c r="T37" i="3" s="1"/>
  <c r="I37" i="3"/>
  <c r="P37" i="3" s="1"/>
  <c r="M57" i="3"/>
  <c r="T57" i="3" s="1"/>
  <c r="H57" i="3"/>
  <c r="I57" i="3"/>
  <c r="P57" i="3" s="1"/>
  <c r="N77" i="3"/>
  <c r="N4" i="3"/>
  <c r="H282" i="4"/>
  <c r="I22" i="4"/>
  <c r="P22" i="4" s="1"/>
  <c r="H22" i="4"/>
  <c r="M22" i="4"/>
  <c r="T22" i="4" s="1"/>
  <c r="N54" i="2"/>
  <c r="O36" i="4"/>
  <c r="O169" i="4"/>
  <c r="N6" i="3"/>
  <c r="N138" i="4"/>
  <c r="O138" i="4"/>
  <c r="I102" i="4"/>
  <c r="P102" i="4" s="1"/>
  <c r="H31" i="3"/>
  <c r="I31" i="3"/>
  <c r="P31" i="3" s="1"/>
  <c r="P24" i="2"/>
  <c r="N64" i="3"/>
  <c r="M48" i="2"/>
  <c r="T48" i="2" s="1"/>
  <c r="H111" i="3"/>
  <c r="O111" i="3" s="1"/>
  <c r="O7" i="4"/>
  <c r="H140" i="4"/>
  <c r="M80" i="4"/>
  <c r="T80" i="4" s="1"/>
  <c r="H80" i="4"/>
  <c r="I80" i="4"/>
  <c r="P80" i="4" s="1"/>
  <c r="M28" i="4"/>
  <c r="T28" i="4" s="1"/>
  <c r="I28" i="4"/>
  <c r="P28" i="4" s="1"/>
  <c r="H28" i="4"/>
  <c r="M48" i="4"/>
  <c r="T48" i="4" s="1"/>
  <c r="H48" i="4"/>
  <c r="I48" i="4"/>
  <c r="P48" i="4" s="1"/>
  <c r="M68" i="4"/>
  <c r="T68" i="4" s="1"/>
  <c r="I68" i="4"/>
  <c r="P68" i="4" s="1"/>
  <c r="M88" i="4"/>
  <c r="T88" i="4" s="1"/>
  <c r="I88" i="4"/>
  <c r="P88" i="4" s="1"/>
  <c r="H88" i="4"/>
  <c r="M108" i="4"/>
  <c r="T108" i="4" s="1"/>
  <c r="H108" i="4"/>
  <c r="O108" i="4" s="1"/>
  <c r="I108" i="4"/>
  <c r="M128" i="4"/>
  <c r="T128" i="4" s="1"/>
  <c r="I128" i="4"/>
  <c r="P128" i="4" s="1"/>
  <c r="H128" i="4"/>
  <c r="M148" i="4"/>
  <c r="T148" i="4" s="1"/>
  <c r="I148" i="4"/>
  <c r="P148" i="4" s="1"/>
  <c r="H148" i="4"/>
  <c r="M168" i="4"/>
  <c r="T168" i="4" s="1"/>
  <c r="I168" i="4"/>
  <c r="P168" i="4" s="1"/>
  <c r="H168" i="4"/>
  <c r="M188" i="4"/>
  <c r="T188" i="4" s="1"/>
  <c r="H188" i="4"/>
  <c r="I188" i="4"/>
  <c r="P188" i="4" s="1"/>
  <c r="M208" i="4"/>
  <c r="T208" i="4" s="1"/>
  <c r="I208" i="4"/>
  <c r="P208" i="4" s="1"/>
  <c r="M228" i="4"/>
  <c r="T228" i="4" s="1"/>
  <c r="I228" i="4"/>
  <c r="P228" i="4" s="1"/>
  <c r="H228" i="4"/>
  <c r="M248" i="4"/>
  <c r="T248" i="4" s="1"/>
  <c r="H248" i="4"/>
  <c r="M268" i="4"/>
  <c r="T268" i="4" s="1"/>
  <c r="H268" i="4"/>
  <c r="I268" i="4"/>
  <c r="P268" i="4" s="1"/>
  <c r="O97" i="4"/>
  <c r="N97" i="4"/>
  <c r="M79" i="4"/>
  <c r="T79" i="4" s="1"/>
  <c r="I79" i="4"/>
  <c r="P79" i="4" s="1"/>
  <c r="H79" i="4"/>
  <c r="M240" i="4"/>
  <c r="T240" i="4" s="1"/>
  <c r="I240" i="4"/>
  <c r="P240" i="4" s="1"/>
  <c r="H240" i="4"/>
  <c r="H159" i="4"/>
  <c r="I159" i="4"/>
  <c r="P159" i="4" s="1"/>
  <c r="M159" i="4"/>
  <c r="T159" i="4" s="1"/>
  <c r="N33" i="3"/>
  <c r="H99" i="4"/>
  <c r="I60" i="4"/>
  <c r="P60" i="4" s="1"/>
  <c r="I248" i="4"/>
  <c r="P248" i="4" s="1"/>
  <c r="N25" i="2"/>
  <c r="H32" i="3"/>
  <c r="M32" i="3"/>
  <c r="T32" i="3" s="1"/>
  <c r="I32" i="3"/>
  <c r="P32" i="3" s="1"/>
  <c r="M20" i="4"/>
  <c r="T20" i="4" s="1"/>
  <c r="H20" i="4"/>
  <c r="O20" i="4" s="1"/>
  <c r="M100" i="4"/>
  <c r="T100" i="4" s="1"/>
  <c r="H100" i="4"/>
  <c r="I100" i="4"/>
  <c r="P100" i="4" s="1"/>
  <c r="M260" i="4"/>
  <c r="T260" i="4" s="1"/>
  <c r="I260" i="4"/>
  <c r="P260" i="4" s="1"/>
  <c r="H260" i="4"/>
  <c r="N273" i="4"/>
  <c r="H17" i="2"/>
  <c r="I17" i="2"/>
  <c r="P17" i="2" s="1"/>
  <c r="M17" i="2"/>
  <c r="T17" i="2" s="1"/>
  <c r="M57" i="2"/>
  <c r="T57" i="2" s="1"/>
  <c r="I57" i="2"/>
  <c r="P57" i="2" s="1"/>
  <c r="H57" i="2"/>
  <c r="H9" i="2"/>
  <c r="M52" i="3"/>
  <c r="T52" i="3" s="1"/>
  <c r="N11" i="4"/>
  <c r="P11" i="4"/>
  <c r="I31" i="4"/>
  <c r="P31" i="4" s="1"/>
  <c r="M31" i="4"/>
  <c r="T31" i="4" s="1"/>
  <c r="I51" i="4"/>
  <c r="P51" i="4" s="1"/>
  <c r="H51" i="4"/>
  <c r="M51" i="4"/>
  <c r="T51" i="4" s="1"/>
  <c r="I71" i="4"/>
  <c r="P71" i="4" s="1"/>
  <c r="H71" i="4"/>
  <c r="M71" i="4"/>
  <c r="T71" i="4" s="1"/>
  <c r="I91" i="4"/>
  <c r="P91" i="4" s="1"/>
  <c r="H91" i="4"/>
  <c r="I111" i="4"/>
  <c r="P111" i="4" s="1"/>
  <c r="M111" i="4"/>
  <c r="T111" i="4" s="1"/>
  <c r="H111" i="4"/>
  <c r="I131" i="4"/>
  <c r="H131" i="4"/>
  <c r="O131" i="4" s="1"/>
  <c r="I151" i="4"/>
  <c r="P151" i="4" s="1"/>
  <c r="H151" i="4"/>
  <c r="I191" i="4"/>
  <c r="N191" i="4" s="1"/>
  <c r="H191" i="4"/>
  <c r="O191" i="4" s="1"/>
  <c r="M191" i="4"/>
  <c r="T191" i="4" s="1"/>
  <c r="I211" i="4"/>
  <c r="P211" i="4" s="1"/>
  <c r="M211" i="4"/>
  <c r="T211" i="4" s="1"/>
  <c r="H211" i="4"/>
  <c r="I231" i="4"/>
  <c r="P231" i="4" s="1"/>
  <c r="M231" i="4"/>
  <c r="T231" i="4" s="1"/>
  <c r="H231" i="4"/>
  <c r="I271" i="4"/>
  <c r="P271" i="4" s="1"/>
  <c r="H271" i="4"/>
  <c r="M271" i="4"/>
  <c r="T271" i="4" s="1"/>
  <c r="H62" i="4"/>
  <c r="H182" i="4"/>
  <c r="H71" i="3"/>
  <c r="M71" i="3"/>
  <c r="T71" i="3" s="1"/>
  <c r="I71" i="3"/>
  <c r="P71" i="3" s="1"/>
  <c r="N69" i="2"/>
  <c r="H220" i="4"/>
  <c r="I62" i="4"/>
  <c r="P62" i="4" s="1"/>
  <c r="I160" i="4"/>
  <c r="P160" i="4" s="1"/>
  <c r="M99" i="4"/>
  <c r="T99" i="4" s="1"/>
  <c r="M72" i="3"/>
  <c r="T72" i="3" s="1"/>
  <c r="H72" i="3"/>
  <c r="M200" i="4"/>
  <c r="T200" i="4" s="1"/>
  <c r="H200" i="4"/>
  <c r="I200" i="4"/>
  <c r="P200" i="4" s="1"/>
  <c r="I8" i="2"/>
  <c r="P8" i="2" s="1"/>
  <c r="O11" i="2"/>
  <c r="N11" i="2"/>
  <c r="H222" i="4"/>
  <c r="M11" i="4"/>
  <c r="T11" i="4" s="1"/>
  <c r="M151" i="4"/>
  <c r="T151" i="4" s="1"/>
  <c r="H142" i="4"/>
  <c r="O142" i="4" s="1"/>
  <c r="I59" i="4"/>
  <c r="P59" i="4" s="1"/>
  <c r="M58" i="2"/>
  <c r="T58" i="2" s="1"/>
  <c r="H58" i="2"/>
  <c r="O58" i="2" s="1"/>
  <c r="I78" i="2"/>
  <c r="M15" i="3"/>
  <c r="T15" i="3" s="1"/>
  <c r="O41" i="2"/>
  <c r="N87" i="2"/>
  <c r="M20" i="2"/>
  <c r="T20" i="2" s="1"/>
  <c r="H20" i="2"/>
  <c r="I20" i="2"/>
  <c r="P20" i="2" s="1"/>
  <c r="M40" i="2"/>
  <c r="T40" i="2" s="1"/>
  <c r="H40" i="2"/>
  <c r="I40" i="2"/>
  <c r="P40" i="2" s="1"/>
  <c r="M80" i="2"/>
  <c r="T80" i="2" s="1"/>
  <c r="H80" i="2"/>
  <c r="M6" i="3"/>
  <c r="T6" i="3" s="1"/>
  <c r="I6" i="3"/>
  <c r="P6" i="3" s="1"/>
  <c r="M26" i="3"/>
  <c r="T26" i="3" s="1"/>
  <c r="H26" i="3"/>
  <c r="H46" i="3"/>
  <c r="I46" i="3"/>
  <c r="P46" i="3" s="1"/>
  <c r="H66" i="3"/>
  <c r="N66" i="3" s="1"/>
  <c r="M66" i="3"/>
  <c r="T66" i="3" s="1"/>
  <c r="I86" i="3"/>
  <c r="P86" i="3" s="1"/>
  <c r="M86" i="3"/>
  <c r="T86" i="3" s="1"/>
  <c r="H86" i="3"/>
  <c r="H106" i="3"/>
  <c r="M106" i="3"/>
  <c r="T106" i="3" s="1"/>
  <c r="H52" i="3"/>
  <c r="I90" i="3"/>
  <c r="P90" i="3" s="1"/>
  <c r="M55" i="3"/>
  <c r="T55" i="3" s="1"/>
  <c r="I20" i="4"/>
  <c r="P20" i="4" s="1"/>
  <c r="M59" i="4"/>
  <c r="T59" i="4" s="1"/>
  <c r="M103" i="4"/>
  <c r="T103" i="4" s="1"/>
  <c r="H11" i="3"/>
  <c r="M11" i="3"/>
  <c r="T11" i="3" s="1"/>
  <c r="M12" i="3"/>
  <c r="T12" i="3" s="1"/>
  <c r="H12" i="3"/>
  <c r="I12" i="3"/>
  <c r="P12" i="3" s="1"/>
  <c r="M280" i="4"/>
  <c r="T280" i="4" s="1"/>
  <c r="I280" i="4"/>
  <c r="H280" i="4"/>
  <c r="O280" i="4" s="1"/>
  <c r="N98" i="4"/>
  <c r="O98" i="4"/>
  <c r="I18" i="2"/>
  <c r="P18" i="2" s="1"/>
  <c r="M18" i="2"/>
  <c r="T18" i="2" s="1"/>
  <c r="O87" i="3"/>
  <c r="O256" i="4"/>
  <c r="N47" i="2"/>
  <c r="I80" i="2"/>
  <c r="P80" i="2" s="1"/>
  <c r="N22" i="3"/>
  <c r="H91" i="3"/>
  <c r="I91" i="3"/>
  <c r="P91" i="3" s="1"/>
  <c r="M17" i="3"/>
  <c r="T17" i="3" s="1"/>
  <c r="H68" i="4"/>
  <c r="I119" i="4"/>
  <c r="P119" i="4" s="1"/>
  <c r="I220" i="4"/>
  <c r="P220" i="4" s="1"/>
  <c r="H139" i="4"/>
  <c r="M139" i="4"/>
  <c r="T139" i="4" s="1"/>
  <c r="P4" i="3"/>
  <c r="O63" i="3"/>
  <c r="O60" i="3"/>
  <c r="O2" i="3"/>
  <c r="N25" i="3"/>
  <c r="N80" i="3"/>
  <c r="P197" i="4"/>
  <c r="O219" i="4"/>
  <c r="M2" i="2"/>
  <c r="H2" i="2"/>
  <c r="M22" i="2"/>
  <c r="T22" i="2" s="1"/>
  <c r="I22" i="2"/>
  <c r="P22" i="2" s="1"/>
  <c r="M42" i="2"/>
  <c r="T42" i="2" s="1"/>
  <c r="I42" i="2"/>
  <c r="P42" i="2" s="1"/>
  <c r="H42" i="2"/>
  <c r="M62" i="2"/>
  <c r="T62" i="2" s="1"/>
  <c r="H62" i="2"/>
  <c r="I62" i="2"/>
  <c r="P62" i="2" s="1"/>
  <c r="M82" i="2"/>
  <c r="T82" i="2" s="1"/>
  <c r="H82" i="2"/>
  <c r="N82" i="2" s="1"/>
  <c r="I48" i="2"/>
  <c r="P48" i="2" s="1"/>
  <c r="I10" i="3"/>
  <c r="P10" i="3" s="1"/>
  <c r="O118" i="4"/>
  <c r="I120" i="4"/>
  <c r="P120" i="4" s="1"/>
  <c r="H31" i="2"/>
  <c r="M35" i="2"/>
  <c r="T35" i="2" s="1"/>
  <c r="N43" i="3"/>
  <c r="O43" i="3"/>
  <c r="I54" i="3"/>
  <c r="I173" i="4"/>
  <c r="I15" i="2"/>
  <c r="P15" i="2" s="1"/>
  <c r="H15" i="2"/>
  <c r="H5" i="3"/>
  <c r="M5" i="3"/>
  <c r="T5" i="3" s="1"/>
  <c r="I56" i="3"/>
  <c r="M105" i="3"/>
  <c r="T105" i="3" s="1"/>
  <c r="N96" i="4"/>
  <c r="I44" i="2"/>
  <c r="P44" i="2" s="1"/>
  <c r="M44" i="2"/>
  <c r="T44" i="2" s="1"/>
  <c r="N64" i="2"/>
  <c r="I84" i="2"/>
  <c r="M56" i="3"/>
  <c r="T56" i="3" s="1"/>
  <c r="M6" i="4"/>
  <c r="T6" i="4" s="1"/>
  <c r="H6" i="4"/>
  <c r="M26" i="4"/>
  <c r="T26" i="4" s="1"/>
  <c r="H26" i="4"/>
  <c r="M46" i="4"/>
  <c r="T46" i="4" s="1"/>
  <c r="H46" i="4"/>
  <c r="I46" i="4"/>
  <c r="P46" i="4" s="1"/>
  <c r="M66" i="4"/>
  <c r="T66" i="4" s="1"/>
  <c r="H66" i="4"/>
  <c r="I66" i="4"/>
  <c r="P66" i="4" s="1"/>
  <c r="M86" i="4"/>
  <c r="T86" i="4" s="1"/>
  <c r="H86" i="4"/>
  <c r="M106" i="4"/>
  <c r="T106" i="4" s="1"/>
  <c r="H106" i="4"/>
  <c r="M126" i="4"/>
  <c r="T126" i="4" s="1"/>
  <c r="H126" i="4"/>
  <c r="M146" i="4"/>
  <c r="T146" i="4" s="1"/>
  <c r="H146" i="4"/>
  <c r="M166" i="4"/>
  <c r="T166" i="4" s="1"/>
  <c r="H166" i="4"/>
  <c r="M186" i="4"/>
  <c r="T186" i="4" s="1"/>
  <c r="H186" i="4"/>
  <c r="M206" i="4"/>
  <c r="T206" i="4" s="1"/>
  <c r="H206" i="4"/>
  <c r="I206" i="4"/>
  <c r="P206" i="4" s="1"/>
  <c r="M226" i="4"/>
  <c r="T226" i="4" s="1"/>
  <c r="H226" i="4"/>
  <c r="M246" i="4"/>
  <c r="T246" i="4" s="1"/>
  <c r="H246" i="4"/>
  <c r="M266" i="4"/>
  <c r="T266" i="4" s="1"/>
  <c r="H266" i="4"/>
  <c r="I266" i="4"/>
  <c r="P266" i="4" s="1"/>
  <c r="N41" i="4"/>
  <c r="O41" i="4"/>
  <c r="I67" i="4"/>
  <c r="I226" i="4"/>
  <c r="P226" i="4" s="1"/>
  <c r="N44" i="2"/>
  <c r="I31" i="2"/>
  <c r="P31" i="2" s="1"/>
  <c r="H14" i="3"/>
  <c r="I14" i="3"/>
  <c r="P14" i="3" s="1"/>
  <c r="H34" i="3"/>
  <c r="M34" i="3"/>
  <c r="T34" i="3" s="1"/>
  <c r="H74" i="3"/>
  <c r="O74" i="3" s="1"/>
  <c r="M74" i="3"/>
  <c r="T74" i="3" s="1"/>
  <c r="H94" i="3"/>
  <c r="M94" i="3"/>
  <c r="T94" i="3" s="1"/>
  <c r="I94" i="3"/>
  <c r="P94" i="3" s="1"/>
  <c r="H114" i="3"/>
  <c r="M114" i="3"/>
  <c r="T114" i="3" s="1"/>
  <c r="N38" i="3"/>
  <c r="P38" i="3"/>
  <c r="M27" i="4"/>
  <c r="T27" i="4" s="1"/>
  <c r="H27" i="4"/>
  <c r="M47" i="4"/>
  <c r="T47" i="4" s="1"/>
  <c r="I47" i="4"/>
  <c r="P47" i="4" s="1"/>
  <c r="H47" i="4"/>
  <c r="M107" i="4"/>
  <c r="T107" i="4" s="1"/>
  <c r="H107" i="4"/>
  <c r="M127" i="4"/>
  <c r="T127" i="4" s="1"/>
  <c r="H127" i="4"/>
  <c r="I127" i="4"/>
  <c r="P127" i="4" s="1"/>
  <c r="M147" i="4"/>
  <c r="T147" i="4" s="1"/>
  <c r="I147" i="4"/>
  <c r="P147" i="4" s="1"/>
  <c r="M187" i="4"/>
  <c r="T187" i="4" s="1"/>
  <c r="H187" i="4"/>
  <c r="M207" i="4"/>
  <c r="T207" i="4" s="1"/>
  <c r="I207" i="4"/>
  <c r="P207" i="4" s="1"/>
  <c r="H207" i="4"/>
  <c r="M227" i="4"/>
  <c r="T227" i="4" s="1"/>
  <c r="H227" i="4"/>
  <c r="M247" i="4"/>
  <c r="T247" i="4" s="1"/>
  <c r="H247" i="4"/>
  <c r="H147" i="4"/>
  <c r="I33" i="4"/>
  <c r="N116" i="4"/>
  <c r="I227" i="4"/>
  <c r="P227" i="4" s="1"/>
  <c r="H16" i="3"/>
  <c r="I16" i="3"/>
  <c r="P16" i="3" s="1"/>
  <c r="H96" i="3"/>
  <c r="O96" i="3" s="1"/>
  <c r="I96" i="3"/>
  <c r="P96" i="3" s="1"/>
  <c r="I74" i="3"/>
  <c r="P74" i="3" s="1"/>
  <c r="O183" i="4"/>
  <c r="N183" i="4"/>
  <c r="I12" i="4"/>
  <c r="P12" i="4" s="1"/>
  <c r="H12" i="4"/>
  <c r="I32" i="4"/>
  <c r="P32" i="4" s="1"/>
  <c r="H32" i="4"/>
  <c r="O32" i="4" s="1"/>
  <c r="M32" i="4"/>
  <c r="T32" i="4" s="1"/>
  <c r="I52" i="4"/>
  <c r="P52" i="4" s="1"/>
  <c r="H52" i="4"/>
  <c r="I72" i="4"/>
  <c r="P72" i="4" s="1"/>
  <c r="H72" i="4"/>
  <c r="I92" i="4"/>
  <c r="P92" i="4" s="1"/>
  <c r="H92" i="4"/>
  <c r="I112" i="4"/>
  <c r="P112" i="4" s="1"/>
  <c r="H112" i="4"/>
  <c r="M112" i="4"/>
  <c r="T112" i="4" s="1"/>
  <c r="I132" i="4"/>
  <c r="P132" i="4" s="1"/>
  <c r="H132" i="4"/>
  <c r="M132" i="4"/>
  <c r="T132" i="4" s="1"/>
  <c r="I152" i="4"/>
  <c r="P152" i="4" s="1"/>
  <c r="H152" i="4"/>
  <c r="M152" i="4"/>
  <c r="T152" i="4" s="1"/>
  <c r="I172" i="4"/>
  <c r="P172" i="4" s="1"/>
  <c r="H172" i="4"/>
  <c r="M172" i="4"/>
  <c r="T172" i="4" s="1"/>
  <c r="I192" i="4"/>
  <c r="P192" i="4" s="1"/>
  <c r="H192" i="4"/>
  <c r="I212" i="4"/>
  <c r="P212" i="4" s="1"/>
  <c r="H212" i="4"/>
  <c r="O212" i="4" s="1"/>
  <c r="M212" i="4"/>
  <c r="T212" i="4" s="1"/>
  <c r="I232" i="4"/>
  <c r="P232" i="4" s="1"/>
  <c r="H232" i="4"/>
  <c r="M232" i="4"/>
  <c r="T232" i="4" s="1"/>
  <c r="I252" i="4"/>
  <c r="H252" i="4"/>
  <c r="O252" i="4" s="1"/>
  <c r="M252" i="4"/>
  <c r="T252" i="4" s="1"/>
  <c r="I272" i="4"/>
  <c r="P272" i="4" s="1"/>
  <c r="H272" i="4"/>
  <c r="N123" i="4"/>
  <c r="M91" i="2"/>
  <c r="T91" i="2" s="1"/>
  <c r="H91" i="2"/>
  <c r="O91" i="2" s="1"/>
  <c r="H53" i="4"/>
  <c r="M53" i="4"/>
  <c r="T53" i="4" s="1"/>
  <c r="I53" i="4"/>
  <c r="P53" i="4" s="1"/>
  <c r="H133" i="4"/>
  <c r="M133" i="4"/>
  <c r="T133" i="4" s="1"/>
  <c r="H213" i="4"/>
  <c r="I213" i="4"/>
  <c r="P213" i="4" s="1"/>
  <c r="H233" i="4"/>
  <c r="O233" i="4" s="1"/>
  <c r="I233" i="4"/>
  <c r="M233" i="4"/>
  <c r="T233" i="4" s="1"/>
  <c r="H253" i="4"/>
  <c r="M253" i="4"/>
  <c r="T253" i="4" s="1"/>
  <c r="P284" i="4"/>
  <c r="M92" i="2"/>
  <c r="T92" i="2" s="1"/>
  <c r="I92" i="2"/>
  <c r="P92" i="2" s="1"/>
  <c r="I114" i="3"/>
  <c r="P114" i="3" s="1"/>
  <c r="H14" i="4"/>
  <c r="O14" i="4" s="1"/>
  <c r="M14" i="4"/>
  <c r="T14" i="4" s="1"/>
  <c r="I14" i="4"/>
  <c r="H34" i="4"/>
  <c r="M34" i="4"/>
  <c r="T34" i="4" s="1"/>
  <c r="H54" i="4"/>
  <c r="M54" i="4"/>
  <c r="T54" i="4" s="1"/>
  <c r="I54" i="4"/>
  <c r="P54" i="4" s="1"/>
  <c r="H74" i="4"/>
  <c r="I74" i="4"/>
  <c r="P74" i="4" s="1"/>
  <c r="M74" i="4"/>
  <c r="T74" i="4" s="1"/>
  <c r="N94" i="4"/>
  <c r="O94" i="4"/>
  <c r="H114" i="4"/>
  <c r="M114" i="4"/>
  <c r="T114" i="4" s="1"/>
  <c r="I114" i="4"/>
  <c r="P114" i="4" s="1"/>
  <c r="H134" i="4"/>
  <c r="I134" i="4"/>
  <c r="P134" i="4" s="1"/>
  <c r="H154" i="4"/>
  <c r="I154" i="4"/>
  <c r="P154" i="4" s="1"/>
  <c r="H174" i="4"/>
  <c r="I174" i="4"/>
  <c r="P174" i="4" s="1"/>
  <c r="H194" i="4"/>
  <c r="M194" i="4"/>
  <c r="T194" i="4" s="1"/>
  <c r="I194" i="4"/>
  <c r="P194" i="4" s="1"/>
  <c r="H214" i="4"/>
  <c r="O214" i="4" s="1"/>
  <c r="M214" i="4"/>
  <c r="T214" i="4" s="1"/>
  <c r="H254" i="4"/>
  <c r="M254" i="4"/>
  <c r="T254" i="4" s="1"/>
  <c r="I254" i="4"/>
  <c r="P254" i="4" s="1"/>
  <c r="H274" i="4"/>
  <c r="M274" i="4"/>
  <c r="T274" i="4" s="1"/>
  <c r="H87" i="4"/>
  <c r="N259" i="4"/>
  <c r="I6" i="4"/>
  <c r="P6" i="4" s="1"/>
  <c r="I87" i="4"/>
  <c r="P87" i="4" s="1"/>
  <c r="I166" i="4"/>
  <c r="P166" i="4" s="1"/>
  <c r="N276" i="4"/>
  <c r="P276" i="4"/>
  <c r="M72" i="4"/>
  <c r="T72" i="4" s="1"/>
  <c r="M192" i="4"/>
  <c r="T192" i="4" s="1"/>
  <c r="M272" i="4"/>
  <c r="T272" i="4" s="1"/>
  <c r="M33" i="4"/>
  <c r="T33" i="4" s="1"/>
  <c r="O190" i="4"/>
  <c r="I73" i="2"/>
  <c r="M73" i="2"/>
  <c r="T73" i="2" s="1"/>
  <c r="I93" i="2"/>
  <c r="P93" i="2" s="1"/>
  <c r="H93" i="2"/>
  <c r="O93" i="2" s="1"/>
  <c r="M93" i="2"/>
  <c r="T93" i="2" s="1"/>
  <c r="H55" i="2"/>
  <c r="O55" i="2" s="1"/>
  <c r="M33" i="2"/>
  <c r="T33" i="2" s="1"/>
  <c r="I22" i="3"/>
  <c r="P22" i="3" s="1"/>
  <c r="M22" i="3"/>
  <c r="T22" i="3" s="1"/>
  <c r="I42" i="3"/>
  <c r="P42" i="3" s="1"/>
  <c r="M42" i="3"/>
  <c r="T42" i="3" s="1"/>
  <c r="I62" i="3"/>
  <c r="P62" i="3" s="1"/>
  <c r="M62" i="3"/>
  <c r="T62" i="3" s="1"/>
  <c r="H62" i="3"/>
  <c r="I82" i="3"/>
  <c r="P82" i="3" s="1"/>
  <c r="M82" i="3"/>
  <c r="T82" i="3" s="1"/>
  <c r="H82" i="3"/>
  <c r="I102" i="3"/>
  <c r="M102" i="3"/>
  <c r="T102" i="3" s="1"/>
  <c r="O58" i="4"/>
  <c r="I7" i="4"/>
  <c r="P7" i="4" s="1"/>
  <c r="I133" i="4"/>
  <c r="P133" i="4" s="1"/>
  <c r="I167" i="4"/>
  <c r="P167" i="4" s="1"/>
  <c r="I214" i="4"/>
  <c r="M193" i="4"/>
  <c r="T193" i="4" s="1"/>
  <c r="M273" i="4"/>
  <c r="T273" i="4" s="1"/>
  <c r="M36" i="3"/>
  <c r="T36" i="3" s="1"/>
  <c r="H13" i="4"/>
  <c r="M13" i="4"/>
  <c r="T13" i="4" s="1"/>
  <c r="H73" i="4"/>
  <c r="I73" i="4"/>
  <c r="P73" i="4" s="1"/>
  <c r="M73" i="4"/>
  <c r="T73" i="4" s="1"/>
  <c r="H113" i="4"/>
  <c r="M113" i="4"/>
  <c r="T113" i="4" s="1"/>
  <c r="I113" i="4"/>
  <c r="P113" i="4" s="1"/>
  <c r="H153" i="4"/>
  <c r="I153" i="4"/>
  <c r="P153" i="4" s="1"/>
  <c r="O145" i="4"/>
  <c r="I94" i="2"/>
  <c r="P94" i="2" s="1"/>
  <c r="M94" i="2"/>
  <c r="T94" i="2" s="1"/>
  <c r="I71" i="2"/>
  <c r="M64" i="2"/>
  <c r="T64" i="2" s="1"/>
  <c r="I23" i="3"/>
  <c r="P23" i="3" s="1"/>
  <c r="M23" i="3"/>
  <c r="T23" i="3" s="1"/>
  <c r="H23" i="3"/>
  <c r="I63" i="3"/>
  <c r="P63" i="3" s="1"/>
  <c r="M63" i="3"/>
  <c r="T63" i="3" s="1"/>
  <c r="I83" i="3"/>
  <c r="P83" i="3" s="1"/>
  <c r="M83" i="3"/>
  <c r="T83" i="3" s="1"/>
  <c r="H83" i="3"/>
  <c r="H42" i="3"/>
  <c r="M3" i="3"/>
  <c r="M103" i="3"/>
  <c r="T103" i="3" s="1"/>
  <c r="I93" i="4"/>
  <c r="P93" i="4" s="1"/>
  <c r="I73" i="3"/>
  <c r="P73" i="3" s="1"/>
  <c r="H101" i="4"/>
  <c r="I101" i="4"/>
  <c r="P101" i="4" s="1"/>
  <c r="M281" i="4"/>
  <c r="T281" i="4" s="1"/>
  <c r="I281" i="4"/>
  <c r="P281" i="4" s="1"/>
  <c r="H81" i="4"/>
  <c r="H221" i="4"/>
  <c r="N117" i="4"/>
  <c r="M18" i="4"/>
  <c r="T18" i="4" s="1"/>
  <c r="H90" i="4"/>
  <c r="M161" i="4"/>
  <c r="T161" i="4" s="1"/>
  <c r="I30" i="4"/>
  <c r="M30" i="4"/>
  <c r="T30" i="4" s="1"/>
  <c r="I50" i="4"/>
  <c r="P50" i="4" s="1"/>
  <c r="H50" i="4"/>
  <c r="I110" i="4"/>
  <c r="P110" i="4" s="1"/>
  <c r="M110" i="4"/>
  <c r="T110" i="4" s="1"/>
  <c r="I150" i="4"/>
  <c r="P150" i="4" s="1"/>
  <c r="H150" i="4"/>
  <c r="I170" i="4"/>
  <c r="P170" i="4" s="1"/>
  <c r="M170" i="4"/>
  <c r="T170" i="4" s="1"/>
  <c r="I230" i="4"/>
  <c r="N230" i="4" s="1"/>
  <c r="M230" i="4"/>
  <c r="T230" i="4" s="1"/>
  <c r="I250" i="4"/>
  <c r="P250" i="4" s="1"/>
  <c r="H250" i="4"/>
  <c r="N121" i="4"/>
  <c r="N61" i="2"/>
  <c r="I86" i="2"/>
  <c r="P86" i="2" s="1"/>
  <c r="H81" i="3"/>
  <c r="H18" i="4"/>
  <c r="N185" i="4"/>
  <c r="H241" i="4"/>
  <c r="I141" i="4"/>
  <c r="P141" i="4" s="1"/>
  <c r="I201" i="4"/>
  <c r="H66" i="2"/>
  <c r="O66" i="2" s="1"/>
  <c r="I66" i="2"/>
  <c r="I87" i="2"/>
  <c r="P87" i="2" s="1"/>
  <c r="I44" i="3"/>
  <c r="P44" i="3" s="1"/>
  <c r="M33" i="3"/>
  <c r="T33" i="3" s="1"/>
  <c r="M81" i="3"/>
  <c r="T81" i="3" s="1"/>
  <c r="M210" i="4"/>
  <c r="T210" i="4" s="1"/>
  <c r="N21" i="3"/>
  <c r="H78" i="4"/>
  <c r="O78" i="4" s="1"/>
  <c r="M78" i="4"/>
  <c r="T78" i="4" s="1"/>
  <c r="H270" i="4"/>
  <c r="I81" i="4"/>
  <c r="P81" i="4" s="1"/>
  <c r="M279" i="4"/>
  <c r="T279" i="4" s="1"/>
  <c r="H279" i="4"/>
  <c r="H21" i="4"/>
  <c r="O244" i="4"/>
  <c r="N244" i="4"/>
  <c r="M150" i="4"/>
  <c r="T150" i="4" s="1"/>
  <c r="M179" i="4"/>
  <c r="T179" i="4" s="1"/>
  <c r="M284" i="4"/>
  <c r="T284" i="4" s="1"/>
  <c r="N223" i="4"/>
  <c r="H24" i="4"/>
  <c r="H124" i="4"/>
  <c r="H224" i="4"/>
  <c r="N25" i="4"/>
  <c r="M223" i="4"/>
  <c r="T223" i="4" s="1"/>
  <c r="I9" i="4"/>
  <c r="P9" i="4" s="1"/>
  <c r="I29" i="4"/>
  <c r="I49" i="4"/>
  <c r="I69" i="4"/>
  <c r="P69" i="4" s="1"/>
  <c r="I89" i="4"/>
  <c r="I109" i="4"/>
  <c r="P109" i="4" s="1"/>
  <c r="I129" i="4"/>
  <c r="I149" i="4"/>
  <c r="I169" i="4"/>
  <c r="P169" i="4" s="1"/>
  <c r="I189" i="4"/>
  <c r="I209" i="4"/>
  <c r="P209" i="4" s="1"/>
  <c r="I229" i="4"/>
  <c r="I249" i="4"/>
  <c r="I269" i="4"/>
  <c r="N35" i="4"/>
  <c r="N281" i="4"/>
  <c r="N243" i="4"/>
  <c r="N236" i="4"/>
  <c r="P230" i="4"/>
  <c r="N203" i="4"/>
  <c r="N163" i="4"/>
  <c r="N161" i="4"/>
  <c r="N155" i="4"/>
  <c r="P117" i="4"/>
  <c r="N76" i="4"/>
  <c r="N59" i="4"/>
  <c r="N40" i="4"/>
  <c r="P3" i="4"/>
  <c r="O251" i="4"/>
  <c r="N212" i="4"/>
  <c r="N181" i="4"/>
  <c r="N176" i="4"/>
  <c r="N165" i="4"/>
  <c r="O161" i="4"/>
  <c r="O155" i="4"/>
  <c r="O143" i="4"/>
  <c r="O83" i="4"/>
  <c r="O10" i="4"/>
  <c r="O9" i="4"/>
  <c r="O8" i="4"/>
  <c r="N5" i="4"/>
  <c r="N107" i="3"/>
  <c r="O73" i="3"/>
  <c r="O66" i="3"/>
  <c r="P47" i="2"/>
  <c r="N94" i="2"/>
  <c r="N86" i="2"/>
  <c r="N76" i="2"/>
  <c r="O70" i="2"/>
  <c r="O44" i="2"/>
  <c r="O33" i="2"/>
  <c r="Y244" i="4"/>
  <c r="X226" i="4"/>
  <c r="X13" i="4"/>
  <c r="Y166" i="4"/>
  <c r="X222" i="4"/>
  <c r="Y271" i="4"/>
  <c r="X242" i="4"/>
  <c r="Y270" i="4"/>
  <c r="Y269" i="4"/>
  <c r="Y138" i="4"/>
  <c r="Y258" i="4"/>
  <c r="Y250" i="4"/>
  <c r="Y246" i="4"/>
  <c r="Y238" i="4"/>
  <c r="Y172" i="4"/>
  <c r="Y218" i="4"/>
  <c r="Y279" i="4"/>
  <c r="Y148" i="4"/>
  <c r="Y129" i="4"/>
  <c r="Y142" i="4"/>
  <c r="Y158" i="4"/>
  <c r="Y152" i="4"/>
  <c r="Y154" i="4"/>
  <c r="Y141" i="4"/>
  <c r="Y146" i="4"/>
  <c r="Y149" i="4"/>
  <c r="W44" i="4"/>
  <c r="W109" i="4"/>
  <c r="W126" i="4"/>
  <c r="W114" i="4"/>
  <c r="W32" i="4"/>
  <c r="W81" i="4"/>
  <c r="W97" i="4"/>
  <c r="W37" i="4"/>
  <c r="W22" i="4"/>
  <c r="Y212" i="4"/>
  <c r="Y237" i="4"/>
  <c r="Y281" i="4"/>
  <c r="Y228" i="4"/>
  <c r="Y186" i="4"/>
  <c r="X17" i="4"/>
  <c r="X29" i="4"/>
  <c r="X58" i="4"/>
  <c r="X71" i="4"/>
  <c r="X84" i="4"/>
  <c r="X102" i="4"/>
  <c r="X117" i="4"/>
  <c r="X9" i="4"/>
  <c r="X23" i="4"/>
  <c r="X73" i="4"/>
  <c r="X119" i="4"/>
  <c r="X11" i="4"/>
  <c r="X42" i="4"/>
  <c r="X57" i="4"/>
  <c r="X74" i="4"/>
  <c r="X89" i="4"/>
  <c r="X108" i="4"/>
  <c r="X124" i="4"/>
  <c r="X14" i="4"/>
  <c r="X20" i="4"/>
  <c r="X75" i="4"/>
  <c r="X125" i="4"/>
  <c r="X15" i="4"/>
  <c r="X27" i="4"/>
  <c r="X59" i="4"/>
  <c r="X76" i="4"/>
  <c r="X90" i="4"/>
  <c r="X109" i="4"/>
  <c r="X77" i="4"/>
  <c r="X93" i="4"/>
  <c r="X12" i="4"/>
  <c r="X21" i="4"/>
  <c r="X28" i="4"/>
  <c r="X35" i="4"/>
  <c r="X43" i="4"/>
  <c r="X60" i="4"/>
  <c r="X91" i="4"/>
  <c r="X126" i="4"/>
  <c r="X111" i="4"/>
  <c r="X44" i="4"/>
  <c r="X61" i="4"/>
  <c r="X92" i="4"/>
  <c r="X110" i="4"/>
  <c r="X47" i="4"/>
  <c r="X48" i="4"/>
  <c r="X64" i="4"/>
  <c r="X113" i="4"/>
  <c r="X2" i="4"/>
  <c r="X22" i="4"/>
  <c r="X30" i="4"/>
  <c r="X36" i="4"/>
  <c r="X49" i="4"/>
  <c r="X96" i="4"/>
  <c r="X114" i="4"/>
  <c r="X16" i="4"/>
  <c r="X79" i="4"/>
  <c r="X97" i="4"/>
  <c r="X115" i="4"/>
  <c r="X6" i="4"/>
  <c r="X18" i="4"/>
  <c r="X37" i="4"/>
  <c r="X50" i="4"/>
  <c r="X65" i="4"/>
  <c r="X80" i="4"/>
  <c r="X51" i="4"/>
  <c r="X66" i="4"/>
  <c r="X81" i="4"/>
  <c r="X99" i="4"/>
  <c r="X116" i="4"/>
  <c r="X4" i="4"/>
  <c r="X7" i="4"/>
  <c r="X38" i="4"/>
  <c r="X53" i="4"/>
  <c r="X82" i="4"/>
  <c r="X101" i="4"/>
  <c r="X120" i="4"/>
  <c r="X25" i="4"/>
  <c r="X40" i="4"/>
  <c r="X56" i="4"/>
  <c r="X70" i="4"/>
  <c r="X87" i="4"/>
  <c r="X106" i="4"/>
  <c r="X251" i="4"/>
  <c r="X282" i="4"/>
  <c r="X284" i="4"/>
  <c r="Y226" i="4"/>
  <c r="X122" i="4"/>
  <c r="X72" i="4"/>
  <c r="X121" i="4"/>
  <c r="X69" i="4"/>
  <c r="X229" i="4"/>
  <c r="W258" i="4"/>
  <c r="X123" i="4"/>
  <c r="X33" i="4"/>
  <c r="Y211" i="4"/>
  <c r="Y216" i="4"/>
  <c r="Y194" i="4"/>
  <c r="X112" i="4"/>
  <c r="X67" i="4"/>
  <c r="X10" i="4"/>
  <c r="Y182" i="4"/>
  <c r="X32" i="4"/>
  <c r="W120" i="4"/>
  <c r="Y206" i="4"/>
  <c r="X63" i="4"/>
  <c r="X26" i="4"/>
  <c r="X68" i="4"/>
  <c r="X118" i="4"/>
  <c r="W281" i="4"/>
  <c r="Y252" i="4"/>
  <c r="Y256" i="4"/>
  <c r="Y263" i="4"/>
  <c r="Y264" i="4"/>
  <c r="Y266" i="4"/>
  <c r="Y272" i="4"/>
  <c r="Y257" i="4"/>
  <c r="Y275" i="4"/>
  <c r="Y283" i="4"/>
  <c r="Y242" i="4"/>
  <c r="Y260" i="4"/>
  <c r="Y276" i="4"/>
  <c r="Y261" i="4"/>
  <c r="Y274" i="4"/>
  <c r="Y243" i="4"/>
  <c r="Y273" i="4"/>
  <c r="Y245" i="4"/>
  <c r="Y234" i="4"/>
  <c r="Y247" i="4"/>
  <c r="Y277" i="4"/>
  <c r="Y235" i="4"/>
  <c r="Y262" i="4"/>
  <c r="Y278" i="4"/>
  <c r="Y248" i="4"/>
  <c r="Y253" i="4"/>
  <c r="Y259" i="4"/>
  <c r="Y236" i="4"/>
  <c r="Y249" i="4"/>
  <c r="Y254" i="4"/>
  <c r="Y265" i="4"/>
  <c r="Y268" i="4"/>
  <c r="Y255" i="4"/>
  <c r="Y280" i="4"/>
  <c r="Y240" i="4"/>
  <c r="Y251" i="4"/>
  <c r="Y282" i="4"/>
  <c r="Y200" i="4"/>
  <c r="X107" i="4"/>
  <c r="X62" i="4"/>
  <c r="X8" i="4"/>
  <c r="Y53" i="4"/>
  <c r="Y54" i="4"/>
  <c r="Y104" i="4"/>
  <c r="Y227" i="4"/>
  <c r="Y224" i="4"/>
  <c r="Y231" i="4"/>
  <c r="Y220" i="4"/>
  <c r="Y222" i="4"/>
  <c r="Y225" i="4"/>
  <c r="Y221" i="4"/>
  <c r="Y232" i="4"/>
  <c r="Y223" i="4"/>
  <c r="Y233" i="4"/>
  <c r="Y219" i="4"/>
  <c r="Y229" i="4"/>
  <c r="Y205" i="4"/>
  <c r="X24" i="4"/>
  <c r="Y199" i="4"/>
  <c r="Y193" i="4"/>
  <c r="X105" i="4"/>
  <c r="X55" i="4"/>
  <c r="Y203" i="4"/>
  <c r="X103" i="4"/>
  <c r="X268" i="4"/>
  <c r="X5" i="4"/>
  <c r="X256" i="4"/>
  <c r="X100" i="4"/>
  <c r="W261" i="4"/>
  <c r="W268" i="4"/>
  <c r="W250" i="4"/>
  <c r="W269" i="4"/>
  <c r="W246" i="4"/>
  <c r="W238" i="4"/>
  <c r="W263" i="4"/>
  <c r="W240" i="4"/>
  <c r="W267" i="4"/>
  <c r="W277" i="4"/>
  <c r="Y16" i="4"/>
  <c r="Y190" i="4"/>
  <c r="Y173" i="4"/>
  <c r="X94" i="4"/>
  <c r="X52" i="4"/>
  <c r="X19" i="4"/>
  <c r="Y284" i="4"/>
  <c r="Y241" i="4"/>
  <c r="X46" i="4"/>
  <c r="Y174" i="4"/>
  <c r="X54" i="4"/>
  <c r="Y239" i="4"/>
  <c r="X88" i="4"/>
  <c r="X41" i="4"/>
  <c r="X254" i="4"/>
  <c r="X85" i="4"/>
  <c r="X39" i="4"/>
  <c r="W171" i="4"/>
  <c r="Y168" i="4"/>
  <c r="Y181" i="4"/>
  <c r="Y176" i="4"/>
  <c r="Y195" i="4"/>
  <c r="Y179" i="4"/>
  <c r="Y184" i="4"/>
  <c r="Y185" i="4"/>
  <c r="Y180" i="4"/>
  <c r="Y191" i="4"/>
  <c r="Y175" i="4"/>
  <c r="Y183" i="4"/>
  <c r="Y196" i="4"/>
  <c r="Y192" i="4"/>
  <c r="Y197" i="4"/>
  <c r="Y167" i="4"/>
  <c r="Y202" i="4"/>
  <c r="Y169" i="4"/>
  <c r="Y188" i="4"/>
  <c r="Y198" i="4"/>
  <c r="Y170" i="4"/>
  <c r="Y171" i="4"/>
  <c r="X83" i="4"/>
  <c r="W262" i="4"/>
  <c r="Y7" i="3"/>
  <c r="W81" i="3"/>
  <c r="W71" i="3"/>
  <c r="X102" i="3"/>
  <c r="Y74" i="3"/>
  <c r="X62" i="3"/>
  <c r="X74" i="3"/>
  <c r="Y59" i="3"/>
  <c r="W89" i="3"/>
  <c r="W14" i="3"/>
  <c r="X95" i="3"/>
  <c r="X43" i="3"/>
  <c r="X42" i="3"/>
  <c r="X18" i="3"/>
  <c r="X3" i="3"/>
  <c r="X44" i="3"/>
  <c r="X27" i="3"/>
  <c r="X8" i="3"/>
  <c r="X107" i="3"/>
  <c r="Y76" i="3"/>
  <c r="Y84" i="3"/>
  <c r="Y88" i="3"/>
  <c r="Y82" i="3"/>
  <c r="Y68" i="3"/>
  <c r="Y69" i="3"/>
  <c r="Y77" i="3"/>
  <c r="Y73" i="3"/>
  <c r="Y87" i="3"/>
  <c r="Y72" i="3"/>
  <c r="Y71" i="3"/>
  <c r="Y83" i="3"/>
  <c r="Y90" i="3"/>
  <c r="Y89" i="3"/>
  <c r="Y91" i="3"/>
  <c r="X91" i="3"/>
  <c r="Y108" i="3"/>
  <c r="Y111" i="3"/>
  <c r="Y113" i="3"/>
  <c r="Y105" i="3"/>
  <c r="Y114" i="3"/>
  <c r="Y106" i="3"/>
  <c r="Y109" i="3"/>
  <c r="Y110" i="3"/>
  <c r="Y107" i="3"/>
  <c r="Y112" i="3"/>
  <c r="Y22" i="3"/>
  <c r="Y5" i="3"/>
  <c r="Y9" i="3"/>
  <c r="Y13" i="3"/>
  <c r="Y23" i="3"/>
  <c r="Y35" i="3"/>
  <c r="Y14" i="3"/>
  <c r="Y24" i="3"/>
  <c r="Y36" i="3"/>
  <c r="Y47" i="3"/>
  <c r="Y2" i="3"/>
  <c r="Y38" i="3"/>
  <c r="Y15" i="3"/>
  <c r="Y25" i="3"/>
  <c r="Y39" i="3"/>
  <c r="Y10" i="3"/>
  <c r="Y16" i="3"/>
  <c r="Y40" i="3"/>
  <c r="Y31" i="3"/>
  <c r="Y11" i="3"/>
  <c r="Y17" i="3"/>
  <c r="Y26" i="3"/>
  <c r="Y41" i="3"/>
  <c r="Y20" i="3"/>
  <c r="Y21" i="3"/>
  <c r="Y42" i="3"/>
  <c r="Y30" i="3"/>
  <c r="Y49" i="3"/>
  <c r="Y18" i="3"/>
  <c r="Y3" i="3"/>
  <c r="Y8" i="3"/>
  <c r="Y27" i="3"/>
  <c r="Y44" i="3"/>
  <c r="Y28" i="3"/>
  <c r="Y45" i="3"/>
  <c r="Y19" i="3"/>
  <c r="Y48" i="3"/>
  <c r="Y29" i="3"/>
  <c r="Y46" i="3"/>
  <c r="Y12" i="3"/>
  <c r="Y33" i="3"/>
  <c r="Y32" i="3"/>
  <c r="Y6" i="3"/>
  <c r="Y34" i="3"/>
  <c r="X4" i="3"/>
  <c r="Y103" i="3"/>
  <c r="Y98" i="3"/>
  <c r="Y100" i="3"/>
  <c r="Y92" i="3"/>
  <c r="Y93" i="3"/>
  <c r="Y94" i="3"/>
  <c r="Y95" i="3"/>
  <c r="Y99" i="3"/>
  <c r="Y101" i="3"/>
  <c r="Y104" i="3"/>
  <c r="Y96" i="3"/>
  <c r="Y102" i="3"/>
  <c r="Y97" i="3"/>
  <c r="W80" i="3"/>
  <c r="W70" i="3"/>
  <c r="W85" i="3"/>
  <c r="W73" i="3"/>
  <c r="W76" i="3"/>
  <c r="W74" i="3"/>
  <c r="W68" i="3"/>
  <c r="W69" i="3"/>
  <c r="W10" i="3"/>
  <c r="W16" i="3"/>
  <c r="W40" i="3"/>
  <c r="W36" i="3"/>
  <c r="W17" i="3"/>
  <c r="W46" i="3"/>
  <c r="W23" i="3"/>
  <c r="W24" i="3"/>
  <c r="W4" i="3"/>
  <c r="W19" i="3"/>
  <c r="W30" i="3"/>
  <c r="W47" i="3"/>
  <c r="W7" i="3"/>
  <c r="W49" i="3"/>
  <c r="W6" i="3"/>
  <c r="W37" i="3"/>
  <c r="W9" i="3"/>
  <c r="W15" i="3"/>
  <c r="W25" i="3"/>
  <c r="W39" i="3"/>
  <c r="X112" i="3"/>
  <c r="X108" i="3"/>
  <c r="X111" i="3"/>
  <c r="X113" i="3"/>
  <c r="X109" i="3"/>
  <c r="X110" i="3"/>
  <c r="X106" i="3"/>
  <c r="X17" i="3"/>
  <c r="X40" i="3"/>
  <c r="X46" i="3"/>
  <c r="X29" i="3"/>
  <c r="X73" i="3"/>
  <c r="X51" i="3"/>
  <c r="X45" i="3"/>
  <c r="X28" i="3"/>
  <c r="X85" i="3"/>
  <c r="X70" i="3"/>
  <c r="X86" i="3"/>
  <c r="X58" i="3"/>
  <c r="X39" i="3"/>
  <c r="X25" i="3"/>
  <c r="X15" i="3"/>
  <c r="X77" i="3"/>
  <c r="X57" i="3"/>
  <c r="X38" i="3"/>
  <c r="X68" i="3"/>
  <c r="X37" i="3"/>
  <c r="X90" i="3"/>
  <c r="X7" i="3"/>
  <c r="X2" i="3"/>
  <c r="X36" i="3"/>
  <c r="X24" i="3"/>
  <c r="X14" i="3"/>
  <c r="X55" i="3"/>
  <c r="X50" i="3"/>
  <c r="X16" i="3"/>
  <c r="X35" i="3"/>
  <c r="X23" i="3"/>
  <c r="X13" i="3"/>
  <c r="X9" i="3"/>
  <c r="X54" i="3"/>
  <c r="X22" i="3"/>
  <c r="X76" i="3"/>
  <c r="X53" i="3"/>
  <c r="X26" i="3"/>
  <c r="X10" i="3"/>
  <c r="X34" i="3"/>
  <c r="X66" i="3"/>
  <c r="X83" i="3"/>
  <c r="X61" i="3"/>
  <c r="X6" i="3"/>
  <c r="X79" i="3"/>
  <c r="X59" i="3"/>
  <c r="X33" i="3"/>
  <c r="X12" i="3"/>
  <c r="X72" i="3"/>
  <c r="X87" i="3"/>
  <c r="X21" i="3"/>
  <c r="X89" i="3"/>
  <c r="X5" i="3"/>
  <c r="X11" i="3"/>
  <c r="X75" i="3"/>
  <c r="X49" i="3"/>
  <c r="X32" i="3"/>
  <c r="X20" i="3"/>
  <c r="X60" i="3"/>
  <c r="X52" i="3"/>
  <c r="X63" i="3"/>
  <c r="X41" i="3"/>
  <c r="X67" i="3"/>
  <c r="X48" i="3"/>
  <c r="X31" i="3"/>
  <c r="X82" i="3"/>
  <c r="X71" i="3"/>
  <c r="X47" i="3"/>
  <c r="X30" i="3"/>
  <c r="X19" i="3"/>
  <c r="Y79" i="2"/>
  <c r="W87" i="2"/>
  <c r="X34" i="2"/>
  <c r="Y38" i="2"/>
  <c r="X70" i="2"/>
  <c r="X64" i="2"/>
  <c r="X76" i="2"/>
  <c r="W84" i="2"/>
  <c r="W86" i="2"/>
  <c r="W91" i="2"/>
  <c r="Y23" i="2"/>
  <c r="Y40" i="2"/>
  <c r="Y30" i="2"/>
  <c r="Y42" i="2"/>
  <c r="Y55" i="2"/>
  <c r="Y59" i="2"/>
  <c r="Y62" i="2"/>
  <c r="Y46" i="2"/>
  <c r="Y56" i="2"/>
  <c r="Y57" i="2"/>
  <c r="Y47" i="2"/>
  <c r="Y48" i="2"/>
  <c r="Y58" i="2"/>
  <c r="Y60" i="2"/>
  <c r="Y51" i="2"/>
  <c r="Y49" i="2"/>
  <c r="Y50" i="2"/>
  <c r="Y63" i="2"/>
  <c r="Y52" i="2"/>
  <c r="Y61" i="2"/>
  <c r="Y53" i="2"/>
  <c r="Y45" i="2"/>
  <c r="Y54" i="2"/>
  <c r="Y14" i="2"/>
  <c r="Y2" i="2"/>
  <c r="Y9" i="2"/>
  <c r="Y15" i="2"/>
  <c r="Y3" i="2"/>
  <c r="Y16" i="2"/>
  <c r="Y4" i="2"/>
  <c r="Y19" i="2"/>
  <c r="Y7" i="2"/>
  <c r="Y17" i="2"/>
  <c r="Y8" i="2"/>
  <c r="Y12" i="2"/>
  <c r="Y18" i="2"/>
  <c r="Y5" i="2"/>
  <c r="Y20" i="2"/>
  <c r="Y21" i="2"/>
  <c r="Y6" i="2"/>
  <c r="Y13" i="2"/>
  <c r="Y10" i="2"/>
  <c r="Y11" i="2"/>
  <c r="Y78" i="2"/>
  <c r="Y82" i="2"/>
  <c r="Y89" i="2"/>
  <c r="Y90" i="2"/>
  <c r="Y80" i="2"/>
  <c r="Y83" i="2"/>
  <c r="Y92" i="2"/>
  <c r="Y86" i="2"/>
  <c r="Y81" i="2"/>
  <c r="Y84" i="2"/>
  <c r="Y93" i="2"/>
  <c r="Y85" i="2"/>
  <c r="Y94" i="2"/>
  <c r="Y75" i="2"/>
  <c r="Y76" i="2"/>
  <c r="Y87" i="2"/>
  <c r="Y91" i="2"/>
  <c r="Y77" i="2"/>
  <c r="Y88" i="2"/>
  <c r="X27" i="2"/>
  <c r="X31" i="2"/>
  <c r="X32" i="2"/>
  <c r="X22" i="2"/>
  <c r="X39" i="2"/>
  <c r="X40" i="2"/>
  <c r="X26" i="2"/>
  <c r="X30" i="2"/>
  <c r="Y67" i="2"/>
  <c r="Y68" i="2"/>
  <c r="Y69" i="2"/>
  <c r="Y65" i="2"/>
  <c r="Y71" i="2"/>
  <c r="Y74" i="2"/>
  <c r="Y72" i="2"/>
  <c r="Y73" i="2"/>
  <c r="Y66" i="2"/>
  <c r="Y70" i="2"/>
  <c r="X86" i="2"/>
  <c r="X75" i="2"/>
  <c r="X84" i="2"/>
  <c r="X93" i="2"/>
  <c r="X85" i="2"/>
  <c r="X94" i="2"/>
  <c r="X74" i="2"/>
  <c r="X66" i="2"/>
  <c r="W37" i="2"/>
  <c r="W29" i="2"/>
  <c r="W38" i="2"/>
  <c r="W24" i="2"/>
  <c r="W39" i="2"/>
  <c r="W40" i="2"/>
  <c r="W26" i="2"/>
  <c r="W30" i="2"/>
  <c r="W27" i="2"/>
  <c r="W31" i="2"/>
  <c r="W32" i="2"/>
  <c r="W41" i="2"/>
  <c r="W33" i="2"/>
  <c r="W34" i="2"/>
  <c r="W42" i="2"/>
  <c r="W35" i="2"/>
  <c r="W25" i="2"/>
  <c r="W36" i="2"/>
  <c r="W43" i="2"/>
  <c r="W22" i="2"/>
  <c r="W28" i="2"/>
  <c r="W23" i="2"/>
  <c r="W44" i="2"/>
  <c r="Y64" i="2"/>
  <c r="W46" i="2"/>
  <c r="W56" i="2"/>
  <c r="W57" i="2"/>
  <c r="W47" i="2"/>
  <c r="W48" i="2"/>
  <c r="W58" i="2"/>
  <c r="W60" i="2"/>
  <c r="W49" i="2"/>
  <c r="W50" i="2"/>
  <c r="W51" i="2"/>
  <c r="W63" i="2"/>
  <c r="W52" i="2"/>
  <c r="W61" i="2"/>
  <c r="W54" i="2"/>
  <c r="W53" i="2"/>
  <c r="W55" i="2"/>
  <c r="W59" i="2"/>
  <c r="W62" i="2"/>
  <c r="W45" i="2"/>
  <c r="W64" i="2"/>
  <c r="A2" i="15" a="1"/>
  <c r="A2" i="15" s="1"/>
  <c r="N73" i="3" l="1"/>
  <c r="N84" i="4"/>
  <c r="O84" i="4"/>
  <c r="O64" i="4"/>
  <c r="N64" i="4"/>
  <c r="O53" i="3"/>
  <c r="N53" i="3"/>
  <c r="N36" i="3"/>
  <c r="P36" i="3"/>
  <c r="O278" i="4"/>
  <c r="N278" i="4"/>
  <c r="O24" i="3"/>
  <c r="N24" i="3"/>
  <c r="N170" i="4"/>
  <c r="N97" i="3"/>
  <c r="N67" i="2"/>
  <c r="O28" i="3"/>
  <c r="N28" i="3"/>
  <c r="O105" i="4"/>
  <c r="N105" i="4"/>
  <c r="N245" i="4"/>
  <c r="N74" i="3"/>
  <c r="N78" i="4"/>
  <c r="N217" i="4"/>
  <c r="P217" i="4"/>
  <c r="N34" i="2"/>
  <c r="N156" i="4"/>
  <c r="O156" i="4"/>
  <c r="O45" i="4"/>
  <c r="N45" i="4"/>
  <c r="N38" i="4"/>
  <c r="N89" i="2"/>
  <c r="P85" i="2"/>
  <c r="N85" i="2"/>
  <c r="O61" i="3"/>
  <c r="N61" i="3"/>
  <c r="N118" i="4"/>
  <c r="O89" i="3"/>
  <c r="N89" i="3"/>
  <c r="N8" i="3"/>
  <c r="O8" i="3"/>
  <c r="O41" i="3"/>
  <c r="N41" i="3"/>
  <c r="N6" i="2"/>
  <c r="P6" i="2"/>
  <c r="N184" i="4"/>
  <c r="N20" i="4"/>
  <c r="O204" i="4"/>
  <c r="N204" i="4"/>
  <c r="N284" i="4"/>
  <c r="N16" i="2"/>
  <c r="O16" i="2"/>
  <c r="N99" i="3"/>
  <c r="N215" i="4"/>
  <c r="N261" i="4"/>
  <c r="O261" i="4"/>
  <c r="N45" i="2"/>
  <c r="N205" i="4"/>
  <c r="O205" i="4"/>
  <c r="N78" i="3"/>
  <c r="N111" i="3"/>
  <c r="P104" i="4"/>
  <c r="N104" i="4"/>
  <c r="N65" i="4"/>
  <c r="O65" i="4"/>
  <c r="N178" i="4"/>
  <c r="N113" i="3"/>
  <c r="N8" i="4"/>
  <c r="N264" i="4"/>
  <c r="O264" i="4"/>
  <c r="O60" i="2"/>
  <c r="N60" i="2"/>
  <c r="O47" i="3"/>
  <c r="N47" i="3"/>
  <c r="O49" i="3"/>
  <c r="N49" i="3"/>
  <c r="N9" i="3"/>
  <c r="O9" i="3"/>
  <c r="O55" i="4"/>
  <c r="N55" i="4"/>
  <c r="O95" i="4"/>
  <c r="N95" i="4"/>
  <c r="N83" i="4"/>
  <c r="N81" i="2"/>
  <c r="O81" i="2"/>
  <c r="N277" i="4"/>
  <c r="O277" i="4"/>
  <c r="N216" i="4"/>
  <c r="N92" i="3"/>
  <c r="N29" i="3"/>
  <c r="O29" i="3"/>
  <c r="N209" i="4"/>
  <c r="N130" i="4"/>
  <c r="O130" i="4"/>
  <c r="N85" i="4"/>
  <c r="O85" i="4"/>
  <c r="N93" i="3"/>
  <c r="O93" i="3"/>
  <c r="O72" i="2"/>
  <c r="N72" i="2"/>
  <c r="N75" i="4"/>
  <c r="N32" i="2"/>
  <c r="P32" i="2"/>
  <c r="N262" i="4"/>
  <c r="O88" i="3"/>
  <c r="N88" i="3"/>
  <c r="O69" i="3"/>
  <c r="N69" i="3"/>
  <c r="O157" i="4"/>
  <c r="N157" i="4"/>
  <c r="N13" i="3"/>
  <c r="N15" i="4"/>
  <c r="N135" i="4"/>
  <c r="O50" i="2"/>
  <c r="N50" i="2"/>
  <c r="N43" i="4"/>
  <c r="O257" i="4"/>
  <c r="N257" i="4"/>
  <c r="N77" i="4"/>
  <c r="N18" i="3"/>
  <c r="N57" i="4"/>
  <c r="N52" i="2"/>
  <c r="N219" i="4"/>
  <c r="N136" i="4"/>
  <c r="R24" i="1" a="1"/>
  <c r="R24" i="1" s="1"/>
  <c r="O7" i="2"/>
  <c r="N7" i="2"/>
  <c r="N46" i="2"/>
  <c r="O79" i="2"/>
  <c r="N79" i="2"/>
  <c r="O75" i="2"/>
  <c r="N61" i="4"/>
  <c r="N21" i="2"/>
  <c r="O21" i="2"/>
  <c r="N198" i="4"/>
  <c r="N44" i="4"/>
  <c r="N19" i="3"/>
  <c r="N70" i="4"/>
  <c r="O70" i="4"/>
  <c r="N26" i="2"/>
  <c r="P26" i="2"/>
  <c r="N4" i="4"/>
  <c r="C18" i="1" a="1"/>
  <c r="C18" i="1" s="1"/>
  <c r="F28" i="1" a="1"/>
  <c r="F28" i="1" s="1"/>
  <c r="G24" i="1" a="1"/>
  <c r="G24" i="1" s="1"/>
  <c r="B16" i="1" a="1"/>
  <c r="B16" i="1" s="1"/>
  <c r="O103" i="3"/>
  <c r="N103" i="3"/>
  <c r="C28" i="1" a="1"/>
  <c r="C28" i="1" s="1"/>
  <c r="O225" i="4"/>
  <c r="N225" i="4"/>
  <c r="G5" i="1" a="1"/>
  <c r="G5" i="1" s="1"/>
  <c r="P49" i="4"/>
  <c r="N49" i="4"/>
  <c r="N272" i="4"/>
  <c r="O272" i="4"/>
  <c r="N103" i="4"/>
  <c r="O103" i="4"/>
  <c r="O146" i="4"/>
  <c r="N146" i="4"/>
  <c r="R3" i="1" a="1"/>
  <c r="R3" i="1" s="1"/>
  <c r="S8" i="1" a="1"/>
  <c r="S8" i="1" s="1"/>
  <c r="S7" i="1" a="1"/>
  <c r="S7" i="1" s="1"/>
  <c r="S5" i="1" a="1"/>
  <c r="S5" i="1" s="1"/>
  <c r="S6" i="1" a="1"/>
  <c r="S6" i="1" s="1"/>
  <c r="S4" i="1" a="1"/>
  <c r="S4" i="1" s="1"/>
  <c r="R8" i="1" a="1"/>
  <c r="R8" i="1" s="1"/>
  <c r="R7" i="1" a="1"/>
  <c r="R7" i="1" s="1"/>
  <c r="R6" i="1" a="1"/>
  <c r="R6" i="1" s="1"/>
  <c r="R5" i="1" a="1"/>
  <c r="R5" i="1" s="1"/>
  <c r="T2" i="2"/>
  <c r="R4" i="1" a="1"/>
  <c r="R4" i="1" s="1"/>
  <c r="S3" i="1" a="1"/>
  <c r="S3" i="1" s="1"/>
  <c r="G14" i="1" a="1"/>
  <c r="G14" i="1" s="1"/>
  <c r="F18" i="1" a="1"/>
  <c r="F18" i="1" s="1"/>
  <c r="S27" i="1" a="1"/>
  <c r="S27" i="1" s="1"/>
  <c r="N30" i="4"/>
  <c r="P30" i="4"/>
  <c r="N153" i="4"/>
  <c r="O153" i="4"/>
  <c r="P102" i="3"/>
  <c r="N102" i="3"/>
  <c r="O34" i="4"/>
  <c r="N34" i="4"/>
  <c r="N152" i="4"/>
  <c r="O152" i="4"/>
  <c r="N173" i="4"/>
  <c r="P173" i="4"/>
  <c r="N17" i="3"/>
  <c r="O17" i="3"/>
  <c r="C16" i="1" a="1"/>
  <c r="C16" i="1" s="1"/>
  <c r="O15" i="3"/>
  <c r="N15" i="3"/>
  <c r="N49" i="2"/>
  <c r="O49" i="2"/>
  <c r="O70" i="3"/>
  <c r="N70" i="3"/>
  <c r="R25" i="1" a="1"/>
  <c r="R25" i="1" s="1"/>
  <c r="P84" i="2"/>
  <c r="N84" i="2"/>
  <c r="N20" i="2"/>
  <c r="O20" i="2"/>
  <c r="O48" i="4"/>
  <c r="N48" i="4"/>
  <c r="N51" i="4"/>
  <c r="O51" i="4"/>
  <c r="N201" i="4"/>
  <c r="P201" i="4"/>
  <c r="N211" i="4"/>
  <c r="O211" i="4"/>
  <c r="N168" i="4"/>
  <c r="O168" i="4"/>
  <c r="N96" i="3"/>
  <c r="N3" i="2"/>
  <c r="N93" i="2"/>
  <c r="N89" i="4"/>
  <c r="P89" i="4"/>
  <c r="R23" i="1" a="1"/>
  <c r="R23" i="1" s="1"/>
  <c r="R17" i="1" a="1"/>
  <c r="R17" i="1" s="1"/>
  <c r="S16" i="1" a="1"/>
  <c r="S16" i="1" s="1"/>
  <c r="R16" i="1" a="1"/>
  <c r="R16" i="1" s="1"/>
  <c r="R15" i="1" a="1"/>
  <c r="R15" i="1" s="1"/>
  <c r="S18" i="1" a="1"/>
  <c r="S18" i="1" s="1"/>
  <c r="S17" i="1" a="1"/>
  <c r="S17" i="1" s="1"/>
  <c r="R13" i="1" a="1"/>
  <c r="R13" i="1" s="1"/>
  <c r="T3" i="3"/>
  <c r="N82" i="3"/>
  <c r="O82" i="3"/>
  <c r="F17" i="1" a="1"/>
  <c r="F17" i="1" s="1"/>
  <c r="N194" i="4"/>
  <c r="O194" i="4"/>
  <c r="N14" i="4"/>
  <c r="P14" i="4"/>
  <c r="O186" i="4"/>
  <c r="N186" i="4"/>
  <c r="N6" i="4"/>
  <c r="O6" i="4"/>
  <c r="N167" i="4"/>
  <c r="N91" i="3"/>
  <c r="O91" i="3"/>
  <c r="O40" i="2"/>
  <c r="N40" i="2"/>
  <c r="N271" i="4"/>
  <c r="O271" i="4"/>
  <c r="N17" i="2"/>
  <c r="O17" i="2"/>
  <c r="N31" i="3"/>
  <c r="O31" i="3"/>
  <c r="O171" i="4"/>
  <c r="N171" i="4"/>
  <c r="N142" i="4"/>
  <c r="P142" i="4"/>
  <c r="B15" i="1" a="1"/>
  <c r="B15" i="1" s="1"/>
  <c r="N71" i="4"/>
  <c r="O71" i="4"/>
  <c r="N42" i="3"/>
  <c r="O42" i="3"/>
  <c r="P54" i="3"/>
  <c r="N54" i="3"/>
  <c r="G7" i="1" a="1"/>
  <c r="G7" i="1" s="1"/>
  <c r="G6" i="1" a="1"/>
  <c r="G6" i="1" s="1"/>
  <c r="N21" i="4"/>
  <c r="O21" i="4"/>
  <c r="O107" i="4"/>
  <c r="N107" i="4"/>
  <c r="G3" i="1" a="1"/>
  <c r="G3" i="1" s="1"/>
  <c r="N120" i="4"/>
  <c r="O120" i="4"/>
  <c r="N39" i="4"/>
  <c r="O39" i="4"/>
  <c r="S14" i="1" a="1"/>
  <c r="S14" i="1" s="1"/>
  <c r="F15" i="1" a="1"/>
  <c r="F15" i="1" s="1"/>
  <c r="O250" i="4"/>
  <c r="N250" i="4"/>
  <c r="G28" i="1" a="1"/>
  <c r="G28" i="1" s="1"/>
  <c r="O134" i="4"/>
  <c r="N134" i="4"/>
  <c r="N252" i="4"/>
  <c r="P252" i="4"/>
  <c r="O47" i="4"/>
  <c r="N47" i="4"/>
  <c r="N126" i="4"/>
  <c r="O126" i="4"/>
  <c r="N55" i="2"/>
  <c r="O86" i="3"/>
  <c r="N86" i="3"/>
  <c r="N72" i="3"/>
  <c r="O72" i="3"/>
  <c r="N100" i="4"/>
  <c r="O100" i="4"/>
  <c r="N79" i="4"/>
  <c r="O79" i="4"/>
  <c r="N122" i="4"/>
  <c r="O122" i="4"/>
  <c r="O63" i="4"/>
  <c r="N63" i="4"/>
  <c r="G4" i="1" a="1"/>
  <c r="G4" i="1" s="1"/>
  <c r="N242" i="4"/>
  <c r="O242" i="4"/>
  <c r="O10" i="3"/>
  <c r="N10" i="3"/>
  <c r="N83" i="2"/>
  <c r="O83" i="2"/>
  <c r="N66" i="2"/>
  <c r="P66" i="2"/>
  <c r="P82" i="4"/>
  <c r="N82" i="4"/>
  <c r="O51" i="3"/>
  <c r="O188" i="4"/>
  <c r="N188" i="4"/>
  <c r="N22" i="2"/>
  <c r="F8" i="1" a="1"/>
  <c r="F8" i="1" s="1"/>
  <c r="N34" i="3"/>
  <c r="O34" i="3"/>
  <c r="G25" i="1" a="1"/>
  <c r="G25" i="1" s="1"/>
  <c r="O30" i="3"/>
  <c r="N30" i="3"/>
  <c r="F23" i="1" a="1"/>
  <c r="F23" i="1" s="1"/>
  <c r="N23" i="3"/>
  <c r="O23" i="3"/>
  <c r="N13" i="4"/>
  <c r="O13" i="4"/>
  <c r="N42" i="4"/>
  <c r="S13" i="1" a="1"/>
  <c r="S13" i="1" s="1"/>
  <c r="B23" i="1" a="1"/>
  <c r="B23" i="1" s="1"/>
  <c r="G27" i="1" a="1"/>
  <c r="G27" i="1" s="1"/>
  <c r="O90" i="4"/>
  <c r="N90" i="4"/>
  <c r="O253" i="4"/>
  <c r="N253" i="4"/>
  <c r="N232" i="4"/>
  <c r="O232" i="4"/>
  <c r="N33" i="4"/>
  <c r="P33" i="4"/>
  <c r="N106" i="4"/>
  <c r="O106" i="4"/>
  <c r="P78" i="2"/>
  <c r="N78" i="2"/>
  <c r="O148" i="4"/>
  <c r="N148" i="4"/>
  <c r="N91" i="2"/>
  <c r="F4" i="1" a="1"/>
  <c r="F4" i="1" s="1"/>
  <c r="N102" i="4"/>
  <c r="O102" i="4"/>
  <c r="S28" i="1" a="1"/>
  <c r="S28" i="1" s="1"/>
  <c r="O241" i="4"/>
  <c r="N241" i="4"/>
  <c r="O92" i="4"/>
  <c r="N92" i="4"/>
  <c r="P67" i="4"/>
  <c r="N67" i="4"/>
  <c r="G13" i="1" a="1"/>
  <c r="G13" i="1" s="1"/>
  <c r="B24" i="1" a="1"/>
  <c r="B24" i="1" s="1"/>
  <c r="O114" i="4"/>
  <c r="N114" i="4"/>
  <c r="O72" i="4"/>
  <c r="N72" i="4"/>
  <c r="N147" i="4"/>
  <c r="O147" i="4"/>
  <c r="O27" i="4"/>
  <c r="N27" i="4"/>
  <c r="N141" i="4"/>
  <c r="N22" i="4"/>
  <c r="O22" i="4"/>
  <c r="N169" i="4"/>
  <c r="N95" i="3"/>
  <c r="O95" i="3"/>
  <c r="F5" i="1" a="1"/>
  <c r="F5" i="1" s="1"/>
  <c r="B17" i="1" a="1"/>
  <c r="B17" i="1" s="1"/>
  <c r="O73" i="4"/>
  <c r="N73" i="4"/>
  <c r="G18" i="1" a="1"/>
  <c r="G18" i="1" s="1"/>
  <c r="N87" i="4"/>
  <c r="O87" i="4"/>
  <c r="N233" i="4"/>
  <c r="P233" i="4"/>
  <c r="N247" i="4"/>
  <c r="O247" i="4"/>
  <c r="O86" i="4"/>
  <c r="N86" i="4"/>
  <c r="N69" i="4"/>
  <c r="N80" i="4"/>
  <c r="O80" i="4"/>
  <c r="O180" i="4"/>
  <c r="N180" i="4"/>
  <c r="F6" i="1" a="1"/>
  <c r="F6" i="1" s="1"/>
  <c r="P23" i="2"/>
  <c r="N23" i="2"/>
  <c r="O63" i="2"/>
  <c r="N63" i="2"/>
  <c r="N83" i="3"/>
  <c r="O83" i="3"/>
  <c r="F26" i="1" a="1"/>
  <c r="F26" i="1" s="1"/>
  <c r="B25" i="1" a="1"/>
  <c r="B25" i="1" s="1"/>
  <c r="N29" i="2"/>
  <c r="N269" i="4"/>
  <c r="P269" i="4"/>
  <c r="N221" i="4"/>
  <c r="O221" i="4"/>
  <c r="N52" i="4"/>
  <c r="O52" i="4"/>
  <c r="N266" i="4"/>
  <c r="O266" i="4"/>
  <c r="N280" i="4"/>
  <c r="P280" i="4"/>
  <c r="N220" i="4"/>
  <c r="O220" i="4"/>
  <c r="N151" i="4"/>
  <c r="O151" i="4"/>
  <c r="F14" i="1" a="1"/>
  <c r="F14" i="1" s="1"/>
  <c r="N128" i="4"/>
  <c r="O128" i="4"/>
  <c r="N282" i="4"/>
  <c r="O282" i="4"/>
  <c r="O88" i="2"/>
  <c r="N88" i="2"/>
  <c r="G8" i="1" a="1"/>
  <c r="G8" i="1" s="1"/>
  <c r="N63" i="3"/>
  <c r="N132" i="4"/>
  <c r="O132" i="4"/>
  <c r="O159" i="4"/>
  <c r="N159" i="4"/>
  <c r="N160" i="4"/>
  <c r="O160" i="4"/>
  <c r="O62" i="3"/>
  <c r="N62" i="3"/>
  <c r="G26" i="1" a="1"/>
  <c r="G26" i="1" s="1"/>
  <c r="F13" i="1" a="1"/>
  <c r="F13" i="1" s="1"/>
  <c r="O270" i="4"/>
  <c r="N270" i="4"/>
  <c r="G16" i="1" a="1"/>
  <c r="G16" i="1" s="1"/>
  <c r="N46" i="3"/>
  <c r="O46" i="3"/>
  <c r="N109" i="4"/>
  <c r="F16" i="1" a="1"/>
  <c r="F16" i="1" s="1"/>
  <c r="N32" i="3"/>
  <c r="O32" i="3"/>
  <c r="N140" i="4"/>
  <c r="O140" i="4"/>
  <c r="N60" i="4"/>
  <c r="O60" i="4"/>
  <c r="N23" i="4"/>
  <c r="P23" i="4"/>
  <c r="O75" i="3"/>
  <c r="N75" i="3"/>
  <c r="F3" i="1" a="1"/>
  <c r="F3" i="1" s="1"/>
  <c r="O43" i="2"/>
  <c r="N43" i="2"/>
  <c r="N48" i="2"/>
  <c r="S25" i="1" a="1"/>
  <c r="S25" i="1" s="1"/>
  <c r="O14" i="3"/>
  <c r="N14" i="3"/>
  <c r="O52" i="3"/>
  <c r="N52" i="3"/>
  <c r="R14" i="1" a="1"/>
  <c r="R14" i="1" s="1"/>
  <c r="C17" i="1" a="1"/>
  <c r="C17" i="1" s="1"/>
  <c r="N249" i="4"/>
  <c r="P249" i="4"/>
  <c r="N26" i="3"/>
  <c r="O26" i="3"/>
  <c r="G17" i="1" a="1"/>
  <c r="G17" i="1" s="1"/>
  <c r="O268" i="4"/>
  <c r="N268" i="4"/>
  <c r="C23" i="1" a="1"/>
  <c r="C23" i="1" s="1"/>
  <c r="O3" i="4"/>
  <c r="C27" i="1" a="1"/>
  <c r="C27" i="1" s="1"/>
  <c r="C26" i="1" a="1"/>
  <c r="C26" i="1" s="1"/>
  <c r="C25" i="1" a="1"/>
  <c r="C25" i="1" s="1"/>
  <c r="C24" i="1" a="1"/>
  <c r="C24" i="1" s="1"/>
  <c r="B28" i="1" a="1"/>
  <c r="B28" i="1" s="1"/>
  <c r="R27" i="1" a="1"/>
  <c r="R27" i="1" s="1"/>
  <c r="R18" i="1" a="1"/>
  <c r="R18" i="1" s="1"/>
  <c r="N81" i="3"/>
  <c r="O81" i="3"/>
  <c r="S26" i="1" a="1"/>
  <c r="S26" i="1" s="1"/>
  <c r="O74" i="4"/>
  <c r="N74" i="4"/>
  <c r="N207" i="4"/>
  <c r="O207" i="4"/>
  <c r="N114" i="3"/>
  <c r="O114" i="3"/>
  <c r="N44" i="3"/>
  <c r="N139" i="4"/>
  <c r="O139" i="4"/>
  <c r="N12" i="3"/>
  <c r="O12" i="3"/>
  <c r="N92" i="2"/>
  <c r="N131" i="4"/>
  <c r="P131" i="4"/>
  <c r="O9" i="2"/>
  <c r="N9" i="2"/>
  <c r="N108" i="4"/>
  <c r="P108" i="4"/>
  <c r="N7" i="4"/>
  <c r="O68" i="2"/>
  <c r="N68" i="2"/>
  <c r="N55" i="3"/>
  <c r="O55" i="3"/>
  <c r="N110" i="3"/>
  <c r="O110" i="3"/>
  <c r="N31" i="4"/>
  <c r="B13" i="1" a="1"/>
  <c r="B13" i="1" s="1"/>
  <c r="F7" i="1" a="1"/>
  <c r="F7" i="1" s="1"/>
  <c r="N9" i="4"/>
  <c r="N16" i="3"/>
  <c r="O16" i="3"/>
  <c r="N106" i="3"/>
  <c r="O106" i="3"/>
  <c r="B27" i="1" a="1"/>
  <c r="B27" i="1" s="1"/>
  <c r="O150" i="4"/>
  <c r="N150" i="4"/>
  <c r="N274" i="4"/>
  <c r="O274" i="4"/>
  <c r="N227" i="4"/>
  <c r="O227" i="4"/>
  <c r="F27" i="1" a="1"/>
  <c r="F27" i="1" s="1"/>
  <c r="O254" i="4"/>
  <c r="N254" i="4"/>
  <c r="N133" i="4"/>
  <c r="O133" i="4"/>
  <c r="O226" i="4"/>
  <c r="N226" i="4"/>
  <c r="O111" i="4"/>
  <c r="N111" i="4"/>
  <c r="N57" i="2"/>
  <c r="O57" i="2"/>
  <c r="O248" i="4"/>
  <c r="N248" i="4"/>
  <c r="N57" i="3"/>
  <c r="O57" i="3"/>
  <c r="N119" i="4"/>
  <c r="O119" i="4"/>
  <c r="O202" i="4"/>
  <c r="N202" i="4"/>
  <c r="N3" i="4"/>
  <c r="F24" i="1" a="1"/>
  <c r="F24" i="1" s="1"/>
  <c r="F25" i="1" a="1"/>
  <c r="F25" i="1" s="1"/>
  <c r="N208" i="4"/>
  <c r="R26" i="1" a="1"/>
  <c r="R26" i="1" s="1"/>
  <c r="N2" i="2"/>
  <c r="B7" i="1" a="1"/>
  <c r="B7" i="1" s="1"/>
  <c r="B6" i="1" a="1"/>
  <c r="B6" i="1" s="1"/>
  <c r="B5" i="1" a="1"/>
  <c r="B5" i="1" s="1"/>
  <c r="B4" i="1" a="1"/>
  <c r="B4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C3" i="1" a="1"/>
  <c r="C3" i="1" s="1"/>
  <c r="B8" i="1" a="1"/>
  <c r="B8" i="1" s="1"/>
  <c r="B3" i="1" a="1"/>
  <c r="B3" i="1" s="1"/>
  <c r="O2" i="2"/>
  <c r="C13" i="1" a="1"/>
  <c r="C13" i="1" s="1"/>
  <c r="N279" i="4"/>
  <c r="O279" i="4"/>
  <c r="N28" i="4"/>
  <c r="O28" i="4"/>
  <c r="P56" i="3"/>
  <c r="N56" i="3"/>
  <c r="N66" i="4"/>
  <c r="O66" i="4"/>
  <c r="N58" i="2"/>
  <c r="O224" i="4"/>
  <c r="N224" i="4"/>
  <c r="N32" i="4"/>
  <c r="O124" i="4"/>
  <c r="N124" i="4"/>
  <c r="R28" i="1" a="1"/>
  <c r="R28" i="1" s="1"/>
  <c r="O50" i="4"/>
  <c r="N50" i="4"/>
  <c r="O101" i="4"/>
  <c r="N101" i="4"/>
  <c r="P73" i="2"/>
  <c r="N73" i="2"/>
  <c r="O172" i="4"/>
  <c r="N172" i="4"/>
  <c r="N12" i="4"/>
  <c r="O12" i="4"/>
  <c r="N46" i="4"/>
  <c r="O46" i="4"/>
  <c r="N5" i="3"/>
  <c r="O5" i="3"/>
  <c r="C15" i="1" a="1"/>
  <c r="C15" i="1" s="1"/>
  <c r="E15" i="1" s="1"/>
  <c r="N62" i="2"/>
  <c r="O62" i="2"/>
  <c r="N71" i="3"/>
  <c r="O71" i="3"/>
  <c r="N28" i="2"/>
  <c r="B14" i="1" a="1"/>
  <c r="B14" i="1" s="1"/>
  <c r="G23" i="1" a="1"/>
  <c r="G23" i="1" s="1"/>
  <c r="O113" i="4"/>
  <c r="N113" i="4"/>
  <c r="O174" i="4"/>
  <c r="N174" i="4"/>
  <c r="N127" i="4"/>
  <c r="O127" i="4"/>
  <c r="N231" i="4"/>
  <c r="O231" i="4"/>
  <c r="O260" i="4"/>
  <c r="N260" i="4"/>
  <c r="N50" i="3"/>
  <c r="P50" i="3"/>
  <c r="N154" i="4"/>
  <c r="O154" i="4"/>
  <c r="N112" i="4"/>
  <c r="O112" i="4"/>
  <c r="N31" i="2"/>
  <c r="O31" i="2"/>
  <c r="N229" i="4"/>
  <c r="P229" i="4"/>
  <c r="N213" i="4"/>
  <c r="O213" i="4"/>
  <c r="O192" i="4"/>
  <c r="N192" i="4"/>
  <c r="O246" i="4"/>
  <c r="N246" i="4"/>
  <c r="N71" i="2"/>
  <c r="P71" i="2"/>
  <c r="P189" i="4"/>
  <c r="N189" i="4"/>
  <c r="P191" i="4"/>
  <c r="N149" i="4"/>
  <c r="P149" i="4"/>
  <c r="O24" i="4"/>
  <c r="N24" i="4"/>
  <c r="S23" i="1" a="1"/>
  <c r="S23" i="1" s="1"/>
  <c r="S15" i="1" a="1"/>
  <c r="S15" i="1" s="1"/>
  <c r="O54" i="4"/>
  <c r="N54" i="4"/>
  <c r="O187" i="4"/>
  <c r="N187" i="4"/>
  <c r="O94" i="3"/>
  <c r="N94" i="3"/>
  <c r="N15" i="2"/>
  <c r="O15" i="2"/>
  <c r="N68" i="4"/>
  <c r="O68" i="4"/>
  <c r="N11" i="3"/>
  <c r="O11" i="3"/>
  <c r="O80" i="2"/>
  <c r="N80" i="2"/>
  <c r="N222" i="4"/>
  <c r="O222" i="4"/>
  <c r="N182" i="4"/>
  <c r="O182" i="4"/>
  <c r="N99" i="4"/>
  <c r="O99" i="4"/>
  <c r="N228" i="4"/>
  <c r="O228" i="4"/>
  <c r="N88" i="4"/>
  <c r="O88" i="4"/>
  <c r="B18" i="1" a="1"/>
  <c r="B18" i="1" s="1"/>
  <c r="O35" i="3"/>
  <c r="N35" i="3"/>
  <c r="N90" i="3"/>
  <c r="O90" i="3"/>
  <c r="N19" i="4"/>
  <c r="O19" i="4"/>
  <c r="N166" i="4"/>
  <c r="O166" i="4"/>
  <c r="N29" i="4"/>
  <c r="P29" i="4"/>
  <c r="N240" i="4"/>
  <c r="O240" i="4"/>
  <c r="N200" i="4"/>
  <c r="O200" i="4"/>
  <c r="B26" i="1" a="1"/>
  <c r="B26" i="1" s="1"/>
  <c r="O18" i="4"/>
  <c r="N18" i="4"/>
  <c r="N214" i="4"/>
  <c r="P214" i="4"/>
  <c r="O81" i="4"/>
  <c r="N81" i="4"/>
  <c r="O82" i="2"/>
  <c r="N129" i="4"/>
  <c r="P129" i="4"/>
  <c r="S24" i="1" a="1"/>
  <c r="S24" i="1" s="1"/>
  <c r="U24" i="1" s="1"/>
  <c r="N53" i="4"/>
  <c r="O53" i="4"/>
  <c r="O206" i="4"/>
  <c r="N206" i="4"/>
  <c r="O26" i="4"/>
  <c r="N26" i="4"/>
  <c r="N42" i="2"/>
  <c r="O42" i="2"/>
  <c r="N93" i="4"/>
  <c r="O62" i="4"/>
  <c r="N62" i="4"/>
  <c r="N91" i="4"/>
  <c r="O91" i="4"/>
  <c r="G15" i="1" a="1"/>
  <c r="G15" i="1" s="1"/>
  <c r="I15" i="1" s="1"/>
  <c r="N162" i="4"/>
  <c r="O162" i="4"/>
  <c r="N8" i="2"/>
  <c r="O8" i="2"/>
  <c r="C14" i="1" a="1"/>
  <c r="C14" i="1" s="1"/>
  <c r="N18" i="2"/>
  <c r="Y10" i="4"/>
  <c r="Y56" i="4"/>
  <c r="X231" i="4"/>
  <c r="X272" i="4"/>
  <c r="W65" i="4"/>
  <c r="W9" i="4"/>
  <c r="Y66" i="4"/>
  <c r="Y121" i="4"/>
  <c r="X264" i="4"/>
  <c r="Y117" i="4"/>
  <c r="W270" i="4"/>
  <c r="Y24" i="4"/>
  <c r="X283" i="4"/>
  <c r="X248" i="4"/>
  <c r="X241" i="4"/>
  <c r="W53" i="4"/>
  <c r="X266" i="4"/>
  <c r="W273" i="4"/>
  <c r="W237" i="4"/>
  <c r="Y32" i="4"/>
  <c r="X230" i="4"/>
  <c r="X262" i="4"/>
  <c r="X239" i="4"/>
  <c r="W96" i="4"/>
  <c r="X219" i="4"/>
  <c r="W260" i="4"/>
  <c r="W255" i="4"/>
  <c r="Y79" i="4"/>
  <c r="Y89" i="4"/>
  <c r="X223" i="4"/>
  <c r="X235" i="4"/>
  <c r="X281" i="4"/>
  <c r="W110" i="4"/>
  <c r="Y127" i="4"/>
  <c r="X233" i="4"/>
  <c r="W243" i="4"/>
  <c r="W236" i="4"/>
  <c r="Y78" i="4"/>
  <c r="X218" i="4"/>
  <c r="X258" i="4"/>
  <c r="X279" i="4"/>
  <c r="W43" i="4"/>
  <c r="Y164" i="4"/>
  <c r="X270" i="4"/>
  <c r="X263" i="4"/>
  <c r="W265" i="4"/>
  <c r="W275" i="4"/>
  <c r="Y63" i="4"/>
  <c r="X232" i="4"/>
  <c r="X234" i="4"/>
  <c r="X238" i="4"/>
  <c r="X236" i="4"/>
  <c r="W90" i="4"/>
  <c r="W181" i="4"/>
  <c r="X265" i="4"/>
  <c r="X225" i="4"/>
  <c r="X278" i="4"/>
  <c r="W20" i="4"/>
  <c r="W194" i="4"/>
  <c r="X240" i="4"/>
  <c r="X274" i="4"/>
  <c r="Y76" i="4"/>
  <c r="X245" i="4"/>
  <c r="W254" i="4"/>
  <c r="W248" i="4"/>
  <c r="X273" i="4"/>
  <c r="Y31" i="4"/>
  <c r="X255" i="4"/>
  <c r="W272" i="4"/>
  <c r="W278" i="4"/>
  <c r="Y28" i="4"/>
  <c r="Y93" i="4"/>
  <c r="X220" i="4"/>
  <c r="X243" i="4"/>
  <c r="X271" i="4"/>
  <c r="W70" i="4"/>
  <c r="Y102" i="4"/>
  <c r="Y52" i="4"/>
  <c r="W242" i="4"/>
  <c r="Y94" i="4"/>
  <c r="W245" i="4"/>
  <c r="W279" i="4"/>
  <c r="Y60" i="4"/>
  <c r="X221" i="4"/>
  <c r="Y65" i="4"/>
  <c r="W264" i="4"/>
  <c r="W259" i="4"/>
  <c r="Y80" i="4"/>
  <c r="Y107" i="4"/>
  <c r="Y70" i="4"/>
  <c r="Y6" i="4"/>
  <c r="X228" i="4"/>
  <c r="X261" i="4"/>
  <c r="X260" i="4"/>
  <c r="W56" i="4"/>
  <c r="Y97" i="4"/>
  <c r="W283" i="4"/>
  <c r="Y47" i="4"/>
  <c r="X244" i="4"/>
  <c r="Y88" i="4"/>
  <c r="X227" i="4"/>
  <c r="X252" i="4"/>
  <c r="X247" i="4"/>
  <c r="W31" i="4"/>
  <c r="W108" i="4"/>
  <c r="Y37" i="4"/>
  <c r="X250" i="4"/>
  <c r="X253" i="4"/>
  <c r="Y15" i="4"/>
  <c r="W282" i="4"/>
  <c r="W249" i="4"/>
  <c r="X269" i="4"/>
  <c r="Y73" i="4"/>
  <c r="Y82" i="4"/>
  <c r="Y209" i="4"/>
  <c r="X224" i="4"/>
  <c r="X257" i="4"/>
  <c r="X267" i="4"/>
  <c r="X31" i="4"/>
  <c r="X95" i="4"/>
  <c r="X45" i="4"/>
  <c r="X104" i="4"/>
  <c r="W78" i="4"/>
  <c r="W69" i="4"/>
  <c r="X237" i="4"/>
  <c r="X259" i="4"/>
  <c r="X246" i="4"/>
  <c r="W256" i="4"/>
  <c r="W241" i="4"/>
  <c r="W247" i="4"/>
  <c r="Y115" i="4"/>
  <c r="Y74" i="4"/>
  <c r="W271" i="4"/>
  <c r="W239" i="4"/>
  <c r="X280" i="4"/>
  <c r="Y39" i="4"/>
  <c r="Y68" i="4"/>
  <c r="Y207" i="4"/>
  <c r="X34" i="4"/>
  <c r="X98" i="4"/>
  <c r="X78" i="4"/>
  <c r="X3" i="4"/>
  <c r="X86" i="4"/>
  <c r="W6" i="4"/>
  <c r="W55" i="4"/>
  <c r="W48" i="4"/>
  <c r="W77" i="4"/>
  <c r="W19" i="4"/>
  <c r="W105" i="4"/>
  <c r="Y160" i="4"/>
  <c r="Y147" i="4"/>
  <c r="Y90" i="4"/>
  <c r="W79" i="4"/>
  <c r="W95" i="4"/>
  <c r="W3" i="4"/>
  <c r="W13" i="4"/>
  <c r="W87" i="4"/>
  <c r="Y131" i="4"/>
  <c r="Y128" i="4"/>
  <c r="W30" i="4"/>
  <c r="W91" i="4"/>
  <c r="Y157" i="4"/>
  <c r="Y33" i="4"/>
  <c r="Y77" i="4"/>
  <c r="W125" i="4"/>
  <c r="W4" i="4"/>
  <c r="W35" i="4"/>
  <c r="W42" i="4"/>
  <c r="Y136" i="4"/>
  <c r="Y162" i="4"/>
  <c r="Y189" i="4"/>
  <c r="W57" i="4"/>
  <c r="Y144" i="4"/>
  <c r="Y9" i="4"/>
  <c r="Y3" i="4"/>
  <c r="W66" i="4"/>
  <c r="W117" i="4"/>
  <c r="W28" i="4"/>
  <c r="W11" i="4"/>
  <c r="Y143" i="4"/>
  <c r="Y137" i="4"/>
  <c r="W7" i="4"/>
  <c r="Y91" i="4"/>
  <c r="Y103" i="4"/>
  <c r="Y83" i="4"/>
  <c r="Y44" i="4"/>
  <c r="Y25" i="4"/>
  <c r="W118" i="4"/>
  <c r="W100" i="4"/>
  <c r="W21" i="4"/>
  <c r="W122" i="4"/>
  <c r="Y165" i="4"/>
  <c r="Y135" i="4"/>
  <c r="W49" i="4"/>
  <c r="W64" i="4"/>
  <c r="Y151" i="4"/>
  <c r="Y49" i="4"/>
  <c r="W2" i="4"/>
  <c r="Y140" i="4"/>
  <c r="W36" i="4"/>
  <c r="Y58" i="4"/>
  <c r="W51" i="4"/>
  <c r="W5" i="4"/>
  <c r="W8" i="4"/>
  <c r="Y161" i="4"/>
  <c r="Y145" i="4"/>
  <c r="Y41" i="4"/>
  <c r="Y36" i="4"/>
  <c r="Y204" i="4"/>
  <c r="W50" i="4"/>
  <c r="W112" i="4"/>
  <c r="W123" i="4"/>
  <c r="W33" i="4"/>
  <c r="Y159" i="4"/>
  <c r="Y139" i="4"/>
  <c r="X277" i="4"/>
  <c r="X249" i="4"/>
  <c r="X276" i="4"/>
  <c r="X275" i="4"/>
  <c r="W24" i="4"/>
  <c r="Y23" i="4"/>
  <c r="W17" i="4"/>
  <c r="W71" i="4"/>
  <c r="W106" i="4"/>
  <c r="Y153" i="4"/>
  <c r="Y163" i="4"/>
  <c r="W116" i="4"/>
  <c r="Y130" i="4"/>
  <c r="W72" i="4"/>
  <c r="Y156" i="4"/>
  <c r="Y34" i="4"/>
  <c r="W94" i="4"/>
  <c r="Y201" i="4"/>
  <c r="Y35" i="4"/>
  <c r="Y177" i="4"/>
  <c r="Y19" i="4"/>
  <c r="Y17" i="4"/>
  <c r="Y178" i="4"/>
  <c r="Y217" i="4"/>
  <c r="Y187" i="4"/>
  <c r="W99" i="4"/>
  <c r="W63" i="4"/>
  <c r="W41" i="4"/>
  <c r="W89" i="4"/>
  <c r="Y133" i="4"/>
  <c r="Y155" i="4"/>
  <c r="W124" i="4"/>
  <c r="Y13" i="4"/>
  <c r="Y61" i="4"/>
  <c r="W34" i="4"/>
  <c r="W103" i="4"/>
  <c r="Y14" i="4"/>
  <c r="Y2" i="4"/>
  <c r="W16" i="4"/>
  <c r="W45" i="4"/>
  <c r="W76" i="4"/>
  <c r="Y150" i="4"/>
  <c r="Y134" i="4"/>
  <c r="Y72" i="4"/>
  <c r="Y125" i="4"/>
  <c r="Y71" i="4"/>
  <c r="Y95" i="4"/>
  <c r="Y92" i="4"/>
  <c r="Y214" i="4"/>
  <c r="Y109" i="4"/>
  <c r="W98" i="4"/>
  <c r="W93" i="4"/>
  <c r="W26" i="4"/>
  <c r="W61" i="4"/>
  <c r="Y132" i="4"/>
  <c r="X169" i="4"/>
  <c r="X183" i="4"/>
  <c r="X186" i="4"/>
  <c r="X170" i="4"/>
  <c r="X171" i="4"/>
  <c r="X189" i="4"/>
  <c r="X200" i="4"/>
  <c r="X178" i="4"/>
  <c r="X179" i="4"/>
  <c r="X190" i="4"/>
  <c r="X194" i="4"/>
  <c r="X203" i="4"/>
  <c r="X184" i="4"/>
  <c r="X185" i="4"/>
  <c r="X180" i="4"/>
  <c r="X195" i="4"/>
  <c r="X191" i="4"/>
  <c r="X201" i="4"/>
  <c r="X166" i="4"/>
  <c r="X173" i="4"/>
  <c r="X174" i="4"/>
  <c r="X181" i="4"/>
  <c r="X199" i="4"/>
  <c r="X192" i="4"/>
  <c r="X197" i="4"/>
  <c r="X177" i="4"/>
  <c r="X193" i="4"/>
  <c r="X172" i="4"/>
  <c r="X175" i="4"/>
  <c r="X176" i="4"/>
  <c r="X196" i="4"/>
  <c r="X182" i="4"/>
  <c r="X198" i="4"/>
  <c r="X167" i="4"/>
  <c r="X188" i="4"/>
  <c r="X202" i="4"/>
  <c r="X187" i="4"/>
  <c r="X168" i="4"/>
  <c r="Y84" i="4"/>
  <c r="Y30" i="4"/>
  <c r="Y45" i="4"/>
  <c r="Y43" i="4"/>
  <c r="Y51" i="4"/>
  <c r="Y100" i="4"/>
  <c r="W39" i="4"/>
  <c r="W74" i="4"/>
  <c r="W179" i="4"/>
  <c r="Y29" i="4"/>
  <c r="Y98" i="4"/>
  <c r="W59" i="4"/>
  <c r="W203" i="4"/>
  <c r="W223" i="4"/>
  <c r="W225" i="4"/>
  <c r="W232" i="4"/>
  <c r="W233" i="4"/>
  <c r="W229" i="4"/>
  <c r="W226" i="4"/>
  <c r="W219" i="4"/>
  <c r="W230" i="4"/>
  <c r="W227" i="4"/>
  <c r="W224" i="4"/>
  <c r="W228" i="4"/>
  <c r="W220" i="4"/>
  <c r="W231" i="4"/>
  <c r="W221" i="4"/>
  <c r="W222" i="4"/>
  <c r="W218" i="4"/>
  <c r="Y116" i="4"/>
  <c r="Y87" i="4"/>
  <c r="W83" i="4"/>
  <c r="W197" i="4"/>
  <c r="W190" i="4"/>
  <c r="Y26" i="4"/>
  <c r="Y120" i="4"/>
  <c r="Y113" i="4"/>
  <c r="Y101" i="4"/>
  <c r="Y50" i="4"/>
  <c r="W12" i="4"/>
  <c r="W85" i="4"/>
  <c r="W68" i="4"/>
  <c r="W174" i="4"/>
  <c r="W178" i="4"/>
  <c r="W195" i="4"/>
  <c r="W200" i="4"/>
  <c r="W173" i="4"/>
  <c r="Y5" i="4"/>
  <c r="Y38" i="4"/>
  <c r="Y64" i="4"/>
  <c r="Y57" i="4"/>
  <c r="Y59" i="4"/>
  <c r="W115" i="4"/>
  <c r="W38" i="4"/>
  <c r="W47" i="4"/>
  <c r="W75" i="4"/>
  <c r="W40" i="4"/>
  <c r="W119" i="4"/>
  <c r="W166" i="4"/>
  <c r="W169" i="4"/>
  <c r="W207" i="4"/>
  <c r="W208" i="4"/>
  <c r="W215" i="4"/>
  <c r="W217" i="4"/>
  <c r="W204" i="4"/>
  <c r="W209" i="4"/>
  <c r="W210" i="4"/>
  <c r="W206" i="4"/>
  <c r="W211" i="4"/>
  <c r="W214" i="4"/>
  <c r="W212" i="4"/>
  <c r="W213" i="4"/>
  <c r="W216" i="4"/>
  <c r="W205" i="4"/>
  <c r="W170" i="4"/>
  <c r="Y75" i="4"/>
  <c r="Y118" i="4"/>
  <c r="Y124" i="4"/>
  <c r="W251" i="4"/>
  <c r="W253" i="4"/>
  <c r="Y122" i="4"/>
  <c r="Y8" i="4"/>
  <c r="Y48" i="4"/>
  <c r="Y213" i="4"/>
  <c r="W58" i="4"/>
  <c r="W82" i="4"/>
  <c r="W29" i="4"/>
  <c r="W27" i="4"/>
  <c r="W25" i="4"/>
  <c r="W102" i="4"/>
  <c r="W201" i="4"/>
  <c r="W193" i="4"/>
  <c r="Y108" i="4"/>
  <c r="Y27" i="4"/>
  <c r="Y106" i="4"/>
  <c r="Y86" i="4"/>
  <c r="Y119" i="4"/>
  <c r="Y22" i="4"/>
  <c r="Y7" i="4"/>
  <c r="W23" i="4"/>
  <c r="W73" i="4"/>
  <c r="W62" i="4"/>
  <c r="W15" i="4"/>
  <c r="W10" i="4"/>
  <c r="W54" i="4"/>
  <c r="W199" i="4"/>
  <c r="W189" i="4"/>
  <c r="W198" i="4"/>
  <c r="X132" i="4"/>
  <c r="X145" i="4"/>
  <c r="X153" i="4"/>
  <c r="X140" i="4"/>
  <c r="X159" i="4"/>
  <c r="X143" i="4"/>
  <c r="X151" i="4"/>
  <c r="X146" i="4"/>
  <c r="X152" i="4"/>
  <c r="X144" i="4"/>
  <c r="X165" i="4"/>
  <c r="X138" i="4"/>
  <c r="X154" i="4"/>
  <c r="X133" i="4"/>
  <c r="X161" i="4"/>
  <c r="X136" i="4"/>
  <c r="X139" i="4"/>
  <c r="X156" i="4"/>
  <c r="X129" i="4"/>
  <c r="X135" i="4"/>
  <c r="X137" i="4"/>
  <c r="X162" i="4"/>
  <c r="X130" i="4"/>
  <c r="X148" i="4"/>
  <c r="X157" i="4"/>
  <c r="X149" i="4"/>
  <c r="X164" i="4"/>
  <c r="X141" i="4"/>
  <c r="X160" i="4"/>
  <c r="X128" i="4"/>
  <c r="X142" i="4"/>
  <c r="X131" i="4"/>
  <c r="X163" i="4"/>
  <c r="X134" i="4"/>
  <c r="X127" i="4"/>
  <c r="X147" i="4"/>
  <c r="X150" i="4"/>
  <c r="X158" i="4"/>
  <c r="X155" i="4"/>
  <c r="W180" i="4"/>
  <c r="Y110" i="4"/>
  <c r="W235" i="4"/>
  <c r="W266" i="4"/>
  <c r="W244" i="4"/>
  <c r="W234" i="4"/>
  <c r="Y126" i="4"/>
  <c r="Y55" i="4"/>
  <c r="Y67" i="4"/>
  <c r="Y112" i="4"/>
  <c r="Y99" i="4"/>
  <c r="W274" i="4"/>
  <c r="W113" i="4"/>
  <c r="W80" i="4"/>
  <c r="W111" i="4"/>
  <c r="W14" i="4"/>
  <c r="W88" i="4"/>
  <c r="W121" i="4"/>
  <c r="W187" i="4"/>
  <c r="W188" i="4"/>
  <c r="W196" i="4"/>
  <c r="W176" i="4"/>
  <c r="W186" i="4"/>
  <c r="W168" i="4"/>
  <c r="W202" i="4"/>
  <c r="Y21" i="4"/>
  <c r="Y18" i="4"/>
  <c r="Y62" i="4"/>
  <c r="W141" i="4"/>
  <c r="W155" i="4"/>
  <c r="W148" i="4"/>
  <c r="W131" i="4"/>
  <c r="W132" i="4"/>
  <c r="W150" i="4"/>
  <c r="W128" i="4"/>
  <c r="W143" i="4"/>
  <c r="W151" i="4"/>
  <c r="W146" i="4"/>
  <c r="W152" i="4"/>
  <c r="W144" i="4"/>
  <c r="W165" i="4"/>
  <c r="W133" i="4"/>
  <c r="W161" i="4"/>
  <c r="W136" i="4"/>
  <c r="W138" i="4"/>
  <c r="W153" i="4"/>
  <c r="W159" i="4"/>
  <c r="W134" i="4"/>
  <c r="W147" i="4"/>
  <c r="W154" i="4"/>
  <c r="W163" i="4"/>
  <c r="W139" i="4"/>
  <c r="W135" i="4"/>
  <c r="W137" i="4"/>
  <c r="W145" i="4"/>
  <c r="W162" i="4"/>
  <c r="W127" i="4"/>
  <c r="W140" i="4"/>
  <c r="W158" i="4"/>
  <c r="W160" i="4"/>
  <c r="W156" i="4"/>
  <c r="W157" i="4"/>
  <c r="W130" i="4"/>
  <c r="W142" i="4"/>
  <c r="W164" i="4"/>
  <c r="W129" i="4"/>
  <c r="W149" i="4"/>
  <c r="W183" i="4"/>
  <c r="W276" i="4"/>
  <c r="W284" i="4"/>
  <c r="Y40" i="4"/>
  <c r="Y12" i="4"/>
  <c r="Y85" i="4"/>
  <c r="Y114" i="4"/>
  <c r="Y46" i="4"/>
  <c r="Y4" i="4"/>
  <c r="W252" i="4"/>
  <c r="W18" i="4"/>
  <c r="W67" i="4"/>
  <c r="W92" i="4"/>
  <c r="W107" i="4"/>
  <c r="W104" i="4"/>
  <c r="W46" i="4"/>
  <c r="W191" i="4"/>
  <c r="W167" i="4"/>
  <c r="W182" i="4"/>
  <c r="X204" i="4"/>
  <c r="X205" i="4"/>
  <c r="X210" i="4"/>
  <c r="X206" i="4"/>
  <c r="X216" i="4"/>
  <c r="X212" i="4"/>
  <c r="X213" i="4"/>
  <c r="X215" i="4"/>
  <c r="X208" i="4"/>
  <c r="X209" i="4"/>
  <c r="X207" i="4"/>
  <c r="X211" i="4"/>
  <c r="X217" i="4"/>
  <c r="X214" i="4"/>
  <c r="Y105" i="4"/>
  <c r="Y42" i="4"/>
  <c r="Y210" i="4"/>
  <c r="Y208" i="4"/>
  <c r="Y215" i="4"/>
  <c r="W175" i="4"/>
  <c r="W257" i="4"/>
  <c r="W280" i="4"/>
  <c r="Y81" i="4"/>
  <c r="Y123" i="4"/>
  <c r="Y69" i="4"/>
  <c r="Y96" i="4"/>
  <c r="Y111" i="4"/>
  <c r="Y20" i="4"/>
  <c r="W101" i="4"/>
  <c r="W52" i="4"/>
  <c r="W60" i="4"/>
  <c r="W86" i="4"/>
  <c r="W84" i="4"/>
  <c r="W185" i="4"/>
  <c r="W192" i="4"/>
  <c r="Y11" i="4"/>
  <c r="W172" i="4"/>
  <c r="W177" i="4"/>
  <c r="W184" i="4"/>
  <c r="Y53" i="3"/>
  <c r="X97" i="3"/>
  <c r="X100" i="3"/>
  <c r="W91" i="3"/>
  <c r="W79" i="3"/>
  <c r="W90" i="3"/>
  <c r="W86" i="3"/>
  <c r="Y66" i="3"/>
  <c r="W77" i="3"/>
  <c r="W78" i="3"/>
  <c r="Y61" i="3"/>
  <c r="W38" i="3"/>
  <c r="W29" i="3"/>
  <c r="W72" i="3"/>
  <c r="X64" i="3"/>
  <c r="Y85" i="3"/>
  <c r="Y60" i="3"/>
  <c r="X94" i="3"/>
  <c r="W22" i="3"/>
  <c r="W45" i="3"/>
  <c r="W87" i="3"/>
  <c r="Y70" i="3"/>
  <c r="Y64" i="3"/>
  <c r="X96" i="3"/>
  <c r="W2" i="3"/>
  <c r="W44" i="3"/>
  <c r="W88" i="3"/>
  <c r="Y75" i="3"/>
  <c r="Y67" i="3"/>
  <c r="X104" i="3"/>
  <c r="W33" i="3"/>
  <c r="W27" i="3"/>
  <c r="W75" i="3"/>
  <c r="Y81" i="3"/>
  <c r="Y58" i="3"/>
  <c r="X93" i="3"/>
  <c r="Y80" i="3"/>
  <c r="Y57" i="3"/>
  <c r="X98" i="3"/>
  <c r="Y51" i="3"/>
  <c r="W12" i="3"/>
  <c r="X84" i="3"/>
  <c r="X56" i="3"/>
  <c r="W34" i="3"/>
  <c r="W3" i="3"/>
  <c r="W83" i="3"/>
  <c r="Y79" i="3"/>
  <c r="Y62" i="3"/>
  <c r="X103" i="3"/>
  <c r="X65" i="3"/>
  <c r="W21" i="3"/>
  <c r="W35" i="3"/>
  <c r="W82" i="3"/>
  <c r="Y86" i="3"/>
  <c r="Y56" i="3"/>
  <c r="X101" i="3"/>
  <c r="W84" i="3"/>
  <c r="X88" i="3"/>
  <c r="W5" i="3"/>
  <c r="W41" i="3"/>
  <c r="Y4" i="3"/>
  <c r="Y37" i="3"/>
  <c r="Y78" i="3"/>
  <c r="Y55" i="3"/>
  <c r="X92" i="3"/>
  <c r="Y65" i="3"/>
  <c r="W8" i="3"/>
  <c r="X81" i="3"/>
  <c r="X78" i="3"/>
  <c r="X69" i="3"/>
  <c r="W11" i="3"/>
  <c r="W26" i="3"/>
  <c r="Y43" i="3"/>
  <c r="Y54" i="3"/>
  <c r="X99" i="3"/>
  <c r="W28" i="3"/>
  <c r="W13" i="3"/>
  <c r="W32" i="3"/>
  <c r="W43" i="3"/>
  <c r="Y63" i="3"/>
  <c r="X114" i="3"/>
  <c r="W20" i="3"/>
  <c r="W18" i="3"/>
  <c r="Y52" i="3"/>
  <c r="X105" i="3"/>
  <c r="W48" i="3"/>
  <c r="W42" i="3"/>
  <c r="Y50" i="3"/>
  <c r="X80" i="3"/>
  <c r="W31" i="3"/>
  <c r="W106" i="3"/>
  <c r="W109" i="3"/>
  <c r="W111" i="3"/>
  <c r="W110" i="3"/>
  <c r="W107" i="3"/>
  <c r="W105" i="3"/>
  <c r="W114" i="3"/>
  <c r="W112" i="3"/>
  <c r="W108" i="3"/>
  <c r="W113" i="3"/>
  <c r="W92" i="3"/>
  <c r="W93" i="3"/>
  <c r="W94" i="3"/>
  <c r="W95" i="3"/>
  <c r="W99" i="3"/>
  <c r="W101" i="3"/>
  <c r="W104" i="3"/>
  <c r="W96" i="3"/>
  <c r="W102" i="3"/>
  <c r="W100" i="3"/>
  <c r="W97" i="3"/>
  <c r="W103" i="3"/>
  <c r="W98" i="3"/>
  <c r="W58" i="3"/>
  <c r="W67" i="3"/>
  <c r="W59" i="3"/>
  <c r="W53" i="3"/>
  <c r="W50" i="3"/>
  <c r="W63" i="3"/>
  <c r="W54" i="3"/>
  <c r="W51" i="3"/>
  <c r="W61" i="3"/>
  <c r="W64" i="3"/>
  <c r="W52" i="3"/>
  <c r="W60" i="3"/>
  <c r="W65" i="3"/>
  <c r="W66" i="3"/>
  <c r="W56" i="3"/>
  <c r="W62" i="3"/>
  <c r="W55" i="3"/>
  <c r="W57" i="3"/>
  <c r="X81" i="2"/>
  <c r="X87" i="2"/>
  <c r="Y29" i="2"/>
  <c r="X92" i="2"/>
  <c r="Y37" i="2"/>
  <c r="X83" i="2"/>
  <c r="Y44" i="2"/>
  <c r="X80" i="2"/>
  <c r="X91" i="2"/>
  <c r="Y28" i="2"/>
  <c r="X73" i="2"/>
  <c r="X90" i="2"/>
  <c r="Y43" i="2"/>
  <c r="X72" i="2"/>
  <c r="X79" i="2"/>
  <c r="X71" i="2"/>
  <c r="X89" i="2"/>
  <c r="W79" i="2"/>
  <c r="X69" i="2"/>
  <c r="X82" i="2"/>
  <c r="W89" i="2"/>
  <c r="X65" i="2"/>
  <c r="X78" i="2"/>
  <c r="W88" i="2"/>
  <c r="X68" i="2"/>
  <c r="X88" i="2"/>
  <c r="X36" i="2"/>
  <c r="W76" i="2"/>
  <c r="X67" i="2"/>
  <c r="X77" i="2"/>
  <c r="X33" i="2"/>
  <c r="W75" i="2"/>
  <c r="X41" i="2"/>
  <c r="W77" i="2"/>
  <c r="X25" i="2"/>
  <c r="Y22" i="2"/>
  <c r="W93" i="2"/>
  <c r="X24" i="2"/>
  <c r="Y34" i="2"/>
  <c r="Y36" i="2"/>
  <c r="W81" i="2"/>
  <c r="X38" i="2"/>
  <c r="Y33" i="2"/>
  <c r="Y35" i="2"/>
  <c r="W92" i="2"/>
  <c r="X29" i="2"/>
  <c r="Y41" i="2"/>
  <c r="W94" i="2"/>
  <c r="X44" i="2"/>
  <c r="Y32" i="2"/>
  <c r="W83" i="2"/>
  <c r="X23" i="2"/>
  <c r="Y31" i="2"/>
  <c r="W80" i="2"/>
  <c r="X28" i="2"/>
  <c r="Y27" i="2"/>
  <c r="W85" i="2"/>
  <c r="X43" i="2"/>
  <c r="Y26" i="2"/>
  <c r="W90" i="2"/>
  <c r="Y25" i="2"/>
  <c r="X35" i="2"/>
  <c r="Y39" i="2"/>
  <c r="W82" i="2"/>
  <c r="X42" i="2"/>
  <c r="Y24" i="2"/>
  <c r="W78" i="2"/>
  <c r="X37" i="2"/>
  <c r="X51" i="2"/>
  <c r="X63" i="2"/>
  <c r="X53" i="2"/>
  <c r="X54" i="2"/>
  <c r="X55" i="2"/>
  <c r="X59" i="2"/>
  <c r="X56" i="2"/>
  <c r="X62" i="2"/>
  <c r="X45" i="2"/>
  <c r="X46" i="2"/>
  <c r="X57" i="2"/>
  <c r="X47" i="2"/>
  <c r="X61" i="2"/>
  <c r="X48" i="2"/>
  <c r="X58" i="2"/>
  <c r="X60" i="2"/>
  <c r="X52" i="2"/>
  <c r="X49" i="2"/>
  <c r="X50" i="2"/>
  <c r="W9" i="2"/>
  <c r="W15" i="2"/>
  <c r="W3" i="2"/>
  <c r="W16" i="2"/>
  <c r="W7" i="2"/>
  <c r="W17" i="2"/>
  <c r="W12" i="2"/>
  <c r="W18" i="2"/>
  <c r="W8" i="2"/>
  <c r="W19" i="2"/>
  <c r="W5" i="2"/>
  <c r="W20" i="2"/>
  <c r="W21" i="2"/>
  <c r="W6" i="2"/>
  <c r="W13" i="2"/>
  <c r="W10" i="2"/>
  <c r="W14" i="2"/>
  <c r="W4" i="2"/>
  <c r="W11" i="2"/>
  <c r="W2" i="2"/>
  <c r="X8" i="2"/>
  <c r="X19" i="2"/>
  <c r="X5" i="2"/>
  <c r="X20" i="2"/>
  <c r="X21" i="2"/>
  <c r="X6" i="2"/>
  <c r="X13" i="2"/>
  <c r="X10" i="2"/>
  <c r="X14" i="2"/>
  <c r="X11" i="2"/>
  <c r="X9" i="2"/>
  <c r="X2" i="2"/>
  <c r="X15" i="2"/>
  <c r="X3" i="2"/>
  <c r="X16" i="2"/>
  <c r="X4" i="2"/>
  <c r="X7" i="2"/>
  <c r="X17" i="2"/>
  <c r="X12" i="2"/>
  <c r="X18" i="2"/>
  <c r="W72" i="2"/>
  <c r="W73" i="2"/>
  <c r="W74" i="2"/>
  <c r="W66" i="2"/>
  <c r="W70" i="2"/>
  <c r="W67" i="2"/>
  <c r="W68" i="2"/>
  <c r="W65" i="2"/>
  <c r="W69" i="2"/>
  <c r="W71" i="2"/>
  <c r="D28" i="1" l="1"/>
  <c r="D18" i="1"/>
  <c r="U16" i="1"/>
  <c r="I18" i="1"/>
  <c r="D13" i="1"/>
  <c r="H25" i="1"/>
  <c r="H24" i="1"/>
  <c r="U5" i="1"/>
  <c r="T3" i="1"/>
  <c r="T14" i="1"/>
  <c r="T27" i="1"/>
  <c r="D23" i="1"/>
  <c r="T15" i="1"/>
  <c r="E14" i="1"/>
  <c r="E17" i="1"/>
  <c r="I14" i="1"/>
  <c r="D3" i="1"/>
  <c r="I16" i="1"/>
  <c r="E16" i="1"/>
  <c r="H4" i="1"/>
  <c r="I17" i="1"/>
  <c r="I28" i="1"/>
  <c r="H8" i="1"/>
  <c r="D26" i="1"/>
  <c r="E25" i="1"/>
  <c r="H13" i="1"/>
  <c r="H5" i="1"/>
  <c r="U23" i="1"/>
  <c r="I3" i="1"/>
  <c r="U4" i="1"/>
  <c r="U6" i="1"/>
  <c r="U28" i="1"/>
  <c r="U13" i="1"/>
  <c r="U17" i="1"/>
  <c r="E8" i="1"/>
  <c r="U18" i="1"/>
  <c r="D5" i="1"/>
  <c r="H7" i="1"/>
  <c r="U7" i="1"/>
  <c r="D4" i="1"/>
  <c r="D6" i="1"/>
  <c r="U8" i="1"/>
  <c r="D7" i="1"/>
  <c r="I6" i="1"/>
  <c r="T26" i="1"/>
  <c r="H27" i="1"/>
  <c r="H26" i="1"/>
  <c r="I23" i="1"/>
  <c r="U25" i="1"/>
  <c r="D27" i="1"/>
  <c r="E24" i="1"/>
  <c r="T16" i="1"/>
  <c r="H23" i="1"/>
  <c r="T17" i="1"/>
  <c r="E23" i="1"/>
  <c r="I8" i="1"/>
  <c r="T23" i="1"/>
  <c r="T25" i="1"/>
  <c r="I4" i="1"/>
  <c r="U26" i="1"/>
  <c r="H16" i="1"/>
  <c r="I25" i="1"/>
  <c r="U27" i="1"/>
  <c r="T13" i="1"/>
  <c r="E13" i="1"/>
  <c r="D25" i="1"/>
  <c r="H18" i="1"/>
  <c r="I7" i="1"/>
  <c r="D24" i="1"/>
  <c r="T18" i="1"/>
  <c r="I13" i="1"/>
  <c r="H28" i="1"/>
  <c r="D15" i="1"/>
  <c r="U3" i="1"/>
  <c r="D8" i="1"/>
  <c r="U64" i="2" s="1"/>
  <c r="H15" i="1"/>
  <c r="T4" i="1"/>
  <c r="I5" i="1"/>
  <c r="D14" i="1"/>
  <c r="E3" i="1"/>
  <c r="H14" i="1"/>
  <c r="U14" i="1"/>
  <c r="T24" i="1"/>
  <c r="T28" i="1"/>
  <c r="E4" i="1"/>
  <c r="D17" i="1"/>
  <c r="T5" i="1"/>
  <c r="E28" i="1"/>
  <c r="U15" i="1"/>
  <c r="E5" i="1"/>
  <c r="H17" i="1"/>
  <c r="T6" i="1"/>
  <c r="E18" i="1"/>
  <c r="E6" i="1"/>
  <c r="E26" i="1"/>
  <c r="I26" i="1"/>
  <c r="T7" i="1"/>
  <c r="D16" i="1"/>
  <c r="E7" i="1"/>
  <c r="E27" i="1"/>
  <c r="H3" i="1"/>
  <c r="H6" i="1"/>
  <c r="I27" i="1"/>
  <c r="T8" i="1"/>
  <c r="I24" i="1"/>
  <c r="A9" i="12" a="1"/>
  <c r="A6" i="12" s="1"/>
  <c r="V64" i="2" l="1"/>
  <c r="U262" i="4"/>
  <c r="U275" i="4"/>
  <c r="U234" i="4"/>
  <c r="U274" i="4"/>
  <c r="U236" i="4"/>
  <c r="U246" i="4"/>
  <c r="U256" i="4"/>
  <c r="U283" i="4"/>
  <c r="U257" i="4"/>
  <c r="U272" i="4"/>
  <c r="U252" i="4"/>
  <c r="U276" i="4"/>
  <c r="U260" i="4"/>
  <c r="U261" i="4"/>
  <c r="U235" i="4"/>
  <c r="U273" i="4"/>
  <c r="U244" i="4"/>
  <c r="U237" i="4"/>
  <c r="U258" i="4"/>
  <c r="U277" i="4"/>
  <c r="U248" i="4"/>
  <c r="U278" i="4"/>
  <c r="U238" i="4"/>
  <c r="U247" i="4"/>
  <c r="U265" i="4"/>
  <c r="U268" i="4"/>
  <c r="U245" i="4"/>
  <c r="U239" i="4"/>
  <c r="U253" i="4"/>
  <c r="U259" i="4"/>
  <c r="U254" i="4"/>
  <c r="U240" i="4"/>
  <c r="U241" i="4"/>
  <c r="U249" i="4"/>
  <c r="U255" i="4"/>
  <c r="U269" i="4"/>
  <c r="U280" i="4"/>
  <c r="U251" i="4"/>
  <c r="U267" i="4"/>
  <c r="U271" i="4"/>
  <c r="U279" i="4"/>
  <c r="U281" i="4"/>
  <c r="U264" i="4"/>
  <c r="U282" i="4"/>
  <c r="U242" i="4"/>
  <c r="U266" i="4"/>
  <c r="U243" i="4"/>
  <c r="U270" i="4"/>
  <c r="U250" i="4"/>
  <c r="U284" i="4"/>
  <c r="U263" i="4"/>
  <c r="U229" i="4"/>
  <c r="U222" i="4"/>
  <c r="U224" i="4"/>
  <c r="U228" i="4"/>
  <c r="U219" i="4"/>
  <c r="U231" i="4"/>
  <c r="U218" i="4"/>
  <c r="U232" i="4"/>
  <c r="U221" i="4"/>
  <c r="U225" i="4"/>
  <c r="U220" i="4"/>
  <c r="U233" i="4"/>
  <c r="U230" i="4"/>
  <c r="U223" i="4"/>
  <c r="U227" i="4"/>
  <c r="U226" i="4"/>
  <c r="V149" i="4"/>
  <c r="V161" i="4"/>
  <c r="V133" i="4"/>
  <c r="V130" i="4"/>
  <c r="V157" i="4"/>
  <c r="V164" i="4"/>
  <c r="V148" i="4"/>
  <c r="V127" i="4"/>
  <c r="V140" i="4"/>
  <c r="V158" i="4"/>
  <c r="V141" i="4"/>
  <c r="V160" i="4"/>
  <c r="V131" i="4"/>
  <c r="V142" i="4"/>
  <c r="V132" i="4"/>
  <c r="V150" i="4"/>
  <c r="V128" i="4"/>
  <c r="V143" i="4"/>
  <c r="V151" i="4"/>
  <c r="V146" i="4"/>
  <c r="V152" i="4"/>
  <c r="V144" i="4"/>
  <c r="V165" i="4"/>
  <c r="V136" i="4"/>
  <c r="V129" i="4"/>
  <c r="V155" i="4"/>
  <c r="V135" i="4"/>
  <c r="V137" i="4"/>
  <c r="V145" i="4"/>
  <c r="V156" i="4"/>
  <c r="V162" i="4"/>
  <c r="V147" i="4"/>
  <c r="V163" i="4"/>
  <c r="V154" i="4"/>
  <c r="V153" i="4"/>
  <c r="V134" i="4"/>
  <c r="V159" i="4"/>
  <c r="V138" i="4"/>
  <c r="V139" i="4"/>
  <c r="V232" i="4"/>
  <c r="V222" i="4"/>
  <c r="V218" i="4"/>
  <c r="V225" i="4"/>
  <c r="V233" i="4"/>
  <c r="V223" i="4"/>
  <c r="V229" i="4"/>
  <c r="V219" i="4"/>
  <c r="V230" i="4"/>
  <c r="V226" i="4"/>
  <c r="V227" i="4"/>
  <c r="V221" i="4"/>
  <c r="V228" i="4"/>
  <c r="V220" i="4"/>
  <c r="V231" i="4"/>
  <c r="V224" i="4"/>
  <c r="V205" i="4"/>
  <c r="V209" i="4"/>
  <c r="V212" i="4"/>
  <c r="V213" i="4"/>
  <c r="V215" i="4"/>
  <c r="V217" i="4"/>
  <c r="V207" i="4"/>
  <c r="V204" i="4"/>
  <c r="V208" i="4"/>
  <c r="V210" i="4"/>
  <c r="V206" i="4"/>
  <c r="V216" i="4"/>
  <c r="V211" i="4"/>
  <c r="V214" i="4"/>
  <c r="U24" i="4"/>
  <c r="U64" i="4"/>
  <c r="U92" i="4"/>
  <c r="U109" i="4"/>
  <c r="U124" i="4"/>
  <c r="U15" i="4"/>
  <c r="U25" i="4"/>
  <c r="U38" i="4"/>
  <c r="U51" i="4"/>
  <c r="U78" i="4"/>
  <c r="U110" i="4"/>
  <c r="U4" i="4"/>
  <c r="U7" i="4"/>
  <c r="U3" i="4"/>
  <c r="U13" i="4"/>
  <c r="U60" i="4"/>
  <c r="U91" i="4"/>
  <c r="U111" i="4"/>
  <c r="U2" i="4"/>
  <c r="U44" i="4"/>
  <c r="U61" i="4"/>
  <c r="U93" i="4"/>
  <c r="U11" i="4"/>
  <c r="U29" i="4"/>
  <c r="U45" i="4"/>
  <c r="U77" i="4"/>
  <c r="U94" i="4"/>
  <c r="U112" i="4"/>
  <c r="U5" i="4"/>
  <c r="U79" i="4"/>
  <c r="U115" i="4"/>
  <c r="U12" i="4"/>
  <c r="U46" i="4"/>
  <c r="U62" i="4"/>
  <c r="U95" i="4"/>
  <c r="U113" i="4"/>
  <c r="U47" i="4"/>
  <c r="U63" i="4"/>
  <c r="U96" i="4"/>
  <c r="U114" i="4"/>
  <c r="U16" i="4"/>
  <c r="U22" i="4"/>
  <c r="U48" i="4"/>
  <c r="U97" i="4"/>
  <c r="U17" i="4"/>
  <c r="U23" i="4"/>
  <c r="U30" i="4"/>
  <c r="U36" i="4"/>
  <c r="U49" i="4"/>
  <c r="U65" i="4"/>
  <c r="U80" i="4"/>
  <c r="U98" i="4"/>
  <c r="U18" i="4"/>
  <c r="U50" i="4"/>
  <c r="U66" i="4"/>
  <c r="U81" i="4"/>
  <c r="U99" i="4"/>
  <c r="U116" i="4"/>
  <c r="U37" i="4"/>
  <c r="U52" i="4"/>
  <c r="U67" i="4"/>
  <c r="U100" i="4"/>
  <c r="U117" i="4"/>
  <c r="U31" i="4"/>
  <c r="U53" i="4"/>
  <c r="U82" i="4"/>
  <c r="U101" i="4"/>
  <c r="U118" i="4"/>
  <c r="U40" i="4"/>
  <c r="U32" i="4"/>
  <c r="U54" i="4"/>
  <c r="U102" i="4"/>
  <c r="U119" i="4"/>
  <c r="U33" i="4"/>
  <c r="U68" i="4"/>
  <c r="U83" i="4"/>
  <c r="U103" i="4"/>
  <c r="U120" i="4"/>
  <c r="U85" i="4"/>
  <c r="U39" i="4"/>
  <c r="U55" i="4"/>
  <c r="U69" i="4"/>
  <c r="U84" i="4"/>
  <c r="U104" i="4"/>
  <c r="U70" i="4"/>
  <c r="U56" i="4"/>
  <c r="U6" i="4"/>
  <c r="U26" i="4"/>
  <c r="U34" i="4"/>
  <c r="U41" i="4"/>
  <c r="U71" i="4"/>
  <c r="U86" i="4"/>
  <c r="U122" i="4"/>
  <c r="U21" i="4"/>
  <c r="U28" i="4"/>
  <c r="U35" i="4"/>
  <c r="U75" i="4"/>
  <c r="U126" i="4"/>
  <c r="U10" i="4"/>
  <c r="U43" i="4"/>
  <c r="U59" i="4"/>
  <c r="U76" i="4"/>
  <c r="U90" i="4"/>
  <c r="U123" i="4"/>
  <c r="U57" i="4"/>
  <c r="U8" i="4"/>
  <c r="U72" i="4"/>
  <c r="U58" i="4"/>
  <c r="U9" i="4"/>
  <c r="U73" i="4"/>
  <c r="U74" i="4"/>
  <c r="U87" i="4"/>
  <c r="U14" i="4"/>
  <c r="U88" i="4"/>
  <c r="U19" i="4"/>
  <c r="U89" i="4"/>
  <c r="U106" i="4"/>
  <c r="U107" i="4"/>
  <c r="U20" i="4"/>
  <c r="U105" i="4"/>
  <c r="U108" i="4"/>
  <c r="U27" i="4"/>
  <c r="U121" i="4"/>
  <c r="U125" i="4"/>
  <c r="U42" i="4"/>
  <c r="Z213" i="4"/>
  <c r="Z215" i="4"/>
  <c r="Z217" i="4"/>
  <c r="Z208" i="4"/>
  <c r="Z209" i="4"/>
  <c r="Z205" i="4"/>
  <c r="Z210" i="4"/>
  <c r="Z206" i="4"/>
  <c r="Z212" i="4"/>
  <c r="Z207" i="4"/>
  <c r="Z204" i="4"/>
  <c r="Z211" i="4"/>
  <c r="Z216" i="4"/>
  <c r="Z214" i="4"/>
  <c r="Z127" i="4"/>
  <c r="Z135" i="4"/>
  <c r="Z138" i="4"/>
  <c r="Z146" i="4"/>
  <c r="Z137" i="4"/>
  <c r="Z139" i="4"/>
  <c r="Z152" i="4"/>
  <c r="Z130" i="4"/>
  <c r="Z148" i="4"/>
  <c r="Z157" i="4"/>
  <c r="Z140" i="4"/>
  <c r="Z149" i="4"/>
  <c r="Z141" i="4"/>
  <c r="Z158" i="4"/>
  <c r="Z160" i="4"/>
  <c r="Z132" i="4"/>
  <c r="Z131" i="4"/>
  <c r="Z142" i="4"/>
  <c r="Z151" i="4"/>
  <c r="Z143" i="4"/>
  <c r="Z144" i="4"/>
  <c r="Z165" i="4"/>
  <c r="Z136" i="4"/>
  <c r="Z147" i="4"/>
  <c r="Z154" i="4"/>
  <c r="Z129" i="4"/>
  <c r="Z145" i="4"/>
  <c r="Z163" i="4"/>
  <c r="Z128" i="4"/>
  <c r="Z153" i="4"/>
  <c r="Z161" i="4"/>
  <c r="Z150" i="4"/>
  <c r="Z164" i="4"/>
  <c r="Z155" i="4"/>
  <c r="Z156" i="4"/>
  <c r="Z133" i="4"/>
  <c r="Z162" i="4"/>
  <c r="Z134" i="4"/>
  <c r="Z159" i="4"/>
  <c r="V240" i="4"/>
  <c r="V253" i="4"/>
  <c r="V272" i="4"/>
  <c r="V279" i="4"/>
  <c r="V246" i="4"/>
  <c r="V255" i="4"/>
  <c r="V259" i="4"/>
  <c r="V281" i="4"/>
  <c r="V234" i="4"/>
  <c r="V245" i="4"/>
  <c r="V261" i="4"/>
  <c r="V274" i="4"/>
  <c r="V247" i="4"/>
  <c r="V258" i="4"/>
  <c r="V277" i="4"/>
  <c r="V235" i="4"/>
  <c r="V262" i="4"/>
  <c r="V278" i="4"/>
  <c r="V265" i="4"/>
  <c r="V268" i="4"/>
  <c r="V236" i="4"/>
  <c r="V248" i="4"/>
  <c r="V254" i="4"/>
  <c r="V249" i="4"/>
  <c r="V250" i="4"/>
  <c r="V269" i="4"/>
  <c r="V280" i="4"/>
  <c r="V284" i="4"/>
  <c r="V237" i="4"/>
  <c r="V244" i="4"/>
  <c r="V263" i="4"/>
  <c r="V266" i="4"/>
  <c r="V270" i="4"/>
  <c r="V239" i="4"/>
  <c r="V264" i="4"/>
  <c r="V252" i="4"/>
  <c r="V243" i="4"/>
  <c r="V260" i="4"/>
  <c r="V273" i="4"/>
  <c r="V241" i="4"/>
  <c r="V242" i="4"/>
  <c r="V283" i="4"/>
  <c r="V282" i="4"/>
  <c r="V267" i="4"/>
  <c r="V251" i="4"/>
  <c r="V271" i="4"/>
  <c r="V256" i="4"/>
  <c r="V275" i="4"/>
  <c r="V257" i="4"/>
  <c r="V276" i="4"/>
  <c r="V238" i="4"/>
  <c r="Z173" i="4"/>
  <c r="Z185" i="4"/>
  <c r="Z167" i="4"/>
  <c r="Z175" i="4"/>
  <c r="Z202" i="4"/>
  <c r="Z181" i="4"/>
  <c r="Z201" i="4"/>
  <c r="Z166" i="4"/>
  <c r="Z174" i="4"/>
  <c r="Z182" i="4"/>
  <c r="Z186" i="4"/>
  <c r="Z187" i="4"/>
  <c r="Z199" i="4"/>
  <c r="Z183" i="4"/>
  <c r="Z196" i="4"/>
  <c r="Z168" i="4"/>
  <c r="Z176" i="4"/>
  <c r="Z192" i="4"/>
  <c r="Z197" i="4"/>
  <c r="Z177" i="4"/>
  <c r="Z193" i="4"/>
  <c r="Z170" i="4"/>
  <c r="Z200" i="4"/>
  <c r="Z171" i="4"/>
  <c r="Z189" i="4"/>
  <c r="Z178" i="4"/>
  <c r="Z190" i="4"/>
  <c r="Z203" i="4"/>
  <c r="Z180" i="4"/>
  <c r="Z195" i="4"/>
  <c r="Z184" i="4"/>
  <c r="Z198" i="4"/>
  <c r="Z169" i="4"/>
  <c r="Z188" i="4"/>
  <c r="Z172" i="4"/>
  <c r="Z191" i="4"/>
  <c r="Z179" i="4"/>
  <c r="Z194" i="4"/>
  <c r="U129" i="4"/>
  <c r="U134" i="4"/>
  <c r="U136" i="4"/>
  <c r="U143" i="4"/>
  <c r="U163" i="4"/>
  <c r="U165" i="4"/>
  <c r="U131" i="4"/>
  <c r="U128" i="4"/>
  <c r="U133" i="4"/>
  <c r="U138" i="4"/>
  <c r="U153" i="4"/>
  <c r="U159" i="4"/>
  <c r="U161" i="4"/>
  <c r="U132" i="4"/>
  <c r="U147" i="4"/>
  <c r="U154" i="4"/>
  <c r="U139" i="4"/>
  <c r="U155" i="4"/>
  <c r="U127" i="4"/>
  <c r="U145" i="4"/>
  <c r="U156" i="4"/>
  <c r="U162" i="4"/>
  <c r="U164" i="4"/>
  <c r="U148" i="4"/>
  <c r="U157" i="4"/>
  <c r="U137" i="4"/>
  <c r="U140" i="4"/>
  <c r="U149" i="4"/>
  <c r="U141" i="4"/>
  <c r="U158" i="4"/>
  <c r="U160" i="4"/>
  <c r="U142" i="4"/>
  <c r="U135" i="4"/>
  <c r="U150" i="4"/>
  <c r="U130" i="4"/>
  <c r="U152" i="4"/>
  <c r="U151" i="4"/>
  <c r="U144" i="4"/>
  <c r="U146" i="4"/>
  <c r="V36" i="4"/>
  <c r="V47" i="4"/>
  <c r="V107" i="4"/>
  <c r="V122" i="4"/>
  <c r="V3" i="4"/>
  <c r="V13" i="4"/>
  <c r="V32" i="4"/>
  <c r="V37" i="4"/>
  <c r="V49" i="4"/>
  <c r="V63" i="4"/>
  <c r="V77" i="4"/>
  <c r="V91" i="4"/>
  <c r="V123" i="4"/>
  <c r="V16" i="4"/>
  <c r="V22" i="4"/>
  <c r="V79" i="4"/>
  <c r="V97" i="4"/>
  <c r="V115" i="4"/>
  <c r="V6" i="4"/>
  <c r="V17" i="4"/>
  <c r="V23" i="4"/>
  <c r="V30" i="4"/>
  <c r="V50" i="4"/>
  <c r="V65" i="4"/>
  <c r="V80" i="4"/>
  <c r="V98" i="4"/>
  <c r="V18" i="4"/>
  <c r="V51" i="4"/>
  <c r="V66" i="4"/>
  <c r="V81" i="4"/>
  <c r="V99" i="4"/>
  <c r="V116" i="4"/>
  <c r="V33" i="4"/>
  <c r="V54" i="4"/>
  <c r="V102" i="4"/>
  <c r="V119" i="4"/>
  <c r="V31" i="4"/>
  <c r="V52" i="4"/>
  <c r="V67" i="4"/>
  <c r="V100" i="4"/>
  <c r="V117" i="4"/>
  <c r="V103" i="4"/>
  <c r="V4" i="4"/>
  <c r="V7" i="4"/>
  <c r="V38" i="4"/>
  <c r="V53" i="4"/>
  <c r="V82" i="4"/>
  <c r="V101" i="4"/>
  <c r="V118" i="4"/>
  <c r="V120" i="4"/>
  <c r="V8" i="4"/>
  <c r="V24" i="4"/>
  <c r="V68" i="4"/>
  <c r="V83" i="4"/>
  <c r="V9" i="4"/>
  <c r="V39" i="4"/>
  <c r="V55" i="4"/>
  <c r="V69" i="4"/>
  <c r="V84" i="4"/>
  <c r="V104" i="4"/>
  <c r="V25" i="4"/>
  <c r="V40" i="4"/>
  <c r="V56" i="4"/>
  <c r="V70" i="4"/>
  <c r="V85" i="4"/>
  <c r="V105" i="4"/>
  <c r="V121" i="4"/>
  <c r="V10" i="4"/>
  <c r="V19" i="4"/>
  <c r="V26" i="4"/>
  <c r="V34" i="4"/>
  <c r="V41" i="4"/>
  <c r="V71" i="4"/>
  <c r="V86" i="4"/>
  <c r="V42" i="4"/>
  <c r="V57" i="4"/>
  <c r="V72" i="4"/>
  <c r="V87" i="4"/>
  <c r="V106" i="4"/>
  <c r="V124" i="4"/>
  <c r="V5" i="4"/>
  <c r="V11" i="4"/>
  <c r="V14" i="4"/>
  <c r="V20" i="4"/>
  <c r="V58" i="4"/>
  <c r="V73" i="4"/>
  <c r="V88" i="4"/>
  <c r="V108" i="4"/>
  <c r="V125" i="4"/>
  <c r="V15" i="4"/>
  <c r="V27" i="4"/>
  <c r="V74" i="4"/>
  <c r="V89" i="4"/>
  <c r="V109" i="4"/>
  <c r="V43" i="4"/>
  <c r="V59" i="4"/>
  <c r="V76" i="4"/>
  <c r="V92" i="4"/>
  <c r="V110" i="4"/>
  <c r="V46" i="4"/>
  <c r="V64" i="4"/>
  <c r="V78" i="4"/>
  <c r="V95" i="4"/>
  <c r="V113" i="4"/>
  <c r="V2" i="4"/>
  <c r="V48" i="4"/>
  <c r="V96" i="4"/>
  <c r="V114" i="4"/>
  <c r="V93" i="4"/>
  <c r="V29" i="4"/>
  <c r="V94" i="4"/>
  <c r="V35" i="4"/>
  <c r="V111" i="4"/>
  <c r="V112" i="4"/>
  <c r="V12" i="4"/>
  <c r="V126" i="4"/>
  <c r="V44" i="4"/>
  <c r="V45" i="4"/>
  <c r="V60" i="4"/>
  <c r="V61" i="4"/>
  <c r="V62" i="4"/>
  <c r="V21" i="4"/>
  <c r="V75" i="4"/>
  <c r="V28" i="4"/>
  <c r="V90" i="4"/>
  <c r="Z21" i="4"/>
  <c r="Z34" i="4"/>
  <c r="Z39" i="4"/>
  <c r="Z54" i="4"/>
  <c r="Z67" i="4"/>
  <c r="Z80" i="4"/>
  <c r="Z96" i="4"/>
  <c r="Z112" i="4"/>
  <c r="Z6" i="4"/>
  <c r="Z28" i="4"/>
  <c r="Z41" i="4"/>
  <c r="Z55" i="4"/>
  <c r="Z98" i="4"/>
  <c r="Z114" i="4"/>
  <c r="Z18" i="4"/>
  <c r="Z79" i="4"/>
  <c r="Z99" i="4"/>
  <c r="Z116" i="4"/>
  <c r="Z37" i="4"/>
  <c r="Z50" i="4"/>
  <c r="Z65" i="4"/>
  <c r="Z81" i="4"/>
  <c r="Z100" i="4"/>
  <c r="Z117" i="4"/>
  <c r="Z4" i="4"/>
  <c r="Z7" i="4"/>
  <c r="Z31" i="4"/>
  <c r="Z51" i="4"/>
  <c r="Z66" i="4"/>
  <c r="Z82" i="4"/>
  <c r="Z101" i="4"/>
  <c r="Z118" i="4"/>
  <c r="Z32" i="4"/>
  <c r="Z119" i="4"/>
  <c r="Z33" i="4"/>
  <c r="Z84" i="4"/>
  <c r="Z52" i="4"/>
  <c r="Z102" i="4"/>
  <c r="Z69" i="4"/>
  <c r="Z8" i="4"/>
  <c r="Z38" i="4"/>
  <c r="Z53" i="4"/>
  <c r="Z68" i="4"/>
  <c r="Z83" i="4"/>
  <c r="Z103" i="4"/>
  <c r="Z120" i="4"/>
  <c r="Z104" i="4"/>
  <c r="Z9" i="4"/>
  <c r="Z25" i="4"/>
  <c r="Z42" i="4"/>
  <c r="Z57" i="4"/>
  <c r="Z72" i="4"/>
  <c r="Z87" i="4"/>
  <c r="Z106" i="4"/>
  <c r="Z5" i="4"/>
  <c r="Z13" i="4"/>
  <c r="Z19" i="4"/>
  <c r="Z26" i="4"/>
  <c r="Z58" i="4"/>
  <c r="Z73" i="4"/>
  <c r="Z88" i="4"/>
  <c r="Z107" i="4"/>
  <c r="Z123" i="4"/>
  <c r="Z11" i="4"/>
  <c r="Z74" i="4"/>
  <c r="Z89" i="4"/>
  <c r="Z108" i="4"/>
  <c r="Z124" i="4"/>
  <c r="Z14" i="4"/>
  <c r="Z20" i="4"/>
  <c r="Z27" i="4"/>
  <c r="Z35" i="4"/>
  <c r="Z75" i="4"/>
  <c r="Z125" i="4"/>
  <c r="Z15" i="4"/>
  <c r="Z43" i="4"/>
  <c r="Z59" i="4"/>
  <c r="Z76" i="4"/>
  <c r="Z90" i="4"/>
  <c r="Z109" i="4"/>
  <c r="Z44" i="4"/>
  <c r="Z61" i="4"/>
  <c r="Z92" i="4"/>
  <c r="Z110" i="4"/>
  <c r="Z16" i="4"/>
  <c r="Z22" i="4"/>
  <c r="Z48" i="4"/>
  <c r="Z64" i="4"/>
  <c r="Z78" i="4"/>
  <c r="Z95" i="4"/>
  <c r="Z115" i="4"/>
  <c r="Z45" i="4"/>
  <c r="Z91" i="4"/>
  <c r="Z46" i="4"/>
  <c r="Z93" i="4"/>
  <c r="Z23" i="4"/>
  <c r="Z47" i="4"/>
  <c r="Z10" i="4"/>
  <c r="Z24" i="4"/>
  <c r="Z49" i="4"/>
  <c r="Z94" i="4"/>
  <c r="Z12" i="4"/>
  <c r="Z56" i="4"/>
  <c r="Z97" i="4"/>
  <c r="Z29" i="4"/>
  <c r="Z105" i="4"/>
  <c r="Z60" i="4"/>
  <c r="Z2" i="4"/>
  <c r="Z62" i="4"/>
  <c r="Z111" i="4"/>
  <c r="Z30" i="4"/>
  <c r="Z63" i="4"/>
  <c r="Z121" i="4"/>
  <c r="Z113" i="4"/>
  <c r="Z71" i="4"/>
  <c r="Z3" i="4"/>
  <c r="Z70" i="4"/>
  <c r="Z122" i="4"/>
  <c r="Z77" i="4"/>
  <c r="Z126" i="4"/>
  <c r="Z17" i="4"/>
  <c r="Z36" i="4"/>
  <c r="Z40" i="4"/>
  <c r="Z85" i="4"/>
  <c r="Z86" i="4"/>
  <c r="U206" i="4"/>
  <c r="U210" i="4"/>
  <c r="U212" i="4"/>
  <c r="U213" i="4"/>
  <c r="U208" i="4"/>
  <c r="U209" i="4"/>
  <c r="U214" i="4"/>
  <c r="U204" i="4"/>
  <c r="U216" i="4"/>
  <c r="U211" i="4"/>
  <c r="U205" i="4"/>
  <c r="U215" i="4"/>
  <c r="U217" i="4"/>
  <c r="U207" i="4"/>
  <c r="Z224" i="4"/>
  <c r="Z225" i="4"/>
  <c r="Z218" i="4"/>
  <c r="Z223" i="4"/>
  <c r="Z233" i="4"/>
  <c r="Z230" i="4"/>
  <c r="Z226" i="4"/>
  <c r="Z227" i="4"/>
  <c r="Z232" i="4"/>
  <c r="Z220" i="4"/>
  <c r="Z228" i="4"/>
  <c r="Z221" i="4"/>
  <c r="Z222" i="4"/>
  <c r="Z231" i="4"/>
  <c r="Z229" i="4"/>
  <c r="Z219" i="4"/>
  <c r="U172" i="4"/>
  <c r="U189" i="4"/>
  <c r="U193" i="4"/>
  <c r="U199" i="4"/>
  <c r="U201" i="4"/>
  <c r="U168" i="4"/>
  <c r="U181" i="4"/>
  <c r="U182" i="4"/>
  <c r="U176" i="4"/>
  <c r="U175" i="4"/>
  <c r="U203" i="4"/>
  <c r="U166" i="4"/>
  <c r="U195" i="4"/>
  <c r="U177" i="4"/>
  <c r="U184" i="4"/>
  <c r="U191" i="4"/>
  <c r="U167" i="4"/>
  <c r="U185" i="4"/>
  <c r="U169" i="4"/>
  <c r="U178" i="4"/>
  <c r="U170" i="4"/>
  <c r="U179" i="4"/>
  <c r="U186" i="4"/>
  <c r="U171" i="4"/>
  <c r="U187" i="4"/>
  <c r="U196" i="4"/>
  <c r="U202" i="4"/>
  <c r="U180" i="4"/>
  <c r="U192" i="4"/>
  <c r="U197" i="4"/>
  <c r="U198" i="4"/>
  <c r="U173" i="4"/>
  <c r="U174" i="4"/>
  <c r="U190" i="4"/>
  <c r="U194" i="4"/>
  <c r="U200" i="4"/>
  <c r="U183" i="4"/>
  <c r="U188" i="4"/>
  <c r="Z277" i="4"/>
  <c r="Z234" i="4"/>
  <c r="Z274" i="4"/>
  <c r="Z258" i="4"/>
  <c r="Z247" i="4"/>
  <c r="Z278" i="4"/>
  <c r="Z248" i="4"/>
  <c r="Z268" i="4"/>
  <c r="Z235" i="4"/>
  <c r="Z253" i="4"/>
  <c r="Z262" i="4"/>
  <c r="Z236" i="4"/>
  <c r="Z259" i="4"/>
  <c r="Z237" i="4"/>
  <c r="Z250" i="4"/>
  <c r="Z284" i="4"/>
  <c r="Z244" i="4"/>
  <c r="Z263" i="4"/>
  <c r="Z266" i="4"/>
  <c r="Z270" i="4"/>
  <c r="Z238" i="4"/>
  <c r="Z246" i="4"/>
  <c r="Z267" i="4"/>
  <c r="Z271" i="4"/>
  <c r="Z279" i="4"/>
  <c r="Z281" i="4"/>
  <c r="Z239" i="4"/>
  <c r="Z264" i="4"/>
  <c r="Z241" i="4"/>
  <c r="Z256" i="4"/>
  <c r="Z261" i="4"/>
  <c r="Z245" i="4"/>
  <c r="Z269" i="4"/>
  <c r="Z255" i="4"/>
  <c r="Z280" i="4"/>
  <c r="Z272" i="4"/>
  <c r="Z282" i="4"/>
  <c r="Z260" i="4"/>
  <c r="Z240" i="4"/>
  <c r="Z254" i="4"/>
  <c r="Z249" i="4"/>
  <c r="Z283" i="4"/>
  <c r="Z273" i="4"/>
  <c r="Z265" i="4"/>
  <c r="Z242" i="4"/>
  <c r="Z251" i="4"/>
  <c r="Z252" i="4"/>
  <c r="Z276" i="4"/>
  <c r="Z243" i="4"/>
  <c r="Z275" i="4"/>
  <c r="Z257" i="4"/>
  <c r="V188" i="4"/>
  <c r="V196" i="4"/>
  <c r="V201" i="4"/>
  <c r="V166" i="4"/>
  <c r="V173" i="4"/>
  <c r="V174" i="4"/>
  <c r="V181" i="4"/>
  <c r="V199" i="4"/>
  <c r="V167" i="4"/>
  <c r="V183" i="4"/>
  <c r="V197" i="4"/>
  <c r="V202" i="4"/>
  <c r="V175" i="4"/>
  <c r="V182" i="4"/>
  <c r="V186" i="4"/>
  <c r="V187" i="4"/>
  <c r="V168" i="4"/>
  <c r="V176" i="4"/>
  <c r="V192" i="4"/>
  <c r="V198" i="4"/>
  <c r="V193" i="4"/>
  <c r="V169" i="4"/>
  <c r="V177" i="4"/>
  <c r="V189" i="4"/>
  <c r="V170" i="4"/>
  <c r="V200" i="4"/>
  <c r="V171" i="4"/>
  <c r="V190" i="4"/>
  <c r="V194" i="4"/>
  <c r="V180" i="4"/>
  <c r="V195" i="4"/>
  <c r="V191" i="4"/>
  <c r="V172" i="4"/>
  <c r="V178" i="4"/>
  <c r="V179" i="4"/>
  <c r="V184" i="4"/>
  <c r="V185" i="4"/>
  <c r="V203" i="4"/>
  <c r="U91" i="3"/>
  <c r="U89" i="3"/>
  <c r="U90" i="3"/>
  <c r="U102" i="3"/>
  <c r="U92" i="3"/>
  <c r="U99" i="3"/>
  <c r="U100" i="3"/>
  <c r="U97" i="3"/>
  <c r="U95" i="3"/>
  <c r="U104" i="3"/>
  <c r="U93" i="3"/>
  <c r="U101" i="3"/>
  <c r="U103" i="3"/>
  <c r="U98" i="3"/>
  <c r="U94" i="3"/>
  <c r="U96" i="3"/>
  <c r="U29" i="3"/>
  <c r="U46" i="3"/>
  <c r="U4" i="3"/>
  <c r="U19" i="3"/>
  <c r="U30" i="3"/>
  <c r="U47" i="3"/>
  <c r="U31" i="3"/>
  <c r="U48" i="3"/>
  <c r="U20" i="3"/>
  <c r="U32" i="3"/>
  <c r="U49" i="3"/>
  <c r="U11" i="3"/>
  <c r="U5" i="3"/>
  <c r="U21" i="3"/>
  <c r="U26" i="3"/>
  <c r="U43" i="3"/>
  <c r="U12" i="3"/>
  <c r="U33" i="3"/>
  <c r="U6" i="3"/>
  <c r="U34" i="3"/>
  <c r="U39" i="3"/>
  <c r="U40" i="3"/>
  <c r="U22" i="3"/>
  <c r="U25" i="3"/>
  <c r="U9" i="3"/>
  <c r="U13" i="3"/>
  <c r="U23" i="3"/>
  <c r="U35" i="3"/>
  <c r="U15" i="3"/>
  <c r="U18" i="3"/>
  <c r="U14" i="3"/>
  <c r="U24" i="3"/>
  <c r="U36" i="3"/>
  <c r="U10" i="3"/>
  <c r="U2" i="3"/>
  <c r="U7" i="3"/>
  <c r="U37" i="3"/>
  <c r="U16" i="3"/>
  <c r="U41" i="3"/>
  <c r="U42" i="3"/>
  <c r="U38" i="3"/>
  <c r="U17" i="3"/>
  <c r="U3" i="3"/>
  <c r="U8" i="3"/>
  <c r="U27" i="3"/>
  <c r="U44" i="3"/>
  <c r="U28" i="3"/>
  <c r="U45" i="3"/>
  <c r="Z17" i="3"/>
  <c r="Z26" i="3"/>
  <c r="Z41" i="3"/>
  <c r="Z42" i="3"/>
  <c r="Z23" i="3"/>
  <c r="Z38" i="3"/>
  <c r="Z18" i="3"/>
  <c r="Z43" i="3"/>
  <c r="Z3" i="3"/>
  <c r="Z8" i="3"/>
  <c r="Z27" i="3"/>
  <c r="Z44" i="3"/>
  <c r="Z28" i="3"/>
  <c r="Z45" i="3"/>
  <c r="Z29" i="3"/>
  <c r="Z46" i="3"/>
  <c r="Z4" i="3"/>
  <c r="Z19" i="3"/>
  <c r="Z30" i="3"/>
  <c r="Z47" i="3"/>
  <c r="Z31" i="3"/>
  <c r="Z48" i="3"/>
  <c r="Z9" i="3"/>
  <c r="Z37" i="3"/>
  <c r="Z20" i="3"/>
  <c r="Z32" i="3"/>
  <c r="Z49" i="3"/>
  <c r="Z24" i="3"/>
  <c r="Z11" i="3"/>
  <c r="Z35" i="3"/>
  <c r="Z36" i="3"/>
  <c r="Z5" i="3"/>
  <c r="Z21" i="3"/>
  <c r="Z12" i="3"/>
  <c r="Z33" i="3"/>
  <c r="Z6" i="3"/>
  <c r="Z34" i="3"/>
  <c r="Z22" i="3"/>
  <c r="Z7" i="3"/>
  <c r="Z15" i="3"/>
  <c r="Z25" i="3"/>
  <c r="Z39" i="3"/>
  <c r="Z2" i="3"/>
  <c r="Z10" i="3"/>
  <c r="Z16" i="3"/>
  <c r="Z40" i="3"/>
  <c r="Z13" i="3"/>
  <c r="Z14" i="3"/>
  <c r="V6" i="3"/>
  <c r="V34" i="3"/>
  <c r="V22" i="3"/>
  <c r="V30" i="3"/>
  <c r="V11" i="3"/>
  <c r="V9" i="3"/>
  <c r="V13" i="3"/>
  <c r="V23" i="3"/>
  <c r="V35" i="3"/>
  <c r="V14" i="3"/>
  <c r="V24" i="3"/>
  <c r="V36" i="3"/>
  <c r="V32" i="3"/>
  <c r="V2" i="3"/>
  <c r="V7" i="3"/>
  <c r="V37" i="3"/>
  <c r="V49" i="3"/>
  <c r="V38" i="3"/>
  <c r="V46" i="3"/>
  <c r="V15" i="3"/>
  <c r="V25" i="3"/>
  <c r="V39" i="3"/>
  <c r="V4" i="3"/>
  <c r="V20" i="3"/>
  <c r="V10" i="3"/>
  <c r="V16" i="3"/>
  <c r="V40" i="3"/>
  <c r="V17" i="3"/>
  <c r="V26" i="3"/>
  <c r="V41" i="3"/>
  <c r="V42" i="3"/>
  <c r="V48" i="3"/>
  <c r="V18" i="3"/>
  <c r="V43" i="3"/>
  <c r="V3" i="3"/>
  <c r="V8" i="3"/>
  <c r="V27" i="3"/>
  <c r="V44" i="3"/>
  <c r="V28" i="3"/>
  <c r="V45" i="3"/>
  <c r="V29" i="3"/>
  <c r="V47" i="3"/>
  <c r="V31" i="3"/>
  <c r="V5" i="3"/>
  <c r="V21" i="3"/>
  <c r="V12" i="3"/>
  <c r="V33" i="3"/>
  <c r="V19" i="3"/>
  <c r="V90" i="3"/>
  <c r="V91" i="3"/>
  <c r="V89" i="3"/>
  <c r="U51" i="3"/>
  <c r="U64" i="3"/>
  <c r="U67" i="3"/>
  <c r="U52" i="3"/>
  <c r="U60" i="3"/>
  <c r="U65" i="3"/>
  <c r="U61" i="3"/>
  <c r="U66" i="3"/>
  <c r="U53" i="3"/>
  <c r="U54" i="3"/>
  <c r="U55" i="3"/>
  <c r="U50" i="3"/>
  <c r="U56" i="3"/>
  <c r="U62" i="3"/>
  <c r="U57" i="3"/>
  <c r="U59" i="3"/>
  <c r="U63" i="3"/>
  <c r="U58" i="3"/>
  <c r="Z59" i="3"/>
  <c r="Z54" i="3"/>
  <c r="Z55" i="3"/>
  <c r="Z56" i="3"/>
  <c r="Z50" i="3"/>
  <c r="Z63" i="3"/>
  <c r="Z51" i="3"/>
  <c r="Z64" i="3"/>
  <c r="Z52" i="3"/>
  <c r="Z60" i="3"/>
  <c r="Z62" i="3"/>
  <c r="Z65" i="3"/>
  <c r="Z61" i="3"/>
  <c r="Z66" i="3"/>
  <c r="Z57" i="3"/>
  <c r="Z53" i="3"/>
  <c r="Z58" i="3"/>
  <c r="Z67" i="3"/>
  <c r="V61" i="3"/>
  <c r="V66" i="3"/>
  <c r="V53" i="3"/>
  <c r="V54" i="3"/>
  <c r="V55" i="3"/>
  <c r="V56" i="3"/>
  <c r="V62" i="3"/>
  <c r="V57" i="3"/>
  <c r="V58" i="3"/>
  <c r="V67" i="3"/>
  <c r="V59" i="3"/>
  <c r="V60" i="3"/>
  <c r="V50" i="3"/>
  <c r="V51" i="3"/>
  <c r="V64" i="3"/>
  <c r="V63" i="3"/>
  <c r="V65" i="3"/>
  <c r="V52" i="3"/>
  <c r="Z93" i="3"/>
  <c r="Z94" i="3"/>
  <c r="Z95" i="3"/>
  <c r="Z99" i="3"/>
  <c r="Z101" i="3"/>
  <c r="Z104" i="3"/>
  <c r="Z96" i="3"/>
  <c r="Z102" i="3"/>
  <c r="Z98" i="3"/>
  <c r="Z100" i="3"/>
  <c r="Z97" i="3"/>
  <c r="Z92" i="3"/>
  <c r="Z103" i="3"/>
  <c r="V83" i="3"/>
  <c r="V74" i="3"/>
  <c r="V76" i="3"/>
  <c r="V84" i="3"/>
  <c r="V88" i="3"/>
  <c r="V68" i="3"/>
  <c r="V69" i="3"/>
  <c r="V77" i="3"/>
  <c r="V71" i="3"/>
  <c r="V78" i="3"/>
  <c r="V82" i="3"/>
  <c r="V86" i="3"/>
  <c r="V79" i="3"/>
  <c r="V80" i="3"/>
  <c r="V73" i="3"/>
  <c r="V70" i="3"/>
  <c r="V85" i="3"/>
  <c r="V87" i="3"/>
  <c r="V81" i="3"/>
  <c r="V72" i="3"/>
  <c r="V75" i="3"/>
  <c r="V108" i="3"/>
  <c r="V111" i="3"/>
  <c r="V113" i="3"/>
  <c r="V110" i="3"/>
  <c r="V107" i="3"/>
  <c r="V114" i="3"/>
  <c r="V106" i="3"/>
  <c r="V109" i="3"/>
  <c r="V105" i="3"/>
  <c r="V112" i="3"/>
  <c r="U110" i="3"/>
  <c r="U107" i="3"/>
  <c r="U106" i="3"/>
  <c r="U105" i="3"/>
  <c r="U114" i="3"/>
  <c r="U112" i="3"/>
  <c r="U108" i="3"/>
  <c r="U111" i="3"/>
  <c r="U113" i="3"/>
  <c r="U109" i="3"/>
  <c r="Z78" i="3"/>
  <c r="Z76" i="3"/>
  <c r="Z86" i="3"/>
  <c r="Z79" i="3"/>
  <c r="Z68" i="3"/>
  <c r="Z80" i="3"/>
  <c r="Z70" i="3"/>
  <c r="Z85" i="3"/>
  <c r="Z73" i="3"/>
  <c r="Z84" i="3"/>
  <c r="Z74" i="3"/>
  <c r="Z81" i="3"/>
  <c r="Z88" i="3"/>
  <c r="Z71" i="3"/>
  <c r="Z82" i="3"/>
  <c r="Z75" i="3"/>
  <c r="Z87" i="3"/>
  <c r="Z72" i="3"/>
  <c r="Z83" i="3"/>
  <c r="Z69" i="3"/>
  <c r="Z77" i="3"/>
  <c r="V103" i="3"/>
  <c r="V98" i="3"/>
  <c r="V92" i="3"/>
  <c r="V93" i="3"/>
  <c r="V102" i="3"/>
  <c r="V94" i="3"/>
  <c r="V95" i="3"/>
  <c r="V99" i="3"/>
  <c r="V101" i="3"/>
  <c r="V104" i="3"/>
  <c r="V96" i="3"/>
  <c r="V100" i="3"/>
  <c r="V97" i="3"/>
  <c r="Z90" i="3"/>
  <c r="Z91" i="3"/>
  <c r="Z89" i="3"/>
  <c r="U73" i="3"/>
  <c r="U74" i="3"/>
  <c r="U81" i="3"/>
  <c r="U71" i="3"/>
  <c r="U82" i="3"/>
  <c r="U75" i="3"/>
  <c r="U79" i="3"/>
  <c r="U87" i="3"/>
  <c r="U72" i="3"/>
  <c r="U77" i="3"/>
  <c r="U83" i="3"/>
  <c r="U86" i="3"/>
  <c r="U76" i="3"/>
  <c r="U84" i="3"/>
  <c r="U88" i="3"/>
  <c r="U69" i="3"/>
  <c r="U68" i="3"/>
  <c r="U80" i="3"/>
  <c r="U78" i="3"/>
  <c r="U70" i="3"/>
  <c r="U85" i="3"/>
  <c r="Z113" i="3"/>
  <c r="Z111" i="3"/>
  <c r="Z106" i="3"/>
  <c r="Z109" i="3"/>
  <c r="Z110" i="3"/>
  <c r="Z108" i="3"/>
  <c r="Z107" i="3"/>
  <c r="Z105" i="3"/>
  <c r="Z114" i="3"/>
  <c r="Z112" i="3"/>
  <c r="Z29" i="2"/>
  <c r="Z38" i="2"/>
  <c r="Z24" i="2"/>
  <c r="Z39" i="2"/>
  <c r="Z25" i="2"/>
  <c r="Z26" i="2"/>
  <c r="Z30" i="2"/>
  <c r="Z27" i="2"/>
  <c r="Z31" i="2"/>
  <c r="Z32" i="2"/>
  <c r="Z41" i="2"/>
  <c r="Z33" i="2"/>
  <c r="Z35" i="2"/>
  <c r="Z34" i="2"/>
  <c r="Z42" i="2"/>
  <c r="Z36" i="2"/>
  <c r="Z43" i="2"/>
  <c r="Z22" i="2"/>
  <c r="Z28" i="2"/>
  <c r="Z23" i="2"/>
  <c r="Z44" i="2"/>
  <c r="Z40" i="2"/>
  <c r="Z37" i="2"/>
  <c r="U26" i="2"/>
  <c r="U30" i="2"/>
  <c r="U27" i="2"/>
  <c r="U31" i="2"/>
  <c r="U32" i="2"/>
  <c r="U41" i="2"/>
  <c r="U34" i="2"/>
  <c r="U42" i="2"/>
  <c r="U35" i="2"/>
  <c r="U36" i="2"/>
  <c r="U43" i="2"/>
  <c r="U44" i="2"/>
  <c r="U22" i="2"/>
  <c r="U28" i="2"/>
  <c r="U23" i="2"/>
  <c r="U37" i="2"/>
  <c r="U29" i="2"/>
  <c r="U38" i="2"/>
  <c r="U33" i="2"/>
  <c r="U24" i="2"/>
  <c r="U39" i="2"/>
  <c r="U25" i="2"/>
  <c r="U40" i="2"/>
  <c r="V10" i="2"/>
  <c r="V14" i="2"/>
  <c r="V11" i="2"/>
  <c r="V2" i="2"/>
  <c r="V9" i="2"/>
  <c r="V15" i="2"/>
  <c r="V3" i="2"/>
  <c r="V16" i="2"/>
  <c r="V18" i="2"/>
  <c r="V4" i="2"/>
  <c r="V7" i="2"/>
  <c r="V17" i="2"/>
  <c r="V12" i="2"/>
  <c r="V8" i="2"/>
  <c r="V19" i="2"/>
  <c r="V5" i="2"/>
  <c r="V20" i="2"/>
  <c r="V21" i="2"/>
  <c r="V6" i="2"/>
  <c r="V13" i="2"/>
  <c r="Z92" i="2"/>
  <c r="Z81" i="2"/>
  <c r="Z84" i="2"/>
  <c r="Z93" i="2"/>
  <c r="Z85" i="2"/>
  <c r="Z94" i="2"/>
  <c r="Z86" i="2"/>
  <c r="Z75" i="2"/>
  <c r="Z76" i="2"/>
  <c r="Z87" i="2"/>
  <c r="Z78" i="2"/>
  <c r="Z77" i="2"/>
  <c r="Z88" i="2"/>
  <c r="Z82" i="2"/>
  <c r="Z89" i="2"/>
  <c r="Z79" i="2"/>
  <c r="Z90" i="2"/>
  <c r="Z91" i="2"/>
  <c r="Z80" i="2"/>
  <c r="Z83" i="2"/>
  <c r="U74" i="2"/>
  <c r="U66" i="2"/>
  <c r="U70" i="2"/>
  <c r="U67" i="2"/>
  <c r="U68" i="2"/>
  <c r="U65" i="2"/>
  <c r="U69" i="2"/>
  <c r="U71" i="2"/>
  <c r="U72" i="2"/>
  <c r="U73" i="2"/>
  <c r="V77" i="2"/>
  <c r="V88" i="2"/>
  <c r="V78" i="2"/>
  <c r="V90" i="2"/>
  <c r="V82" i="2"/>
  <c r="V89" i="2"/>
  <c r="V79" i="2"/>
  <c r="V91" i="2"/>
  <c r="V80" i="2"/>
  <c r="V83" i="2"/>
  <c r="V92" i="2"/>
  <c r="V81" i="2"/>
  <c r="V84" i="2"/>
  <c r="V93" i="2"/>
  <c r="V85" i="2"/>
  <c r="V94" i="2"/>
  <c r="V86" i="2"/>
  <c r="V75" i="2"/>
  <c r="V76" i="2"/>
  <c r="V87" i="2"/>
  <c r="U12" i="2"/>
  <c r="U18" i="2"/>
  <c r="U8" i="2"/>
  <c r="U19" i="2"/>
  <c r="U5" i="2"/>
  <c r="U20" i="2"/>
  <c r="U21" i="2"/>
  <c r="U10" i="2"/>
  <c r="U14" i="2"/>
  <c r="U2" i="2"/>
  <c r="U11" i="2"/>
  <c r="U9" i="2"/>
  <c r="U15" i="2"/>
  <c r="U6" i="2"/>
  <c r="U3" i="2"/>
  <c r="U16" i="2"/>
  <c r="U4" i="2"/>
  <c r="U13" i="2"/>
  <c r="U7" i="2"/>
  <c r="U17" i="2"/>
  <c r="V35" i="2"/>
  <c r="V36" i="2"/>
  <c r="V43" i="2"/>
  <c r="V23" i="2"/>
  <c r="V44" i="2"/>
  <c r="V37" i="2"/>
  <c r="V30" i="2"/>
  <c r="V29" i="2"/>
  <c r="V38" i="2"/>
  <c r="V24" i="2"/>
  <c r="V39" i="2"/>
  <c r="V25" i="2"/>
  <c r="V26" i="2"/>
  <c r="V40" i="2"/>
  <c r="V22" i="2"/>
  <c r="V27" i="2"/>
  <c r="V31" i="2"/>
  <c r="V32" i="2"/>
  <c r="V41" i="2"/>
  <c r="V33" i="2"/>
  <c r="V28" i="2"/>
  <c r="V34" i="2"/>
  <c r="V42" i="2"/>
  <c r="U50" i="2"/>
  <c r="U51" i="2"/>
  <c r="U63" i="2"/>
  <c r="U52" i="2"/>
  <c r="U61" i="2"/>
  <c r="U53" i="2"/>
  <c r="U54" i="2"/>
  <c r="U55" i="2"/>
  <c r="U59" i="2"/>
  <c r="U62" i="2"/>
  <c r="U45" i="2"/>
  <c r="U46" i="2"/>
  <c r="U56" i="2"/>
  <c r="U57" i="2"/>
  <c r="U47" i="2"/>
  <c r="U48" i="2"/>
  <c r="U58" i="2"/>
  <c r="U60" i="2"/>
  <c r="U49" i="2"/>
  <c r="Z3" i="2"/>
  <c r="Z16" i="2"/>
  <c r="Z4" i="2"/>
  <c r="Z12" i="2"/>
  <c r="Z18" i="2"/>
  <c r="Z8" i="2"/>
  <c r="Z19" i="2"/>
  <c r="Z5" i="2"/>
  <c r="Z20" i="2"/>
  <c r="Z14" i="2"/>
  <c r="Z21" i="2"/>
  <c r="Z6" i="2"/>
  <c r="Z13" i="2"/>
  <c r="Z10" i="2"/>
  <c r="Z7" i="2"/>
  <c r="Z11" i="2"/>
  <c r="Z2" i="2"/>
  <c r="Z9" i="2"/>
  <c r="Z15" i="2"/>
  <c r="Z17" i="2"/>
  <c r="V54" i="2"/>
  <c r="V55" i="2"/>
  <c r="V59" i="2"/>
  <c r="V45" i="2"/>
  <c r="V46" i="2"/>
  <c r="V56" i="2"/>
  <c r="V57" i="2"/>
  <c r="V47" i="2"/>
  <c r="V48" i="2"/>
  <c r="V58" i="2"/>
  <c r="V60" i="2"/>
  <c r="V49" i="2"/>
  <c r="V50" i="2"/>
  <c r="V51" i="2"/>
  <c r="V63" i="2"/>
  <c r="V62" i="2"/>
  <c r="V52" i="2"/>
  <c r="V61" i="2"/>
  <c r="V53" i="2"/>
  <c r="Z64" i="2"/>
  <c r="V67" i="2"/>
  <c r="V68" i="2"/>
  <c r="V69" i="2"/>
  <c r="V71" i="2"/>
  <c r="V72" i="2"/>
  <c r="V73" i="2"/>
  <c r="V74" i="2"/>
  <c r="V66" i="2"/>
  <c r="V70" i="2"/>
  <c r="V65" i="2"/>
  <c r="Z57" i="2"/>
  <c r="Z47" i="2"/>
  <c r="Z48" i="2"/>
  <c r="Z58" i="2"/>
  <c r="Z60" i="2"/>
  <c r="Z50" i="2"/>
  <c r="Z51" i="2"/>
  <c r="Z63" i="2"/>
  <c r="Z52" i="2"/>
  <c r="Z61" i="2"/>
  <c r="Z53" i="2"/>
  <c r="Z54" i="2"/>
  <c r="Z55" i="2"/>
  <c r="Z59" i="2"/>
  <c r="Z62" i="2"/>
  <c r="Z49" i="2"/>
  <c r="Z45" i="2"/>
  <c r="Z46" i="2"/>
  <c r="Z56" i="2"/>
  <c r="Z72" i="2"/>
  <c r="Z74" i="2"/>
  <c r="Z66" i="2"/>
  <c r="Z70" i="2"/>
  <c r="Z67" i="2"/>
  <c r="Z73" i="2"/>
  <c r="Z68" i="2"/>
  <c r="Z65" i="2"/>
  <c r="Z69" i="2"/>
  <c r="Z71" i="2"/>
  <c r="U86" i="2"/>
  <c r="U75" i="2"/>
  <c r="U87" i="2"/>
  <c r="U77" i="2"/>
  <c r="U88" i="2"/>
  <c r="U83" i="2"/>
  <c r="U78" i="2"/>
  <c r="U82" i="2"/>
  <c r="U89" i="2"/>
  <c r="U79" i="2"/>
  <c r="U90" i="2"/>
  <c r="U80" i="2"/>
  <c r="U91" i="2"/>
  <c r="U92" i="2"/>
  <c r="U81" i="2"/>
  <c r="U84" i="2"/>
  <c r="U93" i="2"/>
  <c r="U76" i="2"/>
  <c r="U85" i="2"/>
  <c r="U94" i="2"/>
  <c r="A9" i="12"/>
  <c r="T9" i="12" s="1"/>
  <c r="T2" i="12" s="1"/>
  <c r="A9" i="11" l="1" a="1"/>
  <c r="A6" i="11" s="1"/>
  <c r="A9" i="9" a="1"/>
  <c r="A9" i="11" l="1"/>
  <c r="T9" i="11" s="1"/>
  <c r="T2" i="11" s="1"/>
  <c r="T10" i="9"/>
  <c r="T12" i="9"/>
  <c r="T11" i="9"/>
  <c r="A9" i="9"/>
  <c r="T9" i="9" s="1"/>
  <c r="A6" i="9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<sst xmlns="http://schemas.openxmlformats.org/spreadsheetml/2006/main" count="1510" uniqueCount="601">
  <si>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</si>
  <si>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</si>
  <si>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</si>
  <si>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</si>
  <si>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</si>
  <si>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</si>
  <si>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</si>
  <si>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</si>
  <si>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</si>
  <si>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</si>
  <si>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</si>
  <si>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</si>
  <si>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</si>
  <si>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</si>
  <si>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</si>
  <si>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</si>
  <si>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</si>
  <si>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</si>
  <si>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</si>
  <si>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</si>
  <si>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</si>
  <si>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</si>
  <si>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</si>
  <si>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</si>
  <si>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</si>
  <si>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</si>
  <si>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</si>
  <si>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</si>
  <si>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</si>
  <si>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</si>
  <si>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</si>
  <si>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</si>
  <si>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</si>
  <si>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</si>
  <si>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</si>
  <si>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</si>
  <si>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</si>
  <si>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</si>
  <si>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</si>
  <si>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</si>
  <si>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</si>
  <si>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</si>
  <si>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</si>
  <si>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</si>
  <si>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</si>
  <si>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</si>
  <si>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</si>
  <si>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</si>
  <si>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</si>
  <si>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</si>
  <si>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</si>
  <si>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</si>
  <si>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</si>
  <si>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</si>
  <si>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</si>
  <si>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</si>
  <si>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</si>
  <si>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</si>
  <si>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</si>
  <si>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</si>
  <si>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</si>
  <si>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</si>
  <si>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</si>
  <si>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</si>
  <si>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</si>
  <si>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</si>
  <si>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</si>
  <si>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</si>
  <si>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</si>
  <si>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</si>
  <si>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</si>
  <si>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</si>
  <si>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</si>
  <si>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</si>
  <si>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</si>
  <si>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</si>
  <si>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</si>
  <si>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</si>
  <si>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</si>
  <si>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</si>
  <si>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</si>
  <si>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</si>
  <si>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</si>
  <si>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</si>
  <si>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</si>
  <si>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</si>
  <si>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</si>
  <si>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</si>
  <si>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</si>
  <si>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</si>
  <si>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</si>
  <si>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</si>
  <si>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</si>
  <si>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</si>
  <si>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</si>
  <si>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</si>
  <si>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</si>
  <si>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</si>
  <si>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</si>
  <si>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</si>
  <si>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</si>
  <si>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</si>
  <si>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</si>
  <si>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</si>
  <si>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</si>
  <si>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Health Care Equipment &amp; Supplies</t>
  </si>
  <si>
    <t>ABT</t>
  </si>
  <si>
    <t>BAX</t>
  </si>
  <si>
    <t>BDX</t>
  </si>
  <si>
    <t>BSX</t>
  </si>
  <si>
    <t>DXCM</t>
  </si>
  <si>
    <t>EW</t>
  </si>
  <si>
    <t>GEHC</t>
  </si>
  <si>
    <t>HOLX</t>
  </si>
  <si>
    <t>IDXX</t>
  </si>
  <si>
    <t>ISRG</t>
  </si>
  <si>
    <t>MDT</t>
  </si>
  <si>
    <t>PEN</t>
  </si>
  <si>
    <t>PHG</t>
  </si>
  <si>
    <t>PODD</t>
  </si>
  <si>
    <t>RMD</t>
  </si>
  <si>
    <t>SNN</t>
  </si>
  <si>
    <t>STE</t>
  </si>
  <si>
    <t>SYK</t>
  </si>
  <si>
    <t>ZBH</t>
  </si>
  <si>
    <t>ALC</t>
  </si>
  <si>
    <t>ALGN</t>
  </si>
  <si>
    <t>COO</t>
  </si>
  <si>
    <t>SOLV</t>
  </si>
  <si>
    <t>Health Care Providers &amp; Services</t>
  </si>
  <si>
    <t>CAH</t>
  </si>
  <si>
    <t>COR</t>
  </si>
  <si>
    <t>MCK</t>
  </si>
  <si>
    <t>CI</t>
  </si>
  <si>
    <t>CVS</t>
  </si>
  <si>
    <t>DGX</t>
  </si>
  <si>
    <t>DVA</t>
  </si>
  <si>
    <t>FMS</t>
  </si>
  <si>
    <t>HIMS</t>
  </si>
  <si>
    <t>LH</t>
  </si>
  <si>
    <t>EHC</t>
  </si>
  <si>
    <t>HCA</t>
  </si>
  <si>
    <t>THC</t>
  </si>
  <si>
    <t>UHS</t>
  </si>
  <si>
    <t>CNC</t>
  </si>
  <si>
    <t>ELV</t>
  </si>
  <si>
    <t>HUM</t>
  </si>
  <si>
    <t>MOH</t>
  </si>
  <si>
    <t>UNH</t>
  </si>
  <si>
    <t>Health Care Technology</t>
  </si>
  <si>
    <t>DOCS</t>
  </si>
  <si>
    <t>VEEV</t>
  </si>
  <si>
    <t>Biotechnology</t>
  </si>
  <si>
    <t>ABBV</t>
  </si>
  <si>
    <t>ALNY</t>
  </si>
  <si>
    <t>AMGN</t>
  </si>
  <si>
    <t>ARGX</t>
  </si>
  <si>
    <t>BIIB</t>
  </si>
  <si>
    <t>BMRN</t>
  </si>
  <si>
    <t>EXAS</t>
  </si>
  <si>
    <t>EXEL</t>
  </si>
  <si>
    <t>GILD</t>
  </si>
  <si>
    <t>GMAB</t>
  </si>
  <si>
    <t>INCY</t>
  </si>
  <si>
    <t>INSM</t>
  </si>
  <si>
    <t>NBIX</t>
  </si>
  <si>
    <t>NTRA</t>
  </si>
  <si>
    <t>ONC</t>
  </si>
  <si>
    <t>REGN</t>
  </si>
  <si>
    <t>SMMT</t>
  </si>
  <si>
    <t>UTHR</t>
  </si>
  <si>
    <t>VRTX</t>
  </si>
  <si>
    <t>Pharmaceuticals</t>
  </si>
  <si>
    <t>AZN</t>
  </si>
  <si>
    <t>BMY</t>
  </si>
  <si>
    <t>GSK</t>
  </si>
  <si>
    <t>HLN</t>
  </si>
  <si>
    <t>JNJ</t>
  </si>
  <si>
    <t>LLY</t>
  </si>
  <si>
    <t>MRK</t>
  </si>
  <si>
    <t>NVO</t>
  </si>
  <si>
    <t>NVS</t>
  </si>
  <si>
    <t>PFE</t>
  </si>
  <si>
    <t>RDY</t>
  </si>
  <si>
    <t>RPRX</t>
  </si>
  <si>
    <t>SNY</t>
  </si>
  <si>
    <t>TAK</t>
  </si>
  <si>
    <t>TEVA</t>
  </si>
  <si>
    <t>VTRS</t>
  </si>
  <si>
    <t>ZTS</t>
  </si>
  <si>
    <t>Life Sciences Tools &amp; Services</t>
  </si>
  <si>
    <t>A</t>
  </si>
  <si>
    <t>DHR</t>
  </si>
  <si>
    <t>ICLR</t>
  </si>
  <si>
    <t>ILMN</t>
  </si>
  <si>
    <t>IQV</t>
  </si>
  <si>
    <t>MTD</t>
  </si>
  <si>
    <t>RVTY</t>
  </si>
  <si>
    <t>TEM</t>
  </si>
  <si>
    <t>TMO</t>
  </si>
  <si>
    <t>WAT</t>
  </si>
  <si>
    <t>WST</t>
  </si>
  <si>
    <t>GKOS</t>
  </si>
  <si>
    <t>GMED</t>
  </si>
  <si>
    <t>INSP</t>
  </si>
  <si>
    <t>IRTC</t>
  </si>
  <si>
    <t>ITGR</t>
  </si>
  <si>
    <t>LIVN</t>
  </si>
  <si>
    <t>MASI</t>
  </si>
  <si>
    <t>NVST</t>
  </si>
  <si>
    <t>PRCT</t>
  </si>
  <si>
    <t>TFX</t>
  </si>
  <si>
    <t>BLCO</t>
  </si>
  <si>
    <t>HAE</t>
  </si>
  <si>
    <t>ICUI</t>
  </si>
  <si>
    <t>LNTH</t>
  </si>
  <si>
    <t>MMSI</t>
  </si>
  <si>
    <t>XRAY</t>
  </si>
  <si>
    <t>HSIC</t>
  </si>
  <si>
    <t>ADUS</t>
  </si>
  <si>
    <t>AMED</t>
  </si>
  <si>
    <t>BTSG</t>
  </si>
  <si>
    <t>CHE</t>
  </si>
  <si>
    <t>CRVL</t>
  </si>
  <si>
    <t>GH</t>
  </si>
  <si>
    <t>LFST</t>
  </si>
  <si>
    <t>OPCH</t>
  </si>
  <si>
    <t>PINC</t>
  </si>
  <si>
    <t>PRVA</t>
  </si>
  <si>
    <t>RDNT</t>
  </si>
  <si>
    <t>ACHC</t>
  </si>
  <si>
    <t>ARDT</t>
  </si>
  <si>
    <t>CON</t>
  </si>
  <si>
    <t>ENSG</t>
  </si>
  <si>
    <t>SGRY</t>
  </si>
  <si>
    <t>ALHC</t>
  </si>
  <si>
    <t>HQY</t>
  </si>
  <si>
    <t>PGNY</t>
  </si>
  <si>
    <t>WAY</t>
  </si>
  <si>
    <t>AAPG</t>
  </si>
  <si>
    <t>ACAD</t>
  </si>
  <si>
    <t>ACLX</t>
  </si>
  <si>
    <t>ADMA</t>
  </si>
  <si>
    <t>ALKS</t>
  </si>
  <si>
    <t>ALVO</t>
  </si>
  <si>
    <t>APGE</t>
  </si>
  <si>
    <t>APLS</t>
  </si>
  <si>
    <t>ASND</t>
  </si>
  <si>
    <t>BBIO</t>
  </si>
  <si>
    <t>BCRX</t>
  </si>
  <si>
    <t>BPMC</t>
  </si>
  <si>
    <t>CPRX</t>
  </si>
  <si>
    <t>CRNX</t>
  </si>
  <si>
    <t>CRSP</t>
  </si>
  <si>
    <t>CYTK</t>
  </si>
  <si>
    <t>DNLI</t>
  </si>
  <si>
    <t>GRFS</t>
  </si>
  <si>
    <t>HALO</t>
  </si>
  <si>
    <t>IONS</t>
  </si>
  <si>
    <t>KRYS</t>
  </si>
  <si>
    <t>LEGN</t>
  </si>
  <si>
    <t>MDGL</t>
  </si>
  <si>
    <t>MIRM</t>
  </si>
  <si>
    <t>MLTX</t>
  </si>
  <si>
    <t>MRNA</t>
  </si>
  <si>
    <t>MRUS</t>
  </si>
  <si>
    <t>MTSR</t>
  </si>
  <si>
    <t>NAMS</t>
  </si>
  <si>
    <t>NUVL</t>
  </si>
  <si>
    <t>PCVX</t>
  </si>
  <si>
    <t>PTCT</t>
  </si>
  <si>
    <t>PTGX</t>
  </si>
  <si>
    <t>RARE</t>
  </si>
  <si>
    <t>RNA</t>
  </si>
  <si>
    <t>ROIV</t>
  </si>
  <si>
    <t>RVMD</t>
  </si>
  <si>
    <t>RYTM</t>
  </si>
  <si>
    <t>SLNO</t>
  </si>
  <si>
    <t>SRPT</t>
  </si>
  <si>
    <t>SRRK</t>
  </si>
  <si>
    <t>TGTX</t>
  </si>
  <si>
    <t>TLX</t>
  </si>
  <si>
    <t>VCEL</t>
  </si>
  <si>
    <t>VCYT</t>
  </si>
  <si>
    <t>VKTX</t>
  </si>
  <si>
    <t>XENE</t>
  </si>
  <si>
    <t>ZLAB</t>
  </si>
  <si>
    <t>AMRX</t>
  </si>
  <si>
    <t>AXSM</t>
  </si>
  <si>
    <t>CORT</t>
  </si>
  <si>
    <t>ELAN</t>
  </si>
  <si>
    <t>HCM</t>
  </si>
  <si>
    <t>LGND</t>
  </si>
  <si>
    <t>OGN</t>
  </si>
  <si>
    <t>PBH</t>
  </si>
  <si>
    <t>PRGO</t>
  </si>
  <si>
    <t>RGC</t>
  </si>
  <si>
    <t>VRNA</t>
  </si>
  <si>
    <t>AVTR</t>
  </si>
  <si>
    <t>BIO</t>
  </si>
  <si>
    <t>BRKR</t>
  </si>
  <si>
    <t>CRL</t>
  </si>
  <si>
    <t>MEDP</t>
  </si>
  <si>
    <t>QGEN</t>
  </si>
  <si>
    <t>RGEN</t>
  </si>
  <si>
    <t>SHC</t>
  </si>
  <si>
    <t>STVN</t>
  </si>
  <si>
    <t>TECH</t>
  </si>
  <si>
    <t>ANGO</t>
  </si>
  <si>
    <t>AORT</t>
  </si>
  <si>
    <t>ATEC</t>
  </si>
  <si>
    <t>ATRC</t>
  </si>
  <si>
    <t>AXGN</t>
  </si>
  <si>
    <t>BBNX</t>
  </si>
  <si>
    <t>BFLY</t>
  </si>
  <si>
    <t>CBLL</t>
  </si>
  <si>
    <t>CLPT</t>
  </si>
  <si>
    <t>CNMD</t>
  </si>
  <si>
    <t>IART</t>
  </si>
  <si>
    <t>INMD</t>
  </si>
  <si>
    <t>IRMD</t>
  </si>
  <si>
    <t>LMAT</t>
  </si>
  <si>
    <t>NPCE</t>
  </si>
  <si>
    <t>NVCR</t>
  </si>
  <si>
    <t>OFIX</t>
  </si>
  <si>
    <t>OMCL</t>
  </si>
  <si>
    <t>PLSE</t>
  </si>
  <si>
    <t>QDEL</t>
  </si>
  <si>
    <t>SENS</t>
  </si>
  <si>
    <t>SIBN</t>
  </si>
  <si>
    <t>SRDX</t>
  </si>
  <si>
    <t>SSII</t>
  </si>
  <si>
    <t>STIM</t>
  </si>
  <si>
    <t>TMCI</t>
  </si>
  <si>
    <t>TNDM</t>
  </si>
  <si>
    <t>VREX</t>
  </si>
  <si>
    <t>AVNS</t>
  </si>
  <si>
    <t>BVS</t>
  </si>
  <si>
    <t>EMBC</t>
  </si>
  <si>
    <t>ESTA</t>
  </si>
  <si>
    <t>KIDS</t>
  </si>
  <si>
    <t>NEOG</t>
  </si>
  <si>
    <t>RXST</t>
  </si>
  <si>
    <t>STAA</t>
  </si>
  <si>
    <t>UFPT</t>
  </si>
  <si>
    <t>AHCO</t>
  </si>
  <si>
    <t>AHG</t>
  </si>
  <si>
    <t>OMI</t>
  </si>
  <si>
    <t>AGL</t>
  </si>
  <si>
    <t>AMN</t>
  </si>
  <si>
    <t>ASTH</t>
  </si>
  <si>
    <t>AVAH</t>
  </si>
  <si>
    <t>CCRN</t>
  </si>
  <si>
    <t>CSTL</t>
  </si>
  <si>
    <t>EHAB</t>
  </si>
  <si>
    <t>FLGT</t>
  </si>
  <si>
    <t>HWAIF</t>
  </si>
  <si>
    <t>INNV</t>
  </si>
  <si>
    <t>MD</t>
  </si>
  <si>
    <t>NEO</t>
  </si>
  <si>
    <t>NNOX</t>
  </si>
  <si>
    <t>NRC</t>
  </si>
  <si>
    <t>NUTX</t>
  </si>
  <si>
    <t>OPK</t>
  </si>
  <si>
    <t>PNTG</t>
  </si>
  <si>
    <t>SBC</t>
  </si>
  <si>
    <t>TALK</t>
  </si>
  <si>
    <t>VMD</t>
  </si>
  <si>
    <t>WGS</t>
  </si>
  <si>
    <t>AUNA</t>
  </si>
  <si>
    <t>BKD</t>
  </si>
  <si>
    <t>CYH</t>
  </si>
  <si>
    <t>NHC</t>
  </si>
  <si>
    <t>PACS</t>
  </si>
  <si>
    <t>SEM</t>
  </si>
  <si>
    <t>SNDA</t>
  </si>
  <si>
    <t>USPH</t>
  </si>
  <si>
    <t>CERT</t>
  </si>
  <si>
    <t>CTEV</t>
  </si>
  <si>
    <t>DH</t>
  </si>
  <si>
    <t>EVH</t>
  </si>
  <si>
    <t>GDRX</t>
  </si>
  <si>
    <t>HCAT</t>
  </si>
  <si>
    <t>HSTM</t>
  </si>
  <si>
    <t>PHR</t>
  </si>
  <si>
    <t>SDGR</t>
  </si>
  <si>
    <t>SLP</t>
  </si>
  <si>
    <t>TBRG</t>
  </si>
  <si>
    <t>TDOC</t>
  </si>
  <si>
    <t>ABEO</t>
  </si>
  <si>
    <t>ABSI</t>
  </si>
  <si>
    <t>ABUS</t>
  </si>
  <si>
    <t>ABVX</t>
  </si>
  <si>
    <t>AGIO</t>
  </si>
  <si>
    <t>AKBA</t>
  </si>
  <si>
    <t>ALLO</t>
  </si>
  <si>
    <t>ALT</t>
  </si>
  <si>
    <t>ANAB</t>
  </si>
  <si>
    <t>ARCT</t>
  </si>
  <si>
    <t>ARDX</t>
  </si>
  <si>
    <t>ARQT</t>
  </si>
  <si>
    <t>ARWR</t>
  </si>
  <si>
    <t>ATYR</t>
  </si>
  <si>
    <t>AUPH</t>
  </si>
  <si>
    <t>AUTL</t>
  </si>
  <si>
    <t>AVBP</t>
  </si>
  <si>
    <t>AVXL</t>
  </si>
  <si>
    <t>BCAX</t>
  </si>
  <si>
    <t>BEAM</t>
  </si>
  <si>
    <t>BHVN</t>
  </si>
  <si>
    <t>BNTC</t>
  </si>
  <si>
    <t>CAPR</t>
  </si>
  <si>
    <t>CDNA</t>
  </si>
  <si>
    <t>CELC</t>
  </si>
  <si>
    <t>CGEM</t>
  </si>
  <si>
    <t>CGON</t>
  </si>
  <si>
    <t>CKPT</t>
  </si>
  <si>
    <t>CLDX</t>
  </si>
  <si>
    <t>CMPS</t>
  </si>
  <si>
    <t>CNTA</t>
  </si>
  <si>
    <t>COGT</t>
  </si>
  <si>
    <t>DAWN</t>
  </si>
  <si>
    <t>DNTH</t>
  </si>
  <si>
    <t>DVAX</t>
  </si>
  <si>
    <t>DYN</t>
  </si>
  <si>
    <t>EBS</t>
  </si>
  <si>
    <t>ERAS</t>
  </si>
  <si>
    <t>ETNB</t>
  </si>
  <si>
    <t>FOLD</t>
  </si>
  <si>
    <t>GERN</t>
  </si>
  <si>
    <t>GLPG</t>
  </si>
  <si>
    <t>GRAL</t>
  </si>
  <si>
    <t>GYRE</t>
  </si>
  <si>
    <t>HRTX</t>
  </si>
  <si>
    <t>IBRX</t>
  </si>
  <si>
    <t>IDYA</t>
  </si>
  <si>
    <t>IMCR</t>
  </si>
  <si>
    <t>IMMP</t>
  </si>
  <si>
    <t>IMNM</t>
  </si>
  <si>
    <t>IMTX</t>
  </si>
  <si>
    <t>IOVA</t>
  </si>
  <si>
    <t>IRON</t>
  </si>
  <si>
    <t>JANX</t>
  </si>
  <si>
    <t>KALV</t>
  </si>
  <si>
    <t>KMDA</t>
  </si>
  <si>
    <t>KNSA</t>
  </si>
  <si>
    <t>KURA</t>
  </si>
  <si>
    <t>KYMR</t>
  </si>
  <si>
    <t>MESO</t>
  </si>
  <si>
    <t>MGTX</t>
  </si>
  <si>
    <t>MLYS</t>
  </si>
  <si>
    <t>MNKD</t>
  </si>
  <si>
    <t>MREO</t>
  </si>
  <si>
    <t>MYGN</t>
  </si>
  <si>
    <t>NNNN</t>
  </si>
  <si>
    <t>NRIX</t>
  </si>
  <si>
    <t>NTLA</t>
  </si>
  <si>
    <t>OLMA</t>
  </si>
  <si>
    <t>ORGO</t>
  </si>
  <si>
    <t>ORIC</t>
  </si>
  <si>
    <t>ORKA</t>
  </si>
  <si>
    <t>PRAX</t>
  </si>
  <si>
    <t>PRTC</t>
  </si>
  <si>
    <t>QURE</t>
  </si>
  <si>
    <t>RCKT</t>
  </si>
  <si>
    <t>RCUS</t>
  </si>
  <si>
    <t>REPL</t>
  </si>
  <si>
    <t>RGLS</t>
  </si>
  <si>
    <t>RGNX</t>
  </si>
  <si>
    <t>RIGL</t>
  </si>
  <si>
    <t>RLAY</t>
  </si>
  <si>
    <t>RXRX</t>
  </si>
  <si>
    <t>RZLT</t>
  </si>
  <si>
    <t>SAGE</t>
  </si>
  <si>
    <t>SANA</t>
  </si>
  <si>
    <t>SION</t>
  </si>
  <si>
    <t>SNDX</t>
  </si>
  <si>
    <t>SPRY</t>
  </si>
  <si>
    <t>SVRA</t>
  </si>
  <si>
    <t>SYRE</t>
  </si>
  <si>
    <t>TECX</t>
  </si>
  <si>
    <t>TRDA</t>
  </si>
  <si>
    <t>TSHA</t>
  </si>
  <si>
    <t>TVTX</t>
  </si>
  <si>
    <t>TWST</t>
  </si>
  <si>
    <t>TYRA</t>
  </si>
  <si>
    <t>UPB</t>
  </si>
  <si>
    <t>VALN</t>
  </si>
  <si>
    <t>VERA</t>
  </si>
  <si>
    <t>VERV</t>
  </si>
  <si>
    <t>VIR</t>
  </si>
  <si>
    <t>VNDA</t>
  </si>
  <si>
    <t>VRDN</t>
  </si>
  <si>
    <t>VSTM</t>
  </si>
  <si>
    <t>XNCR</t>
  </si>
  <si>
    <t>XOMA</t>
  </si>
  <si>
    <t>ZBIO</t>
  </si>
  <si>
    <t>ZYME</t>
  </si>
  <si>
    <t>ACB</t>
  </si>
  <si>
    <t>ALMS</t>
  </si>
  <si>
    <t>AMLX</t>
  </si>
  <si>
    <t>AMPH</t>
  </si>
  <si>
    <t>ANIP</t>
  </si>
  <si>
    <t>AQST</t>
  </si>
  <si>
    <t>ARVN</t>
  </si>
  <si>
    <t>AVDL</t>
  </si>
  <si>
    <t>BHC</t>
  </si>
  <si>
    <t>BLTE</t>
  </si>
  <si>
    <t>COLL</t>
  </si>
  <si>
    <t>CRMD</t>
  </si>
  <si>
    <t>CRON</t>
  </si>
  <si>
    <t>ELVN</t>
  </si>
  <si>
    <t>EOLS</t>
  </si>
  <si>
    <t>ETON</t>
  </si>
  <si>
    <t>EWTX</t>
  </si>
  <si>
    <t>FULC</t>
  </si>
  <si>
    <t>GHRS</t>
  </si>
  <si>
    <t>GPCR</t>
  </si>
  <si>
    <t>INVA</t>
  </si>
  <si>
    <t>LENZ</t>
  </si>
  <si>
    <t>LQDA</t>
  </si>
  <si>
    <t>MAZE</t>
  </si>
  <si>
    <t>MBX</t>
  </si>
  <si>
    <t>MNMD</t>
  </si>
  <si>
    <t>NUVB</t>
  </si>
  <si>
    <t>OCUL</t>
  </si>
  <si>
    <t>PAHC</t>
  </si>
  <si>
    <t>PCRX</t>
  </si>
  <si>
    <t>PHVS</t>
  </si>
  <si>
    <t>RAPP</t>
  </si>
  <si>
    <t>SEPN</t>
  </si>
  <si>
    <t>SNDL</t>
  </si>
  <si>
    <t>SUPN</t>
  </si>
  <si>
    <t>TARS</t>
  </si>
  <si>
    <t>TBPH</t>
  </si>
  <si>
    <t>TERN</t>
  </si>
  <si>
    <t>TLRY</t>
  </si>
  <si>
    <t>TRVI</t>
  </si>
  <si>
    <t>WVE</t>
  </si>
  <si>
    <t>XERS</t>
  </si>
  <si>
    <t>ZVRA</t>
  </si>
  <si>
    <t>ZYBT</t>
  </si>
  <si>
    <t>ABCL</t>
  </si>
  <si>
    <t>ADPT</t>
  </si>
  <si>
    <t>AZTA</t>
  </si>
  <si>
    <t>BLFS</t>
  </si>
  <si>
    <t>CTKB</t>
  </si>
  <si>
    <t>CYRX</t>
  </si>
  <si>
    <t>EVO</t>
  </si>
  <si>
    <t>FTRE</t>
  </si>
  <si>
    <t>LAB</t>
  </si>
  <si>
    <t>LFCR</t>
  </si>
  <si>
    <t>MLAB</t>
  </si>
  <si>
    <t>MRVI</t>
  </si>
  <si>
    <t>MXCT</t>
  </si>
  <si>
    <t>NAGE</t>
  </si>
  <si>
    <t>PACB</t>
  </si>
  <si>
    <t>TKNO</t>
  </si>
  <si>
    <t>None</t>
  </si>
  <si>
    <t>GALDY</t>
  </si>
  <si>
    <t>RICFY</t>
  </si>
  <si>
    <t>HNGE</t>
  </si>
  <si>
    <t>CWSRF</t>
  </si>
  <si>
    <t>MTHRY</t>
  </si>
  <si>
    <t>GRRMY</t>
  </si>
  <si>
    <t>BCHMY</t>
  </si>
  <si>
    <t>EXETF</t>
  </si>
  <si>
    <t>DNTCF</t>
  </si>
  <si>
    <t>GLUE</t>
  </si>
  <si>
    <t>GTBIF</t>
  </si>
  <si>
    <t>ZIMV</t>
  </si>
  <si>
    <t>VHIBF</t>
  </si>
  <si>
    <t>TCNNF</t>
  </si>
  <si>
    <t>CURLF</t>
  </si>
  <si>
    <t>GOSS</t>
  </si>
  <si>
    <t>NIKA</t>
  </si>
  <si>
    <t>WHTCF</t>
  </si>
  <si>
    <t>KSIOF</t>
  </si>
  <si>
    <t>AIRS</t>
  </si>
  <si>
    <t>KHTRF</t>
  </si>
  <si>
    <t>NGENF</t>
  </si>
  <si>
    <t>TOI</t>
  </si>
  <si>
    <t>DRTS</t>
  </si>
  <si>
    <t>CMPX</t>
  </si>
  <si>
    <t>CRVS</t>
  </si>
  <si>
    <t>CADL</t>
  </si>
  <si>
    <t>HUMA</t>
  </si>
  <si>
    <t>CTMX</t>
  </si>
  <si>
    <t>VIGL</t>
  </si>
  <si>
    <t>ADCT</t>
  </si>
  <si>
    <t>AVIR</t>
  </si>
  <si>
    <t>SLN</t>
  </si>
  <si>
    <t>INZY</t>
  </si>
  <si>
    <t>AURA</t>
  </si>
  <si>
    <t>ATXS</t>
  </si>
  <si>
    <t>NYXH</t>
  </si>
  <si>
    <t>ITOS</t>
  </si>
  <si>
    <t>PVLA</t>
  </si>
  <si>
    <t>CDTX</t>
  </si>
  <si>
    <t>OM</t>
  </si>
  <si>
    <t>TNXP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</si>
</sst>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5.43</v>
        <stp/>
        <stp>LAST</stp>
        <stp>VIR</stp>
        <tr r="D95" s="4"/>
      </tp>
      <tp>
        <v>6.87</v>
        <stp/>
        <stp>LAST</stp>
        <stp>VMD</stp>
        <tr r="D194" s="4"/>
      </tp>
      <tp>
        <v>223.77</v>
        <stp/>
        <stp>LAST</stp>
        <stp>WST</stp>
        <tr r="D73" s="2"/>
      </tp>
      <tp>
        <v>7.05</v>
        <stp/>
        <stp>LAST</stp>
        <stp>WVE</stp>
        <tr r="D269" s="4"/>
      </tp>
      <tp>
        <v>348.33</v>
        <stp/>
        <stp>LAST</stp>
        <stp>WAT</stp>
        <tr r="D69" s="2"/>
      </tp>
      <tp>
        <v>40.72</v>
        <stp/>
        <stp>LAST</stp>
        <stp>WAY</stp>
        <tr r="D90" s="3"/>
      </tp>
      <tp>
        <v>72.42</v>
        <stp/>
        <stp>LAST</stp>
        <stp>WGS</stp>
        <tr r="D85" s="3"/>
      </tp>
      <tp>
        <v>4.41</v>
        <stp/>
        <stp>LAST</stp>
        <stp>KHTRF</stp>
        <tr r="D255" s="4"/>
      </tp>
      <tp>
        <v>2.9304999999999999</v>
        <stp/>
        <stp>LAST</stp>
        <stp>WHTCF</stp>
        <tr r="D190" s="4"/>
      </tp>
      <tp>
        <v>6.35</v>
        <stp/>
        <stp>LAST</stp>
        <stp>DNTCF</stp>
        <tr r="D183" s="4"/>
      </tp>
      <tp>
        <v>166.19</v>
        <stp/>
        <stp>LAST</stp>
        <stp>THC</stp>
        <tr r="D54" s="2"/>
      </tp>
      <tp>
        <v>2.6</v>
        <stp/>
        <stp>LAST</stp>
        <stp>TOI</stp>
        <tr r="D196" s="4"/>
      </tp>
      <tp>
        <v>16.91</v>
        <stp/>
        <stp>LAST</stp>
        <stp>TLX</stp>
        <tr r="D14" s="3"/>
      </tp>
      <tp>
        <v>408.53</v>
        <stp/>
        <stp>LAST</stp>
        <stp>TMO</stp>
        <tr r="D66" s="2"/>
      </tp>
      <tp>
        <v>15.05</v>
        <stp/>
        <stp>LAST</stp>
        <stp>TAK</stp>
        <tr r="D82" s="2"/>
      </tp>
      <tp>
        <v>123.27</v>
        <stp/>
        <stp>LAST</stp>
        <stp>TFX</stp>
        <tr r="D50" s="3"/>
      </tp>
      <tp>
        <v>66.94</v>
        <stp/>
        <stp>LAST</stp>
        <stp>TEM</stp>
        <tr r="D103" s="3"/>
      </tp>
      <tp>
        <v>11.29</v>
        <stp/>
        <stp>LAST</stp>
        <stp>UPB</stp>
        <tr r="D98" s="4"/>
      </tp>
      <tp>
        <v>177.77</v>
        <stp/>
        <stp>LAST</stp>
        <stp>UHS</stp>
        <tr r="D52" s="2"/>
      </tp>
      <tp>
        <v>303.19</v>
        <stp/>
        <stp>LAST</stp>
        <stp>UNH</stp>
        <tr r="D46" s="2"/>
      </tp>
      <tp>
        <v>0.87609999999999999</v>
        <stp/>
        <stp>LAST</stp>
        <stp>CURLF</stp>
        <tr r="D250" s="4"/>
      </tp>
      <tp>
        <v>13.65</v>
        <stp/>
        <stp>LAST</stp>
        <stp>GRRMY</stp>
        <tr r="D102" s="3"/>
      </tp>
      <tp>
        <v>32.659999999999997</v>
        <stp/>
        <stp>LAST</stp>
        <stp>RNA</stp>
        <tr r="D36" s="3"/>
      </tp>
      <tp>
        <v>250.98</v>
        <stp/>
        <stp>LAST</stp>
        <stp>RMD</stp>
        <tr r="D22" s="2"/>
      </tp>
      <tp>
        <v>639.95000000000005</v>
        <stp/>
        <stp>LAST</stp>
        <stp>RGC</stp>
        <tr r="D92" s="2"/>
      </tp>
      <tp>
        <v>15.63</v>
        <stp/>
        <stp>LAST</stp>
        <stp>RDY</stp>
        <tr r="D91" s="2"/>
      </tp>
      <tp>
        <v>13.138999999999999</v>
        <stp/>
        <stp>LAST</stp>
        <stp>CWSRF</stp>
        <tr r="D82" s="3"/>
      </tp>
      <tp>
        <v>382.28</v>
        <stp/>
        <stp>LAST</stp>
        <stp>SYK</stp>
        <tr r="D24" s="2"/>
      </tp>
      <tp>
        <v>242.7</v>
        <stp/>
        <stp>LAST</stp>
        <stp>STE</stp>
        <tr r="D27" s="2"/>
      </tp>
      <tp>
        <v>12.36</v>
        <stp/>
        <stp>LAST</stp>
        <stp>SHC</stp>
        <tr r="D100" s="3"/>
      </tp>
      <tp>
        <v>49.75</v>
        <stp/>
        <stp>LAST</stp>
        <stp>SNY</stp>
        <tr r="D81" s="2"/>
      </tp>
      <tp>
        <v>29.88</v>
        <stp/>
        <stp>LAST</stp>
        <stp>SNN</stp>
        <tr r="D42" s="2"/>
      </tp>
      <tp>
        <v>27.43</v>
        <stp/>
        <stp>LAST</stp>
        <stp>SLP</stp>
        <tr r="D209" s="4"/>
      </tp>
      <tp>
        <v>5.31</v>
        <stp/>
        <stp>LAST</stp>
        <stp>SLN</stp>
        <tr r="D65" s="4"/>
      </tp>
      <tp>
        <v>4.8899999999999997</v>
        <stp/>
        <stp>LAST</stp>
        <stp>SBC</stp>
        <tr r="D186" s="4"/>
      </tp>
      <tp>
        <v>15.49</v>
        <stp/>
        <stp>LAST</stp>
        <stp>SEM</stp>
        <tr r="D172" s="4"/>
      </tp>
      <tp>
        <v>27.5</v>
        <stp/>
        <stp>LAST</stp>
        <stp>PHR</stp>
        <tr r="D210" s="4"/>
      </tp>
      <tp>
        <v>23.48</v>
        <stp/>
        <stp>LAST</stp>
        <stp>PHG</stp>
        <tr r="D44" s="2"/>
      </tp>
      <tp>
        <v>85.68</v>
        <stp/>
        <stp>LAST</stp>
        <stp>PBH</stp>
        <tr r="D105" s="3"/>
      </tp>
      <tp>
        <v>23.97</v>
        <stp/>
        <stp>LAST</stp>
        <stp>PFE</stp>
        <tr r="D84" s="2"/>
      </tp>
      <tp>
        <v>256.49</v>
        <stp/>
        <stp>LAST</stp>
        <stp>PEN</stp>
        <tr r="D33" s="2"/>
      </tp>
      <tp>
        <v>164.61</v>
        <stp/>
        <stp>LAST</stp>
        <stp>ZTS</stp>
        <tr r="D80" s="2"/>
      </tp>
      <tp>
        <v>92.83</v>
        <stp/>
        <stp>LAST</stp>
        <stp>ZBH</stp>
        <tr r="D28" s="2"/>
      </tp>
      <tp>
        <v>28.63</v>
        <stp/>
        <stp>LAST</stp>
        <stp>FMS</stp>
        <tr r="D59" s="2"/>
      </tp>
      <tp>
        <v>40.86</v>
        <stp/>
        <stp>LAST</stp>
        <stp>GSK</stp>
        <tr r="D86" s="2"/>
      </tp>
      <tp>
        <v>14.4</v>
        <stp/>
        <stp>LAST</stp>
        <stp>DYN</stp>
        <tr r="D100" s="4"/>
      </tp>
      <tp>
        <v>137.78</v>
        <stp/>
        <stp>LAST</stp>
        <stp>DVA</stp>
        <tr r="D48" s="2"/>
      </tp>
      <tp>
        <v>199.2</v>
        <stp/>
        <stp>LAST</stp>
        <stp>DHR</stp>
        <tr r="D70" s="2"/>
      </tp>
      <tp>
        <v>175.9</v>
        <stp/>
        <stp>LAST</stp>
        <stp>DGX</stp>
        <tr r="D57" s="2"/>
      </tp>
      <tp>
        <v>10.427</v>
        <stp/>
        <stp>LAST</stp>
        <stp>EXETF</stp>
        <tr r="D182" s="4"/>
      </tp>
      <tp>
        <v>2.54</v>
        <stp/>
        <stp>LAST</stp>
        <stp>NGENF</stp>
        <tr r="D256" s="4"/>
      </tp>
      <tp>
        <v>4.12</v>
        <stp/>
        <stp>LAST</stp>
        <stp>EVO</stp>
        <tr r="D229" s="4"/>
      </tp>
      <tp>
        <v>8.48</v>
        <stp/>
        <stp>LAST</stp>
        <stp>EVH</stp>
        <tr r="D216" s="4"/>
      </tp>
      <tp>
        <v>120.3</v>
        <stp/>
        <stp>LAST</stp>
        <stp>EHC</stp>
        <tr r="D61" s="2"/>
      </tp>
      <tp>
        <v>389.61</v>
        <stp/>
        <stp>LAST</stp>
        <stp>ELV</stp>
        <tr r="D53" s="2"/>
      </tp>
      <tp>
        <v>6.49</v>
        <stp/>
        <stp>LAST</stp>
        <stp>EBS</stp>
        <tr r="D3" s="4"/>
      </tp>
      <tp>
        <v>5.1100000000000003</v>
        <stp/>
        <stp>LAST</stp>
        <stp>GTBIF</stp>
        <tr r="D246" s="4"/>
      </tp>
      <tp>
        <v>100.04</v>
        <stp/>
        <stp>LAST</stp>
        <stp>BSX</stp>
        <tr r="D38" s="2"/>
      </tp>
      <tp>
        <v>6.72</v>
        <stp/>
        <stp>LAST</stp>
        <stp>BVS</stp>
        <tr r="D136" s="4"/>
      </tp>
      <tp>
        <v>6.57</v>
        <stp/>
        <stp>LAST</stp>
        <stp>BKD</stp>
        <tr r="D203" s="4"/>
      </tp>
      <tp>
        <v>4.8600000000000003</v>
        <stp/>
        <stp>LAST</stp>
        <stp>BHC</stp>
        <tr r="D238" s="4"/>
      </tp>
      <tp>
        <v>225.56</v>
        <stp/>
        <stp>LAST</stp>
        <stp>BIO</stp>
        <tr r="D93" s="3"/>
      </tp>
      <tp>
        <v>49</v>
        <stp/>
        <stp>LAST</stp>
        <stp>BMY</stp>
        <tr r="D78" s="2"/>
      </tp>
      <tp>
        <v>30.85</v>
        <stp/>
        <stp>LAST</stp>
        <stp>BAX</stp>
        <tr r="D43" s="2"/>
      </tp>
      <tp>
        <v>172.51</v>
        <stp/>
        <stp>LAST</stp>
        <stp>BDX</stp>
        <tr r="D25" s="2"/>
      </tp>
      <tp>
        <v>15.615</v>
        <stp/>
        <stp>LAST</stp>
        <stp>RICFY</stp>
        <tr r="D94" s="2"/>
      </tp>
      <tp>
        <v>3.44</v>
        <stp/>
        <stp>LAST</stp>
        <stp>CYH</stp>
        <tr r="D180" s="4"/>
      </tp>
      <tp>
        <v>147.46</v>
        <stp/>
        <stp>LAST</stp>
        <stp>CRL</stp>
        <tr r="D94" s="3"/>
      </tp>
      <tp>
        <v>63.86</v>
        <stp/>
        <stp>LAST</stp>
        <stp>CVS</stp>
        <tr r="D60" s="2"/>
      </tp>
      <tp>
        <v>550.03</v>
        <stp/>
        <stp>LAST</stp>
        <stp>CHE</stp>
        <tr r="D69" s="3"/>
      </tp>
      <tp>
        <v>55.76</v>
        <stp/>
        <stp>LAST</stp>
        <stp>CNC</stp>
        <tr r="D62" s="2"/>
      </tp>
      <tp>
        <v>283.95</v>
        <stp/>
        <stp>LAST</stp>
        <stp>COR</stp>
        <tr r="D51" s="2"/>
      </tp>
      <tp>
        <v>22.08</v>
        <stp/>
        <stp>LAST</stp>
        <stp>CON</stp>
        <tr r="D75" s="3"/>
      </tp>
      <tp>
        <v>71.97</v>
        <stp/>
        <stp>LAST</stp>
        <stp>COO</stp>
        <tr r="D39" s="2"/>
      </tp>
      <tp>
        <v>153.62</v>
        <stp/>
        <stp>LAST</stp>
        <stp>CAH</stp>
        <tr r="D56" s="2"/>
      </tp>
      <tp>
        <v>0.98802000000000001</v>
        <stp/>
        <stp>LAST</stp>
        <stp>HWAIF</stp>
        <tr r="D193" s="4"/>
      </tp>
      <tp>
        <v>73.010000000000005</v>
        <stp/>
        <stp>LAST</stp>
        <stp>AZN</stp>
        <tr r="D79" s="2"/>
      </tp>
      <tp>
        <v>1.36</v>
        <stp/>
        <stp>LAST</stp>
        <stp>AHG</stp>
        <tr r="D191" s="4"/>
      </tp>
      <tp>
        <v>5.95</v>
        <stp/>
        <stp>LAST</stp>
        <stp>ALT</stp>
        <tr r="D53" s="4"/>
      </tp>
      <tp>
        <v>87.48</v>
        <stp/>
        <stp>LAST</stp>
        <stp>ALC</stp>
        <tr r="D36" s="2"/>
      </tp>
      <tp>
        <v>21.37</v>
        <stp/>
        <stp>LAST</stp>
        <stp>AMN</stp>
        <tr r="D168" s="4"/>
      </tp>
      <tp>
        <v>133.4</v>
        <stp/>
        <stp>LAST</stp>
        <stp>ABT</stp>
        <tr r="D34" s="2"/>
      </tp>
      <tp>
        <v>5.82</v>
        <stp/>
        <stp>LAST</stp>
        <stp>ACB</stp>
        <tr r="D260" s="4"/>
      </tp>
      <tp>
        <v>2.2799999999999998</v>
        <stp/>
        <stp>LAST</stp>
        <stp>AGL</stp>
        <tr r="D195" s="4"/>
      </tp>
      <tp>
        <v>3.82</v>
        <stp/>
        <stp>LAST</stp>
        <stp>TCNNF</stp>
        <tr r="D247" s="4"/>
      </tp>
      <tp>
        <v>15.62</v>
        <stp/>
        <stp>LAST</stp>
        <stp>NRC</stp>
        <tr r="D181" s="4"/>
      </tp>
      <tp>
        <v>118.02</v>
        <stp/>
        <stp>LAST</stp>
        <stp>NVS</stp>
        <tr r="D76" s="2"/>
      </tp>
      <tp>
        <v>75.459999999999994</v>
        <stp/>
        <stp>LAST</stp>
        <stp>NVO</stp>
        <tr r="D83" s="2"/>
      </tp>
      <tp>
        <v>104.46</v>
        <stp/>
        <stp>LAST</stp>
        <stp>NHC</stp>
        <tr r="D167" s="4"/>
      </tp>
      <tp>
        <v>7.56</v>
        <stp/>
        <stp>LAST</stp>
        <stp>NEO</stp>
        <tr r="D197" s="4"/>
      </tp>
      <tp>
        <v>1.38</v>
        <stp/>
        <stp>LAST</stp>
        <stp>OPK</stp>
        <tr r="D198" s="4"/>
      </tp>
      <tp>
        <v>263.77999999999997</v>
        <stp/>
        <stp>LAST</stp>
        <stp>ONC</stp>
        <tr r="D17" s="2"/>
      </tp>
      <tp>
        <v>7.93</v>
        <stp/>
        <stp>LAST</stp>
        <stp>OMI</stp>
        <tr r="D200" s="4"/>
      </tp>
      <tp>
        <v>9.76</v>
        <stp/>
        <stp>LAST</stp>
        <stp>OGN</stp>
        <tr r="D106" s="3"/>
      </tp>
      <tp>
        <v>28.1</v>
        <stp/>
        <stp>LAST</stp>
        <stp>GALDY</stp>
        <tr r="D87" s="2"/>
      </tp>
      <tp>
        <v>773.71</v>
        <stp/>
        <stp>LAST</stp>
        <stp>LLY</stp>
        <tr r="D93" s="2"/>
      </tp>
      <tp>
        <v>1.08</v>
        <stp/>
        <stp>LAST</stp>
        <stp>LAB</stp>
        <tr r="D228" s="4"/>
      </tp>
      <tp>
        <v>79.33</v>
        <stp/>
        <stp>LAST</stp>
        <stp>MRK</stp>
        <tr r="D77" s="2"/>
      </tp>
      <tp>
        <v>1195.3900000000001</v>
        <stp/>
        <stp>LAST</stp>
        <stp>MTD</stp>
        <tr r="D65" s="2"/>
      </tp>
      <tp>
        <v>297</v>
        <stp/>
        <stp>LAST</stp>
        <stp>MOH</stp>
        <tr r="D58" s="2"/>
      </tp>
      <tp>
        <v>11.36</v>
        <stp/>
        <stp>LAST</stp>
        <stp>MBX</stp>
        <tr r="D282" s="4"/>
      </tp>
      <tp>
        <v>708.22</v>
        <stp/>
        <stp>LAST</stp>
        <stp>MCK</stp>
        <tr r="D45" s="2"/>
      </tp>
      <tp>
        <v>87.45</v>
        <stp/>
        <stp>LAST</stp>
        <stp>MDT</stp>
        <tr r="D31" s="2"/>
      </tp>
      <tp>
        <v>155.22999999999999</v>
        <stp/>
        <stp>LAST</stp>
        <stp>JNJ</stp>
        <tr r="D75" s="2"/>
      </tp>
      <tp>
        <v>7.18</v>
        <stp/>
        <stp>LAST</stp>
        <stp>MTHRY</stp>
        <tr r="D91" s="3"/>
      </tp>
      <tp>
        <v>6.1</v>
        <stp/>
        <stp>LAST</stp>
        <stp>BCHMY</stp>
        <tr r="D104" s="3"/>
      </tp>
      <tp>
        <v>111.16</v>
        <stp/>
        <stp>LAST</stp>
        <stp>HQY</stp>
        <tr r="D86" s="3"/>
      </tp>
      <tp>
        <v>233.07</v>
        <stp/>
        <stp>LAST</stp>
        <stp>HUM</stp>
        <tr r="D49" s="2"/>
      </tp>
      <tp>
        <v>10.88</v>
        <stp/>
        <stp>LAST</stp>
        <stp>HLN</stp>
        <tr r="D90" s="2"/>
      </tp>
      <tp>
        <v>373.01</v>
        <stp/>
        <stp>LAST</stp>
        <stp>HCA</stp>
        <tr r="D50" s="2"/>
      </tp>
      <tp>
        <v>15.96</v>
        <stp/>
        <stp>LAST</stp>
        <stp>HCM</stp>
        <tr r="D111" s="3"/>
      </tp>
      <tp>
        <v>71.650000000000006</v>
        <stp/>
        <stp>LAST</stp>
        <stp>HAE</stp>
        <tr r="D56" s="3"/>
      </tp>
      <tp>
        <v>7.4924999999999997</v>
        <stp/>
        <stp>LAST</stp>
        <stp>VHIBF</stp>
        <tr r="D213" s="4"/>
      </tp>
      <tp>
        <v>4.7569999999999997</v>
        <stp/>
        <stp>LAST</stp>
        <stp>KSIOF</stp>
        <tr r="D214" s="4"/>
      </tp>
      <tp>
        <v>154.15</v>
        <stp/>
        <stp>LAST</stp>
        <stp>IQV</stp>
        <tr r="D68" s="2"/>
      </tp>
      <tp>
        <v>29.28</v>
        <stp/>
        <stp>LAST</stp>
        <stp>AZTA</stp>
        <tr r="D220" s="4"/>
      </tp>
      <tp>
        <v>4.3099999999999996</v>
        <stp/>
        <stp>LAST</stp>
        <stp>RZLT</stp>
        <tr r="D47" s="4"/>
      </tp>
      <tp>
        <v>5.37</v>
        <stp/>
        <stp>LAST</stp>
        <stp>RXRX</stp>
        <tr r="D60" s="4"/>
      </tp>
      <tp>
        <v>15.3</v>
        <stp/>
        <stp>LAST</stp>
        <stp>RXST</stp>
        <tr r="D151" s="4"/>
      </tp>
      <tp>
        <v>109.87</v>
        <stp/>
        <stp>LAST</stp>
        <stp>AXSM</stp>
        <tr r="D114" s="3"/>
      </tp>
      <tp>
        <v>10.41</v>
        <stp/>
        <stp>LAST</stp>
        <stp>AXGN</stp>
        <tr r="D138" s="4"/>
      </tp>
      <tp>
        <v>42.92</v>
        <stp/>
        <stp>LAST</stp>
        <stp>EXEL</stp>
        <tr r="D11" s="2"/>
      </tp>
      <tp>
        <v>2.1800000000000002</v>
        <stp/>
        <stp>LAST</stp>
        <stp>MXCT</stp>
        <tr r="D226" s="4"/>
      </tp>
      <tp>
        <v>85.68</v>
        <stp/>
        <stp>LAST</stp>
        <stp>DXCM</stp>
        <tr r="D40" s="2"/>
      </tp>
      <tp>
        <v>54.63</v>
        <stp/>
        <stp>LAST</stp>
        <stp>EXAS</stp>
        <tr r="D13" s="2"/>
      </tp>
      <tp>
        <v>33.130000000000003</v>
        <stp/>
        <stp>LAST</stp>
        <stp>CYTK</stp>
        <tr r="D40" s="3"/>
      </tp>
      <tp>
        <v>66.72</v>
        <stp/>
        <stp>LAST</stp>
        <stp>RYTM</stp>
        <tr r="D26" s="3"/>
      </tp>
      <tp>
        <v>6.96</v>
        <stp/>
        <stp>LAST</stp>
        <stp>CYRX</stp>
        <tr r="D233" s="4"/>
      </tp>
      <tp>
        <v>10.26</v>
        <stp/>
        <stp>LAST</stp>
        <stp>TYRA</stp>
        <tr r="D58" s="4"/>
      </tp>
      <tp>
        <v>17.16</v>
        <stp/>
        <stp>LAST</stp>
        <stp>SYRE</stp>
        <tr r="D101" s="4"/>
      </tp>
      <tp>
        <v>8.5</v>
        <stp/>
        <stp>LAST</stp>
        <stp>GYRE</stp>
        <tr r="D19" s="4"/>
      </tp>
      <tp>
        <v>7.7450000000000001</v>
        <stp/>
        <stp>LAST</stp>
        <stp>NYXH</stp>
        <tr r="D161" s="4"/>
      </tp>
      <tp>
        <v>5.19</v>
        <stp/>
        <stp>LAST</stp>
        <stp>MYGN</stp>
        <tr r="D30" s="4"/>
      </tp>
      <tp>
        <v>5.16</v>
        <stp/>
        <stp>LAST</stp>
        <stp>ZYBT</stp>
        <tr r="D234" s="4"/>
      </tp>
      <tp>
        <v>47.16</v>
        <stp/>
        <stp>LAST</stp>
        <stp>KYMR</stp>
        <tr r="D96" s="4"/>
      </tp>
      <tp>
        <v>12.45</v>
        <stp/>
        <stp>LAST</stp>
        <stp>ZYME</stp>
        <tr r="D50" s="4"/>
      </tp>
      <tp>
        <v>4.04</v>
        <stp/>
        <stp>LAST</stp>
        <stp>CRVS</stp>
        <tr r="D31" s="4"/>
      </tp>
      <tp>
        <v>23.24</v>
        <stp/>
        <stp>LAST</stp>
        <stp>PRVA</stp>
        <tr r="D78" s="3"/>
      </tp>
      <tp>
        <v>6.41</v>
        <stp/>
        <stp>LAST</stp>
        <stp>TRVI</stp>
        <tr r="D261" s="4"/>
      </tp>
      <tp>
        <v>2.2799999999999998</v>
        <stp/>
        <stp>LAST</stp>
        <stp>MRVI</stp>
        <tr r="D224" s="4"/>
      </tp>
      <tp>
        <v>7.83</v>
        <stp/>
        <stp>LAST</stp>
        <stp>ARVN</stp>
        <tr r="D281" s="4"/>
      </tp>
      <tp>
        <v>108.2</v>
        <stp/>
        <stp>LAST</stp>
        <stp>CRVL</stp>
        <tr r="D74" s="3"/>
      </tp>
      <tp>
        <v>16.57</v>
        <stp/>
        <stp>LAST</stp>
        <stp>ARWR</stp>
        <tr r="D13" s="3"/>
      </tp>
      <tp>
        <v>3.125</v>
        <stp/>
        <stp>LAST</stp>
        <stp>DRTS</stp>
        <tr r="D146" s="4"/>
      </tp>
      <tp>
        <v>446.15</v>
        <stp/>
        <stp>LAST</stp>
        <stp>VRTX</stp>
        <tr r="D20" s="2"/>
      </tp>
      <tp>
        <v>2.12</v>
        <stp/>
        <stp>LAST</stp>
        <stp>HRTX</stp>
        <tr r="D20" s="4"/>
      </tp>
      <tp>
        <v>18.309999999999999</v>
        <stp/>
        <stp>LAST</stp>
        <stp>PRTC</stp>
        <tr r="D35" s="4"/>
      </tp>
      <tp>
        <v>147.47999999999999</v>
        <stp/>
        <stp>LAST</stp>
        <stp>IRTC</stp>
        <tr r="D62" s="3"/>
      </tp>
      <tp>
        <v>54.91</v>
        <stp/>
        <stp>LAST</stp>
        <stp>MRUS</stp>
        <tr r="D41" s="3"/>
      </tp>
      <tp>
        <v>34.07</v>
        <stp/>
        <stp>LAST</stp>
        <stp>SRRK</stp>
        <tr r="D32" s="3"/>
      </tp>
      <tp>
        <v>42.09</v>
        <stp/>
        <stp>LAST</stp>
        <stp>CRSP</stp>
        <tr r="D42" s="3"/>
      </tp>
      <tp>
        <v>39.71</v>
        <stp/>
        <stp>LAST</stp>
        <stp>SRPT</stp>
        <tr r="D48" s="3"/>
      </tp>
      <tp>
        <v>14.21</v>
        <stp/>
        <stp>LAST</stp>
        <stp>ARQT</stp>
        <tr r="D43" s="4"/>
      </tp>
      <tp>
        <v>136.08000000000001</v>
        <stp/>
        <stp>LAST</stp>
        <stp>KRYS</stp>
        <tr r="D5" s="3"/>
      </tp>
      <tp>
        <v>8.83</v>
        <stp/>
        <stp>LAST</stp>
        <stp>GRFS</stp>
        <tr r="D9" s="3"/>
      </tp>
      <tp>
        <v>583.62</v>
        <stp/>
        <stp>LAST</stp>
        <stp>ARGX</stp>
        <tr r="D18" s="2"/>
      </tp>
      <tp>
        <v>26.17</v>
        <stp/>
        <stp>LAST</stp>
        <stp>PRGO</stp>
        <tr r="D108" s="3"/>
      </tp>
      <tp>
        <v>3.44</v>
        <stp/>
        <stp>LAST</stp>
        <stp>ORGO</stp>
        <tr r="D18" s="4"/>
      </tp>
      <tp>
        <v>13.68</v>
        <stp/>
        <stp>LAST</stp>
        <stp>ARDT</stp>
        <tr r="D80" s="3"/>
      </tp>
      <tp>
        <v>29.16</v>
        <stp/>
        <stp>LAST</stp>
        <stp>SRDX</stp>
        <tr r="D152" s="4"/>
      </tp>
      <tp>
        <v>3.76</v>
        <stp/>
        <stp>LAST</stp>
        <stp>ARDX</stp>
        <tr r="D22" s="4"/>
      </tp>
      <tp>
        <v>8.11</v>
        <stp/>
        <stp>LAST</stp>
        <stp>TRDA</stp>
        <tr r="D63" s="4"/>
      </tp>
      <tp>
        <v>14.86</v>
        <stp/>
        <stp>LAST</stp>
        <stp>VRDN</stp>
        <tr r="D114" s="4"/>
      </tp>
      <tp>
        <v>8.52</v>
        <stp/>
        <stp>LAST</stp>
        <stp>VREX</stp>
        <tr r="D134" s="4"/>
      </tp>
      <tp>
        <v>2.65</v>
        <stp/>
        <stp>LAST</stp>
        <stp>MREO</stp>
        <tr r="D23" s="4"/>
      </tp>
      <tp>
        <v>62.86</v>
        <stp/>
        <stp>LAST</stp>
        <stp>PRCT</stp>
        <tr r="D67" s="3"/>
      </tp>
      <tp>
        <v>12.54</v>
        <stp/>
        <stp>LAST</stp>
        <stp>ARCT</stp>
        <tr r="D104" s="4"/>
      </tp>
      <tp>
        <v>1.63</v>
        <stp/>
        <stp>LAST</stp>
        <stp>ERAS</stp>
        <tr r="D34" s="4"/>
      </tp>
      <tp>
        <v>16.225000000000001</v>
        <stp/>
        <stp>LAST</stp>
        <stp>XRAY</stp>
        <tr r="D61" s="3"/>
      </tp>
      <tp>
        <v>44.51</v>
        <stp/>
        <stp>LAST</stp>
        <stp>PRAX</stp>
        <tr r="D123" s="4"/>
      </tp>
      <tp>
        <v>40.03</v>
        <stp/>
        <stp>LAST</stp>
        <stp>GRAL</stp>
        <tr r="D124" s="4"/>
      </tp>
      <tp>
        <v>32.28</v>
        <stp/>
        <stp>LAST</stp>
        <stp>CRNX</stp>
        <tr r="D37" s="3"/>
      </tp>
      <tp>
        <v>84.64</v>
        <stp/>
        <stp>LAST</stp>
        <stp>VRNA</stp>
        <tr r="D113" s="3"/>
      </tp>
      <tp>
        <v>28.14</v>
        <stp/>
        <stp>LAST</stp>
        <stp>MRNA</stp>
        <tr r="D21" s="2"/>
      </tp>
      <tp>
        <v>1.96</v>
        <stp/>
        <stp>LAST</stp>
        <stp>CRON</stp>
        <tr r="D252" s="4"/>
      </tp>
      <tp>
        <v>51.42</v>
        <stp/>
        <stp>LAST</stp>
        <stp>IRON</stp>
        <tr r="D108" s="4"/>
      </tp>
      <tp>
        <v>14.35</v>
        <stp/>
        <stp>LAST</stp>
        <stp>CRMD</stp>
        <tr r="D258" s="4"/>
      </tp>
      <tp>
        <v>60.8</v>
        <stp/>
        <stp>LAST</stp>
        <stp>IRMD</stp>
        <tr r="D133" s="4"/>
      </tp>
      <tp>
        <v>39.21</v>
        <stp/>
        <stp>LAST</stp>
        <stp>BRKR</stp>
        <tr r="D98" s="3"/>
      </tp>
      <tp>
        <v>12.54</v>
        <stp/>
        <stp>LAST</stp>
        <stp>ORKA</stp>
        <tr r="D99" s="4"/>
      </tp>
      <tp>
        <v>12.54</v>
        <stp/>
        <stp>LAST</stp>
        <stp>NRIX</stp>
        <tr r="D92" s="4"/>
      </tp>
      <tp>
        <v>9.86</v>
        <stp/>
        <stp>LAST</stp>
        <stp>ORIC</stp>
        <tr r="D69" s="4"/>
      </tp>
      <tp>
        <v>38.49</v>
        <stp/>
        <stp>LAST</stp>
        <stp>ESTA</stp>
        <tr r="D163" s="4"/>
      </tp>
      <tp>
        <v>25.28</v>
        <stp/>
        <stp>LAST</stp>
        <stp>ASTH</stp>
        <tr r="D178" s="4"/>
      </tp>
      <tp>
        <v>6.11</v>
        <stp/>
        <stp>LAST</stp>
        <stp>VSTM</stp>
        <tr r="D90" s="4"/>
      </tp>
      <tp>
        <v>28.22</v>
        <stp/>
        <stp>LAST</stp>
        <stp>HSTM</stp>
        <tr r="D205" s="4"/>
      </tp>
      <tp>
        <v>18.170000000000002</v>
        <stp/>
        <stp>LAST</stp>
        <stp>CSTL</stp>
        <tr r="D177" s="4"/>
      </tp>
      <tp>
        <v>526.15</v>
        <stp/>
        <stp>LAST</stp>
        <stp>ISRG</stp>
        <tr r="D29" s="2"/>
      </tp>
      <tp>
        <v>78.58</v>
        <stp/>
        <stp>LAST</stp>
        <stp>USPH</stp>
        <tr r="D169" s="4"/>
      </tp>
      <tp>
        <v>173.15</v>
        <stp/>
        <stp>LAST</stp>
        <stp>ASND</stp>
        <tr r="D44" s="3"/>
      </tp>
      <tp>
        <v>2.8</v>
        <stp/>
        <stp>LAST</stp>
        <stp>TSHA</stp>
        <tr r="D28" s="4"/>
      </tp>
      <tp>
        <v>70.900000000000006</v>
        <stp/>
        <stp>LAST</stp>
        <stp>HSIC</stp>
        <tr r="D72" s="3"/>
      </tp>
      <tp>
        <v>4.58</v>
        <stp/>
        <stp>LAST</stp>
        <stp>SSII</stp>
        <tr r="D141" s="4"/>
      </tp>
      <tp>
        <v>14.53</v>
        <stp/>
        <stp>LAST</stp>
        <stp>SPRY</stp>
        <tr r="D24" s="4"/>
      </tp>
      <tp>
        <v>33.39</v>
        <stp/>
        <stp>LAST</stp>
        <stp>RPRX</stp>
        <tr r="D89" s="2"/>
      </tp>
      <tp>
        <v>25.84</v>
        <stp/>
        <stp>LAST</stp>
        <stp>CPRX</stp>
        <tr r="D8" s="3"/>
      </tp>
      <tp>
        <v>40.130000000000003</v>
        <stp/>
        <stp>LAST</stp>
        <stp>APGE</stp>
        <tr r="D38" s="3"/>
      </tp>
      <tp>
        <v>20.51</v>
        <stp/>
        <stp>LAST</stp>
        <stp>GPCR</stp>
        <tr r="D278" s="4"/>
      </tp>
      <tp>
        <v>12.93</v>
        <stp/>
        <stp>LAST</stp>
        <stp>NPCE</stp>
        <tr r="D155" s="4"/>
      </tp>
      <tp>
        <v>31.67</v>
        <stp/>
        <stp>LAST</stp>
        <stp>OPCH</stp>
        <tr r="D73" s="3"/>
      </tp>
      <tp>
        <v>19.39</v>
        <stp/>
        <stp>LAST</stp>
        <stp>APLS</stp>
        <tr r="D15" s="3"/>
      </tp>
      <tp>
        <v>127.97</v>
        <stp/>
        <stp>LAST</stp>
        <stp>BPMC</stp>
        <tr r="D31" s="3"/>
      </tp>
      <tp>
        <v>3.54</v>
        <stp/>
        <stp>LAST</stp>
        <stp>AQST</stp>
        <tr r="D264" s="4"/>
      </tp>
      <tp>
        <v>18.02</v>
        <stp/>
        <stp>LAST</stp>
        <stp>LQDA</stp>
        <tr r="D272" s="4"/>
      </tp>
      <tp>
        <v>13.45</v>
        <stp/>
        <stp>LAST</stp>
        <stp>AVTR</stp>
        <tr r="D99" s="3"/>
      </tp>
      <tp>
        <v>92.88</v>
        <stp/>
        <stp>LAST</stp>
        <stp>RVTY</stp>
        <tr r="D72" s="2"/>
      </tp>
      <tp>
        <v>14.91</v>
        <stp/>
        <stp>LAST</stp>
        <stp>TVTX</stp>
        <tr r="D103" s="4"/>
      </tp>
      <tp>
        <v>2.38</v>
        <stp/>
        <stp>LAST</stp>
        <stp>SVRA</stp>
        <tr r="D33" s="4"/>
      </tp>
      <tp>
        <v>9.19</v>
        <stp/>
        <stp>LAST</stp>
        <stp>ZVRA</stp>
        <tr r="D270" s="4"/>
      </tp>
      <tp>
        <v>19.02</v>
        <stp/>
        <stp>LAST</stp>
        <stp>NVST</stp>
        <tr r="D60" s="3"/>
      </tp>
      <tp>
        <v>7.93</v>
        <stp/>
        <stp>LAST</stp>
        <stp>AVXL</stp>
        <tr r="D29" s="4"/>
      </tp>
      <tp>
        <v>10.07</v>
        <stp/>
        <stp>LAST</stp>
        <stp>AVDL</stp>
        <tr r="D259" s="4"/>
      </tp>
      <tp>
        <v>23.6</v>
        <stp/>
        <stp>LAST</stp>
        <stp>AVBP</stp>
        <tr r="D109" s="4"/>
      </tp>
      <tp>
        <v>16.899999999999999</v>
        <stp/>
        <stp>LAST</stp>
        <stp>NVCR</stp>
        <tr r="D65" s="3"/>
      </tp>
      <tp>
        <v>10.28</v>
        <stp/>
        <stp>LAST</stp>
        <stp>DVAX</stp>
        <tr r="D10" s="4"/>
      </tp>
      <tp>
        <v>5.47</v>
        <stp/>
        <stp>LAST</stp>
        <stp>AVAH</stp>
        <tr r="D187" s="4"/>
      </tp>
      <tp>
        <v>12.64</v>
        <stp/>
        <stp>LAST</stp>
        <stp>AVNS</stp>
        <tr r="D129" s="4"/>
      </tp>
      <tp>
        <v>26.63</v>
        <stp/>
        <stp>LAST</stp>
        <stp>PVLA</stp>
        <tr r="D110" s="4"/>
      </tp>
      <tp>
        <v>40.58</v>
        <stp/>
        <stp>LAST</stp>
        <stp>RVMD</stp>
        <tr r="D39" s="3"/>
      </tp>
      <tp>
        <v>3.21</v>
        <stp/>
        <stp>LAST</stp>
        <stp>AVIR</stp>
        <tr r="D273" s="4"/>
      </tp>
      <tp>
        <v>15.26</v>
        <stp/>
        <stp>LAST</stp>
        <stp>EWTX</stp>
        <tr r="D271" s="4"/>
      </tp>
      <tp>
        <v>33.36</v>
        <stp/>
        <stp>LAST</stp>
        <stp>TWST</stp>
        <tr r="D52" s="4"/>
      </tp>
      <tp>
        <v>23.35</v>
        <stp/>
        <stp>LAST</stp>
        <stp>STVN</stp>
        <tr r="D101" s="3"/>
      </tp>
      <tp>
        <v>8.81</v>
        <stp/>
        <stp>LAST</stp>
        <stp>VTRS</stp>
        <tr r="D85" s="2"/>
      </tp>
      <tp>
        <v>34.18</v>
        <stp/>
        <stp>LAST</stp>
        <stp>ATRC</stp>
        <tr r="D139" s="4"/>
      </tp>
      <tp>
        <v>164.19</v>
        <stp/>
        <stp>LAST</stp>
        <stp>NTRA</stp>
        <tr r="D14" s="2"/>
      </tp>
      <tp>
        <v>5.5</v>
        <stp/>
        <stp>LAST</stp>
        <stp>FTRE</stp>
        <tr r="D219" s="4"/>
      </tp>
      <tp>
        <v>30.39</v>
        <stp/>
        <stp>LAST</stp>
        <stp>MTSR</stp>
        <tr r="D47" s="3"/>
      </tp>
      <tp>
        <v>23.86</v>
        <stp/>
        <stp>LAST</stp>
        <stp>BTSG</stp>
        <tr r="D81" s="3"/>
      </tp>
      <tp>
        <v>5.79</v>
        <stp/>
        <stp>LAST</stp>
        <stp>ATXS</stp>
        <tr r="D71" s="4"/>
      </tp>
      <tp>
        <v>5.45</v>
        <stp/>
        <stp>LAST</stp>
        <stp>ATYR</stp>
        <tr r="D39" s="4"/>
      </tp>
      <tp>
        <v>122.06</v>
        <stp/>
        <stp>LAST</stp>
        <stp>ITGR</stp>
        <tr r="D54" s="3"/>
      </tp>
      <tp>
        <v>55.68</v>
        <stp/>
        <stp>LAST</stp>
        <stp>PTGX</stp>
        <tr r="D4" s="3"/>
      </tp>
      <tp>
        <v>38.54</v>
        <stp/>
        <stp>LAST</stp>
        <stp>CTEV</stp>
        <tr r="D217" s="4"/>
      </tp>
      <tp>
        <v>11.92</v>
        <stp/>
        <stp>LAST</stp>
        <stp>ATEC</stp>
        <tr r="D153" s="4"/>
      </tp>
      <tp>
        <v>51.69</v>
        <stp/>
        <stp>LAST</stp>
        <stp>PTCT</stp>
        <tr r="D3" s="3"/>
      </tp>
      <tp>
        <v>17.170000000000002</v>
        <stp/>
        <stp>LAST</stp>
        <stp>STAA</stp>
        <tr r="D156" s="4"/>
      </tp>
      <tp>
        <v>10.57</v>
        <stp/>
        <stp>LAST</stp>
        <stp>ETNB</stp>
        <tr r="D107" s="4"/>
      </tp>
      <tp>
        <v>10.039999999999999</v>
        <stp/>
        <stp>LAST</stp>
        <stp>ITOS</stp>
        <tr r="D81" s="4"/>
      </tp>
      <tp>
        <v>15.85</v>
        <stp/>
        <stp>LAST</stp>
        <stp>ETON</stp>
        <tr r="D253" s="4"/>
      </tp>
      <tp>
        <v>8.2799999999999994</v>
        <stp/>
        <stp>LAST</stp>
        <stp>NTLA</stp>
        <tr r="D112" s="4"/>
      </tp>
      <tp>
        <v>2.6349999999999998</v>
        <stp/>
        <stp>LAST</stp>
        <stp>CTMX</stp>
        <tr r="D45" s="4"/>
      </tp>
      <tp>
        <v>3.56</v>
        <stp/>
        <stp>LAST</stp>
        <stp>CTKB</stp>
        <tr r="D223" s="4"/>
      </tp>
      <tp>
        <v>328.4</v>
        <stp/>
        <stp>LAST</stp>
        <stp>UTHR</stp>
        <tr r="D3" s="2"/>
      </tp>
      <tp>
        <v>3.72</v>
        <stp/>
        <stp>LAST</stp>
        <stp>STIM</stp>
        <tr r="D159" s="4"/>
      </tp>
      <tp>
        <v>2.5099999999999998</v>
        <stp/>
        <stp>LAST</stp>
        <stp>NUVB</stp>
        <tr r="D263" s="4"/>
      </tp>
      <tp>
        <v>76.08</v>
        <stp/>
        <stp>LAST</stp>
        <stp>NUVL</stp>
        <tr r="D35" s="3"/>
      </tp>
      <tp>
        <v>117.66</v>
        <stp/>
        <stp>LAST</stp>
        <stp>NUTX</stp>
        <tr r="D166" s="4"/>
      </tp>
      <tp>
        <v>2.35</v>
        <stp/>
        <stp>LAST</stp>
        <stp>AUTL</stp>
        <tr r="D51" s="4"/>
      </tp>
      <tp>
        <v>6.29</v>
        <stp/>
        <stp>LAST</stp>
        <stp>AURA</stp>
        <tr r="D68" s="4"/>
      </tp>
      <tp>
        <v>6.73</v>
        <stp/>
        <stp>LAST</stp>
        <stp>KURA</stp>
        <tr r="D5" s="4"/>
      </tp>
      <tp>
        <v>16.899999999999999</v>
        <stp/>
        <stp>LAST</stp>
        <stp>QURE</stp>
        <tr r="D106" s="4"/>
      </tp>
      <tp>
        <v>8.14</v>
        <stp/>
        <stp>LAST</stp>
        <stp>AUPH</stp>
        <tr r="D9" s="4"/>
      </tp>
      <tp>
        <v>33.270000000000003</v>
        <stp/>
        <stp>LAST</stp>
        <stp>SUPN</stp>
        <tr r="D241" s="4"/>
      </tp>
      <tp>
        <v>6.36</v>
        <stp/>
        <stp>LAST</stp>
        <stp>AUNA</stp>
        <tr r="D176" s="4"/>
      </tp>
      <tp>
        <v>7.12</v>
        <stp/>
        <stp>LAST</stp>
        <stp>FULC</stp>
        <tr r="D249" s="4"/>
      </tp>
      <tp>
        <v>2.56</v>
        <stp/>
        <stp>LAST</stp>
        <stp>HUMA</stp>
        <tr r="D41" s="4"/>
      </tp>
      <tp>
        <v>27.57</v>
        <stp/>
        <stp>LAST</stp>
        <stp>VKTX</stp>
        <tr r="D23" s="3"/>
      </tp>
      <tp>
        <v>4.26</v>
        <stp/>
        <stp>LAST</stp>
        <stp>CKPT</stp>
        <tr r="D40" s="4"/>
      </tp>
      <tp>
        <v>3.83</v>
        <stp/>
        <stp>LAST</stp>
        <stp>AKBA</stp>
        <tr r="D21" s="4"/>
      </tp>
      <tp>
        <v>5.93</v>
        <stp/>
        <stp>LAST</stp>
        <stp>TKNO</stp>
        <tr r="D225" s="4"/>
      </tp>
      <tp>
        <v>94.64</v>
        <stp/>
        <stp>LAST</stp>
        <stp>GKOS</stp>
        <tr r="D66" s="3"/>
      </tp>
      <tp>
        <v>18.03</v>
        <stp/>
        <stp>LAST</stp>
        <stp>PHVS</stp>
        <tr r="D279" s="4"/>
      </tp>
      <tp>
        <v>17.07</v>
        <stp/>
        <stp>LAST</stp>
        <stp>BHVN</stp>
        <tr r="D121" s="4"/>
      </tp>
      <tp>
        <v>13.7</v>
        <stp/>
        <stp>LAST</stp>
        <stp>GHRS</stp>
        <tr r="D265" s="4"/>
      </tp>
      <tp>
        <v>8.82</v>
        <stp/>
        <stp>LAST</stp>
        <stp>AHCO</stp>
        <tr r="D175" s="4"/>
      </tp>
      <tp>
        <v>10.78</v>
        <stp/>
        <stp>LAST</stp>
        <stp>EHAB</stp>
        <tr r="D179" s="4"/>
      </tp>
      <tp>
        <v>46.3</v>
        <stp/>
        <stp>LAST</stp>
        <stp>LIVN</stp>
        <tr r="D57" s="3"/>
      </tp>
      <tp>
        <v>5.05</v>
        <stp/>
        <stp>LAST</stp>
        <stp>AIRS</stp>
        <tr r="D192" s="4"/>
      </tp>
      <tp>
        <v>47.05</v>
        <stp/>
        <stp>LAST</stp>
        <stp>MIRM</stp>
        <tr r="D20" s="3"/>
      </tp>
      <tp>
        <v>7.88</v>
        <stp/>
        <stp>LAST</stp>
        <stp>VIGL</stp>
        <tr r="D59" s="4"/>
      </tp>
      <tp>
        <v>21.85</v>
        <stp/>
        <stp>LAST</stp>
        <stp>RIGL</stp>
        <tr r="D4" s="4"/>
      </tp>
      <tp>
        <v>21.54</v>
        <stp/>
        <stp>LAST</stp>
        <stp>KIDS</stp>
        <tr r="D160" s="4"/>
      </tp>
      <tp>
        <v>18.86</v>
        <stp/>
        <stp>LAST</stp>
        <stp>SIBN</stp>
        <tr r="D150" s="4"/>
      </tp>
      <tp>
        <v>23.08</v>
        <stp/>
        <stp>LAST</stp>
        <stp>PINC</stp>
        <tr r="D171" s="4"/>
      </tp>
      <tp>
        <v>16.46</v>
        <stp/>
        <stp>LAST</stp>
        <stp>SION</stp>
        <tr r="D119" s="4"/>
      </tp>
      <tp>
        <v>113</v>
        <stp/>
        <stp>LAST</stp>
        <stp>GILD</stp>
        <tr r="D8" s="2"/>
      </tp>
      <tp>
        <v>56.86</v>
        <stp/>
        <stp>LAST</stp>
        <stp>HIMS</stp>
        <tr r="D63" s="2"/>
      </tp>
      <tp>
        <v>9.39</v>
        <stp/>
        <stp>LAST</stp>
        <stp>ZIMV</stp>
        <tr r="D137" s="4"/>
      </tp>
      <tp>
        <v>0.64949999999999997</v>
        <stp/>
        <stp>LAST</stp>
        <stp>NIKA</stp>
        <tr r="D251" s="4"/>
      </tp>
      <tp>
        <v>134.15</v>
        <stp/>
        <stp>LAST</stp>
        <stp>BIIB</stp>
        <tr r="D6" s="2"/>
      </tp>
      <tp>
        <v>21.58</v>
        <stp/>
        <stp>LAST</stp>
        <stp>INVA</stp>
        <tr r="D239" s="4"/>
      </tp>
      <tp>
        <v>16.170000000000002</v>
        <stp/>
        <stp>LAST</stp>
        <stp>BNTC</stp>
        <tr r="D49" s="4"/>
      </tp>
      <tp>
        <v>11.94</v>
        <stp/>
        <stp>LAST</stp>
        <stp>CNTA</stp>
        <tr r="D57" s="4"/>
      </tp>
      <tp>
        <v>28.83</v>
        <stp/>
        <stp>LAST</stp>
        <stp>PNTG</stp>
        <tr r="D185" s="4"/>
      </tp>
      <tp>
        <v>18.190000000000001</v>
        <stp/>
        <stp>LAST</stp>
        <stp>DNTH</stp>
        <tr r="D85" s="4"/>
      </tp>
      <tp>
        <v>83.22</v>
        <stp/>
        <stp>LAST</stp>
        <stp>LNTH</stp>
        <tr r="D51" s="3"/>
      </tp>
      <tp>
        <v>136.63999999999999</v>
        <stp/>
        <stp>LAST</stp>
        <stp>INSP</stp>
        <tr r="D58" s="3"/>
      </tp>
      <tp>
        <v>30.33</v>
        <stp/>
        <stp>LAST</stp>
        <stp>KNSA</stp>
        <tr r="D7" s="4"/>
      </tp>
      <tp>
        <v>149.79499999999999</v>
        <stp/>
        <stp>LAST</stp>
        <stp>ENSG</stp>
        <tr r="D79" s="3"/>
      </tp>
      <tp>
        <v>70.680000000000007</v>
        <stp/>
        <stp>LAST</stp>
        <stp>INSM</stp>
        <tr r="D19" s="2"/>
      </tp>
      <tp>
        <v>3.98</v>
        <stp/>
        <stp>LAST</stp>
        <stp>INZY</stp>
        <tr r="D66" s="4"/>
      </tp>
      <tp>
        <v>39.200000000000003</v>
        <stp/>
        <stp>LAST</stp>
        <stp>TNXP</stp>
        <tr r="D126" s="4"/>
      </tp>
      <tp>
        <v>38</v>
        <stp/>
        <stp>LAST</stp>
        <stp>HNGE</stp>
        <tr r="D68" s="3"/>
      </tp>
      <tp>
        <v>11.12</v>
        <stp/>
        <stp>LAST</stp>
        <stp>ANGO</stp>
        <tr r="D158" s="4"/>
      </tp>
      <tp>
        <v>11.09</v>
        <stp/>
        <stp>LAST</stp>
        <stp>SNDX</stp>
        <tr r="D105" s="4"/>
      </tp>
      <tp>
        <v>4.59</v>
        <stp/>
        <stp>LAST</stp>
        <stp>VNDA</stp>
        <tr r="D48" s="4"/>
      </tp>
      <tp>
        <v>25.01</v>
        <stp/>
        <stp>LAST</stp>
        <stp>SNDA</stp>
        <tr r="D202" s="4"/>
      </tp>
      <tp>
        <v>20.23</v>
        <stp/>
        <stp>LAST</stp>
        <stp>TNDM</stp>
        <tr r="D140" s="4"/>
      </tp>
      <tp>
        <v>1.33</v>
        <stp/>
        <stp>LAST</stp>
        <stp>SNDL</stp>
        <tr r="D248" s="4"/>
      </tp>
      <tp>
        <v>9.5500000000000007</v>
        <stp/>
        <stp>LAST</stp>
        <stp>XNCR</stp>
        <tr r="D84" s="4"/>
      </tp>
      <tp>
        <v>69.89</v>
        <stp/>
        <stp>LAST</stp>
        <stp>INCY</stp>
        <tr r="D12" s="2"/>
      </tp>
      <tp>
        <v>23.19</v>
        <stp/>
        <stp>LAST</stp>
        <stp>ANAB</stp>
        <tr r="D111" s="4"/>
      </tp>
      <tp>
        <v>3.85</v>
        <stp/>
        <stp>LAST</stp>
        <stp>INNV</stp>
        <tr r="D188" s="4"/>
      </tp>
      <tp>
        <v>8.42</v>
        <stp/>
        <stp>LAST</stp>
        <stp>NNNN</stp>
        <tr r="D2" s="4"/>
      </tp>
      <tp>
        <v>5.52</v>
        <stp/>
        <stp>LAST</stp>
        <stp>NNOX</stp>
        <tr r="D199" s="4"/>
      </tp>
      <tp>
        <v>14.645</v>
        <stp/>
        <stp>LAST</stp>
        <stp>DNLI</stp>
        <tr r="D80" s="4"/>
      </tp>
      <tp>
        <v>59.04</v>
        <stp/>
        <stp>LAST</stp>
        <stp>CNMD</stp>
        <tr r="D128" s="4"/>
      </tp>
      <tp>
        <v>7.76</v>
        <stp/>
        <stp>LAST</stp>
        <stp>MNMD</stp>
        <tr r="D268" s="4"/>
      </tp>
      <tp>
        <v>14.56</v>
        <stp/>
        <stp>LAST</stp>
        <stp>INMD</stp>
        <tr r="D132" s="4"/>
      </tp>
      <tp>
        <v>4.37</v>
        <stp/>
        <stp>LAST</stp>
        <stp>MNKD</stp>
        <tr r="D13" s="4"/>
      </tp>
      <tp>
        <v>63.18</v>
        <stp/>
        <stp>LAST</stp>
        <stp>ANIP</stp>
        <tr r="D243" s="4"/>
      </tp>
      <tp>
        <v>2.21</v>
        <stp/>
        <stp>LAST</stp>
        <stp>IOVA</stp>
        <tr r="D54" s="4"/>
      </tp>
      <tp>
        <v>70.569999999999993</v>
        <stp/>
        <stp>LAST</stp>
        <stp>CORT</stp>
        <tr r="D107" s="3"/>
      </tp>
      <tp>
        <v>29.19</v>
        <stp/>
        <stp>LAST</stp>
        <stp>AORT</stp>
        <tr r="D148" s="4"/>
      </tp>
      <tp>
        <v>1.33</v>
        <stp/>
        <stp>LAST</stp>
        <stp>GOSS</stp>
        <tr r="D14" s="4"/>
      </tp>
      <tp>
        <v>6.9</v>
        <stp/>
        <stp>LAST</stp>
        <stp>COGT</stp>
        <tr r="D72" s="4"/>
      </tp>
      <tp>
        <v>305.66000000000003</v>
        <stp/>
        <stp>LAST</stp>
        <stp>PODD</stp>
        <tr r="D32" s="2"/>
      </tp>
      <tp>
        <v>58.06</v>
        <stp/>
        <stp>LAST</stp>
        <stp>DOCS</stp>
        <tr r="D89" s="3"/>
      </tp>
      <tp>
        <v>36.76</v>
        <stp/>
        <stp>LAST</stp>
        <stp>IONS</stp>
        <tr r="D43" s="3"/>
      </tp>
      <tp>
        <v>9.65</v>
        <stp/>
        <stp>LAST</stp>
        <stp>EOLS</stp>
        <tr r="D262" s="4"/>
      </tp>
      <tp>
        <v>74.92</v>
        <stp/>
        <stp>LAST</stp>
        <stp>SOLV</stp>
        <tr r="D37" s="2"/>
      </tp>
      <tp>
        <v>64.569999999999993</v>
        <stp/>
        <stp>LAST</stp>
        <stp>HOLX</stp>
        <tr r="D30" s="2"/>
      </tp>
      <tp>
        <v>6.03</v>
        <stp/>
        <stp>LAST</stp>
        <stp>FOLD</stp>
        <tr r="D15" s="4"/>
      </tp>
      <tp>
        <v>30.44</v>
        <stp/>
        <stp>LAST</stp>
        <stp>COLL</stp>
        <tr r="D236" s="4"/>
      </tp>
      <tp>
        <v>25.28</v>
        <stp/>
        <stp>LAST</stp>
        <stp>XOMA</stp>
        <tr r="D67" s="4"/>
      </tp>
      <tp>
        <v>11.08</v>
        <stp/>
        <stp>LAST</stp>
        <stp>ROIV</stp>
        <tr r="D22" s="3"/>
      </tp>
      <tp>
        <v>10.63</v>
        <stp/>
        <stp>LAST</stp>
        <stp>ALVO</stp>
        <tr r="D21" s="3"/>
      </tp>
      <tp>
        <v>20.34</v>
        <stp/>
        <stp>LAST</stp>
        <stp>ELVN</stp>
        <tr r="D274" s="4"/>
      </tp>
      <tp>
        <v>46.62</v>
        <stp/>
        <stp>LAST</stp>
        <stp>MLTX</stp>
        <tr r="D28" s="3"/>
      </tp>
      <tp>
        <v>61.4</v>
        <stp/>
        <stp>LAST</stp>
        <stp>BLTE</stp>
        <tr r="D112" s="3"/>
      </tp>
      <tp>
        <v>4.92</v>
        <stp/>
        <stp>LAST</stp>
        <stp>GLUE</stp>
        <tr r="D11" s="4"/>
      </tp>
      <tp>
        <v>0.41</v>
        <stp/>
        <stp>LAST</stp>
        <stp>TLRY</stp>
        <tr r="D254" s="4"/>
      </tp>
      <tp>
        <v>17.29</v>
        <stp/>
        <stp>LAST</stp>
        <stp>PLSE</stp>
        <tr r="D157" s="4"/>
      </tp>
      <tp>
        <v>13.31</v>
        <stp/>
        <stp>LAST</stp>
        <stp>CLPT</stp>
        <tr r="D149" s="4"/>
      </tp>
      <tp>
        <v>28.09</v>
        <stp/>
        <stp>LAST</stp>
        <stp>GLPG</stp>
        <tr r="D118" s="4"/>
      </tp>
      <tp>
        <v>16.190000000000001</v>
        <stp/>
        <stp>LAST</stp>
        <stp>MLYS</stp>
        <tr r="D113" s="4"/>
      </tp>
      <tp>
        <v>23.84</v>
        <stp/>
        <stp>LAST</stp>
        <stp>BLFS</stp>
        <tr r="D222" s="4"/>
      </tp>
      <tp>
        <v>21.81</v>
        <stp/>
        <stp>LAST</stp>
        <stp>FLGT</stp>
        <tr r="D201" s="4"/>
      </tp>
      <tp>
        <v>180.93</v>
        <stp/>
        <stp>LAST</stp>
        <stp>ALGN</stp>
        <tr r="D26" s="2"/>
      </tp>
      <tp>
        <v>20.71</v>
        <stp/>
        <stp>LAST</stp>
        <stp>CLDX</stp>
        <tr r="D88" s="4"/>
      </tp>
      <tp>
        <v>11.98</v>
        <stp/>
        <stp>LAST</stp>
        <stp>BLCO</stp>
        <tr r="D63" s="3"/>
      </tp>
      <tp>
        <v>3.36</v>
        <stp/>
        <stp>LAST</stp>
        <stp>RLAY</stp>
        <tr r="D76" s="4"/>
      </tp>
      <tp>
        <v>37.869999999999997</v>
        <stp/>
        <stp>LAST</stp>
        <stp>ZLAB</stp>
        <tr r="D30" s="3"/>
      </tp>
      <tp>
        <v>102.86</v>
        <stp/>
        <stp>LAST</stp>
        <stp>MLAB</stp>
        <tr r="D218" s="4"/>
      </tp>
      <tp>
        <v>13.92</v>
        <stp/>
        <stp>LAST</stp>
        <stp>ELAN</stp>
        <tr r="D110" s="3"/>
      </tp>
      <tp>
        <v>304</v>
        <stp/>
        <stp>LAST</stp>
        <stp>ALNY</stp>
        <tr r="D16" s="2"/>
      </tp>
      <tp>
        <v>77.73</v>
        <stp/>
        <stp>LAST</stp>
        <stp>SLNO</stp>
        <tr r="D27" s="3"/>
      </tp>
      <tp>
        <v>1.41</v>
        <stp/>
        <stp>LAST</stp>
        <stp>ALLO</stp>
        <tr r="D46" s="4"/>
      </tp>
      <tp>
        <v>3.43</v>
        <stp/>
        <stp>LAST</stp>
        <stp>ALMS</stp>
        <tr r="D284" s="4"/>
      </tp>
      <tp>
        <v>4.38</v>
        <stp/>
        <stp>LAST</stp>
        <stp>OLMA</stp>
        <tr r="D77" s="4"/>
      </tp>
      <tp>
        <v>84.98</v>
        <stp/>
        <stp>LAST</stp>
        <stp>ILMN</stp>
        <tr r="D71" s="2"/>
      </tp>
      <tp>
        <v>31.14</v>
        <stp/>
        <stp>LAST</stp>
        <stp>ALKS</stp>
        <tr r="D7" s="3"/>
      </tp>
      <tp>
        <v>14.78</v>
        <stp/>
        <stp>LAST</stp>
        <stp>ALHC</stp>
        <tr r="D84" s="3"/>
      </tp>
      <tp>
        <v>6</v>
        <stp/>
        <stp>LAST</stp>
        <stp>IMTX</stp>
        <tr r="D70" s="4"/>
      </tp>
      <tp>
        <v>7.61</v>
        <stp/>
        <stp>LAST</stp>
        <stp>AMRX</stp>
        <tr r="D109" s="3"/>
      </tp>
      <tp>
        <v>56.88</v>
        <stp/>
        <stp>LAST</stp>
        <stp>BMRN</stp>
        <tr r="D10" s="2"/>
      </tp>
      <tp>
        <v>94.84</v>
        <stp/>
        <stp>LAST</stp>
        <stp>MMSI</stp>
        <tr r="D55" s="3"/>
      </tp>
      <tp>
        <v>4.67</v>
        <stp/>
        <stp>LAST</stp>
        <stp>CMPS</stp>
        <tr r="D78" s="4"/>
      </tp>
      <tp>
        <v>2.57</v>
        <stp/>
        <stp>LAST</stp>
        <stp>CMPX</stp>
        <tr r="D27" s="4"/>
      </tp>
      <tp>
        <v>26.62</v>
        <stp/>
        <stp>LAST</stp>
        <stp>AMPH</stp>
        <tr r="D240" s="4"/>
      </tp>
      <tp>
        <v>289.98</v>
        <stp/>
        <stp>LAST</stp>
        <stp>AMGN</stp>
        <tr r="D4" s="2"/>
      </tp>
      <tp>
        <v>6.97</v>
        <stp/>
        <stp>LAST</stp>
        <stp>KMDA</stp>
        <tr r="D6" s="4"/>
      </tp>
      <tp>
        <v>60.34</v>
        <stp/>
        <stp>LAST</stp>
        <stp>GMED</stp>
        <tr r="D53" s="3"/>
      </tp>
      <tp>
        <v>94.22</v>
        <stp/>
        <stp>LAST</stp>
        <stp>AMED</stp>
        <tr r="D70" s="3"/>
      </tp>
      <tp>
        <v>9.91</v>
        <stp/>
        <stp>LAST</stp>
        <stp>EMBC</stp>
        <tr r="D135" s="4"/>
      </tp>
      <tp>
        <v>36.07</v>
        <stp/>
        <stp>LAST</stp>
        <stp>IMCR</stp>
        <tr r="D8" s="4"/>
      </tp>
      <tp>
        <v>5.9</v>
        <stp/>
        <stp>LAST</stp>
        <stp>TMCI</stp>
        <tr r="D154" s="4"/>
      </tp>
      <tp>
        <v>31.68</v>
        <stp/>
        <stp>LAST</stp>
        <stp>OMCL</stp>
        <tr r="D130" s="4"/>
      </tp>
      <tp>
        <v>83.32</v>
        <stp/>
        <stp>LAST</stp>
        <stp>LMAT</stp>
        <tr r="D131" s="4"/>
      </tp>
      <tp>
        <v>22.25</v>
        <stp/>
        <stp>LAST</stp>
        <stp>GMAB</stp>
        <tr r="D5" s="2"/>
      </tp>
      <tp>
        <v>9.27</v>
        <stp/>
        <stp>LAST</stp>
        <stp>IMNM</stp>
        <tr r="D93" s="4"/>
      </tp>
      <tp>
        <v>5.44</v>
        <stp/>
        <stp>LAST</stp>
        <stp>AMLX</stp>
        <tr r="D280" s="4"/>
      </tp>
      <tp>
        <v>1.84</v>
        <stp/>
        <stp>LAST</stp>
        <stp>IMMP</stp>
        <tr r="D16" s="4"/>
      </tp>
      <tp>
        <v>21.56</v>
        <stp/>
        <stp>LAST</stp>
        <stp>SMMT</stp>
        <tr r="D15" s="2"/>
      </tp>
      <tp>
        <v>7.8</v>
        <stp/>
        <stp>LAST</stp>
        <stp>ABVX</stp>
        <tr r="D86" s="4"/>
      </tp>
      <tp>
        <v>3.51</v>
        <stp/>
        <stp>LAST</stp>
        <stp>ABUS</stp>
        <tr r="D26" s="4"/>
      </tp>
      <tp>
        <v>3.44</v>
        <stp/>
        <stp>LAST</stp>
        <stp>IBRX</stp>
        <tr r="D19" s="3"/>
      </tp>
      <tp>
        <v>24.17</v>
        <stp/>
        <stp>LAST</stp>
        <stp>TBRG</stp>
        <tr r="D204" s="4"/>
      </tp>
      <tp>
        <v>2.97</v>
        <stp/>
        <stp>LAST</stp>
        <stp>ABSI</stp>
        <tr r="D36" s="4"/>
      </tp>
      <tp>
        <v>10.95</v>
        <stp/>
        <stp>LAST</stp>
        <stp>TBPH</stp>
        <tr r="D245" s="4"/>
      </tp>
      <tp>
        <v>6.54</v>
        <stp/>
        <stp>LAST</stp>
        <stp>ABEO</stp>
        <tr r="D62" s="4"/>
      </tp>
      <tp>
        <v>189.16</v>
        <stp/>
        <stp>LAST</stp>
        <stp>ABBV</stp>
        <tr r="D7" s="2"/>
      </tp>
      <tp>
        <v>2.5099999999999998</v>
        <stp/>
        <stp>LAST</stp>
        <stp>ABCL</stp>
        <tr r="D230" s="4"/>
      </tp>
      <tp>
        <v>19.41</v>
        <stp/>
        <stp>LAST</stp>
        <stp>BBNX</stp>
        <tr r="D164" s="4"/>
      </tp>
      <tp>
        <v>17.809999999999999</v>
        <stp/>
        <stp>LAST</stp>
        <stp>CBLL</stp>
        <tr r="D162" s="4"/>
      </tp>
      <tp>
        <v>125.73</v>
        <stp/>
        <stp>LAST</stp>
        <stp>NBIX</stp>
        <tr r="D9" s="2"/>
      </tp>
      <tp>
        <v>11.92</v>
        <stp/>
        <stp>LAST</stp>
        <stp>ZBIO</stp>
        <tr r="D120" s="4"/>
      </tp>
      <tp>
        <v>39.03</v>
        <stp/>
        <stp>LAST</stp>
        <stp>BBIO</stp>
        <tr r="D34" s="3"/>
      </tp>
      <tp>
        <v>37.200000000000003</v>
        <stp/>
        <stp>LAST</stp>
        <stp>PCVX</stp>
        <tr r="D46" s="3"/>
      </tp>
      <tp>
        <v>9.85</v>
        <stp/>
        <stp>LAST</stp>
        <stp>RCUS</stp>
        <tr r="D102" s="4"/>
      </tp>
      <tp>
        <v>136.25</v>
        <stp/>
        <stp>LAST</stp>
        <stp>ICUI</stp>
        <tr r="D52" s="3"/>
      </tp>
      <tp>
        <v>8.9</v>
        <stp/>
        <stp>LAST</stp>
        <stp>OCUL</stp>
        <tr r="D267" s="4"/>
      </tp>
      <tp>
        <v>25.42</v>
        <stp/>
        <stp>LAST</stp>
        <stp>PCRX</stp>
        <tr r="D237" s="4"/>
      </tp>
      <tp>
        <v>11.11</v>
        <stp/>
        <stp>LAST</stp>
        <stp>BCRX</stp>
        <tr r="D16" s="3"/>
      </tp>
      <tp>
        <v>13.1</v>
        <stp/>
        <stp>LAST</stp>
        <stp>CCRN</stp>
        <tr r="D170" s="4"/>
      </tp>
      <tp>
        <v>27.85</v>
        <stp/>
        <stp>LAST</stp>
        <stp>VCYT</stp>
        <tr r="D10" s="3"/>
      </tp>
      <tp>
        <v>43.82</v>
        <stp/>
        <stp>LAST</stp>
        <stp>VCEL</stp>
        <tr r="D17" s="3"/>
      </tp>
      <tp>
        <v>4.16</v>
        <stp/>
        <stp>LAST</stp>
        <stp>HCAT</stp>
        <tr r="D215" s="4"/>
      </tp>
      <tp>
        <v>11.48</v>
        <stp/>
        <stp>LAST</stp>
        <stp>BCAX</stp>
        <tr r="D94" s="4"/>
      </tp>
      <tp>
        <v>22.3</v>
        <stp/>
        <stp>LAST</stp>
        <stp>ACAD</stp>
        <tr r="D12" s="3"/>
      </tp>
      <tp>
        <v>139.71</v>
        <stp/>
        <stp>LAST</stp>
        <stp>ICLR</stp>
        <tr r="D67" s="2"/>
      </tp>
      <tp>
        <v>66.86</v>
        <stp/>
        <stp>LAST</stp>
        <stp>ACLX</stp>
        <tr r="D29" s="3"/>
      </tp>
      <tp>
        <v>3.02</v>
        <stp/>
        <stp>LAST</stp>
        <stp>RCKT</stp>
        <tr r="D79" s="4"/>
      </tp>
      <tp>
        <v>21.99</v>
        <stp/>
        <stp>LAST</stp>
        <stp>ACHC</stp>
        <tr r="D88" s="3"/>
      </tp>
      <tp>
        <v>7.08</v>
        <stp/>
        <stp>LAST</stp>
        <stp>DAWN</stp>
        <tr r="D73" s="4"/>
      </tp>
      <tp>
        <v>43.11</v>
        <stp/>
        <stp>LAST</stp>
        <stp>TARS</stp>
        <tr r="D275" s="4"/>
      </tp>
      <tp>
        <v>13.88</v>
        <stp/>
        <stp>LAST</stp>
        <stp>IART</stp>
        <tr r="D147" s="4"/>
      </tp>
      <tp>
        <v>37.04</v>
        <stp/>
        <stp>LAST</stp>
        <stp>RARE</stp>
        <tr r="D45" s="3"/>
      </tp>
      <tp>
        <v>171.88</v>
        <stp/>
        <stp>LAST</stp>
        <stp>MASI</stp>
        <tr r="D59" s="3"/>
      </tp>
      <tp>
        <v>13.38</v>
        <stp/>
        <stp>LAST</stp>
        <stp>CAPR</stp>
        <tr r="D56" s="4"/>
      </tp>
      <tp>
        <v>12.71</v>
        <stp/>
        <stp>LAST</stp>
        <stp>RAPP</stp>
        <tr r="D277" s="4"/>
      </tp>
      <tp>
        <v>29.88</v>
        <stp/>
        <stp>LAST</stp>
        <stp>AAPG</stp>
        <tr r="D2" s="3"/>
      </tp>
      <tp>
        <v>12.81</v>
        <stp/>
        <stp>LAST</stp>
        <stp>MAZE</stp>
        <tr r="D235" s="4"/>
      </tp>
      <tp>
        <v>6.81</v>
        <stp/>
        <stp>LAST</stp>
        <stp>SAGE</stp>
        <tr r="D117" s="4"/>
      </tp>
      <tp>
        <v>13.43</v>
        <stp/>
        <stp>LAST</stp>
        <stp>NAGE</stp>
        <tr r="D221" s="4"/>
      </tp>
      <tp>
        <v>5.86</v>
        <stp/>
        <stp>LAST</stp>
        <stp>CADL</stp>
        <tr r="D38" s="4"/>
      </tp>
      <tp>
        <v>10.41</v>
        <stp/>
        <stp>LAST</stp>
        <stp>PACS</stp>
        <tr r="D184" s="4"/>
      </tp>
      <tp>
        <v>1.2</v>
        <stp/>
        <stp>LAST</stp>
        <stp>PACB</stp>
        <tr r="D232" s="4"/>
      </tp>
      <tp>
        <v>25.94</v>
        <stp/>
        <stp>LAST</stp>
        <stp>JANX</stp>
        <tr r="D42" s="4"/>
      </tp>
      <tp>
        <v>2.83</v>
        <stp/>
        <stp>LAST</stp>
        <stp>SANA</stp>
        <tr r="D44" s="4"/>
      </tp>
      <tp>
        <v>14.76</v>
        <stp/>
        <stp>LAST</stp>
        <stp>KALV</stp>
        <tr r="D91" s="4"/>
      </tp>
      <tp>
        <v>3.28</v>
        <stp/>
        <stp>LAST</stp>
        <stp>TALK</stp>
        <tr r="D189" s="4"/>
      </tp>
      <tp>
        <v>54.38</v>
        <stp/>
        <stp>LAST</stp>
        <stp>HALO</stp>
        <tr r="D6" s="3"/>
      </tp>
      <tp>
        <v>6.08</v>
        <stp/>
        <stp>LAST</stp>
        <stp>VALN</stp>
        <tr r="D32" s="4"/>
      </tp>
      <tp>
        <v>20.16</v>
        <stp/>
        <stp>LAST</stp>
        <stp>NAMS</stp>
        <tr r="D24" s="3"/>
      </tp>
      <tp>
        <v>24.23</v>
        <stp/>
        <stp>LAST</stp>
        <stp>PAHC</stp>
        <tr r="D244" s="4"/>
      </tp>
      <tp>
        <v>5.88</v>
        <stp/>
        <stp>LAST</stp>
        <stp>LFST</stp>
        <tr r="D83" s="3"/>
      </tp>
      <tp>
        <v>238.19</v>
        <stp/>
        <stp>LAST</stp>
        <stp>UFPT</stp>
        <tr r="D127" s="4"/>
      </tp>
      <tp>
        <v>6.78</v>
        <stp/>
        <stp>LAST</stp>
        <stp>LFCR</stp>
        <tr r="D227" s="4"/>
      </tp>
      <tp>
        <v>2.48</v>
        <stp/>
        <stp>LAST</stp>
        <stp>BFLY</stp>
        <tr r="D144" s="4"/>
      </tp>
      <tp>
        <v>11.05</v>
        <stp/>
        <stp>LAST</stp>
        <stp>OFIX</stp>
        <tr r="D143" s="4"/>
      </tp>
      <tp>
        <v>39.840000000000003</v>
        <stp/>
        <stp>LAST</stp>
        <stp>TGTX</stp>
        <tr r="D18" s="3"/>
      </tp>
      <tp>
        <v>6.32</v>
        <stp/>
        <stp>LAST</stp>
        <stp>MGTX</stp>
        <tr r="D64" s="4"/>
      </tp>
      <tp>
        <v>23.36</v>
        <stp/>
        <stp>LAST</stp>
        <stp>SGRY</stp>
        <tr r="D76" s="3"/>
      </tp>
      <tp>
        <v>131.68</v>
        <stp/>
        <stp>LAST</stp>
        <stp>RGEN</stp>
        <tr r="D96" s="3"/>
      </tp>
      <tp>
        <v>46.17</v>
        <stp/>
        <stp>LAST</stp>
        <stp>QGEN</stp>
        <tr r="D95" s="3"/>
      </tp>
      <tp>
        <v>8.76</v>
        <stp/>
        <stp>LAST</stp>
        <stp>CGEM</stp>
        <tr r="D87" s="4"/>
      </tp>
      <tp>
        <v>21.97</v>
        <stp/>
        <stp>LAST</stp>
        <stp>PGNY</stp>
        <tr r="D174" s="4"/>
      </tp>
      <tp>
        <v>9.5299999999999994</v>
        <stp/>
        <stp>LAST</stp>
        <stp>RGNX</stp>
        <tr r="D75" s="4"/>
      </tp>
      <tp>
        <v>109.48</v>
        <stp/>
        <stp>LAST</stp>
        <stp>LGND</stp>
        <tr r="D242" s="4"/>
      </tp>
      <tp>
        <v>27</v>
        <stp/>
        <stp>LAST</stp>
        <stp>CGON</stp>
        <tr r="D55" s="4"/>
      </tp>
      <tp>
        <v>8.3000000000000007</v>
        <stp/>
        <stp>LAST</stp>
        <stp>RGLS</stp>
        <tr r="D37" s="4"/>
      </tp>
      <tp>
        <v>33.659999999999997</v>
        <stp/>
        <stp>LAST</stp>
        <stp>AGIO</stp>
        <tr r="D122" s="4"/>
      </tp>
      <tp>
        <v>25.38</v>
        <stp/>
        <stp>LAST</stp>
        <stp>CDTX</stp>
        <tr r="D125" s="4"/>
      </tp>
      <tp>
        <v>116.56</v>
        <stp/>
        <stp>LAST</stp>
        <stp>ADUS</stp>
        <tr r="D71" s="3"/>
      </tp>
      <tp>
        <v>4.1100000000000003</v>
        <stp/>
        <stp>LAST</stp>
        <stp>GDRX</stp>
        <tr r="D212" s="4"/>
      </tp>
      <tp>
        <v>10.45</v>
        <stp/>
        <stp>LAST</stp>
        <stp>ADPT</stp>
        <tr r="D231" s="4"/>
      </tp>
      <tp>
        <v>518.6</v>
        <stp/>
        <stp>LAST</stp>
        <stp>IDXX</stp>
        <tr r="D23" s="2"/>
      </tp>
      <tp>
        <v>21.71</v>
        <stp/>
        <stp>LAST</stp>
        <stp>IDYA</stp>
        <tr r="D97" s="4"/>
      </tp>
      <tp>
        <v>25.47</v>
        <stp/>
        <stp>LAST</stp>
        <stp>SDGR</stp>
        <tr r="D211" s="4"/>
      </tp>
      <tp>
        <v>280.24</v>
        <stp/>
        <stp>LAST</stp>
        <stp>MDGL</stp>
        <tr r="D49" s="3"/>
      </tp>
      <tp>
        <v>30.21</v>
        <stp/>
        <stp>LAST</stp>
        <stp>QDEL</stp>
        <tr r="D64" s="3"/>
      </tp>
      <tp>
        <v>3.57</v>
        <stp/>
        <stp>LAST</stp>
        <stp>ADCT</stp>
        <tr r="D61" s="4"/>
      </tp>
      <tp>
        <v>59.07</v>
        <stp/>
        <stp>LAST</stp>
        <stp>RDNT</stp>
        <tr r="D77" s="3"/>
      </tp>
      <tp>
        <v>19.72</v>
        <stp/>
        <stp>LAST</stp>
        <stp>CDNA</stp>
        <tr r="D12" s="4"/>
      </tp>
      <tp>
        <v>7.4</v>
        <stp/>
        <stp>LAST</stp>
        <stp>TDOC</stp>
        <tr r="D206" s="4"/>
      </tp>
      <tp>
        <v>20.87</v>
        <stp/>
        <stp>LAST</stp>
        <stp>ADMA</stp>
        <tr r="D11" s="3"/>
      </tp>
      <tp>
        <v>18.07</v>
        <stp/>
        <stp>LAST</stp>
        <stp>TEVA</stp>
        <tr r="D88" s="2"/>
      </tp>
      <tp>
        <v>4.4800000000000004</v>
        <stp/>
        <stp>LAST</stp>
        <stp>XERS</stp>
        <tr r="D257" s="4"/>
      </tp>
      <tp>
        <v>6.1</v>
        <stp/>
        <stp>LAST</stp>
        <stp>VERV</stp>
        <tr r="D74" s="4"/>
      </tp>
      <tp>
        <v>11.77</v>
        <stp/>
        <stp>LAST</stp>
        <stp>CERT</stp>
        <tr r="D207" s="4"/>
      </tp>
      <tp>
        <v>22.19</v>
        <stp/>
        <stp>LAST</stp>
        <stp>VERA</stp>
        <tr r="D89" s="4"/>
      </tp>
      <tp>
        <v>3.71</v>
        <stp/>
        <stp>LAST</stp>
        <stp>TERN</stp>
        <tr r="D266" s="4"/>
      </tp>
      <tp>
        <v>1.62</v>
        <stp/>
        <stp>LAST</stp>
        <stp>GERN</stp>
        <tr r="D25" s="4"/>
      </tp>
      <tp>
        <v>11.85</v>
        <stp/>
        <stp>LAST</stp>
        <stp>MESO</stp>
        <tr r="D17" s="4"/>
      </tp>
      <tp>
        <v>10.11</v>
        <stp/>
        <stp>LAST</stp>
        <stp>SEPN</stp>
        <tr r="D283" s="4"/>
      </tp>
      <tp>
        <v>10.18</v>
        <stp/>
        <stp>LAST</stp>
        <stp>REPL</stp>
        <tr r="D83" s="4"/>
      </tp>
      <tp>
        <v>517.6</v>
        <stp/>
        <stp>LAST</stp>
        <stp>REGN</stp>
        <tr r="D2" s="2"/>
      </tp>
      <tp>
        <v>34.78</v>
        <stp/>
        <stp>LAST</stp>
        <stp>LEGN</stp>
        <tr r="D25" s="3"/>
      </tp>
      <tp>
        <v>298.32</v>
        <stp/>
        <stp>LAST</stp>
        <stp>MEDP</stp>
        <tr r="D92" s="3"/>
      </tp>
      <tp>
        <v>283.33</v>
        <stp/>
        <stp>LAST</stp>
        <stp>VEEV</stp>
        <tr r="D64" s="2"/>
      </tp>
      <tp>
        <v>24.48</v>
        <stp/>
        <stp>LAST</stp>
        <stp>TECX</stp>
        <tr r="D116" s="4"/>
      </tp>
      <tp>
        <v>49.88</v>
        <stp/>
        <stp>LAST</stp>
        <stp>TECH</stp>
        <tr r="D97" s="3"/>
      </tp>
      <tp>
        <v>18.170000000000002</v>
        <stp/>
        <stp>LAST</stp>
        <stp>BEAM</stp>
        <tr r="D115" s="4"/>
      </tp>
      <tp>
        <v>0.53</v>
        <stp/>
        <stp>LAST</stp>
        <stp>SENS</stp>
        <tr r="D142" s="4"/>
      </tp>
      <tp>
        <v>31.22</v>
        <stp/>
        <stp>LAST</stp>
        <stp>LENZ</stp>
        <tr r="D276" s="4"/>
      </tp>
      <tp>
        <v>31.45</v>
        <stp/>
        <stp>LAST</stp>
        <stp>XENE</stp>
        <tr r="D33" s="3"/>
      </tp>
      <tp>
        <v>5.52</v>
        <stp/>
        <stp>LAST</stp>
        <stp>NEOG</stp>
        <tr r="D145" s="4"/>
      </tp>
      <tp>
        <v>12.91</v>
        <stp/>
        <stp>LAST</stp>
        <stp>CELC</stp>
        <tr r="D82" s="4"/>
      </tp>
      <tp>
        <v>71.67</v>
        <stp/>
        <stp>LAST</stp>
        <stp>GEHC</stp>
        <tr r="D35" s="2"/>
      </tp>
      <tp>
        <v>49.53</v>
        <stp/>
        <stp>LAST</stp>
        <stp>GH</stp>
        <tr r="D87" s="3"/>
      </tp>
      <tp>
        <v>3.66</v>
        <stp/>
        <stp>LAST</stp>
        <stp>DH</stp>
        <tr r="D208" s="4"/>
      </tp>
      <tp>
        <v>76.36</v>
        <stp/>
        <stp>LAST</stp>
        <stp>EW</stp>
        <tr r="D41" s="2"/>
      </tp>
      <tp>
        <v>311.39999999999998</v>
        <stp/>
        <stp>LAST</stp>
        <stp>CI</stp>
        <tr r="D47" s="2"/>
      </tp>
      <tp>
        <v>21.24</v>
        <stp/>
        <stp>LAST</stp>
        <stp>OM</stp>
        <tr r="D165" s="4"/>
      </tp>
      <tp>
        <v>255.73</v>
        <stp/>
        <stp>LAST</stp>
        <stp>LH</stp>
        <tr r="D55" s="2"/>
      </tp>
      <tp>
        <v>14.13</v>
        <stp/>
        <stp>LAST</stp>
        <stp>MD</stp>
        <tr r="D173" s="4"/>
      </tp>
      <tp>
        <v>116.74</v>
        <stp/>
        <stp>LAST</stp>
        <stp>A</stp>
        <tr r="D7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91402546297" createdVersion="8" refreshedVersion="8" minRefreshableVersion="3" recordCount="93" xr:uid="{3432845B-C090-4238-AA0B-FA56B072311B}">
  <cacheSource type="worksheet">
    <worksheetSource name="Main_L"/>
  </cacheSource>
  <cacheFields count="26">
    <cacheField name="Industry" numFmtId="0">
      <sharedItems count="58">
        <s v="Biotechnology"/>
        <s v="Health Care Equipment &amp; Supplies"/>
        <s v="Health Care Providers &amp; Services"/>
        <s v="Health Care Technology"/>
        <s v="Life Sciences Tools &amp; Services"/>
        <s v="Pharmaceutic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272" maxValue="662233"/>
    </cacheField>
    <cacheField name="Current Price" numFmtId="0">
      <sharedItems containsSemiMixedTypes="0" containsString="0" containsNumber="1" minValue="8.81" maxValue="1195.3900000000001"/>
    </cacheField>
    <cacheField name="Free CF" numFmtId="0">
      <sharedItems containsSemiMixedTypes="0" containsString="0" containsNumber="1" minValue="-10.48" maxValue="41.23"/>
    </cacheField>
    <cacheField name="BVPS" numFmtId="0">
      <sharedItems containsSemiMixedTypes="0" containsString="0" containsNumber="1" minValue="-16.59" maxValue="277.5"/>
    </cacheField>
    <cacheField name="EPS" numFmtId="0">
      <sharedItems containsSemiMixedTypes="0" containsString="0" containsNumber="1" minValue="-8.73" maxValue="40.11"/>
    </cacheField>
    <cacheField name="P/FCF" numFmtId="2">
      <sharedItems containsSemiMixedTypes="0" containsString="0" containsNumber="1" minValue="-2064.3548387096776" maxValue="248.77272727272725"/>
    </cacheField>
    <cacheField name="P/B" numFmtId="2">
      <sharedItems containsSemiMixedTypes="0" containsString="0" containsNumber="1" minValue="-136.46004566210047" maxValue="1015.7936507936508"/>
    </cacheField>
    <cacheField name="ROE" numFmtId="0">
      <sharedItems containsSemiMixedTypes="0" containsString="0" containsNumber="1" minValue="-498.52" maxValue="1605.8"/>
    </cacheField>
    <cacheField name="ROA" numFmtId="0">
      <sharedItems containsSemiMixedTypes="0" containsString="0" containsNumber="1" minValue="-41.3" maxValue="23.29"/>
    </cacheField>
    <cacheField name="A/E" numFmtId="0">
      <sharedItems containsSemiMixedTypes="0" containsString="0" containsNumber="1" minValue="-64.09" maxValue="95.89"/>
    </cacheField>
    <cacheField name="P/E" numFmtId="2">
      <sharedItems containsSemiMixedTypes="0" containsString="0" containsNumber="1" minValue="-1939.2424242424242" maxValue="698.9"/>
    </cacheField>
    <cacheField name="Preliminary Criteria" numFmtId="0">
      <sharedItems/>
    </cacheField>
    <cacheField name="P/FCF Z-Score" numFmtId="2">
      <sharedItems containsMixedTypes="1" containsNumber="1" minValue="-140.48601495851545" maxValue="7.7482104798460778"/>
    </cacheField>
    <cacheField name="P/B Z-Score" numFmtId="2">
      <sharedItems containsMixedTypes="1" containsNumber="1" minValue="-51.907100174381512" maxValue="432.19519701032692"/>
    </cacheField>
    <cacheField name="ROE Z-Score" numFmtId="2">
      <sharedItems containsMixedTypes="1" containsNumber="1" minValue="-82.079607984041687" maxValue="124.74887631758699"/>
    </cacheField>
    <cacheField name="ROA Z-Score" numFmtId="2">
      <sharedItems containsMixedTypes="1" containsNumber="1" minValue="-8.5906731766438593" maxValue="9.6125661542582712"/>
    </cacheField>
    <cacheField name="A/E Z-Score" numFmtId="2">
      <sharedItems containsMixedTypes="1" containsNumber="1" minValue="-104.40569357105433" maxValue="197.82022063770469"/>
    </cacheField>
    <cacheField name="P/E Z-Score" numFmtId="2">
      <sharedItems containsMixedTypes="1" containsNumber="1" minValue="-127.73190205819023" maxValue="18.8596593580730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91404398145" createdVersion="8" refreshedVersion="8" minRefreshableVersion="3" recordCount="113" xr:uid="{A2646FF5-8A5C-4026-A340-9C8CC354FDFF}">
  <cacheSource type="worksheet">
    <worksheetSource name="Main_M"/>
  </cacheSource>
  <cacheFields count="26">
    <cacheField name="Industry" numFmtId="0">
      <sharedItems count="59">
        <s v="Biotechnology"/>
        <s v="Health Care Equipment &amp; Supplies"/>
        <s v="Health Care Providers &amp; Services"/>
        <s v="Health Care Technology"/>
        <s v="Life Sciences Tools &amp; Services"/>
        <s v="Pharmaceutic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32" maxValue="9851"/>
    </cacheField>
    <cacheField name="Current Price" numFmtId="0">
      <sharedItems containsSemiMixedTypes="0" containsString="0" containsNumber="1" minValue="3.44" maxValue="550.03"/>
    </cacheField>
    <cacheField name="Free CF" numFmtId="0">
      <sharedItems containsString="0" containsBlank="1" containsNumber="1" minValue="-18.420000000000002" maxValue="21.14"/>
    </cacheField>
    <cacheField name="BVPS" numFmtId="0">
      <sharedItems containsString="0" containsBlank="1" containsNumber="1" minValue="-8.68" maxValue="241.72"/>
    </cacheField>
    <cacheField name="EPS" numFmtId="0">
      <sharedItems containsString="0" containsBlank="1" containsNumber="1" minValue="-77.099999999999994" maxValue="20.53"/>
    </cacheField>
    <cacheField name="P/FCF" numFmtId="2">
      <sharedItems containsMixedTypes="1" containsNumber="1" minValue="-4916" maxValue="207.125"/>
    </cacheField>
    <cacheField name="P/B" numFmtId="2">
      <sharedItems containsMixedTypes="1" containsNumber="1" minValue="-50.926470588235297" maxValue="222.4"/>
    </cacheField>
    <cacheField name="ROE" numFmtId="0">
      <sharedItems containsSemiMixedTypes="0" containsString="0" containsNumber="1" minValue="-377.06" maxValue="10561"/>
    </cacheField>
    <cacheField name="ROA" numFmtId="0">
      <sharedItems containsSemiMixedTypes="0" containsString="0" containsNumber="1" minValue="-55.62" maxValue="24.42"/>
    </cacheField>
    <cacheField name="A/E" numFmtId="0">
      <sharedItems containsSemiMixedTypes="0" containsString="0" containsNumber="1" minValue="-25.56" maxValue="24.27"/>
    </cacheField>
    <cacheField name="P/E" numFmtId="2">
      <sharedItems containsMixedTypes="1" containsNumber="1" minValue="-313.52380952380958" maxValue="876.4"/>
    </cacheField>
    <cacheField name="Preliminary Criteria" numFmtId="0">
      <sharedItems/>
    </cacheField>
    <cacheField name="P/FCF Z-Score" numFmtId="2">
      <sharedItems containsMixedTypes="1" containsNumber="1" minValue="-127.55632717626057" maxValue="20.560480400956035"/>
    </cacheField>
    <cacheField name="P/B Z-Score" numFmtId="2">
      <sharedItems containsMixedTypes="1" containsNumber="1" minValue="-12.262697202094401" maxValue="42.376097412173294"/>
    </cacheField>
    <cacheField name="ROE Z-Score" numFmtId="2">
      <sharedItems containsSemiMixedTypes="0" containsString="0" containsNumber="1" minValue="-3.9426029094133237" maxValue="1032.2302765789959"/>
    </cacheField>
    <cacheField name="ROA Z-Score" numFmtId="2">
      <sharedItems containsSemiMixedTypes="0" containsString="0" containsNumber="1" minValue="-30.797469457452419" maxValue="7.0408793292664047"/>
    </cacheField>
    <cacheField name="A/E Z-Score" numFmtId="2">
      <sharedItems containsSemiMixedTypes="0" containsString="0" containsNumber="1" minValue="-60.589349769091868" maxValue="49.869914815431919"/>
    </cacheField>
    <cacheField name="P/E Z-Score" numFmtId="2">
      <sharedItems containsMixedTypes="1" containsNumber="1" minValue="-7.5297821226426915" maxValue="48.650566521559831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9140625" createdVersion="8" refreshedVersion="8" minRefreshableVersion="3" recordCount="283" xr:uid="{FEEDC4AE-CB7E-4F82-B64E-6462C5DE2153}">
  <cacheSource type="worksheet">
    <worksheetSource name="Main_S"/>
  </cacheSource>
  <cacheFields count="26">
    <cacheField name="Industry" numFmtId="0">
      <sharedItems count="60">
        <s v="Biotechnology"/>
        <s v="Health Care Equipment &amp; Supplies"/>
        <s v="Health Care Providers &amp; Services"/>
        <s v="Health Care Technology"/>
        <s v="Life Sciences Tools &amp; Services"/>
        <s v="Pharmaceutic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1" maxValue="1996"/>
    </cacheField>
    <cacheField name="Current Price" numFmtId="0">
      <sharedItems containsSemiMixedTypes="0" containsString="0" containsNumber="1" minValue="0.41" maxValue="238.19"/>
    </cacheField>
    <cacheField name="Free CF" numFmtId="0">
      <sharedItems containsString="0" containsBlank="1" containsNumber="1" minValue="-27.11" maxValue="13.21"/>
    </cacheField>
    <cacheField name="BVPS" numFmtId="0">
      <sharedItems containsString="0" containsBlank="1" containsNumber="1" minValue="-14.38" maxValue="68.38"/>
    </cacheField>
    <cacheField name="EPS" numFmtId="0">
      <sharedItems containsString="0" containsBlank="1" containsNumber="1" minValue="-74.849999999999994" maxValue="12.01"/>
    </cacheField>
    <cacheField name="P/FCF" numFmtId="2">
      <sharedItems containsMixedTypes="1" containsNumber="1" minValue="-3418" maxValue="603"/>
    </cacheField>
    <cacheField name="P/B" numFmtId="2">
      <sharedItems containsMixedTypes="1" containsNumber="1" minValue="-96.5" maxValue="254"/>
    </cacheField>
    <cacheField name="ROE" numFmtId="0">
      <sharedItems containsString="0" containsBlank="1" containsNumber="1" minValue="-2159.5" maxValue="28033"/>
    </cacheField>
    <cacheField name="ROA" numFmtId="0">
      <sharedItems containsString="0" containsBlank="1" containsNumber="1" minValue="-152.72999999999999" maxValue="23.07"/>
    </cacheField>
    <cacheField name="A/E" numFmtId="0">
      <sharedItems containsSemiMixedTypes="0" containsString="0" containsNumber="1" minValue="-44.89" maxValue="342.97"/>
    </cacheField>
    <cacheField name="P/E" numFmtId="2">
      <sharedItems containsMixedTypes="1" containsNumber="1" minValue="-712" maxValue="425"/>
    </cacheField>
    <cacheField name="Preliminary Criteria" numFmtId="0">
      <sharedItems/>
    </cacheField>
    <cacheField name="P/FCF Z-Score" numFmtId="2">
      <sharedItems containsMixedTypes="1" containsNumber="1" minValue="-121.96771418999757" maxValue="176.39103809817303"/>
    </cacheField>
    <cacheField name="P/B Z-Score" numFmtId="2">
      <sharedItems containsMixedTypes="1" containsNumber="1" minValue="-47.025755954859427" maxValue="119.37965345656463"/>
    </cacheField>
    <cacheField name="ROE Z-Score" numFmtId="2">
      <sharedItems containsSemiMixedTypes="0" containsString="0" containsNumber="1" minValue="-60.52020636120843" maxValue="693.10173793090837"/>
    </cacheField>
    <cacheField name="ROA Z-Score" numFmtId="2">
      <sharedItems containsSemiMixedTypes="0" containsString="0" containsNumber="1" minValue="-8.0565684789755228" maxValue="4.8000641759009541"/>
    </cacheField>
    <cacheField name="A/E Z-Score" numFmtId="2">
      <sharedItems containsSemiMixedTypes="0" containsString="0" containsNumber="1" minValue="-104.60266896435641" maxValue="650.53462440238707"/>
    </cacheField>
    <cacheField name="P/E Z-Score" numFmtId="2">
      <sharedItems containsMixedTypes="1" containsNumber="1" minValue="-112.74495095662358" maxValue="135.34017395480552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3">
        <s v="Yes"/>
        <s v="No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s v="REGN"/>
    <n v="52933"/>
    <n v="517.6"/>
    <n v="27.52"/>
    <n v="277.5"/>
    <n v="39.43"/>
    <n v="18.808139534883722"/>
    <n v="1.8652252252252253"/>
    <n v="15.96"/>
    <n v="6.91"/>
    <n v="1.28"/>
    <n v="13.127060613745879"/>
    <s v="NO"/>
    <n v="0.40098736973103866"/>
    <n v="-0.62067131837085798"/>
    <n v="0.55958893738984838"/>
    <n v="0.30157332715323848"/>
    <n v="-0.48601901828806021"/>
    <n v="0.14414962934676437"/>
    <x v="0"/>
    <x v="0"/>
    <x v="0"/>
    <x v="0"/>
    <x v="0"/>
    <x v="0"/>
  </r>
  <r>
    <x v="0"/>
    <s v="UTHR"/>
    <n v="14382"/>
    <n v="328.4"/>
    <n v="25.26"/>
    <n v="151.02000000000001"/>
    <n v="25.1"/>
    <n v="13.00079176563737"/>
    <n v="2.1745464176930205"/>
    <n v="19.940000000000001"/>
    <n v="12.97"/>
    <n v="1.1399999999999999"/>
    <n v="13.083665338645417"/>
    <s v="NO"/>
    <n v="0.25639370996664768"/>
    <n v="-0.59040785423911324"/>
    <n v="0.75529754642425928"/>
    <n v="1.0360144641453182"/>
    <n v="-0.77946446329217189"/>
    <n v="0.14296532380380972"/>
    <x v="0"/>
    <x v="0"/>
    <x v="0"/>
    <x v="0"/>
    <x v="0"/>
    <x v="0"/>
  </r>
  <r>
    <x v="0"/>
    <s v="AMGN"/>
    <n v="154956"/>
    <n v="289.98"/>
    <n v="20.309999999999999"/>
    <n v="11.54"/>
    <n v="10.94"/>
    <n v="14.277695716395867"/>
    <n v="25.128249566724442"/>
    <n v="105.67"/>
    <n v="7.04"/>
    <n v="14.4"/>
    <n v="26.50639853747715"/>
    <s v="NO"/>
    <n v="0.28818657354983573"/>
    <n v="1.6553437749957791"/>
    <n v="4.9709003234393467"/>
    <n v="0.31732866507551083"/>
    <n v="27.014011256382958"/>
    <n v="0.50928670999565961"/>
    <x v="0"/>
    <x v="0"/>
    <x v="1"/>
    <x v="0"/>
    <x v="1"/>
    <x v="0"/>
  </r>
  <r>
    <x v="0"/>
    <s v="GMAB"/>
    <n v="12903"/>
    <n v="22.25"/>
    <n v="18.12"/>
    <n v="83.61"/>
    <n v="18.36"/>
    <n v="1.2279249448123619"/>
    <n v="0.26611649324243514"/>
    <n v="22.8"/>
    <n v="11.54"/>
    <n v="1.24"/>
    <n v="1.2118736383442266"/>
    <s v="YES"/>
    <n v="-3.6731821202079191E-2"/>
    <n v="-0.77712542152177522"/>
    <n v="0.89593237603190123"/>
    <n v="0.86270574700032221"/>
    <n v="-0.56986057400352064"/>
    <n v="-0.18102913602898668"/>
    <x v="0"/>
    <x v="0"/>
    <x v="0"/>
    <x v="0"/>
    <x v="0"/>
    <x v="0"/>
  </r>
  <r>
    <x v="0"/>
    <s v="BIIB"/>
    <n v="19018"/>
    <n v="134.15"/>
    <n v="16.350000000000001"/>
    <n v="115.9"/>
    <n v="10.119999999999999"/>
    <n v="8.2048929663608554"/>
    <n v="1.1574633304572908"/>
    <n v="9.19"/>
    <n v="5.43"/>
    <n v="1.65"/>
    <n v="13.255928853754943"/>
    <s v="NO"/>
    <n v="0.13698350985441424"/>
    <n v="-0.68991754927162385"/>
    <n v="0.22668760996196846"/>
    <n v="0.12220486465352264"/>
    <n v="0.28951537207994843"/>
    <n v="0.14766658760086518"/>
    <x v="0"/>
    <x v="0"/>
    <x v="0"/>
    <x v="0"/>
    <x v="0"/>
    <x v="0"/>
  </r>
  <r>
    <x v="0"/>
    <s v="ABBV"/>
    <n v="328745"/>
    <n v="189.16"/>
    <n v="8.6999999999999993"/>
    <n v="0.8"/>
    <n v="2.34"/>
    <n v="21.742528735632185"/>
    <n v="236.45"/>
    <n v="88.4"/>
    <n v="8.34"/>
    <n v="95.89"/>
    <n v="80.837606837606842"/>
    <s v="NO"/>
    <n v="0.47404896179828776"/>
    <n v="22.330707669310303"/>
    <n v="4.1216823138855085"/>
    <n v="0.47488204429823411"/>
    <n v="197.82022063770469"/>
    <n v="1.9920460886678"/>
    <x v="0"/>
    <x v="1"/>
    <x v="1"/>
    <x v="0"/>
    <x v="1"/>
    <x v="0"/>
  </r>
  <r>
    <x v="0"/>
    <s v="GILD"/>
    <n v="136932"/>
    <n v="113"/>
    <n v="7.9"/>
    <n v="15.39"/>
    <n v="4.7300000000000004"/>
    <n v="14.30379746835443"/>
    <n v="7.3424301494476927"/>
    <n v="32.659999999999997"/>
    <n v="12.14"/>
    <n v="2.95"/>
    <n v="23.890063424947144"/>
    <s v="NO"/>
    <n v="0.28883646537514324"/>
    <n v="-8.4790820031964809E-2"/>
    <n v="1.3807783270568488"/>
    <n v="0.93542269125696398"/>
    <n v="3.0143659328324128"/>
    <n v="0.43788400154818635"/>
    <x v="0"/>
    <x v="0"/>
    <x v="0"/>
    <x v="0"/>
    <x v="0"/>
    <x v="0"/>
  </r>
  <r>
    <x v="0"/>
    <s v="NBIX"/>
    <n v="12175"/>
    <n v="125.73"/>
    <n v="4.9000000000000004"/>
    <n v="25.61"/>
    <n v="2.96"/>
    <n v="25.659183673469386"/>
    <n v="4.909410386567747"/>
    <n v="12.43"/>
    <n v="8.75"/>
    <n v="1.45"/>
    <n v="42.476351351351354"/>
    <s v="NO"/>
    <n v="0.57156739775199483"/>
    <n v="-0.32283337294695674"/>
    <n v="0.38600818616083565"/>
    <n v="0.52457195620693919"/>
    <n v="-0.12969240649735356"/>
    <n v="0.94512456548592638"/>
    <x v="0"/>
    <x v="0"/>
    <x v="0"/>
    <x v="0"/>
    <x v="0"/>
    <x v="0"/>
  </r>
  <r>
    <x v="0"/>
    <s v="BMRN"/>
    <n v="11136"/>
    <n v="56.88"/>
    <n v="3.25"/>
    <n v="30.21"/>
    <n v="2.71"/>
    <n v="17.501538461538463"/>
    <n v="1.8828202581926514"/>
    <n v="9.64"/>
    <n v="6.38"/>
    <n v="1.23"/>
    <n v="20.988929889298895"/>
    <s v="NO"/>
    <n v="0.36845509535140558"/>
    <n v="-0.61894985000052638"/>
    <n v="0.24881546776736674"/>
    <n v="0.23734002639320509"/>
    <n v="-0.59082096293238584"/>
    <n v="0.3587088259290489"/>
    <x v="0"/>
    <x v="0"/>
    <x v="0"/>
    <x v="0"/>
    <x v="0"/>
    <x v="0"/>
  </r>
  <r>
    <x v="0"/>
    <s v="EXEL"/>
    <n v="11737"/>
    <n v="42.92"/>
    <n v="2.71"/>
    <n v="7.75"/>
    <n v="2.2000000000000002"/>
    <n v="15.837638376383765"/>
    <n v="5.5380645161290323"/>
    <n v="30.22"/>
    <n v="18.05"/>
    <n v="1.33"/>
    <n v="19.509090909090908"/>
    <s v="NO"/>
    <n v="0.32702664774424223"/>
    <n v="-0.26132691246338668"/>
    <n v="1.2607961647342452"/>
    <n v="1.6516845921848831"/>
    <n v="-0.38121707364373458"/>
    <n v="0.31832236673773417"/>
    <x v="0"/>
    <x v="0"/>
    <x v="0"/>
    <x v="0"/>
    <x v="0"/>
    <x v="0"/>
  </r>
  <r>
    <x v="0"/>
    <s v="INCY"/>
    <n v="12594"/>
    <n v="69.89"/>
    <n v="1.45"/>
    <n v="18.93"/>
    <n v="0.1"/>
    <n v="48.2"/>
    <n v="3.6920232435287903"/>
    <n v="0.47"/>
    <n v="2.0299999999999998"/>
    <n v="1.57"/>
    <n v="698.9"/>
    <s v="NO"/>
    <n v="1.1327976281834964"/>
    <n v="-0.44194047920073404"/>
    <n v="-0.20210110128930364"/>
    <n v="-0.2898578194674461"/>
    <n v="0.12183226064902791"/>
    <n v="18.85965935807301"/>
    <x v="0"/>
    <x v="0"/>
    <x v="0"/>
    <x v="0"/>
    <x v="0"/>
    <x v="1"/>
  </r>
  <r>
    <x v="0"/>
    <s v="EXAS"/>
    <n v="10617"/>
    <n v="54.63"/>
    <n v="1.05"/>
    <n v="12.71"/>
    <n v="-5.51"/>
    <n v="52.028571428571432"/>
    <n v="4.298190401258851"/>
    <n v="-36.89"/>
    <n v="-1.83"/>
    <n v="2.38"/>
    <n v="-9.9147005444646101"/>
    <s v="NO"/>
    <n v="1.2281229258104314"/>
    <n v="-0.38263410614090776"/>
    <n v="-2.0392050293108088"/>
    <n v="-0.75767016085184002"/>
    <n v="1.8196237638871011"/>
    <n v="-0.48468577717922084"/>
    <x v="0"/>
    <x v="0"/>
    <x v="0"/>
    <x v="0"/>
    <x v="0"/>
    <x v="0"/>
  </r>
  <r>
    <x v="0"/>
    <s v="NTRA"/>
    <n v="21537"/>
    <n v="164.19"/>
    <n v="0.66"/>
    <n v="9.1199999999999992"/>
    <n v="-1.48"/>
    <n v="248.77272727272725"/>
    <n v="18.003289473684212"/>
    <n v="-18.66"/>
    <n v="-8.8699999999999992"/>
    <n v="1.4"/>
    <n v="-110.93918918918919"/>
    <s v="NO"/>
    <n v="6.1267373469085511"/>
    <n v="0.95824968811621281"/>
    <n v="-1.1427809231054546"/>
    <n v="-1.6108823067964337"/>
    <n v="-0.23449435114167919"/>
    <n v="-3.2417569467737488"/>
    <x v="1"/>
    <x v="0"/>
    <x v="0"/>
    <x v="0"/>
    <x v="0"/>
    <x v="1"/>
  </r>
  <r>
    <x v="0"/>
    <s v="SMMT"/>
    <n v="13528"/>
    <n v="21.56"/>
    <n v="-0.22"/>
    <n v="0.53"/>
    <n v="-0.31"/>
    <n v="-98"/>
    <n v="40.679245283018865"/>
    <n v="-94.9"/>
    <n v="-41.3"/>
    <n v="1.1200000000000001"/>
    <n v="-69.548387096774192"/>
    <s v="NO"/>
    <n v="-2.5073482520928185"/>
    <n v="3.1768269857589502"/>
    <n v="-4.8917317655133665"/>
    <n v="-5.5412331438679088"/>
    <n v="-0.82138524114990175"/>
    <n v="-2.1121557118027923"/>
    <x v="0"/>
    <x v="0"/>
    <x v="1"/>
    <x v="1"/>
    <x v="0"/>
    <x v="0"/>
  </r>
  <r>
    <x v="0"/>
    <s v="ALNY"/>
    <n v="39711"/>
    <n v="304"/>
    <n v="-0.59"/>
    <n v="0.89"/>
    <n v="-2.1"/>
    <n v="-515.25423728813564"/>
    <n v="341.57303370786514"/>
    <n v="519.47"/>
    <n v="-1.79"/>
    <n v="36.5"/>
    <n v="-144.76190476190476"/>
    <s v="NO"/>
    <n v="-12.896310583777108"/>
    <n v="32.61576810974362"/>
    <n v="25.318694900936642"/>
    <n v="-0.75282236456806384"/>
    <n v="73.336470789174825"/>
    <n v="-4.1648166448126114"/>
    <x v="1"/>
    <x v="1"/>
    <x v="1"/>
    <x v="0"/>
    <x v="1"/>
    <x v="1"/>
  </r>
  <r>
    <x v="0"/>
    <s v="ONC"/>
    <n v="26550"/>
    <n v="263.77999999999997"/>
    <n v="-2.27"/>
    <n v="32.42"/>
    <n v="-3.7"/>
    <n v="-116.20264317180616"/>
    <n v="8.1363355953115342"/>
    <n v="-11.44"/>
    <n v="-3.22"/>
    <n v="1.67"/>
    <n v="-71.291891891891879"/>
    <s v="NO"/>
    <n v="-2.9605649179751028"/>
    <n v="-7.1164492809250362E-3"/>
    <n v="-0.78775173787217634"/>
    <n v="-0.92613108171305947"/>
    <n v="0.33143614993767867"/>
    <n v="-2.1597379056763346"/>
    <x v="1"/>
    <x v="0"/>
    <x v="0"/>
    <x v="0"/>
    <x v="0"/>
    <x v="0"/>
  </r>
  <r>
    <x v="0"/>
    <s v="ARGX"/>
    <n v="35003"/>
    <n v="583.62"/>
    <n v="-2.52"/>
    <n v="90.49"/>
    <n v="15.94"/>
    <n v="-231.5952380952381"/>
    <n v="6.4495524367333408"/>
    <n v="17.36"/>
    <n v="-0.21"/>
    <n v="1.1299999999999999"/>
    <n v="36.613550815558348"/>
    <s v="NO"/>
    <n v="-5.8336557457789633"/>
    <n v="-0.17214847056080301"/>
    <n v="0.62843116167330948"/>
    <n v="-0.56133441135890783"/>
    <n v="-0.8004248522210371"/>
    <n v="0.7851221883676105"/>
    <x v="1"/>
    <x v="0"/>
    <x v="0"/>
    <x v="0"/>
    <x v="0"/>
    <x v="0"/>
  </r>
  <r>
    <x v="0"/>
    <s v="INSM"/>
    <n v="12701"/>
    <n v="70.680000000000007"/>
    <n v="-4.58"/>
    <n v="0.55000000000000004"/>
    <n v="-5.89"/>
    <n v="-15.43231441048035"/>
    <n v="128.5090909090909"/>
    <n v="554.23"/>
    <n v="-36.25"/>
    <n v="18.18"/>
    <n v="-12.000000000000002"/>
    <s v="NO"/>
    <n v="-0.45154510200636161"/>
    <n v="11.76995105073247"/>
    <n v="27.027948983860288"/>
    <n v="-4.9291988630411767"/>
    <n v="34.937038271493968"/>
    <n v="-0.54159592922212374"/>
    <x v="0"/>
    <x v="1"/>
    <x v="1"/>
    <x v="1"/>
    <x v="1"/>
    <x v="0"/>
  </r>
  <r>
    <x v="0"/>
    <s v="VRTX"/>
    <n v="113517"/>
    <n v="446.15"/>
    <n v="-4.88"/>
    <n v="64.2"/>
    <n v="-3.84"/>
    <n v="-91.424180327868854"/>
    <n v="6.9493769470404976"/>
    <n v="-5.64"/>
    <n v="11.77"/>
    <n v="1.39"/>
    <n v="-116.18489583333333"/>
    <s v="NO"/>
    <n v="-2.3436208725514498"/>
    <n v="-0.12324648289171551"/>
    <n v="-0.50254823726926612"/>
    <n v="0.89058057563203485"/>
    <n v="-0.25545474007054431"/>
    <n v="-3.3849181421110686"/>
    <x v="0"/>
    <x v="0"/>
    <x v="0"/>
    <x v="0"/>
    <x v="0"/>
    <x v="1"/>
  </r>
  <r>
    <x v="0"/>
    <s v="MRNA"/>
    <n v="10272"/>
    <n v="28.14"/>
    <n v="-10.48"/>
    <n v="26.01"/>
    <n v="-8.73"/>
    <n v="-2.6851145038167936"/>
    <n v="1.0818915801614764"/>
    <n v="-29.34"/>
    <n v="-15.84"/>
    <n v="1.26"/>
    <n v="-3.2233676975945018"/>
    <s v="NO"/>
    <n v="-0.13416023726422777"/>
    <n v="-0.69731136194964993"/>
    <n v="-1.6679487483535724"/>
    <n v="-2.45561080924442"/>
    <n v="-0.52793979614579045"/>
    <n v="-0.30207182757394546"/>
    <x v="0"/>
    <x v="0"/>
    <x v="0"/>
    <x v="0"/>
    <x v="0"/>
    <x v="0"/>
  </r>
  <r>
    <x v="1"/>
    <s v="RMD"/>
    <n v="35893"/>
    <n v="250.98"/>
    <n v="10.62"/>
    <n v="37.83"/>
    <n v="8.91"/>
    <n v="23.63276836158192"/>
    <n v="6.6344171292624905"/>
    <n v="25.81"/>
    <n v="14.01"/>
    <n v="1.36"/>
    <n v="28.168350168350166"/>
    <s v="NO"/>
    <n v="-0.82027377404183788"/>
    <n v="0.96777712492544665"/>
    <n v="1.2852271140578919"/>
    <n v="4.7071965379235623"/>
    <n v="-1.014408272519904"/>
    <n v="-0.73305459361967484"/>
    <x v="0"/>
    <x v="0"/>
    <x v="0"/>
    <x v="1"/>
    <x v="0"/>
    <x v="0"/>
  </r>
  <r>
    <x v="1"/>
    <s v="IDXX"/>
    <n v="41285"/>
    <n v="518.6"/>
    <n v="10.210000000000001"/>
    <n v="17.93"/>
    <n v="10.82"/>
    <n v="50.793339862879527"/>
    <n v="28.923591745677637"/>
    <n v="59.33"/>
    <n v="22.98"/>
    <n v="2.2200000000000002"/>
    <n v="47.929759704251389"/>
    <s v="NO"/>
    <n v="0.30420521685877666"/>
    <n v="9.9764812503497016"/>
    <n v="4.6535471190008595"/>
    <n v="9.6125661542582712"/>
    <n v="0.63606140330977889"/>
    <n v="0.27190692030595814"/>
    <x v="0"/>
    <x v="1"/>
    <x v="1"/>
    <x v="1"/>
    <x v="0"/>
    <x v="0"/>
  </r>
  <r>
    <x v="1"/>
    <s v="SYK"/>
    <n v="146232"/>
    <n v="382.28"/>
    <n v="9.3800000000000008"/>
    <n v="54.77"/>
    <n v="7.4"/>
    <n v="40.754797441364602"/>
    <n v="6.9797334307102421"/>
    <n v="14.26"/>
    <n v="7.49"/>
    <n v="2.2000000000000002"/>
    <n v="51.659459459459455"/>
    <s v="NO"/>
    <n v="-0.11140201923044997"/>
    <n v="1.1073449843444123"/>
    <n v="0.12460372333321205"/>
    <n v="1.1416435949467194"/>
    <n v="0.59767838759280945"/>
    <n v="0.46157986370974069"/>
    <x v="0"/>
    <x v="0"/>
    <x v="0"/>
    <x v="0"/>
    <x v="0"/>
    <x v="0"/>
  </r>
  <r>
    <x v="1"/>
    <s v="BDX"/>
    <n v="49466"/>
    <n v="172.51"/>
    <n v="8.9700000000000006"/>
    <n v="88.07"/>
    <n v="5.16"/>
    <n v="19.231884057971012"/>
    <n v="1.9587827864198932"/>
    <n v="5.89"/>
    <n v="3.69"/>
    <n v="2.16"/>
    <n v="33.432170542635653"/>
    <s v="NO"/>
    <n v="-1.0024754607978887"/>
    <n v="-0.92199255556871496"/>
    <n v="-0.71647140916597163"/>
    <n v="-0.93643940862874187"/>
    <n v="0.52091235615887066"/>
    <n v="-0.46536433181096487"/>
    <x v="0"/>
    <x v="0"/>
    <x v="0"/>
    <x v="0"/>
    <x v="0"/>
    <x v="0"/>
  </r>
  <r>
    <x v="1"/>
    <s v="ALGN"/>
    <n v="13115"/>
    <n v="180.93"/>
    <n v="8.4700000000000006"/>
    <n v="51.94"/>
    <n v="5.5"/>
    <n v="21.361275088547814"/>
    <n v="3.483442433577205"/>
    <n v="10.84"/>
    <n v="6.72"/>
    <n v="1.61"/>
    <n v="32.896363636363638"/>
    <s v="YES"/>
    <n v="-0.91431621579888622"/>
    <n v="-0.30576481768296593"/>
    <n v="-0.21906138456968019"/>
    <n v="0.72055835474853369"/>
    <n v="-0.53462057605778701"/>
    <n v="-0.49261265732745629"/>
    <x v="0"/>
    <x v="0"/>
    <x v="0"/>
    <x v="0"/>
    <x v="0"/>
    <x v="0"/>
  </r>
  <r>
    <x v="1"/>
    <s v="STE"/>
    <n v="24122"/>
    <n v="242.7"/>
    <n v="7.89"/>
    <n v="67.319999999999993"/>
    <n v="6.16"/>
    <n v="30.760456273764259"/>
    <n v="3.6051693404634584"/>
    <n v="9.4600000000000009"/>
    <n v="5.78"/>
    <n v="1.53"/>
    <n v="39.399350649350644"/>
    <s v="NO"/>
    <n v="-0.52517927241979412"/>
    <n v="-0.2565659708385557"/>
    <n v="-0.3577332702147068"/>
    <n v="0.20650624333776194"/>
    <n v="-0.68815263892566458"/>
    <n v="-0.1619048876343411"/>
    <x v="0"/>
    <x v="0"/>
    <x v="0"/>
    <x v="0"/>
    <x v="0"/>
    <x v="0"/>
  </r>
  <r>
    <x v="1"/>
    <s v="ZBH"/>
    <n v="18236"/>
    <n v="92.83"/>
    <n v="5.61"/>
    <n v="62.63"/>
    <n v="4.51"/>
    <n v="16.547237076648841"/>
    <n v="1.4821970301772314"/>
    <n v="7.32"/>
    <n v="4.42"/>
    <n v="1.79"/>
    <n v="20.583148558758314"/>
    <s v="NO"/>
    <n v="-1.1136229426664979"/>
    <n v="-1.1146161112754283"/>
    <n v="-0.57277517983815407"/>
    <n v="-0.53722872636292962"/>
    <n v="-0.18917343460506281"/>
    <n v="-1.1187981145541461"/>
    <x v="0"/>
    <x v="0"/>
    <x v="0"/>
    <x v="0"/>
    <x v="0"/>
    <x v="0"/>
  </r>
  <r>
    <x v="1"/>
    <s v="ISRG"/>
    <n v="197969"/>
    <n v="526.15"/>
    <n v="4.9000000000000004"/>
    <n v="47.73"/>
    <n v="6.83"/>
    <n v="107.37755102040815"/>
    <n v="11.023465325790907"/>
    <n v="15.96"/>
    <n v="8.84"/>
    <n v="1.1200000000000001"/>
    <n v="77.035139092240115"/>
    <s v="NO"/>
    <n v="2.6468568308089928"/>
    <n v="2.7417161457823229"/>
    <n v="0.29543140854810013"/>
    <n v="1.8799099251643174"/>
    <n v="-1.4750044611235364"/>
    <n v="1.752053671983463"/>
    <x v="0"/>
    <x v="0"/>
    <x v="0"/>
    <x v="0"/>
    <x v="0"/>
    <x v="0"/>
  </r>
  <r>
    <x v="1"/>
    <s v="HOLX"/>
    <n v="13854"/>
    <n v="64.569999999999993"/>
    <n v="4.2"/>
    <n v="20.73"/>
    <n v="2.39"/>
    <n v="15.373809523809522"/>
    <n v="3.1148094548962852"/>
    <n v="11.77"/>
    <n v="6.92"/>
    <n v="1.85"/>
    <n v="27.016736401673636"/>
    <s v="YES"/>
    <n v="-1.1622041969471266"/>
    <n v="-0.45475667103605105"/>
    <n v="-0.1256085920697709"/>
    <n v="0.82993114441040017"/>
    <n v="-7.40243874541546E-2"/>
    <n v="-0.79161962220806015"/>
    <x v="0"/>
    <x v="0"/>
    <x v="0"/>
    <x v="0"/>
    <x v="0"/>
    <x v="0"/>
  </r>
  <r>
    <x v="1"/>
    <s v="MDT"/>
    <n v="106375"/>
    <n v="87.45"/>
    <n v="4.03"/>
    <n v="37.46"/>
    <n v="3.61"/>
    <n v="21.699751861042184"/>
    <n v="2.3344901227976509"/>
    <n v="9.51"/>
    <n v="4.6100000000000003"/>
    <n v="1.91"/>
    <n v="24.224376731301941"/>
    <s v="NO"/>
    <n v="-0.90030288697185534"/>
    <n v="-0.77014143100146393"/>
    <n v="-0.35270892653191604"/>
    <n v="-0.43332457618415632"/>
    <n v="4.112465969675317E-2"/>
    <n v="-0.93362437124498876"/>
    <x v="0"/>
    <x v="0"/>
    <x v="0"/>
    <x v="0"/>
    <x v="0"/>
    <x v="0"/>
  </r>
  <r>
    <x v="1"/>
    <s v="PODD"/>
    <n v="22874"/>
    <n v="305.66000000000003"/>
    <n v="4"/>
    <n v="18.91"/>
    <n v="5.55"/>
    <n v="76.415000000000006"/>
    <n v="16.16393442622951"/>
    <n v="37.92"/>
    <n v="6.94"/>
    <n v="2.64"/>
    <n v="55.073873873873879"/>
    <s v="NO"/>
    <n v="1.3649715020899722"/>
    <n v="4.8193599342442042"/>
    <n v="2.5021231540298294"/>
    <n v="0.84086842337658707"/>
    <n v="1.4421047333661354"/>
    <n v="0.63521905037026527"/>
    <x v="0"/>
    <x v="1"/>
    <x v="0"/>
    <x v="0"/>
    <x v="0"/>
    <x v="0"/>
  </r>
  <r>
    <x v="1"/>
    <s v="PEN"/>
    <n v="10339"/>
    <n v="256.49"/>
    <n v="3.9"/>
    <n v="31.35"/>
    <n v="1.08"/>
    <n v="65.766666666666666"/>
    <n v="8.1814992025518336"/>
    <n v="3.5"/>
    <n v="5.82"/>
    <n v="1.31"/>
    <n v="237.49074074074073"/>
    <s v="NO"/>
    <n v="0.9241182188345739"/>
    <n v="1.5930674237302926"/>
    <n v="-0.95663503720337284"/>
    <n v="0.22838080127013524"/>
    <n v="-1.1103658118123276"/>
    <n v="9.9119829552450671"/>
    <x v="0"/>
    <x v="0"/>
    <x v="0"/>
    <x v="0"/>
    <x v="0"/>
    <x v="1"/>
  </r>
  <r>
    <x v="1"/>
    <s v="ABT"/>
    <n v="232407"/>
    <n v="133.4"/>
    <n v="3.83"/>
    <n v="28.05"/>
    <n v="7.7"/>
    <n v="34.83028720626632"/>
    <n v="4.7557932263814617"/>
    <n v="30.65"/>
    <n v="6.38"/>
    <n v="1.67"/>
    <n v="17.324675324675326"/>
    <s v="NO"/>
    <n v="-0.35668357711023907"/>
    <n v="0.20848624963475437"/>
    <n v="1.7715835825520434"/>
    <n v="0.53462461232336089"/>
    <n v="-0.41947152890687917"/>
    <n v="-1.284506951692562"/>
    <x v="0"/>
    <x v="0"/>
    <x v="0"/>
    <x v="0"/>
    <x v="0"/>
    <x v="0"/>
  </r>
  <r>
    <x v="1"/>
    <s v="GEHC"/>
    <n v="32299"/>
    <n v="71.67"/>
    <n v="3.01"/>
    <n v="20.07"/>
    <n v="4.76"/>
    <n v="23.810631229235884"/>
    <n v="3.5710014947683111"/>
    <n v="26.44"/>
    <n v="5.87"/>
    <n v="3.66"/>
    <n v="15.056722689075631"/>
    <s v="NO"/>
    <n v="-0.8129100461494162"/>
    <n v="-0.27037572457632053"/>
    <n v="1.3485338444610566"/>
    <n v="0.25572399868560175"/>
    <n v="3.3996385349315732"/>
    <n v="-1.3998431128122022"/>
    <x v="0"/>
    <x v="0"/>
    <x v="0"/>
    <x v="0"/>
    <x v="1"/>
    <x v="0"/>
  </r>
  <r>
    <x v="1"/>
    <s v="ALC"/>
    <n v="42507"/>
    <n v="87.48"/>
    <n v="2.94"/>
    <n v="44.39"/>
    <n v="2.25"/>
    <n v="29.755102040816329"/>
    <n v="1.9707141248028837"/>
    <n v="5.23"/>
    <n v="2.74"/>
    <n v="1.41"/>
    <n v="38.880000000000003"/>
    <s v="NO"/>
    <n v="-0.56680209737798537"/>
    <n v="-0.91717021920308206"/>
    <n v="-0.78279274577881042"/>
    <n v="-1.455960159522607"/>
    <n v="-0.91845073322748094"/>
    <n v="-0.18831633434220263"/>
    <x v="0"/>
    <x v="0"/>
    <x v="0"/>
    <x v="0"/>
    <x v="0"/>
    <x v="0"/>
  </r>
  <r>
    <x v="1"/>
    <s v="SOLV"/>
    <n v="12646"/>
    <n v="74.92"/>
    <n v="2.2200000000000002"/>
    <n v="18.850000000000001"/>
    <n v="2.1800000000000002"/>
    <n v="33.747747747747745"/>
    <n v="3.9745358090185676"/>
    <n v="10.66"/>
    <n v="3.72"/>
    <n v="4.45"/>
    <n v="34.366972477064216"/>
    <s v="NO"/>
    <n v="-0.40150195944313322"/>
    <n v="-0.1072776599732798"/>
    <n v="-0.23714902182772712"/>
    <n v="-0.92003349017946179"/>
    <n v="4.9157676557518633"/>
    <n v="-0.41782521444500842"/>
    <x v="0"/>
    <x v="0"/>
    <x v="0"/>
    <x v="0"/>
    <x v="1"/>
    <x v="0"/>
  </r>
  <r>
    <x v="1"/>
    <s v="BSX"/>
    <n v="155727"/>
    <n v="100.04"/>
    <n v="2.06"/>
    <n v="15.02"/>
    <n v="1.37"/>
    <n v="48.563106796116507"/>
    <n v="6.6604527296937421"/>
    <n v="9.5"/>
    <n v="5.28"/>
    <n v="1.81"/>
    <n v="73.021897810218974"/>
    <s v="NO"/>
    <n v="0.21187099523656042"/>
    <n v="0.97830003683444933"/>
    <n v="-0.35371379526847418"/>
    <n v="-6.6925730816904005E-2"/>
    <n v="-0.15079041888809339"/>
    <n v="1.5479612955160027"/>
    <x v="0"/>
    <x v="0"/>
    <x v="0"/>
    <x v="0"/>
    <x v="0"/>
    <x v="0"/>
  </r>
  <r>
    <x v="1"/>
    <s v="COO"/>
    <n v="13653"/>
    <n v="71.97"/>
    <n v="1.93"/>
    <n v="41.3"/>
    <n v="2.0699999999999998"/>
    <n v="37.290155440414509"/>
    <n v="1.7426150121065376"/>
    <n v="5.15"/>
    <n v="3.88"/>
    <n v="1.5"/>
    <n v="34.768115942028984"/>
    <s v="NO"/>
    <n v="-0.25484219466542257"/>
    <n v="-1.00936194244616"/>
    <n v="-0.79083169567127576"/>
    <n v="-0.8325352584499689"/>
    <n v="-0.7457271625011187"/>
    <n v="-0.39742516438177883"/>
    <x v="0"/>
    <x v="0"/>
    <x v="0"/>
    <x v="0"/>
    <x v="0"/>
    <x v="0"/>
  </r>
  <r>
    <x v="1"/>
    <s v="DXCM"/>
    <n v="33643"/>
    <n v="85.68"/>
    <n v="1.46"/>
    <n v="5.78"/>
    <n v="1.33"/>
    <n v="58.684931506849324"/>
    <n v="14.823529411764707"/>
    <n v="23.72"/>
    <n v="5.98"/>
    <n v="2.98"/>
    <n v="64.421052631578945"/>
    <s v="NO"/>
    <n v="0.63092621416867944"/>
    <n v="4.2776031221882107"/>
    <n v="1.0752095481172355"/>
    <n v="0.31587903299962844"/>
    <n v="2.0946160005546144"/>
    <n v="1.1105674762105988"/>
    <x v="0"/>
    <x v="1"/>
    <x v="0"/>
    <x v="0"/>
    <x v="0"/>
    <x v="0"/>
  </r>
  <r>
    <x v="1"/>
    <s v="EW"/>
    <n v="45884"/>
    <n v="76.36"/>
    <n v="1.05"/>
    <n v="17.28"/>
    <n v="2.42"/>
    <n v="72.723809523809521"/>
    <n v="4.418981481481481"/>
    <n v="16.510000000000002"/>
    <n v="8.42"/>
    <n v="1.29"/>
    <n v="31.553719008264462"/>
    <s v="NO"/>
    <n v="1.2121519584478093"/>
    <n v="7.2355710573106247E-2"/>
    <n v="0.35069918905879921"/>
    <n v="1.6502270668743979"/>
    <n v="-1.148748827529297"/>
    <n v="-0.56089251234829052"/>
    <x v="0"/>
    <x v="0"/>
    <x v="0"/>
    <x v="0"/>
    <x v="0"/>
    <x v="0"/>
  </r>
  <r>
    <x v="1"/>
    <s v="SNN"/>
    <n v="12671"/>
    <n v="29.88"/>
    <n v="0.69"/>
    <n v="6.03"/>
    <n v="0.47"/>
    <n v="43.304347826086961"/>
    <n v="4.9552238805970141"/>
    <n v="7.86"/>
    <n v="5.44"/>
    <n v="1.97"/>
    <n v="63.574468085106382"/>
    <s v="NO"/>
    <n v="-5.8476923001089245E-3"/>
    <n v="0.28909092828645139"/>
    <n v="-0.51851226806401318"/>
    <n v="2.0572500912589175E-2"/>
    <n v="0.15627370684766137"/>
    <n v="1.0675146319312743"/>
    <x v="0"/>
    <x v="0"/>
    <x v="0"/>
    <x v="0"/>
    <x v="0"/>
    <x v="0"/>
  </r>
  <r>
    <x v="1"/>
    <s v="BAX"/>
    <n v="15652"/>
    <n v="30.85"/>
    <n v="0.37"/>
    <n v="13.8"/>
    <n v="-0.54"/>
    <n v="83.378378378378386"/>
    <n v="2.2355072463768115"/>
    <n v="-3.51"/>
    <n v="2.5"/>
    <n v="3.01"/>
    <n v="-57.129629629629626"/>
    <s v="NO"/>
    <n v="1.6532633994752679"/>
    <n v="-0.81014773282755603"/>
    <n v="-1.661048021530646"/>
    <n v="-1.5872075071168468"/>
    <n v="2.1521905241300678"/>
    <n v="-5.0708619123154008"/>
    <x v="0"/>
    <x v="0"/>
    <x v="0"/>
    <x v="0"/>
    <x v="0"/>
    <x v="1"/>
  </r>
  <r>
    <x v="1"/>
    <s v="PHG"/>
    <n v="21314"/>
    <n v="23.48"/>
    <n v="0.16"/>
    <n v="13.68"/>
    <n v="0.28000000000000003"/>
    <n v="146.75"/>
    <n v="1.7163742690058481"/>
    <n v="1.99"/>
    <n v="2.0099999999999998"/>
    <n v="2.3199999999999998"/>
    <n v="83.857142857142847"/>
    <s v="NO"/>
    <n v="4.2769216361737179"/>
    <n v="-1.0199677676816663"/>
    <n v="-1.1083702164236557"/>
    <n v="-1.8551708417884196"/>
    <n v="0.82797648189462503"/>
    <n v="2.098984958394372"/>
    <x v="1"/>
    <x v="0"/>
    <x v="0"/>
    <x v="0"/>
    <x v="0"/>
    <x v="0"/>
  </r>
  <r>
    <x v="2"/>
    <s v="MCK"/>
    <n v="89939"/>
    <n v="708.22"/>
    <n v="41.02"/>
    <n v="-16.59"/>
    <n v="25.72"/>
    <n v="17.265236470014628"/>
    <n v="-42.689572031344184"/>
    <n v="-211.42"/>
    <n v="4.3099999999999996"/>
    <n v="-36.229999999999997"/>
    <n v="27.535769828926906"/>
    <s v="NO"/>
    <n v="0.5602031064462778"/>
    <n v="-33.970638822158712"/>
    <n v="-18.193216348448352"/>
    <n v="-0.58149323413594833"/>
    <n v="-60.925730713952319"/>
    <n v="1.3692551585249055"/>
    <x v="0"/>
    <x v="1"/>
    <x v="1"/>
    <x v="0"/>
    <x v="1"/>
    <x v="0"/>
  </r>
  <r>
    <x v="2"/>
    <s v="UNH"/>
    <n v="273875"/>
    <n v="303.19"/>
    <n v="27.07"/>
    <n v="104.44"/>
    <n v="23.82"/>
    <n v="11.200221647580348"/>
    <n v="2.903006510915358"/>
    <n v="22.7"/>
    <n v="7.04"/>
    <n v="3.26"/>
    <n v="12.728379513014273"/>
    <s v="NO"/>
    <n v="-0.67189931802373648"/>
    <n v="0.368824636097352"/>
    <n v="0.22260712640455216"/>
    <n v="0.47423144401006623"/>
    <n v="0.70469761436630562"/>
    <n v="-0.76383020764195864"/>
    <x v="0"/>
    <x v="0"/>
    <x v="0"/>
    <x v="0"/>
    <x v="0"/>
    <x v="0"/>
  </r>
  <r>
    <x v="2"/>
    <s v="CI"/>
    <n v="84588"/>
    <n v="311.39999999999998"/>
    <n v="21.74"/>
    <n v="149.04"/>
    <n v="17.989999999999998"/>
    <n v="14.323827046918124"/>
    <n v="2.0893719806763285"/>
    <n v="13.21"/>
    <n v="4.03"/>
    <n v="3.75"/>
    <n v="17.309616453585324"/>
    <s v="NO"/>
    <n v="-3.7341629660658397E-2"/>
    <n v="-0.24398942515652627"/>
    <n v="-0.52387401478951079"/>
    <n v="-0.68977268830477012"/>
    <n v="1.4694205791897077"/>
    <n v="-0.10387803049339063"/>
    <x v="0"/>
    <x v="0"/>
    <x v="0"/>
    <x v="0"/>
    <x v="0"/>
    <x v="0"/>
  </r>
  <r>
    <x v="2"/>
    <s v="DVA"/>
    <n v="10298"/>
    <n v="137.78"/>
    <n v="21.22"/>
    <n v="-3.46"/>
    <n v="10.11"/>
    <n v="6.492931196983978"/>
    <n v="-39.820809248554916"/>
    <n v="54.79"/>
    <n v="7.04"/>
    <n v="-64.09"/>
    <n v="13.628090999010881"/>
    <s v="NO"/>
    <n v="-1.6281812310391568"/>
    <n v="-31.809941228389437"/>
    <n v="2.7467988883558152"/>
    <n v="0.47423144401006623"/>
    <n v="-104.40569357105433"/>
    <n v="-0.63422185913444362"/>
    <x v="0"/>
    <x v="1"/>
    <x v="0"/>
    <x v="0"/>
    <x v="1"/>
    <x v="0"/>
  </r>
  <r>
    <x v="2"/>
    <s v="HUM"/>
    <n v="28137"/>
    <n v="233.07"/>
    <n v="19.760000000000002"/>
    <n v="147.08000000000001"/>
    <n v="14.16"/>
    <n v="11.795040485829958"/>
    <n v="1.5846478107152568"/>
    <n v="10.1"/>
    <n v="4.72"/>
    <n v="2.87"/>
    <n v="16.459745762711865"/>
    <s v="NO"/>
    <n v="-0.55106239442432625"/>
    <n v="-0.6241380753323863"/>
    <n v="-0.76850587454857688"/>
    <n v="-0.42294117624588751"/>
    <n v="9.604056073135378E-2"/>
    <n v="-0.22630654052517782"/>
    <x v="0"/>
    <x v="0"/>
    <x v="0"/>
    <x v="0"/>
    <x v="0"/>
    <x v="0"/>
  </r>
  <r>
    <x v="2"/>
    <s v="HCA"/>
    <n v="91752"/>
    <n v="373.01"/>
    <n v="19.46"/>
    <n v="-14.48"/>
    <n v="22.47"/>
    <n v="19.168036998972248"/>
    <n v="-25.760359116022098"/>
    <n v="1605.8"/>
    <n v="11.61"/>
    <n v="-16.989999999999998"/>
    <n v="16.600356030262574"/>
    <s v="NO"/>
    <n v="0.94675535959815593"/>
    <n v="-21.219877473052343"/>
    <n v="124.74887631758699"/>
    <n v="2.2415068209797679"/>
    <n v="-30.89864940129468"/>
    <n v="-0.20605086429552483"/>
    <x v="0"/>
    <x v="1"/>
    <x v="1"/>
    <x v="0"/>
    <x v="1"/>
    <x v="0"/>
  </r>
  <r>
    <x v="2"/>
    <s v="COR"/>
    <n v="56449"/>
    <n v="283.95"/>
    <n v="18.29"/>
    <n v="5.23"/>
    <n v="8.59"/>
    <n v="15.524876981957354"/>
    <n v="54.2925430210325"/>
    <n v="141.78"/>
    <n v="2.97"/>
    <n v="70.290000000000006"/>
    <n v="33.055878928987191"/>
    <s v="NO"/>
    <n v="0.20665060781872871"/>
    <n v="39.07444663749834"/>
    <n v="9.5894115830314259"/>
    <n v="-1.0996877648010248"/>
    <n v="105.31567788398388"/>
    <n v="2.1644569928636259"/>
    <x v="0"/>
    <x v="1"/>
    <x v="1"/>
    <x v="0"/>
    <x v="1"/>
    <x v="0"/>
  </r>
  <r>
    <x v="2"/>
    <s v="UHS"/>
    <n v="12266"/>
    <n v="177.77"/>
    <n v="16.010000000000002"/>
    <n v="105.3"/>
    <n v="17.8"/>
    <n v="11.10368519675203"/>
    <n v="1.6882241215574549"/>
    <n v="18.47"/>
    <n v="7.57"/>
    <n v="2.19"/>
    <n v="9.987078651685394"/>
    <s v="YES"/>
    <n v="-0.69151061306547901"/>
    <n v="-0.54612636695730732"/>
    <n v="-0.11012366677256979"/>
    <n v="0.67918898225819369"/>
    <n v="-0.96520763535010179"/>
    <n v="-1.1587295536311952"/>
    <x v="0"/>
    <x v="0"/>
    <x v="0"/>
    <x v="0"/>
    <x v="0"/>
    <x v="0"/>
  </r>
  <r>
    <x v="2"/>
    <s v="ELV"/>
    <n v="86723"/>
    <n v="389.61"/>
    <n v="15.97"/>
    <n v="188.37"/>
    <n v="25.6"/>
    <n v="24.39636819035692"/>
    <n v="2.0683229813664599"/>
    <n v="14.18"/>
    <n v="4.93"/>
    <n v="2.82"/>
    <n v="15.219140625"/>
    <s v="NO"/>
    <n v="2.008886240632298"/>
    <n v="-0.25984313130223419"/>
    <n v="-0.44757404566851605"/>
    <n v="-0.34173158561927103"/>
    <n v="1.8007605137128704E-2"/>
    <n v="-0.40502247952496001"/>
    <x v="0"/>
    <x v="0"/>
    <x v="0"/>
    <x v="0"/>
    <x v="0"/>
    <x v="0"/>
  </r>
  <r>
    <x v="2"/>
    <s v="THC"/>
    <n v="15676"/>
    <n v="166.19"/>
    <n v="14.77"/>
    <n v="45.01"/>
    <n v="15.09"/>
    <n v="11.251861882193635"/>
    <n v="3.6922906020884247"/>
    <n v="28.82"/>
    <n v="7.26"/>
    <n v="6.99"/>
    <n v="11.013253810470511"/>
    <s v="NO"/>
    <n v="-0.66140864980114922"/>
    <n v="0.96329840954050538"/>
    <n v="0.70400486972464349"/>
    <n v="0.55930815799985489"/>
    <n v="6.5259561016954661"/>
    <n v="-1.0109034230552902"/>
    <x v="0"/>
    <x v="0"/>
    <x v="0"/>
    <x v="0"/>
    <x v="1"/>
    <x v="0"/>
  </r>
  <r>
    <x v="2"/>
    <s v="LH"/>
    <n v="20839"/>
    <n v="255.73"/>
    <n v="13.75"/>
    <n v="99.13"/>
    <n v="8.67"/>
    <n v="18.598545454545455"/>
    <n v="2.5797437708060125"/>
    <n v="8.98"/>
    <n v="4.18"/>
    <n v="2.12"/>
    <n v="29.495963091118799"/>
    <s v="NO"/>
    <n v="0.83106365345294353"/>
    <n v="0.12534928536430578"/>
    <n v="-0.85660480796663274"/>
    <n v="-0.6317658378571871"/>
    <n v="-1.0744537731820161"/>
    <n v="1.6516316930278869"/>
    <x v="0"/>
    <x v="0"/>
    <x v="0"/>
    <x v="0"/>
    <x v="0"/>
    <x v="0"/>
  </r>
  <r>
    <x v="2"/>
    <s v="CAH"/>
    <n v="36861"/>
    <n v="153.62"/>
    <n v="10.07"/>
    <n v="-12.33"/>
    <n v="6.38"/>
    <n v="15.255213505461768"/>
    <n v="-12.459042984590431"/>
    <n v="-60.43"/>
    <n v="3.13"/>
    <n v="-16.920000000000002"/>
    <n v="24.078369905956112"/>
    <s v="NO"/>
    <n v="0.15186870985003267"/>
    <n v="-11.201579016459437"/>
    <n v="-6.3163788870266879"/>
    <n v="-1.0378137909902694"/>
    <n v="-30.78940326346277"/>
    <n v="0.87119783557110719"/>
    <x v="0"/>
    <x v="1"/>
    <x v="1"/>
    <x v="0"/>
    <x v="1"/>
    <x v="0"/>
  </r>
  <r>
    <x v="2"/>
    <s v="DGX"/>
    <n v="19351"/>
    <n v="175.9"/>
    <n v="9.51"/>
    <n v="61.87"/>
    <n v="7.91"/>
    <n v="18.496319663512093"/>
    <n v="2.8430580248909005"/>
    <n v="13.95"/>
    <n v="6.13"/>
    <n v="2.2799999999999998"/>
    <n v="22.237673830594186"/>
    <s v="NO"/>
    <n v="0.81029657395469135"/>
    <n v="0.32367257602453714"/>
    <n v="-0.46566579092400973"/>
    <n v="0.12232321796139473"/>
    <n v="-0.82474831528049763"/>
    <n v="0.60603552282408157"/>
    <x v="0"/>
    <x v="0"/>
    <x v="0"/>
    <x v="0"/>
    <x v="0"/>
    <x v="0"/>
  </r>
  <r>
    <x v="2"/>
    <s v="MOH"/>
    <n v="16533"/>
    <n v="297"/>
    <n v="9.2799999999999994"/>
    <n v="79.81"/>
    <n v="20.69"/>
    <n v="32.004310344827587"/>
    <n v="3.7213381781731614"/>
    <n v="26.72"/>
    <n v="6.73"/>
    <n v="3.8"/>
    <n v="14.354760753987433"/>
    <s v="NO"/>
    <n v="3.5544329949580584"/>
    <n v="0.98517649166275623"/>
    <n v="0.53881936956578858"/>
    <n v="0.35435061975172777"/>
    <n v="1.547453534783932"/>
    <n v="-0.52954111611986954"/>
    <x v="1"/>
    <x v="0"/>
    <x v="0"/>
    <x v="0"/>
    <x v="0"/>
    <x v="0"/>
  </r>
  <r>
    <x v="2"/>
    <s v="FMS"/>
    <n v="16666"/>
    <n v="28.63"/>
    <n v="6.28"/>
    <n v="52.99"/>
    <n v="2.2799999999999998"/>
    <n v="4.5589171974522289"/>
    <n v="0.54029062087186253"/>
    <n v="5.3"/>
    <n v="2.91"/>
    <n v="2.2799999999999998"/>
    <n v="12.557017543859649"/>
    <s v="NO"/>
    <n v="-2.0210744732729169"/>
    <n v="-1.410728057839151"/>
    <n v="-1.1460727320545308"/>
    <n v="-1.1228905049800582"/>
    <n v="-0.82474831528049763"/>
    <n v="-0.78851583427317218"/>
    <x v="0"/>
    <x v="0"/>
    <x v="0"/>
    <x v="0"/>
    <x v="0"/>
    <x v="0"/>
  </r>
  <r>
    <x v="2"/>
    <s v="CVS"/>
    <n v="81012"/>
    <n v="63.86"/>
    <n v="4.72"/>
    <n v="60.96"/>
    <n v="4.1900000000000004"/>
    <n v="13.529661016949154"/>
    <n v="1.0475721784776904"/>
    <n v="6.93"/>
    <n v="2.31"/>
    <n v="3.32"/>
    <n v="15.24105011933174"/>
    <s v="NO"/>
    <n v="-0.19867575984894401"/>
    <n v="-1.0286532319043504"/>
    <n v="-1.0178573200264673"/>
    <n v="-1.3549179067703909"/>
    <n v="0.79833716107937525"/>
    <n v="-0.40186629732525603"/>
    <x v="0"/>
    <x v="0"/>
    <x v="0"/>
    <x v="0"/>
    <x v="0"/>
    <x v="0"/>
  </r>
  <r>
    <x v="2"/>
    <s v="EHC"/>
    <n v="12186"/>
    <n v="120.3"/>
    <n v="3.86"/>
    <n v="21.4"/>
    <n v="4.8600000000000003"/>
    <n v="31.165803108808291"/>
    <n v="5.6214953271028039"/>
    <n v="24.58"/>
    <n v="8.9700000000000006"/>
    <n v="3.08"/>
    <n v="24.753086419753085"/>
    <s v="NO"/>
    <n v="3.3840909877772143"/>
    <n v="2.4163387348803278"/>
    <n v="0.37048747892771738"/>
    <n v="1.2205862531023037"/>
    <n v="0.42377897422709732"/>
    <n v="0.96839443072972831"/>
    <x v="1"/>
    <x v="0"/>
    <x v="0"/>
    <x v="0"/>
    <x v="0"/>
    <x v="0"/>
  </r>
  <r>
    <x v="2"/>
    <s v="CNC"/>
    <n v="28085"/>
    <n v="55.76"/>
    <n v="2.91"/>
    <n v="56.11"/>
    <n v="6.72"/>
    <n v="19.161512027491408"/>
    <n v="0.99376225271787555"/>
    <n v="12.53"/>
    <n v="3.86"/>
    <n v="3.12"/>
    <n v="8.2976190476190474"/>
    <s v="NO"/>
    <n v="0.94542981738325438"/>
    <n v="-1.0691818450778279"/>
    <n v="-0.57736265293618771"/>
    <n v="-0.75551378547869785"/>
    <n v="0.48620533870247706"/>
    <n v="-1.4021054275210889"/>
    <x v="0"/>
    <x v="0"/>
    <x v="0"/>
    <x v="0"/>
    <x v="0"/>
    <x v="0"/>
  </r>
  <r>
    <x v="2"/>
    <s v="HIMS"/>
    <n v="12660"/>
    <n v="56.86"/>
    <n v="1.08"/>
    <n v="2.46"/>
    <n v="0.68"/>
    <n v="52.648148148148145"/>
    <n v="23.113821138211382"/>
    <n v="36.79"/>
    <n v="10.76"/>
    <n v="1.62"/>
    <n v="83.617647058823522"/>
    <s v="NO"/>
    <n v="7.7482104798460778"/>
    <n v="15.591226012503983"/>
    <n v="1.3309231727084878"/>
    <n v="1.9128013351101298"/>
    <n v="-1.8547833291242628"/>
    <n v="9.4481555639327777"/>
    <x v="1"/>
    <x v="1"/>
    <x v="0"/>
    <x v="0"/>
    <x v="0"/>
    <x v="1"/>
  </r>
  <r>
    <x v="3"/>
    <s v="VEEV"/>
    <n v="45578"/>
    <n v="283.33"/>
    <n v="7.31"/>
    <n v="38.159999999999997"/>
    <n v="4.71"/>
    <n v="38.759233926128594"/>
    <n v="7.42479035639413"/>
    <n v="14.06"/>
    <n v="6.9"/>
    <n v="1.25"/>
    <n v="60.154989384288747"/>
    <s v="NO"/>
    <e v="#DIV/0!"/>
    <e v="#DIV/0!"/>
    <e v="#DIV/0!"/>
    <e v="#DIV/0!"/>
    <e v="#DIV/0!"/>
    <e v="#DIV/0!"/>
    <x v="0"/>
    <x v="0"/>
    <x v="0"/>
    <x v="0"/>
    <x v="0"/>
    <x v="0"/>
  </r>
  <r>
    <x v="4"/>
    <s v="MTD"/>
    <n v="24015"/>
    <n v="1195.3900000000001"/>
    <n v="41.23"/>
    <n v="-8.76"/>
    <n v="40.11"/>
    <n v="28.993208828522924"/>
    <n v="-136.46004566210047"/>
    <n v="-498.52"/>
    <n v="21.22"/>
    <n v="-17.78"/>
    <n v="29.802792321116932"/>
    <s v="NO"/>
    <n v="0.83458621320111015"/>
    <n v="-51.907100174381512"/>
    <n v="-82.079607984041687"/>
    <n v="5.0747019480515201"/>
    <n v="-50.155023081940413"/>
    <n v="8.8952772484868131E-2"/>
    <x v="0"/>
    <x v="1"/>
    <x v="1"/>
    <x v="1"/>
    <x v="1"/>
    <x v="0"/>
  </r>
  <r>
    <x v="4"/>
    <s v="TMO"/>
    <n v="152062"/>
    <n v="408.53"/>
    <n v="17.649999999999999"/>
    <n v="130.84"/>
    <n v="17.059999999999999"/>
    <n v="23.146175637393767"/>
    <n v="3.1223631916844998"/>
    <n v="13.7"/>
    <n v="5"/>
    <n v="2.0099999999999998"/>
    <n v="23.946658851113718"/>
    <s v="NO"/>
    <n v="6.5450182362472437E-2"/>
    <n v="-0.51522802582863492"/>
    <n v="0.11944003977199237"/>
    <n v="-0.39531939416631107"/>
    <n v="0.27072946986504948"/>
    <n v="-0.69473710931952148"/>
    <x v="0"/>
    <x v="0"/>
    <x v="0"/>
    <x v="0"/>
    <x v="0"/>
    <x v="0"/>
  </r>
  <r>
    <x v="4"/>
    <s v="ICLR"/>
    <n v="10353"/>
    <n v="139.71"/>
    <n v="12.91"/>
    <n v="119.56"/>
    <n v="9.19"/>
    <n v="10.821843532145625"/>
    <n v="1.1685346269655403"/>
    <n v="8.01"/>
    <n v="4.41"/>
    <n v="1.76"/>
    <n v="15.202393906420024"/>
    <s v="NO"/>
    <n v="-1.5557288956952637"/>
    <n v="-1.2345945178011981"/>
    <n v="-0.7936687479666743"/>
    <n v="-0.59429057739125057"/>
    <n v="-0.36628104746447837"/>
    <n v="-1.8649276447769563"/>
    <x v="0"/>
    <x v="0"/>
    <x v="0"/>
    <x v="0"/>
    <x v="0"/>
    <x v="0"/>
  </r>
  <r>
    <x v="4"/>
    <s v="IQV"/>
    <n v="24277"/>
    <n v="154.15"/>
    <n v="12.03"/>
    <n v="34.33"/>
    <n v="7.35"/>
    <n v="12.813798836242727"/>
    <n v="4.4902417710457332"/>
    <n v="21.64"/>
    <n v="5.29"/>
    <n v="4.57"/>
    <n v="20.972789115646261"/>
    <s v="NO"/>
    <n v="-1.2937012064176274"/>
    <n v="-1.1598366170626989E-2"/>
    <n v="1.3936199650171619"/>
    <n v="-0.29751999902184922"/>
    <n v="6.7937171673194223"/>
    <n v="-1.0927115806030223"/>
    <x v="0"/>
    <x v="0"/>
    <x v="0"/>
    <x v="0"/>
    <x v="1"/>
    <x v="0"/>
  </r>
  <r>
    <x v="4"/>
    <s v="WAT"/>
    <n v="20783"/>
    <n v="348.33"/>
    <n v="10.43"/>
    <n v="32.979999999999997"/>
    <n v="11.02"/>
    <n v="33.396931927133267"/>
    <n v="10.561855670103093"/>
    <n v="40.82"/>
    <n v="11.61"/>
    <n v="2.34"/>
    <n v="31.608892921960074"/>
    <s v="NO"/>
    <n v="1.4138649677866455"/>
    <n v="2.22386674578765"/>
    <n v="4.4715508171837044"/>
    <n v="1.8338323365402156"/>
    <n v="1.1115833527400272"/>
    <n v="0.33065197105194272"/>
    <x v="0"/>
    <x v="0"/>
    <x v="1"/>
    <x v="0"/>
    <x v="0"/>
    <x v="0"/>
  </r>
  <r>
    <x v="4"/>
    <s v="DHR"/>
    <n v="135906"/>
    <n v="199.2"/>
    <n v="6.76"/>
    <n v="71.06"/>
    <n v="5.16"/>
    <n v="29.467455621301774"/>
    <n v="2.8032648466084997"/>
    <n v="7.22"/>
    <n v="3.93"/>
    <n v="1.56"/>
    <n v="38.604651162790695"/>
    <s v="NO"/>
    <n v="0.89697003828171273"/>
    <n v="-0.63271461663635564"/>
    <n v="-0.92044483624673523"/>
    <n v="-0.75616543832001504"/>
    <n v="-0.87588946132810097"/>
    <n v="1.2668507405935845"/>
    <x v="0"/>
    <x v="0"/>
    <x v="0"/>
    <x v="0"/>
    <x v="0"/>
    <x v="0"/>
  </r>
  <r>
    <x v="4"/>
    <s v="ILMN"/>
    <n v="13019"/>
    <n v="84.98"/>
    <n v="5.47"/>
    <n v="14.89"/>
    <n v="-6.08"/>
    <n v="15.53564899451554"/>
    <n v="5.707186030893217"/>
    <n v="-23.85"/>
    <n v="4.95"/>
    <n v="2.61"/>
    <n v="-13.976973684210527"/>
    <s v="NO"/>
    <n v="-0.93566099032178096"/>
    <n v="0.43645984064474641"/>
    <n v="-5.9064360550587525"/>
    <n v="-0.41218135884639062"/>
    <n v="1.7995547114559178"/>
    <n v="-5.7698207376960866"/>
    <x v="0"/>
    <x v="0"/>
    <x v="1"/>
    <x v="0"/>
    <x v="0"/>
    <x v="1"/>
  </r>
  <r>
    <x v="4"/>
    <s v="RVTY"/>
    <n v="10658"/>
    <n v="92.88"/>
    <n v="4.3"/>
    <n v="63.96"/>
    <n v="2.4300000000000002"/>
    <n v="21.6"/>
    <n v="1.4521575984990618"/>
    <n v="3.82"/>
    <n v="2.0299999999999998"/>
    <n v="1.62"/>
    <n v="38.222222222222214"/>
    <s v="NO"/>
    <n v="-0.13793833175245848"/>
    <n v="-1.1301693569866151"/>
    <n v="-1.4660634440343392"/>
    <n v="-1.3969200961630408"/>
    <n v="-0.72300693716901399"/>
    <n v="1.2156726564928944"/>
    <x v="0"/>
    <x v="0"/>
    <x v="0"/>
    <x v="0"/>
    <x v="0"/>
    <x v="0"/>
  </r>
  <r>
    <x v="4"/>
    <s v="WST"/>
    <n v="15149"/>
    <n v="223.77"/>
    <n v="4.22"/>
    <n v="37.369999999999997"/>
    <n v="6.37"/>
    <n v="53.026066350710906"/>
    <n v="5.9879582552849886"/>
    <n v="17.420000000000002"/>
    <n v="10.33"/>
    <n v="1.35"/>
    <n v="35.128728414442698"/>
    <s v="NO"/>
    <n v="3.9959393371016261"/>
    <n v="0.53983540478135472"/>
    <n v="0.71641098711607709"/>
    <n v="1.4021660407301773"/>
    <n v="-1.4109782958849046"/>
    <n v="0.80168964039541291"/>
    <x v="1"/>
    <x v="0"/>
    <x v="0"/>
    <x v="0"/>
    <x v="0"/>
    <x v="0"/>
  </r>
  <r>
    <x v="4"/>
    <s v="A"/>
    <n v="31778"/>
    <n v="116.74"/>
    <n v="4.16"/>
    <n v="21.61"/>
    <n v="4.0599999999999996"/>
    <n v="28.062499999999996"/>
    <n v="5.4021286441462282"/>
    <n v="18.88"/>
    <n v="8"/>
    <n v="1.98"/>
    <n v="28.75369458128079"/>
    <s v="NO"/>
    <n v="0.71215802255518668"/>
    <n v="0.32414289220968023"/>
    <n v="0.95070603634251838"/>
    <n v="0.61639848663846664"/>
    <n v="0.19428820778550654"/>
    <n v="-5.1441446319196678E-2"/>
    <x v="0"/>
    <x v="0"/>
    <x v="0"/>
    <x v="0"/>
    <x v="0"/>
    <x v="0"/>
  </r>
  <r>
    <x v="5"/>
    <s v="JNJ"/>
    <n v="373447"/>
    <n v="155.22999999999999"/>
    <n v="7.72"/>
    <n v="32.47"/>
    <n v="8.98"/>
    <n v="20.107512953367873"/>
    <n v="4.7807206652294427"/>
    <n v="29.45"/>
    <n v="7.77"/>
    <n v="2.48"/>
    <n v="17.286191536748326"/>
    <s v="NO"/>
    <n v="4.5704735622804971E-2"/>
    <n v="0.65386338594079152"/>
    <n v="0.69380826628405001"/>
    <n v="3.9895384649774978E-4"/>
    <n v="9.8634687034399954E-2"/>
    <n v="-0.10176784671151609"/>
    <x v="0"/>
    <x v="0"/>
    <x v="0"/>
    <x v="0"/>
    <x v="0"/>
    <x v="0"/>
  </r>
  <r>
    <x v="5"/>
    <s v="NVS"/>
    <n v="228636"/>
    <n v="118.02"/>
    <n v="7.47"/>
    <n v="19.579999999999998"/>
    <n v="6.38"/>
    <n v="15.799196787148594"/>
    <n v="6.027579162410623"/>
    <n v="32.89"/>
    <n v="11.42"/>
    <n v="2.6"/>
    <n v="18.498432601880879"/>
    <s v="NO"/>
    <n v="-0.2447562934966715"/>
    <n v="1.1860731754299498"/>
    <n v="0.87826865641085139"/>
    <n v="0.87410787767736453"/>
    <n v="0.25960649627454141"/>
    <n v="-2.2689785398358087E-2"/>
    <x v="0"/>
    <x v="0"/>
    <x v="0"/>
    <x v="0"/>
    <x v="0"/>
    <x v="0"/>
  </r>
  <r>
    <x v="5"/>
    <s v="MRK"/>
    <n v="192948"/>
    <n v="79.33"/>
    <n v="6.74"/>
    <n v="19.21"/>
    <n v="6.88"/>
    <n v="11.770029673590503"/>
    <n v="4.1296199895887558"/>
    <n v="39.29"/>
    <n v="13.81"/>
    <n v="2.38"/>
    <n v="11.530523255813954"/>
    <s v="NO"/>
    <n v="-0.51639745935972203"/>
    <n v="0.37594720354930561"/>
    <n v="1.2214507775769934"/>
    <n v="1.446207693555658"/>
    <n v="-3.5508487332384583E-2"/>
    <n v="-0.47722707038346707"/>
    <x v="0"/>
    <x v="0"/>
    <x v="0"/>
    <x v="0"/>
    <x v="0"/>
    <x v="0"/>
  </r>
  <r>
    <x v="5"/>
    <s v="BMY"/>
    <n v="98254"/>
    <n v="49"/>
    <n v="6.45"/>
    <n v="8.5399999999999991"/>
    <n v="2.67"/>
    <n v="7.5968992248062017"/>
    <n v="5.7377049180327875"/>
    <n v="31.99"/>
    <n v="7.24"/>
    <n v="5.32"/>
    <n v="18.352059925093634"/>
    <s v="NO"/>
    <n v="-0.79774444459442118"/>
    <n v="1.0623430882328626"/>
    <n v="0.83000867062186257"/>
    <n v="-0.12646836933990191"/>
    <n v="3.9083008390510781"/>
    <n v="-3.2238106967787117E-2"/>
    <x v="0"/>
    <x v="0"/>
    <x v="0"/>
    <x v="0"/>
    <x v="1"/>
    <x v="0"/>
  </r>
  <r>
    <x v="5"/>
    <s v="AZN"/>
    <n v="225802"/>
    <n v="73.010000000000005"/>
    <n v="5.93"/>
    <n v="26.48"/>
    <n v="4.97"/>
    <n v="12.311973018549748"/>
    <n v="2.7571752265861029"/>
    <n v="19.79"/>
    <n v="8.16"/>
    <n v="2.59"/>
    <n v="14.690140845070424"/>
    <s v="NO"/>
    <n v="-0.47986034935475919"/>
    <n v="-0.20986789901000408"/>
    <n v="0.17581775214890419"/>
    <n v="9.3754153927056244E-2"/>
    <n v="0.24619217883786265"/>
    <n v="-0.27111589280012466"/>
    <x v="0"/>
    <x v="0"/>
    <x v="0"/>
    <x v="0"/>
    <x v="0"/>
    <x v="0"/>
  </r>
  <r>
    <x v="5"/>
    <s v="ZTS"/>
    <n v="75075"/>
    <n v="164.61"/>
    <n v="5.05"/>
    <n v="10.44"/>
    <n v="5.57"/>
    <n v="32.596039603960399"/>
    <n v="15.767241379310347"/>
    <n v="52.09"/>
    <n v="15.11"/>
    <n v="3.03"/>
    <n v="29.552962298025136"/>
    <s v="NO"/>
    <n v="0.88766483399235641"/>
    <n v="5.3433561308497861"/>
    <n v="1.907815019909278"/>
    <n v="1.7573916938241858"/>
    <n v="0.83642214605171405"/>
    <n v="0.69842980231684226"/>
    <x v="0"/>
    <x v="1"/>
    <x v="0"/>
    <x v="0"/>
    <x v="0"/>
    <x v="0"/>
  </r>
  <r>
    <x v="5"/>
    <s v="SNY"/>
    <n v="120151"/>
    <n v="49.75"/>
    <n v="4.87"/>
    <n v="66.89"/>
    <n v="5.39"/>
    <n v="10.215605749486652"/>
    <n v="0.7437584093287487"/>
    <n v="7.3"/>
    <n v="4.28"/>
    <n v="1.71"/>
    <n v="9.2300556586270872"/>
    <s v="NO"/>
    <n v="-0.62119468297651814"/>
    <n v="-1.0692758774526132"/>
    <n v="-0.49392360618939496"/>
    <n v="-0.83501040072054988"/>
    <n v="-0.9342677555898401"/>
    <n v="-0.62729335912067019"/>
    <x v="0"/>
    <x v="0"/>
    <x v="0"/>
    <x v="0"/>
    <x v="0"/>
    <x v="0"/>
  </r>
  <r>
    <x v="5"/>
    <s v="TAK"/>
    <n v="46949"/>
    <n v="15.05"/>
    <n v="3"/>
    <n v="29.17"/>
    <n v="0.45"/>
    <n v="5.0166666666666666"/>
    <n v="0.51594103531025026"/>
    <n v="1.52"/>
    <n v="1.91"/>
    <n v="2.0499999999999998"/>
    <n v="33.444444444444443"/>
    <s v="NO"/>
    <n v="-0.97170034181504394"/>
    <n v="-1.1665175748404601"/>
    <n v="-0.80385995936756716"/>
    <n v="-1.4023227704408661"/>
    <n v="-0.47818096274277327"/>
    <n v="0.95228266428036346"/>
    <x v="0"/>
    <x v="0"/>
    <x v="0"/>
    <x v="0"/>
    <x v="0"/>
    <x v="0"/>
  </r>
  <r>
    <x v="5"/>
    <s v="NVO"/>
    <n v="317701"/>
    <n v="75.459999999999994"/>
    <n v="2.42"/>
    <n v="4.5199999999999996"/>
    <n v="3.4"/>
    <n v="31.18181818181818"/>
    <n v="16.694690265486727"/>
    <n v="88.12"/>
    <n v="23.29"/>
    <n v="3.53"/>
    <n v="22.194117647058821"/>
    <s v="NO"/>
    <n v="0.79231987929774517"/>
    <n v="5.7392289404667389"/>
    <n v="3.8398231176617941"/>
    <n v="3.7154571724369223"/>
    <n v="1.5071380178856362"/>
    <n v="0.21839065396519924"/>
    <x v="0"/>
    <x v="1"/>
    <x v="1"/>
    <x v="1"/>
    <x v="0"/>
    <x v="0"/>
  </r>
  <r>
    <x v="5"/>
    <s v="PFE"/>
    <n v="133549"/>
    <n v="23.97"/>
    <n v="1.98"/>
    <n v="15.89"/>
    <n v="1.38"/>
    <n v="12.106060606060606"/>
    <n v="1.5084959093769665"/>
    <n v="8.6199999999999992"/>
    <n v="4.79"/>
    <n v="2.2999999999999998"/>
    <n v="17.369565217391305"/>
    <s v="NO"/>
    <n v="-0.4937426943202996"/>
    <n v="-0.74285488835461289"/>
    <n v="-0.42314229369887824"/>
    <n v="-0.7129305236921275"/>
    <n v="-0.14282302682581222"/>
    <n v="-9.632913553481777E-2"/>
    <x v="0"/>
    <x v="0"/>
    <x v="0"/>
    <x v="0"/>
    <x v="0"/>
    <x v="0"/>
  </r>
  <r>
    <x v="5"/>
    <s v="VTRS"/>
    <n v="10317"/>
    <n v="8.81"/>
    <n v="1.54"/>
    <n v="13.2"/>
    <n v="-3.18"/>
    <n v="5.720779220779221"/>
    <n v="0.66742424242424248"/>
    <n v="-21.25"/>
    <n v="2.23"/>
    <n v="2.46"/>
    <n v="-2.7704402515723272"/>
    <s v="NO"/>
    <n v="-0.92422999628027147"/>
    <n v="-1.1018583966325537"/>
    <n v="-2.0248375998289823"/>
    <n v="-1.3257236319132284"/>
    <n v="7.1806052161043049E-2"/>
    <n v="-1.4101211139874679"/>
    <x v="0"/>
    <x v="0"/>
    <x v="0"/>
    <x v="0"/>
    <x v="0"/>
    <x v="0"/>
  </r>
  <r>
    <x v="5"/>
    <s v="GSK"/>
    <n v="83200"/>
    <n v="40.86"/>
    <n v="1.28"/>
    <n v="4.4800000000000004"/>
    <n v="0.98"/>
    <n v="31.921875"/>
    <n v="9.1205357142857135"/>
    <n v="27.1"/>
    <n v="6.55"/>
    <n v="4.29"/>
    <n v="41.693877551020407"/>
    <s v="NO"/>
    <n v="0.84221354000477977"/>
    <n v="2.5062725076668952"/>
    <n v="0.56779608116835723"/>
    <n v="-0.29163526179012061"/>
    <n v="2.526626143073198"/>
    <n v="1.4904175252119047"/>
    <x v="0"/>
    <x v="0"/>
    <x v="0"/>
    <x v="0"/>
    <x v="0"/>
    <x v="0"/>
  </r>
  <r>
    <x v="5"/>
    <s v="GALDY"/>
    <n v="31456"/>
    <n v="28.1"/>
    <n v="0.9"/>
    <n v="32.81"/>
    <n v="0.97"/>
    <n v="31.222222222222221"/>
    <n v="0.85644620542517524"/>
    <n v="3.51"/>
    <n v="3.34"/>
    <n v="1.62"/>
    <n v="28.969072164948457"/>
    <s v="NO"/>
    <n v="0.79504386674517558"/>
    <n v="-1.0211761545297149"/>
    <n v="-0.69715176856746985"/>
    <n v="-1.0600203701454856"/>
    <n v="-1.0549966125199459"/>
    <n v="0.6603409262082468"/>
    <x v="0"/>
    <x v="0"/>
    <x v="0"/>
    <x v="0"/>
    <x v="0"/>
    <x v="0"/>
  </r>
  <r>
    <x v="5"/>
    <s v="TEVA"/>
    <n v="19244"/>
    <n v="18.07"/>
    <n v="0.67"/>
    <n v="5.46"/>
    <n v="-1.1399999999999999"/>
    <n v="26.970149253731343"/>
    <n v="3.3095238095238098"/>
    <n v="-19.11"/>
    <n v="5.27"/>
    <n v="6.13"/>
    <n v="-15.850877192982457"/>
    <s v="NO"/>
    <n v="0.50837468029993282"/>
    <n v="2.589688401428486E-2"/>
    <n v="-1.9100860780640534"/>
    <n v="-0.59803181590067123"/>
    <n v="4.9948605514220308"/>
    <n v="-2.2633966086124775"/>
    <x v="0"/>
    <x v="0"/>
    <x v="0"/>
    <x v="0"/>
    <x v="1"/>
    <x v="0"/>
  </r>
  <r>
    <x v="5"/>
    <s v="RPRX"/>
    <n v="13855"/>
    <n v="33.39"/>
    <n v="0.63"/>
    <n v="15.72"/>
    <n v="2.4500000000000002"/>
    <n v="53"/>
    <n v="2.1240458015267176"/>
    <n v="18"/>
    <n v="7.04"/>
    <n v="2.63"/>
    <n v="13.628571428571428"/>
    <s v="NO"/>
    <n v="2.2632731009101237"/>
    <n v="-0.48011322259084366"/>
    <n v="7.9834002635248855E-2"/>
    <n v="-0.17434283091967548"/>
    <n v="0.29984944858457646"/>
    <n v="-0.34036519792649556"/>
    <x v="0"/>
    <x v="0"/>
    <x v="0"/>
    <x v="0"/>
    <x v="0"/>
    <x v="0"/>
  </r>
  <r>
    <x v="5"/>
    <s v="HLN"/>
    <n v="51088"/>
    <n v="10.88"/>
    <n v="0.32"/>
    <n v="2.2400000000000002"/>
    <n v="0.2"/>
    <n v="34"/>
    <n v="4.8571428571428568"/>
    <n v="8.9499999999999993"/>
    <n v="4.55"/>
    <n v="2.12"/>
    <n v="54.4"/>
    <s v="NO"/>
    <n v="0.98231800375601086"/>
    <n v="0.68648347776555607"/>
    <n v="-0.40544696557624904"/>
    <n v="-0.77037987758785575"/>
    <n v="-0.3842807406860238"/>
    <n v="2.3192753811062969"/>
    <x v="0"/>
    <x v="0"/>
    <x v="0"/>
    <x v="0"/>
    <x v="0"/>
    <x v="0"/>
  </r>
  <r>
    <x v="5"/>
    <s v="RDY"/>
    <n v="12247"/>
    <n v="15.63"/>
    <n v="0.18"/>
    <n v="4.68"/>
    <n v="0.79"/>
    <n v="86.833333333333343"/>
    <n v="3.3397435897435903"/>
    <n v="18.53"/>
    <n v="10.58"/>
    <n v="1.48"/>
    <n v="19.784810126582279"/>
    <s v="NO"/>
    <n v="4.5442720897020976"/>
    <n v="3.879591217629208E-2"/>
    <n v="0.10825377204432006"/>
    <n v="0.67303513904231571"/>
    <n v="-1.2427970566334443"/>
    <n v="6.1224415907042126E-2"/>
    <x v="1"/>
    <x v="0"/>
    <x v="0"/>
    <x v="0"/>
    <x v="0"/>
    <x v="0"/>
  </r>
  <r>
    <x v="5"/>
    <s v="RGC"/>
    <n v="11412"/>
    <n v="639.95000000000005"/>
    <n v="-0.31"/>
    <n v="0.63"/>
    <n v="-0.33"/>
    <n v="-2064.3548387096776"/>
    <n v="1015.7936507936508"/>
    <n v="-43.18"/>
    <n v="-28.12"/>
    <n v="1.03"/>
    <n v="-1939.2424242424242"/>
    <s v="NO"/>
    <n v="-140.48601495851545"/>
    <n v="432.19519701032692"/>
    <n v="-3.2007725868873411"/>
    <n v="-8.5906731766438593"/>
    <n v="-1.8464413412839742"/>
    <n v="-127.73190205819023"/>
    <x v="1"/>
    <x v="1"/>
    <x v="1"/>
    <x v="1"/>
    <x v="0"/>
    <x v="1"/>
  </r>
  <r>
    <x v="5"/>
    <s v="LLY"/>
    <n v="662233"/>
    <n v="773.71"/>
    <n v="-0.74"/>
    <n v="16.64"/>
    <n v="12.29"/>
    <n v="-1045.5540540540542"/>
    <n v="46.496995192307693"/>
    <n v="77.28"/>
    <n v="16.45"/>
    <n v="5.67"/>
    <n v="62.95443449959317"/>
    <s v="NO"/>
    <n v="-71.799801374871748"/>
    <n v="18.460061711188381"/>
    <n v="3.2585583999366405"/>
    <n v="2.0781505864086682"/>
    <n v="4.377801949334823"/>
    <n v="2.8773063827901533"/>
    <x v="1"/>
    <x v="1"/>
    <x v="1"/>
    <x v="0"/>
    <x v="1"/>
    <x v="1"/>
  </r>
  <r>
    <x v="5"/>
    <s v="RICFY"/>
    <n v="12304"/>
    <n v="15.615"/>
    <n v="-1.39"/>
    <n v="10.37"/>
    <n v="2.16"/>
    <n v="-11.233812949640289"/>
    <n v="1.5057859209257476"/>
    <n v="22.02"/>
    <n v="9.33"/>
    <n v="2.61"/>
    <n v="7.2291666666666661"/>
    <s v="NO"/>
    <n v="-2.0672863784312234"/>
    <n v="-0.74401162136513643"/>
    <n v="0.29539527249273184"/>
    <n v="0.37381975416873131"/>
    <n v="0.27302081371121956"/>
    <n v="-0.7578172515527154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x v="0"/>
    <s v="AAPG"/>
    <n v="2126"/>
    <n v="29.88"/>
    <m/>
    <m/>
    <m/>
    <s v=""/>
    <s v=""/>
    <n v="-235.32"/>
    <n v="-9.25"/>
    <n v="9.91"/>
    <s v=""/>
    <s v="NO"/>
    <e v="#VALUE!"/>
    <e v="#VALUE!"/>
    <n v="-2.351969804092604"/>
    <n v="0.10930241320228287"/>
    <n v="9.7202018807187827"/>
    <e v="#VALUE!"/>
    <x v="0"/>
    <x v="0"/>
    <x v="0"/>
    <x v="0"/>
    <x v="0"/>
    <x v="0"/>
  </r>
  <r>
    <x v="0"/>
    <s v="PTCT"/>
    <n v="3846"/>
    <n v="51.69"/>
    <n v="8.7899999999999991"/>
    <n v="-2.34"/>
    <n v="7.51"/>
    <n v="5.8805460750853245"/>
    <n v="-22.089743589743591"/>
    <n v="-110.19"/>
    <n v="24.42"/>
    <n v="-14.3"/>
    <n v="6.8828229027962715"/>
    <s v="NO"/>
    <n v="1.3463330320510618"/>
    <n v="-5.3784709640783959"/>
    <n v="-0.94773726233458533"/>
    <n v="1.8848814006505719"/>
    <n v="-18.171860901391813"/>
    <n v="0.84401826369484856"/>
    <x v="1"/>
    <x v="0"/>
    <x v="0"/>
    <x v="1"/>
    <x v="0"/>
    <x v="1"/>
  </r>
  <r>
    <x v="0"/>
    <s v="PTGX"/>
    <n v="2942"/>
    <n v="55.68"/>
    <n v="5.4"/>
    <n v="11.13"/>
    <n v="0.86"/>
    <n v="10.31111111111111"/>
    <n v="5.0026954177897567"/>
    <n v="8.99"/>
    <n v="2.48"/>
    <n v="1.08"/>
    <n v="64.744186046511629"/>
    <s v="NO"/>
    <n v="1.6828986321993156"/>
    <n v="-8.6683619265807588E-2"/>
    <n v="0.38972325334287544"/>
    <n v="0.727881015007107"/>
    <n v="-0.45273964617244189"/>
    <n v="4.0252688729472164"/>
    <x v="1"/>
    <x v="1"/>
    <x v="0"/>
    <x v="1"/>
    <x v="1"/>
    <x v="0"/>
  </r>
  <r>
    <x v="0"/>
    <s v="KRYS"/>
    <n v="3640"/>
    <n v="136.08000000000001"/>
    <n v="4.5"/>
    <n v="34.07"/>
    <n v="4.16"/>
    <n v="30.240000000000002"/>
    <n v="3.9941297329028473"/>
    <n v="13.9"/>
    <n v="8.66"/>
    <n v="1.0900000000000001"/>
    <n v="32.71153846153846"/>
    <s v="NO"/>
    <n v="3.1967864534225141"/>
    <n v="-0.28368009958316642"/>
    <n v="0.44482420259590733"/>
    <n v="1.0537817617380374"/>
    <n v="-0.44121876109102487"/>
    <n v="2.264095715091349"/>
    <x v="0"/>
    <x v="1"/>
    <x v="0"/>
    <x v="1"/>
    <x v="1"/>
    <x v="1"/>
  </r>
  <r>
    <x v="0"/>
    <s v="HALO"/>
    <n v="6909"/>
    <n v="54.38"/>
    <n v="3.94"/>
    <n v="3.92"/>
    <n v="3.76"/>
    <n v="13.802030456852792"/>
    <n v="13.872448979591837"/>
    <n v="147.06"/>
    <n v="18.5"/>
    <n v="4.55"/>
    <n v="14.462765957446811"/>
    <s v="NO"/>
    <n v="1.9480845295092903"/>
    <n v="1.6457868178513277"/>
    <n v="1.9391709240895363"/>
    <n v="1.5726916885717517"/>
    <n v="3.5450074770792623"/>
    <n v="1.2607678380319063"/>
    <x v="1"/>
    <x v="1"/>
    <x v="0"/>
    <x v="0"/>
    <x v="0"/>
    <x v="1"/>
  </r>
  <r>
    <x v="0"/>
    <s v="ALKS"/>
    <n v="5048"/>
    <n v="31.14"/>
    <n v="2.93"/>
    <n v="9.17"/>
    <n v="2.11"/>
    <n v="10.627986348122867"/>
    <n v="3.3958560523446022"/>
    <n v="25.71"/>
    <n v="11.62"/>
    <n v="1.38"/>
    <n v="14.75829383886256"/>
    <s v="NO"/>
    <n v="1.7069698970266676"/>
    <n v="-0.40053694996242711"/>
    <n v="0.57735825772387184"/>
    <n v="1.2098766177774471"/>
    <n v="-0.10711309372993161"/>
    <n v="1.2770161288035871"/>
    <x v="1"/>
    <x v="1"/>
    <x v="0"/>
    <x v="1"/>
    <x v="1"/>
    <x v="1"/>
  </r>
  <r>
    <x v="0"/>
    <s v="CPRX"/>
    <n v="3044"/>
    <n v="25.84"/>
    <n v="2.2400000000000002"/>
    <n v="6.51"/>
    <n v="1.57"/>
    <n v="11.535714285714285"/>
    <n v="3.9692780337941631"/>
    <n v="29.11"/>
    <n v="18.59"/>
    <n v="1.1399999999999999"/>
    <n v="16.458598726114648"/>
    <s v="NO"/>
    <n v="1.7759249841549754"/>
    <n v="-0.28853421798881668"/>
    <n v="0.61551370119847637"/>
    <n v="1.5774378159513285"/>
    <n v="-0.38361433568393999"/>
    <n v="1.3704998572295912"/>
    <x v="1"/>
    <x v="1"/>
    <x v="0"/>
    <x v="1"/>
    <x v="1"/>
    <x v="1"/>
  </r>
  <r>
    <x v="0"/>
    <s v="GRFS"/>
    <n v="5654"/>
    <n v="8.83"/>
    <n v="1.28"/>
    <n v="8.9700000000000006"/>
    <n v="0.31"/>
    <n v="6.8984375"/>
    <n v="0.98439241917502784"/>
    <n v="3.45"/>
    <n v="3.99"/>
    <n v="3.72"/>
    <n v="28.483870967741936"/>
    <s v="NO"/>
    <n v="1.4236566319816633"/>
    <n v="-0.8715522296474425"/>
    <n v="0.32755232485778457"/>
    <n v="0.80751048548667093"/>
    <n v="2.5887740153216505"/>
    <n v="2.0316561550873531"/>
    <x v="1"/>
    <x v="1"/>
    <x v="0"/>
    <x v="1"/>
    <x v="1"/>
    <x v="1"/>
  </r>
  <r>
    <x v="0"/>
    <s v="VCYT"/>
    <n v="2084"/>
    <n v="27.85"/>
    <n v="1.01"/>
    <n v="15.26"/>
    <n v="0.41"/>
    <n v="27.574257425742577"/>
    <n v="1.825032765399738"/>
    <n v="2.86"/>
    <n v="1.94"/>
    <n v="1.1000000000000001"/>
    <n v="67.926829268292693"/>
    <s v="NO"/>
    <n v="2.994284686255027"/>
    <n v="-0.70735549769378403"/>
    <n v="0.32093123319601496"/>
    <n v="0.69940425072964707"/>
    <n v="-0.42969787600960779"/>
    <n v="4.2002524049316969"/>
    <x v="0"/>
    <x v="1"/>
    <x v="0"/>
    <x v="1"/>
    <x v="1"/>
    <x v="0"/>
  </r>
  <r>
    <x v="0"/>
    <s v="ADMA"/>
    <n v="4736"/>
    <n v="20.87"/>
    <n v="0.38"/>
    <n v="1.57"/>
    <n v="0.84"/>
    <n v="54.921052631578952"/>
    <n v="13.292993630573248"/>
    <n v="78.45"/>
    <n v="22.06"/>
    <n v="1.37"/>
    <n v="24.845238095238098"/>
    <s v="NO"/>
    <n v="5.0716699555704023"/>
    <n v="1.5326056280009825"/>
    <n v="1.1692165191505315"/>
    <n v="1.7604273938083392"/>
    <n v="-0.11863397881134838"/>
    <n v="1.8316020531169646"/>
    <x v="0"/>
    <x v="1"/>
    <x v="0"/>
    <x v="1"/>
    <x v="1"/>
    <x v="1"/>
  </r>
  <r>
    <x v="0"/>
    <s v="ACAD"/>
    <n v="3610"/>
    <n v="22.3"/>
    <n v="0.3"/>
    <n v="4.58"/>
    <n v="1.37"/>
    <n v="74.333333333333343"/>
    <n v="4.8689956331877733"/>
    <n v="37.24"/>
    <n v="5.56"/>
    <n v="1.48"/>
    <n v="16.277372262773721"/>
    <s v="NO"/>
    <n v="6.5463139008701834"/>
    <n v="-0.11279831598854316"/>
    <n v="0.70675009985981008"/>
    <n v="0.8903040408859525"/>
    <n v="8.0957570842386459E-3"/>
    <n v="1.3605359233436229"/>
    <x v="0"/>
    <x v="1"/>
    <x v="0"/>
    <x v="1"/>
    <x v="1"/>
    <x v="1"/>
  </r>
  <r>
    <x v="0"/>
    <s v="ARWR"/>
    <n v="2219"/>
    <n v="16.57"/>
    <n v="0.08"/>
    <n v="4.95"/>
    <n v="-1.1399999999999999"/>
    <n v="207.125"/>
    <n v="3.3474747474747475"/>
    <n v="-26.22"/>
    <n v="-5.86"/>
    <n v="2.2999999999999998"/>
    <n v="-14.535087719298247"/>
    <s v="NO"/>
    <n v="16.633764739069196"/>
    <n v="-0.4099869510038478"/>
    <n v="-5.41003040442606E-3"/>
    <n v="0.28807321116633688"/>
    <n v="0.95280833376043372"/>
    <n v="-0.33355062707283367"/>
    <x v="0"/>
    <x v="1"/>
    <x v="0"/>
    <x v="1"/>
    <x v="1"/>
    <x v="1"/>
  </r>
  <r>
    <x v="0"/>
    <s v="TLX"/>
    <n v="5687"/>
    <n v="16.91"/>
    <n v="-0.01"/>
    <n v="1.05"/>
    <n v="0.09"/>
    <n v="-1691"/>
    <n v="16.104761904761904"/>
    <n v="13.92"/>
    <n v="5.33"/>
    <n v="2.67"/>
    <n v="187.88888888888889"/>
    <s v="NO"/>
    <n v="-127.55632717626057"/>
    <n v="2.0818097718493722"/>
    <n v="0.44504864638105202"/>
    <n v="0.878175048693701"/>
    <n v="1.3790810817728634"/>
    <n v="10.795834577914798"/>
    <x v="0"/>
    <x v="1"/>
    <x v="0"/>
    <x v="1"/>
    <x v="1"/>
    <x v="0"/>
  </r>
  <r>
    <x v="0"/>
    <s v="APLS"/>
    <n v="2128"/>
    <n v="19.39"/>
    <n v="-7.0000000000000007E-2"/>
    <n v="1.31"/>
    <n v="-1.8"/>
    <n v="-277"/>
    <n v="14.801526717557252"/>
    <n v="-103.82"/>
    <n v="-14.2"/>
    <n v="4.92"/>
    <n v="-10.772222222222222"/>
    <s v="NO"/>
    <n v="-20.142542537063321"/>
    <n v="1.8272574419891328"/>
    <n v="-0.87625191676598801"/>
    <n v="-0.15173459267443315"/>
    <n v="3.9712802250916921"/>
    <n v="-0.12666614484286376"/>
    <x v="0"/>
    <x v="1"/>
    <x v="0"/>
    <x v="1"/>
    <x v="0"/>
    <x v="1"/>
  </r>
  <r>
    <x v="0"/>
    <s v="BCRX"/>
    <n v="2249"/>
    <n v="11.11"/>
    <n v="-0.13"/>
    <n v="-2.16"/>
    <n v="-0.26"/>
    <n v="-85.461538461538453"/>
    <n v="-5.1435185185185182"/>
    <n v="11.52"/>
    <n v="4.54"/>
    <n v="-1.06"/>
    <n v="-42.730769230769226"/>
    <s v="NO"/>
    <n v="-5.592421562653505"/>
    <n v="-2.0684766387494982"/>
    <n v="0.41811539216368415"/>
    <n v="0.83651459725075039"/>
    <n v="-2.9182090535956835"/>
    <n v="-1.883765210919798"/>
    <x v="0"/>
    <x v="1"/>
    <x v="0"/>
    <x v="1"/>
    <x v="0"/>
    <x v="1"/>
  </r>
  <r>
    <x v="0"/>
    <s v="VCEL"/>
    <n v="2079"/>
    <n v="43.82"/>
    <n v="-0.13"/>
    <n v="5.88"/>
    <n v="0.05"/>
    <n v="-337.07692307692309"/>
    <n v="7.4523809523809526"/>
    <n v="1.1200000000000001"/>
    <n v="-0.45"/>
    <n v="1.44"/>
    <n v="876.4"/>
    <s v="NO"/>
    <n v="-24.706255180040856"/>
    <n v="0.39179729222081006"/>
    <n v="0.30140462388842326"/>
    <n v="0.57336820142755596"/>
    <n v="-3.7987783241429457E-2"/>
    <n v="48.650566521559831"/>
    <x v="0"/>
    <x v="1"/>
    <x v="0"/>
    <x v="1"/>
    <x v="1"/>
    <x v="0"/>
  </r>
  <r>
    <x v="0"/>
    <s v="TGTX"/>
    <n v="5574"/>
    <n v="39.840000000000003"/>
    <n v="-0.42"/>
    <n v="1.63"/>
    <n v="0.24"/>
    <n v="-94.857142857142875"/>
    <n v="24.441717791411048"/>
    <n v="19.7"/>
    <n v="7.26"/>
    <n v="2.77"/>
    <n v="166.00000000000003"/>
    <s v="NO"/>
    <n v="-6.3061538307613896"/>
    <n v="3.7102123546867252"/>
    <n v="0.50991290028787972"/>
    <n v="0.97995311361128934"/>
    <n v="1.4942899325870336"/>
    <n v="9.5923710345364839"/>
    <x v="0"/>
    <x v="0"/>
    <x v="0"/>
    <x v="1"/>
    <x v="1"/>
    <x v="0"/>
  </r>
  <r>
    <x v="0"/>
    <s v="IBRX"/>
    <n v="2348"/>
    <n v="3.44"/>
    <n v="-0.51"/>
    <n v="-0.69"/>
    <n v="-0.57999999999999996"/>
    <n v="-6.7450980392156863"/>
    <n v="-4.9855072463768115"/>
    <n v="63.86"/>
    <n v="-55.62"/>
    <n v="-0.51"/>
    <n v="-5.931034482758621"/>
    <s v="NO"/>
    <n v="0.38723245367434511"/>
    <n v="-2.0376133395823501"/>
    <n v="1.0054847778874492"/>
    <n v="-2.3360078822529342"/>
    <n v="-2.2845603741177474"/>
    <n v="0.13950510672998251"/>
    <x v="1"/>
    <x v="1"/>
    <x v="0"/>
    <x v="1"/>
    <x v="1"/>
    <x v="1"/>
  </r>
  <r>
    <x v="0"/>
    <s v="MIRM"/>
    <n v="2202"/>
    <n v="47.05"/>
    <n v="-0.57999999999999996"/>
    <n v="4.72"/>
    <n v="-1.61"/>
    <n v="-81.120689655172413"/>
    <n v="9.9682203389830502"/>
    <n v="-33.06"/>
    <n v="-7.11"/>
    <n v="2.96"/>
    <n v="-29.223602484472046"/>
    <s v="NO"/>
    <n v="-5.2626712098682731"/>
    <n v="0.88319959911167878"/>
    <n v="-8.2169804923924603E-2"/>
    <n v="0.22215477533888334"/>
    <n v="1.713186749133957"/>
    <n v="-1.1411335115212953"/>
    <x v="0"/>
    <x v="1"/>
    <x v="0"/>
    <x v="1"/>
    <x v="1"/>
    <x v="1"/>
  </r>
  <r>
    <x v="0"/>
    <s v="ALVO"/>
    <n v="3453"/>
    <n v="10.63"/>
    <n v="-0.81"/>
    <n v="-1.07"/>
    <n v="0.34"/>
    <n v="-13.123456790123457"/>
    <n v="-9.934579439252337"/>
    <n v="-20.09"/>
    <n v="7.02"/>
    <n v="-4.12"/>
    <n v="31.264705882352942"/>
    <s v="NO"/>
    <n v="-9.7296296835942403E-2"/>
    <n v="-3.0042829550990753"/>
    <n v="6.3381989742434433E-2"/>
    <n v="0.96729677393241831"/>
    <n v="-6.44359988850929"/>
    <n v="2.1845480381279168"/>
    <x v="1"/>
    <x v="0"/>
    <x v="0"/>
    <x v="1"/>
    <x v="0"/>
    <x v="1"/>
  </r>
  <r>
    <x v="0"/>
    <s v="ROIV"/>
    <n v="7471"/>
    <n v="11.08"/>
    <n v="-1.1599999999999999"/>
    <n v="6.74"/>
    <n v="-0.75"/>
    <n v="-9.5517241379310356"/>
    <n v="1.6439169139465875"/>
    <n v="-12.54"/>
    <n v="-10.73"/>
    <n v="1.1599999999999999"/>
    <n v="-14.773333333333333"/>
    <s v="NO"/>
    <n v="0.17402854184254815"/>
    <n v="-0.74273166188476869"/>
    <n v="0.14810951863457095"/>
    <n v="3.1254985182577841E-2"/>
    <n v="-0.36057256552110595"/>
    <n v="-0.34664950624922491"/>
    <x v="1"/>
    <x v="1"/>
    <x v="0"/>
    <x v="1"/>
    <x v="1"/>
    <x v="1"/>
  </r>
  <r>
    <x v="0"/>
    <s v="VKTX"/>
    <n v="3010"/>
    <n v="27.57"/>
    <n v="-1.21"/>
    <n v="7.54"/>
    <n v="-1.1499999999999999"/>
    <n v="-22.785123966942148"/>
    <n v="3.6564986737400531"/>
    <n v="-14.4"/>
    <n v="-11.74"/>
    <n v="1.02"/>
    <n v="-23.973913043478262"/>
    <s v="NO"/>
    <n v="-0.83123988763255052"/>
    <n v="-0.34962734654740396"/>
    <n v="0.12723624661611083"/>
    <n v="-2.200711096600462E-2"/>
    <n v="-0.52186495666094401"/>
    <n v="-0.85250260438095526"/>
    <x v="1"/>
    <x v="1"/>
    <x v="0"/>
    <x v="1"/>
    <x v="1"/>
    <x v="1"/>
  </r>
  <r>
    <x v="0"/>
    <s v="NAMS"/>
    <n v="2033"/>
    <n v="20.16"/>
    <n v="-1.39"/>
    <n v="6.93"/>
    <n v="-1.85"/>
    <n v="-14.503597122302159"/>
    <n v="2.9090909090909092"/>
    <n v="-31.51"/>
    <n v="-18.149999999999999"/>
    <n v="1.05"/>
    <n v="-10.897297297297296"/>
    <s v="NO"/>
    <n v="-0.20213794917859673"/>
    <n v="-0.49561357352701402"/>
    <n v="-6.4775411575207831E-2"/>
    <n v="-0.36003684988918633"/>
    <n v="-0.48730230141669295"/>
    <n v="-0.13354284350958162"/>
    <x v="1"/>
    <x v="1"/>
    <x v="0"/>
    <x v="1"/>
    <x v="1"/>
    <x v="1"/>
  </r>
  <r>
    <x v="0"/>
    <s v="LEGN"/>
    <n v="5328"/>
    <n v="34.78"/>
    <n v="-1.49"/>
    <n v="5.53"/>
    <n v="-1.19"/>
    <n v="-23.342281879194633"/>
    <n v="6.2893309222423142"/>
    <n v="-20"/>
    <n v="-8.77"/>
    <n v="1.59"/>
    <n v="-29.226890756302524"/>
    <s v="NO"/>
    <n v="-0.87356410262315387"/>
    <n v="0.16462640409367651"/>
    <n v="6.4391986775585733E-2"/>
    <n v="0.13461509256002505"/>
    <n v="0.13482549297982593"/>
    <n v="-1.1413143025741799"/>
    <x v="1"/>
    <x v="1"/>
    <x v="0"/>
    <x v="1"/>
    <x v="1"/>
    <x v="1"/>
  </r>
  <r>
    <x v="0"/>
    <s v="RYTM"/>
    <n v="3902"/>
    <n v="66.72"/>
    <n v="-1.85"/>
    <n v="0.3"/>
    <n v="-2.82"/>
    <n v="-36.064864864864866"/>
    <n v="222.4"/>
    <n v="-150.19999999999999"/>
    <n v="-51.33"/>
    <n v="20.41"/>
    <n v="-23.659574468085108"/>
    <s v="NO"/>
    <n v="-1.8400285926352455"/>
    <n v="42.376097412173294"/>
    <n v="-1.3967370545166227"/>
    <n v="-2.1097758104931135"/>
    <n v="21.817131216206651"/>
    <n v="-0.83522009097045657"/>
    <x v="1"/>
    <x v="0"/>
    <x v="0"/>
    <x v="0"/>
    <x v="0"/>
    <x v="1"/>
  </r>
  <r>
    <x v="0"/>
    <s v="SLNO"/>
    <n v="3696"/>
    <n v="77.73"/>
    <n v="-2.1"/>
    <n v="4.79"/>
    <n v="-4.6500000000000004"/>
    <n v="-37.014285714285712"/>
    <n v="16.227557411273487"/>
    <n v="-105.54"/>
    <n v="-52.4"/>
    <n v="1.37"/>
    <n v="-16.716129032258063"/>
    <s v="NO"/>
    <n v="-1.912150860422837"/>
    <n v="2.1057946078834093"/>
    <n v="-0.89555408228843514"/>
    <n v="-2.1662019915614139"/>
    <n v="-0.11863397881134838"/>
    <n v="-0.45346551722888462"/>
    <x v="1"/>
    <x v="1"/>
    <x v="0"/>
    <x v="1"/>
    <x v="1"/>
    <x v="1"/>
  </r>
  <r>
    <x v="0"/>
    <s v="MLTX"/>
    <n v="2476"/>
    <n v="46.62"/>
    <n v="-2.2200000000000002"/>
    <n v="6.42"/>
    <n v="-2.2999999999999998"/>
    <n v="-20.999999999999996"/>
    <n v="7.2616822429906538"/>
    <n v="-30.64"/>
    <n v="-19.850000000000001"/>
    <n v="1.25"/>
    <n v="-20.269565217391303"/>
    <s v="NO"/>
    <n v="-0.69563386122562421"/>
    <n v="0.35454937162041394"/>
    <n v="-5.5012106921411959E-2"/>
    <n v="-0.44968592261452334"/>
    <n v="-0.25688459978835271"/>
    <n v="-0.64883545693833933"/>
    <x v="1"/>
    <x v="1"/>
    <x v="0"/>
    <x v="1"/>
    <x v="1"/>
    <x v="1"/>
  </r>
  <r>
    <x v="0"/>
    <s v="ACLX"/>
    <n v="3420"/>
    <n v="66.86"/>
    <n v="-2.2599999999999998"/>
    <n v="7.57"/>
    <n v="-3"/>
    <n v="-29.584070796460178"/>
    <n v="8.8322324966974897"/>
    <n v="-35.56"/>
    <n v="-16.690000000000001"/>
    <n v="1.55"/>
    <n v="-22.286666666666665"/>
    <s v="NO"/>
    <n v="-1.3477183957790873"/>
    <n v="0.661314589570967"/>
    <n v="-0.11022527806701617"/>
    <n v="-0.28304411684272074"/>
    <n v="8.8741952654157824E-2"/>
    <n v="-0.75973684027583255"/>
    <x v="1"/>
    <x v="1"/>
    <x v="0"/>
    <x v="1"/>
    <x v="1"/>
    <x v="1"/>
  </r>
  <r>
    <x v="0"/>
    <s v="ZLAB"/>
    <n v="3304"/>
    <n v="37.869999999999997"/>
    <n v="-2.35"/>
    <n v="7.48"/>
    <n v="-2.48"/>
    <n v="-16.114893617021274"/>
    <n v="5.0628342245989302"/>
    <n v="-32.049999999999997"/>
    <n v="-15.5"/>
    <n v="1.45"/>
    <n v="-15.27016129032258"/>
    <s v="NO"/>
    <n v="-0.32453926082898743"/>
    <n v="-7.4937102951184789E-2"/>
    <n v="-7.083539377411556E-2"/>
    <n v="-0.22028976593498489"/>
    <n v="-2.6466898160012433E-2"/>
    <n v="-0.37396538950866248"/>
    <x v="1"/>
    <x v="1"/>
    <x v="0"/>
    <x v="1"/>
    <x v="1"/>
    <x v="1"/>
  </r>
  <r>
    <x v="0"/>
    <s v="BPMC"/>
    <n v="6545"/>
    <n v="127.97"/>
    <n v="-2.38"/>
    <n v="5.3"/>
    <n v="-2.4500000000000002"/>
    <n v="-53.768907563025209"/>
    <n v="24.145283018867925"/>
    <n v="-47.71"/>
    <n v="-9.75"/>
    <n v="3.49"/>
    <n v="-52.232653061224482"/>
    <s v="NO"/>
    <n v="-3.1849071142924927"/>
    <n v="3.6523117065586659"/>
    <n v="-0.24657487754244115"/>
    <n v="8.293503887130145E-2"/>
    <n v="2.3237936584490591"/>
    <n v="-2.4061841807183728"/>
    <x v="0"/>
    <x v="0"/>
    <x v="0"/>
    <x v="1"/>
    <x v="1"/>
    <x v="1"/>
  </r>
  <r>
    <x v="0"/>
    <s v="SRRK"/>
    <n v="2754"/>
    <n v="34.07"/>
    <n v="-2.4300000000000002"/>
    <n v="3.29"/>
    <n v="-2.78"/>
    <n v="-14.020576131687243"/>
    <n v="10.355623100303951"/>
    <n v="-106.71"/>
    <n v="-50.15"/>
    <n v="1.3"/>
    <n v="-12.255395683453239"/>
    <s v="NO"/>
    <n v="-0.16544550740906183"/>
    <n v="0.95886842424526519"/>
    <n v="-0.90868404371940181"/>
    <n v="-2.0475488070719972"/>
    <n v="-0.19928017438126755"/>
    <n v="-0.20821186414174622"/>
    <x v="1"/>
    <x v="1"/>
    <x v="0"/>
    <x v="1"/>
    <x v="1"/>
    <x v="1"/>
  </r>
  <r>
    <x v="0"/>
    <s v="XENE"/>
    <n v="2214"/>
    <n v="31.45"/>
    <n v="-2.56"/>
    <n v="9.19"/>
    <n v="-3.22"/>
    <n v="-12.28515625"/>
    <n v="3.4221980413492927"/>
    <n v="-31.6"/>
    <n v="-22.03"/>
    <n v="1.06"/>
    <n v="-9.7670807453416142"/>
    <s v="NO"/>
    <n v="-3.3615226341074098E-2"/>
    <n v="-0.3953917430649066"/>
    <n v="-6.5785408608359131E-2"/>
    <n v="-0.56464767469760235"/>
    <n v="-0.47578141633527593"/>
    <n v="-7.1402895552156911E-2"/>
    <x v="1"/>
    <x v="1"/>
    <x v="0"/>
    <x v="1"/>
    <x v="1"/>
    <x v="1"/>
  </r>
  <r>
    <x v="0"/>
    <s v="BBIO"/>
    <n v="6503"/>
    <n v="39.03"/>
    <n v="-2.7"/>
    <n v="-8.68"/>
    <n v="-3.54"/>
    <n v="-14.455555555555556"/>
    <n v="-4.4965437788018434"/>
    <n v="50.59"/>
    <n v="-48.27"/>
    <n v="-0.53"/>
    <n v="-11.025423728813559"/>
    <s v="NO"/>
    <n v="-0.19848849620529457"/>
    <n v="-1.9421073318334938"/>
    <n v="0.85656632644391917"/>
    <n v="-1.9484074795875075"/>
    <n v="-2.3076021442805814"/>
    <n v="-0.14058730748651982"/>
    <x v="1"/>
    <x v="1"/>
    <x v="0"/>
    <x v="1"/>
    <x v="1"/>
    <x v="1"/>
  </r>
  <r>
    <x v="0"/>
    <s v="NUVL"/>
    <n v="5358"/>
    <n v="76.08"/>
    <n v="-2.99"/>
    <n v="14.09"/>
    <n v="-4.41"/>
    <n v="-25.444816053511705"/>
    <n v="5.3995741660752303"/>
    <n v="-35.69"/>
    <n v="-22.23"/>
    <n v="1.0900000000000001"/>
    <n v="-17.251700680272108"/>
    <s v="NO"/>
    <n v="-1.0332820326066379"/>
    <n v="-9.1639121247064376E-3"/>
    <n v="-0.11168416267045687"/>
    <n v="-0.57519462442999481"/>
    <n v="-0.44121876109102487"/>
    <n v="-0.48291155062618168"/>
    <x v="1"/>
    <x v="1"/>
    <x v="0"/>
    <x v="1"/>
    <x v="1"/>
    <x v="1"/>
  </r>
  <r>
    <x v="0"/>
    <s v="RNA"/>
    <n v="3734"/>
    <n v="32.659999999999997"/>
    <n v="-2.99"/>
    <n v="11.03"/>
    <n v="-3.03"/>
    <n v="-10.923076923076922"/>
    <n v="2.9610154125113324"/>
    <n v="-34.19"/>
    <n v="-22.47"/>
    <n v="1.1000000000000001"/>
    <n v="-10.778877887788779"/>
    <s v="NO"/>
    <n v="6.9854431002361758E-2"/>
    <n v="-0.48547150289212326"/>
    <n v="-9.4850878784601939E-2"/>
    <n v="-0.58785096410886584"/>
    <n v="-0.42969787600960779"/>
    <n v="-0.12703207711594205"/>
    <x v="1"/>
    <x v="1"/>
    <x v="0"/>
    <x v="1"/>
    <x v="1"/>
    <x v="1"/>
  </r>
  <r>
    <x v="0"/>
    <s v="CRNX"/>
    <n v="2858"/>
    <n v="32.28"/>
    <n v="-3.09"/>
    <n v="13.41"/>
    <n v="-3.82"/>
    <n v="-10.446601941747574"/>
    <n v="2.407158836689038"/>
    <n v="-30.84"/>
    <n v="-20.13"/>
    <n v="1.0900000000000001"/>
    <n v="-8.4502617801047126"/>
    <s v="NO"/>
    <n v="0.1060496085345231"/>
    <n v="-0.5936526532847729"/>
    <n v="-5.7256544772859276E-2"/>
    <n v="-0.46445165223987278"/>
    <n v="-0.44121876109102487"/>
    <n v="9.9655907234013751E-4"/>
    <x v="1"/>
    <x v="1"/>
    <x v="0"/>
    <x v="1"/>
    <x v="1"/>
    <x v="1"/>
  </r>
  <r>
    <x v="0"/>
    <s v="APGE"/>
    <n v="2137"/>
    <n v="40.130000000000003"/>
    <n v="-3.38"/>
    <n v="11.55"/>
    <n v="-3.59"/>
    <n v="-11.872781065088759"/>
    <n v="3.4744588744588745"/>
    <n v="-27.85"/>
    <n v="-19.649999999999999"/>
    <n v="1.06"/>
    <n v="-11.178272980501394"/>
    <s v="NO"/>
    <n v="-2.2893569615796304E-3"/>
    <n v="-0.38518397937106758"/>
    <n v="-2.3702198893721785E-2"/>
    <n v="-0.43913897288213061"/>
    <n v="-0.47578141633527593"/>
    <n v="-0.14899104615835074"/>
    <x v="1"/>
    <x v="1"/>
    <x v="0"/>
    <x v="1"/>
    <x v="1"/>
    <x v="1"/>
  </r>
  <r>
    <x v="0"/>
    <s v="RVMD"/>
    <n v="7339"/>
    <n v="40.58"/>
    <n v="-3.47"/>
    <n v="11.16"/>
    <n v="-4.0199999999999996"/>
    <n v="-11.694524495677232"/>
    <n v="3.6362007168458779"/>
    <n v="-36.68"/>
    <n v="-23.09"/>
    <n v="1.1399999999999999"/>
    <n v="-10.09452736318408"/>
    <s v="NO"/>
    <n v="1.1251811890819153E-2"/>
    <n v="-0.35359201253366973"/>
    <n v="-0.12279413003512116"/>
    <n v="-0.62054650827928282"/>
    <n v="-0.38361433568393999"/>
    <n v="-8.9406096581514508E-2"/>
    <x v="1"/>
    <x v="1"/>
    <x v="0"/>
    <x v="1"/>
    <x v="1"/>
    <x v="1"/>
  </r>
  <r>
    <x v="0"/>
    <s v="CYTK"/>
    <n v="3705"/>
    <n v="33.130000000000003"/>
    <n v="-3.51"/>
    <n v="-2.23"/>
    <n v="-5.3"/>
    <n v="-9.4387464387464401"/>
    <n v="-14.856502242152468"/>
    <n v="185.72"/>
    <n v="-34.119999999999997"/>
    <n v="-4.74"/>
    <n v="-6.2509433962264156"/>
    <s v="NO"/>
    <n v="0.1826108348052399"/>
    <n v="-3.9656496594142205"/>
    <n v="2.3730207607743039"/>
    <n v="-1.2022107860207329"/>
    <n v="-7.1578947635571453"/>
    <n v="0.12191633296834631"/>
    <x v="1"/>
    <x v="0"/>
    <x v="0"/>
    <x v="0"/>
    <x v="0"/>
    <x v="1"/>
  </r>
  <r>
    <x v="0"/>
    <s v="MRUS"/>
    <n v="3881"/>
    <n v="54.91"/>
    <n v="-3.58"/>
    <n v="8.6199999999999992"/>
    <n v="-4.1399999999999997"/>
    <n v="-15.337988826815641"/>
    <n v="6.370069605568446"/>
    <n v="-58.66"/>
    <n v="-30.61"/>
    <n v="1.23"/>
    <n v="-13.263285024154589"/>
    <s v="NO"/>
    <n v="-0.26552208698152735"/>
    <n v="0.18039655836229937"/>
    <n v="-0.36945784990918207"/>
    <n v="-1.0171118182172434"/>
    <n v="-0.27992636995118675"/>
    <n v="-0.26362619254602609"/>
    <x v="1"/>
    <x v="1"/>
    <x v="0"/>
    <x v="1"/>
    <x v="1"/>
    <x v="1"/>
  </r>
  <r>
    <x v="0"/>
    <s v="CRSP"/>
    <n v="3134"/>
    <n v="42.09"/>
    <n v="-3.61"/>
    <n v="21.18"/>
    <n v="-4.5199999999999996"/>
    <n v="-11.659279778393353"/>
    <n v="1.9872521246458925"/>
    <n v="-19.71"/>
    <n v="-12.88"/>
    <n v="1.18"/>
    <n v="-9.3119469026548689"/>
    <s v="NO"/>
    <n v="1.3929158759277409E-2"/>
    <n v="-0.67567026063913149"/>
    <n v="6.7646421660184336E-2"/>
    <n v="-8.2124724440642283E-2"/>
    <n v="-0.33753079535827185"/>
    <n v="-4.637937837814364E-2"/>
    <x v="1"/>
    <x v="1"/>
    <x v="0"/>
    <x v="1"/>
    <x v="1"/>
    <x v="1"/>
  </r>
  <r>
    <x v="0"/>
    <s v="IONS"/>
    <n v="5333"/>
    <n v="36.76"/>
    <n v="-3.66"/>
    <n v="2.99"/>
    <n v="-3"/>
    <n v="-10.043715846994534"/>
    <n v="12.294314381270901"/>
    <n v="-118.62"/>
    <n v="-10.59"/>
    <n v="5.91"/>
    <n v="-12.253333333333332"/>
    <s v="NO"/>
    <n v="0.13665464404791081"/>
    <n v="1.3375401999117802"/>
    <n v="-1.0423403177730901"/>
    <n v="3.8637849995252667E-2"/>
    <n v="5.1118478481519762"/>
    <n v="-0.20809847496079745"/>
    <x v="1"/>
    <x v="1"/>
    <x v="0"/>
    <x v="0"/>
    <x v="0"/>
    <x v="1"/>
  </r>
  <r>
    <x v="0"/>
    <s v="ASND"/>
    <n v="9851"/>
    <n v="173.15"/>
    <n v="-4.07"/>
    <n v="-3.4"/>
    <n v="-6.3"/>
    <n v="-42.54299754299754"/>
    <n v="-50.926470588235297"/>
    <n v="159.66999999999999"/>
    <n v="-22.39"/>
    <n v="-5.59"/>
    <n v="-27.484126984126984"/>
    <s v="NO"/>
    <n v="-2.3321366183446437"/>
    <n v="-11.010958572669207"/>
    <n v="2.0806827306232898"/>
    <n v="-0.5836321842159089"/>
    <n v="-8.137169995477592"/>
    <n v="-1.0454961605396438"/>
    <x v="1"/>
    <x v="0"/>
    <x v="0"/>
    <x v="0"/>
    <x v="0"/>
    <x v="1"/>
  </r>
  <r>
    <x v="0"/>
    <s v="RARE"/>
    <n v="3217"/>
    <n v="37.04"/>
    <n v="-4.42"/>
    <n v="1.54"/>
    <n v="-5.88"/>
    <n v="-8.380090497737557"/>
    <n v="24.051948051948052"/>
    <n v="-377.06"/>
    <n v="-24.51"/>
    <n v="9.1"/>
    <n v="-6.2993197278911568"/>
    <s v="NO"/>
    <n v="0.26303109028935229"/>
    <n v="3.6340812033308922"/>
    <n v="-3.9426029094133237"/>
    <n v="-0.69542985137927016"/>
    <n v="8.787010189124004"/>
    <n v="0.11925657477703643"/>
    <x v="1"/>
    <x v="0"/>
    <x v="0"/>
    <x v="0"/>
    <x v="0"/>
    <x v="1"/>
  </r>
  <r>
    <x v="0"/>
    <s v="PCVX"/>
    <n v="4191"/>
    <n v="37.200000000000003"/>
    <n v="-4.6399999999999997"/>
    <n v="24.82"/>
    <n v="-3.98"/>
    <n v="-8.0172413793103452"/>
    <n v="1.4987912973408541"/>
    <n v="-19.66"/>
    <n v="-14.53"/>
    <n v="1.06"/>
    <n v="-9.3467336683417095"/>
    <s v="NO"/>
    <n v="0.29059473743451714"/>
    <n v="-0.77107809098067992"/>
    <n v="6.8207531123046186E-2"/>
    <n v="-0.1691370597328809"/>
    <n v="-0.47578141633527593"/>
    <n v="-4.8291974513501035E-2"/>
    <x v="1"/>
    <x v="1"/>
    <x v="0"/>
    <x v="1"/>
    <x v="1"/>
    <x v="1"/>
  </r>
  <r>
    <x v="0"/>
    <s v="MTSR"/>
    <n v="2807"/>
    <n v="30.39"/>
    <n v="-4.6900000000000004"/>
    <n v="4.82"/>
    <n v="-8.99"/>
    <n v="-6.4797441364605541"/>
    <n v="6.304979253112033"/>
    <n v="-108.4"/>
    <n v="-27.09"/>
    <n v="1.37"/>
    <n v="-3.3804226918798665"/>
    <s v="NO"/>
    <n v="0.40738992677456454"/>
    <n v="0.16768288930863975"/>
    <n v="-0.92764954356413187"/>
    <n v="-0.83148550292713419"/>
    <n v="-0.11863397881134838"/>
    <n v="0.27973919166755162"/>
    <x v="1"/>
    <x v="1"/>
    <x v="0"/>
    <x v="1"/>
    <x v="1"/>
    <x v="1"/>
  </r>
  <r>
    <x v="0"/>
    <s v="SRPT"/>
    <n v="3695"/>
    <n v="39.71"/>
    <n v="-7.27"/>
    <n v="11.63"/>
    <n v="-2.59"/>
    <n v="-5.4621733149931231"/>
    <n v="3.4144453998280309"/>
    <n v="-23.61"/>
    <n v="-2.19"/>
    <n v="3.03"/>
    <n v="-15.332046332046334"/>
    <s v="NO"/>
    <n v="0.4846891722287609"/>
    <n v="-0.39690601537828801"/>
    <n v="2.3879883556961523E-2"/>
    <n v="0.48160973875574054"/>
    <n v="1.7938329447038759"/>
    <n v="-0.37736786425158048"/>
    <x v="1"/>
    <x v="1"/>
    <x v="0"/>
    <x v="1"/>
    <x v="1"/>
    <x v="1"/>
  </r>
  <r>
    <x v="0"/>
    <s v="MDGL"/>
    <n v="6112"/>
    <n v="280.24"/>
    <n v="-18.420000000000002"/>
    <n v="32.03"/>
    <n v="-17.97"/>
    <n v="-15.213897937024973"/>
    <n v="8.7492975335622845"/>
    <n v="-50.16"/>
    <n v="-25.56"/>
    <n v="1.4"/>
    <n v="-15.594880356149138"/>
    <s v="NO"/>
    <n v="-0.25609558619534545"/>
    <n v="0.64511545045915275"/>
    <n v="-0.27406924122267085"/>
    <n v="-0.75080133747433098"/>
    <n v="-8.4071323567097567E-2"/>
    <n v="-0.39181862817901342"/>
    <x v="1"/>
    <x v="1"/>
    <x v="0"/>
    <x v="1"/>
    <x v="1"/>
    <x v="1"/>
  </r>
  <r>
    <x v="1"/>
    <s v="TFX"/>
    <n v="5403"/>
    <n v="123.27"/>
    <n v="10.32"/>
    <n v="91.67"/>
    <n v="3.2"/>
    <n v="11.944767441860465"/>
    <n v="1.3447147376459037"/>
    <n v="3.48"/>
    <n v="4.84"/>
    <n v="1.75"/>
    <n v="38.521874999999994"/>
    <s v="NO"/>
    <n v="0.17982391215254465"/>
    <n v="-0.88084364015526639"/>
    <n v="0.5472134841236842"/>
    <n v="0.50157327360754289"/>
    <n v="-0.44855828110856499"/>
    <n v="1.0256709882022397"/>
    <x v="1"/>
    <x v="1"/>
    <x v="0"/>
    <x v="1"/>
    <x v="1"/>
    <x v="1"/>
  </r>
  <r>
    <x v="1"/>
    <s v="LNTH"/>
    <n v="5228"/>
    <n v="83.22"/>
    <n v="5.67"/>
    <n v="16.84"/>
    <n v="3.53"/>
    <n v="14.677248677248677"/>
    <n v="4.9418052256532068"/>
    <n v="24.11"/>
    <n v="14.39"/>
    <n v="1.77"/>
    <n v="23.575070821529746"/>
    <s v="NO"/>
    <n v="0.24840689892533521"/>
    <n v="0.41078425612530794"/>
    <n v="1.2061786212342682"/>
    <n v="2.0470358086271787"/>
    <n v="-0.41781033441967136"/>
    <n v="0.59397605130637299"/>
    <x v="1"/>
    <x v="1"/>
    <x v="1"/>
    <x v="1"/>
    <x v="1"/>
    <x v="1"/>
  </r>
  <r>
    <x v="1"/>
    <s v="ICUI"/>
    <n v="3319"/>
    <n v="136.25"/>
    <n v="4.96"/>
    <n v="80.760000000000005"/>
    <n v="-3.83"/>
    <n v="27.469758064516128"/>
    <n v="1.6870975730559683"/>
    <n v="-4.62"/>
    <n v="1.79"/>
    <n v="2.11"/>
    <n v="-35.574412532637076"/>
    <s v="NO"/>
    <n v="0.56948815311119072"/>
    <n v="-0.75790227326508719"/>
    <n v="0.28848262563625177"/>
    <n v="7.9962336274499741E-3"/>
    <n v="0.10490475929151949"/>
    <n v="-1.1143846242673896"/>
    <x v="1"/>
    <x v="1"/>
    <x v="0"/>
    <x v="1"/>
    <x v="1"/>
    <x v="1"/>
  </r>
  <r>
    <x v="1"/>
    <s v="GMED"/>
    <n v="8012"/>
    <n v="60.34"/>
    <n v="3.8"/>
    <n v="30.2"/>
    <n v="1.34"/>
    <n v="15.878947368421054"/>
    <n v="1.9980132450331127"/>
    <n v="4.63"/>
    <n v="5.9"/>
    <n v="1.1499999999999999"/>
    <n v="45.029850746268657"/>
    <s v="NO"/>
    <n v="0.27856852798766463"/>
    <n v="-0.6462600010855597"/>
    <n v="0.58394687761264064"/>
    <n v="0.67311152356783766"/>
    <n v="-1.3709966817753729"/>
    <n v="1.2136349265504853"/>
    <x v="1"/>
    <x v="1"/>
    <x v="0"/>
    <x v="1"/>
    <x v="1"/>
    <x v="1"/>
  </r>
  <r>
    <x v="1"/>
    <s v="ITGR"/>
    <n v="4144"/>
    <n v="122.06"/>
    <n v="3.31"/>
    <n v="46.05"/>
    <n v="2.21"/>
    <n v="36.876132930513599"/>
    <n v="2.6505971769815422"/>
    <n v="4.9800000000000004"/>
    <n v="4.51"/>
    <n v="2.0499999999999998"/>
    <n v="55.230769230769234"/>
    <s v="NO"/>
    <n v="0.80558027138806532"/>
    <n v="-0.411932948713853"/>
    <n v="0.59512660606580137"/>
    <n v="0.44816985616707383"/>
    <n v="1.266091922483863E-2"/>
    <n v="1.5082587677987394"/>
    <x v="1"/>
    <x v="1"/>
    <x v="0"/>
    <x v="1"/>
    <x v="1"/>
    <x v="1"/>
  </r>
  <r>
    <x v="1"/>
    <s v="MMSI"/>
    <n v="5616"/>
    <n v="94.84"/>
    <n v="3.05"/>
    <n v="24.18"/>
    <n v="2.04"/>
    <n v="31.095081967213119"/>
    <n v="3.9222497932175355"/>
    <n v="9.16"/>
    <n v="4.3099999999999996"/>
    <n v="1.73"/>
    <n v="46.490196078431374"/>
    <s v="NO"/>
    <n v="0.66048074184178618"/>
    <n v="4.4686643977708371E-2"/>
    <n v="0.72864450587783436"/>
    <n v="0.41580414862739556"/>
    <n v="-0.47930622779745857"/>
    <n v="1.2558127512203392"/>
    <x v="1"/>
    <x v="1"/>
    <x v="0"/>
    <x v="1"/>
    <x v="1"/>
    <x v="1"/>
  </r>
  <r>
    <x v="1"/>
    <s v="HAE"/>
    <n v="3253"/>
    <n v="71.650000000000006"/>
    <n v="2.83"/>
    <n v="17.02"/>
    <n v="3.31"/>
    <n v="25.31802120141343"/>
    <n v="4.2097532314923622"/>
    <n v="18.829999999999998"/>
    <n v="6.65"/>
    <n v="2.99"/>
    <n v="21.646525679758309"/>
    <s v="NO"/>
    <n v="0.5154813629054632"/>
    <n v="0.14792215122736432"/>
    <n v="1.0375244319980159"/>
    <n v="0.79448292684163102"/>
    <n v="1.4578144136028381"/>
    <n v="0.53827563780412957"/>
    <x v="1"/>
    <x v="1"/>
    <x v="0"/>
    <x v="1"/>
    <x v="1"/>
    <x v="1"/>
  </r>
  <r>
    <x v="1"/>
    <s v="LIVN"/>
    <n v="2358"/>
    <n v="46.3"/>
    <n v="2.68"/>
    <n v="18.97"/>
    <n v="-4.09"/>
    <n v="17.276119402985074"/>
    <n v="2.4406958355297839"/>
    <n v="-19.7"/>
    <n v="4.55"/>
    <n v="2.4700000000000002"/>
    <n v="-11.320293398533007"/>
    <s v="NO"/>
    <n v="0.31363637398961652"/>
    <n v="-0.48730342632338225"/>
    <n v="-0.1932039602884989"/>
    <n v="0.45464299767500949"/>
    <n v="0.65836779969160464"/>
    <n v="-0.41387498327378575"/>
    <x v="1"/>
    <x v="1"/>
    <x v="0"/>
    <x v="1"/>
    <x v="1"/>
    <x v="1"/>
  </r>
  <r>
    <x v="1"/>
    <s v="INSP"/>
    <n v="4076"/>
    <n v="136.63999999999999"/>
    <n v="2.65"/>
    <n v="21.57"/>
    <n v="2.17"/>
    <n v="51.562264150943392"/>
    <n v="6.3347241539174775"/>
    <n v="10.86"/>
    <n v="4.4000000000000004"/>
    <n v="1.1499999999999999"/>
    <n v="62.967741935483865"/>
    <s v="NO"/>
    <n v="1.1741898450567769"/>
    <n v="0.91094763844823801"/>
    <n v="0.78294604407890045"/>
    <n v="0.43036871702025092"/>
    <n v="-1.3709966817753729"/>
    <n v="1.7317187063679396"/>
    <x v="1"/>
    <x v="1"/>
    <x v="0"/>
    <x v="1"/>
    <x v="1"/>
    <x v="1"/>
  </r>
  <r>
    <x v="1"/>
    <s v="MASI"/>
    <n v="8811"/>
    <n v="171.88"/>
    <n v="2.56"/>
    <n v="17.46"/>
    <n v="-5.41"/>
    <n v="67.140625"/>
    <n v="9.8442153493699873"/>
    <n v="-25.07"/>
    <n v="1.32"/>
    <n v="2.42"/>
    <n v="-31.77079482439926"/>
    <s v="NO"/>
    <n v="1.5651936339266446"/>
    <n v="2.1711207547238494"/>
    <n v="-0.36473293684127822"/>
    <n v="-6.806317909079386E-2"/>
    <n v="0.58149793296937025"/>
    <n v="-1.004528196971787"/>
    <x v="1"/>
    <x v="1"/>
    <x v="0"/>
    <x v="1"/>
    <x v="1"/>
    <x v="1"/>
  </r>
  <r>
    <x v="1"/>
    <s v="NVST"/>
    <n v="3097"/>
    <n v="19.02"/>
    <n v="1.55"/>
    <n v="17.7"/>
    <n v="-6.54"/>
    <n v="12.270967741935483"/>
    <n v="1.0745762711864406"/>
    <n v="-31.33"/>
    <n v="1.57"/>
    <n v="1.8"/>
    <n v="-2.9082568807339451"/>
    <s v="NO"/>
    <n v="0.18801126604013568"/>
    <n v="-0.97784380745736521"/>
    <n v="-0.56469036574638021"/>
    <n v="-2.7606044666196074E-2"/>
    <n v="-0.37168841438633093"/>
    <n v="-0.17091779119738179"/>
    <x v="1"/>
    <x v="1"/>
    <x v="0"/>
    <x v="1"/>
    <x v="1"/>
    <x v="1"/>
  </r>
  <r>
    <x v="1"/>
    <s v="XRAY"/>
    <n v="3185"/>
    <n v="16.225000000000001"/>
    <n v="1.38"/>
    <n v="10.09"/>
    <n v="-4.5199999999999996"/>
    <n v="11.757246376811596"/>
    <n v="1.6080277502477702"/>
    <n v="-34.47"/>
    <n v="2.31"/>
    <n v="3.01"/>
    <n v="-3.5896017699115053"/>
    <s v="NO"/>
    <n v="0.17511729072828477"/>
    <n v="-0.78629432768616103"/>
    <n v="-0.66498850101187879"/>
    <n v="9.2147073230613372E-2"/>
    <n v="1.4885623602917311"/>
    <n v="-0.19059645530683106"/>
    <x v="1"/>
    <x v="1"/>
    <x v="0"/>
    <x v="1"/>
    <x v="1"/>
    <x v="1"/>
  </r>
  <r>
    <x v="1"/>
    <s v="IRTC"/>
    <n v="4486"/>
    <n v="147.47999999999999"/>
    <n v="-0.03"/>
    <n v="2.72"/>
    <n v="-3.14"/>
    <n v="-4916"/>
    <n v="54.220588235294109"/>
    <n v="-111.13"/>
    <n v="-4.37"/>
    <n v="10.69"/>
    <n v="-46.968152866242036"/>
    <s v="NO"/>
    <n v="-123.50745577542078"/>
    <n v="18.105599285721571"/>
    <n v="-3.1136684530670107"/>
    <n v="-0.98886755859463948"/>
    <n v="13.29577388882687"/>
    <n v="-1.4434596529888062"/>
    <x v="0"/>
    <x v="0"/>
    <x v="0"/>
    <x v="0"/>
    <x v="0"/>
    <x v="1"/>
  </r>
  <r>
    <x v="1"/>
    <s v="BLCO"/>
    <n v="4053"/>
    <n v="11.98"/>
    <n v="-0.48"/>
    <n v="18"/>
    <n v="-1.03"/>
    <n v="-24.958333333333336"/>
    <n v="0.66555555555555557"/>
    <n v="-5.36"/>
    <n v="0.61"/>
    <n v="2.11"/>
    <n v="-11.631067961165048"/>
    <s v="NO"/>
    <n v="-0.74641295987504963"/>
    <n v="-1.1247132198969063"/>
    <n v="0.26484548547814074"/>
    <n v="-0.18296144085665161"/>
    <n v="0.10490475929151949"/>
    <n v="-0.42285080202422654"/>
    <x v="1"/>
    <x v="1"/>
    <x v="0"/>
    <x v="1"/>
    <x v="1"/>
    <x v="1"/>
  </r>
  <r>
    <x v="1"/>
    <s v="QDEL"/>
    <n v="2074"/>
    <n v="30.21"/>
    <n v="-0.53"/>
    <n v="44.4"/>
    <n v="-5.33"/>
    <n v="-57"/>
    <n v="0.68040540540540539"/>
    <n v="-11.38"/>
    <n v="1.1200000000000001"/>
    <n v="2.16"/>
    <n v="-5.6679174484052535"/>
    <s v="NO"/>
    <n v="-1.5506319139590863"/>
    <n v="-1.1193809992075487"/>
    <n v="7.2554156083777313E-2"/>
    <n v="-0.10042888663047209"/>
    <n v="0.18177462601375388"/>
    <n v="-0.25062255486391205"/>
    <x v="1"/>
    <x v="1"/>
    <x v="0"/>
    <x v="1"/>
    <x v="1"/>
    <x v="1"/>
  </r>
  <r>
    <x v="1"/>
    <s v="NVCR"/>
    <n v="2130"/>
    <n v="16.899999999999999"/>
    <n v="-0.66"/>
    <n v="3.25"/>
    <n v="-1.51"/>
    <n v="-25.606060606060602"/>
    <n v="5.1999999999999993"/>
    <n v="-45.52"/>
    <n v="-8.64"/>
    <n v="3.45"/>
    <n v="-11.19205298013245"/>
    <s v="NO"/>
    <n v="-0.76267037105230095"/>
    <n v="0.50349573345178766"/>
    <n v="-1.0179484993188084"/>
    <n v="-1.6798754145667698"/>
    <n v="2.1650171874473907"/>
    <n v="-0.41017113202452199"/>
    <x v="1"/>
    <x v="1"/>
    <x v="1"/>
    <x v="1"/>
    <x v="1"/>
    <x v="1"/>
  </r>
  <r>
    <x v="1"/>
    <s v="GKOS"/>
    <n v="5388"/>
    <n v="94.64"/>
    <n v="-0.98"/>
    <n v="13.46"/>
    <n v="-2.27"/>
    <n v="-96.571428571428569"/>
    <n v="7.0312035661218424"/>
    <n v="-20.36"/>
    <n v="-6.68"/>
    <n v="1.26"/>
    <n v="-41.691629955947135"/>
    <s v="NO"/>
    <n v="-2.5438415752540289"/>
    <n v="1.1610364924783201"/>
    <n v="-0.21428573394303044"/>
    <n v="-1.3626914806779229"/>
    <n v="-1.2018829749864579"/>
    <n v="-1.2910626457362175"/>
    <x v="1"/>
    <x v="1"/>
    <x v="1"/>
    <x v="1"/>
    <x v="1"/>
    <x v="1"/>
  </r>
  <r>
    <x v="1"/>
    <s v="PRCT"/>
    <n v="3209"/>
    <n v="62.86"/>
    <n v="-1.66"/>
    <n v="7.04"/>
    <n v="-1.7"/>
    <n v="-37.867469879518076"/>
    <n v="8.9289772727272734"/>
    <n v="-27.62"/>
    <n v="-13.36"/>
    <n v="1.33"/>
    <n v="-36.976470588235294"/>
    <s v="NO"/>
    <n v="-1.0704214579130431"/>
    <n v="1.8424809733585528"/>
    <n v="-0.4461852441428773"/>
    <n v="-2.4437061125031758"/>
    <n v="-1.0942651615753303"/>
    <n v="-1.1548789905953869"/>
    <x v="1"/>
    <x v="1"/>
    <x v="1"/>
    <x v="1"/>
    <x v="1"/>
    <x v="1"/>
  </r>
  <r>
    <x v="2"/>
    <s v="HNGE"/>
    <n v="3030"/>
    <n v="38"/>
    <m/>
    <m/>
    <m/>
    <s v=""/>
    <s v=""/>
    <n v="-2.83"/>
    <n v="-2.36"/>
    <n v="-2.31"/>
    <s v=""/>
    <s v="NO"/>
    <e v="#VALUE!"/>
    <e v="#VALUE!"/>
    <n v="-0.20950931290320321"/>
    <n v="-1.613420243268205"/>
    <n v="-4.6993742598707726"/>
    <e v="#VALUE!"/>
    <x v="0"/>
    <x v="0"/>
    <x v="0"/>
    <x v="1"/>
    <x v="0"/>
    <x v="0"/>
  </r>
  <r>
    <x v="2"/>
    <s v="CHE"/>
    <n v="8410"/>
    <n v="550.03"/>
    <n v="21.14"/>
    <n v="81.09"/>
    <n v="20.53"/>
    <n v="26.01844843897824"/>
    <n v="6.7829572080404485"/>
    <n v="26.11"/>
    <n v="14.09"/>
    <n v="1.46"/>
    <n v="26.791524598149046"/>
    <s v="NO"/>
    <n v="0.78658754545857434"/>
    <n v="1.2509496338728845"/>
    <n v="1.1821967732678835"/>
    <n v="2.157138280983907"/>
    <n v="-1.0241711321695182"/>
    <n v="0.23343117861572205"/>
    <x v="1"/>
    <x v="1"/>
    <x v="1"/>
    <x v="1"/>
    <x v="1"/>
    <x v="1"/>
  </r>
  <r>
    <x v="2"/>
    <s v="AMED"/>
    <n v="3087"/>
    <n v="94.22"/>
    <n v="6.68"/>
    <n v="36.549999999999997"/>
    <n v="2.72"/>
    <n v="14.104790419161677"/>
    <n v="2.5778385772913817"/>
    <n v="7.15"/>
    <n v="6.36"/>
    <n v="1.82"/>
    <n v="34.639705882352935"/>
    <s v="NO"/>
    <n v="-1.0708020686430904"/>
    <n v="-0.57146519300646725"/>
    <n v="0.27042250257666706"/>
    <n v="0.38531959451163805"/>
    <n v="-0.67322335339698447"/>
    <n v="0.41303858858164655"/>
    <x v="1"/>
    <x v="1"/>
    <x v="0"/>
    <x v="1"/>
    <x v="1"/>
    <x v="1"/>
  </r>
  <r>
    <x v="2"/>
    <s v="ADUS"/>
    <n v="2041"/>
    <n v="116.56"/>
    <n v="5.15"/>
    <n v="54.83"/>
    <n v="4.42"/>
    <n v="22.633009708737863"/>
    <n v="2.1258435163231808"/>
    <n v="9.18"/>
    <n v="6.52"/>
    <n v="1.41"/>
    <n v="26.371040723981903"/>
    <s v="NO"/>
    <n v="0.25878334575209133"/>
    <n v="-0.76735086785078299"/>
    <n v="0.36804390392177089"/>
    <n v="0.42199371997548824"/>
    <n v="-1.0729138792212589"/>
    <n v="0.2238083097195101"/>
    <x v="1"/>
    <x v="1"/>
    <x v="0"/>
    <x v="1"/>
    <x v="1"/>
    <x v="1"/>
  </r>
  <r>
    <x v="2"/>
    <s v="HSIC"/>
    <n v="8749"/>
    <n v="70.900000000000006"/>
    <n v="4.05"/>
    <n v="27.08"/>
    <n v="3.21"/>
    <n v="17.506172839506174"/>
    <n v="2.6181683899556871"/>
    <n v="8.4700000000000006"/>
    <n v="4.6100000000000003"/>
    <n v="3.17"/>
    <n v="22.087227414330219"/>
    <s v="NO"/>
    <n v="-0.54051218029583981"/>
    <n v="-0.55398705385784486"/>
    <n v="0.33390045813111885"/>
    <n v="-1.580365274922493E-2"/>
    <n v="0.64283081700001643"/>
    <n v="0.12577226984455434"/>
    <x v="1"/>
    <x v="1"/>
    <x v="0"/>
    <x v="1"/>
    <x v="1"/>
    <x v="1"/>
  </r>
  <r>
    <x v="2"/>
    <s v="OPCH"/>
    <n v="5351"/>
    <n v="31.67"/>
    <n v="2.04"/>
    <n v="8.25"/>
    <n v="1.25"/>
    <n v="15.524509803921569"/>
    <n v="3.8387878787878789"/>
    <n v="15.38"/>
    <n v="6.33"/>
    <n v="2.4500000000000002"/>
    <n v="25.336000000000002"/>
    <s v="YES"/>
    <n v="-0.84946181900644424"/>
    <n v="-2.4994830390077622E-2"/>
    <n v="0.66619793758662027"/>
    <n v="0.37844319598716608"/>
    <n v="-5.9064740545050551E-2"/>
    <n v="0.20012116783126024"/>
    <x v="1"/>
    <x v="1"/>
    <x v="0"/>
    <x v="1"/>
    <x v="1"/>
    <x v="1"/>
  </r>
  <r>
    <x v="2"/>
    <s v="CRVL"/>
    <n v="5714"/>
    <n v="108.2"/>
    <n v="1.78"/>
    <n v="6.27"/>
    <n v="1.83"/>
    <n v="60.786516853932582"/>
    <n v="17.256778309409889"/>
    <n v="33.409999999999997"/>
    <n v="15.09"/>
    <n v="1.7"/>
    <n v="59.125683060109289"/>
    <s v="NO"/>
    <n v="6.2070762877824572"/>
    <n v="5.7900955047272742"/>
    <n v="1.533249103228109"/>
    <n v="2.3863515651329719"/>
    <n v="-0.79020594632116248"/>
    <n v="0.97340573379950468"/>
    <x v="0"/>
    <x v="0"/>
    <x v="1"/>
    <x v="1"/>
    <x v="1"/>
    <x v="1"/>
  </r>
  <r>
    <x v="2"/>
    <s v="CON"/>
    <n v="2772"/>
    <n v="22.08"/>
    <n v="1.49"/>
    <n v="2.4"/>
    <n v="1.3"/>
    <n v="14.818791946308723"/>
    <n v="9.1999999999999993"/>
    <n v="20.93"/>
    <n v="7.69"/>
    <n v="8.89"/>
    <n v="16.984615384615381"/>
    <s v="NO"/>
    <n v="-0.9594862142875471"/>
    <n v="2.2984479348861675"/>
    <n v="0.93309388707692875"/>
    <n v="0.69017326242989396"/>
    <n v="6.2190010797191624"/>
    <n v="8.9978354207938798E-3"/>
    <x v="1"/>
    <x v="1"/>
    <x v="0"/>
    <x v="1"/>
    <x v="0"/>
    <x v="1"/>
  </r>
  <r>
    <x v="2"/>
    <s v="SGRY"/>
    <n v="3026"/>
    <n v="23.36"/>
    <n v="1.37"/>
    <n v="13.67"/>
    <n v="-1.53"/>
    <n v="17.051094890510946"/>
    <n v="1.7088514996342354"/>
    <n v="-0.35"/>
    <n v="3.97"/>
    <n v="4.57"/>
    <n v="-15.267973856209149"/>
    <s v="NO"/>
    <n v="-0.6114607550043355"/>
    <n v="-0.94806691908115881"/>
    <n v="-9.0247699437263476E-2"/>
    <n v="-0.1625001546046263"/>
    <n v="2.0076277344487585"/>
    <n v="-0.72910998962378959"/>
    <x v="1"/>
    <x v="1"/>
    <x v="0"/>
    <x v="1"/>
    <x v="1"/>
    <x v="1"/>
  </r>
  <r>
    <x v="2"/>
    <s v="RDNT"/>
    <n v="4313"/>
    <n v="59.07"/>
    <n v="1.05"/>
    <n v="11.98"/>
    <n v="-0.44"/>
    <n v="56.257142857142853"/>
    <n v="4.9307178631051753"/>
    <n v="0.33"/>
    <n v="1.65"/>
    <n v="3.71"/>
    <n v="-134.25"/>
    <s v="NO"/>
    <n v="5.500927747508265"/>
    <n v="0.4482259198600777"/>
    <n v="-5.7546934454667117E-2"/>
    <n v="-0.69427497383045622"/>
    <n v="1.1692524851588169"/>
    <n v="-3.452040662899126"/>
    <x v="0"/>
    <x v="1"/>
    <x v="0"/>
    <x v="1"/>
    <x v="1"/>
    <x v="0"/>
  </r>
  <r>
    <x v="2"/>
    <s v="PRVA"/>
    <n v="2775"/>
    <n v="23.24"/>
    <n v="0.99"/>
    <n v="5.43"/>
    <n v="0.12"/>
    <n v="23.474747474747474"/>
    <n v="4.2799263351749541"/>
    <n v="3.01"/>
    <n v="1.21"/>
    <n v="1.79"/>
    <n v="193.66666666666666"/>
    <s v="NO"/>
    <n v="0.39001381936337448"/>
    <n v="0.16618580783207623"/>
    <n v="7.1332551064977393E-2"/>
    <n v="-0.79512881885604458"/>
    <n v="-0.70246900162802894"/>
    <n v="4.052406679977687"/>
    <x v="1"/>
    <x v="1"/>
    <x v="0"/>
    <x v="1"/>
    <x v="1"/>
    <x v="0"/>
  </r>
  <r>
    <x v="2"/>
    <s v="ENSG"/>
    <n v="8466"/>
    <n v="149.79499999999999"/>
    <n v="0.98"/>
    <n v="33.729999999999997"/>
    <n v="5.3"/>
    <n v="152.85204081632651"/>
    <n v="4.4410020753038841"/>
    <n v="17.64"/>
    <n v="5.23"/>
    <n v="2.4700000000000002"/>
    <n v="28.263207547169809"/>
    <s v="NO"/>
    <n v="20.560480400956035"/>
    <n v="0.23599283180401048"/>
    <n v="0.7748798917934846"/>
    <n v="0.12630858342319512"/>
    <n v="-3.9567641724354223E-2"/>
    <n v="0.26711097692729302"/>
    <x v="0"/>
    <x v="1"/>
    <x v="0"/>
    <x v="1"/>
    <x v="1"/>
    <x v="1"/>
  </r>
  <r>
    <x v="2"/>
    <s v="ARDT"/>
    <n v="2071"/>
    <n v="13.68"/>
    <n v="0.87"/>
    <n v="8.2200000000000006"/>
    <n v="1.64"/>
    <n v="15.724137931034482"/>
    <n v="1.6642335766423355"/>
    <n v="23.35"/>
    <n v="5.22"/>
    <n v="4.18"/>
    <n v="8.3414634146341466"/>
    <s v="NO"/>
    <n v="-0.81833895066782458"/>
    <n v="-0.96740344000839729"/>
    <n v="1.0494701389267571"/>
    <n v="0.12401645058170432"/>
    <n v="1.62743430744518"/>
    <n v="-0.18880265912113092"/>
    <x v="1"/>
    <x v="1"/>
    <x v="0"/>
    <x v="1"/>
    <x v="1"/>
    <x v="1"/>
  </r>
  <r>
    <x v="2"/>
    <s v="BTSG"/>
    <n v="4149"/>
    <n v="23.86"/>
    <n v="0.64"/>
    <n v="9.6300000000000008"/>
    <n v="0.24"/>
    <n v="37.28125"/>
    <n v="2.4776739356178608"/>
    <n v="2.74"/>
    <n v="4.3899999999999997"/>
    <n v="3.47"/>
    <n v="99.416666666666671"/>
    <s v="NO"/>
    <n v="2.5425058881148406"/>
    <n v="-0.61487455767458499"/>
    <n v="5.8348423792475908E-2"/>
    <n v="-6.6230575262019281E-2"/>
    <n v="0.9352872993104614"/>
    <n v="1.8954740383528654"/>
    <x v="1"/>
    <x v="1"/>
    <x v="0"/>
    <x v="1"/>
    <x v="1"/>
    <x v="1"/>
  </r>
  <r>
    <x v="2"/>
    <s v="CWSRF"/>
    <n v="3822"/>
    <n v="13.138999999999999"/>
    <n v="0.51"/>
    <n v="2.74"/>
    <n v="0.06"/>
    <n v="25.762745098039215"/>
    <n v="4.7952554744525537"/>
    <n v="5.95"/>
    <n v="2.17"/>
    <n v="3.66"/>
    <n v="218.98333333333332"/>
    <s v="NO"/>
    <n v="0.74672231439677539"/>
    <n v="0.38951921328589106"/>
    <n v="0.21271527025443818"/>
    <n v="-0.5750840660729426"/>
    <n v="1.1205097381070763"/>
    <n v="4.6317843426882277"/>
    <x v="1"/>
    <x v="1"/>
    <x v="0"/>
    <x v="1"/>
    <x v="1"/>
    <x v="0"/>
  </r>
  <r>
    <x v="2"/>
    <s v="LFST"/>
    <n v="2310"/>
    <n v="5.88"/>
    <n v="0.27"/>
    <n v="3.75"/>
    <n v="-0.09"/>
    <n v="21.777777777777775"/>
    <n v="1.5680000000000001"/>
    <n v="-2.4700000000000002"/>
    <n v="-0.33"/>
    <n v="1.44"/>
    <n v="-65.333333333333329"/>
    <s v="NO"/>
    <n v="0.12544907481942297"/>
    <n v="-1.0091091592321573"/>
    <n v="-0.19219714320653453"/>
    <n v="-1.148117276445604"/>
    <n v="-1.0436682309902146"/>
    <n v="-1.8748671044342915"/>
    <x v="1"/>
    <x v="1"/>
    <x v="0"/>
    <x v="1"/>
    <x v="1"/>
    <x v="1"/>
  </r>
  <r>
    <x v="2"/>
    <s v="ALHC"/>
    <n v="3041"/>
    <n v="14.78"/>
    <n v="0.1"/>
    <n v="0.55000000000000004"/>
    <n v="-0.47"/>
    <n v="147.79999999999998"/>
    <n v="26.872727272727268"/>
    <n v="-75.39"/>
    <n v="-5.0599999999999996"/>
    <n v="8.2799999999999994"/>
    <n v="-31.446808510638299"/>
    <s v="NO"/>
    <n v="19.772845895529205"/>
    <n v="9.9574566433934368"/>
    <n v="-3.6988732939873104"/>
    <n v="-2.2322961104706791"/>
    <n v="5.6243395656879231"/>
    <n v="-1.0993662927494032"/>
    <x v="0"/>
    <x v="0"/>
    <x v="0"/>
    <x v="0"/>
    <x v="0"/>
    <x v="1"/>
  </r>
  <r>
    <x v="2"/>
    <s v="WGS"/>
    <n v="2032"/>
    <n v="72.42"/>
    <n v="-0.48"/>
    <n v="9.02"/>
    <n v="-1.41"/>
    <n v="-150.875"/>
    <n v="8.0288248337028829"/>
    <n v="-16.600000000000001"/>
    <n v="-1.84"/>
    <n v="1.73"/>
    <n v="-51.361702127659576"/>
    <s v="NO"/>
    <n v="-26.791848346076733"/>
    <n v="1.7908838979703872"/>
    <n v="-0.87169980380077983"/>
    <n v="-1.4942293355106915"/>
    <n v="-0.760960298090118"/>
    <n v="-1.5551231531954404"/>
    <x v="0"/>
    <x v="1"/>
    <x v="0"/>
    <x v="1"/>
    <x v="1"/>
    <x v="1"/>
  </r>
  <r>
    <x v="2"/>
    <s v="HQY"/>
    <n v="8716"/>
    <n v="111.16"/>
    <n v="-1.91"/>
    <n v="24.44"/>
    <n v="1.0900000000000001"/>
    <n v="-58.198952879581149"/>
    <n v="4.5482815057283137"/>
    <n v="4.66"/>
    <n v="3.84"/>
    <n v="1.63"/>
    <n v="101.98165137614677"/>
    <s v="NO"/>
    <n v="-12.343261093434332"/>
    <n v="0.2824856044918112"/>
    <n v="0.15067999550804212"/>
    <n v="-0.19229788154400476"/>
    <n v="-0.85844579219359962"/>
    <n v="1.9541742955957957"/>
    <x v="0"/>
    <x v="1"/>
    <x v="0"/>
    <x v="1"/>
    <x v="1"/>
    <x v="1"/>
  </r>
  <r>
    <x v="2"/>
    <s v="GH"/>
    <n v="5032"/>
    <n v="49.53"/>
    <n v="-2.4700000000000002"/>
    <n v="-2.0299999999999998"/>
    <n v="-3.38"/>
    <n v="-20.052631578947366"/>
    <n v="-24.399014778325125"/>
    <n v="456.48"/>
    <n v="-18.64"/>
    <n v="-5.36"/>
    <n v="-14.653846153846155"/>
    <s v="NO"/>
    <n v="-6.3960884549273533"/>
    <n v="-12.262697202094401"/>
    <n v="21.87841475203259"/>
    <n v="-5.3450125092149765"/>
    <n v="-7.6726818300269608"/>
    <n v="-0.71505553776858743"/>
    <x v="0"/>
    <x v="0"/>
    <x v="1"/>
    <x v="0"/>
    <x v="0"/>
    <x v="1"/>
  </r>
  <r>
    <x v="2"/>
    <s v="ACHC"/>
    <n v="2086"/>
    <n v="21.99"/>
    <n v="-2.84"/>
    <n v="33.65"/>
    <n v="2.04"/>
    <n v="-7.742957746478873"/>
    <n v="0.65349182763744429"/>
    <n v="6.33"/>
    <n v="5.0599999999999996"/>
    <n v="2.02"/>
    <n v="10.779411764705882"/>
    <s v="NO"/>
    <n v="-4.4769583026789466"/>
    <n v="-1.4054388229018318"/>
    <n v="0.23098922715647732"/>
    <n v="8.7342325117853961E-2"/>
    <n v="-0.4782523651900214"/>
    <n v="-0.13300965779630222"/>
    <x v="0"/>
    <x v="1"/>
    <x v="0"/>
    <x v="1"/>
    <x v="1"/>
    <x v="1"/>
  </r>
  <r>
    <x v="3"/>
    <s v="DOCS"/>
    <n v="9784"/>
    <n v="58.06"/>
    <n v="1.43"/>
    <n v="5.73"/>
    <n v="1.1100000000000001"/>
    <n v="40.601398601398607"/>
    <n v="10.132635253054101"/>
    <n v="22.5"/>
    <n v="12.31"/>
    <n v="1.17"/>
    <n v="52.306306306306304"/>
    <s v="NO"/>
    <n v="1.0295690310367569"/>
    <n v="1.4133567290256182"/>
    <n v="1.2387412773770967"/>
    <n v="1.2477685325551695"/>
    <n v="-1.3979818807726829"/>
    <n v="-0.54858937495274362"/>
    <x v="1"/>
    <x v="1"/>
    <x v="0"/>
    <x v="1"/>
    <x v="1"/>
    <x v="1"/>
  </r>
  <r>
    <x v="3"/>
    <s v="WAY"/>
    <n v="6917"/>
    <n v="40.72"/>
    <n v="1.21"/>
    <n v="18.07"/>
    <n v="0.15"/>
    <n v="33.652892561983471"/>
    <n v="2.2534587714443828"/>
    <n v="1.01"/>
    <n v="2.33"/>
    <n v="1.48"/>
    <n v="271.4666666666667"/>
    <s v="NO"/>
    <n v="0.32485273219489674"/>
    <n v="-0.66405129109104777"/>
    <n v="-1.2102513675938151"/>
    <n v="-1.2003435162457332"/>
    <n v="0.51396392675466396"/>
    <n v="1.4031380217201981"/>
    <x v="1"/>
    <x v="1"/>
    <x v="0"/>
    <x v="1"/>
    <x v="1"/>
    <x v="1"/>
  </r>
  <r>
    <x v="3"/>
    <s v="MTHRY"/>
    <n v="9493"/>
    <n v="7.18"/>
    <n v="0.42"/>
    <n v="3.72"/>
    <n v="0.4"/>
    <n v="17.095238095238095"/>
    <n v="1.9301075268817203"/>
    <n v="11.38"/>
    <n v="7.03"/>
    <n v="1.54"/>
    <n v="17.95"/>
    <s v="NO"/>
    <n v="-1.3544217632316544"/>
    <n v="-0.74930543793456994"/>
    <n v="-2.8489909783281895E-2"/>
    <n v="-4.7425016309436324E-2"/>
    <n v="0.88401795401802175"/>
    <n v="-0.8545486467674539"/>
    <x v="1"/>
    <x v="1"/>
    <x v="0"/>
    <x v="1"/>
    <x v="1"/>
    <x v="1"/>
  </r>
  <r>
    <x v="4"/>
    <s v="MEDP"/>
    <n v="8476"/>
    <n v="298.32"/>
    <n v="17.54"/>
    <n v="19.940000000000001"/>
    <n v="13.09"/>
    <n v="17.007981755986318"/>
    <n v="14.96088264794383"/>
    <n v="65.819999999999993"/>
    <n v="15.44"/>
    <n v="3.2"/>
    <n v="22.789915966386555"/>
    <s v="NO"/>
    <n v="9.6394089887823109E-2"/>
    <n v="8.9735335356628667"/>
    <n v="6.1997152198602832"/>
    <n v="7.0408793292664047"/>
    <n v="0.87275485784277196"/>
    <n v="-0.39549141894223322"/>
    <x v="1"/>
    <x v="0"/>
    <x v="1"/>
    <x v="0"/>
    <x v="1"/>
    <x v="1"/>
  </r>
  <r>
    <x v="4"/>
    <s v="BIO"/>
    <n v="6175"/>
    <n v="225.56"/>
    <n v="11.83"/>
    <n v="241.72"/>
    <n v="-77.099999999999994"/>
    <n v="19.066779374471682"/>
    <n v="0.9331457885156379"/>
    <n v="-27.52"/>
    <n v="1.55"/>
    <n v="1.43"/>
    <n v="-2.9255512321660184"/>
    <s v="NO"/>
    <n v="0.16977225716178959"/>
    <n v="-0.9901254525571489"/>
    <n v="-2.9253967455621019"/>
    <n v="-1.8176183051095343"/>
    <n v="-0.8452537779848901"/>
    <n v="-0.94099879693741328"/>
    <x v="1"/>
    <x v="1"/>
    <x v="0"/>
    <x v="0"/>
    <x v="1"/>
    <x v="1"/>
  </r>
  <r>
    <x v="4"/>
    <s v="CRL"/>
    <n v="6662"/>
    <n v="147.46"/>
    <n v="11"/>
    <n v="65.040000000000006"/>
    <n v="-0.62"/>
    <n v="13.405454545454546"/>
    <n v="2.2672201722017218"/>
    <n v="-0.67"/>
    <n v="4.26"/>
    <n v="2.37"/>
    <n v="-237.83870967741936"/>
    <s v="NO"/>
    <n v="-3.2004564690907837E-2"/>
    <n v="-4.2555480496113483E-2"/>
    <n v="-0.30048506491510102"/>
    <n v="-8.9286513233451159E-2"/>
    <n v="6.7134989064828746E-2"/>
    <n v="-5.9242588765850961"/>
    <x v="1"/>
    <x v="1"/>
    <x v="0"/>
    <x v="1"/>
    <x v="1"/>
    <x v="0"/>
  </r>
  <r>
    <x v="4"/>
    <s v="QGEN"/>
    <n v="9773"/>
    <n v="46.17"/>
    <n v="2.3199999999999998"/>
    <n v="15.74"/>
    <n v="0.42"/>
    <n v="19.90086206896552"/>
    <n v="2.9332909783989836"/>
    <n v="2.67"/>
    <n v="5.75"/>
    <n v="1.63"/>
    <n v="109.92857142857143"/>
    <s v="NO"/>
    <n v="0.19950002589794938"/>
    <n v="0.43054309851649719"/>
    <n v="2.604026146705847E-2"/>
    <n v="0.86097709189398952"/>
    <n v="-0.6511285083998436"/>
    <n v="1.4529984061182817"/>
    <x v="1"/>
    <x v="1"/>
    <x v="0"/>
    <x v="1"/>
    <x v="1"/>
    <x v="1"/>
  </r>
  <r>
    <x v="4"/>
    <s v="RGEN"/>
    <n v="6634"/>
    <n v="131.68"/>
    <n v="2.08"/>
    <n v="35.340000000000003"/>
    <n v="-0.42"/>
    <n v="63.307692307692307"/>
    <n v="3.7260894170911145"/>
    <n v="-1.1599999999999999"/>
    <n v="0.92"/>
    <n v="1.44"/>
    <n v="-313.52380952380958"/>
    <s v="NO"/>
    <n v="1.7465746977800816"/>
    <n v="0.9936541240995389"/>
    <n v="-0.34838848106098674"/>
    <n v="-2.2194076146600628"/>
    <n v="-0.8355475145056378"/>
    <n v="-7.5297821226426915"/>
    <x v="1"/>
    <x v="1"/>
    <x v="0"/>
    <x v="1"/>
    <x v="1"/>
    <x v="0"/>
  </r>
  <r>
    <x v="4"/>
    <s v="TECH"/>
    <n v="7588"/>
    <n v="49.88"/>
    <n v="1.4"/>
    <n v="12.87"/>
    <n v="0.83"/>
    <n v="35.628571428571433"/>
    <n v="3.875679875679876"/>
    <n v="6.53"/>
    <n v="5.24"/>
    <n v="1.31"/>
    <n v="60.096385542168683"/>
    <s v="NO"/>
    <n v="0.76005560351442658"/>
    <n v="1.0999056408057499"/>
    <n v="0.40340186620811713"/>
    <n v="0.53571907940070462"/>
    <n v="-0.96172893973591789"/>
    <n v="0.39589822385170942"/>
    <x v="1"/>
    <x v="1"/>
    <x v="0"/>
    <x v="1"/>
    <x v="1"/>
    <x v="1"/>
  </r>
  <r>
    <x v="4"/>
    <s v="BRKR"/>
    <n v="5561"/>
    <n v="39.21"/>
    <n v="1.1599999999999999"/>
    <n v="11.99"/>
    <n v="0.52"/>
    <n v="33.801724137931039"/>
    <n v="3.2702251876563802"/>
    <n v="4.76"/>
    <n v="4.79"/>
    <n v="3.26"/>
    <n v="75.403846153846146"/>
    <s v="NO"/>
    <n v="0.69494444111895859"/>
    <n v="0.66986164263717063"/>
    <n v="0.23036299564032595"/>
    <n v="0.2487267154360413"/>
    <n v="0.93099243871828552"/>
    <n v="0.72061846469223667"/>
    <x v="1"/>
    <x v="1"/>
    <x v="0"/>
    <x v="1"/>
    <x v="1"/>
    <x v="1"/>
  </r>
  <r>
    <x v="4"/>
    <s v="AVTR"/>
    <n v="8797"/>
    <n v="13.45"/>
    <n v="0.98"/>
    <n v="8.9499999999999993"/>
    <n v="1.04"/>
    <n v="13.724489795918366"/>
    <n v="1.5027932960893855"/>
    <n v="12.52"/>
    <n v="3.53"/>
    <n v="2.02"/>
    <n v="12.932692307692307"/>
    <s v="NO"/>
    <n v="-2.0633742340701009E-2"/>
    <n v="-0.58551467564914372"/>
    <n v="0.98899668807312779"/>
    <n v="-0.55485190366501602"/>
    <n v="-0.27258423270900278"/>
    <n v="-0.60459468705898045"/>
    <x v="1"/>
    <x v="1"/>
    <x v="0"/>
    <x v="1"/>
    <x v="1"/>
    <x v="1"/>
  </r>
  <r>
    <x v="4"/>
    <s v="SHC"/>
    <n v="3474"/>
    <n v="12.36"/>
    <n v="0.37"/>
    <n v="1.46"/>
    <n v="0.09"/>
    <n v="33.405405405405403"/>
    <n v="8.4657534246575334"/>
    <n v="5.88"/>
    <n v="7.01"/>
    <n v="7.48"/>
    <n v="137.33333333333334"/>
    <s v="NO"/>
    <n v="0.68081913711240583"/>
    <n v="4.3601555322288208"/>
    <n v="0.3398565182594932"/>
    <n v="1.6645557109950466"/>
    <n v="5.0270356269627676"/>
    <n v="2.0343411324946596"/>
    <x v="1"/>
    <x v="0"/>
    <x v="0"/>
    <x v="1"/>
    <x v="0"/>
    <x v="1"/>
  </r>
  <r>
    <x v="4"/>
    <s v="STVN"/>
    <n v="6061"/>
    <n v="23.35"/>
    <n v="-0.39"/>
    <n v="5.61"/>
    <n v="0.5"/>
    <n v="-59.871794871794876"/>
    <n v="4.1622103386809268"/>
    <n v="9.14"/>
    <n v="4.88"/>
    <n v="1.64"/>
    <n v="46.7"/>
    <s v="NO"/>
    <n v="-2.6436989910089528"/>
    <n v="1.3034232753100257"/>
    <n v="0.65856087874028368"/>
    <n v="0.30612518822897383"/>
    <n v="-0.6414222449205913"/>
    <n v="0.11171800284711855"/>
    <x v="0"/>
    <x v="1"/>
    <x v="0"/>
    <x v="1"/>
    <x v="1"/>
    <x v="1"/>
  </r>
  <r>
    <x v="4"/>
    <s v="GRRMY"/>
    <n v="2487"/>
    <n v="13.65"/>
    <n v="-0.48"/>
    <n v="45.14"/>
    <n v="3.72"/>
    <n v="-28.437500000000004"/>
    <n v="0.30239255649091717"/>
    <n v="5.42"/>
    <n v="3.01"/>
    <n v="3.2"/>
    <n v="3.6693548387096775"/>
    <s v="NO"/>
    <n v="-1.5233407165814326"/>
    <n v="-1.4381385691838682"/>
    <n v="0.29488596432662095"/>
    <n v="-0.88648752424640465"/>
    <n v="0.87275485784277196"/>
    <n v="-0.80109972798134199"/>
    <x v="1"/>
    <x v="1"/>
    <x v="0"/>
    <x v="1"/>
    <x v="1"/>
    <x v="1"/>
  </r>
  <r>
    <x v="4"/>
    <s v="TEM"/>
    <n v="9553"/>
    <n v="66.94"/>
    <n v="-1.45"/>
    <n v="1.89"/>
    <n v="-4.92"/>
    <n v="-46.165517241379312"/>
    <n v="35.417989417989418"/>
    <n v="10561"/>
    <n v="-43.89"/>
    <n v="4.7300000000000004"/>
    <n v="-13.605691056910569"/>
    <s v="NO"/>
    <n v="-2.1551898128178628"/>
    <n v="23.503862824335439"/>
    <n v="1032.2302765789959"/>
    <n v="-30.797469457452419"/>
    <n v="2.3578131701683782"/>
    <n v="-1.167558751202846"/>
    <x v="1"/>
    <x v="0"/>
    <x v="1"/>
    <x v="0"/>
    <x v="1"/>
    <x v="1"/>
  </r>
  <r>
    <x v="4"/>
    <s v="BCHMY"/>
    <n v="4574"/>
    <n v="6.1"/>
    <n v="-2.0299999999999998"/>
    <n v="20.45"/>
    <n v="1.77"/>
    <n v="-3.0049261083743843"/>
    <n v="0.2982885085574572"/>
    <n v="8.8699999999999992"/>
    <n v="4.6100000000000003"/>
    <n v="1.38"/>
    <n v="3.4463276836158188"/>
    <s v="NO"/>
    <n v="-0.61689141604252973"/>
    <n v="-1.4410536034827059"/>
    <n v="0.63216511882316295"/>
    <n v="0.13392976985017616"/>
    <n v="-0.89378509538115181"/>
    <n v="-0.80583084788119064"/>
    <x v="1"/>
    <x v="1"/>
    <x v="0"/>
    <x v="1"/>
    <x v="1"/>
    <x v="1"/>
  </r>
  <r>
    <x v="5"/>
    <s v="PBH"/>
    <n v="4233"/>
    <n v="85.68"/>
    <n v="4.9000000000000004"/>
    <n v="37.06"/>
    <n v="4.29"/>
    <n v="17.485714285714288"/>
    <n v="2.3119266055045871"/>
    <n v="12.3"/>
    <n v="6.5"/>
    <n v="1.85"/>
    <n v="19.972027972027973"/>
    <s v="NO"/>
    <n v="0.63206827748874705"/>
    <n v="-0.37567501130007025"/>
    <n v="0.24125047386480125"/>
    <n v="0.76567068432874497"/>
    <n v="0.17100427991067596"/>
    <n v="0.67946597632189909"/>
    <x v="1"/>
    <x v="1"/>
    <x v="0"/>
    <x v="1"/>
    <x v="1"/>
    <x v="1"/>
  </r>
  <r>
    <x v="5"/>
    <s v="OGN"/>
    <n v="2397"/>
    <n v="9.76"/>
    <n v="2.27"/>
    <n v="2.1"/>
    <n v="2.88"/>
    <n v="4.2995594713656384"/>
    <n v="4.6476190476190471"/>
    <n v="254.24"/>
    <n v="6.98"/>
    <n v="24.27"/>
    <n v="3.3888888888888888"/>
    <s v="NO"/>
    <n v="0.27257513219983054"/>
    <n v="-0.20189253497215232"/>
    <n v="2.1816806482946554"/>
    <n v="0.80732212827013017"/>
    <n v="49.869914815431919"/>
    <n v="0.18828618540945341"/>
    <x v="1"/>
    <x v="1"/>
    <x v="0"/>
    <x v="0"/>
    <x v="0"/>
    <x v="1"/>
  </r>
  <r>
    <x v="5"/>
    <s v="CORT"/>
    <n v="8225"/>
    <n v="70.569999999999993"/>
    <n v="1.71"/>
    <n v="6.45"/>
    <n v="1.1399999999999999"/>
    <n v="41.26900584795321"/>
    <n v="10.941085271317828"/>
    <n v="21.77"/>
    <n v="9.18"/>
    <n v="1.24"/>
    <n v="61.903508771929822"/>
    <s v="NO"/>
    <n v="1.2804703635714103"/>
    <n v="0.26636010194197102"/>
    <n v="0.31720266759816784"/>
    <n v="0.9982245796681456"/>
    <n v="-1.1811962297533722"/>
    <n v="1.9214441005291496"/>
    <x v="1"/>
    <x v="1"/>
    <x v="0"/>
    <x v="1"/>
    <x v="1"/>
    <x v="1"/>
  </r>
  <r>
    <x v="5"/>
    <s v="PRGO"/>
    <n v="3680"/>
    <n v="26.17"/>
    <n v="1.25"/>
    <n v="31.81"/>
    <n v="-1.2"/>
    <n v="20.936"/>
    <n v="0.82269726501100293"/>
    <n v="-3.64"/>
    <n v="2.93"/>
    <n v="2.2400000000000002"/>
    <n v="-21.808333333333337"/>
    <s v="NO"/>
    <n v="0.72613315698070346"/>
    <n v="-0.48647811103390259"/>
    <n v="0.11340697142447771"/>
    <n v="0.45588807001469261"/>
    <n v="1.0355259172368709"/>
    <n v="-0.55803610499871303"/>
    <x v="1"/>
    <x v="1"/>
    <x v="0"/>
    <x v="1"/>
    <x v="1"/>
    <x v="1"/>
  </r>
  <r>
    <x v="5"/>
    <s v="AMRX"/>
    <n v="2294"/>
    <n v="7.61"/>
    <n v="0.75"/>
    <n v="-0.42"/>
    <n v="-0.04"/>
    <n v="10.146666666666667"/>
    <n v="-18.11904761904762"/>
    <n v="-85.32"/>
    <n v="6.67"/>
    <n v="-25.56"/>
    <n v="-190.25"/>
    <s v="NO"/>
    <n v="0.43198437515767252"/>
    <n v="-1.8958003627869726"/>
    <n v="-0.54169072489457026"/>
    <n v="0.78042223739131888"/>
    <n v="-60.589349769091868"/>
    <n v="-5.5471483713487073"/>
    <x v="1"/>
    <x v="1"/>
    <x v="0"/>
    <x v="1"/>
    <x v="0"/>
    <x v="0"/>
  </r>
  <r>
    <x v="5"/>
    <s v="ELAN"/>
    <n v="6675"/>
    <n v="13.92"/>
    <n v="0.67"/>
    <n v="12.8"/>
    <n v="0.75"/>
    <n v="20.776119402985074"/>
    <n v="1.0874999999999999"/>
    <n v="6.01"/>
    <n v="1.1399999999999999"/>
    <n v="2.04"/>
    <n v="18.559999999999999"/>
    <s v="NO"/>
    <n v="0.72177434430932308"/>
    <n v="-0.46677599863457747"/>
    <n v="0.19080281825942888"/>
    <n v="0.30056289364994365"/>
    <n v="0.59218148783882196"/>
    <n v="0.63764279673050295"/>
    <x v="1"/>
    <x v="1"/>
    <x v="0"/>
    <x v="1"/>
    <x v="1"/>
    <x v="1"/>
  </r>
  <r>
    <x v="5"/>
    <s v="HCM"/>
    <n v="2375"/>
    <n v="15.96"/>
    <n v="-0.02"/>
    <n v="0.89"/>
    <n v="0.04"/>
    <n v="-798"/>
    <n v="17.932584269662922"/>
    <n v="5.04"/>
    <n v="-2.14"/>
    <n v="1.68"/>
    <n v="399"/>
    <s v="NO"/>
    <n v="-21.600457314258698"/>
    <n v="0.7865484569107658"/>
    <n v="0.18302313210088977"/>
    <n v="1.5944693383811544E-2"/>
    <n v="-0.20583848507766564"/>
    <n v="11.905982205686275"/>
    <x v="0"/>
    <x v="1"/>
    <x v="0"/>
    <x v="1"/>
    <x v="1"/>
    <x v="0"/>
  </r>
  <r>
    <x v="5"/>
    <s v="BLTE"/>
    <n v="2111"/>
    <n v="61.4"/>
    <n v="-0.96"/>
    <n v="4.8600000000000003"/>
    <n v="-1.37"/>
    <n v="-63.958333333333336"/>
    <n v="12.633744855967077"/>
    <n v="-33.43"/>
    <n v="-22.23"/>
    <n v="1.04"/>
    <n v="-44.817518248175176"/>
    <s v="NO"/>
    <n v="-1.5883346569415342"/>
    <n v="0.39229901791253374"/>
    <n v="-0.12551761688777058"/>
    <n v="-1.7273417832462479"/>
    <n v="-1.6245406591514207"/>
    <n v="-1.2395504177520065"/>
    <x v="1"/>
    <x v="1"/>
    <x v="0"/>
    <x v="1"/>
    <x v="1"/>
    <x v="1"/>
  </r>
  <r>
    <x v="5"/>
    <s v="VRNA"/>
    <n v="6913"/>
    <n v="84.64"/>
    <n v="-1.47"/>
    <n v="2.4900000000000002"/>
    <n v="-2.02"/>
    <n v="-57.57823129251701"/>
    <n v="33.99196787148594"/>
    <n v="-72.61"/>
    <n v="-20.64"/>
    <n v="2.3199999999999998"/>
    <n v="-41.900990099009903"/>
    <s v="NO"/>
    <n v="-1.4143944156650183"/>
    <n v="1.9814144419624045"/>
    <n v="-0.4397527753326812"/>
    <n v="-1.5893713751904093"/>
    <n v="1.2128636889960895"/>
    <n v="-1.1531651031673995"/>
    <x v="1"/>
    <x v="1"/>
    <x v="0"/>
    <x v="1"/>
    <x v="1"/>
    <x v="1"/>
  </r>
  <r>
    <x v="5"/>
    <s v="AXSM"/>
    <n v="5178"/>
    <n v="109.87"/>
    <n v="-2.46"/>
    <n v="1.08"/>
    <n v="-5.77"/>
    <n v="-44.662601626016261"/>
    <n v="101.73148148148148"/>
    <n v="-282.16000000000003"/>
    <n v="-26.18"/>
    <n v="11.22"/>
    <n v="-19.041594454072793"/>
    <s v="NO"/>
    <n v="-1.0622765771011347"/>
    <n v="7.0214360681559613"/>
    <n v="-2.1204055944273987"/>
    <n v="-2.0700984573472301"/>
    <n v="20.941690797209251"/>
    <n v="-0.47608743307288581"/>
    <x v="1"/>
    <x v="0"/>
    <x v="0"/>
    <x v="0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">
  <r>
    <x v="0"/>
    <s v="NNNN"/>
    <n v="345"/>
    <n v="8.42"/>
    <m/>
    <m/>
    <m/>
    <s v=""/>
    <s v=""/>
    <n v="14.83"/>
    <n v="7.18"/>
    <n v="1.1000000000000001"/>
    <s v=""/>
    <s v="NO"/>
    <e v="#VALUE!"/>
    <e v="#VALUE!"/>
    <n v="1.7472593791599444"/>
    <n v="1.8401769029455883"/>
    <n v="-0.74250206193285861"/>
    <e v="#VALUE!"/>
    <x v="0"/>
    <x v="0"/>
    <x v="0"/>
    <x v="0"/>
    <x v="0"/>
    <x v="0"/>
  </r>
  <r>
    <x v="0"/>
    <s v="EBS"/>
    <n v="343"/>
    <n v="6.49"/>
    <n v="2.88"/>
    <n v="10.14"/>
    <n v="-2.46"/>
    <n v="2.2534722222222223"/>
    <n v="0.64003944773175536"/>
    <n v="-21.63"/>
    <n v="-1.61"/>
    <n v="2.58"/>
    <n v="-2.6382113821138211"/>
    <s v="NO"/>
    <n v="2.1981385187927351"/>
    <n v="-1.005499037994106"/>
    <n v="0.7031346138787633"/>
    <n v="1.296168448770824"/>
    <n v="2.5998125067904909"/>
    <n v="0.67642359525016937"/>
    <x v="1"/>
    <x v="1"/>
    <x v="0"/>
    <x v="0"/>
    <x v="0"/>
    <x v="1"/>
  </r>
  <r>
    <x v="0"/>
    <s v="RIGL"/>
    <n v="343"/>
    <n v="21.85"/>
    <n v="2"/>
    <n v="1.04"/>
    <n v="2.08"/>
    <n v="10.925000000000001"/>
    <n v="21.009615384615387"/>
    <n v="-567.42999999999995"/>
    <n v="18.149999999999999"/>
    <n v="9.48"/>
    <n v="10.504807692307693"/>
    <s v="NO"/>
    <n v="4.7125410122733253"/>
    <n v="6.8618536039127536"/>
    <n v="-14.927235569622846"/>
    <n v="2.5191044049134113"/>
    <n v="18.182225023135839"/>
    <n v="4.8151749801849899"/>
    <x v="0"/>
    <x v="0"/>
    <x v="1"/>
    <x v="0"/>
    <x v="1"/>
    <x v="0"/>
  </r>
  <r>
    <x v="0"/>
    <s v="KURA"/>
    <n v="493"/>
    <n v="6.73"/>
    <n v="1.27"/>
    <n v="4.51"/>
    <n v="-2.09"/>
    <n v="5.2992125984251972"/>
    <n v="1.4922394678492241"/>
    <n v="-41.84"/>
    <n v="-19.600000000000001"/>
    <n v="2.04"/>
    <n v="-3.2200956937799048"/>
    <s v="NO"/>
    <n v="3.0812836107158352"/>
    <n v="-0.67635335030386012"/>
    <n v="0.12436989894917796"/>
    <n v="0.18277685712076572"/>
    <n v="1.3803193533373768"/>
    <n v="0.49318757564591048"/>
    <x v="0"/>
    <x v="1"/>
    <x v="0"/>
    <x v="0"/>
    <x v="0"/>
    <x v="1"/>
  </r>
  <r>
    <x v="0"/>
    <s v="KMDA"/>
    <n v="394"/>
    <n v="6.97"/>
    <n v="0.64"/>
    <n v="4.45"/>
    <n v="0.28000000000000003"/>
    <n v="10.890625"/>
    <n v="1.5662921348314605"/>
    <n v="6.44"/>
    <n v="4.1399999999999997"/>
    <n v="1.49"/>
    <n v="24.892857142857139"/>
    <s v="NO"/>
    <n v="4.7025736123031736"/>
    <n v="-0.64775194755359367"/>
    <n v="1.5069904054707204"/>
    <n v="1.6520329096928825"/>
    <n v="0.13824299333883458"/>
    <n v="9.3459878210385448"/>
    <x v="0"/>
    <x v="1"/>
    <x v="0"/>
    <x v="0"/>
    <x v="0"/>
    <x v="0"/>
  </r>
  <r>
    <x v="0"/>
    <s v="KNSA"/>
    <n v="1996"/>
    <n v="30.33"/>
    <n v="0.61"/>
    <n v="6.28"/>
    <n v="-0.24"/>
    <n v="49.721311475409834"/>
    <n v="4.8296178343949041"/>
    <n v="-3.81"/>
    <n v="-1.77"/>
    <n v="1.31"/>
    <n v="-126.375"/>
    <s v="NO"/>
    <n v="15.961947669495476"/>
    <n v="0.61264415216957357"/>
    <n v="1.2134556044797136"/>
    <n v="1.2862661333364711"/>
    <n v="-0.26825472447886994"/>
    <n v="-38.288429332364117"/>
    <x v="0"/>
    <x v="1"/>
    <x v="0"/>
    <x v="0"/>
    <x v="0"/>
    <x v="0"/>
  </r>
  <r>
    <x v="0"/>
    <s v="IMCR"/>
    <n v="1839"/>
    <n v="36.07"/>
    <n v="0.52"/>
    <n v="7.54"/>
    <n v="-0.43"/>
    <n v="69.365384615384613"/>
    <n v="4.7838196286472146"/>
    <n v="-5.86"/>
    <n v="-1.83"/>
    <n v="2.72"/>
    <n v="-83.883720930232556"/>
    <s v="NO"/>
    <n v="21.657957386704211"/>
    <n v="0.59495548569462464"/>
    <n v="1.1547486442815122"/>
    <n v="1.2825527650485888"/>
    <n v="2.9159773984264836"/>
    <n v="-24.90787809814228"/>
    <x v="0"/>
    <x v="1"/>
    <x v="0"/>
    <x v="0"/>
    <x v="0"/>
    <x v="0"/>
  </r>
  <r>
    <x v="0"/>
    <s v="AUPH"/>
    <n v="1059"/>
    <n v="8.14"/>
    <n v="0.45"/>
    <n v="2.54"/>
    <n v="0.27"/>
    <n v="18.088888888888889"/>
    <n v="3.204724409448819"/>
    <n v="11.23"/>
    <n v="5.2"/>
    <n v="1.44"/>
    <n v="30.148148148148149"/>
    <s v="NO"/>
    <n v="6.7897874383761341"/>
    <n v="-1.4939338973170825E-2"/>
    <n v="1.6441642295435908"/>
    <n v="1.7176357494454706"/>
    <n v="2.5326960611694295E-2"/>
    <n v="11.000884827823951"/>
    <x v="0"/>
    <x v="1"/>
    <x v="0"/>
    <x v="0"/>
    <x v="0"/>
    <x v="0"/>
  </r>
  <r>
    <x v="0"/>
    <s v="DVAX"/>
    <n v="1176"/>
    <n v="10.28"/>
    <n v="0.42"/>
    <n v="4.29"/>
    <n v="-0.47"/>
    <n v="24.476190476190474"/>
    <n v="2.396270396270396"/>
    <n v="-10.45"/>
    <n v="-7.0000000000000007E-2"/>
    <n v="1.78"/>
    <n v="-21.872340425531913"/>
    <s v="NO"/>
    <n v="8.6418540463942364"/>
    <n v="-0.32718898207558655"/>
    <n v="1.0233023285206615"/>
    <n v="1.3914782348264709"/>
    <n v="0.79315598315624769"/>
    <n v="-5.3804251216010988"/>
    <x v="0"/>
    <x v="1"/>
    <x v="0"/>
    <x v="0"/>
    <x v="0"/>
    <x v="0"/>
  </r>
  <r>
    <x v="0"/>
    <s v="GLUE"/>
    <n v="257"/>
    <n v="4.92"/>
    <n v="0.38"/>
    <n v="4.47"/>
    <n v="0.08"/>
    <n v="12.947368421052632"/>
    <n v="1.1006711409395973"/>
    <n v="2.88"/>
    <n v="-0.4"/>
    <n v="1.43"/>
    <n v="61.5"/>
    <s v="NO"/>
    <n v="5.2989484286991164"/>
    <n v="-0.82758900296275439"/>
    <n v="1.4050407575167709"/>
    <n v="1.371054709243118"/>
    <n v="2.7437540662662387E-3"/>
    <n v="20.873617990378111"/>
    <x v="0"/>
    <x v="1"/>
    <x v="0"/>
    <x v="0"/>
    <x v="0"/>
    <x v="0"/>
  </r>
  <r>
    <x v="0"/>
    <s v="CDNA"/>
    <n v="946"/>
    <n v="19.72"/>
    <n v="0.38"/>
    <n v="6.84"/>
    <n v="1.07"/>
    <n v="51.89473684210526"/>
    <n v="2.8830409356725144"/>
    <n v="19.54"/>
    <n v="-5.2"/>
    <n v="1.29"/>
    <n v="18.429906542056074"/>
    <s v="NO"/>
    <n v="16.592155667608285"/>
    <n v="-0.13918332594244379"/>
    <n v="1.8821421999080072"/>
    <n v="1.0739852462125301"/>
    <n v="-0.31342113756972606"/>
    <n v="7.3107974588874454"/>
    <x v="0"/>
    <x v="1"/>
    <x v="0"/>
    <x v="0"/>
    <x v="0"/>
    <x v="0"/>
  </r>
  <r>
    <x v="0"/>
    <s v="MNKD"/>
    <n v="1261"/>
    <n v="4.37"/>
    <n v="0.08"/>
    <n v="-0.19"/>
    <n v="0.1"/>
    <n v="54.625"/>
    <n v="-23"/>
    <n v="-20.87"/>
    <n v="10.96"/>
    <n v="-7"/>
    <n v="43.699999999999996"/>
    <s v="NO"/>
    <n v="17.383824756146684"/>
    <n v="-10.136004620446052"/>
    <n v="0.7248991454644379"/>
    <n v="2.0741191050821763"/>
    <n v="-19.034899363729568"/>
    <n v="15.26837811096461"/>
    <x v="0"/>
    <x v="0"/>
    <x v="0"/>
    <x v="0"/>
    <x v="1"/>
    <x v="0"/>
  </r>
  <r>
    <x v="0"/>
    <s v="GOSS"/>
    <n v="252"/>
    <n v="1.33"/>
    <n v="0.04"/>
    <n v="-0.03"/>
    <n v="-0.23"/>
    <n v="33.25"/>
    <n v="-44.333333333333336"/>
    <n v="-500.57"/>
    <n v="-12.68"/>
    <n v="-44.89"/>
    <n v="-5.7826086956521738"/>
    <s v="NO"/>
    <n v="11.185914229252106"/>
    <n v="-18.375589817542565"/>
    <n v="-13.012529540914681"/>
    <n v="0.61105199965653023"/>
    <n v="-104.60266896435641"/>
    <n v="-0.31375063051195745"/>
    <x v="0"/>
    <x v="0"/>
    <x v="1"/>
    <x v="0"/>
    <x v="1"/>
    <x v="1"/>
  </r>
  <r>
    <x v="0"/>
    <s v="FOLD"/>
    <n v="1869"/>
    <n v="6.03"/>
    <n v="0.01"/>
    <n v="0.63"/>
    <n v="-0.1"/>
    <n v="603"/>
    <n v="9.5714285714285712"/>
    <n v="-18.12"/>
    <n v="3.95"/>
    <n v="4.08"/>
    <n v="-60.3"/>
    <s v="NO"/>
    <n v="176.39103809817303"/>
    <n v="2.4440763501209442"/>
    <n v="0.80365238475470802"/>
    <n v="1.6402739101145885"/>
    <n v="5.9872934886046965"/>
    <n v="-17.481338038417647"/>
    <x v="0"/>
    <x v="1"/>
    <x v="0"/>
    <x v="0"/>
    <x v="1"/>
    <x v="0"/>
  </r>
  <r>
    <x v="0"/>
    <s v="IMMP"/>
    <n v="274"/>
    <n v="1.84"/>
    <n v="-0.03"/>
    <n v="7.0000000000000007E-2"/>
    <n v="-0.03"/>
    <n v="-61.333333333333336"/>
    <n v="26.285714285714285"/>
    <n v="-42.12"/>
    <n v="-25.7"/>
    <n v="1.07"/>
    <n v="-61.333333333333336"/>
    <s v="NO"/>
    <n v="-16.23953780983306"/>
    <n v="8.899644216596112"/>
    <n v="0.11635138731235063"/>
    <n v="-0.19474891881393983"/>
    <n v="-0.81025168156914285"/>
    <n v="-17.806735859132665"/>
    <x v="0"/>
    <x v="0"/>
    <x v="0"/>
    <x v="0"/>
    <x v="0"/>
    <x v="0"/>
  </r>
  <r>
    <x v="0"/>
    <s v="MESO"/>
    <n v="1351"/>
    <n v="11.85"/>
    <n v="-0.04"/>
    <n v="0.4"/>
    <n v="-0.09"/>
    <n v="-296.25"/>
    <n v="29.624999999999996"/>
    <n v="-21.31"/>
    <n v="-4.8499999999999996"/>
    <n v="1.42"/>
    <n v="-131.66666666666666"/>
    <s v="NO"/>
    <n v="-84.35614512100581"/>
    <n v="10.18937839504788"/>
    <n v="0.71229862717799475"/>
    <n v="1.0956465612251769"/>
    <n v="-1.9839452479161818E-2"/>
    <n v="-39.954781075541824"/>
    <x v="0"/>
    <x v="0"/>
    <x v="0"/>
    <x v="0"/>
    <x v="0"/>
    <x v="0"/>
  </r>
  <r>
    <x v="0"/>
    <s v="ORGO"/>
    <n v="348"/>
    <n v="3.44"/>
    <n v="-0.05"/>
    <n v="1.91"/>
    <n v="-0.16"/>
    <n v="-68.8"/>
    <n v="1.8010471204188483"/>
    <n v="-4.92"/>
    <n v="0.7"/>
    <n v="1.92"/>
    <n v="-21.5"/>
    <s v="NO"/>
    <n v="-18.404577900319428"/>
    <n v="-0.55708239891966649"/>
    <n v="1.1816679333480045"/>
    <n v="1.4391331278542945"/>
    <n v="1.1093208747922401"/>
    <n v="-5.2631747057634986"/>
    <x v="0"/>
    <x v="1"/>
    <x v="0"/>
    <x v="0"/>
    <x v="0"/>
    <x v="0"/>
  </r>
  <r>
    <x v="0"/>
    <s v="GYRE"/>
    <n v="819"/>
    <n v="8.5"/>
    <n v="-0.12"/>
    <n v="0.78"/>
    <n v="0.02"/>
    <n v="-70.833333333333343"/>
    <n v="10.897435897435898"/>
    <n v="12.12"/>
    <n v="5.18"/>
    <n v="1.91"/>
    <n v="425"/>
    <s v="NO"/>
    <n v="-18.994164710675093"/>
    <n v="2.9562208970558577"/>
    <n v="1.6696516415320783"/>
    <n v="1.7163979600161765"/>
    <n v="1.0867376682468119"/>
    <n v="135.34017395480552"/>
    <x v="0"/>
    <x v="1"/>
    <x v="0"/>
    <x v="0"/>
    <x v="0"/>
    <x v="0"/>
  </r>
  <r>
    <x v="0"/>
    <s v="HRTX"/>
    <n v="287"/>
    <n v="2.12"/>
    <n v="-0.15"/>
    <n v="-0.19"/>
    <n v="-0.06"/>
    <n v="-14.133333333333335"/>
    <n v="-11.157894736842106"/>
    <n v="25.02"/>
    <n v="-0.99"/>
    <n v="-8.2899999999999991"/>
    <n v="-35.333333333333336"/>
    <s v="NO"/>
    <n v="-2.5533915235442151"/>
    <n v="-5.5622217190972476"/>
    <n v="2.0390759276573456"/>
    <n v="1.3345399210789417"/>
    <n v="-21.948133008089783"/>
    <n v="-9.6193068217871005"/>
    <x v="1"/>
    <x v="0"/>
    <x v="0"/>
    <x v="0"/>
    <x v="1"/>
    <x v="0"/>
  </r>
  <r>
    <x v="0"/>
    <s v="AKBA"/>
    <n v="796"/>
    <n v="3.83"/>
    <n v="-0.16"/>
    <n v="0.09"/>
    <n v="-0.21"/>
    <n v="-23.9375"/>
    <n v="42.555555555555557"/>
    <n v="3385.4"/>
    <n v="-4.26"/>
    <n v="12.62"/>
    <n v="-18.238095238095241"/>
    <s v="NO"/>
    <n v="-5.3962148120009283"/>
    <n v="15.183554058131771"/>
    <n v="98.272097835380237"/>
    <n v="1.1321613493893536"/>
    <n v="25.273351878400238"/>
    <n v="-4.2359972532760066"/>
    <x v="0"/>
    <x v="0"/>
    <x v="1"/>
    <x v="0"/>
    <x v="1"/>
    <x v="0"/>
  </r>
  <r>
    <x v="0"/>
    <s v="ARDX"/>
    <n v="878"/>
    <n v="3.76"/>
    <n v="-0.21"/>
    <n v="0.61"/>
    <n v="-0.23"/>
    <n v="-17.904761904761905"/>
    <n v="6.1639344262295079"/>
    <n v="-36.26"/>
    <n v="-6.58"/>
    <n v="2.82"/>
    <n v="-16.34782608695652"/>
    <s v="NO"/>
    <n v="-3.6469576916980455"/>
    <n v="1.1279979914658549"/>
    <n v="0.2841673808545262"/>
    <n v="0.98857777559123594"/>
    <n v="3.141809463880763"/>
    <n v="-3.6407493864901714"/>
    <x v="0"/>
    <x v="1"/>
    <x v="0"/>
    <x v="0"/>
    <x v="1"/>
    <x v="0"/>
  </r>
  <r>
    <x v="0"/>
    <s v="MREO"/>
    <n v="342"/>
    <n v="2.65"/>
    <n v="-0.22"/>
    <n v="0.38"/>
    <n v="-0.31"/>
    <n v="-12.045454545454545"/>
    <n v="6.973684210526315"/>
    <n v="-91.7"/>
    <n v="-47.59"/>
    <n v="1.1399999999999999"/>
    <n v="-8.5483870967741939"/>
    <s v="NO"/>
    <n v="-1.947988673566492"/>
    <n v="1.4407481009679204"/>
    <n v="-1.3034979232373196"/>
    <n v="-1.549509449176351"/>
    <n v="-0.65216923575114694"/>
    <n v="-1.1846973379046351"/>
    <x v="1"/>
    <x v="1"/>
    <x v="0"/>
    <x v="0"/>
    <x v="0"/>
    <x v="1"/>
  </r>
  <r>
    <x v="0"/>
    <s v="SPRY"/>
    <n v="1417"/>
    <n v="14.53"/>
    <n v="-0.28999999999999998"/>
    <n v="2.33"/>
    <n v="-0.16"/>
    <n v="-50.103448275862071"/>
    <n v="6.236051502145922"/>
    <n v="-6.91"/>
    <n v="-6.1"/>
    <n v="1.43"/>
    <n v="-90.8125"/>
    <s v="NO"/>
    <n v="-12.983312181130497"/>
    <n v="1.1558518098023598"/>
    <n v="1.1246792256434091"/>
    <n v="1.0182847218942945"/>
    <n v="2.7437540662662387E-3"/>
    <n v="-27.089758365417904"/>
    <x v="0"/>
    <x v="1"/>
    <x v="0"/>
    <x v="0"/>
    <x v="0"/>
    <x v="0"/>
  </r>
  <r>
    <x v="0"/>
    <s v="GERN"/>
    <n v="968"/>
    <n v="1.62"/>
    <n v="-0.31"/>
    <n v="0.42"/>
    <n v="-0.21"/>
    <n v="-5.2258064516129039"/>
    <n v="3.8571428571428577"/>
    <n v="-45.35"/>
    <n v="-16.07"/>
    <n v="2.1"/>
    <n v="-7.7142857142857153"/>
    <s v="NO"/>
    <n v="2.9441441546380152E-2"/>
    <n v="0.23704460089866444"/>
    <n v="2.3852128073233246E-2"/>
    <n v="0.40124669139117741"/>
    <n v="1.515818592609945"/>
    <n v="-0.92203788101708695"/>
    <x v="1"/>
    <x v="1"/>
    <x v="0"/>
    <x v="0"/>
    <x v="0"/>
    <x v="1"/>
  </r>
  <r>
    <x v="0"/>
    <s v="ABUS"/>
    <n v="644"/>
    <n v="3.51"/>
    <n v="-0.31"/>
    <n v="0.41"/>
    <n v="-0.41"/>
    <n v="-11.32258064516129"/>
    <n v="8.5609756097560972"/>
    <n v="-79.02"/>
    <n v="-31.58"/>
    <n v="1.48"/>
    <n v="-8.5609756097560972"/>
    <s v="NO"/>
    <n v="-1.7383836323386601"/>
    <n v="2.053808540807248"/>
    <n v="-0.9403738962552739"/>
    <n v="-0.55865901102641013"/>
    <n v="0.11565978679340652"/>
    <n v="-1.1886614747017519"/>
    <x v="1"/>
    <x v="1"/>
    <x v="0"/>
    <x v="0"/>
    <x v="0"/>
    <x v="1"/>
  </r>
  <r>
    <x v="0"/>
    <s v="CMPX"/>
    <n v="290"/>
    <n v="2.57"/>
    <n v="-0.32"/>
    <n v="0.8"/>
    <n v="-0.4"/>
    <n v="-8.03125"/>
    <n v="3.2124999999999995"/>
    <n v="-41.31"/>
    <n v="-26.41"/>
    <n v="1.19"/>
    <n v="-6.4249999999999989"/>
    <s v="NO"/>
    <n v="-0.78402700763054889"/>
    <n v="-1.1936168310474407E-2"/>
    <n v="0.13954779597603006"/>
    <n v="-0.23869044355388103"/>
    <n v="-0.53925320302400659"/>
    <n v="-0.5160403696871757"/>
    <x v="1"/>
    <x v="1"/>
    <x v="0"/>
    <x v="0"/>
    <x v="0"/>
    <x v="1"/>
  </r>
  <r>
    <x v="0"/>
    <s v="TSHA"/>
    <n v="582"/>
    <n v="2.8"/>
    <n v="-0.32"/>
    <n v="0.27"/>
    <n v="-0.33"/>
    <n v="-8.75"/>
    <n v="10.370370370370368"/>
    <n v="-159.34"/>
    <n v="-35.909999999999997"/>
    <n v="2.5099999999999998"/>
    <n v="-8.4848484848484844"/>
    <s v="NO"/>
    <n v="-0.99243627973372905"/>
    <n v="2.7526520854288732"/>
    <n v="-3.2405412343623641"/>
    <n v="-0.82664042246858627"/>
    <n v="2.4417300609724939"/>
    <n v="-1.164688958047974"/>
    <x v="1"/>
    <x v="1"/>
    <x v="1"/>
    <x v="0"/>
    <x v="0"/>
    <x v="1"/>
  </r>
  <r>
    <x v="0"/>
    <s v="AVXL"/>
    <n v="643"/>
    <n v="7.93"/>
    <n v="-0.35"/>
    <n v="1.17"/>
    <n v="-0.56000000000000005"/>
    <n v="-22.657142857142858"/>
    <n v="6.7777777777777777"/>
    <n v="-40.17"/>
    <n v="-25.44"/>
    <n v="1.17"/>
    <n v="-14.160714285714285"/>
    <s v="NO"/>
    <n v="-5.024961524800978"/>
    <n v="1.3650830505011629"/>
    <n v="0.17219459335454204"/>
    <n v="-0.17865765623311641"/>
    <n v="-0.58441961611486271"/>
    <n v="-2.9520254376666393"/>
    <x v="0"/>
    <x v="1"/>
    <x v="0"/>
    <x v="0"/>
    <x v="0"/>
    <x v="1"/>
  </r>
  <r>
    <x v="0"/>
    <s v="MYGN"/>
    <n v="386"/>
    <n v="5.19"/>
    <n v="-0.39"/>
    <n v="7.65"/>
    <n v="-1.1200000000000001"/>
    <n v="-13.307692307692308"/>
    <n v="0.67843137254901964"/>
    <n v="-13.84"/>
    <n v="-5.26"/>
    <n v="1.43"/>
    <n v="-4.6339285714285712"/>
    <s v="NO"/>
    <n v="-2.3139880520000493"/>
    <n v="-0.99067090352165088"/>
    <n v="0.92622106263192849"/>
    <n v="1.0702718779246476"/>
    <n v="2.7437540662662387E-3"/>
    <n v="4.7970023476120838E-2"/>
    <x v="1"/>
    <x v="1"/>
    <x v="0"/>
    <x v="0"/>
    <x v="0"/>
    <x v="1"/>
  </r>
  <r>
    <x v="0"/>
    <s v="CRVS"/>
    <n v="291"/>
    <n v="4.04"/>
    <n v="-0.43"/>
    <n v="0.72"/>
    <n v="-0.99"/>
    <n v="-9.395348837209303"/>
    <n v="5.6111111111111116"/>
    <n v="-100.13"/>
    <n v="-39.21"/>
    <n v="1.2"/>
    <n v="-4.0808080808080804"/>
    <s v="NO"/>
    <n v="-1.1795620973551892"/>
    <n v="0.91448073503494753"/>
    <n v="-1.5449123985889475"/>
    <n v="-1.0308756783021158"/>
    <n v="-0.51666999647857859"/>
    <n v="0.22214828370908357"/>
    <x v="1"/>
    <x v="1"/>
    <x v="0"/>
    <x v="0"/>
    <x v="0"/>
    <x v="1"/>
  </r>
  <r>
    <x v="0"/>
    <s v="VALN"/>
    <n v="544"/>
    <n v="6.08"/>
    <n v="-0.44"/>
    <n v="1.23"/>
    <n v="-0.57999999999999996"/>
    <n v="-13.818181818181818"/>
    <n v="4.9430894308943092"/>
    <n v="-44.11"/>
    <n v="-19.190000000000001"/>
    <n v="2.75"/>
    <n v="-10.482758620689657"/>
    <s v="NO"/>
    <n v="-2.4620099612834263"/>
    <n v="0.65647034998867071"/>
    <n v="5.9362679607755105E-2"/>
    <n v="0.20815154042129511"/>
    <n v="2.9837270180627673"/>
    <n v="-1.7938330911323215"/>
    <x v="1"/>
    <x v="1"/>
    <x v="0"/>
    <x v="0"/>
    <x v="0"/>
    <x v="1"/>
  </r>
  <r>
    <x v="0"/>
    <s v="SVRA"/>
    <n v="394"/>
    <n v="2.38"/>
    <n v="-0.46"/>
    <n v="0.7"/>
    <n v="-0.49"/>
    <n v="-5.1739130434782608"/>
    <n v="3.4"/>
    <n v="-75.77"/>
    <n v="-38.97"/>
    <n v="1.28"/>
    <n v="-4.8571428571428568"/>
    <s v="NO"/>
    <n v="4.4488491864702565E-2"/>
    <n v="6.0482060960881823E-2"/>
    <n v="-0.84730188618495461"/>
    <n v="-1.0160222051505863"/>
    <n v="-0.33600434411515412"/>
    <n v="-2.232040438570574E-2"/>
    <x v="1"/>
    <x v="1"/>
    <x v="0"/>
    <x v="0"/>
    <x v="0"/>
    <x v="1"/>
  </r>
  <r>
    <x v="0"/>
    <s v="ERAS"/>
    <n v="397"/>
    <n v="1.63"/>
    <n v="-0.49"/>
    <n v="1.41"/>
    <n v="-0.59"/>
    <n v="-3.3265306122448979"/>
    <n v="1.1560283687943262"/>
    <n v="-45.82"/>
    <n v="-22.16"/>
    <n v="1.18"/>
    <n v="-2.7627118644067794"/>
    <s v="NO"/>
    <n v="0.58015684357190045"/>
    <n v="-0.80620835006349856"/>
    <n v="1.0392483539987112E-2"/>
    <n v="2.4339810171118824E-2"/>
    <n v="-0.5618364095694347"/>
    <n v="0.6372182543313657"/>
    <x v="1"/>
    <x v="1"/>
    <x v="0"/>
    <x v="0"/>
    <x v="0"/>
    <x v="1"/>
  </r>
  <r>
    <x v="0"/>
    <s v="PRTC"/>
    <n v="443"/>
    <n v="18.309999999999999"/>
    <n v="-0.53"/>
    <n v="1.73"/>
    <n v="0.21"/>
    <n v="-34.547169811320749"/>
    <n v="10.583815028901734"/>
    <n v="6.41"/>
    <n v="-13.1"/>
    <n v="1.45"/>
    <n v="87.19047619047619"/>
    <s v="NO"/>
    <n v="-8.4726023774025876"/>
    <n v="2.8350909345929836"/>
    <n v="1.5061312792239177"/>
    <n v="0.5850584216413538"/>
    <n v="4.7910167157122353E-2"/>
    <n v="28.963577634421942"/>
    <x v="0"/>
    <x v="1"/>
    <x v="0"/>
    <x v="0"/>
    <x v="0"/>
    <x v="0"/>
  </r>
  <r>
    <x v="0"/>
    <s v="ABSI"/>
    <n v="338"/>
    <n v="2.97"/>
    <n v="-0.66"/>
    <n v="1.56"/>
    <n v="-0.92"/>
    <n v="-4.5"/>
    <n v="1.903846153846154"/>
    <n v="-48.98"/>
    <n v="-27.52"/>
    <n v="1.17"/>
    <n v="-3.2282608695652173"/>
    <s v="NO"/>
    <n v="0.23989680748507566"/>
    <n v="-0.51737827107106693"/>
    <n v="-8.0102147789923181E-2"/>
    <n v="-0.30738775687970449"/>
    <n v="-0.58441961611486271"/>
    <n v="0.49061635267207593"/>
    <x v="1"/>
    <x v="1"/>
    <x v="0"/>
    <x v="0"/>
    <x v="0"/>
    <x v="1"/>
  </r>
  <r>
    <x v="0"/>
    <s v="RGLS"/>
    <n v="549"/>
    <n v="8.3000000000000007"/>
    <n v="-0.66"/>
    <n v="1.04"/>
    <n v="-0.72"/>
    <n v="-12.575757575757576"/>
    <n v="7.9807692307692308"/>
    <n v="-53.82"/>
    <n v="-34.229999999999997"/>
    <n v="1.08"/>
    <n v="-11.527777777777779"/>
    <s v="NO"/>
    <n v="-2.1017557254476262"/>
    <n v="1.8297151083903191"/>
    <n v="-0.2187078489407987"/>
    <n v="-0.72266611040788054"/>
    <n v="-0.78766847502371473"/>
    <n v="-2.1229107907986937"/>
    <x v="1"/>
    <x v="1"/>
    <x v="0"/>
    <x v="0"/>
    <x v="0"/>
    <x v="1"/>
  </r>
  <r>
    <x v="0"/>
    <s v="CADL"/>
    <n v="273"/>
    <n v="5.86"/>
    <n v="-0.74"/>
    <n v="1.52"/>
    <n v="-1.08"/>
    <n v="-7.9189189189189193"/>
    <n v="3.8552631578947372"/>
    <n v="-98.14"/>
    <n v="-32.31"/>
    <n v="1.28"/>
    <n v="-5.4259259259259256"/>
    <s v="NO"/>
    <n v="-0.75145540576248437"/>
    <n v="0.23631860361273599"/>
    <n v="-1.4879236908843521"/>
    <n v="-0.60383832519564562"/>
    <n v="-0.33600434411515412"/>
    <n v="-0.20143082797436027"/>
    <x v="1"/>
    <x v="1"/>
    <x v="0"/>
    <x v="0"/>
    <x v="0"/>
    <x v="1"/>
  </r>
  <r>
    <x v="0"/>
    <s v="ATYR"/>
    <n v="398"/>
    <n v="5.45"/>
    <n v="-0.78"/>
    <n v="0.84"/>
    <n v="-0.8"/>
    <n v="-6.9871794871794872"/>
    <n v="6.4880952380952381"/>
    <n v="-79.7"/>
    <n v="-39.82"/>
    <n v="1.3"/>
    <n v="-6.8125"/>
    <s v="NO"/>
    <n v="-0.4812875633156728"/>
    <n v="1.2531988021030889"/>
    <n v="-0.95984742451614091"/>
    <n v="-1.0686282558955864"/>
    <n v="-0.290837931024298"/>
    <n v="-0.63806455245530702"/>
    <x v="1"/>
    <x v="1"/>
    <x v="0"/>
    <x v="0"/>
    <x v="0"/>
    <x v="1"/>
  </r>
  <r>
    <x v="0"/>
    <s v="CKPT"/>
    <n v="371"/>
    <n v="4.26"/>
    <n v="-0.78"/>
    <n v="0.2"/>
    <n v="-1.22"/>
    <n v="-5.4615384615384608"/>
    <n v="21.299999999999997"/>
    <n v="-1869.5"/>
    <n v="-152.72999999999999"/>
    <n v="2.1"/>
    <n v="-3.4918032786885247"/>
    <s v="NO"/>
    <n v="-3.8911583288409358E-2"/>
    <n v="6.9740090153996714"/>
    <n v="-52.215319308779947"/>
    <n v="-8.0565684789755228"/>
    <n v="1.515818592609945"/>
    <n v="0.40762655370945394"/>
    <x v="1"/>
    <x v="0"/>
    <x v="1"/>
    <x v="1"/>
    <x v="0"/>
    <x v="1"/>
  </r>
  <r>
    <x v="0"/>
    <s v="HUMA"/>
    <n v="414"/>
    <n v="2.56"/>
    <n v="-0.81"/>
    <n v="0.23"/>
    <n v="-0.65"/>
    <n v="-3.1604938271604937"/>
    <n v="11.130434782608695"/>
    <n v="-249.75"/>
    <n v="-42.82"/>
    <n v="4.51"/>
    <n v="-3.9384615384615382"/>
    <s v="NO"/>
    <n v="0.62830099038482967"/>
    <n v="3.0462121860500657"/>
    <n v="-5.8296613668108446"/>
    <n v="-1.254296670289704"/>
    <n v="6.9583713700581011"/>
    <n v="0.26697336886961509"/>
    <x v="1"/>
    <x v="1"/>
    <x v="1"/>
    <x v="0"/>
    <x v="1"/>
    <x v="1"/>
  </r>
  <r>
    <x v="0"/>
    <s v="JANX"/>
    <n v="1408"/>
    <n v="25.94"/>
    <n v="-0.82"/>
    <n v="17.11"/>
    <n v="-1.37"/>
    <n v="-31.634146341463417"/>
    <n v="1.5160724722384571"/>
    <n v="-9.32"/>
    <n v="-8.16"/>
    <n v="1.04"/>
    <n v="-18.934306569343065"/>
    <s v="NO"/>
    <n v="-7.6279399760496185"/>
    <n v="-0.66714831576474165"/>
    <n v="1.0556627504835723"/>
    <n v="0.89079241067700066"/>
    <n v="-0.87800130120542696"/>
    <n v="-4.4552349790293695"/>
    <x v="0"/>
    <x v="1"/>
    <x v="0"/>
    <x v="0"/>
    <x v="0"/>
    <x v="0"/>
  </r>
  <r>
    <x v="0"/>
    <s v="ARQT"/>
    <n v="1554"/>
    <n v="14.21"/>
    <n v="-0.94"/>
    <n v="1.2"/>
    <n v="-1.04"/>
    <n v="-15.117021276595747"/>
    <n v="11.841666666666669"/>
    <n v="-70.58"/>
    <n v="-18.43"/>
    <n v="2.41"/>
    <n v="-13.663461538461538"/>
    <s v="NO"/>
    <n v="-2.8386223941278592"/>
    <n v="3.3209116721557126"/>
    <n v="-0.69867304548804487"/>
    <n v="0.25518753873447164"/>
    <n v="2.2158979955182145"/>
    <n v="-2.7954399922144471"/>
    <x v="1"/>
    <x v="0"/>
    <x v="0"/>
    <x v="0"/>
    <x v="0"/>
    <x v="1"/>
  </r>
  <r>
    <x v="0"/>
    <s v="SANA"/>
    <n v="489"/>
    <n v="2.83"/>
    <n v="-0.95"/>
    <n v="0.93"/>
    <n v="-0.88"/>
    <n v="-2.978947368421053"/>
    <n v="3.043010752688172"/>
    <n v="-71.44"/>
    <n v="-23.84"/>
    <n v="2.13"/>
    <n v="-3.2159090909090908"/>
    <s v="NO"/>
    <n v="0.68094233343706878"/>
    <n v="-7.7398094555047689E-2"/>
    <n v="-0.72330133122972939"/>
    <n v="-7.9634501889586984E-2"/>
    <n v="1.5835682122462287"/>
    <n v="0.49450594156561573"/>
    <x v="1"/>
    <x v="1"/>
    <x v="0"/>
    <x v="0"/>
    <x v="0"/>
    <x v="1"/>
  </r>
  <r>
    <x v="0"/>
    <s v="CTMX"/>
    <n v="417"/>
    <n v="2.6349999999999998"/>
    <n v="-0.95"/>
    <n v="0.31"/>
    <n v="0.49"/>
    <n v="-2.7736842105263158"/>
    <n v="8.5"/>
    <n v="-1254.8"/>
    <n v="15.87"/>
    <n v="3.93"/>
    <n v="5.3775510204081627"/>
    <s v="NO"/>
    <n v="0.74046058780429291"/>
    <n v="2.0302578971417664"/>
    <n v="-34.611822511787565"/>
    <n v="2.377996409973882"/>
    <n v="5.6485453904232763"/>
    <n v="3.2005961279759902"/>
    <x v="1"/>
    <x v="1"/>
    <x v="1"/>
    <x v="0"/>
    <x v="1"/>
    <x v="0"/>
  </r>
  <r>
    <x v="0"/>
    <s v="ALLO"/>
    <n v="256"/>
    <n v="1.41"/>
    <n v="-0.96"/>
    <n v="1.76"/>
    <n v="-1.22"/>
    <n v="-1.46875"/>
    <n v="0.80113636363636354"/>
    <n v="-59.6"/>
    <n v="-28.92"/>
    <n v="1.32"/>
    <n v="-1.1557377049180328"/>
    <s v="NO"/>
    <n v="1.1188402593984879"/>
    <n v="-0.94327848657603519"/>
    <n v="-0.38423283915816647"/>
    <n v="-0.3940330169302928"/>
    <n v="-0.24567151793344189"/>
    <n v="1.143256211856833"/>
    <x v="1"/>
    <x v="1"/>
    <x v="0"/>
    <x v="0"/>
    <x v="0"/>
    <x v="1"/>
  </r>
  <r>
    <x v="0"/>
    <s v="RZLT"/>
    <n v="352"/>
    <n v="4.3099999999999996"/>
    <n v="-1"/>
    <n v="1.36"/>
    <n v="-1.1200000000000001"/>
    <n v="-4.3099999999999996"/>
    <n v="3.1691176470588229"/>
    <n v="-95.16"/>
    <n v="-52.85"/>
    <n v="1.1499999999999999"/>
    <n v="-3.8482142857142851"/>
    <s v="NO"/>
    <n v="0.29498934550191647"/>
    <n v="-2.8691758612474461E-2"/>
    <n v="-1.4025838170352594"/>
    <n v="-1.8750480690807036"/>
    <n v="-0.62958602920571882"/>
    <n v="0.29539232954975064"/>
    <x v="1"/>
    <x v="1"/>
    <x v="0"/>
    <x v="0"/>
    <x v="0"/>
    <x v="1"/>
  </r>
  <r>
    <x v="0"/>
    <s v="VNDA"/>
    <n v="256"/>
    <n v="4.59"/>
    <n v="-1.01"/>
    <n v="8.68"/>
    <n v="-0.76"/>
    <n v="-4.5445544554455441"/>
    <n v="0.52880184331797231"/>
    <n v="-8.3800000000000008"/>
    <n v="-7.05"/>
    <n v="1.24"/>
    <n v="-6.0394736842105257"/>
    <s v="NO"/>
    <n v="0.22697776521953208"/>
    <n v="-1.0484623998076192"/>
    <n v="1.0825820395500647"/>
    <n v="0.95948972400282406"/>
    <n v="-0.42633717029686635"/>
    <n v="-0.39463770228119149"/>
    <x v="1"/>
    <x v="1"/>
    <x v="0"/>
    <x v="0"/>
    <x v="0"/>
    <x v="1"/>
  </r>
  <r>
    <x v="0"/>
    <s v="BNTC"/>
    <n v="393"/>
    <n v="16.170000000000002"/>
    <n v="-1.03"/>
    <n v="3.82"/>
    <n v="-1.47"/>
    <n v="-15.699029126213594"/>
    <n v="4.2329842931937183"/>
    <n v="-48.57"/>
    <n v="-31.34"/>
    <n v="1.08"/>
    <n v="-11.000000000000002"/>
    <s v="NO"/>
    <n v="-3.0073818129761265"/>
    <n v="0.3822060477552347"/>
    <n v="-6.8360755750283012E-2"/>
    <n v="-0.54380553787488084"/>
    <n v="-0.78766847502371473"/>
    <n v="-1.956712979143175"/>
    <x v="0"/>
    <x v="1"/>
    <x v="0"/>
    <x v="0"/>
    <x v="0"/>
    <x v="1"/>
  </r>
  <r>
    <x v="0"/>
    <s v="ZYME"/>
    <n v="796"/>
    <n v="12.45"/>
    <n v="-1.04"/>
    <n v="4.67"/>
    <n v="-1.5"/>
    <n v="-11.971153846153845"/>
    <n v="2.6659528907922909"/>
    <n v="-29.8"/>
    <n v="-13.89"/>
    <n v="1.31"/>
    <n v="-8.2999999999999989"/>
    <s v="NO"/>
    <n v="-1.9264443888249041"/>
    <n v="-0.22302936224221154"/>
    <n v="0.46916589933276071"/>
    <n v="0.53616573918423616"/>
    <n v="-0.26825472447886994"/>
    <n v="-1.1064799637265192"/>
    <x v="1"/>
    <x v="1"/>
    <x v="0"/>
    <x v="0"/>
    <x v="0"/>
    <x v="1"/>
  </r>
  <r>
    <x v="0"/>
    <s v="AUTL"/>
    <n v="466"/>
    <n v="2.35"/>
    <n v="-1.07"/>
    <n v="1.39"/>
    <n v="-0.89"/>
    <n v="-2.1962616822429908"/>
    <n v="1.6906474820143886"/>
    <n v="-49.97"/>
    <n v="-20.28"/>
    <n v="2.0099999999999998"/>
    <n v="-2.6404494382022472"/>
    <s v="NO"/>
    <n v="0.90789044354760529"/>
    <n v="-0.59972211265539432"/>
    <n v="-0.10845331393442048"/>
    <n v="0.14069201652476576"/>
    <n v="1.312569733701092"/>
    <n v="0.67571882888841595"/>
    <x v="1"/>
    <x v="1"/>
    <x v="0"/>
    <x v="0"/>
    <x v="0"/>
    <x v="1"/>
  </r>
  <r>
    <x v="0"/>
    <s v="TWST"/>
    <n v="1756"/>
    <n v="33.36"/>
    <n v="-1.1100000000000001"/>
    <n v="7.35"/>
    <n v="-3.25"/>
    <n v="-30.054054054054053"/>
    <n v="4.5387755102040819"/>
    <n v="-38.22"/>
    <n v="-15.04"/>
    <n v="1.35"/>
    <n v="-10.264615384615384"/>
    <s v="NO"/>
    <n v="-7.1697752686063696"/>
    <n v="0.50031195955589347"/>
    <n v="0.22803779939673369"/>
    <n v="0.46499284699982452"/>
    <n v="-0.17792189829715771"/>
    <n v="-1.7251395424655898"/>
    <x v="0"/>
    <x v="1"/>
    <x v="0"/>
    <x v="0"/>
    <x v="0"/>
    <x v="1"/>
  </r>
  <r>
    <x v="0"/>
    <s v="ALT"/>
    <n v="440"/>
    <n v="5.95"/>
    <n v="-1.1100000000000001"/>
    <n v="1.83"/>
    <n v="-1.25"/>
    <n v="-5.3603603603603602"/>
    <n v="3.2513661202185791"/>
    <n v="-57.28"/>
    <n v="-35.51"/>
    <n v="1.1100000000000001"/>
    <n v="-4.76"/>
    <s v="NO"/>
    <n v="-9.573907574586947E-3"/>
    <n v="3.0751149155372449E-3"/>
    <n v="-0.31779374273873862"/>
    <n v="-0.80188463388270403"/>
    <n v="-0.71991885538743061"/>
    <n v="8.2699898197611515E-3"/>
    <x v="1"/>
    <x v="1"/>
    <x v="0"/>
    <x v="0"/>
    <x v="0"/>
    <x v="1"/>
  </r>
  <r>
    <x v="0"/>
    <s v="IOVA"/>
    <n v="584"/>
    <n v="2.21"/>
    <n v="-1.1399999999999999"/>
    <n v="2.2999999999999998"/>
    <n v="-1.23"/>
    <n v="-1.9385964912280702"/>
    <n v="0.96086956521739131"/>
    <n v="-51.85"/>
    <n v="-27.14"/>
    <n v="1.26"/>
    <n v="-1.7967479674796747"/>
    <s v="NO"/>
    <n v="0.98260322950342649"/>
    <n v="-0.88158464329954123"/>
    <n v="-0.16229189206740521"/>
    <n v="-0.28386975772311629"/>
    <n v="-0.38117075720601024"/>
    <n v="0.94140136428246013"/>
    <x v="1"/>
    <x v="1"/>
    <x v="0"/>
    <x v="0"/>
    <x v="0"/>
    <x v="1"/>
  </r>
  <r>
    <x v="0"/>
    <s v="CGON"/>
    <n v="1953"/>
    <n v="27"/>
    <n v="-1.18"/>
    <n v="9.25"/>
    <n v="-1.51"/>
    <n v="-22.881355932203391"/>
    <n v="2.9189189189189189"/>
    <n v="-16.579999999999998"/>
    <n v="-12.85"/>
    <n v="1.03"/>
    <n v="-17.880794701986755"/>
    <s v="NO"/>
    <n v="-5.0899745109148995"/>
    <n v="-0.12532615252093984"/>
    <n v="0.84775419875725933"/>
    <n v="0.60053078950753025"/>
    <n v="-0.90058450775085508"/>
    <n v="-4.1234829154147086"/>
    <x v="0"/>
    <x v="1"/>
    <x v="0"/>
    <x v="0"/>
    <x v="0"/>
    <x v="0"/>
  </r>
  <r>
    <x v="0"/>
    <s v="CAPR"/>
    <n v="452"/>
    <n v="13.38"/>
    <n v="-1.22"/>
    <n v="2.79"/>
    <n v="-1.42"/>
    <n v="-10.967213114754099"/>
    <n v="4.795698924731183"/>
    <n v="-75.39"/>
    <n v="-35.24"/>
    <n v="1.2"/>
    <n v="-9.422535211267606"/>
    <s v="NO"/>
    <n v="-1.6353410050812445"/>
    <n v="0.59954363282737744"/>
    <n v="-0.83641962039211748"/>
    <n v="-0.78517447658723372"/>
    <n v="-0.51666999647857859"/>
    <n v="-1.4599675554255671"/>
    <x v="1"/>
    <x v="1"/>
    <x v="0"/>
    <x v="0"/>
    <x v="0"/>
    <x v="1"/>
  </r>
  <r>
    <x v="0"/>
    <s v="CNTA"/>
    <n v="1805"/>
    <n v="11.94"/>
    <n v="-1.24"/>
    <n v="2.9"/>
    <n v="-1.82"/>
    <n v="-9.629032258064516"/>
    <n v="4.1172413793103448"/>
    <n v="-74.44"/>
    <n v="-28.58"/>
    <n v="1.37"/>
    <n v="-6.5604395604395602"/>
    <s v="NO"/>
    <n v="-1.2473211118150378"/>
    <n v="0.33750259775981628"/>
    <n v="-0.8092139559100241"/>
    <n v="-0.37299059663229256"/>
    <n v="-0.13275548520630159"/>
    <n v="-0.5586904385313366"/>
    <x v="1"/>
    <x v="1"/>
    <x v="0"/>
    <x v="0"/>
    <x v="0"/>
    <x v="1"/>
  </r>
  <r>
    <x v="0"/>
    <s v="TYRA"/>
    <n v="484"/>
    <n v="10.26"/>
    <n v="-1.25"/>
    <n v="6.09"/>
    <n v="-1.63"/>
    <n v="-8.2080000000000002"/>
    <n v="1.6847290640394088"/>
    <n v="-27.04"/>
    <n v="-19"/>
    <n v="1.06"/>
    <n v="-6.294478527607362"/>
    <s v="NO"/>
    <n v="-0.83527756602253089"/>
    <n v="-0.60200798652118526"/>
    <n v="0.54820551403863182"/>
    <n v="0.21991053999958929"/>
    <n v="-0.83283488811457085"/>
    <n v="-0.47493901226161522"/>
    <x v="1"/>
    <x v="1"/>
    <x v="0"/>
    <x v="0"/>
    <x v="0"/>
    <x v="1"/>
  </r>
  <r>
    <x v="0"/>
    <s v="VIGL"/>
    <n v="368"/>
    <n v="7.88"/>
    <n v="-1.27"/>
    <n v="1.4"/>
    <n v="-2.0499999999999998"/>
    <n v="-6.2047244094488185"/>
    <n v="5.628571428571429"/>
    <n v="-102.7"/>
    <n v="-49.38"/>
    <n v="1.65"/>
    <n v="-3.8439024390243905"/>
    <s v="NO"/>
    <n v="-0.25440632059805757"/>
    <n v="0.92122444315757113"/>
    <n v="-1.6185108803984001"/>
    <n v="-1.6602916030981745"/>
    <n v="0.49957429806568299"/>
    <n v="0.29675013488795932"/>
    <x v="1"/>
    <x v="1"/>
    <x v="0"/>
    <x v="0"/>
    <x v="0"/>
    <x v="1"/>
  </r>
  <r>
    <x v="0"/>
    <s v="RXRX"/>
    <n v="1699"/>
    <n v="5.37"/>
    <n v="-1.27"/>
    <n v="2.2999999999999998"/>
    <n v="-1.82"/>
    <n v="-4.228346456692913"/>
    <n v="2.3347826086956522"/>
    <n v="-86.1"/>
    <n v="-38.51"/>
    <n v="1.4"/>
    <n v="-2.9505494505494507"/>
    <s v="NO"/>
    <n v="0.31866566623273446"/>
    <n v="-0.35093744446479308"/>
    <n v="-1.1431276905007692"/>
    <n v="-0.98755304827682155"/>
    <n v="-6.5005865570017932E-2"/>
    <n v="0.57806798867408082"/>
    <x v="1"/>
    <x v="1"/>
    <x v="0"/>
    <x v="0"/>
    <x v="0"/>
    <x v="1"/>
  </r>
  <r>
    <x v="0"/>
    <s v="ADCT"/>
    <n v="306"/>
    <n v="3.57"/>
    <n v="-1.32"/>
    <n v="-2.4"/>
    <n v="-1.45"/>
    <n v="-2.7045454545454541"/>
    <n v="-1.4875"/>
    <n v="69.260000000000005"/>
    <n v="-27.02"/>
    <n v="-1.1399999999999999"/>
    <n v="-2.4620689655172412"/>
    <s v="NO"/>
    <n v="0.76050811171120181"/>
    <n v="-1.8272197820457992"/>
    <n v="3.3060007662760915"/>
    <n v="-0.27644302114735153"/>
    <n v="-5.8011403281087386"/>
    <n v="0.73189103895597929"/>
    <x v="1"/>
    <x v="1"/>
    <x v="1"/>
    <x v="0"/>
    <x v="1"/>
    <x v="1"/>
  </r>
  <r>
    <x v="0"/>
    <s v="ABEO"/>
    <n v="319"/>
    <n v="6.54"/>
    <n v="-1.35"/>
    <n v="0.85"/>
    <n v="-0.95"/>
    <n v="-4.8444444444444441"/>
    <n v="7.6941176470588237"/>
    <n v="-271.77999999999997"/>
    <n v="-49.95"/>
    <n v="2.4"/>
    <n v="-6.8842105263157896"/>
    <s v="NO"/>
    <n v="0.14002144616799614"/>
    <n v="1.7190015078029186"/>
    <n v="-6.460546407379808"/>
    <n v="-1.6955686018330567"/>
    <n v="2.1933147889727858"/>
    <n v="-0.66064627727996972"/>
    <x v="1"/>
    <x v="1"/>
    <x v="1"/>
    <x v="0"/>
    <x v="0"/>
    <x v="1"/>
  </r>
  <r>
    <x v="0"/>
    <s v="TRDA"/>
    <n v="288"/>
    <n v="8.11"/>
    <n v="-1.48"/>
    <n v="11.84"/>
    <n v="0.61"/>
    <n v="-5.4797297297297298"/>
    <n v="0.68496621621621623"/>
    <n v="7.22"/>
    <n v="0.51"/>
    <n v="1.17"/>
    <n v="13.295081967213115"/>
    <s v="NO"/>
    <n v="-4.4186336627367429E-2"/>
    <n v="-0.98814694721795227"/>
    <n v="1.529327687887597"/>
    <n v="1.4273741282760004"/>
    <n v="-0.58441961611486271"/>
    <n v="5.6938354655895669"/>
    <x v="1"/>
    <x v="1"/>
    <x v="0"/>
    <x v="0"/>
    <x v="0"/>
    <x v="0"/>
  </r>
  <r>
    <x v="0"/>
    <s v="MGTX"/>
    <n v="411"/>
    <n v="6.32"/>
    <n v="-1.49"/>
    <n v="0.42"/>
    <n v="-2.27"/>
    <n v="-4.2416107382550337"/>
    <n v="15.047619047619049"/>
    <n v="-216.14"/>
    <n v="-37.28"/>
    <n v="6.77"/>
    <n v="-2.7841409691629959"/>
    <s v="NO"/>
    <n v="0.31481954551574909"/>
    <n v="4.5591484431256299"/>
    <n v="-4.8671535949759424"/>
    <n v="-0.91142899837523361"/>
    <n v="12.062176049324837"/>
    <n v="0.63047020531115927"/>
    <x v="1"/>
    <x v="0"/>
    <x v="1"/>
    <x v="0"/>
    <x v="1"/>
    <x v="1"/>
  </r>
  <r>
    <x v="0"/>
    <s v="SLN"/>
    <n v="276"/>
    <n v="5.31"/>
    <n v="-1.51"/>
    <n v="2.39"/>
    <n v="-1.52"/>
    <n v="-3.516556291390728"/>
    <n v="2.2217573221757321"/>
    <n v="-53.14"/>
    <n v="-20.96"/>
    <n v="1.64"/>
    <n v="-3.4934210526315788"/>
    <s v="NO"/>
    <n v="0.52505685961128146"/>
    <n v="-0.39459126373231462"/>
    <n v="-0.19923432067993191"/>
    <n v="9.8607175928765792E-2"/>
    <n v="0.47699109152025493"/>
    <n v="0.40711711488802232"/>
    <x v="1"/>
    <x v="1"/>
    <x v="0"/>
    <x v="0"/>
    <x v="0"/>
    <x v="1"/>
  </r>
  <r>
    <x v="0"/>
    <s v="INZY"/>
    <n v="256"/>
    <n v="3.98"/>
    <n v="-1.52"/>
    <n v="0.49"/>
    <n v="-1.68"/>
    <n v="-2.6184210526315788"/>
    <n v="8.1224489795918373"/>
    <n v="-141.69"/>
    <n v="-48.45"/>
    <n v="2.99"/>
    <n v="-2.3690476190476191"/>
    <s v="NO"/>
    <n v="0.78548080585129576"/>
    <n v="1.8844361565681518"/>
    <n v="-2.7350886258266298"/>
    <n v="-1.602734394635998"/>
    <n v="3.5257239751530407"/>
    <n v="0.76118356484745486"/>
    <x v="1"/>
    <x v="1"/>
    <x v="0"/>
    <x v="0"/>
    <x v="1"/>
    <x v="1"/>
  </r>
  <r>
    <x v="0"/>
    <s v="XOMA"/>
    <n v="296"/>
    <n v="25.28"/>
    <n v="-1.57"/>
    <n v="7.08"/>
    <n v="-0.73"/>
    <n v="-16.101910828025478"/>
    <n v="3.5706214689265536"/>
    <n v="-3.42"/>
    <n v="-6.78"/>
    <n v="2.52"/>
    <n v="-34.630136986301373"/>
    <s v="NO"/>
    <n v="-3.1242016838885518"/>
    <n v="0.12638128578935501"/>
    <n v="1.224624245688152"/>
    <n v="0.9761998812982946"/>
    <n v="2.4643132675179227"/>
    <n v="-9.3978695067622997"/>
    <x v="0"/>
    <x v="1"/>
    <x v="0"/>
    <x v="0"/>
    <x v="0"/>
    <x v="0"/>
  </r>
  <r>
    <x v="0"/>
    <s v="AURA"/>
    <n v="363"/>
    <n v="6.29"/>
    <n v="-1.61"/>
    <n v="2.5499999999999998"/>
    <n v="-1.9"/>
    <n v="-3.9068322981366457"/>
    <n v="2.4666666666666668"/>
    <n v="-56.24"/>
    <n v="-32.92"/>
    <n v="1.21"/>
    <n v="-3.310526315789474"/>
    <s v="NO"/>
    <n v="0.41189214519701706"/>
    <n v="-0.29999979141209049"/>
    <n v="-0.28801069951623648"/>
    <n v="-0.64159090278911612"/>
    <n v="-0.49408678993315053"/>
    <n v="0.46471087178028092"/>
    <x v="1"/>
    <x v="1"/>
    <x v="0"/>
    <x v="0"/>
    <x v="0"/>
    <x v="1"/>
  </r>
  <r>
    <x v="0"/>
    <s v="ORIC"/>
    <n v="581"/>
    <n v="9.86"/>
    <n v="-1.65"/>
    <n v="3.09"/>
    <n v="-1.88"/>
    <n v="-5.9757575757575756"/>
    <n v="3.1909385113268609"/>
    <n v="-48.45"/>
    <n v="-30.87"/>
    <n v="1.1100000000000001"/>
    <n v="-5.2446808510638299"/>
    <s v="NO"/>
    <n v="-0.18801493117842369"/>
    <n v="-2.0263874071344248E-2"/>
    <n v="-6.4924250763071303E-2"/>
    <n v="-0.51471748628646918"/>
    <n v="-0.71991885538743061"/>
    <n v="-0.14435655148198359"/>
    <x v="1"/>
    <x v="1"/>
    <x v="0"/>
    <x v="0"/>
    <x v="0"/>
    <x v="1"/>
  </r>
  <r>
    <x v="0"/>
    <s v="IMTX"/>
    <n v="655"/>
    <n v="6"/>
    <n v="-1.65"/>
    <n v="4.78"/>
    <n v="-0.22"/>
    <n v="-3.6363636363636367"/>
    <n v="1.2552301255230125"/>
    <n v="-4.78"/>
    <n v="-5.84"/>
    <n v="1.2"/>
    <n v="-27.272727272727273"/>
    <s v="NO"/>
    <n v="0.49031743483435136"/>
    <n v="-0.76789360039470234"/>
    <n v="1.1856771891664184"/>
    <n v="1.0343759844751181"/>
    <n v="-0.51666999647857859"/>
    <n v="-7.0810129710482652"/>
    <x v="1"/>
    <x v="1"/>
    <x v="0"/>
    <x v="0"/>
    <x v="0"/>
    <x v="0"/>
  </r>
  <r>
    <x v="0"/>
    <s v="ATXS"/>
    <n v="269"/>
    <n v="5.79"/>
    <n v="-1.67"/>
    <n v="3.44"/>
    <n v="-1.88"/>
    <n v="-3.4670658682634734"/>
    <n v="1.683139534883721"/>
    <n v="-32.89"/>
    <n v="-22.56"/>
    <n v="1.6"/>
    <n v="-3.0797872340425534"/>
    <s v="NO"/>
    <n v="0.5394071386513225"/>
    <n v="-0.60262191125094577"/>
    <n v="0.38067589591205719"/>
    <n v="-4.1597841476342592E-4"/>
    <n v="0.38665826533854319"/>
    <n v="0.53737086631663444"/>
    <x v="1"/>
    <x v="1"/>
    <x v="0"/>
    <x v="0"/>
    <x v="0"/>
    <x v="1"/>
  </r>
  <r>
    <x v="0"/>
    <s v="COGT"/>
    <n v="619"/>
    <n v="6.9"/>
    <n v="-1.68"/>
    <n v="0.97"/>
    <n v="-2.04"/>
    <n v="-4.1071428571428577"/>
    <n v="7.1134020618556706"/>
    <n v="-84.04"/>
    <n v="-47.45"/>
    <n v="2.56"/>
    <n v="-3.3823529411764706"/>
    <s v="NO"/>
    <n v="0.35380995000109949"/>
    <n v="1.4947114043858964"/>
    <n v="-1.0841343548869673"/>
    <n v="-1.5408449231712922"/>
    <n v="2.5546460936996347"/>
    <n v="0.44209258722843331"/>
    <x v="1"/>
    <x v="1"/>
    <x v="0"/>
    <x v="0"/>
    <x v="0"/>
    <x v="1"/>
  </r>
  <r>
    <x v="0"/>
    <s v="DAWN"/>
    <n v="647"/>
    <n v="7.08"/>
    <n v="-1.7"/>
    <n v="4.7300000000000004"/>
    <n v="-0.71"/>
    <n v="-4.1647058823529415"/>
    <n v="1.496828752642706"/>
    <n v="-17.8"/>
    <n v="-27.81"/>
    <n v="1.1100000000000001"/>
    <n v="-9.9718309859154939"/>
    <s v="NO"/>
    <n v="0.33711893339714738"/>
    <n v="-0.6745808282859086"/>
    <n v="0.81281639805393946"/>
    <n v="-0.32533570360446912"/>
    <n v="-0.71991885538743061"/>
    <n v="-1.6329414083272342"/>
    <x v="1"/>
    <x v="1"/>
    <x v="0"/>
    <x v="0"/>
    <x v="0"/>
    <x v="1"/>
  </r>
  <r>
    <x v="0"/>
    <s v="VERV"/>
    <n v="397"/>
    <n v="6.1"/>
    <n v="-1.71"/>
    <n v="5.33"/>
    <n v="-2.1"/>
    <n v="-3.5672514619883038"/>
    <n v="1.1444652908067541"/>
    <n v="-34.26"/>
    <n v="-19.350000000000001"/>
    <n v="1.3"/>
    <n v="-2.9047619047619047"/>
    <s v="NO"/>
    <n v="0.51035725111961217"/>
    <n v="-0.81067436410502691"/>
    <n v="0.34144246397472267"/>
    <n v="0.19824922498694217"/>
    <n v="-0.290837931024298"/>
    <n v="0.59248653797907103"/>
    <x v="1"/>
    <x v="1"/>
    <x v="0"/>
    <x v="0"/>
    <x v="0"/>
    <x v="1"/>
  </r>
  <r>
    <x v="0"/>
    <s v="RGNX"/>
    <n v="444"/>
    <n v="9.5299999999999994"/>
    <n v="-1.71"/>
    <n v="5.47"/>
    <n v="-3.1"/>
    <n v="-5.5730994152046778"/>
    <n v="1.7422303473491774"/>
    <n v="-47.44"/>
    <n v="-17.559999999999999"/>
    <n v="1.79"/>
    <n v="-3.0741935483870964"/>
    <s v="NO"/>
    <n v="-7.1259878451835998E-2"/>
    <n v="-0.57979923389119048"/>
    <n v="-3.6000333787371941E-2"/>
    <n v="0.30903137890876581"/>
    <n v="0.8157391897016758"/>
    <n v="0.53913232417668333"/>
    <x v="1"/>
    <x v="1"/>
    <x v="0"/>
    <x v="0"/>
    <x v="0"/>
    <x v="1"/>
  </r>
  <r>
    <x v="0"/>
    <s v="RLAY"/>
    <n v="514"/>
    <n v="3.36"/>
    <n v="-1.79"/>
    <n v="4.2300000000000004"/>
    <n v="-2.19"/>
    <n v="-1.8770949720670389"/>
    <n v="0.7943262411347517"/>
    <n v="-45.46"/>
    <n v="-28.82"/>
    <n v="1.1100000000000001"/>
    <n v="-1.5342465753424657"/>
    <s v="NO"/>
    <n v="1.0004362546743348"/>
    <n v="-0.94590876397703649"/>
    <n v="2.0701998501622458E-2"/>
    <n v="-0.38784406978382213"/>
    <n v="-0.71991885538743061"/>
    <n v="1.0240633458335302"/>
    <x v="1"/>
    <x v="1"/>
    <x v="0"/>
    <x v="0"/>
    <x v="0"/>
    <x v="1"/>
  </r>
  <r>
    <x v="0"/>
    <s v="OLMA"/>
    <n v="361"/>
    <n v="4.38"/>
    <n v="-1.89"/>
    <n v="5.61"/>
    <n v="-1.95"/>
    <n v="-2.3174603174603177"/>
    <n v="0.78074866310160418"/>
    <n v="-41.59"/>
    <n v="-27.44"/>
    <n v="1.07"/>
    <n v="-2.2461538461538462"/>
    <s v="NO"/>
    <n v="0.87274759924076428"/>
    <n v="-0.9511528394914589"/>
    <n v="0.13152928433920252"/>
    <n v="-0.30243659916252813"/>
    <n v="-0.81025168156914285"/>
    <n v="0.79988295118204822"/>
    <x v="1"/>
    <x v="1"/>
    <x v="0"/>
    <x v="0"/>
    <x v="0"/>
    <x v="1"/>
  </r>
  <r>
    <x v="0"/>
    <s v="CMPS"/>
    <n v="389"/>
    <n v="4.67"/>
    <n v="-1.95"/>
    <n v="2.11"/>
    <n v="-1.94"/>
    <n v="-2.3948717948717948"/>
    <n v="2.2132701421800949"/>
    <n v="-60.62"/>
    <n v="-32.4"/>
    <n v="1.63"/>
    <n v="-2.4072164948453607"/>
    <s v="NO"/>
    <n v="0.85030131101849271"/>
    <n v="-0.39786927198186833"/>
    <n v="-0.41344313154946655"/>
    <n v="-0.60940837762746891"/>
    <n v="0.45440788497482687"/>
    <n v="0.7491641432309446"/>
    <x v="1"/>
    <x v="1"/>
    <x v="0"/>
    <x v="0"/>
    <x v="0"/>
    <x v="1"/>
  </r>
  <r>
    <x v="0"/>
    <s v="RCKT"/>
    <n v="270"/>
    <n v="3.02"/>
    <n v="-2.15"/>
    <n v="3.86"/>
    <n v="-2.61"/>
    <n v="-1.4046511627906977"/>
    <n v="0.78238341968911918"/>
    <n v="-60.45"/>
    <n v="-34.799999999999997"/>
    <n v="1.1399999999999999"/>
    <n v="-1.157088122605364"/>
    <s v="NO"/>
    <n v="1.1374264047973761"/>
    <n v="-0.95052144654555204"/>
    <n v="-0.40857474948425004"/>
    <n v="-0.75794310914276286"/>
    <n v="-0.65216923575114694"/>
    <n v="1.1428309638189176"/>
    <x v="1"/>
    <x v="1"/>
    <x v="0"/>
    <x v="0"/>
    <x v="0"/>
    <x v="1"/>
  </r>
  <r>
    <x v="0"/>
    <s v="DNLI"/>
    <n v="1923"/>
    <n v="14.645"/>
    <n v="-2.2599999999999998"/>
    <n v="7.73"/>
    <n v="-2.67"/>
    <n v="-6.480088495575222"/>
    <n v="1.8945666235446312"/>
    <n v="-35.21"/>
    <n v="-22.58"/>
    <n v="1.1299999999999999"/>
    <n v="-5.4850187265917603"/>
    <s v="NO"/>
    <n v="-0.3342510910369601"/>
    <n v="-0.52096230921989983"/>
    <n v="0.31423679949262928"/>
    <n v="-1.6537678440575164E-3"/>
    <n v="-0.67475244229657494"/>
    <n v="-0.22003921690011133"/>
    <x v="1"/>
    <x v="1"/>
    <x v="0"/>
    <x v="0"/>
    <x v="0"/>
    <x v="1"/>
  </r>
  <r>
    <x v="0"/>
    <s v="ITOS"/>
    <n v="384"/>
    <n v="10.039999999999999"/>
    <n v="-2.37"/>
    <n v="14.72"/>
    <n v="-3.09"/>
    <n v="-4.2362869198312234"/>
    <n v="0.68206521739130421"/>
    <n v="-23.68"/>
    <n v="-14.54"/>
    <n v="1.17"/>
    <n v="-3.2491909385113269"/>
    <s v="NO"/>
    <n v="0.31636324377316238"/>
    <n v="-0.9892674016073838"/>
    <n v="0.64442765368056187"/>
    <n v="0.49593758273217742"/>
    <n v="-0.58441961611486271"/>
    <n v="0.48402545058580582"/>
    <x v="1"/>
    <x v="1"/>
    <x v="0"/>
    <x v="0"/>
    <x v="0"/>
    <x v="1"/>
  </r>
  <r>
    <x v="0"/>
    <s v="CELC"/>
    <n v="403"/>
    <n v="12.91"/>
    <n v="-2.4500000000000002"/>
    <n v="2.29"/>
    <n v="-3.04"/>
    <n v="-5.2693877551020405"/>
    <n v="5.6375545851528388"/>
    <n v="-115.39"/>
    <n v="-39.04"/>
    <n v="2.52"/>
    <n v="-4.2467105263157894"/>
    <s v="NO"/>
    <n v="1.6804575129018423E-2"/>
    <n v="0.92469401271966722"/>
    <n v="-1.9819212827960464"/>
    <n v="-1.0203544681531158"/>
    <n v="2.4643132675179227"/>
    <n v="0.1699054183353737"/>
    <x v="1"/>
    <x v="1"/>
    <x v="0"/>
    <x v="0"/>
    <x v="0"/>
    <x v="1"/>
  </r>
  <r>
    <x v="0"/>
    <s v="REPL"/>
    <n v="692"/>
    <n v="10.18"/>
    <n v="-2.4700000000000002"/>
    <n v="5.39"/>
    <n v="-3.07"/>
    <n v="-4.1214574898785417"/>
    <n v="1.888682745825603"/>
    <n v="-62.58"/>
    <n v="-31.26"/>
    <n v="1.33"/>
    <n v="-3.3159609120521174"/>
    <s v="NO"/>
    <n v="0.34965926869484798"/>
    <n v="-0.52323484258342623"/>
    <n v="-0.46957271300725911"/>
    <n v="-0.53885438015770448"/>
    <n v="-0.22308831138801383"/>
    <n v="0.4629995113477034"/>
    <x v="1"/>
    <x v="1"/>
    <x v="0"/>
    <x v="0"/>
    <x v="0"/>
    <x v="1"/>
  </r>
  <r>
    <x v="0"/>
    <s v="XNCR"/>
    <n v="569"/>
    <n v="9.5500000000000007"/>
    <n v="-2.52"/>
    <n v="9"/>
    <n v="-3.05"/>
    <n v="-3.78968253968254"/>
    <n v="1.0611111111111111"/>
    <n v="-34.049999999999997"/>
    <n v="-11.42"/>
    <n v="1.41"/>
    <n v="-3.1311475409836071"/>
    <s v="NO"/>
    <n v="0.44586097425647242"/>
    <n v="-0.84286829528329299"/>
    <n v="0.34745634770234335"/>
    <n v="0.68903273370205964"/>
    <n v="-4.2422659024589873E-2"/>
    <n v="0.52119744830062809"/>
    <x v="1"/>
    <x v="1"/>
    <x v="0"/>
    <x v="0"/>
    <x v="0"/>
    <x v="1"/>
  </r>
  <r>
    <x v="0"/>
    <s v="DNTH"/>
    <n v="559"/>
    <n v="18.190000000000001"/>
    <n v="-2.54"/>
    <n v="10.23"/>
    <n v="-2.81"/>
    <n v="-7.1614173228346463"/>
    <n v="1.7781036168132942"/>
    <n v="-28.73"/>
    <n v="-20.04"/>
    <n v="1.06"/>
    <n v="-6.4733096085409256"/>
    <s v="NO"/>
    <n v="-0.5318096927093775"/>
    <n v="-0.56594388107644089"/>
    <n v="0.4998080688020658"/>
    <n v="0.15554548967629528"/>
    <n v="-0.83283488811457085"/>
    <n v="-0.53125311936989805"/>
    <x v="1"/>
    <x v="1"/>
    <x v="0"/>
    <x v="0"/>
    <x v="0"/>
    <x v="1"/>
  </r>
  <r>
    <x v="0"/>
    <s v="ABVX"/>
    <n v="382"/>
    <n v="7.8"/>
    <n v="-2.54"/>
    <n v="0.66"/>
    <n v="-2.9"/>
    <n v="-3.0708661417322833"/>
    <n v="11.818181818181817"/>
    <n v="-148.97999999999999"/>
    <n v="-40.619999999999997"/>
    <n v="5.0599999999999996"/>
    <n v="-2.6896551724137931"/>
    <s v="NO"/>
    <n v="0.65428949915754087"/>
    <n v="3.3118411060651578"/>
    <n v="-2.9438563037997461"/>
    <n v="-1.1181398330673509"/>
    <n v="8.2004477300566432"/>
    <n v="0.6602238882312037"/>
    <x v="1"/>
    <x v="0"/>
    <x v="0"/>
    <x v="0"/>
    <x v="1"/>
    <x v="1"/>
  </r>
  <r>
    <x v="0"/>
    <s v="CGEM"/>
    <n v="510"/>
    <n v="8.76"/>
    <n v="-2.6"/>
    <n v="9.4"/>
    <n v="-3.1"/>
    <n v="-3.3692307692307693"/>
    <n v="0.93191489361702118"/>
    <n v="-36.57"/>
    <n v="-25.38"/>
    <n v="1.05"/>
    <n v="-2.8258064516129031"/>
    <s v="NO"/>
    <n v="0.56777547503469428"/>
    <n v="-0.89276782221384754"/>
    <n v="0.2752897429708957"/>
    <n v="-0.17494428794523392"/>
    <n v="-0.85541809465999896"/>
    <n v="0.61734969835479847"/>
    <x v="1"/>
    <x v="1"/>
    <x v="0"/>
    <x v="0"/>
    <x v="0"/>
    <x v="1"/>
  </r>
  <r>
    <x v="0"/>
    <s v="CLDX"/>
    <n v="1313"/>
    <n v="20.71"/>
    <n v="-2.62"/>
    <n v="10.59"/>
    <n v="-2.7"/>
    <n v="-7.9045801526717554"/>
    <n v="1.9556185080264401"/>
    <n v="-23.2"/>
    <n v="-16.88"/>
    <n v="1.05"/>
    <n v="-7.6703703703703701"/>
    <s v="NO"/>
    <n v="-0.74729772668571348"/>
    <n v="-0.49738220592468929"/>
    <n v="0.65817367362940904"/>
    <n v="0.35111621950476574"/>
    <n v="-0.85541809465999896"/>
    <n v="-0.90820889017256712"/>
    <x v="1"/>
    <x v="1"/>
    <x v="0"/>
    <x v="0"/>
    <x v="0"/>
    <x v="1"/>
  </r>
  <r>
    <x v="0"/>
    <s v="VERA"/>
    <n v="1209"/>
    <n v="22.19"/>
    <n v="-2.67"/>
    <n v="8.39"/>
    <n v="-3"/>
    <n v="-8.3108614232209739"/>
    <n v="2.6448152562574494"/>
    <n v="-39.49"/>
    <n v="-23.46"/>
    <n v="1.1399999999999999"/>
    <n v="-7.3966666666666674"/>
    <s v="NO"/>
    <n v="-0.86510333901867742"/>
    <n v="-0.23119336258353573"/>
    <n v="0.19166812161540883"/>
    <n v="-5.611650273299882E-2"/>
    <n v="-0.65216923575114694"/>
    <n v="-0.82201928819823167"/>
    <x v="1"/>
    <x v="1"/>
    <x v="0"/>
    <x v="0"/>
    <x v="0"/>
    <x v="1"/>
  </r>
  <r>
    <x v="0"/>
    <s v="VSTM"/>
    <n v="413"/>
    <n v="6.11"/>
    <n v="-2.71"/>
    <n v="-0.63"/>
    <n v="-3.5"/>
    <n v="-2.2546125461254616"/>
    <n v="-9.6984126984126995"/>
    <n v="-2159.5"/>
    <n v="-64.19"/>
    <n v="-4.0599999999999996"/>
    <n v="-1.7457142857142858"/>
    <s v="NO"/>
    <n v="0.89097098466991831"/>
    <n v="-4.9985251597564115"/>
    <n v="-60.52020636120843"/>
    <n v="-2.5768746754904677"/>
    <n v="-12.395436639373726"/>
    <n v="0.95747192766586786"/>
    <x v="1"/>
    <x v="0"/>
    <x v="1"/>
    <x v="0"/>
    <x v="1"/>
    <x v="1"/>
  </r>
  <r>
    <x v="0"/>
    <s v="KALV"/>
    <n v="587"/>
    <n v="14.76"/>
    <n v="-2.71"/>
    <n v="2.93"/>
    <n v="-3.72"/>
    <n v="-5.4464944649446494"/>
    <n v="5.0375426621160404"/>
    <n v="-150.5"/>
    <n v="-58.15"/>
    <n v="1.9"/>
    <n v="-3.9677419354838706"/>
    <s v="NO"/>
    <n v="-3.4549415108042117E-2"/>
    <n v="0.69295107401019473"/>
    <n v="-2.9873853669710955"/>
    <n v="-2.2030622678436442"/>
    <n v="1.0641544617013838"/>
    <n v="0.25775293914632086"/>
    <x v="1"/>
    <x v="1"/>
    <x v="0"/>
    <x v="0"/>
    <x v="0"/>
    <x v="1"/>
  </r>
  <r>
    <x v="0"/>
    <s v="NRIX"/>
    <n v="810"/>
    <n v="12.54"/>
    <n v="-2.71"/>
    <n v="6.31"/>
    <n v="-2.81"/>
    <n v="-4.6273062730627306"/>
    <n v="1.9873217115689381"/>
    <n v="-64.16"/>
    <n v="-31.08"/>
    <n v="1.28"/>
    <n v="-4.462633451957295"/>
    <s v="NO"/>
    <n v="0.20298298807196627"/>
    <n v="-0.48513745998987812"/>
    <n v="-0.51482002867221421"/>
    <n v="-0.52771427529405723"/>
    <n v="-0.33600434411515412"/>
    <n v="0.10191104790360947"/>
    <x v="1"/>
    <x v="1"/>
    <x v="0"/>
    <x v="0"/>
    <x v="0"/>
    <x v="1"/>
  </r>
  <r>
    <x v="0"/>
    <s v="IMNM"/>
    <n v="762"/>
    <n v="9.27"/>
    <n v="-2.73"/>
    <n v="3.53"/>
    <n v="-3.13"/>
    <n v="-3.3956043956043955"/>
    <n v="2.6260623229461757"/>
    <n v="-69.209999999999994"/>
    <n v="-33.54"/>
    <n v="1.1200000000000001"/>
    <n v="-2.9616613418530351"/>
    <s v="NO"/>
    <n v="0.56012815917347869"/>
    <n v="-0.23843631844511584"/>
    <n v="-0.65943961355071024"/>
    <n v="-0.67996237509723367"/>
    <n v="-0.6973356488420025"/>
    <n v="0.57456884169258882"/>
    <x v="1"/>
    <x v="1"/>
    <x v="0"/>
    <x v="0"/>
    <x v="0"/>
    <x v="1"/>
  </r>
  <r>
    <x v="0"/>
    <s v="BCAX"/>
    <n v="504"/>
    <n v="11.48"/>
    <n v="-2.92"/>
    <n v="8.42"/>
    <n v="-3.05"/>
    <n v="-3.9315068493150687"/>
    <n v="1.3634204275534443"/>
    <n v="-27.26"/>
    <n v="-13.84"/>
    <n v="1.04"/>
    <n v="-3.7639344262295085"/>
    <s v="NO"/>
    <n v="0.40473749441361839"/>
    <n v="-0.72610719987535799"/>
    <n v="0.54190525489541019"/>
    <n v="0.53926021275747149"/>
    <n v="-0.87800130120542696"/>
    <n v="0.32193215142702236"/>
    <x v="1"/>
    <x v="1"/>
    <x v="0"/>
    <x v="0"/>
    <x v="0"/>
    <x v="1"/>
  </r>
  <r>
    <x v="0"/>
    <s v="VIR"/>
    <n v="683"/>
    <n v="5.43"/>
    <n v="-3.09"/>
    <n v="7.56"/>
    <n v="-4.22"/>
    <n v="-1.7572815533980581"/>
    <n v="0.71825396825396826"/>
    <n v="-44.59"/>
    <n v="-23.52"/>
    <n v="1.25"/>
    <n v="-1.2867298578199051"/>
    <s v="NO"/>
    <n v="1.0351774405845899"/>
    <n v="-0.97529020023662971"/>
    <n v="4.5616659658907842E-2"/>
    <n v="-5.9829871020881088E-2"/>
    <n v="-0.40375396375143829"/>
    <n v="1.1020066366132484"/>
    <x v="1"/>
    <x v="1"/>
    <x v="0"/>
    <x v="0"/>
    <x v="0"/>
    <x v="1"/>
  </r>
  <r>
    <x v="0"/>
    <s v="KYMR"/>
    <n v="1930"/>
    <n v="47.16"/>
    <n v="-3.1"/>
    <n v="12.07"/>
    <n v="-3.11"/>
    <n v="-15.21290322580645"/>
    <n v="3.9072079536039763"/>
    <n v="-32.17"/>
    <n v="-19.47"/>
    <n v="1.17"/>
    <n v="-15.163987138263666"/>
    <s v="NO"/>
    <n v="-2.8664243937700666"/>
    <n v="0.25638127094673829"/>
    <n v="0.40129492583532789"/>
    <n v="0.19082248841117763"/>
    <n v="-0.58441961611486271"/>
    <n v="-3.267957179410613"/>
    <x v="1"/>
    <x v="1"/>
    <x v="0"/>
    <x v="0"/>
    <x v="0"/>
    <x v="1"/>
  </r>
  <r>
    <x v="0"/>
    <s v="IDYA"/>
    <n v="1742"/>
    <n v="21.71"/>
    <n v="-3.15"/>
    <n v="11.7"/>
    <n v="-3.61"/>
    <n v="-6.8920634920634924"/>
    <n v="1.8555555555555558"/>
    <n v="-31.34"/>
    <n v="-21.84"/>
    <n v="1.07"/>
    <n v="-6.0138504155124659"/>
    <s v="NO"/>
    <n v="-0.45370766027915926"/>
    <n v="-0.53602957570391752"/>
    <n v="0.42506408533020945"/>
    <n v="4.4144441039824713E-2"/>
    <n v="-0.81025168156914285"/>
    <n v="-0.38656890635156838"/>
    <x v="1"/>
    <x v="1"/>
    <x v="0"/>
    <x v="0"/>
    <x v="0"/>
    <x v="1"/>
  </r>
  <r>
    <x v="0"/>
    <s v="UPB"/>
    <n v="497"/>
    <n v="11.29"/>
    <n v="-3.16"/>
    <n v="8.31"/>
    <n v="-3.4"/>
    <n v="-3.5727848101265818"/>
    <n v="1.3586040914560769"/>
    <n v="-28.62"/>
    <n v="-16.91"/>
    <n v="1.02"/>
    <n v="-3.3205882352941174"/>
    <s v="NO"/>
    <n v="0.50875279747398849"/>
    <n v="-0.72796741604467563"/>
    <n v="0.50295819837367661"/>
    <n v="0.34925953536082449"/>
    <n v="-0.92316771429628308"/>
    <n v="0.46154236209090588"/>
    <x v="1"/>
    <x v="1"/>
    <x v="0"/>
    <x v="0"/>
    <x v="0"/>
    <x v="1"/>
  </r>
  <r>
    <x v="0"/>
    <s v="ORKA"/>
    <n v="410"/>
    <n v="12.54"/>
    <n v="-3.18"/>
    <n v="9.66"/>
    <n v="-3.04"/>
    <n v="-3.9433962264150937"/>
    <n v="1.2981366459627328"/>
    <m/>
    <m/>
    <n v="1.04"/>
    <n v="-4.125"/>
    <s v="NO"/>
    <n v="0.40129004199319901"/>
    <n v="-0.75132179114435671"/>
    <n v="1.3225646378236879"/>
    <n v="1.3958104978290002"/>
    <n v="-0.87800130120542696"/>
    <n v="0.20823219900108547"/>
    <x v="1"/>
    <x v="1"/>
    <x v="0"/>
    <x v="0"/>
    <x v="0"/>
    <x v="1"/>
  </r>
  <r>
    <x v="0"/>
    <s v="DYN"/>
    <n v="1359"/>
    <n v="14.4"/>
    <n v="-3.19"/>
    <n v="5.89"/>
    <n v="-3.62"/>
    <n v="-4.5141065830721008"/>
    <n v="2.4448217317487266"/>
    <n v="-64.010000000000005"/>
    <n v="-39.92"/>
    <n v="1.08"/>
    <n v="-3.9779005524861879"/>
    <s v="NO"/>
    <n v="0.23580645241040496"/>
    <n v="-0.3084369727737184"/>
    <n v="-0.51052439743819977"/>
    <n v="-1.0748172030420571"/>
    <n v="-0.78766847502371473"/>
    <n v="0.25455397930693452"/>
    <x v="1"/>
    <x v="1"/>
    <x v="0"/>
    <x v="0"/>
    <x v="0"/>
    <x v="1"/>
  </r>
  <r>
    <x v="0"/>
    <s v="SYRE"/>
    <n v="922"/>
    <n v="17.16"/>
    <n v="-3.21"/>
    <n v="5.42"/>
    <n v="-3.01"/>
    <n v="-5.3457943925233646"/>
    <n v="3.1660516605166054"/>
    <n v="-65.819999999999993"/>
    <n v="-25.34"/>
    <n v="1.74"/>
    <n v="-5.7009966777408643"/>
    <s v="NO"/>
    <n v="-5.3503489597882181E-3"/>
    <n v="-2.9875936299712885E-2"/>
    <n v="-0.56235834766197723"/>
    <n v="-0.17246870908664574"/>
    <n v="0.70282315697453557"/>
    <n v="-0.28805091492567197"/>
    <x v="1"/>
    <x v="1"/>
    <x v="0"/>
    <x v="0"/>
    <x v="0"/>
    <x v="1"/>
  </r>
  <r>
    <x v="0"/>
    <s v="RCUS"/>
    <n v="946"/>
    <n v="9.85"/>
    <n v="-3.25"/>
    <n v="5.01"/>
    <n v="-4.2"/>
    <n v="-3.0307692307692307"/>
    <n v="1.9660678642714571"/>
    <n v="-63.17"/>
    <n v="-22.25"/>
    <n v="2.1800000000000002"/>
    <n v="-2.3452380952380949"/>
    <s v="NO"/>
    <n v="0.66591602858696108"/>
    <n v="-0.49334634525114412"/>
    <n v="-0.48646886252771715"/>
    <n v="1.8769757739295307E-2"/>
    <n v="1.6964842449733695"/>
    <n v="0.76868121048604987"/>
    <x v="1"/>
    <x v="1"/>
    <x v="0"/>
    <x v="0"/>
    <x v="0"/>
    <x v="1"/>
  </r>
  <r>
    <x v="0"/>
    <s v="TVTX"/>
    <n v="1334"/>
    <n v="14.91"/>
    <n v="-3.27"/>
    <n v="0.37"/>
    <n v="-2.77"/>
    <n v="-4.5596330275229358"/>
    <n v="40.297297297297298"/>
    <n v="-422.66"/>
    <n v="-23.21"/>
    <n v="16.72"/>
    <n v="-5.3826714801444044"/>
    <s v="NO"/>
    <n v="0.22260557150683016"/>
    <n v="14.311345715195879"/>
    <n v="-10.781378677967428"/>
    <n v="-4.0644134866822355E-2"/>
    <n v="34.532466562025732"/>
    <n v="-0.18780995469028658"/>
    <x v="1"/>
    <x v="0"/>
    <x v="1"/>
    <x v="0"/>
    <x v="1"/>
    <x v="1"/>
  </r>
  <r>
    <x v="0"/>
    <s v="ARCT"/>
    <n v="340"/>
    <n v="12.54"/>
    <n v="-3.32"/>
    <n v="8.6199999999999992"/>
    <n v="-2.52"/>
    <n v="-3.7771084337349397"/>
    <n v="1.4547563805104409"/>
    <n v="-27.4"/>
    <n v="-13.67"/>
    <n v="1.42"/>
    <n v="-4.9761904761904754"/>
    <s v="NO"/>
    <n v="0.44950697115092481"/>
    <n v="-0.69083046397158421"/>
    <n v="0.53789599907699648"/>
    <n v="0.54978142290647147"/>
    <n v="-1.9839452479161818E-2"/>
    <n v="-5.9808632578679806E-2"/>
    <x v="1"/>
    <x v="1"/>
    <x v="0"/>
    <x v="0"/>
    <x v="0"/>
    <x v="1"/>
  </r>
  <r>
    <x v="0"/>
    <s v="SNDX"/>
    <n v="907"/>
    <n v="11.09"/>
    <n v="-3.34"/>
    <n v="2.5"/>
    <n v="-3.86"/>
    <n v="-3.3203592814371259"/>
    <n v="4.4359999999999999"/>
    <n v="-93.7"/>
    <n v="-36.29"/>
    <n v="2.98"/>
    <n v="-2.8730569948186528"/>
    <s v="NO"/>
    <n v="0.5819462871358041"/>
    <n v="0.46061691709488117"/>
    <n v="-1.3607730063575161"/>
    <n v="-0.85015842162517474"/>
    <n v="3.5031407686076119"/>
    <n v="0.60247044952890971"/>
    <x v="1"/>
    <x v="1"/>
    <x v="0"/>
    <x v="0"/>
    <x v="1"/>
    <x v="1"/>
  </r>
  <r>
    <x v="0"/>
    <s v="QURE"/>
    <n v="792"/>
    <n v="16.899999999999999"/>
    <n v="-3.36"/>
    <n v="0.62"/>
    <n v="-4.37"/>
    <n v="-5.0297619047619042"/>
    <n v="27.258064516129028"/>
    <n v="-241.16"/>
    <n v="-15.64"/>
    <n v="17.97"/>
    <n v="-3.8672768878718533"/>
    <s v="NO"/>
    <n v="8.6286660758922287E-2"/>
    <n v="9.2751955868266762"/>
    <n v="-5.5836648848096004"/>
    <n v="0.42785916412100089"/>
    <n v="37.355367380204235"/>
    <n v="0.28938949484081833"/>
    <x v="1"/>
    <x v="0"/>
    <x v="1"/>
    <x v="0"/>
    <x v="1"/>
    <x v="1"/>
  </r>
  <r>
    <x v="0"/>
    <s v="ETNB"/>
    <n v="1436"/>
    <n v="10.57"/>
    <n v="-3.41"/>
    <n v="4.1500000000000004"/>
    <n v="-3.3"/>
    <n v="-3.0997067448680351"/>
    <n v="2.5469879518072287"/>
    <n v="-69.3"/>
    <n v="-39.93"/>
    <n v="1.1299999999999999"/>
    <n v="-3.2030303030303031"/>
    <s v="NO"/>
    <n v="0.64592685692235652"/>
    <n v="-0.26897725678446821"/>
    <n v="-0.66201699229111921"/>
    <n v="-1.0754360977567039"/>
    <n v="-0.67475244229657494"/>
    <n v="0.49856148625194652"/>
    <x v="1"/>
    <x v="1"/>
    <x v="0"/>
    <x v="0"/>
    <x v="0"/>
    <x v="1"/>
  </r>
  <r>
    <x v="0"/>
    <s v="IRON"/>
    <n v="1617"/>
    <n v="51.42"/>
    <n v="-3.46"/>
    <n v="19.100000000000001"/>
    <n v="-3.92"/>
    <n v="-14.861271676300579"/>
    <n v="2.6921465968586387"/>
    <n v="-23.34"/>
    <n v="-16.239999999999998"/>
    <n v="1.07"/>
    <n v="-13.11734693877551"/>
    <s v="NO"/>
    <n v="-2.7644650542486309"/>
    <n v="-0.21291255258152206"/>
    <n v="0.65416441781099521"/>
    <n v="0.39072548124217754"/>
    <n v="-0.81025168156914285"/>
    <n v="-2.6234678948610726"/>
    <x v="1"/>
    <x v="1"/>
    <x v="0"/>
    <x v="0"/>
    <x v="0"/>
    <x v="1"/>
  </r>
  <r>
    <x v="0"/>
    <s v="AVBP"/>
    <n v="727"/>
    <n v="23.6"/>
    <n v="-3.55"/>
    <n v="5.95"/>
    <n v="-3.78"/>
    <n v="-6.6478873239436629"/>
    <n v="3.9663865546218489"/>
    <n v="-49"/>
    <n v="-23.1"/>
    <n v="1.06"/>
    <n v="-6.2433862433862437"/>
    <s v="NO"/>
    <n v="-0.38290616120048454"/>
    <n v="0.27923785492791375"/>
    <n v="-8.0674898621125243E-2"/>
    <n v="-3.3836293005704753E-2"/>
    <n v="-0.83283488811457085"/>
    <n v="-0.45884999489944994"/>
    <x v="1"/>
    <x v="1"/>
    <x v="0"/>
    <x v="0"/>
    <x v="0"/>
    <x v="1"/>
  </r>
  <r>
    <x v="0"/>
    <s v="PVLA"/>
    <n v="267"/>
    <n v="26.63"/>
    <n v="-3.64"/>
    <n v="5.04"/>
    <n v="-5.05"/>
    <n v="-7.3159340659340657"/>
    <n v="5.2837301587301582"/>
    <n v="-89.3"/>
    <n v="-18.399999999999999"/>
    <n v="1.43"/>
    <n v="-5.2732673267326735"/>
    <s v="NO"/>
    <n v="-0.576613479780131"/>
    <n v="0.788036207735754"/>
    <n v="-1.2347678234930837"/>
    <n v="0.25704422287841289"/>
    <n v="2.7437540662662387E-3"/>
    <n v="-0.15335846459607833"/>
    <x v="1"/>
    <x v="1"/>
    <x v="0"/>
    <x v="0"/>
    <x v="0"/>
    <x v="1"/>
  </r>
  <r>
    <x v="0"/>
    <s v="ANAB"/>
    <n v="653"/>
    <n v="23.19"/>
    <n v="-3.72"/>
    <n v="1.1200000000000001"/>
    <n v="-4.79"/>
    <n v="-6.2338709677419359"/>
    <n v="20.705357142857142"/>
    <n v="-343.83"/>
    <n v="-15.14"/>
    <n v="12.41"/>
    <n v="-4.84133611691023"/>
    <s v="NO"/>
    <n v="-0.2628576778129188"/>
    <n v="6.744339773996229"/>
    <n v="-8.5238812767848842"/>
    <n v="0.45880389985335385"/>
    <n v="24.799104540946253"/>
    <n v="-1.7342844233152414E-2"/>
    <x v="1"/>
    <x v="0"/>
    <x v="1"/>
    <x v="0"/>
    <x v="1"/>
    <x v="1"/>
  </r>
  <r>
    <x v="0"/>
    <s v="NTLA"/>
    <n v="712"/>
    <n v="8.2799999999999994"/>
    <n v="-3.78"/>
    <n v="7.53"/>
    <n v="-5.21"/>
    <n v="-2.1904761904761902"/>
    <n v="1.0996015936254979"/>
    <n v="-57.92"/>
    <n v="-30.12"/>
    <n v="1.26"/>
    <n v="-1.5892514395393473"/>
    <s v="NO"/>
    <n v="0.90956800894291356"/>
    <n v="-0.82800209481666898"/>
    <n v="-0.33612176933720145"/>
    <n v="-0.46830038268793978"/>
    <n v="-0.38117075720601024"/>
    <n v="1.0067422526673457"/>
    <x v="1"/>
    <x v="1"/>
    <x v="0"/>
    <x v="0"/>
    <x v="0"/>
    <x v="1"/>
  </r>
  <r>
    <x v="0"/>
    <s v="MLYS"/>
    <n v="1015"/>
    <n v="16.190000000000001"/>
    <n v="-3.81"/>
    <n v="5.26"/>
    <n v="-3.73"/>
    <n v="-4.2493438320209975"/>
    <n v="3.077946768060837"/>
    <n v="-56.31"/>
    <n v="-35.869999999999997"/>
    <n v="1.04"/>
    <n v="-4.3404825737265416"/>
    <s v="NO"/>
    <n v="0.31257725203001668"/>
    <n v="-6.390473790925956E-2"/>
    <n v="-0.29001532742544334"/>
    <n v="-0.82416484360999809"/>
    <n v="-0.87800130120542696"/>
    <n v="0.14037649587913764"/>
    <x v="1"/>
    <x v="1"/>
    <x v="0"/>
    <x v="0"/>
    <x v="0"/>
    <x v="1"/>
  </r>
  <r>
    <x v="0"/>
    <s v="VRDN"/>
    <n v="1136"/>
    <n v="14.86"/>
    <n v="-3.84"/>
    <n v="5.09"/>
    <n v="-3.33"/>
    <n v="-3.8697916666666665"/>
    <n v="2.9194499017681728"/>
    <n v="-51.95"/>
    <n v="-32.619999999999997"/>
    <n v="1.59"/>
    <n v="-4.4624624624624625"/>
    <s v="NO"/>
    <n v="0.42263247360453082"/>
    <n v="-0.12512107071978557"/>
    <n v="-0.16515564622341508"/>
    <n v="-0.62302406134970412"/>
    <n v="0.36407505879311514"/>
    <n v="0.10196489268649689"/>
    <x v="1"/>
    <x v="1"/>
    <x v="0"/>
    <x v="0"/>
    <x v="0"/>
    <x v="1"/>
  </r>
  <r>
    <x v="0"/>
    <s v="BEAM"/>
    <n v="1592"/>
    <n v="18.170000000000002"/>
    <n v="-4.3"/>
    <n v="11.52"/>
    <n v="-4.62"/>
    <n v="-4.2255813953488381"/>
    <n v="1.5772569444444446"/>
    <n v="-38.04"/>
    <n v="-19.05"/>
    <n v="1.31"/>
    <n v="-3.9329004329004333"/>
    <s v="NO"/>
    <n v="0.31946742542861517"/>
    <n v="-0.64351700303908776"/>
    <n v="0.23319255687755136"/>
    <n v="0.21681606642635395"/>
    <n v="-0.26825472447886994"/>
    <n v="0.2687245672215664"/>
    <x v="1"/>
    <x v="1"/>
    <x v="0"/>
    <x v="0"/>
    <x v="0"/>
    <x v="1"/>
  </r>
  <r>
    <x v="0"/>
    <s v="TECX"/>
    <n v="402"/>
    <n v="24.48"/>
    <n v="-5.07"/>
    <n v="16.12"/>
    <n v="-4.72"/>
    <n v="-4.8284023668639051"/>
    <n v="1.5186104218362282"/>
    <n v="-41.6"/>
    <n v="-22.89"/>
    <n v="1.05"/>
    <n v="-5.1864406779661021"/>
    <s v="NO"/>
    <n v="0.14467301863628537"/>
    <n v="-0.6661680820802055"/>
    <n v="0.1312429089236016"/>
    <n v="-2.083950399811647E-2"/>
    <n v="-0.85541809465999896"/>
    <n v="-0.12601665592966174"/>
    <x v="1"/>
    <x v="1"/>
    <x v="0"/>
    <x v="0"/>
    <x v="0"/>
    <x v="1"/>
  </r>
  <r>
    <x v="0"/>
    <s v="SAGE"/>
    <n v="405"/>
    <n v="6.81"/>
    <n v="-5.08"/>
    <n v="6.55"/>
    <n v="-5.79"/>
    <n v="-1.340551181102362"/>
    <n v="1.0396946564885496"/>
    <n v="-63.53"/>
    <n v="-36.35"/>
    <n v="1.1499999999999999"/>
    <n v="-1.1761658031088082"/>
    <s v="NO"/>
    <n v="1.1560128820502362"/>
    <n v="-0.851139984462153"/>
    <n v="-0.4967783774893525"/>
    <n v="-0.85387178991305723"/>
    <n v="-0.62958602920571882"/>
    <n v="1.1368233809220292"/>
    <x v="1"/>
    <x v="1"/>
    <x v="0"/>
    <x v="0"/>
    <x v="0"/>
    <x v="1"/>
  </r>
  <r>
    <x v="0"/>
    <s v="GLPG"/>
    <n v="1895"/>
    <n v="28.09"/>
    <n v="-5.21"/>
    <n v="45.16"/>
    <n v="-2.95"/>
    <n v="-5.3915547024952017"/>
    <n v="0.62201062887511072"/>
    <n v="-6.36"/>
    <n v="-4.66"/>
    <n v="1.46"/>
    <n v="-9.5220338983050841"/>
    <s v="NO"/>
    <n v="-1.8619041679713743E-2"/>
    <n v="-1.0124623187271846"/>
    <n v="1.1404298735014631"/>
    <n v="1.1074055608034712"/>
    <n v="7.0493373702550405E-2"/>
    <n v="-1.4912998030958906"/>
    <x v="1"/>
    <x v="1"/>
    <x v="0"/>
    <x v="0"/>
    <x v="0"/>
    <x v="1"/>
  </r>
  <r>
    <x v="0"/>
    <s v="SION"/>
    <n v="604"/>
    <n v="16.46"/>
    <n v="-5.75"/>
    <n v="7.98"/>
    <n v="-6.81"/>
    <n v="-2.8626086956521739"/>
    <n v="2.06265664160401"/>
    <n v="-61.44"/>
    <n v="-37.1"/>
    <n v="1.05"/>
    <n v="-2.4170337738619678"/>
    <s v="NO"/>
    <n v="0.71467597950205963"/>
    <n v="-0.45604080806763064"/>
    <n v="-0.43692591562874711"/>
    <n v="-0.90028889351158659"/>
    <n v="-0.85541809465999896"/>
    <n v="0.74607267110447184"/>
    <x v="1"/>
    <x v="1"/>
    <x v="0"/>
    <x v="0"/>
    <x v="0"/>
    <x v="1"/>
  </r>
  <r>
    <x v="0"/>
    <s v="ZBIO"/>
    <n v="398"/>
    <n v="11.92"/>
    <n v="-5.92"/>
    <n v="6.8"/>
    <n v="-7"/>
    <n v="-2.0135135135135136"/>
    <n v="1.7529411764705882"/>
    <n v="-115.47"/>
    <n v="-56.7"/>
    <n v="1.17"/>
    <n v="-1.7028571428571428"/>
    <s v="NO"/>
    <n v="0.96088023530148281"/>
    <n v="-0.57566238440318707"/>
    <n v="-1.9842122861208544"/>
    <n v="-2.1133225342198214"/>
    <n v="-0.58441961611486271"/>
    <n v="0.97096768981533854"/>
    <x v="1"/>
    <x v="1"/>
    <x v="0"/>
    <x v="0"/>
    <x v="0"/>
    <x v="1"/>
  </r>
  <r>
    <x v="0"/>
    <s v="BHVN"/>
    <n v="1512"/>
    <n v="17.07"/>
    <n v="-6.74"/>
    <n v="2.54"/>
    <n v="-9.23"/>
    <n v="-2.5326409495548963"/>
    <n v="6.7204724409448815"/>
    <n v="-316.82"/>
    <n v="-129.99"/>
    <n v="1.77"/>
    <n v="-1.8494041170097508"/>
    <s v="NO"/>
    <n v="0.81035366685045707"/>
    <n v="1.3429499783878989"/>
    <n v="-7.7503812792466311"/>
    <n v="-6.6492018978681129"/>
    <n v="0.77057277661081969"/>
    <n v="0.92481988398794646"/>
    <x v="1"/>
    <x v="1"/>
    <x v="1"/>
    <x v="1"/>
    <x v="0"/>
    <x v="1"/>
  </r>
  <r>
    <x v="0"/>
    <s v="AGIO"/>
    <n v="1858"/>
    <n v="33.659999999999997"/>
    <n v="-7.07"/>
    <n v="25.33"/>
    <n v="11.45"/>
    <n v="-4.7609618104667604"/>
    <n v="1.3288590604026844"/>
    <n v="60.26"/>
    <n v="-22.88"/>
    <n v="1.06"/>
    <n v="2.9397379912663752"/>
    <s v="NO"/>
    <n v="0.16422813135832004"/>
    <n v="-0.73945585593005259"/>
    <n v="3.0482628922352069"/>
    <n v="-2.0220609283469314E-2"/>
    <n v="-0.83283488811457085"/>
    <n v="2.4329260824984966"/>
    <x v="1"/>
    <x v="1"/>
    <x v="1"/>
    <x v="0"/>
    <x v="0"/>
    <x v="1"/>
  </r>
  <r>
    <x v="0"/>
    <s v="PRAX"/>
    <n v="785"/>
    <n v="44.51"/>
    <n v="-8.32"/>
    <n v="21.59"/>
    <n v="-10.79"/>
    <n v="-5.349759615384615"/>
    <n v="2.0616025937934226"/>
    <n v="-63.56"/>
    <n v="-39.94"/>
    <n v="1.0900000000000001"/>
    <n v="-4.1251158480074146"/>
    <s v="NO"/>
    <n v="-6.5001078609917976E-3"/>
    <n v="-0.45644791353968445"/>
    <n v="-0.49763750373615551"/>
    <n v="-1.0760549924713509"/>
    <n v="-0.76508526847828673"/>
    <n v="0.20819571833416911"/>
    <x v="1"/>
    <x v="1"/>
    <x v="0"/>
    <x v="0"/>
    <x v="0"/>
    <x v="1"/>
  </r>
  <r>
    <x v="0"/>
    <s v="GRAL"/>
    <n v="1382"/>
    <n v="40.03"/>
    <n v="-14.29"/>
    <n v="68.38"/>
    <n v="-58.52"/>
    <n v="-2.8012596221133661"/>
    <n v="0.58540508920737067"/>
    <n v="-62.22"/>
    <n v="-11.98"/>
    <n v="1.18"/>
    <n v="-0.68403964456596034"/>
    <s v="NO"/>
    <n v="0.73246480142961079"/>
    <n v="-1.0266004966699052"/>
    <n v="-0.45926319804562377"/>
    <n v="0.65437462968182425"/>
    <n v="-0.5618364095694347"/>
    <n v="1.2917944578639922"/>
    <x v="1"/>
    <x v="1"/>
    <x v="0"/>
    <x v="0"/>
    <x v="0"/>
    <x v="1"/>
  </r>
  <r>
    <x v="0"/>
    <s v="CDTX"/>
    <n v="281"/>
    <n v="25.38"/>
    <n v="-21.91"/>
    <n v="11.6"/>
    <n v="-21.19"/>
    <n v="-1.1583751711547239"/>
    <n v="2.1879310344827587"/>
    <n v="-299.58"/>
    <n v="-55.2"/>
    <n v="1.35"/>
    <n v="-1.1977347805568663"/>
    <s v="NO"/>
    <n v="1.2088367702281131"/>
    <n v="-0.40765600963924048"/>
    <n v="-7.2566700627505387"/>
    <n v="-2.0204883270227625"/>
    <n v="-0.17792189829715771"/>
    <n v="1.1300312858349488"/>
    <x v="1"/>
    <x v="1"/>
    <x v="1"/>
    <x v="0"/>
    <x v="0"/>
    <x v="1"/>
  </r>
  <r>
    <x v="0"/>
    <s v="TNXP"/>
    <n v="291"/>
    <n v="39.200000000000003"/>
    <n v="-27.11"/>
    <n v="26.23"/>
    <n v="-59.67"/>
    <n v="-1.4459609000368869"/>
    <n v="1.4944719786504004"/>
    <n v="-91.44"/>
    <n v="-27.59"/>
    <n v="1.07"/>
    <n v="-0.65694653929948055"/>
    <s v="NO"/>
    <n v="1.125448203377895"/>
    <n v="-0.67549108641559152"/>
    <n v="-1.2960521624316939"/>
    <n v="-0.31172001988223391"/>
    <n v="-0.81025168156914285"/>
    <n v="1.3003261069705552"/>
    <x v="1"/>
    <x v="1"/>
    <x v="0"/>
    <x v="0"/>
    <x v="0"/>
    <x v="1"/>
  </r>
  <r>
    <x v="1"/>
    <s v="UFPT"/>
    <n v="1805"/>
    <n v="238.19"/>
    <n v="7.69"/>
    <n v="46.8"/>
    <n v="8.15"/>
    <n v="30.973992197659296"/>
    <n v="5.0895299145299147"/>
    <n v="19.36"/>
    <n v="10.92"/>
    <n v="1.78"/>
    <n v="29.225766871165643"/>
    <s v="NO"/>
    <n v="1.4118704685851506"/>
    <n v="0.60292627410514898"/>
    <n v="1.2539329782509678"/>
    <n v="1.4562408043817034"/>
    <n v="0.31998280394290168"/>
    <n v="3.6728919731377889"/>
    <x v="1"/>
    <x v="1"/>
    <x v="0"/>
    <x v="0"/>
    <x v="0"/>
    <x v="0"/>
  </r>
  <r>
    <x v="1"/>
    <s v="CNMD"/>
    <n v="1756"/>
    <n v="59.04"/>
    <n v="5.33"/>
    <n v="31.61"/>
    <n v="3.81"/>
    <n v="11.076923076923077"/>
    <n v="1.8677633660234103"/>
    <n v="12.96"/>
    <n v="4.1399999999999997"/>
    <n v="2.35"/>
    <n v="15.496062992125983"/>
    <s v="NO"/>
    <n v="0.70009585689104847"/>
    <n v="-0.57749586715346268"/>
    <n v="1.095873334745268"/>
    <n v="0.91792313788591895"/>
    <n v="1.5724476846121165"/>
    <n v="2.3526046402469394"/>
    <x v="1"/>
    <x v="1"/>
    <x v="0"/>
    <x v="0"/>
    <x v="0"/>
    <x v="1"/>
  </r>
  <r>
    <x v="1"/>
    <s v="AVNS"/>
    <n v="581"/>
    <n v="12.64"/>
    <n v="2.48"/>
    <n v="18.149999999999999"/>
    <n v="-8.27"/>
    <n v="5.096774193548387"/>
    <n v="0.69641873278236921"/>
    <n v="-36.78"/>
    <n v="2.2599999999999998"/>
    <n v="1.32"/>
    <n v="-1.5284159613059252"/>
    <s v="NO"/>
    <n v="0.48616896527157344"/>
    <n v="-1.0066644984942825"/>
    <n v="-0.13254645712559121"/>
    <n v="0.76865511236791362"/>
    <n v="-0.69077832782523629"/>
    <n v="0.71548237531610981"/>
    <x v="1"/>
    <x v="1"/>
    <x v="0"/>
    <x v="0"/>
    <x v="0"/>
    <x v="1"/>
  </r>
  <r>
    <x v="1"/>
    <s v="OMCL"/>
    <n v="1423"/>
    <n v="31.68"/>
    <n v="2.3199999999999998"/>
    <n v="26.84"/>
    <n v="0.45"/>
    <n v="13.655172413793105"/>
    <n v="1.180327868852459"/>
    <n v="1.73"/>
    <n v="0.35"/>
    <n v="1.71"/>
    <n v="70.399999999999991"/>
    <s v="NO"/>
    <n v="0.79232715032756318"/>
    <n v="-0.82936516597769883"/>
    <n v="0.81852805403136075"/>
    <n v="0.61700515027249347"/>
    <n v="0.16617132736948922"/>
    <n v="7.6323232121819"/>
    <x v="1"/>
    <x v="1"/>
    <x v="0"/>
    <x v="0"/>
    <x v="0"/>
    <x v="0"/>
  </r>
  <r>
    <x v="1"/>
    <s v="LMAT"/>
    <n v="1857"/>
    <n v="83.32"/>
    <n v="1.83"/>
    <n v="15.38"/>
    <n v="1.97"/>
    <n v="45.530054644808736"/>
    <n v="5.4174252275682697"/>
    <n v="13.77"/>
    <n v="7.28"/>
    <n v="1.6"/>
    <n v="42.294416243654823"/>
    <s v="NO"/>
    <n v="1.9325821187908234"/>
    <n v="0.72306374579900046"/>
    <n v="1.1158777583764581"/>
    <n v="1.1672324996553531"/>
    <n v="-7.5532421531586985E-2"/>
    <n v="4.929610426536529"/>
    <x v="1"/>
    <x v="1"/>
    <x v="0"/>
    <x v="0"/>
    <x v="0"/>
    <x v="0"/>
  </r>
  <r>
    <x v="1"/>
    <s v="INMD"/>
    <n v="893"/>
    <n v="14.56"/>
    <n v="1.62"/>
    <n v="9.01"/>
    <n v="2.29"/>
    <n v="8.9876543209876534"/>
    <n v="1.6159822419533851"/>
    <n v="24.5"/>
    <n v="8.6199999999999992"/>
    <n v="1.1399999999999999"/>
    <n v="6.3580786026200871"/>
    <s v="NO"/>
    <n v="0.62535678610344425"/>
    <n v="-0.66974588251879519"/>
    <n v="1.3808746294414829"/>
    <n v="1.2736256667798886"/>
    <n v="-1.0862935532997255"/>
    <n v="1.4738700991445983"/>
    <x v="1"/>
    <x v="1"/>
    <x v="0"/>
    <x v="0"/>
    <x v="0"/>
    <x v="1"/>
  </r>
  <r>
    <x v="1"/>
    <s v="IRMD"/>
    <n v="736"/>
    <n v="60.8"/>
    <n v="1.0900000000000001"/>
    <n v="7.08"/>
    <n v="1.55"/>
    <n v="55.77981651376146"/>
    <n v="8.5875706214689256"/>
    <n v="23.81"/>
    <n v="14.92"/>
    <n v="1.1299999999999999"/>
    <n v="39.225806451612897"/>
    <s v="NO"/>
    <n v="2.2992451800669"/>
    <n v="1.8845724267132169"/>
    <n v="1.3638338241260246"/>
    <n v="1.7738323480370335"/>
    <n v="-1.1082666213816417"/>
    <n v="4.6345241906124688"/>
    <x v="1"/>
    <x v="1"/>
    <x v="0"/>
    <x v="0"/>
    <x v="0"/>
    <x v="0"/>
  </r>
  <r>
    <x v="1"/>
    <s v="VREX"/>
    <n v="318"/>
    <n v="8.52"/>
    <n v="0.93"/>
    <n v="13.24"/>
    <n v="-1.02"/>
    <n v="9.1612903225806441"/>
    <n v="0.64350453172205435"/>
    <n v="-7.17"/>
    <n v="2.56"/>
    <n v="2.4700000000000002"/>
    <n v="-8.352941176470587"/>
    <s v="NO"/>
    <n v="0.63156823849676014"/>
    <n v="-1.0260517177661319"/>
    <n v="0.5987263622812472"/>
    <n v="0.79247447814206351"/>
    <n v="1.8361245015951091"/>
    <n v="5.9216641258170603E-2"/>
    <x v="1"/>
    <x v="1"/>
    <x v="0"/>
    <x v="0"/>
    <x v="0"/>
    <x v="1"/>
  </r>
  <r>
    <x v="1"/>
    <s v="EMBC"/>
    <n v="615"/>
    <n v="9.91"/>
    <n v="0.69"/>
    <n v="-12.62"/>
    <n v="0.89"/>
    <n v="14.362318840579711"/>
    <n v="-0.78526148969889076"/>
    <n v="-7.01"/>
    <n v="2.5299999999999998"/>
    <n v="-1.52"/>
    <n v="11.134831460674157"/>
    <s v="NO"/>
    <n v="0.81762378423292326"/>
    <n v="-1.5495368992561076"/>
    <n v="0.60267785336888979"/>
    <n v="0.79009254156464837"/>
    <n v="-6.9311296630893935"/>
    <n v="1.9332162253539913"/>
    <x v="1"/>
    <x v="1"/>
    <x v="0"/>
    <x v="0"/>
    <x v="1"/>
    <x v="1"/>
  </r>
  <r>
    <x v="1"/>
    <s v="BVS"/>
    <n v="430"/>
    <n v="6.72"/>
    <n v="0.37"/>
    <n v="2.2400000000000002"/>
    <n v="-0.48"/>
    <n v="18.162162162162161"/>
    <n v="2.9999999999999996"/>
    <n v="-20.239999999999998"/>
    <n v="3.33"/>
    <n v="4.67"/>
    <n v="-14"/>
    <s v="NO"/>
    <n v="0.95355496024211128"/>
    <n v="-0.16265600468433067"/>
    <n v="0.27593893405945136"/>
    <n v="0.85361085029571449"/>
    <n v="6.6701994796166391"/>
    <n v="-0.48382057924427802"/>
    <x v="1"/>
    <x v="1"/>
    <x v="0"/>
    <x v="0"/>
    <x v="1"/>
    <x v="1"/>
  </r>
  <r>
    <x v="1"/>
    <s v="ZIMV"/>
    <n v="255"/>
    <n v="9.39"/>
    <n v="0.21"/>
    <n v="14.16"/>
    <n v="-0.91"/>
    <n v="44.714285714285715"/>
    <n v="0.66313559322033899"/>
    <n v="-6.37"/>
    <n v="0.04"/>
    <n v="1.89"/>
    <n v="-10.318681318681319"/>
    <s v="NO"/>
    <n v="1.9033997497578887"/>
    <n v="-1.0188590986548165"/>
    <n v="0.61848381771945971"/>
    <n v="0.59239180563920546"/>
    <n v="0.56168655284397795"/>
    <n v="-0.12981451574136552"/>
    <x v="1"/>
    <x v="1"/>
    <x v="0"/>
    <x v="0"/>
    <x v="0"/>
    <x v="1"/>
  </r>
  <r>
    <x v="1"/>
    <s v="AXGN"/>
    <n v="496"/>
    <n v="10.41"/>
    <n v="0"/>
    <n v="2.3199999999999998"/>
    <n v="-0.16"/>
    <s v=""/>
    <n v="4.487068965517242"/>
    <n v="-7.22"/>
    <n v="-0.13"/>
    <n v="1.86"/>
    <n v="-65.0625"/>
    <s v="NO"/>
    <e v="#VALUE!"/>
    <n v="0.3821907761256626"/>
    <n v="0.59749152131635896"/>
    <n v="0.57889416503385394"/>
    <n v="0.49576734859823018"/>
    <n v="-5.3941356544776813"/>
    <x v="0"/>
    <x v="1"/>
    <x v="0"/>
    <x v="0"/>
    <x v="0"/>
    <x v="0"/>
  </r>
  <r>
    <x v="1"/>
    <s v="ATRC"/>
    <n v="1711"/>
    <n v="34.18"/>
    <n v="-0.01"/>
    <n v="9.19"/>
    <n v="-0.81"/>
    <n v="-3418"/>
    <n v="3.7192600652883572"/>
    <n v="-8.3800000000000008"/>
    <n v="-3.7"/>
    <n v="1.3"/>
    <n v="-42.197530864197525"/>
    <s v="NO"/>
    <n v="-121.96771418999757"/>
    <n v="0.10087348871830959"/>
    <n v="0.56884321093095092"/>
    <n v="0.29544371232147171"/>
    <n v="-0.73472446398906843"/>
    <n v="-3.1953752600144769"/>
    <x v="0"/>
    <x v="1"/>
    <x v="0"/>
    <x v="0"/>
    <x v="0"/>
    <x v="0"/>
  </r>
  <r>
    <x v="1"/>
    <s v="TNDM"/>
    <n v="1320"/>
    <n v="20.23"/>
    <n v="-0.06"/>
    <n v="2.33"/>
    <n v="-2.8"/>
    <n v="-337.16666666666669"/>
    <n v="8.6824034334763951"/>
    <n v="-92.31"/>
    <n v="-6.17"/>
    <n v="5.94"/>
    <n v="-7.2250000000000005"/>
    <s v="NO"/>
    <n v="-11.757565337358864"/>
    <n v="1.9193181940821546"/>
    <n v="-1.5039608327305132"/>
    <n v="9.9330934114305353E-2"/>
    <n v="9.4607791260199772"/>
    <n v="0.16768266941582094"/>
    <x v="0"/>
    <x v="1"/>
    <x v="0"/>
    <x v="0"/>
    <x v="1"/>
    <x v="1"/>
  </r>
  <r>
    <x v="1"/>
    <s v="SSII"/>
    <n v="1226"/>
    <n v="4.58"/>
    <n v="-0.08"/>
    <n v="0.21"/>
    <n v="-0.09"/>
    <n v="-57.25"/>
    <n v="21.80952380952381"/>
    <n v="-55.43"/>
    <n v="-19.93"/>
    <n v="1.56"/>
    <n v="-50.888888888888893"/>
    <s v="NO"/>
    <n v="-1.7441520293790582"/>
    <n v="6.7289601434768498"/>
    <n v="-0.59314213702891905"/>
    <n v="-0.99318397606003039"/>
    <n v="-0.16342469385925126"/>
    <n v="-4.031160940952403"/>
    <x v="1"/>
    <x v="0"/>
    <x v="0"/>
    <x v="0"/>
    <x v="0"/>
    <x v="0"/>
  </r>
  <r>
    <x v="1"/>
    <s v="SENS"/>
    <n v="395"/>
    <n v="0.53"/>
    <n v="-0.09"/>
    <n v="0.05"/>
    <n v="-0.11"/>
    <n v="-5.8888888888888893"/>
    <n v="10.6"/>
    <n v="-161.19"/>
    <n v="-41"/>
    <n v="2.48"/>
    <n v="-4.8181818181818183"/>
    <s v="NO"/>
    <n v="9.3180629790799871E-2"/>
    <n v="2.6219058617625666"/>
    <n v="-3.2050777459606055"/>
    <n v="-2.6660974322644826"/>
    <n v="1.8580975696770248"/>
    <n v="0.39912914386434328"/>
    <x v="1"/>
    <x v="1"/>
    <x v="1"/>
    <x v="0"/>
    <x v="0"/>
    <x v="1"/>
  </r>
  <r>
    <x v="1"/>
    <s v="OFIX"/>
    <n v="441"/>
    <n v="11.05"/>
    <n v="-0.12"/>
    <n v="11.72"/>
    <n v="-3.72"/>
    <n v="-92.083333333333343"/>
    <n v="0.94283276450511944"/>
    <n v="-27.82"/>
    <n v="-5"/>
    <n v="1.8"/>
    <n v="-2.970430107526882"/>
    <s v="NO"/>
    <n v="-2.9902391870853875"/>
    <n v="-0.91638093058736059"/>
    <n v="8.8737043782388295E-2"/>
    <n v="0.19222646063348942"/>
    <n v="0.36392894010673382"/>
    <n v="0.57681419806492573"/>
    <x v="0"/>
    <x v="1"/>
    <x v="0"/>
    <x v="0"/>
    <x v="0"/>
    <x v="1"/>
  </r>
  <r>
    <x v="1"/>
    <s v="BFLY"/>
    <n v="593"/>
    <n v="2.48"/>
    <n v="-0.16"/>
    <n v="0.97"/>
    <n v="-0.3"/>
    <n v="-15.5"/>
    <n v="2.5567010309278353"/>
    <n v="-29.16"/>
    <n v="-13.86"/>
    <n v="1.33"/>
    <n v="-8.2666666666666675"/>
    <s v="NO"/>
    <n v="-0.25063608198463055"/>
    <n v="-0.32507618951506367"/>
    <n v="5.5643305923382444E-2"/>
    <n v="-0.51123880856306692"/>
    <n v="-0.66880525974332028"/>
    <n v="6.751304323806892E-2"/>
    <x v="1"/>
    <x v="1"/>
    <x v="0"/>
    <x v="0"/>
    <x v="0"/>
    <x v="1"/>
  </r>
  <r>
    <x v="1"/>
    <s v="NEOG"/>
    <n v="1272"/>
    <n v="5.52"/>
    <n v="-0.2"/>
    <n v="12.26"/>
    <n v="-2.2400000000000002"/>
    <n v="-27.599999999999998"/>
    <n v="0.45024469820554647"/>
    <n v="-16.71"/>
    <n v="0.59"/>
    <n v="1.52"/>
    <n v="-2.464285714285714"/>
    <s v="NO"/>
    <n v="-0.68348741045103933"/>
    <n v="-1.0968601339142825"/>
    <n v="0.36311870618056374"/>
    <n v="0.6360606428918133"/>
    <n v="-0.25131696618691551"/>
    <n v="0.62548648094134141"/>
    <x v="1"/>
    <x v="1"/>
    <x v="0"/>
    <x v="0"/>
    <x v="0"/>
    <x v="1"/>
  </r>
  <r>
    <x v="1"/>
    <s v="DRTS"/>
    <n v="253"/>
    <n v="3.125"/>
    <n v="-0.31"/>
    <n v="0.8"/>
    <n v="-0.46"/>
    <n v="-10.080645161290322"/>
    <n v="3.90625"/>
    <n v="-47.95"/>
    <n v="-25.17"/>
    <n v="1.44"/>
    <n v="-6.7934782608695645"/>
    <s v="NO"/>
    <n v="-5.6770384351048274E-2"/>
    <n v="0.16938467840349847"/>
    <n v="-0.40840992868163262"/>
    <n v="-1.4092288982485131"/>
    <n v="-0.42710151084224401"/>
    <n v="0.20917902586023937"/>
    <x v="1"/>
    <x v="1"/>
    <x v="0"/>
    <x v="0"/>
    <x v="0"/>
    <x v="1"/>
  </r>
  <r>
    <x v="1"/>
    <s v="IART"/>
    <n v="984"/>
    <n v="13.88"/>
    <n v="-0.33"/>
    <n v="19.61"/>
    <n v="-0.38"/>
    <n v="-42.060606060606062"/>
    <n v="0.70780214176440592"/>
    <n v="-1.85"/>
    <n v="2.66"/>
    <n v="2.66"/>
    <n v="-36.526315789473685"/>
    <s v="NO"/>
    <n v="-1.2007843148942412"/>
    <n v="-1.002493734473026"/>
    <n v="0.73011344094536001"/>
    <n v="0.80041426673344673"/>
    <n v="2.2536127951515139"/>
    <n v="-2.6500151057661068"/>
    <x v="1"/>
    <x v="1"/>
    <x v="0"/>
    <x v="0"/>
    <x v="0"/>
    <x v="1"/>
  </r>
  <r>
    <x v="1"/>
    <s v="AORT"/>
    <n v="1391"/>
    <n v="29.19"/>
    <n v="-0.42"/>
    <n v="6.89"/>
    <n v="-0.53"/>
    <n v="-69.5"/>
    <n v="4.2365747460087091"/>
    <n v="-7.26"/>
    <n v="1.54"/>
    <n v="2.69"/>
    <n v="-55.075471698113205"/>
    <s v="NO"/>
    <n v="-2.1823692834049679"/>
    <n v="0.29041226936134168"/>
    <n v="0.59650364854444837"/>
    <n v="0.71148863450995414"/>
    <n v="2.3195319993972618"/>
    <n v="-4.4337546385161168"/>
    <x v="1"/>
    <x v="1"/>
    <x v="0"/>
    <x v="0"/>
    <x v="0"/>
    <x v="0"/>
  </r>
  <r>
    <x v="1"/>
    <s v="CLPT"/>
    <n v="334"/>
    <n v="13.31"/>
    <n v="-0.43"/>
    <n v="0.71"/>
    <n v="-0.75"/>
    <n v="-30.953488372093023"/>
    <n v="18.74647887323944"/>
    <n v="-76.209999999999994"/>
    <n v="-32.39"/>
    <n v="1.5"/>
    <n v="-17.746666666666666"/>
    <s v="NO"/>
    <n v="-0.8034512035797271"/>
    <n v="5.6066919691622807"/>
    <n v="-1.1063420420364873"/>
    <n v="-1.982481634546384"/>
    <n v="-0.29526310235074765"/>
    <n v="-0.84411069068041644"/>
    <x v="1"/>
    <x v="0"/>
    <x v="0"/>
    <x v="0"/>
    <x v="0"/>
    <x v="1"/>
  </r>
  <r>
    <x v="1"/>
    <s v="SIBN"/>
    <n v="805"/>
    <n v="18.86"/>
    <n v="-0.48"/>
    <n v="3.94"/>
    <n v="-0.63"/>
    <n v="-39.291666666666664"/>
    <n v="4.7868020304568528"/>
    <n v="-15.96"/>
    <n v="-8.5"/>
    <n v="1.36"/>
    <n v="-29.936507936507937"/>
    <s v="NO"/>
    <n v="-1.1017314971165848"/>
    <n v="0.492009889644622"/>
    <n v="0.38164132065388789"/>
    <n v="-8.5666140064924484E-2"/>
    <n v="-0.60288605549757202"/>
    <n v="-2.0163204601199052"/>
    <x v="1"/>
    <x v="1"/>
    <x v="0"/>
    <x v="0"/>
    <x v="0"/>
    <x v="1"/>
  </r>
  <r>
    <x v="1"/>
    <s v="RXST"/>
    <n v="621"/>
    <n v="15.3"/>
    <n v="-0.52"/>
    <n v="6.88"/>
    <n v="-0.67"/>
    <n v="-29.423076923076923"/>
    <n v="2.2238372093023258"/>
    <n v="-11.98"/>
    <n v="-9.2899999999999991"/>
    <n v="1.1200000000000001"/>
    <n v="-22.835820895522389"/>
    <s v="NO"/>
    <n v="-0.74870404417420466"/>
    <n v="-0.44703407167534998"/>
    <n v="0.47993466145899488"/>
    <n v="-0.14839046993685212"/>
    <n v="-1.1302396894635571"/>
    <n v="-1.3334982202792038"/>
    <x v="1"/>
    <x v="1"/>
    <x v="0"/>
    <x v="0"/>
    <x v="0"/>
    <x v="1"/>
  </r>
  <r>
    <x v="1"/>
    <s v="SRDX"/>
    <n v="415"/>
    <n v="29.16"/>
    <n v="-0.52"/>
    <n v="7.71"/>
    <n v="-1.4"/>
    <n v="-56.076923076923073"/>
    <n v="3.782101167315175"/>
    <n v="-16.96"/>
    <n v="-1.44"/>
    <n v="1.48"/>
    <n v="-20.828571428571429"/>
    <s v="NO"/>
    <n v="-1.7021877397470635"/>
    <n v="0.1238978224484906"/>
    <n v="0.35694450135612232"/>
    <n v="0.4748829344867333"/>
    <n v="-0.33920923851457979"/>
    <n v="-1.140475408679233"/>
    <x v="1"/>
    <x v="1"/>
    <x v="0"/>
    <x v="0"/>
    <x v="0"/>
    <x v="1"/>
  </r>
  <r>
    <x v="1"/>
    <s v="ATEC"/>
    <n v="1817"/>
    <n v="11.92"/>
    <n v="-0.56999999999999995"/>
    <n v="-0.57999999999999996"/>
    <n v="-1.1499999999999999"/>
    <n v="-20.912280701754387"/>
    <n v="-20.551724137931036"/>
    <n v="28033"/>
    <n v="-9.33"/>
    <n v="-9.14"/>
    <n v="-10.365217391304348"/>
    <s v="NO"/>
    <n v="-0.44424871766954743"/>
    <n v="-8.7917655998895512"/>
    <n v="693.10173793090837"/>
    <n v="-0.1515663853734055"/>
    <n v="-23.67460754150942"/>
    <n v="-0.13428955669985787"/>
    <x v="1"/>
    <x v="0"/>
    <x v="1"/>
    <x v="0"/>
    <x v="1"/>
    <x v="1"/>
  </r>
  <r>
    <x v="1"/>
    <s v="TMCI"/>
    <n v="361"/>
    <n v="5.9"/>
    <n v="-0.59"/>
    <n v="1.67"/>
    <n v="-0.85"/>
    <n v="-10.000000000000002"/>
    <n v="3.5329341317365275"/>
    <n v="-45.73"/>
    <n v="-14.56"/>
    <n v="1.95"/>
    <n v="-6.9411764705882355"/>
    <s v="NO"/>
    <n v="-5.3885478136262904E-2"/>
    <n v="3.2605582231659144E-2"/>
    <n v="-0.35358298984059294"/>
    <n v="-0.5668173287027497"/>
    <n v="0.69352496133547425"/>
    <n v="0.1949759463837826"/>
    <x v="1"/>
    <x v="1"/>
    <x v="0"/>
    <x v="0"/>
    <x v="0"/>
    <x v="1"/>
  </r>
  <r>
    <x v="1"/>
    <s v="NPCE"/>
    <n v="434"/>
    <n v="12.93"/>
    <n v="-0.61"/>
    <n v="0.74"/>
    <n v="-0.83"/>
    <n v="-21.196721311475411"/>
    <n v="17.472972972972972"/>
    <n v="-128.49"/>
    <n v="-11.52"/>
    <n v="4.54"/>
    <n v="-15.578313253012048"/>
    <s v="NO"/>
    <n v="-0.4544239652552946"/>
    <n v="5.1400924998758164"/>
    <n v="-2.3974917549236716"/>
    <n v="-0.32544775552469873"/>
    <n v="6.3845495945517303"/>
    <n v="-0.63559566584806226"/>
    <x v="1"/>
    <x v="0"/>
    <x v="0"/>
    <x v="0"/>
    <x v="1"/>
    <x v="1"/>
  </r>
  <r>
    <x v="1"/>
    <s v="STAA"/>
    <n v="882"/>
    <n v="17.170000000000002"/>
    <n v="-0.64"/>
    <n v="7.07"/>
    <n v="-1.44"/>
    <n v="-26.828125000000004"/>
    <n v="2.4285714285714288"/>
    <n v="-19.14"/>
    <n v="-5.9"/>
    <n v="1.31"/>
    <n v="-11.923611111111112"/>
    <s v="NO"/>
    <n v="-0.65587525184277429"/>
    <n v="-0.37202155855251817"/>
    <n v="0.30310543528699341"/>
    <n v="0.1207683633110401"/>
    <n v="-0.71275139590715242"/>
    <n v="-0.28414912439662582"/>
    <x v="1"/>
    <x v="1"/>
    <x v="0"/>
    <x v="0"/>
    <x v="0"/>
    <x v="1"/>
  </r>
  <r>
    <x v="1"/>
    <s v="PLSE"/>
    <n v="1164"/>
    <n v="17.29"/>
    <n v="-0.66"/>
    <n v="1.76"/>
    <n v="-0.99"/>
    <n v="-26.196969696969695"/>
    <n v="9.8238636363636367"/>
    <n v="-77.86"/>
    <n v="-43.61"/>
    <n v="1.1299999999999999"/>
    <n v="-17.464646464646464"/>
    <s v="NO"/>
    <n v="-0.63329703602580856"/>
    <n v="2.3375374773751219"/>
    <n v="-1.1470917938778007"/>
    <n v="-2.8733259144995853"/>
    <n v="-1.1082666213816417"/>
    <n v="-0.81699082679791613"/>
    <x v="1"/>
    <x v="1"/>
    <x v="0"/>
    <x v="1"/>
    <x v="0"/>
    <x v="1"/>
  </r>
  <r>
    <x v="1"/>
    <s v="ANGO"/>
    <n v="414"/>
    <n v="11.12"/>
    <n v="-0.69"/>
    <n v="4.54"/>
    <n v="-1.02"/>
    <n v="-16.115942028985508"/>
    <n v="2.4493392070484581"/>
    <n v="-20.46"/>
    <n v="-6.55"/>
    <n v="1.54"/>
    <n v="-10.901960784313724"/>
    <s v="NO"/>
    <n v="-0.27267007582799191"/>
    <n v="-0.36441245802647182"/>
    <n v="0.27050563381394288"/>
    <n v="6.9159737467048996E-2"/>
    <n v="-0.20737083002308337"/>
    <n v="-0.18590432632974016"/>
    <x v="1"/>
    <x v="1"/>
    <x v="0"/>
    <x v="0"/>
    <x v="0"/>
    <x v="1"/>
  </r>
  <r>
    <x v="1"/>
    <s v="STIM"/>
    <n v="257"/>
    <n v="3.72"/>
    <n v="-0.94"/>
    <n v="0.54"/>
    <n v="-1.22"/>
    <n v="-3.9574468085106389"/>
    <n v="6.8888888888888884"/>
    <n v="-144.5"/>
    <n v="-19.38"/>
    <n v="4.01"/>
    <n v="-3.0491803278688527"/>
    <s v="NO"/>
    <n v="0.16227379262944866"/>
    <n v="1.2621929035852804"/>
    <n v="-2.7928878318808978"/>
    <n v="-0.94951513880742244"/>
    <n v="5.2199769862101792"/>
    <n v="0.56924135313717772"/>
    <x v="1"/>
    <x v="1"/>
    <x v="0"/>
    <x v="0"/>
    <x v="1"/>
    <x v="1"/>
  </r>
  <r>
    <x v="1"/>
    <s v="KIDS"/>
    <n v="494"/>
    <n v="21.54"/>
    <n v="-1.58"/>
    <n v="13.98"/>
    <n v="-1.76"/>
    <n v="-13.632911392405061"/>
    <n v="1.540772532188841"/>
    <n v="-11.34"/>
    <n v="-4.2300000000000004"/>
    <n v="1.35"/>
    <n v="-12.238636363636363"/>
    <s v="NO"/>
    <n v="-0.18384502544231923"/>
    <n v="-0.6973019469657542"/>
    <n v="0.49574062580956485"/>
    <n v="0.25336283278714045"/>
    <n v="-0.62485912357948814"/>
    <n v="-0.31444284770735187"/>
    <x v="1"/>
    <x v="1"/>
    <x v="0"/>
    <x v="0"/>
    <x v="0"/>
    <x v="1"/>
  </r>
  <r>
    <x v="1"/>
    <s v="NYXH"/>
    <n v="286"/>
    <n v="7.7450000000000001"/>
    <n v="-1.86"/>
    <n v="2.68"/>
    <n v="-2.16"/>
    <n v="-4.163978494623656"/>
    <n v="2.8899253731343282"/>
    <n v="-77.44"/>
    <n v="-33.76"/>
    <n v="1.46"/>
    <n v="-3.5856481481481479"/>
    <s v="NO"/>
    <n v="0.15488556827371092"/>
    <n v="-0.2029862163203201"/>
    <n v="-1.136719129772739"/>
    <n v="-2.0912567382483345"/>
    <n v="-0.38315537467841188"/>
    <n v="0.5176530833639581"/>
    <x v="1"/>
    <x v="1"/>
    <x v="0"/>
    <x v="0"/>
    <x v="0"/>
    <x v="1"/>
  </r>
  <r>
    <x v="1"/>
    <s v="CBLL"/>
    <n v="608"/>
    <n v="17.809999999999999"/>
    <n v="-1.98"/>
    <n v="5.04"/>
    <n v="-2.29"/>
    <n v="-8.9949494949494948"/>
    <n v="3.5337301587301586"/>
    <n v="-41.39"/>
    <n v="-21.31"/>
    <n v="1.18"/>
    <n v="-7.7772925764192129"/>
    <s v="NO"/>
    <n v="-1.7931970178663961E-2"/>
    <n v="3.289723833838646E-2"/>
    <n v="-0.24639879408829046"/>
    <n v="-1.1027530586211192"/>
    <n v="-0.99840128097206127"/>
    <n v="0.11457264613198732"/>
    <x v="1"/>
    <x v="1"/>
    <x v="0"/>
    <x v="0"/>
    <x v="0"/>
    <x v="1"/>
  </r>
  <r>
    <x v="1"/>
    <s v="ESTA"/>
    <n v="995"/>
    <n v="38.49"/>
    <n v="-2.73"/>
    <n v="1.33"/>
    <n v="-3.12"/>
    <n v="-14.0989010989011"/>
    <n v="28.939849624060152"/>
    <n v="-186.68"/>
    <n v="-11.43"/>
    <n v="8.65"/>
    <n v="-12.336538461538462"/>
    <s v="NO"/>
    <n v="-0.20051479928599547"/>
    <n v="9.3414382169636667"/>
    <n v="-3.8345996698606499"/>
    <n v="-0.3183019457924538"/>
    <n v="15.415480576219226"/>
    <n v="-0.32385739159426791"/>
    <x v="1"/>
    <x v="0"/>
    <x v="1"/>
    <x v="0"/>
    <x v="1"/>
    <x v="1"/>
  </r>
  <r>
    <x v="1"/>
    <s v="BBNX"/>
    <n v="747"/>
    <n v="19.41"/>
    <n v="-4.74"/>
    <n v="7.24"/>
    <n v="-5.66"/>
    <n v="-4.0949367088607591"/>
    <n v="2.680939226519337"/>
    <n v="-81.349999999999994"/>
    <n v="-21.78"/>
    <n v="1.08"/>
    <n v="-3.4293286219081272"/>
    <s v="NO"/>
    <n v="0.15735538882636901"/>
    <n v="-0.27955659190976545"/>
    <n v="-1.2332836932270024"/>
    <n v="-1.1400700650006208"/>
    <n v="-1.2181319617912214"/>
    <n v="0.5326852131313945"/>
    <x v="1"/>
    <x v="1"/>
    <x v="0"/>
    <x v="0"/>
    <x v="0"/>
    <x v="1"/>
  </r>
  <r>
    <x v="1"/>
    <s v="OM"/>
    <n v="311"/>
    <n v="21.24"/>
    <n v="-22.11"/>
    <n v="9.3699999999999992"/>
    <n v="-26.02"/>
    <n v="-0.96065128900949792"/>
    <n v="2.2668089647812169"/>
    <n v="-86.53"/>
    <n v="-17.41"/>
    <n v="1.81"/>
    <n v="-0.81629515757109916"/>
    <s v="NO"/>
    <n v="0.26947767046070908"/>
    <n v="-0.43128966224892884"/>
    <n v="-1.3612132171894282"/>
    <n v="-0.79310130355717245"/>
    <n v="0.38590200818864989"/>
    <n v="0.78396193503148692"/>
    <x v="1"/>
    <x v="1"/>
    <x v="0"/>
    <x v="0"/>
    <x v="0"/>
    <x v="1"/>
  </r>
  <r>
    <x v="2"/>
    <s v="NUTX"/>
    <n v="934"/>
    <n v="117.66"/>
    <n v="13.21"/>
    <n v="35.65"/>
    <n v="12.01"/>
    <n v="8.9068887206661618"/>
    <n v="3.3004207573632538"/>
    <n v="78.92"/>
    <n v="22.34"/>
    <n v="3.87"/>
    <n v="9.7968359700249792"/>
    <s v="NO"/>
    <n v="0.28954716384079637"/>
    <n v="1.3117262428577725"/>
    <n v="4.3635685773756174"/>
    <n v="4.8000641759009541"/>
    <n v="0.99569611226735"/>
    <n v="0.38809907998886756"/>
    <x v="1"/>
    <x v="1"/>
    <x v="1"/>
    <x v="1"/>
    <x v="0"/>
    <x v="1"/>
  </r>
  <r>
    <x v="2"/>
    <s v="NHC"/>
    <n v="1611"/>
    <n v="104.46"/>
    <n v="7.08"/>
    <n v="64.98"/>
    <n v="6.91"/>
    <n v="14.754237288135592"/>
    <n v="1.6075715604801475"/>
    <n v="11.18"/>
    <n v="4.16"/>
    <n v="1.54"/>
    <n v="15.117221418234442"/>
    <s v="NO"/>
    <n v="0.59348380521052402"/>
    <n v="-0.20202504714219885"/>
    <n v="0.83786534057727569"/>
    <n v="0.62344835931085674"/>
    <n v="-0.68964105301422995"/>
    <n v="0.65111590739033898"/>
    <x v="1"/>
    <x v="1"/>
    <x v="0"/>
    <x v="0"/>
    <x v="0"/>
    <x v="1"/>
  </r>
  <r>
    <x v="2"/>
    <s v="AMN"/>
    <n v="806"/>
    <n v="21.37"/>
    <n v="6.77"/>
    <n v="18.72"/>
    <n v="-4.33"/>
    <n v="3.1565731166912854"/>
    <n v="1.1415598290598292"/>
    <n v="-21.08"/>
    <n v="2.19"/>
    <n v="3.35"/>
    <n v="-4.9353348729792152"/>
    <s v="NO"/>
    <n v="-9.3458457552487405E-3"/>
    <n v="-0.61873426193313552"/>
    <n v="-0.84118967003852718"/>
    <n v="0.17086677742513115"/>
    <n v="0.61956936293412179"/>
    <n v="-0.34019567864886679"/>
    <x v="1"/>
    <x v="1"/>
    <x v="0"/>
    <x v="0"/>
    <x v="0"/>
    <x v="1"/>
  </r>
  <r>
    <x v="2"/>
    <s v="USPH"/>
    <n v="1139"/>
    <n v="78.58"/>
    <n v="3.71"/>
    <n v="32.729999999999997"/>
    <n v="2.17"/>
    <n v="21.180592991913745"/>
    <n v="2.4008554842652003"/>
    <n v="6.63"/>
    <n v="4.0199999999999996"/>
    <n v="2.37"/>
    <n v="36.211981566820278"/>
    <s v="NO"/>
    <n v="0.92751639217135506"/>
    <n v="0.50733203273051131"/>
    <n v="0.60104884031993211"/>
    <n v="0.59128520120730255"/>
    <n v="-8.9284895424654259E-2"/>
    <n v="1.6939495409841741"/>
    <x v="1"/>
    <x v="1"/>
    <x v="0"/>
    <x v="0"/>
    <x v="0"/>
    <x v="1"/>
  </r>
  <r>
    <x v="2"/>
    <s v="CCRN"/>
    <n v="428"/>
    <n v="13.1"/>
    <n v="3.39"/>
    <n v="12.88"/>
    <n v="-0.55000000000000004"/>
    <n v="3.8643067846607666"/>
    <n v="1.0170807453416149"/>
    <n v="-4"/>
    <n v="-0.76"/>
    <n v="1.38"/>
    <n v="-23.818181818181817"/>
    <s v="NO"/>
    <n v="2.7441117009998909E-2"/>
    <n v="-0.73004386582661973"/>
    <n v="4.7783038619808559E-2"/>
    <n v="-0.50685691118547305"/>
    <n v="-0.80537236050137717"/>
    <n v="-1.2736818976795194"/>
    <x v="1"/>
    <x v="1"/>
    <x v="0"/>
    <x v="0"/>
    <x v="0"/>
    <x v="1"/>
  </r>
  <r>
    <x v="2"/>
    <s v="PINC"/>
    <n v="1892"/>
    <n v="23.08"/>
    <n v="3.36"/>
    <n v="18.5"/>
    <n v="1.0900000000000001"/>
    <n v="6.8690476190476186"/>
    <n v="1.2475675675675675"/>
    <n v="6.85"/>
    <n v="4.05"/>
    <n v="2.02"/>
    <n v="21.174311926605501"/>
    <s v="NO"/>
    <n v="0.18362315864006415"/>
    <n v="-0.52394179535576613"/>
    <n v="0.61249930846424316"/>
    <n v="0.59817730651520706"/>
    <n v="-0.34244713055278864"/>
    <n v="0.95055224415640416"/>
    <x v="1"/>
    <x v="1"/>
    <x v="0"/>
    <x v="0"/>
    <x v="0"/>
    <x v="1"/>
  </r>
  <r>
    <x v="2"/>
    <s v="SEM"/>
    <n v="1965"/>
    <n v="15.49"/>
    <n v="2.87"/>
    <n v="13.4"/>
    <n v="0.49"/>
    <n v="5.3972125435540068"/>
    <n v="1.1559701492537313"/>
    <n v="7.72"/>
    <n v="2.42"/>
    <n v="3.31"/>
    <n v="31.612244897959183"/>
    <s v="NO"/>
    <n v="0.10711932030478832"/>
    <n v="-0.6058485064724628"/>
    <n v="0.65778070521674625"/>
    <n v="0.22370625145239859"/>
    <n v="0.59063653606233502"/>
    <n v="1.4665584699231085"/>
    <x v="1"/>
    <x v="1"/>
    <x v="0"/>
    <x v="0"/>
    <x v="0"/>
    <x v="1"/>
  </r>
  <r>
    <x v="2"/>
    <s v="MD"/>
    <n v="1216"/>
    <n v="14.13"/>
    <n v="2.3199999999999998"/>
    <n v="9.3800000000000008"/>
    <n v="-0.99"/>
    <n v="6.0905172413793114"/>
    <n v="1.5063965884861408"/>
    <n v="-10.01"/>
    <n v="5.95"/>
    <n v="2.5299999999999998"/>
    <n v="-14.272727272727273"/>
    <s v="NO"/>
    <n v="0.14315628626833291"/>
    <n v="-0.29249603809261965"/>
    <n v="-0.2650229320497815"/>
    <n v="1.0346773093491557"/>
    <n v="2.6446412062492642E-2"/>
    <n v="-0.80179594221827777"/>
    <x v="1"/>
    <x v="1"/>
    <x v="0"/>
    <x v="0"/>
    <x v="0"/>
    <x v="1"/>
  </r>
  <r>
    <x v="2"/>
    <s v="PGNY"/>
    <n v="1843"/>
    <n v="21.97"/>
    <n v="2.21"/>
    <n v="5.49"/>
    <n v="0.56999999999999995"/>
    <n v="9.9411764705882355"/>
    <n v="4.0018214936247718"/>
    <n v="10.11"/>
    <n v="5.99"/>
    <n v="1.56"/>
    <n v="38.543859649122808"/>
    <s v="NO"/>
    <n v="0.3433079310148342"/>
    <n v="1.9389210758515811"/>
    <n v="0.78217442732994436"/>
    <n v="1.0438667830930282"/>
    <n v="-0.67517463957833657"/>
    <n v="1.8092274998960887"/>
    <x v="1"/>
    <x v="1"/>
    <x v="0"/>
    <x v="0"/>
    <x v="0"/>
    <x v="1"/>
  </r>
  <r>
    <x v="2"/>
    <s v="AHCO"/>
    <n v="1212"/>
    <n v="8.82"/>
    <n v="2.0499999999999998"/>
    <n v="11.88"/>
    <n v="0.57999999999999996"/>
    <n v="4.3024390243902442"/>
    <n v="0.74242424242424243"/>
    <n v="5.9"/>
    <n v="3.82"/>
    <n v="2.83"/>
    <n v="15.206896551724139"/>
    <s v="NO"/>
    <n v="5.0214591155188039E-2"/>
    <n v="-0.97564260927261515"/>
    <n v="0.56305410511380893"/>
    <n v="0.54533783248793954"/>
    <n v="0.24344261360089367"/>
    <n v="0.6555490578334523"/>
    <x v="1"/>
    <x v="1"/>
    <x v="0"/>
    <x v="0"/>
    <x v="0"/>
    <x v="1"/>
  </r>
  <r>
    <x v="2"/>
    <s v="AUNA"/>
    <n v="474"/>
    <n v="6.36"/>
    <n v="1.68"/>
    <n v="5.57"/>
    <n v="0.57999999999999996"/>
    <n v="3.785714285714286"/>
    <n v="1.1418312387791743"/>
    <n v="9.81"/>
    <n v="6.19"/>
    <n v="4.66"/>
    <n v="10.965517241379311"/>
    <s v="NO"/>
    <n v="2.3355993660325768E-2"/>
    <n v="-0.6184915664741818"/>
    <n v="0.76656015258770194"/>
    <n v="1.0898141518123914"/>
    <n v="1.5671194429851389"/>
    <n v="0.44587362343638826"/>
    <x v="1"/>
    <x v="1"/>
    <x v="0"/>
    <x v="0"/>
    <x v="0"/>
    <x v="1"/>
  </r>
  <r>
    <x v="2"/>
    <s v="CSTL"/>
    <n v="461"/>
    <n v="18.170000000000002"/>
    <n v="1.49"/>
    <n v="15.26"/>
    <n v="-0.18"/>
    <n v="12.194630872483224"/>
    <n v="1.1906946264744431"/>
    <n v="-1.2"/>
    <n v="-1.79"/>
    <n v="1.1399999999999999"/>
    <n v="-100.94444444444446"/>
    <s v="NO"/>
    <n v="0.46043920076710076"/>
    <n v="-0.57479776534076066"/>
    <n v="0.19351626954740458"/>
    <n v="-0.74348586009019257"/>
    <n v="-0.97896932173209783"/>
    <n v="-5.0864704827846117"/>
    <x v="1"/>
    <x v="1"/>
    <x v="0"/>
    <x v="0"/>
    <x v="0"/>
    <x v="0"/>
  </r>
  <r>
    <x v="2"/>
    <s v="ASTH"/>
    <n v="1144"/>
    <n v="25.28"/>
    <n v="1.0900000000000001"/>
    <n v="15.2"/>
    <n v="0.73"/>
    <n v="23.192660550458715"/>
    <n v="1.6631578947368422"/>
    <n v="8.1"/>
    <n v="3.9"/>
    <n v="1.79"/>
    <n v="34.630136986301373"/>
    <s v="NO"/>
    <n v="1.0321007262326651"/>
    <n v="-0.1523195651994671"/>
    <n v="0.67755878655692003"/>
    <n v="0.56371677997568481"/>
    <n v="-0.5088108850655626"/>
    <n v="1.6157499918988136"/>
    <x v="1"/>
    <x v="1"/>
    <x v="0"/>
    <x v="0"/>
    <x v="0"/>
    <x v="1"/>
  </r>
  <r>
    <x v="2"/>
    <s v="EHAB"/>
    <n v="532"/>
    <n v="10.78"/>
    <n v="0.98"/>
    <n v="10.74"/>
    <n v="-2.76"/>
    <n v="11"/>
    <n v="1.0037243947858472"/>
    <n v="-21.36"/>
    <n v="2.31"/>
    <n v="2.2799999999999998"/>
    <n v="-3.9057971014492754"/>
    <s v="NO"/>
    <n v="0.39834403218434694"/>
    <n v="-0.74198715818881666"/>
    <n v="-0.8557629931312869"/>
    <n v="0.19843519865674897"/>
    <n v="-0.15438375588617473"/>
    <n v="-0.28929978755343555"/>
    <x v="1"/>
    <x v="1"/>
    <x v="0"/>
    <x v="0"/>
    <x v="0"/>
    <x v="1"/>
  </r>
  <r>
    <x v="2"/>
    <s v="CYH"/>
    <n v="544"/>
    <n v="3.44"/>
    <n v="0.7"/>
    <n v="-14.38"/>
    <n v="-3.68"/>
    <n v="4.9142857142857146"/>
    <n v="-0.23922114047287898"/>
    <n v="30"/>
    <n v="3.78"/>
    <n v="-7.22"/>
    <n v="-0.93478260869565211"/>
    <s v="NO"/>
    <n v="8.2017488795766702E-2"/>
    <n v="-1.8534331221068434"/>
    <n v="1.8174008427406179"/>
    <n v="0.53614835874406697"/>
    <n v="-7.0259301379355348"/>
    <n v="-0.14242569099510566"/>
    <x v="1"/>
    <x v="1"/>
    <x v="0"/>
    <x v="0"/>
    <x v="1"/>
    <x v="1"/>
  </r>
  <r>
    <x v="2"/>
    <s v="NRC"/>
    <n v="308"/>
    <n v="15.62"/>
    <n v="0.64"/>
    <n v="1.3"/>
    <n v="1.02"/>
    <n v="24.40625"/>
    <n v="12.015384615384614"/>
    <n v="72.69"/>
    <n v="17.13"/>
    <n v="4.5599999999999996"/>
    <n v="15.313725490196077"/>
    <s v="NO"/>
    <n v="1.0951813339712499"/>
    <n v="9.1046754356581445"/>
    <n v="4.0393121385617157"/>
    <n v="3.6031352207615472"/>
    <n v="1.4947873758056716"/>
    <n v="0.66083021814506326"/>
    <x v="1"/>
    <x v="0"/>
    <x v="1"/>
    <x v="1"/>
    <x v="0"/>
    <x v="1"/>
  </r>
  <r>
    <x v="2"/>
    <s v="EXETF"/>
    <n v="881"/>
    <n v="10.427"/>
    <n v="0.62"/>
    <n v="1.04"/>
    <n v="0.62"/>
    <n v="16.81774193548387"/>
    <n v="10.025961538461537"/>
    <n v="71.599999999999994"/>
    <n v="10.07"/>
    <n v="5.7"/>
    <n v="16.81774193548387"/>
    <s v="NO"/>
    <n v="0.70074176404934241"/>
    <n v="7.325726811886569"/>
    <n v="3.9825802736649019"/>
    <n v="1.9811931049680336"/>
    <n v="2.3193729416515954"/>
    <n v="0.73518228110177331"/>
    <x v="1"/>
    <x v="0"/>
    <x v="1"/>
    <x v="0"/>
    <x v="0"/>
    <x v="1"/>
  </r>
  <r>
    <x v="2"/>
    <s v="DNTCF"/>
    <n v="1267"/>
    <n v="6.35"/>
    <n v="0.54"/>
    <n v="6.25"/>
    <n v="-0.21"/>
    <n v="11.759259259259258"/>
    <n v="1.016"/>
    <n v="-3.31"/>
    <n v="1.28"/>
    <n v="1.93"/>
    <n v="-30.238095238095237"/>
    <s v="NO"/>
    <n v="0.43780921995713529"/>
    <n v="-0.73101027184674439"/>
    <n v="8.3695870526966157E-2"/>
    <n v="-3.8193750247970497E-2"/>
    <n v="-0.40754599101430894"/>
    <n v="-1.5910546287221594"/>
    <x v="1"/>
    <x v="1"/>
    <x v="0"/>
    <x v="0"/>
    <x v="0"/>
    <x v="1"/>
  </r>
  <r>
    <x v="2"/>
    <s v="PACS"/>
    <n v="1539"/>
    <n v="10.41"/>
    <n v="0.33"/>
    <n v="3.75"/>
    <n v="0.68"/>
    <n v="31.545454545454543"/>
    <n v="2.7760000000000002"/>
    <n v="132.51"/>
    <n v="5.16"/>
    <n v="6.81"/>
    <n v="15.308823529411764"/>
    <s v="NO"/>
    <n v="1.4662667629584267"/>
    <n v="0.84278748598384712"/>
    <n v="7.152798522164856"/>
    <n v="0.85318520290767175"/>
    <n v="3.1222588873436781"/>
    <n v="0.66058788642190391"/>
    <x v="1"/>
    <x v="1"/>
    <x v="1"/>
    <x v="0"/>
    <x v="0"/>
    <x v="1"/>
  </r>
  <r>
    <x v="2"/>
    <s v="PNTG"/>
    <n v="990"/>
    <n v="28.83"/>
    <n v="0.27"/>
    <n v="8.81"/>
    <n v="0.76"/>
    <n v="106.77777777777777"/>
    <n v="3.2724177071509644"/>
    <n v="11.41"/>
    <n v="4"/>
    <n v="2.4500000000000002"/>
    <n v="37.934210526315788"/>
    <s v="NO"/>
    <n v="5.3767330848882926"/>
    <n v="1.2866858237461143"/>
    <n v="0.8498362845463282"/>
    <n v="0.58669046433536631"/>
    <n v="-3.1419241681080644E-2"/>
    <n v="1.7790890861157944"/>
    <x v="0"/>
    <x v="1"/>
    <x v="0"/>
    <x v="0"/>
    <x v="0"/>
    <x v="1"/>
  </r>
  <r>
    <x v="2"/>
    <s v="SBC"/>
    <n v="532"/>
    <n v="4.8899999999999997"/>
    <n v="0.16"/>
    <n v="2.19"/>
    <n v="0.5"/>
    <n v="30.562499999999996"/>
    <n v="2.2328767123287672"/>
    <n v="26.19"/>
    <n v="19.98"/>
    <n v="1.26"/>
    <n v="9.7799999999999994"/>
    <s v="NO"/>
    <n v="1.4151742208057951"/>
    <n v="0.35712486532329835"/>
    <n v="1.6190995535141388"/>
    <n v="4.2578852250124708"/>
    <n v="-0.89217084111673739"/>
    <n v="0.38726678250491614"/>
    <x v="1"/>
    <x v="1"/>
    <x v="0"/>
    <x v="1"/>
    <x v="0"/>
    <x v="1"/>
  </r>
  <r>
    <x v="2"/>
    <s v="AVAH"/>
    <n v="1040"/>
    <n v="5.47"/>
    <n v="0.15"/>
    <n v="-0.51"/>
    <n v="0.03"/>
    <n v="36.466666666666669"/>
    <n v="-10.725490196078431"/>
    <n v="-4.67"/>
    <n v="6.69"/>
    <n v="-16.829999999999998"/>
    <n v="182.33333333333334"/>
    <s v="NO"/>
    <n v="1.7220641840169972"/>
    <n v="-11.230289217402484"/>
    <n v="1.2911158362133796E-2"/>
    <n v="1.2046825736107989"/>
    <n v="-13.977041793882305"/>
    <n v="8.917556689631045"/>
    <x v="1"/>
    <x v="0"/>
    <x v="0"/>
    <x v="0"/>
    <x v="1"/>
    <x v="0"/>
  </r>
  <r>
    <x v="2"/>
    <s v="INNV"/>
    <n v="552"/>
    <n v="3.85"/>
    <n v="0.12"/>
    <n v="1.76"/>
    <n v="-0.24"/>
    <n v="32.083333333333336"/>
    <n v="2.1875"/>
    <n v="-11.52"/>
    <n v="-2.82"/>
    <n v="2.2599999999999998"/>
    <n v="-16.041666666666668"/>
    <s v="NO"/>
    <n v="1.4942249170458015"/>
    <n v="0.31654886070924293"/>
    <n v="-0.34361478158573511"/>
    <n v="-0.98011480899491188"/>
    <n v="-0.16885016932206812"/>
    <n v="-0.88924464904383338"/>
    <x v="1"/>
    <x v="1"/>
    <x v="0"/>
    <x v="0"/>
    <x v="0"/>
    <x v="1"/>
  </r>
  <r>
    <x v="2"/>
    <s v="TALK"/>
    <n v="534"/>
    <n v="3.28"/>
    <n v="0.04"/>
    <n v="0.68"/>
    <n v="0.02"/>
    <n v="82"/>
    <n v="4.8235294117647056"/>
    <n v="2.52"/>
    <n v="-1.24"/>
    <n v="1.18"/>
    <n v="164"/>
    <s v="NO"/>
    <n v="4.0888203717177829"/>
    <n v="2.6736949844653712"/>
    <n v="0.38713327635121075"/>
    <n v="-0.61713059611194432"/>
    <n v="-0.95003649486031105"/>
    <n v="8.0112360450150089"/>
    <x v="0"/>
    <x v="1"/>
    <x v="0"/>
    <x v="0"/>
    <x v="0"/>
    <x v="0"/>
  </r>
  <r>
    <x v="2"/>
    <s v="WHTCF"/>
    <n v="739"/>
    <n v="2.9304999999999999"/>
    <n v="0"/>
    <n v="2.29"/>
    <n v="-0.08"/>
    <s v=""/>
    <n v="1.2796943231441047"/>
    <n v="-2.95"/>
    <n v="-0.15"/>
    <n v="2.17"/>
    <n v="-36.631249999999994"/>
    <s v="NO"/>
    <e v="#VALUE!"/>
    <n v="-0.49521394541671743"/>
    <n v="0.10243300021765707"/>
    <n v="-0.36671743659141592"/>
    <n v="-0.23394902978358828"/>
    <n v="-1.9071045275370468"/>
    <x v="0"/>
    <x v="1"/>
    <x v="0"/>
    <x v="0"/>
    <x v="0"/>
    <x v="1"/>
  </r>
  <r>
    <x v="2"/>
    <s v="AHG"/>
    <n v="578"/>
    <n v="1.36"/>
    <n v="-0.03"/>
    <n v="0.84"/>
    <n v="-0.05"/>
    <n v="-45.333333333333336"/>
    <n v="1.6190476190476193"/>
    <n v="-6.41"/>
    <n v="-3.73"/>
    <n v="1.06"/>
    <n v="-27.2"/>
    <s v="NO"/>
    <n v="-2.5297803874454687"/>
    <n v="-0.19176311802730131"/>
    <n v="-7.7651635142872336E-2"/>
    <n v="-1.1891753366680136"/>
    <n v="-1.0368349754756714"/>
    <n v="-1.4408643504715024"/>
    <x v="1"/>
    <x v="1"/>
    <x v="0"/>
    <x v="0"/>
    <x v="0"/>
    <x v="1"/>
  </r>
  <r>
    <x v="2"/>
    <s v="AIRS"/>
    <n v="259"/>
    <n v="5.05"/>
    <n v="-0.09"/>
    <n v="1.32"/>
    <n v="-0.3"/>
    <n v="-56.111111111111114"/>
    <n v="3.8257575757575752"/>
    <n v="-21.3"/>
    <n v="-4.4400000000000004"/>
    <n v="2.63"/>
    <n v="-16.833333333333332"/>
    <s v="NO"/>
    <n v="-3.0899935407079777"/>
    <n v="1.7814841445025678"/>
    <n v="-0.85264013818283846"/>
    <n v="-1.3522884956217525"/>
    <n v="9.8778479241959649E-2"/>
    <n v="-0.92838122233407117"/>
    <x v="0"/>
    <x v="1"/>
    <x v="0"/>
    <x v="0"/>
    <x v="0"/>
    <x v="1"/>
  </r>
  <r>
    <x v="2"/>
    <s v="HWAIF"/>
    <n v="289"/>
    <n v="0.98802000000000001"/>
    <n v="-0.11"/>
    <n v="0.28999999999999998"/>
    <n v="-0.16"/>
    <n v="-8.9819999999999993"/>
    <n v="3.4069655172413795"/>
    <n v="-52.64"/>
    <n v="-17.02"/>
    <n v="2.37"/>
    <n v="-6.1751249999999995"/>
    <s v="NO"/>
    <n v="-0.64029115396434477"/>
    <n v="1.4069989157014049"/>
    <n v="-2.4838113729224314"/>
    <n v="-4.242377988069685"/>
    <n v="-8.9284895424654259E-2"/>
    <n v="-0.40148553612759807"/>
    <x v="1"/>
    <x v="1"/>
    <x v="0"/>
    <x v="1"/>
    <x v="0"/>
    <x v="1"/>
  </r>
  <r>
    <x v="2"/>
    <s v="VMD"/>
    <n v="263"/>
    <n v="6.87"/>
    <n v="-0.17"/>
    <n v="3.41"/>
    <n v="0.3"/>
    <n v="-40.411764705882348"/>
    <n v="2.0146627565982405"/>
    <n v="9.89"/>
    <n v="6.11"/>
    <n v="1.32"/>
    <n v="22.900000000000002"/>
    <s v="NO"/>
    <n v="-2.2739644357131037"/>
    <n v="0.16199723222327173"/>
    <n v="0.7707239591856333"/>
    <n v="1.071435204324646"/>
    <n v="-0.84877160080905723"/>
    <n v="1.035862792906501"/>
    <x v="1"/>
    <x v="1"/>
    <x v="0"/>
    <x v="0"/>
    <x v="0"/>
    <x v="1"/>
  </r>
  <r>
    <x v="2"/>
    <s v="AGL"/>
    <n v="919"/>
    <n v="2.2799999999999998"/>
    <n v="-0.19"/>
    <n v="1.21"/>
    <n v="-0.62"/>
    <n v="-11.999999999999998"/>
    <n v="1.884297520661157"/>
    <n v="-42.97"/>
    <n v="-8.85"/>
    <n v="3.86"/>
    <n v="-3.6774193548387095"/>
    <s v="NO"/>
    <n v="-0.79716238766451253"/>
    <n v="4.5424211759159214E-2"/>
    <n v="-1.9805112503974833"/>
    <n v="-2.3654279758837067"/>
    <n v="0.98846290554940308"/>
    <n v="-0.27800978028848766"/>
    <x v="1"/>
    <x v="1"/>
    <x v="0"/>
    <x v="0"/>
    <x v="0"/>
    <x v="1"/>
  </r>
  <r>
    <x v="2"/>
    <s v="TOI"/>
    <n v="285"/>
    <n v="2.6"/>
    <n v="-0.25"/>
    <n v="0.06"/>
    <n v="-0.7"/>
    <n v="-10.4"/>
    <n v="43.333333333333336"/>
    <n v="-277.62"/>
    <n v="-17.66"/>
    <n v="32.35"/>
    <n v="-3.7142857142857149"/>
    <s v="NO"/>
    <n v="-0.71399672367502676"/>
    <n v="37.109287635749702"/>
    <n v="-14.193476477954773"/>
    <n v="-4.3894095679716463"/>
    <n v="21.595868844979538"/>
    <n v="-0.27983229352441436"/>
    <x v="1"/>
    <x v="0"/>
    <x v="1"/>
    <x v="1"/>
    <x v="1"/>
    <x v="1"/>
  </r>
  <r>
    <x v="2"/>
    <s v="NEO"/>
    <n v="937"/>
    <n v="7.56"/>
    <n v="-0.25"/>
    <n v="6.92"/>
    <n v="-0.61"/>
    <n v="-30.24"/>
    <n v="1.0924855491329479"/>
    <n v="-8.57"/>
    <n v="-2.75"/>
    <n v="1.8"/>
    <n v="-12.39344262295082"/>
    <s v="NO"/>
    <n v="-1.7452509571446515"/>
    <n v="-0.66261664358999717"/>
    <n v="-0.19007441328701785"/>
    <n v="-0.96403322994313501"/>
    <n v="-0.50157767834761591"/>
    <n v="-0.70889224357087322"/>
    <x v="1"/>
    <x v="1"/>
    <x v="0"/>
    <x v="0"/>
    <x v="0"/>
    <x v="1"/>
  </r>
  <r>
    <x v="2"/>
    <s v="OPK"/>
    <n v="1079"/>
    <n v="1.38"/>
    <n v="-0.3"/>
    <n v="1.95"/>
    <n v="-0.06"/>
    <n v="-4.5999999999999996"/>
    <n v="0.70769230769230762"/>
    <n v="-3.04"/>
    <n v="-8.1999999999999993"/>
    <n v="1.62"/>
    <n v="-23"/>
    <s v="NO"/>
    <n v="-0.41252119171314039"/>
    <n v="-1.00670001893525"/>
    <n v="9.7748717794984341E-2"/>
    <n v="-2.2160990275457766"/>
    <n v="-0.6317753992706564"/>
    <n v="-1.2332345300685559"/>
    <x v="1"/>
    <x v="1"/>
    <x v="0"/>
    <x v="0"/>
    <x v="0"/>
    <x v="1"/>
  </r>
  <r>
    <x v="2"/>
    <s v="NNOX"/>
    <n v="327"/>
    <n v="5.52"/>
    <n v="-0.68"/>
    <n v="2.78"/>
    <n v="-0.91"/>
    <n v="-8.117647058823529"/>
    <n v="1.985611510791367"/>
    <n v="-30.11"/>
    <n v="-17.89"/>
    <n v="1.1100000000000001"/>
    <n v="-6.0659340659340657"/>
    <s v="NO"/>
    <n v="-0.59536335004296592"/>
    <n v="0.13601951318177011"/>
    <n v="-1.3111793397800244"/>
    <n v="-4.442249041998914"/>
    <n v="-1.0006689418859378"/>
    <n v="-0.39608760897766004"/>
    <x v="1"/>
    <x v="1"/>
    <x v="0"/>
    <x v="1"/>
    <x v="0"/>
    <x v="1"/>
  </r>
  <r>
    <x v="2"/>
    <s v="OMI"/>
    <n v="506"/>
    <n v="7.93"/>
    <n v="-0.83"/>
    <n v="7.39"/>
    <n v="-4.75"/>
    <n v="-9.5542168674698793"/>
    <n v="1.0730717185385656"/>
    <n v="-49.91"/>
    <n v="3.14"/>
    <n v="8.51"/>
    <n v="-1.6694736842105262"/>
    <s v="NO"/>
    <n v="-0.6700341512950424"/>
    <n v="-0.67997655441973681"/>
    <n v="-2.3417214727680249"/>
    <n v="0.38911677884210544"/>
    <n v="4.3519040293946158"/>
    <n v="-0.17874563767624874"/>
    <x v="1"/>
    <x v="1"/>
    <x v="0"/>
    <x v="0"/>
    <x v="1"/>
    <x v="1"/>
  </r>
  <r>
    <x v="2"/>
    <s v="FLGT"/>
    <n v="631"/>
    <n v="21.81"/>
    <n v="-1.04"/>
    <n v="36.81"/>
    <n v="-1.34"/>
    <n v="-20.971153846153843"/>
    <n v="0.59250203748981245"/>
    <n v="-3.72"/>
    <n v="-3.69"/>
    <n v="1.07"/>
    <n v="-16.276119402985074"/>
    <s v="NO"/>
    <n v="-1.2634698666440216"/>
    <n v="-1.1097035353946745"/>
    <n v="6.2356361712568156E-2"/>
    <n v="-1.1799858629241411"/>
    <n v="-1.0296017687577246"/>
    <n v="-0.90083497750449282"/>
    <x v="1"/>
    <x v="1"/>
    <x v="0"/>
    <x v="0"/>
    <x v="0"/>
    <x v="1"/>
  </r>
  <r>
    <x v="2"/>
    <s v="SNDA"/>
    <n v="460"/>
    <n v="25.01"/>
    <n v="-1.6"/>
    <n v="3.28"/>
    <n v="-2.75"/>
    <n v="-15.63125"/>
    <n v="7.6250000000000009"/>
    <n v="-69.63"/>
    <n v="-1.33"/>
    <n v="14.03"/>
    <n v="-9.0945454545454556"/>
    <s v="NO"/>
    <n v="-0.98590946101565047"/>
    <n v="5.178779149461425"/>
    <n v="-3.3680997991580939"/>
    <n v="-0.63780691203565765"/>
    <n v="8.3446341377011901"/>
    <n v="-0.54580904676044595"/>
    <x v="1"/>
    <x v="0"/>
    <x v="1"/>
    <x v="0"/>
    <x v="1"/>
    <x v="1"/>
  </r>
  <r>
    <x v="2"/>
    <s v="BKD"/>
    <n v="1526"/>
    <n v="6.57"/>
    <n v="-1.87"/>
    <n v="0.63"/>
    <n v="-1.04"/>
    <n v="-3.5133689839572191"/>
    <n v="10.428571428571429"/>
    <n v="-90.68"/>
    <n v="0.8"/>
    <n v="42.3"/>
    <n v="-6.3173076923076925"/>
    <s v="NO"/>
    <n v="-0.35603969798766072"/>
    <n v="7.6857418927589372"/>
    <n v="-4.4637014102387722"/>
    <n v="-0.14846743517444169"/>
    <n v="28.792909529336498"/>
    <n v="-0.40851443300099188"/>
    <x v="1"/>
    <x v="0"/>
    <x v="1"/>
    <x v="0"/>
    <x v="1"/>
    <x v="1"/>
  </r>
  <r>
    <x v="3"/>
    <s v="TBRG"/>
    <n v="360"/>
    <n v="24.17"/>
    <n v="1.5"/>
    <n v="11.6"/>
    <n v="-1.22"/>
    <n v="16.113333333333333"/>
    <n v="2.0836206896551728"/>
    <n v="-10.26"/>
    <n v="4.57"/>
    <n v="2.31"/>
    <n v="-19.811475409836067"/>
    <s v="NO"/>
    <n v="-0.25290234135153422"/>
    <n v="-0.24556523478354786"/>
    <n v="0.27709422567901665"/>
    <n v="1.3979069648129865"/>
    <n v="0.71312531005169832"/>
    <n v="-0.86176966833732549"/>
    <x v="1"/>
    <x v="1"/>
    <x v="0"/>
    <x v="0"/>
    <x v="0"/>
    <x v="1"/>
  </r>
  <r>
    <x v="3"/>
    <s v="HSTM"/>
    <n v="855"/>
    <n v="28.22"/>
    <n v="1.1399999999999999"/>
    <n v="11.89"/>
    <n v="0.63"/>
    <n v="24.754385964912281"/>
    <n v="2.3734230445752731"/>
    <n v="5.4"/>
    <n v="2.41"/>
    <n v="1.44"/>
    <n v="44.793650793650791"/>
    <s v="NO"/>
    <n v="1.3377864749941706E-2"/>
    <n v="-5.5698256747617567E-2"/>
    <n v="0.84938642882129334"/>
    <n v="0.71500460621958617"/>
    <n v="-0.94643173864885877"/>
    <n v="1.0679716669314994"/>
    <x v="1"/>
    <x v="1"/>
    <x v="0"/>
    <x v="0"/>
    <x v="0"/>
    <x v="1"/>
  </r>
  <r>
    <x v="3"/>
    <s v="TDOC"/>
    <n v="1214"/>
    <n v="7.4"/>
    <n v="1.05"/>
    <n v="8.14"/>
    <n v="-5.88"/>
    <n v="7.0476190476190474"/>
    <n v="0.90909090909090906"/>
    <n v="-54.49"/>
    <n v="-3"/>
    <n v="2.41"/>
    <n v="-1.2585034013605443"/>
    <s v="NO"/>
    <n v="-0.53226879951138806"/>
    <n v="-1.015070438115744"/>
    <n v="-1.3392840722126116"/>
    <n v="-0.99541287525740318"/>
    <n v="0.90387899381038328"/>
    <n v="-0.30759635298656374"/>
    <x v="1"/>
    <x v="1"/>
    <x v="0"/>
    <x v="0"/>
    <x v="0"/>
    <x v="1"/>
  </r>
  <r>
    <x v="3"/>
    <s v="CERT"/>
    <n v="1843"/>
    <n v="11.77"/>
    <n v="0.44"/>
    <n v="6.71"/>
    <n v="-0.02"/>
    <n v="26.75"/>
    <n v="1.7540983606557377"/>
    <n v="-0.25"/>
    <n v="1.1200000000000001"/>
    <n v="1.44"/>
    <n v="-588.5"/>
    <s v="NO"/>
    <n v="7.4874136005155259E-2"/>
    <n v="-0.46145516024579569"/>
    <n v="0.64290807966715136"/>
    <n v="0.30716014205963854"/>
    <n v="-0.94643173864885877"/>
    <n v="-17.848374560000721"/>
    <x v="1"/>
    <x v="1"/>
    <x v="0"/>
    <x v="0"/>
    <x v="0"/>
    <x v="0"/>
  </r>
  <r>
    <x v="3"/>
    <s v="DH"/>
    <n v="355"/>
    <n v="3.66"/>
    <n v="0.41"/>
    <n v="2.94"/>
    <n v="-4.42"/>
    <n v="8.9268292682926838"/>
    <n v="1.2448979591836735"/>
    <n v="-89.99"/>
    <n v="-0.43"/>
    <n v="2.5099999999999998"/>
    <n v="-0.82805429864253399"/>
    <s v="NO"/>
    <n v="-0.47435959490357621"/>
    <n v="-0.79506301332496909"/>
    <n v="-2.6366259120306714"/>
    <n v="-0.1828855319309961"/>
    <n v="1.0946326775690673"/>
    <n v="-0.29473893013086022"/>
    <x v="1"/>
    <x v="1"/>
    <x v="0"/>
    <x v="0"/>
    <x v="0"/>
    <x v="1"/>
  </r>
  <r>
    <x v="3"/>
    <s v="SLP"/>
    <n v="640"/>
    <n v="27.43"/>
    <n v="0.41"/>
    <n v="9.43"/>
    <n v="0.36"/>
    <n v="66.902439024390247"/>
    <n v="2.9088016967126196"/>
    <n v="3.96"/>
    <n v="1.98"/>
    <n v="1.06"/>
    <n v="76.194444444444443"/>
    <s v="NO"/>
    <n v="1.3122002112819249"/>
    <n v="0.2950605451064704"/>
    <n v="0.79676185841740588"/>
    <n v="0.5790564514996035"/>
    <n v="-1.6712957369318604"/>
    <n v="2.0059066734714746"/>
    <x v="1"/>
    <x v="1"/>
    <x v="0"/>
    <x v="0"/>
    <x v="0"/>
    <x v="1"/>
  </r>
  <r>
    <x v="3"/>
    <s v="PHR"/>
    <n v="1457"/>
    <n v="27.5"/>
    <n v="0.38"/>
    <n v="4.75"/>
    <n v="-0.73"/>
    <n v="72.368421052631575"/>
    <n v="5.7894736842105265"/>
    <n v="-15.97"/>
    <n v="-5.98"/>
    <n v="1.42"/>
    <n v="-37.671232876712331"/>
    <s v="NO"/>
    <n v="1.4806383499073006"/>
    <n v="2.1823622722776648"/>
    <n v="6.8423186091379345E-2"/>
    <n v="-1.9375652033168171"/>
    <n v="-0.98458247540059574"/>
    <n v="-1.3952368132377722"/>
    <x v="1"/>
    <x v="1"/>
    <x v="0"/>
    <x v="0"/>
    <x v="0"/>
    <x v="1"/>
  </r>
  <r>
    <x v="3"/>
    <s v="SDGR"/>
    <n v="1586"/>
    <n v="25.47"/>
    <n v="0.3"/>
    <n v="5.09"/>
    <n v="-2.64"/>
    <n v="84.9"/>
    <n v="5.0039292730844789"/>
    <n v="-43.33"/>
    <n v="-16.27"/>
    <n v="1.99"/>
    <n v="-9.6477272727272716"/>
    <s v="NO"/>
    <n v="1.8668079020620179"/>
    <n v="1.6677048137672326"/>
    <n v="-0.93144365158248332"/>
    <n v="-5.1908361616159331"/>
    <n v="0.10271352202390721"/>
    <n v="-0.55818068006317545"/>
    <x v="1"/>
    <x v="1"/>
    <x v="0"/>
    <x v="1"/>
    <x v="0"/>
    <x v="1"/>
  </r>
  <r>
    <x v="3"/>
    <s v="GDRX"/>
    <n v="1400"/>
    <n v="4.1100000000000003"/>
    <n v="0.21"/>
    <n v="1.81"/>
    <n v="7.0000000000000007E-2"/>
    <n v="19.571428571428573"/>
    <n v="2.270718232044199"/>
    <n v="4.43"/>
    <n v="4.26"/>
    <n v="1.98"/>
    <n v="58.714285714285715"/>
    <s v="NO"/>
    <n v="-0.14633866769060033"/>
    <n v="-0.1229863655360989"/>
    <n v="0.81393793347978571"/>
    <n v="1.2998978300148594"/>
    <n v="8.3638153648038713E-2"/>
    <n v="1.4837780618439516"/>
    <x v="1"/>
    <x v="1"/>
    <x v="0"/>
    <x v="0"/>
    <x v="0"/>
    <x v="1"/>
  </r>
  <r>
    <x v="3"/>
    <s v="VHIBF"/>
    <n v="411"/>
    <n v="7.4924999999999997"/>
    <n v="0.2"/>
    <n v="2.2400000000000002"/>
    <n v="0.03"/>
    <n v="37.462499999999999"/>
    <n v="3.3448660714285712"/>
    <n v="2.15"/>
    <n v="3.13"/>
    <n v="1.36"/>
    <n v="249.75"/>
    <s v="NO"/>
    <n v="0.4049874716695428"/>
    <n v="0.58075258194058088"/>
    <n v="0.73061569700696383"/>
    <n v="0.9426387257507195"/>
    <n v="-1.0990346856558062"/>
    <n v="7.189974087351465"/>
    <x v="1"/>
    <x v="1"/>
    <x v="0"/>
    <x v="0"/>
    <x v="0"/>
    <x v="0"/>
  </r>
  <r>
    <x v="3"/>
    <s v="KSIOF"/>
    <n v="442"/>
    <n v="4.7569999999999997"/>
    <n v="-0.01"/>
    <n v="0.49"/>
    <n v="-0.02"/>
    <n v="-475.69999999999993"/>
    <n v="9.7081632653061227"/>
    <n v="-4.5599999999999996"/>
    <n v="-2.77"/>
    <n v="2.04"/>
    <n v="-237.84999999999997"/>
    <s v="NO"/>
    <n v="-15.408481337000355"/>
    <n v="4.7497318467196621"/>
    <n v="0.48539981686107142"/>
    <n v="-0.92269642040717992"/>
    <n v="0.19809036390324963"/>
    <n v="-7.3745338762022783"/>
    <x v="0"/>
    <x v="0"/>
    <x v="0"/>
    <x v="0"/>
    <x v="0"/>
    <x v="0"/>
  </r>
  <r>
    <x v="3"/>
    <s v="HCAT"/>
    <n v="264"/>
    <n v="4.16"/>
    <n v="-0.23"/>
    <n v="5.42"/>
    <n v="-1.1599999999999999"/>
    <n v="-18.086956521739129"/>
    <n v="0.76752767527675281"/>
    <n v="-19.8"/>
    <n v="-4.1500000000000004"/>
    <n v="2.37"/>
    <n v="-3.5862068965517246"/>
    <s v="NO"/>
    <n v="-1.3068086904527603"/>
    <n v="-1.1078170392008115"/>
    <n v="-7.154355324673814E-2"/>
    <n v="-1.3589951495085195"/>
    <n v="0.82757752030690923"/>
    <n v="-0.37712435973903258"/>
    <x v="1"/>
    <x v="1"/>
    <x v="0"/>
    <x v="0"/>
    <x v="0"/>
    <x v="1"/>
  </r>
  <r>
    <x v="3"/>
    <s v="EVH"/>
    <n v="875"/>
    <n v="8.48"/>
    <n v="-0.35"/>
    <n v="8.07"/>
    <n v="-1.22"/>
    <n v="-24.228571428571431"/>
    <n v="1.0508054522924413"/>
    <n v="-9.24"/>
    <n v="-0.04"/>
    <n v="2.84"/>
    <n v="-6.9508196721311482"/>
    <s v="NO"/>
    <n v="-1.4960669385984349"/>
    <n v="-0.92222470513736454"/>
    <n v="0.31436996304843695"/>
    <n v="-5.9583717184965475E-2"/>
    <n v="1.7241198339727268"/>
    <n v="-0.47762462545724665"/>
    <x v="1"/>
    <x v="1"/>
    <x v="0"/>
    <x v="0"/>
    <x v="0"/>
    <x v="1"/>
  </r>
  <r>
    <x v="3"/>
    <s v="CTEV"/>
    <n v="632"/>
    <n v="38.54"/>
    <n v="-6.1"/>
    <n v="0.9"/>
    <n v="-74.849999999999994"/>
    <n v="-6.3180327868852464"/>
    <n v="42.822222222222223"/>
    <n v="-198.69"/>
    <n v="0.83"/>
    <n v="342.97"/>
    <n v="-0.51489645958583841"/>
    <s v="NO"/>
    <n v="-0.94414090316758914"/>
    <n v="26.444746389947632"/>
    <n v="-6.6090500807130139"/>
    <n v="0.21547417724848753"/>
    <n v="650.53462440238707"/>
    <n v="-0.28538497229494858"/>
    <x v="1"/>
    <x v="0"/>
    <x v="1"/>
    <x v="0"/>
    <x v="1"/>
    <x v="1"/>
  </r>
  <r>
    <x v="4"/>
    <s v="MLAB"/>
    <n v="549"/>
    <n v="102.86"/>
    <n v="7.85"/>
    <n v="29.3"/>
    <n v="-0.36"/>
    <n v="13.103184713375796"/>
    <n v="3.5105802047781567"/>
    <n v="-1.29"/>
    <n v="2.5"/>
    <n v="2.71"/>
    <n v="-285.72222222222223"/>
    <s v="NO"/>
    <n v="0.56252537378908696"/>
    <n v="0.60995463013131512"/>
    <n v="0.82651659983263226"/>
    <n v="1.0551905823906529"/>
    <n v="1.0088606906992175"/>
    <n v="-76.064885835853858"/>
    <x v="1"/>
    <x v="1"/>
    <x v="0"/>
    <x v="0"/>
    <x v="0"/>
    <x v="0"/>
  </r>
  <r>
    <x v="4"/>
    <s v="FTRE"/>
    <n v="389"/>
    <n v="5.5"/>
    <n v="1.62"/>
    <n v="9.49"/>
    <n v="-8.41"/>
    <n v="3.3950617283950617"/>
    <n v="0.57955742887249739"/>
    <n v="-61.58"/>
    <n v="-1.74"/>
    <n v="3.63"/>
    <n v="-0.65398335315101064"/>
    <s v="NO"/>
    <n v="0.1044268775423854"/>
    <n v="-0.77964014095961498"/>
    <n v="-1.3201240867229129"/>
    <n v="0.44780420317040198"/>
    <n v="2.1467000686506985"/>
    <n v="1.1471639930822528"/>
    <x v="1"/>
    <x v="1"/>
    <x v="0"/>
    <x v="0"/>
    <x v="0"/>
    <x v="1"/>
  </r>
  <r>
    <x v="4"/>
    <s v="AZTA"/>
    <n v="1223"/>
    <n v="29.28"/>
    <n v="0.82"/>
    <n v="37.17"/>
    <n v="-3.51"/>
    <n v="35.707317073170735"/>
    <n v="0.78773204196933011"/>
    <n v="-8.58"/>
    <n v="-1.66"/>
    <n v="1.2"/>
    <n v="-8.3418803418803424"/>
    <s v="NO"/>
    <n v="1.6291495872444974"/>
    <n v="-0.68094477898179762"/>
    <n v="0.5669543074957617"/>
    <n v="0.45926432353304825"/>
    <n v="-0.85868002746027883"/>
    <n v="-0.9351384329208432"/>
    <x v="1"/>
    <x v="1"/>
    <x v="0"/>
    <x v="0"/>
    <x v="0"/>
    <x v="1"/>
  </r>
  <r>
    <x v="4"/>
    <s v="NAGE"/>
    <n v="852"/>
    <n v="13.43"/>
    <n v="0.26"/>
    <n v="0.7"/>
    <n v="0.18"/>
    <n v="51.653846153846153"/>
    <n v="19.185714285714287"/>
    <n v="33.46"/>
    <n v="12.21"/>
    <n v="1.47"/>
    <n v="74.611111111111114"/>
    <s v="NO"/>
    <n v="2.3816205853471448"/>
    <n v="8.0415189748633722"/>
    <n v="2.0637991318911029"/>
    <n v="2.4461626914068408"/>
    <n v="-0.5247489056701703"/>
    <n v="21.533062636891856"/>
    <x v="1"/>
    <x v="0"/>
    <x v="0"/>
    <x v="0"/>
    <x v="0"/>
    <x v="0"/>
  </r>
  <r>
    <x v="4"/>
    <s v="BLFS"/>
    <n v="1041"/>
    <n v="23.84"/>
    <n v="0.2"/>
    <n v="7.42"/>
    <n v="-0.19"/>
    <n v="119.19999999999999"/>
    <n v="3.2129380053908356"/>
    <n v="-2.52"/>
    <n v="-0.79"/>
    <n v="1.1200000000000001"/>
    <n v="-125.47368421052632"/>
    <s v="NO"/>
    <n v="5.5689299706982034"/>
    <n v="0.46884278094180276"/>
    <n v="0.78272213898567056"/>
    <n v="0.58389313247682617"/>
    <n v="-0.95762258206475537"/>
    <n v="-32.660828789512522"/>
    <x v="0"/>
    <x v="1"/>
    <x v="0"/>
    <x v="0"/>
    <x v="0"/>
    <x v="0"/>
  </r>
  <r>
    <x v="4"/>
    <s v="CTKB"/>
    <n v="351"/>
    <n v="3.56"/>
    <n v="0.13"/>
    <n v="2.98"/>
    <n v="-0.09"/>
    <n v="27.384615384615383"/>
    <n v="1.1946308724832215"/>
    <n v="-2.91"/>
    <n v="-3.51"/>
    <n v="1.27"/>
    <n v="-39.555555555555557"/>
    <s v="NO"/>
    <n v="1.2364251507972537"/>
    <n v="-0.48803447753577517"/>
    <n v="0.76883609042443879"/>
    <n v="0.19424904014685393"/>
    <n v="-0.7721052921813617"/>
    <n v="-9.3895066063231383"/>
    <x v="1"/>
    <x v="1"/>
    <x v="0"/>
    <x v="0"/>
    <x v="0"/>
    <x v="0"/>
  </r>
  <r>
    <x v="4"/>
    <s v="MRVI"/>
    <n v="324"/>
    <n v="2.2799999999999998"/>
    <n v="-0.17"/>
    <n v="2.09"/>
    <n v="-1.1599999999999999"/>
    <n v="-13.411764705882351"/>
    <n v="1.0909090909090908"/>
    <n v="-44.32"/>
    <n v="-4.6399999999999997"/>
    <n v="3.19"/>
    <n v="-1.9655172413793103"/>
    <s v="NO"/>
    <n v="-0.68863908671590268"/>
    <n v="-0.53720886352433583"/>
    <n v="-0.70557742475660501"/>
    <n v="3.2374840024475764E-2"/>
    <n v="1.6025160183260772"/>
    <n v="0.79192897871528112"/>
    <x v="1"/>
    <x v="1"/>
    <x v="0"/>
    <x v="0"/>
    <x v="0"/>
    <x v="1"/>
  </r>
  <r>
    <x v="4"/>
    <s v="TKNO"/>
    <n v="308"/>
    <n v="5.93"/>
    <n v="-0.22"/>
    <n v="1.47"/>
    <n v="-0.47"/>
    <n v="-26.954545454545453"/>
    <n v="4.0340136054421771"/>
    <n v="-28.76"/>
    <n v="-12.26"/>
    <n v="1.45"/>
    <n v="-12.617021276595745"/>
    <s v="NO"/>
    <n v="-1.3276840911476897"/>
    <n v="0.8581138469604368"/>
    <n v="-0.151559692416179"/>
    <n v="-1.0592016245175788"/>
    <n v="-0.54948454432128946"/>
    <n v="-2.093080110978419"/>
    <x v="1"/>
    <x v="1"/>
    <x v="0"/>
    <x v="0"/>
    <x v="0"/>
    <x v="1"/>
  </r>
  <r>
    <x v="4"/>
    <s v="MXCT"/>
    <n v="253"/>
    <n v="2.1800000000000002"/>
    <n v="-0.31"/>
    <n v="1.88"/>
    <n v="-0.4"/>
    <n v="-7.0322580645161299"/>
    <n v="1.1595744680851066"/>
    <n v="-19.63"/>
    <n v="-13.12"/>
    <n v="1.1499999999999999"/>
    <n v="-5.45"/>
    <s v="NO"/>
    <n v="-0.38760845456105969"/>
    <n v="-0.50465468146094505"/>
    <n v="0.17351626492752864"/>
    <n v="-1.1823979184160258"/>
    <n v="-0.92051912408807679"/>
    <n v="-0.15185927862986107"/>
    <x v="1"/>
    <x v="1"/>
    <x v="0"/>
    <x v="0"/>
    <x v="0"/>
    <x v="1"/>
  </r>
  <r>
    <x v="4"/>
    <s v="LFCR"/>
    <n v="251"/>
    <n v="6.78"/>
    <n v="-0.33"/>
    <n v="0.06"/>
    <n v="-1.49"/>
    <n v="-20.545454545454547"/>
    <n v="113.00000000000001"/>
    <n v="-83.58"/>
    <n v="-3.1"/>
    <n v="106.64"/>
    <n v="-4.550335570469799"/>
    <s v="NO"/>
    <n v="-1.0252574621994186"/>
    <n v="52.518771746098068"/>
    <n v="-2.1034396465872685"/>
    <n v="0.25298215700541588"/>
    <n v="129.54760694123991"/>
    <n v="9.1818989555293648E-2"/>
    <x v="1"/>
    <x v="0"/>
    <x v="0"/>
    <x v="0"/>
    <x v="1"/>
    <x v="1"/>
  </r>
  <r>
    <x v="4"/>
    <s v="LAB"/>
    <n v="365"/>
    <n v="1.08"/>
    <n v="-0.33"/>
    <n v="1.2"/>
    <n v="-0.35"/>
    <n v="-3.2727272727272729"/>
    <n v="0.90000000000000013"/>
    <n v="-25.73"/>
    <n v="-11.63"/>
    <n v="1.28"/>
    <n v="-3.0857142857142863"/>
    <s v="NO"/>
    <n v="-0.21020697283528361"/>
    <n v="-0.62771865985269248"/>
    <n v="-4.3675776671224541E-2"/>
    <n v="-0.96895317666173986"/>
    <n v="-0.75973747285580218"/>
    <n v="0.48851843270512291"/>
    <x v="1"/>
    <x v="1"/>
    <x v="0"/>
    <x v="0"/>
    <x v="0"/>
    <x v="1"/>
  </r>
  <r>
    <x v="4"/>
    <s v="EVO"/>
    <n v="1410"/>
    <n v="4.12"/>
    <n v="-0.47"/>
    <n v="5.56"/>
    <n v="-1.27"/>
    <n v="-8.7659574468085122"/>
    <n v="0.74100719424460437"/>
    <n v="-20.51"/>
    <n v="-2.42"/>
    <n v="2.13"/>
    <n v="-3.2440944881889764"/>
    <s v="NO"/>
    <n v="-0.46941675892645313"/>
    <n v="-0.7030969794396178"/>
    <n v="0.14218364253295432"/>
    <n v="0.35039318008790898"/>
    <n v="0.2915271698167618"/>
    <n v="0.44562042297276078"/>
    <x v="1"/>
    <x v="1"/>
    <x v="0"/>
    <x v="0"/>
    <x v="0"/>
    <x v="1"/>
  </r>
  <r>
    <x v="4"/>
    <s v="ABCL"/>
    <n v="603"/>
    <n v="2.5099999999999998"/>
    <n v="-0.48"/>
    <n v="3.43"/>
    <n v="-0.56999999999999995"/>
    <n v="-5.2291666666666661"/>
    <n v="0.73177842565597662"/>
    <n v="-15.6"/>
    <n v="-12.94"/>
    <n v="1.31"/>
    <n v="-4.4035087719298245"/>
    <s v="NO"/>
    <n v="-0.30252573988716419"/>
    <n v="-0.70747232878176092"/>
    <n v="0.31700543339359011"/>
    <n v="-1.1566126476000718"/>
    <n v="-0.72263401487912338"/>
    <n v="0.13158770644240553"/>
    <x v="1"/>
    <x v="1"/>
    <x v="0"/>
    <x v="0"/>
    <x v="0"/>
    <x v="1"/>
  </r>
  <r>
    <x v="4"/>
    <s v="ADPT"/>
    <n v="1446"/>
    <n v="10.45"/>
    <n v="-0.6"/>
    <n v="1.25"/>
    <n v="-0.96"/>
    <n v="-17.416666666666668"/>
    <n v="8.36"/>
    <n v="-61.03"/>
    <n v="-15.05"/>
    <n v="2.68"/>
    <n v="-10.885416666666666"/>
    <s v="NO"/>
    <n v="-0.87761893057337148"/>
    <n v="2.9090593814353771"/>
    <n v="-1.3005411977263042"/>
    <n v="-1.4588733221648669"/>
    <n v="0.971757232722539"/>
    <n v="-1.6240670004464286"/>
    <x v="1"/>
    <x v="1"/>
    <x v="0"/>
    <x v="0"/>
    <x v="0"/>
    <x v="1"/>
  </r>
  <r>
    <x v="4"/>
    <s v="PACB"/>
    <n v="289"/>
    <n v="1.2"/>
    <n v="-0.65"/>
    <n v="0.31"/>
    <n v="-2.34"/>
    <n v="-1.846153846153846"/>
    <n v="3.8709677419354835"/>
    <n v="-177.61"/>
    <n v="-31.7"/>
    <n v="9.39"/>
    <n v="-0.51282051282051289"/>
    <s v="NO"/>
    <n v="-0.14289106197282062"/>
    <n v="0.78081397701763178"/>
    <n v="-5.4514015599529673"/>
    <n v="-3.8440108726406161"/>
    <n v="9.2705640001730156"/>
    <n v="1.1853986007145627"/>
    <x v="1"/>
    <x v="1"/>
    <x v="1"/>
    <x v="1"/>
    <x v="1"/>
    <x v="1"/>
  </r>
  <r>
    <x v="4"/>
    <s v="CYRX"/>
    <n v="301"/>
    <n v="6.96"/>
    <n v="-0.77"/>
    <n v="7.23"/>
    <n v="-2.35"/>
    <n v="-9.0389610389610393"/>
    <n v="0.96265560165975095"/>
    <n v="-24.97"/>
    <n v="-4.84"/>
    <n v="1.93"/>
    <n v="-2.9617021276595743"/>
    <s v="NO"/>
    <n v="-0.48229901590120533"/>
    <n v="-0.59801370595002501"/>
    <n v="-1.6615784603183113E-2"/>
    <n v="3.7245391178601277E-3"/>
    <n v="4.4170783305570317E-2"/>
    <n v="0.52210769878787344"/>
    <x v="1"/>
    <x v="1"/>
    <x v="0"/>
    <x v="0"/>
    <x v="0"/>
    <x v="1"/>
  </r>
  <r>
    <x v="5"/>
    <s v="ZYBT"/>
    <n v="427"/>
    <n v="5.16"/>
    <m/>
    <m/>
    <m/>
    <s v=""/>
    <s v=""/>
    <n v="7.15"/>
    <n v="3.82"/>
    <n v="1.73"/>
    <s v=""/>
    <s v="NO"/>
    <e v="#VALUE!"/>
    <e v="#VALUE!"/>
    <n v="0.85646584744050325"/>
    <n v="0.92601602862627774"/>
    <n v="0.67983174300546123"/>
    <e v="#VALUE!"/>
    <x v="0"/>
    <x v="0"/>
    <x v="0"/>
    <x v="0"/>
    <x v="0"/>
    <x v="0"/>
  </r>
  <r>
    <x v="5"/>
    <s v="MAZE"/>
    <n v="438"/>
    <n v="12.81"/>
    <n v="7.66"/>
    <n v="6.67"/>
    <n v="0.34"/>
    <n v="1.6723237597911227"/>
    <n v="1.9205397301349327"/>
    <n v="34.380000000000003"/>
    <n v="23.07"/>
    <n v="1.1399999999999999"/>
    <n v="37.67647058823529"/>
    <s v="NO"/>
    <n v="0.40938284493771893"/>
    <n v="-0.29905065304365264"/>
    <n v="1.9046148571715984"/>
    <n v="2.2330332293452582"/>
    <n v="-0.45402190610612086"/>
    <n v="7.2832185604393143"/>
    <x v="1"/>
    <x v="1"/>
    <x v="0"/>
    <x v="0"/>
    <x v="0"/>
    <x v="0"/>
  </r>
  <r>
    <x v="5"/>
    <s v="COLL"/>
    <n v="937"/>
    <n v="30.44"/>
    <n v="6.12"/>
    <n v="7.3"/>
    <n v="1.25"/>
    <n v="4.9738562091503269"/>
    <n v="4.1698630136986301"/>
    <n v="19.23"/>
    <n v="7.95"/>
    <n v="6.96"/>
    <n v="24.352"/>
    <s v="NO"/>
    <n v="0.63666738597913886"/>
    <n v="0.76885109274826102"/>
    <n v="1.32145446431717"/>
    <n v="1.2064306280532591"/>
    <n v="10.730771717333553"/>
    <n v="5.149882545191403"/>
    <x v="1"/>
    <x v="1"/>
    <x v="0"/>
    <x v="0"/>
    <x v="1"/>
    <x v="0"/>
  </r>
  <r>
    <x v="5"/>
    <s v="PCRX"/>
    <n v="1197"/>
    <n v="25.42"/>
    <n v="3.45"/>
    <n v="17.25"/>
    <n v="-2.27"/>
    <n v="7.3681159420289859"/>
    <n v="1.4736231884057971"/>
    <n v="-12.27"/>
    <n v="3.56"/>
    <n v="1.99"/>
    <n v="-11.198237885462555"/>
    <s v="NO"/>
    <n v="0.80149333661515298"/>
    <n v="-0.51123133806269572"/>
    <n v="0.10894275640202113"/>
    <n v="0.9083628092918915"/>
    <n v="1.1794960629529381"/>
    <n v="-0.54194605913984495"/>
    <x v="1"/>
    <x v="1"/>
    <x v="0"/>
    <x v="0"/>
    <x v="0"/>
    <x v="1"/>
  </r>
  <r>
    <x v="5"/>
    <s v="BHC"/>
    <n v="1674"/>
    <n v="4.8600000000000003"/>
    <n v="3.3"/>
    <n v="-3.2"/>
    <n v="-0.11"/>
    <n v="1.4727272727272729"/>
    <n v="-1.51875"/>
    <n v="39.130000000000003"/>
    <n v="4.3099999999999996"/>
    <n v="-22.33"/>
    <n v="-44.181818181818187"/>
    <s v="NO"/>
    <n v="0.39564219672310214"/>
    <n v="-1.9319077589712121"/>
    <n v="2.0874539242381687"/>
    <n v="0.95928555737185173"/>
    <n v="-45.558335710595657"/>
    <n v="-5.8228357794537615"/>
    <x v="1"/>
    <x v="1"/>
    <x v="0"/>
    <x v="0"/>
    <x v="1"/>
    <x v="0"/>
  </r>
  <r>
    <x v="5"/>
    <s v="INVA"/>
    <n v="1229"/>
    <n v="21.58"/>
    <n v="3.13"/>
    <n v="10.31"/>
    <n v="-0.95"/>
    <n v="6.8945686900958467"/>
    <n v="2.0931134820562556"/>
    <n v="-8.84"/>
    <n v="9.4"/>
    <n v="1.94"/>
    <n v="-22.715789473684211"/>
    <s v="NO"/>
    <n v="0.76889333299018814"/>
    <n v="-0.21711853937137518"/>
    <n v="0.24097180904167065"/>
    <n v="1.3048812743411822"/>
    <n v="1.0834067706553463"/>
    <n v="-2.3859823717212691"/>
    <x v="1"/>
    <x v="1"/>
    <x v="0"/>
    <x v="0"/>
    <x v="0"/>
    <x v="1"/>
  </r>
  <r>
    <x v="5"/>
    <s v="AMPH"/>
    <n v="1212"/>
    <n v="26.62"/>
    <n v="3.11"/>
    <n v="15.76"/>
    <n v="2.77"/>
    <n v="8.559485530546624"/>
    <n v="1.6890862944162437"/>
    <n v="19.899999999999999"/>
    <n v="7.6"/>
    <n v="2.16"/>
    <n v="9.6101083032490973"/>
    <s v="NO"/>
    <n v="0.88350976210553178"/>
    <n v="-0.40893682631169592"/>
    <n v="1.347244395882349"/>
    <n v="1.1826666789492775"/>
    <n v="1.5061996567647502"/>
    <n v="2.7896080201134015"/>
    <x v="1"/>
    <x v="1"/>
    <x v="0"/>
    <x v="0"/>
    <x v="0"/>
    <x v="1"/>
  </r>
  <r>
    <x v="5"/>
    <s v="SUPN"/>
    <n v="1775"/>
    <n v="33.270000000000003"/>
    <n v="2.95"/>
    <n v="18.41"/>
    <n v="1.1100000000000001"/>
    <n v="11.277966101694915"/>
    <n v="1.8071700162954918"/>
    <n v="6.32"/>
    <n v="2.76"/>
    <n v="1.31"/>
    <n v="29.972972972972972"/>
    <s v="NO"/>
    <n v="1.0706557673078672"/>
    <n v="-0.35287471480202115"/>
    <n v="0.82451712624781837"/>
    <n v="0.85404521133993383"/>
    <n v="-0.12731831229430884"/>
    <n v="6.0498375568799032"/>
    <x v="1"/>
    <x v="1"/>
    <x v="0"/>
    <x v="0"/>
    <x v="0"/>
    <x v="0"/>
  </r>
  <r>
    <x v="5"/>
    <s v="LGND"/>
    <n v="1972"/>
    <n v="109.48"/>
    <n v="2.73"/>
    <n v="41.27"/>
    <n v="-7.11"/>
    <n v="40.102564102564102"/>
    <n v="2.6527744124061061"/>
    <n v="-16.559999999999999"/>
    <n v="-1.1399999999999999"/>
    <n v="1.1399999999999999"/>
    <n v="-15.39803094233474"/>
    <s v="NO"/>
    <n v="3.0550026207221195"/>
    <n v="4.8589324384531687E-2"/>
    <n v="-5.6189790485470521E-2"/>
    <n v="0.58924692132414036"/>
    <n v="-0.45402190610612086"/>
    <n v="-1.214360751001923"/>
    <x v="0"/>
    <x v="1"/>
    <x v="0"/>
    <x v="0"/>
    <x v="0"/>
    <x v="1"/>
  </r>
  <r>
    <x v="5"/>
    <s v="ANIP"/>
    <n v="1271"/>
    <n v="63.18"/>
    <n v="2.41"/>
    <n v="20.9"/>
    <n v="-1.1499999999999999"/>
    <n v="26.215767634854771"/>
    <n v="3.0229665071770335"/>
    <n v="-4.57"/>
    <n v="0.82"/>
    <n v="3.09"/>
    <n v="-54.939130434782612"/>
    <s v="NO"/>
    <n v="2.099005910069911"/>
    <n v="0.22434386672755272"/>
    <n v="0.40533450722572412"/>
    <n v="0.72232503630643663"/>
    <n v="3.2934604934999552"/>
    <n v="-7.5451527379060712"/>
    <x v="1"/>
    <x v="1"/>
    <x v="0"/>
    <x v="0"/>
    <x v="0"/>
    <x v="0"/>
  </r>
  <r>
    <x v="5"/>
    <s v="PAHC"/>
    <n v="990"/>
    <n v="24.23"/>
    <n v="1.21"/>
    <n v="6.56"/>
    <n v="0.78"/>
    <n v="20.024793388429753"/>
    <n v="3.69359756097561"/>
    <n v="11.86"/>
    <n v="6.26"/>
    <n v="4.95"/>
    <n v="31.064102564102562"/>
    <s v="NO"/>
    <n v="1.6728060281117407"/>
    <n v="0.54273654881419142"/>
    <n v="1.0377652171001968"/>
    <n v="1.0916847023797485"/>
    <n v="6.8679821669703669"/>
    <n v="6.2245346331085631"/>
    <x v="1"/>
    <x v="1"/>
    <x v="0"/>
    <x v="0"/>
    <x v="1"/>
    <x v="0"/>
  </r>
  <r>
    <x v="5"/>
    <s v="TBPH"/>
    <n v="458"/>
    <n v="10.95"/>
    <n v="0.66"/>
    <n v="3.32"/>
    <n v="-1.19"/>
    <n v="16.59090909090909"/>
    <n v="3.2981927710843375"/>
    <n v="-31.46"/>
    <n v="-7.98"/>
    <n v="2.0699999999999998"/>
    <n v="-9.2016806722689068"/>
    <s v="NO"/>
    <n v="1.4364101033335959"/>
    <n v="0.35501188135314915"/>
    <n v="-0.62972707454692201"/>
    <n v="0.12483145883490258"/>
    <n v="1.3332389306290844"/>
    <n v="-0.22228402219784857"/>
    <x v="1"/>
    <x v="1"/>
    <x v="0"/>
    <x v="0"/>
    <x v="0"/>
    <x v="1"/>
  </r>
  <r>
    <x v="5"/>
    <s v="GTBIF"/>
    <n v="1242"/>
    <n v="5.1100000000000003"/>
    <n v="0.38"/>
    <n v="7.64"/>
    <n v="0.21"/>
    <n v="13.447368421052632"/>
    <n v="0.66884816753926712"/>
    <n v="2.86"/>
    <n v="4.8"/>
    <n v="1.42"/>
    <n v="24.333333333333336"/>
    <s v="NO"/>
    <n v="1.2200020536316956"/>
    <n v="-0.89331098665437125"/>
    <n v="0.69133330055301168"/>
    <n v="0.99255508611742571"/>
    <n v="8.4078130760392639E-2"/>
    <n v="5.1468938881921682"/>
    <x v="1"/>
    <x v="1"/>
    <x v="0"/>
    <x v="0"/>
    <x v="0"/>
    <x v="0"/>
  </r>
  <r>
    <x v="5"/>
    <s v="TCNNF"/>
    <n v="764"/>
    <n v="3.82"/>
    <n v="0.15"/>
    <n v="0.49"/>
    <n v="-0.83"/>
    <n v="25.466666666666665"/>
    <n v="7.795918367346939"/>
    <n v="-12.53"/>
    <n v="1.82"/>
    <n v="2.34"/>
    <n v="-4.6024096385542173"/>
    <s v="NO"/>
    <n v="2.0474362004396567"/>
    <n v="2.4903781274767427"/>
    <n v="9.8934723257324664E-2"/>
    <n v="0.79022203374638367"/>
    <n v="1.8521211090360796"/>
    <n v="0.51408974028193533"/>
    <x v="1"/>
    <x v="1"/>
    <x v="0"/>
    <x v="0"/>
    <x v="0"/>
    <x v="1"/>
  </r>
  <r>
    <x v="5"/>
    <s v="SNDL"/>
    <n v="327"/>
    <n v="1.33"/>
    <n v="0.13"/>
    <n v="2.97"/>
    <n v="-0.28000000000000003"/>
    <n v="10.230769230769232"/>
    <n v="0.44781144781144783"/>
    <n v="-9.09"/>
    <n v="-1.1599999999999999"/>
    <n v="1.19"/>
    <n v="-4.75"/>
    <s v="NO"/>
    <n v="0.99856449943783576"/>
    <n v="-0.99825165952531558"/>
    <n v="0.23134870024869328"/>
    <n v="0.5878889813753414"/>
    <n v="-0.35793261380852909"/>
    <n v="0.49045954563437105"/>
    <x v="1"/>
    <x v="1"/>
    <x v="0"/>
    <x v="0"/>
    <x v="0"/>
    <x v="1"/>
  </r>
  <r>
    <x v="5"/>
    <s v="FULC"/>
    <n v="371"/>
    <n v="7.12"/>
    <n v="0.12"/>
    <n v="4.2300000000000004"/>
    <n v="-0.01"/>
    <n v="59.333333333333336"/>
    <n v="1.6832151300236404"/>
    <n v="-0.23"/>
    <n v="-2.74"/>
    <n v="1.06"/>
    <n v="-712"/>
    <s v="NO"/>
    <n v="4.3788898232656495"/>
    <n v="-0.41172425431304521"/>
    <n v="0.57239167587181128"/>
    <n v="0.48061172542022507"/>
    <n v="-0.60776477378226734"/>
    <n v="-112.74495095662358"/>
    <x v="0"/>
    <x v="1"/>
    <x v="0"/>
    <x v="0"/>
    <x v="0"/>
    <x v="0"/>
  </r>
  <r>
    <x v="5"/>
    <s v="CURLF"/>
    <n v="629"/>
    <n v="0.87609999999999999"/>
    <n v="0.08"/>
    <n v="1.08"/>
    <n v="-0.34"/>
    <n v="10.95125"/>
    <n v="0.81120370370370365"/>
    <n v="-20.92"/>
    <n v="0.32"/>
    <n v="3.62"/>
    <n v="-2.5767647058823528"/>
    <s v="NO"/>
    <n v="1.048163933481129"/>
    <n v="-0.82572544805971826"/>
    <n v="-0.22401680783499597"/>
    <n v="0.68837653758646311"/>
    <n v="4.3120069918544282"/>
    <n v="0.83840891381734317"/>
    <x v="1"/>
    <x v="1"/>
    <x v="0"/>
    <x v="0"/>
    <x v="1"/>
    <x v="1"/>
  </r>
  <r>
    <x v="5"/>
    <s v="NIKA"/>
    <n v="667"/>
    <n v="0.64949999999999997"/>
    <n v="0"/>
    <n v="0"/>
    <n v="0"/>
    <s v=""/>
    <s v=""/>
    <n v="27.38"/>
    <n v="-102.64"/>
    <n v="-0.15"/>
    <s v=""/>
    <s v="NO"/>
    <e v="#VALUE!"/>
    <e v="#VALUE!"/>
    <n v="1.6351678109682322"/>
    <n v="-6.3022983188304842"/>
    <n v="-2.9331256473839864"/>
    <e v="#VALUE!"/>
    <x v="0"/>
    <x v="0"/>
    <x v="0"/>
    <x v="1"/>
    <x v="0"/>
    <x v="0"/>
  </r>
  <r>
    <x v="5"/>
    <s v="CRON"/>
    <n v="763"/>
    <n v="1.96"/>
    <n v="-0.02"/>
    <n v="2.77"/>
    <n v="0.13"/>
    <n v="-98"/>
    <n v="0.70758122743682306"/>
    <n v="4.59"/>
    <n v="-2.42"/>
    <n v="1.08"/>
    <n v="15.076923076923077"/>
    <s v="NO"/>
    <n v="-6.4522726764771532"/>
    <n v="-0.8749218548711758"/>
    <n v="0.75792521340041508"/>
    <n v="0.50233876460100813"/>
    <n v="-0.56932905686323054"/>
    <n v="3.6648812828023822"/>
    <x v="0"/>
    <x v="1"/>
    <x v="0"/>
    <x v="0"/>
    <x v="0"/>
    <x v="0"/>
  </r>
  <r>
    <x v="5"/>
    <s v="ETON"/>
    <n v="507"/>
    <n v="15.85"/>
    <n v="-0.1"/>
    <n v="0.91"/>
    <n v="-0.18"/>
    <n v="-158.5"/>
    <n v="17.417582417582416"/>
    <n v="-22.95"/>
    <n v="-2.02"/>
    <n v="3.44"/>
    <n v="-88.055555555555557"/>
    <s v="NO"/>
    <n v="-10.6172218156791"/>
    <n v="7.0584150618522497"/>
    <n v="-0.30215645123397211"/>
    <n v="0.52949756357698696"/>
    <n v="3.9660855395830965"/>
    <n v="-12.847311794700714"/>
    <x v="0"/>
    <x v="0"/>
    <x v="0"/>
    <x v="0"/>
    <x v="1"/>
    <x v="0"/>
  </r>
  <r>
    <x v="5"/>
    <s v="TLRY"/>
    <n v="432"/>
    <n v="0.41"/>
    <n v="-0.1"/>
    <n v="2.8"/>
    <n v="-1.1200000000000001"/>
    <n v="-4.0999999999999996"/>
    <n v="0.14642857142857144"/>
    <n v="-30.73"/>
    <n v="-1.63"/>
    <n v="1.25"/>
    <n v="-0.36607142857142849"/>
    <s v="NO"/>
    <n v="1.200375610239696E-2"/>
    <n v="-1.1413379389378266"/>
    <n v="-0.60162759687142797"/>
    <n v="0.55597739257856627"/>
    <n v="-0.24262546305141897"/>
    <n v="1.1923555532671621"/>
    <x v="1"/>
    <x v="1"/>
    <x v="0"/>
    <x v="0"/>
    <x v="0"/>
    <x v="1"/>
  </r>
  <r>
    <x v="5"/>
    <s v="KHTRF"/>
    <n v="423"/>
    <n v="4.41"/>
    <n v="-0.1"/>
    <n v="5.59"/>
    <n v="7.0000000000000007E-2"/>
    <n v="-44.1"/>
    <n v="0.78890876565295176"/>
    <n v="1.42"/>
    <n v="-0.05"/>
    <n v="1.26"/>
    <n v="62.999999999999993"/>
    <s v="NO"/>
    <n v="-2.741681625188146"/>
    <n v="-0.83631032193742927"/>
    <n v="0.63590419390546193"/>
    <n v="0.66325464853368254"/>
    <n v="-0.22340760459190062"/>
    <n v="11.337683386607118"/>
    <x v="1"/>
    <x v="1"/>
    <x v="0"/>
    <x v="0"/>
    <x v="0"/>
    <x v="0"/>
  </r>
  <r>
    <x v="5"/>
    <s v="NGENF"/>
    <n v="273"/>
    <n v="2.54"/>
    <n v="-0.18"/>
    <n v="0.01"/>
    <n v="-0.25"/>
    <n v="-14.111111111111112"/>
    <n v="254"/>
    <n v="-253.35"/>
    <n v="-68.239999999999995"/>
    <n v="11.4"/>
    <n v="-10.16"/>
    <s v="NO"/>
    <n v="-0.67718250182615292"/>
    <n v="119.37965345656463"/>
    <n v="-9.1708135148419174"/>
    <n v="-3.9666416068963053"/>
    <n v="19.263500873359693"/>
    <n v="-0.37571729539385879"/>
    <x v="1"/>
    <x v="0"/>
    <x v="1"/>
    <x v="1"/>
    <x v="1"/>
    <x v="1"/>
  </r>
  <r>
    <x v="5"/>
    <s v="XERS"/>
    <n v="791"/>
    <n v="4.4800000000000004"/>
    <n v="-0.18"/>
    <n v="-0.23"/>
    <n v="-0.3"/>
    <n v="-24.888888888888893"/>
    <n v="-19.478260869565219"/>
    <n v="203.48"/>
    <n v="-3.14"/>
    <n v="-8.98"/>
    <n v="-14.933333333333335"/>
    <s v="NO"/>
    <n v="-1.4191477295627717"/>
    <n v="-10.458469125815492"/>
    <n v="8.4136856447414914"/>
    <n v="0.45345292644424623"/>
    <n v="-19.902494667138683"/>
    <n v="-1.1399595851981876"/>
    <x v="1"/>
    <x v="0"/>
    <x v="1"/>
    <x v="0"/>
    <x v="1"/>
    <x v="1"/>
  </r>
  <r>
    <x v="5"/>
    <s v="CRMD"/>
    <n v="823"/>
    <n v="14.35"/>
    <n v="-0.22"/>
    <n v="1.7"/>
    <n v="0.28000000000000003"/>
    <n v="-65.22727272727272"/>
    <n v="8.4411764705882355"/>
    <n v="19.87"/>
    <n v="8.31"/>
    <n v="1.3"/>
    <n v="51.249999999999993"/>
    <s v="NO"/>
    <n v="-4.1961281765788776"/>
    <n v="2.7967246006462347"/>
    <n v="1.3460896228271919"/>
    <n v="1.2308735471316399"/>
    <n v="-0.14653617075382719"/>
    <n v="9.4564305433387812"/>
    <x v="0"/>
    <x v="1"/>
    <x v="0"/>
    <x v="0"/>
    <x v="0"/>
    <x v="0"/>
  </r>
  <r>
    <x v="5"/>
    <s v="AVDL"/>
    <n v="881"/>
    <n v="10.07"/>
    <n v="-0.26"/>
    <n v="0.77"/>
    <n v="-0.27"/>
    <n v="-38.730769230769234"/>
    <n v="13.077922077922079"/>
    <n v="-34.65"/>
    <n v="-7.21"/>
    <n v="2.27"/>
    <n v="-37.296296296296298"/>
    <s v="NO"/>
    <n v="-2.3720523182379925"/>
    <n v="4.9980927921583893"/>
    <n v="-0.75251794274531314"/>
    <n v="0.17711214686366183"/>
    <n v="1.7175960998194515"/>
    <n v="-4.7204181092814705"/>
    <x v="1"/>
    <x v="0"/>
    <x v="0"/>
    <x v="0"/>
    <x v="0"/>
    <x v="0"/>
  </r>
  <r>
    <x v="5"/>
    <s v="ACB"/>
    <n v="291"/>
    <n v="5.82"/>
    <n v="-0.37"/>
    <n v="7.26"/>
    <n v="0.23"/>
    <n v="-15.72972972972973"/>
    <n v="0.80165289256198358"/>
    <n v="2.65"/>
    <n v="2.78"/>
    <n v="1.51"/>
    <n v="25.304347826086957"/>
    <s v="NO"/>
    <n v="-0.78861166252552239"/>
    <n v="-0.83025984645700535"/>
    <n v="0.68324988916691065"/>
    <n v="0.85540315128873268"/>
    <n v="0.25703885689605782"/>
    <n v="5.302359741413234"/>
    <x v="1"/>
    <x v="1"/>
    <x v="0"/>
    <x v="0"/>
    <x v="0"/>
    <x v="0"/>
  </r>
  <r>
    <x v="5"/>
    <s v="TRVI"/>
    <n v="662"/>
    <n v="6.41"/>
    <n v="-0.39"/>
    <n v="1"/>
    <n v="-0.44"/>
    <n v="-16.435897435897434"/>
    <n v="6.41"/>
    <n v="-55.12"/>
    <n v="-34.409999999999997"/>
    <n v="1.08"/>
    <n v="-14.568181818181818"/>
    <s v="NO"/>
    <n v="-0.83722575475585947"/>
    <n v="1.8323914988628205"/>
    <n v="-1.5404580907143002"/>
    <n v="-1.6696861835028973"/>
    <n v="-0.56932905686323054"/>
    <n v="-1.0814964085086103"/>
    <x v="1"/>
    <x v="1"/>
    <x v="0"/>
    <x v="0"/>
    <x v="0"/>
    <x v="1"/>
  </r>
  <r>
    <x v="5"/>
    <s v="EOLS"/>
    <n v="593"/>
    <n v="9.65"/>
    <n v="-0.46"/>
    <n v="-0.1"/>
    <n v="-0.89"/>
    <n v="-20.978260869565219"/>
    <n v="-96.5"/>
    <n v="-949.46"/>
    <n v="-9.36"/>
    <n v="-32.31"/>
    <n v="-10.842696629213483"/>
    <s v="NO"/>
    <n v="-1.1499317493508519"/>
    <n v="-47.025755954859427"/>
    <n v="-35.965782562359827"/>
    <n v="3.1133602367775744E-2"/>
    <n v="-64.737758453194971"/>
    <n v="-0.48502154856812041"/>
    <x v="1"/>
    <x v="0"/>
    <x v="1"/>
    <x v="0"/>
    <x v="1"/>
    <x v="1"/>
  </r>
  <r>
    <x v="5"/>
    <s v="NUVB"/>
    <n v="721"/>
    <n v="2.5099999999999998"/>
    <n v="-0.53"/>
    <n v="1.23"/>
    <n v="-2.0299999999999998"/>
    <n v="-4.7358490566037732"/>
    <n v="2.0406504065040649"/>
    <n v="-119.66"/>
    <n v="-23.33"/>
    <n v="1.17"/>
    <n v="-1.2364532019704433"/>
    <s v="NO"/>
    <n v="-3.1769450194532894E-2"/>
    <n v="-0.24202621288419904"/>
    <n v="-4.0247598567093386"/>
    <n v="-0.9173874518682843"/>
    <n v="-0.39636833072756583"/>
    <n v="1.0530016651024106"/>
    <x v="1"/>
    <x v="1"/>
    <x v="1"/>
    <x v="0"/>
    <x v="0"/>
    <x v="1"/>
  </r>
  <r>
    <x v="5"/>
    <s v="AQST"/>
    <n v="269"/>
    <n v="3.54"/>
    <n v="-0.53"/>
    <n v="-0.61"/>
    <n v="-0.59"/>
    <n v="-6.6792452830188678"/>
    <n v="-5.8032786885245899"/>
    <n v="111.57"/>
    <n v="-22.21"/>
    <n v="-1.68"/>
    <n v="-6"/>
    <s v="NO"/>
    <n v="-0.1655569946628942"/>
    <n v="-3.9660554067570213"/>
    <n v="4.8758459280912909"/>
    <n v="-0.84134281473554384"/>
    <n v="-5.8734579916902918"/>
    <n v="0.29032626443561182"/>
    <x v="1"/>
    <x v="0"/>
    <x v="1"/>
    <x v="0"/>
    <x v="1"/>
    <x v="1"/>
  </r>
  <r>
    <x v="5"/>
    <s v="GHRS"/>
    <n v="746"/>
    <n v="13.7"/>
    <n v="-0.77"/>
    <n v="5"/>
    <n v="-0.79"/>
    <n v="-17.79220779220779"/>
    <n v="2.7399999999999998"/>
    <n v="-16.2"/>
    <n v="-11.97"/>
    <n v="1.03"/>
    <n v="-17.341772151898734"/>
    <s v="NO"/>
    <n v="-0.93059705477247934"/>
    <n v="9.0001049390848104E-2"/>
    <n v="-4.2332513823583127E-2"/>
    <n v="-0.1460775609504861"/>
    <n v="-0.66541834916082232"/>
    <n v="-1.5255665958589526"/>
    <x v="1"/>
    <x v="1"/>
    <x v="0"/>
    <x v="0"/>
    <x v="0"/>
    <x v="1"/>
  </r>
  <r>
    <x v="5"/>
    <s v="TERN"/>
    <n v="272"/>
    <n v="3.71"/>
    <n v="-0.86"/>
    <n v="3.73"/>
    <n v="-1.08"/>
    <n v="-4.3139534883720927"/>
    <n v="0.99463806970509383"/>
    <n v="-32.119999999999997"/>
    <n v="-22.15"/>
    <n v="1.04"/>
    <n v="-3.4351851851851851"/>
    <s v="NO"/>
    <n v="-2.7252587277617601E-3"/>
    <n v="-0.73863708636332359"/>
    <n v="-0.65513208176038207"/>
    <n v="-0.83726899488914686"/>
    <n v="-0.64620049070130403"/>
    <n v="0.70097010808047333"/>
    <x v="1"/>
    <x v="1"/>
    <x v="0"/>
    <x v="0"/>
    <x v="0"/>
    <x v="1"/>
  </r>
  <r>
    <x v="5"/>
    <s v="OCUL"/>
    <n v="1276"/>
    <n v="8.9"/>
    <n v="-0.89"/>
    <n v="1.67"/>
    <n v="-1.1499999999999999"/>
    <n v="-10"/>
    <n v="5.3293413173652695"/>
    <n v="-57.19"/>
    <n v="-27.21"/>
    <n v="1.53"/>
    <n v="-7.7391304347826093"/>
    <s v="NO"/>
    <n v="-0.39416483763795818"/>
    <n v="1.3193317256307449"/>
    <n v="-1.6201374315201529"/>
    <n v="-1.1808278019352789"/>
    <n v="0.29547457381509457"/>
    <n v="1.1879960159077206E-2"/>
    <x v="1"/>
    <x v="1"/>
    <x v="0"/>
    <x v="0"/>
    <x v="0"/>
    <x v="1"/>
  </r>
  <r>
    <x v="5"/>
    <s v="MNMD"/>
    <n v="549"/>
    <n v="7.76"/>
    <n v="-1.1499999999999999"/>
    <n v="2.95"/>
    <n v="-1.06"/>
    <n v="-6.7478260869565219"/>
    <n v="2.630508474576271"/>
    <n v="-37.06"/>
    <n v="-25.84"/>
    <n v="1.24"/>
    <n v="-7.3207547169811313"/>
    <s v="NO"/>
    <n v="-0.17027824359390098"/>
    <n v="3.8018218819615784E-2"/>
    <n v="-0.84528471150961515"/>
    <n v="-1.0878089154425516"/>
    <n v="-0.26184332151093731"/>
    <n v="7.8864684301073934E-2"/>
    <x v="1"/>
    <x v="1"/>
    <x v="0"/>
    <x v="0"/>
    <x v="0"/>
    <x v="1"/>
  </r>
  <r>
    <x v="5"/>
    <s v="WVE"/>
    <n v="926"/>
    <n v="7.05"/>
    <n v="-1.24"/>
    <n v="1.1100000000000001"/>
    <n v="-0.77"/>
    <n v="-5.685483870967742"/>
    <n v="6.3513513513513509"/>
    <n v="-105.5"/>
    <n v="-30.02"/>
    <n v="1.68"/>
    <n v="-9.1558441558441555"/>
    <s v="NO"/>
    <n v="-9.7144337841498382E-2"/>
    <n v="1.8045471268519639"/>
    <n v="-3.4797069746750999"/>
    <n v="-1.3716183647415303"/>
    <n v="0.58374245070786945"/>
    <n v="-0.21494529225320352"/>
    <x v="1"/>
    <x v="1"/>
    <x v="1"/>
    <x v="0"/>
    <x v="0"/>
    <x v="1"/>
  </r>
  <r>
    <x v="5"/>
    <s v="ZVRA"/>
    <n v="468"/>
    <n v="9.19"/>
    <n v="-1.25"/>
    <n v="0.75"/>
    <n v="-1.86"/>
    <n v="-7.3519999999999994"/>
    <n v="12.253333333333332"/>
    <n v="-204.78"/>
    <n v="-27.73"/>
    <n v="4.21"/>
    <n v="-4.940860215053763"/>
    <s v="NO"/>
    <n v="-0.21187086539652417"/>
    <n v="4.6066062653699653"/>
    <n v="-7.3012359385422734"/>
    <n v="-1.2161342406040516"/>
    <n v="5.4458606409660097"/>
    <n v="0.45990156076316269"/>
    <x v="1"/>
    <x v="0"/>
    <x v="1"/>
    <x v="0"/>
    <x v="1"/>
    <x v="1"/>
  </r>
  <r>
    <x v="5"/>
    <s v="EWTX"/>
    <n v="1502"/>
    <n v="15.26"/>
    <n v="-1.27"/>
    <n v="4.51"/>
    <n v="-1.55"/>
    <n v="-12.015748031496063"/>
    <n v="3.3835920177383594"/>
    <n v="-30.29"/>
    <n v="-21.08"/>
    <n v="1.06"/>
    <n v="-9.8451612903225794"/>
    <s v="NO"/>
    <n v="-0.53293323480535559"/>
    <n v="0.39555652216025244"/>
    <n v="-0.58469092539578771"/>
    <n v="-0.76461920762840352"/>
    <n v="-0.60776477378226734"/>
    <n v="-0.32530953218095821"/>
    <x v="1"/>
    <x v="1"/>
    <x v="0"/>
    <x v="0"/>
    <x v="0"/>
    <x v="1"/>
  </r>
  <r>
    <x v="5"/>
    <s v="LQDA"/>
    <n v="1275"/>
    <n v="18.02"/>
    <n v="-1.32"/>
    <n v="0.57999999999999996"/>
    <n v="-1.71"/>
    <n v="-13.65151515151515"/>
    <n v="31.068965517241381"/>
    <n v="-203.98"/>
    <n v="-37.659999999999997"/>
    <n v="4.57"/>
    <n v="-10.538011695906432"/>
    <s v="NO"/>
    <n v="-0.64554293494516291"/>
    <n v="13.539624744394176"/>
    <n v="-7.2704419904047457"/>
    <n v="-1.8903514251827251"/>
    <n v="6.1377035455086704"/>
    <n v="-0.43623947222046822"/>
    <x v="1"/>
    <x v="0"/>
    <x v="1"/>
    <x v="0"/>
    <x v="1"/>
    <x v="1"/>
  </r>
  <r>
    <x v="5"/>
    <s v="AVIR"/>
    <n v="254"/>
    <n v="3.21"/>
    <n v="-1.49"/>
    <n v="4.8"/>
    <n v="-1.65"/>
    <n v="-2.1543624161073827"/>
    <n v="0.66875000000000007"/>
    <n v="-30.47"/>
    <n v="-12.77"/>
    <n v="1.07"/>
    <n v="-1.9454545454545455"/>
    <s v="NO"/>
    <n v="0.14594560040376076"/>
    <n v="-0.89335759324370823"/>
    <n v="-0.59161956372673141"/>
    <n v="-0.20039515890244367"/>
    <n v="-0.58854691532274894"/>
    <n v="0.93948585290576903"/>
    <x v="1"/>
    <x v="1"/>
    <x v="0"/>
    <x v="0"/>
    <x v="0"/>
    <x v="1"/>
  </r>
  <r>
    <x v="5"/>
    <s v="ELVN"/>
    <n v="872"/>
    <n v="20.34"/>
    <n v="-1.51"/>
    <n v="5.88"/>
    <n v="-1.93"/>
    <n v="-13.470198675496688"/>
    <n v="3.4591836734693877"/>
    <n v="-31.3"/>
    <n v="-21.36"/>
    <n v="1.05"/>
    <n v="-10.538860103626943"/>
    <s v="NO"/>
    <n v="-0.63306072171018402"/>
    <n v="0.43144485431434426"/>
    <n v="-0.62356828491941629"/>
    <n v="-0.78363036691158872"/>
    <n v="-0.62698263224178563"/>
    <n v="-0.43637530791718843"/>
    <x v="1"/>
    <x v="1"/>
    <x v="0"/>
    <x v="0"/>
    <x v="0"/>
    <x v="1"/>
  </r>
  <r>
    <x v="5"/>
    <s v="TARS"/>
    <n v="1805"/>
    <n v="43.11"/>
    <n v="-1.89"/>
    <n v="8.15"/>
    <n v="-2.72"/>
    <n v="-22.80952380952381"/>
    <n v="5.2895705521472394"/>
    <n v="-33.979999999999997"/>
    <n v="-16.05"/>
    <n v="1.46"/>
    <n v="-15.849264705882351"/>
    <s v="NO"/>
    <n v="-1.2759997990274297"/>
    <n v="1.3004499268612386"/>
    <n v="-0.72672801118013375"/>
    <n v="-0.42309731050547006"/>
    <n v="0.16094956459846607"/>
    <n v="-1.2866062659510815"/>
    <x v="1"/>
    <x v="1"/>
    <x v="0"/>
    <x v="0"/>
    <x v="0"/>
    <x v="1"/>
  </r>
  <r>
    <x v="5"/>
    <s v="LENZ"/>
    <n v="822"/>
    <n v="31.22"/>
    <n v="-1.93"/>
    <n v="6.97"/>
    <n v="-1.77"/>
    <n v="-16.176165803108809"/>
    <n v="4.4791965566714493"/>
    <n v="-24.47"/>
    <n v="-17.760000000000002"/>
    <n v="1.05"/>
    <n v="-17.638418079096045"/>
    <s v="NO"/>
    <n v="-0.81934527474914043"/>
    <n v="0.9157120766657455"/>
    <n v="-0.36066495269527454"/>
    <n v="-0.53920117612777951"/>
    <n v="-0.62698263224178563"/>
    <n v="-1.5730615740703493"/>
    <x v="1"/>
    <x v="1"/>
    <x v="0"/>
    <x v="0"/>
    <x v="0"/>
    <x v="1"/>
  </r>
  <r>
    <x v="5"/>
    <s v="RAPP"/>
    <n v="302"/>
    <n v="12.71"/>
    <n v="-2.38"/>
    <n v="7.83"/>
    <n v="-2.74"/>
    <n v="-5.3403361344537821"/>
    <n v="1.6232439335887612"/>
    <n v="-33.14"/>
    <n v="-22.88"/>
    <n v="1.06"/>
    <n v="-4.6386861313868613"/>
    <s v="NO"/>
    <n v="-7.3383630930898086E-2"/>
    <n v="-0.44019652676850601"/>
    <n v="-0.69439436563572987"/>
    <n v="-0.88683380302030823"/>
    <n v="-0.60776477378226734"/>
    <n v="0.50828163344915112"/>
    <x v="1"/>
    <x v="1"/>
    <x v="0"/>
    <x v="0"/>
    <x v="0"/>
    <x v="1"/>
  </r>
  <r>
    <x v="5"/>
    <s v="GPCR"/>
    <n v="1252"/>
    <n v="20.51"/>
    <n v="-2.46"/>
    <n v="14.33"/>
    <n v="-2.59"/>
    <n v="-8.3373983739837403"/>
    <n v="1.4312630844382415"/>
    <n v="-22.85"/>
    <n v="-17.239999999999998"/>
    <n v="1.05"/>
    <n v="-7.9189189189189202"/>
    <s v="NO"/>
    <n v="-0.27970779282618663"/>
    <n v="-0.53134246628931936"/>
    <n v="-0.29830720771678126"/>
    <n v="-0.50389473745900681"/>
    <n v="-0.62698263224178563"/>
    <n v="-1.6905367242483562E-2"/>
    <x v="1"/>
    <x v="1"/>
    <x v="0"/>
    <x v="0"/>
    <x v="0"/>
    <x v="1"/>
  </r>
  <r>
    <x v="5"/>
    <s v="PHVS"/>
    <n v="905"/>
    <n v="18.03"/>
    <n v="-2.7"/>
    <n v="4.47"/>
    <n v="-3.04"/>
    <n v="-6.677777777777778"/>
    <n v="4.0335570469798663"/>
    <n v="-52.2"/>
    <n v="-31.88"/>
    <n v="1.1000000000000001"/>
    <n v="-5.9309210526315796"/>
    <s v="NO"/>
    <n v="-0.16545596846966029"/>
    <n v="0.70413768277092625"/>
    <n v="-1.4280601800123247"/>
    <n v="-1.4979067799798316"/>
    <n v="-0.53089333994419385"/>
    <n v="0.30138626155449055"/>
    <x v="1"/>
    <x v="1"/>
    <x v="0"/>
    <x v="0"/>
    <x v="0"/>
    <x v="1"/>
  </r>
  <r>
    <x v="5"/>
    <s v="AMLX"/>
    <n v="459"/>
    <n v="5.44"/>
    <n v="-3.35"/>
    <n v="2.2599999999999998"/>
    <n v="-3.02"/>
    <n v="-1.6238805970149255"/>
    <n v="2.4070796460176993"/>
    <n v="-83.24"/>
    <n v="-40.72"/>
    <n v="1.0900000000000001"/>
    <n v="-1.8013245033112584"/>
    <s v="NO"/>
    <n v="0.1824651011606436"/>
    <n v="-6.8058145490238711E-2"/>
    <n v="-2.6228653677483948"/>
    <n v="-2.0981162373489632"/>
    <n v="-0.55011119840371225"/>
    <n v="0.96256202750853015"/>
    <x v="1"/>
    <x v="1"/>
    <x v="0"/>
    <x v="0"/>
    <x v="0"/>
    <x v="1"/>
  </r>
  <r>
    <x v="5"/>
    <s v="ARVN"/>
    <n v="526"/>
    <n v="7.83"/>
    <n v="-3.51"/>
    <n v="9.0399999999999991"/>
    <n v="-0.65"/>
    <n v="-2.2307692307692308"/>
    <n v="0.8661504424778762"/>
    <n v="-7.34"/>
    <n v="-5.39"/>
    <n v="1.52"/>
    <n v="-12.046153846153846"/>
    <s v="NO"/>
    <n v="0.14068559218962806"/>
    <n v="-0.7996386162150998"/>
    <n v="0.29871046179953487"/>
    <n v="0.30068468220436545"/>
    <n v="0.27625671535557622"/>
    <n v="-0.67770302185500186"/>
    <x v="1"/>
    <x v="1"/>
    <x v="0"/>
    <x v="0"/>
    <x v="0"/>
    <x v="1"/>
  </r>
  <r>
    <x v="5"/>
    <s v="MBX"/>
    <n v="415"/>
    <n v="11.36"/>
    <n v="-3.6"/>
    <n v="7.04"/>
    <n v="-3.93"/>
    <n v="-3.1555555555555554"/>
    <n v="1.6136363636363635"/>
    <n v="-48.22"/>
    <n v="-31.68"/>
    <n v="1.04"/>
    <n v="-2.8905852417302795"/>
    <s v="NO"/>
    <n v="7.7021327605090312E-2"/>
    <n v="-0.44475787230738656"/>
    <n v="-1.2748602880281248"/>
    <n v="-1.484327380491842"/>
    <n v="-0.64620049070130403"/>
    <n v="0.78816416697990455"/>
    <x v="1"/>
    <x v="1"/>
    <x v="0"/>
    <x v="0"/>
    <x v="0"/>
    <x v="1"/>
  </r>
  <r>
    <x v="5"/>
    <s v="SEPN"/>
    <n v="412"/>
    <n v="10.11"/>
    <n v="-3.73"/>
    <n v="9.1"/>
    <n v="-3.89"/>
    <n v="-2.7104557640750668"/>
    <n v="1.110989010989011"/>
    <n v="-30.96"/>
    <n v="-18.68"/>
    <n v="1.08"/>
    <n v="-2.5989717223650382"/>
    <s v="NO"/>
    <n v="0.10766294733047257"/>
    <n v="-0.68339763980196899"/>
    <n v="-0.6104808569609671"/>
    <n v="-0.60166641377253072"/>
    <n v="-0.56932905686323054"/>
    <n v="0.83485342335789137"/>
    <x v="1"/>
    <x v="1"/>
    <x v="0"/>
    <x v="0"/>
    <x v="0"/>
    <x v="1"/>
  </r>
  <r>
    <x v="5"/>
    <s v="ALMS"/>
    <n v="361"/>
    <n v="3.43"/>
    <n v="-7.09"/>
    <n v="3.09"/>
    <n v="-8.31"/>
    <n v="-0.48377997179125531"/>
    <n v="1.110032362459547"/>
    <n v="-247.05"/>
    <n v="-101.07"/>
    <n v="1.55"/>
    <n v="-0.41275571600481348"/>
    <s v="NO"/>
    <n v="0.26095206178260932"/>
    <n v="-0.68385182379685716"/>
    <n v="-8.9283111732588871"/>
    <n v="-6.1957000328497669"/>
    <n v="0.33391029073413125"/>
    <n v="1.1848810895675868"/>
    <x v="1"/>
    <x v="1"/>
    <x v="1"/>
    <x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94" tableType="queryTable" totalsRowShown="0">
  <autoFilter ref="A1:Z94" xr:uid="{1B3BB95A-07C7-4768-8185-A2A759A39458}"/>
  <sortState xmlns:xlrd2="http://schemas.microsoft.com/office/spreadsheetml/2017/richdata2" ref="A2:Z94">
    <sortCondition ref="A1:A94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41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40"/>
    <tableColumn id="9" xr3:uid="{92CA53A2-ADA4-45CE-B0FD-3AD68E123166}" uniqueName="9" name="P/B" queryTableFieldId="46" dataDxfId="139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8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7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6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5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4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3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2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14" tableType="queryTable" totalsRowShown="0">
  <autoFilter ref="A1:Z114" xr:uid="{8A05384F-F989-4428-B033-1A9B3ACA4EBB}"/>
  <sortState xmlns:xlrd2="http://schemas.microsoft.com/office/spreadsheetml/2017/richdata2" ref="A2:Z114">
    <sortCondition ref="A1:A114"/>
  </sortState>
  <tableColumns count="26">
    <tableColumn id="1" xr3:uid="{3547F496-7B67-42E8-9760-1F3941836443}" uniqueName="1" name="Industry" queryTableFieldId="1" dataDxfId="131"/>
    <tableColumn id="2" xr3:uid="{0A09E186-076D-4A57-B743-EBD7817F4082}" uniqueName="2" name="Symbol" queryTableFieldId="2" dataDxfId="130"/>
    <tableColumn id="3" xr3:uid="{C567BD69-49B3-415C-87A5-73BCB80F1796}" uniqueName="3" name="Market Cap (M)" queryTableFieldId="43" dataDxfId="129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8"/>
    <tableColumn id="9" xr3:uid="{F1DC44A8-3710-4CCA-B495-699F6ACADE85}" uniqueName="9" name="P/B" queryTableFieldId="45" dataDxfId="127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6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5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4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3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2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1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0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284" tableType="queryTable" totalsRowShown="0">
  <autoFilter ref="A1:Z284" xr:uid="{DE7CBD96-9DC7-4F09-9B11-F8C87451A82B}"/>
  <sortState xmlns:xlrd2="http://schemas.microsoft.com/office/spreadsheetml/2017/richdata2" ref="A2:Z284">
    <sortCondition ref="A1:A284"/>
  </sortState>
  <tableColumns count="26">
    <tableColumn id="1" xr3:uid="{261FC5A1-AB9E-4068-9D87-D85D75FE0DD5}" uniqueName="1" name="Industry" queryTableFieldId="1" dataDxfId="83"/>
    <tableColumn id="2" xr3:uid="{4D1C6415-A4DE-450C-A6A0-32BD8F91DEB2}" uniqueName="2" name="Symbol" queryTableFieldId="2" dataDxfId="82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4"/>
    <tableColumn id="2" xr3:uid="{E59C1D9B-F213-4C25-84A0-0FA886F9704F}" uniqueName="2" name="P/FCF Q1" queryTableFieldId="2" dataDxfId="71"/>
    <tableColumn id="3" xr3:uid="{04B713EC-FD8B-48E2-A2D2-C366A9A339B7}" uniqueName="3" name="P/FCF Q3" queryTableFieldId="3" dataDxfId="70"/>
    <tableColumn id="4" xr3:uid="{9DCEA951-E29F-4D9E-B9F0-5DC32A557DF0}" uniqueName="4" name="P/FCF LB" queryTableFieldId="4" dataDxfId="69"/>
    <tableColumn id="5" xr3:uid="{C2B6F391-AB27-4C2B-B68A-D2B47E1AA772}" uniqueName="5" name="P/FCF UB" queryTableFieldId="5" dataDxfId="68"/>
    <tableColumn id="6" xr3:uid="{1FD6B89C-F582-4857-A32F-326E69C5DFFD}" uniqueName="6" name="P/B Q1" queryTableFieldId="6" dataDxfId="67"/>
    <tableColumn id="7" xr3:uid="{A3697E12-D8D4-4284-AE2B-01C3BA154C99}" uniqueName="7" name="P/B Q3" queryTableFieldId="7" dataDxfId="66"/>
    <tableColumn id="8" xr3:uid="{A270BB2A-00C0-4246-AFBA-EDE9D5F40C76}" uniqueName="8" name="P/B LB" queryTableFieldId="8" dataDxfId="65"/>
    <tableColumn id="9" xr3:uid="{F99BB669-75E9-428A-88A3-E037E705383F}" uniqueName="9" name="P/B UB" queryTableFieldId="9" dataDxfId="64"/>
    <tableColumn id="10" xr3:uid="{D3A49932-F6DE-43A8-B449-B1C4E41499CF}" uniqueName="10" name="ROE Q1" queryTableFieldId="10" dataDxfId="63"/>
    <tableColumn id="11" xr3:uid="{BD8F2597-7442-49AD-BA3A-A3F29A6E60DD}" uniqueName="11" name="ROE Q3" queryTableFieldId="11" dataDxfId="62"/>
    <tableColumn id="12" xr3:uid="{3B29ED46-D0C8-4AF8-BFC0-41462C6C29EB}" uniqueName="12" name="ROE LB" queryTableFieldId="12" dataDxfId="61"/>
    <tableColumn id="13" xr3:uid="{F62F045D-EA3F-4608-85C5-21D743180D21}" uniqueName="13" name="ROE UB" queryTableFieldId="13" dataDxfId="60"/>
    <tableColumn id="14" xr3:uid="{9D898AB4-6F4D-4D03-BA61-39B91E78C9C6}" uniqueName="14" name="ROA Q1" queryTableFieldId="14" dataDxfId="59"/>
    <tableColumn id="15" xr3:uid="{2D1DFB04-09CE-4BEC-AD50-26246811DCDA}" uniqueName="15" name="ROA Q3" queryTableFieldId="15" dataDxfId="58"/>
    <tableColumn id="16" xr3:uid="{753F114C-61F5-4444-9EB0-76DCEA7F1F1B}" uniqueName="16" name="ROA LB" queryTableFieldId="16" dataDxfId="57"/>
    <tableColumn id="17" xr3:uid="{AA60DB6D-6DE2-4BF0-A375-18A578568BBF}" uniqueName="17" name="ROA UB" queryTableFieldId="17" dataDxfId="56"/>
    <tableColumn id="18" xr3:uid="{5357CEC7-DB8C-48BE-BDAD-FCBB1FB43389}" uniqueName="18" name="P/E Q1" queryTableFieldId="18" dataDxfId="55"/>
    <tableColumn id="19" xr3:uid="{C18FE8DB-95D8-42EC-BC42-C15678D7CE64}" uniqueName="19" name="P/E Q3" queryTableFieldId="19" dataDxfId="54"/>
    <tableColumn id="20" xr3:uid="{B7040099-49E4-464B-9BD8-1326A00D0599}" uniqueName="20" name="P/E LB" queryTableFieldId="20" dataDxfId="53"/>
    <tableColumn id="21" xr3:uid="{E8713F96-91B8-41CB-AA45-CCA61FACA752}" uniqueName="21" name="P/E UB" queryTableFieldId="21" dataDxfId="52"/>
    <tableColumn id="22" xr3:uid="{91693169-B783-4EDC-94CF-D23F08159B62}" uniqueName="22" name="A/E Q1" queryTableFieldId="22" dataDxfId="51"/>
    <tableColumn id="23" xr3:uid="{F98A9AC1-1CAF-483B-A342-F3A466AEB043}" uniqueName="23" name="A/E Q3" queryTableFieldId="23" dataDxfId="50"/>
    <tableColumn id="24" xr3:uid="{04D140EC-A8E6-4894-B430-208F20D411DB}" uniqueName="24" name="A/E LB" queryTableFieldId="24" dataDxfId="49"/>
    <tableColumn id="25" xr3:uid="{3E6CFD0C-10B0-4D91-A289-A353306CC102}" uniqueName="25" name="A/E UB" queryTableFieldId="25" dataDxfId="4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43"/>
    <tableColumn id="2" xr3:uid="{E9710093-0C0E-47F6-BA82-6DF1689DE3FF}" uniqueName="2" name="P/FCF Q1" queryTableFieldId="2" dataDxfId="47"/>
    <tableColumn id="3" xr3:uid="{BB549C0D-7552-41A2-B049-C1E0C569FC5B}" uniqueName="3" name="P/FCF Q3" queryTableFieldId="3" dataDxfId="46"/>
    <tableColumn id="4" xr3:uid="{F8874757-4F98-4408-A256-B3DBB97E40A5}" uniqueName="4" name="P/FCF LB" queryTableFieldId="4" dataDxfId="45"/>
    <tableColumn id="5" xr3:uid="{7F92E8F9-91DF-48EA-A8F2-F3E13D8104D3}" uniqueName="5" name="P/FCF UB" queryTableFieldId="5" dataDxfId="44"/>
    <tableColumn id="6" xr3:uid="{837AC52A-2B15-4BFB-A555-2456F010C7C9}" uniqueName="6" name="P/B Q1" queryTableFieldId="6" dataDxfId="43"/>
    <tableColumn id="7" xr3:uid="{C672A3A3-8D6C-4E08-B6E3-1D85CD510A41}" uniqueName="7" name="P/B Q3" queryTableFieldId="7" dataDxfId="42"/>
    <tableColumn id="8" xr3:uid="{47FBFC34-1D36-49FE-8583-28072989EA1C}" uniqueName="8" name="P/B LB" queryTableFieldId="8" dataDxfId="41"/>
    <tableColumn id="9" xr3:uid="{98DADD72-A76B-4DE4-AB34-515EBE2E4A04}" uniqueName="9" name="P/B UB" queryTableFieldId="9" dataDxfId="40"/>
    <tableColumn id="10" xr3:uid="{C06AFB5F-1921-4B19-AFA7-04514BD3BC35}" uniqueName="10" name="ROE Q1" queryTableFieldId="10" dataDxfId="39"/>
    <tableColumn id="11" xr3:uid="{38FF7E38-2AC1-4486-B824-BCBE4156ADA7}" uniqueName="11" name="ROE Q3" queryTableFieldId="11" dataDxfId="38"/>
    <tableColumn id="12" xr3:uid="{1BBD6DC1-3C0C-48AF-9986-81D1F4A26368}" uniqueName="12" name="ROE LB" queryTableFieldId="12" dataDxfId="37"/>
    <tableColumn id="13" xr3:uid="{5775303C-3550-4762-86D0-7A82C106A3F0}" uniqueName="13" name="ROE UB" queryTableFieldId="13" dataDxfId="36"/>
    <tableColumn id="14" xr3:uid="{9FE06177-2E94-4066-A65B-77414C97B4DC}" uniqueName="14" name="ROA Q1" queryTableFieldId="14" dataDxfId="35"/>
    <tableColumn id="15" xr3:uid="{386179E5-15F0-4AED-9E0C-1EB211C80CEE}" uniqueName="15" name="ROA Q3" queryTableFieldId="15" dataDxfId="34"/>
    <tableColumn id="16" xr3:uid="{C7DC1506-2223-42A0-AC4B-68B0E14D2B9D}" uniqueName="16" name="ROA LB" queryTableFieldId="16" dataDxfId="33"/>
    <tableColumn id="17" xr3:uid="{C45AE1E6-1326-44B3-972F-838B081A78FC}" uniqueName="17" name="ROA UB" queryTableFieldId="17" dataDxfId="32"/>
    <tableColumn id="18" xr3:uid="{17D85B47-F40C-47C3-996F-C47242CFB7D2}" uniqueName="18" name="P/E Q1" queryTableFieldId="18" dataDxfId="31"/>
    <tableColumn id="19" xr3:uid="{44248722-1EBA-4DF8-B99D-B6B2F31E253B}" uniqueName="19" name="P/E Q3" queryTableFieldId="19" dataDxfId="30"/>
    <tableColumn id="20" xr3:uid="{93299C7A-5544-43AE-ACC5-72F0CB129F08}" uniqueName="20" name="P/E LB" queryTableFieldId="20" dataDxfId="29"/>
    <tableColumn id="21" xr3:uid="{3E027012-2DA9-4754-8880-25FEEDEFA94A}" uniqueName="21" name="P/E UB" queryTableFieldId="21" dataDxfId="28"/>
    <tableColumn id="22" xr3:uid="{FF2638EF-6EA0-401C-B7D8-A2BC49ECD2B0}" uniqueName="22" name="A/E Q1" queryTableFieldId="22" dataDxfId="27"/>
    <tableColumn id="23" xr3:uid="{546FB46A-BFEC-4020-A8E1-97073EBE991F}" uniqueName="23" name="A/E Q3" queryTableFieldId="23" dataDxfId="26"/>
    <tableColumn id="24" xr3:uid="{41F03CE5-975A-469D-B609-D8C5D8D172FA}" uniqueName="24" name="A/E LB" queryTableFieldId="24" dataDxfId="25"/>
    <tableColumn id="25" xr3:uid="{1863137D-3C8C-4A15-9A63-5E253392AFAD}" uniqueName="25" name="A/E UB" queryTableFieldId="25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42"/>
    <tableColumn id="2" xr3:uid="{0E20A80F-BE74-42F8-83EF-419A13269CF8}" uniqueName="2" name="P/FCF Q1" queryTableFieldId="2" dataDxfId="23"/>
    <tableColumn id="3" xr3:uid="{6D66145B-6613-41BC-8233-7356853CCFEF}" uniqueName="3" name="P/FCF Q3" queryTableFieldId="3" dataDxfId="22"/>
    <tableColumn id="4" xr3:uid="{90A69125-3CA2-4D0A-8F1A-65993DFA9D46}" uniqueName="4" name="P/FCF LB" queryTableFieldId="4" dataDxfId="21"/>
    <tableColumn id="5" xr3:uid="{BED6E3D4-DC60-428F-B5E8-4C3C64096FD7}" uniqueName="5" name="P/FCF UB" queryTableFieldId="5" dataDxfId="20"/>
    <tableColumn id="6" xr3:uid="{FC33B186-B76E-4D86-8EBD-E25B773D256E}" uniqueName="6" name="P/B Q1" queryTableFieldId="6" dataDxfId="19"/>
    <tableColumn id="7" xr3:uid="{D82D1432-7C03-4449-BD2D-F895D50A5F32}" uniqueName="7" name="P/B Q3" queryTableFieldId="7" dataDxfId="18"/>
    <tableColumn id="8" xr3:uid="{D3389429-24FB-4947-AACF-CAA92D678F94}" uniqueName="8" name="P/B LB" queryTableFieldId="8" dataDxfId="17"/>
    <tableColumn id="9" xr3:uid="{452E932D-DD5B-4C62-A8B3-25C90C8C7751}" uniqueName="9" name="P/B UB" queryTableFieldId="9" dataDxfId="16"/>
    <tableColumn id="10" xr3:uid="{99E11285-9679-47B1-9540-1BD10239596C}" uniqueName="10" name="ROE Q1" queryTableFieldId="10" dataDxfId="15"/>
    <tableColumn id="11" xr3:uid="{B4F1825A-C678-4C01-BB96-B04FAB1938BD}" uniqueName="11" name="ROE Q3" queryTableFieldId="11" dataDxfId="14"/>
    <tableColumn id="12" xr3:uid="{9F07026D-928C-42B1-8DD2-9BD3176C8B6A}" uniqueName="12" name="ROE LB" queryTableFieldId="12" dataDxfId="13"/>
    <tableColumn id="13" xr3:uid="{47360B1B-7AC4-49FA-9F18-2F1F1B72CA28}" uniqueName="13" name="ROE UB" queryTableFieldId="13" dataDxfId="12"/>
    <tableColumn id="14" xr3:uid="{58B0248D-BCFF-4737-ADF5-EE087C03D561}" uniqueName="14" name="ROA Q1" queryTableFieldId="14" dataDxfId="11"/>
    <tableColumn id="15" xr3:uid="{CCD6E6AE-6BBB-4675-8C50-0F87AF280A3C}" uniqueName="15" name="ROA Q3" queryTableFieldId="15" dataDxfId="10"/>
    <tableColumn id="16" xr3:uid="{BB86731C-A605-4988-A848-B35835CAF73E}" uniqueName="16" name="ROA LB" queryTableFieldId="16" dataDxfId="9"/>
    <tableColumn id="17" xr3:uid="{9760AC7A-70E9-4457-8DC8-4BDA6646C74E}" uniqueName="17" name="ROA UB" queryTableFieldId="17" dataDxfId="8"/>
    <tableColumn id="18" xr3:uid="{931D5CA9-41B9-424B-87E6-FA364034B249}" uniqueName="18" name="P/E Q1" queryTableFieldId="18" dataDxfId="7"/>
    <tableColumn id="19" xr3:uid="{23E1DD3D-5F02-4A6D-9773-5EA3466661AF}" uniqueName="19" name="P/E Q3" queryTableFieldId="19" dataDxfId="6"/>
    <tableColumn id="20" xr3:uid="{478DC28A-5ACD-47E8-8720-6EEE2D43205B}" uniqueName="20" name="P/E LB" queryTableFieldId="20" dataDxfId="5"/>
    <tableColumn id="21" xr3:uid="{AC7D613F-0AC5-4542-BBED-886B4C332840}" uniqueName="21" name="P/E UB" queryTableFieldId="21" dataDxfId="4"/>
    <tableColumn id="22" xr3:uid="{1E3F527B-4B19-4D38-9A78-D4BBA95224B9}" uniqueName="22" name="A/E Q1" queryTableFieldId="22" dataDxfId="3"/>
    <tableColumn id="23" xr3:uid="{1256121C-1427-4F44-988A-E08E26F80A67}" uniqueName="23" name="A/E Q3" queryTableFieldId="23" dataDxfId="2"/>
    <tableColumn id="24" xr3:uid="{3F6A6F05-B80E-47C0-9039-80E1A481FF30}" uniqueName="24" name="A/E LB" queryTableFieldId="24" dataDxfId="1"/>
    <tableColumn id="25" xr3:uid="{08969B40-89DA-4EAE-925B-3C841EB86C63}" uniqueName="25" name="A/E UB" queryTableFieldId="2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94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152</v>
      </c>
      <c r="B2" t="s">
        <v>168</v>
      </c>
      <c r="C2" s="2">
        <v>52933</v>
      </c>
      <c r="D2">
        <f>RTD("tos.rtd", , "LAST", Main_L[[#This Row],[Symbol]])</f>
        <v>517.6</v>
      </c>
      <c r="E2">
        <v>27.52</v>
      </c>
      <c r="F2">
        <v>277.5</v>
      </c>
      <c r="G2">
        <v>39.43</v>
      </c>
      <c r="H2" s="1">
        <f>IF(ISNUMBER(Main_L[[#This Row],[Free CF]]),IF(Main_L[[#This Row],[Free CF]]&lt;&gt;0,Main_L[[#This Row],[Current Price]]/Main_L[[#This Row],[Free CF]],""),"")</f>
        <v>18.808139534883722</v>
      </c>
      <c r="I2" s="1">
        <f>IF(ISNUMBER(Main_L[[#This Row],[BVPS]]),IF(Main_L[[#This Row],[BVPS]]&lt;&gt;0,Main_L[[#This Row],[Current Price]]/Main_L[[#This Row],[BVPS]],""),"")</f>
        <v>1.8652252252252253</v>
      </c>
      <c r="J2">
        <v>15.96</v>
      </c>
      <c r="K2">
        <v>6.91</v>
      </c>
      <c r="L2">
        <v>1.28</v>
      </c>
      <c r="M2" s="1">
        <f>IF(ISNUMBER(Main_L[[#This Row],[EPS]]),IF(Main_L[[#This Row],[EPS]]&lt;&gt;0,Main_L[[#This Row],[Current Price]]/Main_L[[#This Row],[EPS]],""),"")</f>
        <v>13.127060613745879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0.40098736973103866</v>
      </c>
      <c r="P2" s="1">
        <f>(Main_L[[#This Row],[P/B]]-VLOOKUP(Main_L[[#This Row],[Industry]], Mean_PB_L, 2, FALSE))/(VLOOKUP(Main_L[[#This Row],[Industry]], Mean_PB_L, 3, FALSE))</f>
        <v>-0.62067131837085798</v>
      </c>
      <c r="Q2" s="1">
        <f>(Main_L[[#This Row],[ROE]]-VLOOKUP(Main_L[[#This Row],[Industry]], Mean_ROE_L, 2, FALSE))/(VLOOKUP(Main_L[[#This Row],[Industry]], Mean_ROE_L, 3, FALSE))</f>
        <v>0.55958893738984838</v>
      </c>
      <c r="R2" s="1">
        <f>(Main_L[[#This Row],[ROA]]-VLOOKUP(Main_L[[#This Row],[Industry]], Mean_ROA_L, 2, FALSE))/(VLOOKUP(Main_L[[#This Row],[Industry]], Mean_ROA_L, 3, FALSE))</f>
        <v>0.30157332715323848</v>
      </c>
      <c r="S2" s="1">
        <f>(Main_L[[#This Row],[A/E]]-VLOOKUP(Main_L[[#This Row],[Industry]], Mean_AE_L, 2, FALSE))/(VLOOKUP(Main_L[[#This Row],[Industry]], Mean_AE_L, 3, FALSE))</f>
        <v>-0.48601901828806021</v>
      </c>
      <c r="T2" s="1">
        <f>(Main_L[[#This Row],[P/E]]-VLOOKUP(Main_L[[#This Row],[Industry]], Mean_PE_L, 2, FALSE))/(VLOOKUP(Main_L[[#This Row],[Industry]], Mean_PE_L, 3, FALSE))</f>
        <v>0.14414962934676437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152</v>
      </c>
      <c r="B3" t="s">
        <v>170</v>
      </c>
      <c r="C3" s="2">
        <v>14382</v>
      </c>
      <c r="D3">
        <f>RTD("tos.rtd", , "LAST", Main_L[[#This Row],[Symbol]])</f>
        <v>328.4</v>
      </c>
      <c r="E3">
        <v>25.26</v>
      </c>
      <c r="F3">
        <v>151.02000000000001</v>
      </c>
      <c r="G3">
        <v>25.1</v>
      </c>
      <c r="H3" s="1">
        <f>IF(ISNUMBER(Main_L[[#This Row],[Free CF]]),IF(Main_L[[#This Row],[Free CF]]&lt;&gt;0,Main_L[[#This Row],[Current Price]]/Main_L[[#This Row],[Free CF]],""),"")</f>
        <v>13.00079176563737</v>
      </c>
      <c r="I3" s="1">
        <f>IF(ISNUMBER(Main_L[[#This Row],[BVPS]]),IF(Main_L[[#This Row],[BVPS]]&lt;&gt;0,Main_L[[#This Row],[Current Price]]/Main_L[[#This Row],[BVPS]],""),"")</f>
        <v>2.1745464176930205</v>
      </c>
      <c r="J3">
        <v>19.940000000000001</v>
      </c>
      <c r="K3">
        <v>12.97</v>
      </c>
      <c r="L3">
        <v>1.1399999999999999</v>
      </c>
      <c r="M3" s="1">
        <f>IF(ISNUMBER(Main_L[[#This Row],[EPS]]),IF(Main_L[[#This Row],[EPS]]&lt;&gt;0,Main_L[[#This Row],[Current Price]]/Main_L[[#This Row],[EPS]],""),"")</f>
        <v>13.083665338645417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0.25639370996664768</v>
      </c>
      <c r="P3" s="1">
        <f>(Main_L[[#This Row],[P/B]]-VLOOKUP(Main_L[[#This Row],[Industry]], Mean_PB_L, 2, FALSE))/(VLOOKUP(Main_L[[#This Row],[Industry]], Mean_PB_L, 3, FALSE))</f>
        <v>-0.59040785423911324</v>
      </c>
      <c r="Q3" s="1">
        <f>(Main_L[[#This Row],[ROE]]-VLOOKUP(Main_L[[#This Row],[Industry]], Mean_ROE_L, 2, FALSE))/(VLOOKUP(Main_L[[#This Row],[Industry]], Mean_ROE_L, 3, FALSE))</f>
        <v>0.75529754642425928</v>
      </c>
      <c r="R3" s="1">
        <f>(Main_L[[#This Row],[ROA]]-VLOOKUP(Main_L[[#This Row],[Industry]], Mean_ROA_L, 2, FALSE))/(VLOOKUP(Main_L[[#This Row],[Industry]], Mean_ROA_L, 3, FALSE))</f>
        <v>1.0360144641453182</v>
      </c>
      <c r="S3" s="1">
        <f>(Main_L[[#This Row],[A/E]]-VLOOKUP(Main_L[[#This Row],[Industry]], Mean_AE_L, 2, FALSE))/(VLOOKUP(Main_L[[#This Row],[Industry]], Mean_AE_L, 3, FALSE))</f>
        <v>-0.77946446329217189</v>
      </c>
      <c r="T3" s="1">
        <f>(Main_L[[#This Row],[P/E]]-VLOOKUP(Main_L[[#This Row],[Industry]], Mean_PE_L, 2, FALSE))/(VLOOKUP(Main_L[[#This Row],[Industry]], Mean_PE_L, 3, FALSE))</f>
        <v>0.14296532380380972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152</v>
      </c>
      <c r="B4" t="s">
        <v>155</v>
      </c>
      <c r="C4" s="2">
        <v>154956</v>
      </c>
      <c r="D4">
        <f>RTD("tos.rtd", , "LAST", Main_L[[#This Row],[Symbol]])</f>
        <v>289.98</v>
      </c>
      <c r="E4">
        <v>20.309999999999999</v>
      </c>
      <c r="F4">
        <v>11.54</v>
      </c>
      <c r="G4">
        <v>10.94</v>
      </c>
      <c r="H4" s="1">
        <f>IF(ISNUMBER(Main_L[[#This Row],[Free CF]]),IF(Main_L[[#This Row],[Free CF]]&lt;&gt;0,Main_L[[#This Row],[Current Price]]/Main_L[[#This Row],[Free CF]],""),"")</f>
        <v>14.277695716395867</v>
      </c>
      <c r="I4" s="1">
        <f>IF(ISNUMBER(Main_L[[#This Row],[BVPS]]),IF(Main_L[[#This Row],[BVPS]]&lt;&gt;0,Main_L[[#This Row],[Current Price]]/Main_L[[#This Row],[BVPS]],""),"")</f>
        <v>25.128249566724442</v>
      </c>
      <c r="J4">
        <v>105.67</v>
      </c>
      <c r="K4">
        <v>7.04</v>
      </c>
      <c r="L4">
        <v>14.4</v>
      </c>
      <c r="M4" s="1">
        <f>IF(ISNUMBER(Main_L[[#This Row],[EPS]]),IF(Main_L[[#This Row],[EPS]]&lt;&gt;0,Main_L[[#This Row],[Current Price]]/Main_L[[#This Row],[EPS]],""),"")</f>
        <v>26.50639853747715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0.28818657354983573</v>
      </c>
      <c r="P4" s="1">
        <f>(Main_L[[#This Row],[P/B]]-VLOOKUP(Main_L[[#This Row],[Industry]], Mean_PB_L, 2, FALSE))/(VLOOKUP(Main_L[[#This Row],[Industry]], Mean_PB_L, 3, FALSE))</f>
        <v>1.6553437749957791</v>
      </c>
      <c r="Q4" s="1">
        <f>(Main_L[[#This Row],[ROE]]-VLOOKUP(Main_L[[#This Row],[Industry]], Mean_ROE_L, 2, FALSE))/(VLOOKUP(Main_L[[#This Row],[Industry]], Mean_ROE_L, 3, FALSE))</f>
        <v>4.9709003234393467</v>
      </c>
      <c r="R4" s="1">
        <f>(Main_L[[#This Row],[ROA]]-VLOOKUP(Main_L[[#This Row],[Industry]], Mean_ROA_L, 2, FALSE))/(VLOOKUP(Main_L[[#This Row],[Industry]], Mean_ROA_L, 3, FALSE))</f>
        <v>0.31732866507551083</v>
      </c>
      <c r="S4" s="1">
        <f>(Main_L[[#This Row],[A/E]]-VLOOKUP(Main_L[[#This Row],[Industry]], Mean_AE_L, 2, FALSE))/(VLOOKUP(Main_L[[#This Row],[Industry]], Mean_AE_L, 3, FALSE))</f>
        <v>27.014011256382958</v>
      </c>
      <c r="T4" s="1">
        <f>(Main_L[[#This Row],[P/E]]-VLOOKUP(Main_L[[#This Row],[Industry]], Mean_PE_L, 2, FALSE))/(VLOOKUP(Main_L[[#This Row],[Industry]], Mean_PE_L, 3, FALSE))</f>
        <v>0.50928670999565961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152</v>
      </c>
      <c r="B5" t="s">
        <v>162</v>
      </c>
      <c r="C5" s="2">
        <v>12903</v>
      </c>
      <c r="D5">
        <f>RTD("tos.rtd", , "LAST", Main_L[[#This Row],[Symbol]])</f>
        <v>22.25</v>
      </c>
      <c r="E5">
        <v>18.12</v>
      </c>
      <c r="F5">
        <v>83.61</v>
      </c>
      <c r="G5">
        <v>18.36</v>
      </c>
      <c r="H5" s="1">
        <f>IF(ISNUMBER(Main_L[[#This Row],[Free CF]]),IF(Main_L[[#This Row],[Free CF]]&lt;&gt;0,Main_L[[#This Row],[Current Price]]/Main_L[[#This Row],[Free CF]],""),"")</f>
        <v>1.2279249448123619</v>
      </c>
      <c r="I5" s="1">
        <f>IF(ISNUMBER(Main_L[[#This Row],[BVPS]]),IF(Main_L[[#This Row],[BVPS]]&lt;&gt;0,Main_L[[#This Row],[Current Price]]/Main_L[[#This Row],[BVPS]],""),"")</f>
        <v>0.26611649324243514</v>
      </c>
      <c r="J5">
        <v>22.8</v>
      </c>
      <c r="K5">
        <v>11.54</v>
      </c>
      <c r="L5">
        <v>1.24</v>
      </c>
      <c r="M5" s="1">
        <f>IF(ISNUMBER(Main_L[[#This Row],[EPS]]),IF(Main_L[[#This Row],[EPS]]&lt;&gt;0,Main_L[[#This Row],[Current Price]]/Main_L[[#This Row],[EPS]],""),"")</f>
        <v>1.2118736383442266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" s="1">
        <f>(Main_L[[#This Row],[P/FCF]]-VLOOKUP(Main_L[[#This Row],[Industry]], Mean_PFCF_L, 2, FALSE))/(VLOOKUP(Main_L[[#This Row],[Industry]], Mean_PFCF_L, 3, FALSE))</f>
        <v>-3.6731821202079191E-2</v>
      </c>
      <c r="P5" s="1">
        <f>(Main_L[[#This Row],[P/B]]-VLOOKUP(Main_L[[#This Row],[Industry]], Mean_PB_L, 2, FALSE))/(VLOOKUP(Main_L[[#This Row],[Industry]], Mean_PB_L, 3, FALSE))</f>
        <v>-0.77712542152177522</v>
      </c>
      <c r="Q5" s="1">
        <f>(Main_L[[#This Row],[ROE]]-VLOOKUP(Main_L[[#This Row],[Industry]], Mean_ROE_L, 2, FALSE))/(VLOOKUP(Main_L[[#This Row],[Industry]], Mean_ROE_L, 3, FALSE))</f>
        <v>0.89593237603190123</v>
      </c>
      <c r="R5" s="1">
        <f>(Main_L[[#This Row],[ROA]]-VLOOKUP(Main_L[[#This Row],[Industry]], Mean_ROA_L, 2, FALSE))/(VLOOKUP(Main_L[[#This Row],[Industry]], Mean_ROA_L, 3, FALSE))</f>
        <v>0.86270574700032221</v>
      </c>
      <c r="S5" s="1">
        <f>(Main_L[[#This Row],[A/E]]-VLOOKUP(Main_L[[#This Row],[Industry]], Mean_AE_L, 2, FALSE))/(VLOOKUP(Main_L[[#This Row],[Industry]], Mean_AE_L, 3, FALSE))</f>
        <v>-0.56986057400352064</v>
      </c>
      <c r="T5" s="1">
        <f>(Main_L[[#This Row],[P/E]]-VLOOKUP(Main_L[[#This Row],[Industry]], Mean_PE_L, 2, FALSE))/(VLOOKUP(Main_L[[#This Row],[Industry]], Mean_PE_L, 3, FALSE))</f>
        <v>-0.18102913602898668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152</v>
      </c>
      <c r="B6" t="s">
        <v>157</v>
      </c>
      <c r="C6" s="2">
        <v>19018</v>
      </c>
      <c r="D6">
        <f>RTD("tos.rtd", , "LAST", Main_L[[#This Row],[Symbol]])</f>
        <v>134.15</v>
      </c>
      <c r="E6">
        <v>16.350000000000001</v>
      </c>
      <c r="F6">
        <v>115.9</v>
      </c>
      <c r="G6">
        <v>10.119999999999999</v>
      </c>
      <c r="H6" s="1">
        <f>IF(ISNUMBER(Main_L[[#This Row],[Free CF]]),IF(Main_L[[#This Row],[Free CF]]&lt;&gt;0,Main_L[[#This Row],[Current Price]]/Main_L[[#This Row],[Free CF]],""),"")</f>
        <v>8.2048929663608554</v>
      </c>
      <c r="I6" s="1">
        <f>IF(ISNUMBER(Main_L[[#This Row],[BVPS]]),IF(Main_L[[#This Row],[BVPS]]&lt;&gt;0,Main_L[[#This Row],[Current Price]]/Main_L[[#This Row],[BVPS]],""),"")</f>
        <v>1.1574633304572908</v>
      </c>
      <c r="J6">
        <v>9.19</v>
      </c>
      <c r="K6">
        <v>5.43</v>
      </c>
      <c r="L6">
        <v>1.65</v>
      </c>
      <c r="M6" s="1">
        <f>IF(ISNUMBER(Main_L[[#This Row],[EPS]]),IF(Main_L[[#This Row],[EPS]]&lt;&gt;0,Main_L[[#This Row],[Current Price]]/Main_L[[#This Row],[EPS]],""),"")</f>
        <v>13.255928853754943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0.13698350985441424</v>
      </c>
      <c r="P6" s="1">
        <f>(Main_L[[#This Row],[P/B]]-VLOOKUP(Main_L[[#This Row],[Industry]], Mean_PB_L, 2, FALSE))/(VLOOKUP(Main_L[[#This Row],[Industry]], Mean_PB_L, 3, FALSE))</f>
        <v>-0.68991754927162385</v>
      </c>
      <c r="Q6" s="1">
        <f>(Main_L[[#This Row],[ROE]]-VLOOKUP(Main_L[[#This Row],[Industry]], Mean_ROE_L, 2, FALSE))/(VLOOKUP(Main_L[[#This Row],[Industry]], Mean_ROE_L, 3, FALSE))</f>
        <v>0.22668760996196846</v>
      </c>
      <c r="R6" s="1">
        <f>(Main_L[[#This Row],[ROA]]-VLOOKUP(Main_L[[#This Row],[Industry]], Mean_ROA_L, 2, FALSE))/(VLOOKUP(Main_L[[#This Row],[Industry]], Mean_ROA_L, 3, FALSE))</f>
        <v>0.12220486465352264</v>
      </c>
      <c r="S6" s="1">
        <f>(Main_L[[#This Row],[A/E]]-VLOOKUP(Main_L[[#This Row],[Industry]], Mean_AE_L, 2, FALSE))/(VLOOKUP(Main_L[[#This Row],[Industry]], Mean_AE_L, 3, FALSE))</f>
        <v>0.28951537207994843</v>
      </c>
      <c r="T6" s="1">
        <f>(Main_L[[#This Row],[P/E]]-VLOOKUP(Main_L[[#This Row],[Industry]], Mean_PE_L, 2, FALSE))/(VLOOKUP(Main_L[[#This Row],[Industry]], Mean_PE_L, 3, FALSE))</f>
        <v>0.14766658760086518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152</v>
      </c>
      <c r="B7" t="s">
        <v>153</v>
      </c>
      <c r="C7" s="2">
        <v>328745</v>
      </c>
      <c r="D7">
        <f>RTD("tos.rtd", , "LAST", Main_L[[#This Row],[Symbol]])</f>
        <v>189.16</v>
      </c>
      <c r="E7">
        <v>8.6999999999999993</v>
      </c>
      <c r="F7">
        <v>0.8</v>
      </c>
      <c r="G7">
        <v>2.34</v>
      </c>
      <c r="H7" s="1">
        <f>IF(ISNUMBER(Main_L[[#This Row],[Free CF]]),IF(Main_L[[#This Row],[Free CF]]&lt;&gt;0,Main_L[[#This Row],[Current Price]]/Main_L[[#This Row],[Free CF]],""),"")</f>
        <v>21.742528735632185</v>
      </c>
      <c r="I7" s="1">
        <f>IF(ISNUMBER(Main_L[[#This Row],[BVPS]]),IF(Main_L[[#This Row],[BVPS]]&lt;&gt;0,Main_L[[#This Row],[Current Price]]/Main_L[[#This Row],[BVPS]],""),"")</f>
        <v>236.45</v>
      </c>
      <c r="J7">
        <v>88.4</v>
      </c>
      <c r="K7">
        <v>8.34</v>
      </c>
      <c r="L7">
        <v>95.89</v>
      </c>
      <c r="M7" s="1">
        <f>IF(ISNUMBER(Main_L[[#This Row],[EPS]]),IF(Main_L[[#This Row],[EPS]]&lt;&gt;0,Main_L[[#This Row],[Current Price]]/Main_L[[#This Row],[EPS]],""),"")</f>
        <v>80.837606837606842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0.47404896179828776</v>
      </c>
      <c r="P7" s="1">
        <f>(Main_L[[#This Row],[P/B]]-VLOOKUP(Main_L[[#This Row],[Industry]], Mean_PB_L, 2, FALSE))/(VLOOKUP(Main_L[[#This Row],[Industry]], Mean_PB_L, 3, FALSE))</f>
        <v>22.330707669310303</v>
      </c>
      <c r="Q7" s="1">
        <f>(Main_L[[#This Row],[ROE]]-VLOOKUP(Main_L[[#This Row],[Industry]], Mean_ROE_L, 2, FALSE))/(VLOOKUP(Main_L[[#This Row],[Industry]], Mean_ROE_L, 3, FALSE))</f>
        <v>4.1216823138855085</v>
      </c>
      <c r="R7" s="1">
        <f>(Main_L[[#This Row],[ROA]]-VLOOKUP(Main_L[[#This Row],[Industry]], Mean_ROA_L, 2, FALSE))/(VLOOKUP(Main_L[[#This Row],[Industry]], Mean_ROA_L, 3, FALSE))</f>
        <v>0.47488204429823411</v>
      </c>
      <c r="S7" s="1">
        <f>(Main_L[[#This Row],[A/E]]-VLOOKUP(Main_L[[#This Row],[Industry]], Mean_AE_L, 2, FALSE))/(VLOOKUP(Main_L[[#This Row],[Industry]], Mean_AE_L, 3, FALSE))</f>
        <v>197.82022063770469</v>
      </c>
      <c r="T7" s="1">
        <f>(Main_L[[#This Row],[P/E]]-VLOOKUP(Main_L[[#This Row],[Industry]], Mean_PE_L, 2, FALSE))/(VLOOKUP(Main_L[[#This Row],[Industry]], Mean_PE_L, 3, FALSE))</f>
        <v>1.9920460886678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152</v>
      </c>
      <c r="B8" t="s">
        <v>161</v>
      </c>
      <c r="C8" s="2">
        <v>136932</v>
      </c>
      <c r="D8">
        <f>RTD("tos.rtd", , "LAST", Main_L[[#This Row],[Symbol]])</f>
        <v>113</v>
      </c>
      <c r="E8">
        <v>7.9</v>
      </c>
      <c r="F8">
        <v>15.39</v>
      </c>
      <c r="G8">
        <v>4.7300000000000004</v>
      </c>
      <c r="H8" s="1">
        <f>IF(ISNUMBER(Main_L[[#This Row],[Free CF]]),IF(Main_L[[#This Row],[Free CF]]&lt;&gt;0,Main_L[[#This Row],[Current Price]]/Main_L[[#This Row],[Free CF]],""),"")</f>
        <v>14.30379746835443</v>
      </c>
      <c r="I8" s="1">
        <f>IF(ISNUMBER(Main_L[[#This Row],[BVPS]]),IF(Main_L[[#This Row],[BVPS]]&lt;&gt;0,Main_L[[#This Row],[Current Price]]/Main_L[[#This Row],[BVPS]],""),"")</f>
        <v>7.3424301494476927</v>
      </c>
      <c r="J8">
        <v>32.659999999999997</v>
      </c>
      <c r="K8">
        <v>12.14</v>
      </c>
      <c r="L8">
        <v>2.95</v>
      </c>
      <c r="M8" s="1">
        <f>IF(ISNUMBER(Main_L[[#This Row],[EPS]]),IF(Main_L[[#This Row],[EPS]]&lt;&gt;0,Main_L[[#This Row],[Current Price]]/Main_L[[#This Row],[EPS]],""),"")</f>
        <v>23.890063424947144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0.28883646537514324</v>
      </c>
      <c r="P8" s="1">
        <f>(Main_L[[#This Row],[P/B]]-VLOOKUP(Main_L[[#This Row],[Industry]], Mean_PB_L, 2, FALSE))/(VLOOKUP(Main_L[[#This Row],[Industry]], Mean_PB_L, 3, FALSE))</f>
        <v>-8.4790820031964809E-2</v>
      </c>
      <c r="Q8" s="1">
        <f>(Main_L[[#This Row],[ROE]]-VLOOKUP(Main_L[[#This Row],[Industry]], Mean_ROE_L, 2, FALSE))/(VLOOKUP(Main_L[[#This Row],[Industry]], Mean_ROE_L, 3, FALSE))</f>
        <v>1.3807783270568488</v>
      </c>
      <c r="R8" s="1">
        <f>(Main_L[[#This Row],[ROA]]-VLOOKUP(Main_L[[#This Row],[Industry]], Mean_ROA_L, 2, FALSE))/(VLOOKUP(Main_L[[#This Row],[Industry]], Mean_ROA_L, 3, FALSE))</f>
        <v>0.93542269125696398</v>
      </c>
      <c r="S8" s="1">
        <f>(Main_L[[#This Row],[A/E]]-VLOOKUP(Main_L[[#This Row],[Industry]], Mean_AE_L, 2, FALSE))/(VLOOKUP(Main_L[[#This Row],[Industry]], Mean_AE_L, 3, FALSE))</f>
        <v>3.0143659328324128</v>
      </c>
      <c r="T8" s="1">
        <f>(Main_L[[#This Row],[P/E]]-VLOOKUP(Main_L[[#This Row],[Industry]], Mean_PE_L, 2, FALSE))/(VLOOKUP(Main_L[[#This Row],[Industry]], Mean_PE_L, 3, FALSE))</f>
        <v>0.43788400154818635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152</v>
      </c>
      <c r="B9" t="s">
        <v>165</v>
      </c>
      <c r="C9" s="2">
        <v>12175</v>
      </c>
      <c r="D9">
        <f>RTD("tos.rtd", , "LAST", Main_L[[#This Row],[Symbol]])</f>
        <v>125.73</v>
      </c>
      <c r="E9">
        <v>4.9000000000000004</v>
      </c>
      <c r="F9">
        <v>25.61</v>
      </c>
      <c r="G9">
        <v>2.96</v>
      </c>
      <c r="H9" s="1">
        <f>IF(ISNUMBER(Main_L[[#This Row],[Free CF]]),IF(Main_L[[#This Row],[Free CF]]&lt;&gt;0,Main_L[[#This Row],[Current Price]]/Main_L[[#This Row],[Free CF]],""),"")</f>
        <v>25.659183673469386</v>
      </c>
      <c r="I9" s="1">
        <f>IF(ISNUMBER(Main_L[[#This Row],[BVPS]]),IF(Main_L[[#This Row],[BVPS]]&lt;&gt;0,Main_L[[#This Row],[Current Price]]/Main_L[[#This Row],[BVPS]],""),"")</f>
        <v>4.909410386567747</v>
      </c>
      <c r="J9">
        <v>12.43</v>
      </c>
      <c r="K9">
        <v>8.75</v>
      </c>
      <c r="L9">
        <v>1.45</v>
      </c>
      <c r="M9" s="1">
        <f>IF(ISNUMBER(Main_L[[#This Row],[EPS]]),IF(Main_L[[#This Row],[EPS]]&lt;&gt;0,Main_L[[#This Row],[Current Price]]/Main_L[[#This Row],[EPS]],""),"")</f>
        <v>42.476351351351354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0.57156739775199483</v>
      </c>
      <c r="P9" s="1">
        <f>(Main_L[[#This Row],[P/B]]-VLOOKUP(Main_L[[#This Row],[Industry]], Mean_PB_L, 2, FALSE))/(VLOOKUP(Main_L[[#This Row],[Industry]], Mean_PB_L, 3, FALSE))</f>
        <v>-0.32283337294695674</v>
      </c>
      <c r="Q9" s="1">
        <f>(Main_L[[#This Row],[ROE]]-VLOOKUP(Main_L[[#This Row],[Industry]], Mean_ROE_L, 2, FALSE))/(VLOOKUP(Main_L[[#This Row],[Industry]], Mean_ROE_L, 3, FALSE))</f>
        <v>0.38600818616083565</v>
      </c>
      <c r="R9" s="1">
        <f>(Main_L[[#This Row],[ROA]]-VLOOKUP(Main_L[[#This Row],[Industry]], Mean_ROA_L, 2, FALSE))/(VLOOKUP(Main_L[[#This Row],[Industry]], Mean_ROA_L, 3, FALSE))</f>
        <v>0.52457195620693919</v>
      </c>
      <c r="S9" s="1">
        <f>(Main_L[[#This Row],[A/E]]-VLOOKUP(Main_L[[#This Row],[Industry]], Mean_AE_L, 2, FALSE))/(VLOOKUP(Main_L[[#This Row],[Industry]], Mean_AE_L, 3, FALSE))</f>
        <v>-0.12969240649735356</v>
      </c>
      <c r="T9" s="1">
        <f>(Main_L[[#This Row],[P/E]]-VLOOKUP(Main_L[[#This Row],[Industry]], Mean_PE_L, 2, FALSE))/(VLOOKUP(Main_L[[#This Row],[Industry]], Mean_PE_L, 3, FALSE))</f>
        <v>0.94512456548592638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152</v>
      </c>
      <c r="B10" t="s">
        <v>158</v>
      </c>
      <c r="C10" s="2">
        <v>11136</v>
      </c>
      <c r="D10">
        <f>RTD("tos.rtd", , "LAST", Main_L[[#This Row],[Symbol]])</f>
        <v>56.88</v>
      </c>
      <c r="E10">
        <v>3.25</v>
      </c>
      <c r="F10">
        <v>30.21</v>
      </c>
      <c r="G10">
        <v>2.71</v>
      </c>
      <c r="H10" s="1">
        <f>IF(ISNUMBER(Main_L[[#This Row],[Free CF]]),IF(Main_L[[#This Row],[Free CF]]&lt;&gt;0,Main_L[[#This Row],[Current Price]]/Main_L[[#This Row],[Free CF]],""),"")</f>
        <v>17.501538461538463</v>
      </c>
      <c r="I10" s="1">
        <f>IF(ISNUMBER(Main_L[[#This Row],[BVPS]]),IF(Main_L[[#This Row],[BVPS]]&lt;&gt;0,Main_L[[#This Row],[Current Price]]/Main_L[[#This Row],[BVPS]],""),"")</f>
        <v>1.8828202581926514</v>
      </c>
      <c r="J10">
        <v>9.64</v>
      </c>
      <c r="K10">
        <v>6.38</v>
      </c>
      <c r="L10">
        <v>1.23</v>
      </c>
      <c r="M10" s="1">
        <f>IF(ISNUMBER(Main_L[[#This Row],[EPS]]),IF(Main_L[[#This Row],[EPS]]&lt;&gt;0,Main_L[[#This Row],[Current Price]]/Main_L[[#This Row],[EPS]],""),"")</f>
        <v>20.988929889298895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0.36845509535140558</v>
      </c>
      <c r="P10" s="1">
        <f>(Main_L[[#This Row],[P/B]]-VLOOKUP(Main_L[[#This Row],[Industry]], Mean_PB_L, 2, FALSE))/(VLOOKUP(Main_L[[#This Row],[Industry]], Mean_PB_L, 3, FALSE))</f>
        <v>-0.61894985000052638</v>
      </c>
      <c r="Q10" s="1">
        <f>(Main_L[[#This Row],[ROE]]-VLOOKUP(Main_L[[#This Row],[Industry]], Mean_ROE_L, 2, FALSE))/(VLOOKUP(Main_L[[#This Row],[Industry]], Mean_ROE_L, 3, FALSE))</f>
        <v>0.24881546776736674</v>
      </c>
      <c r="R10" s="1">
        <f>(Main_L[[#This Row],[ROA]]-VLOOKUP(Main_L[[#This Row],[Industry]], Mean_ROA_L, 2, FALSE))/(VLOOKUP(Main_L[[#This Row],[Industry]], Mean_ROA_L, 3, FALSE))</f>
        <v>0.23734002639320509</v>
      </c>
      <c r="S10" s="1">
        <f>(Main_L[[#This Row],[A/E]]-VLOOKUP(Main_L[[#This Row],[Industry]], Mean_AE_L, 2, FALSE))/(VLOOKUP(Main_L[[#This Row],[Industry]], Mean_AE_L, 3, FALSE))</f>
        <v>-0.59082096293238584</v>
      </c>
      <c r="T10" s="1">
        <f>(Main_L[[#This Row],[P/E]]-VLOOKUP(Main_L[[#This Row],[Industry]], Mean_PE_L, 2, FALSE))/(VLOOKUP(Main_L[[#This Row],[Industry]], Mean_PE_L, 3, FALSE))</f>
        <v>0.3587088259290489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152</v>
      </c>
      <c r="B11" t="s">
        <v>160</v>
      </c>
      <c r="C11" s="2">
        <v>11737</v>
      </c>
      <c r="D11">
        <f>RTD("tos.rtd", , "LAST", Main_L[[#This Row],[Symbol]])</f>
        <v>42.92</v>
      </c>
      <c r="E11">
        <v>2.71</v>
      </c>
      <c r="F11">
        <v>7.75</v>
      </c>
      <c r="G11">
        <v>2.2000000000000002</v>
      </c>
      <c r="H11" s="1">
        <f>IF(ISNUMBER(Main_L[[#This Row],[Free CF]]),IF(Main_L[[#This Row],[Free CF]]&lt;&gt;0,Main_L[[#This Row],[Current Price]]/Main_L[[#This Row],[Free CF]],""),"")</f>
        <v>15.837638376383765</v>
      </c>
      <c r="I11" s="1">
        <f>IF(ISNUMBER(Main_L[[#This Row],[BVPS]]),IF(Main_L[[#This Row],[BVPS]]&lt;&gt;0,Main_L[[#This Row],[Current Price]]/Main_L[[#This Row],[BVPS]],""),"")</f>
        <v>5.5380645161290323</v>
      </c>
      <c r="J11">
        <v>30.22</v>
      </c>
      <c r="K11">
        <v>18.05</v>
      </c>
      <c r="L11">
        <v>1.33</v>
      </c>
      <c r="M11" s="1">
        <f>IF(ISNUMBER(Main_L[[#This Row],[EPS]]),IF(Main_L[[#This Row],[EPS]]&lt;&gt;0,Main_L[[#This Row],[Current Price]]/Main_L[[#This Row],[EPS]],""),"")</f>
        <v>19.509090909090908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0.32702664774424223</v>
      </c>
      <c r="P11" s="1">
        <f>(Main_L[[#This Row],[P/B]]-VLOOKUP(Main_L[[#This Row],[Industry]], Mean_PB_L, 2, FALSE))/(VLOOKUP(Main_L[[#This Row],[Industry]], Mean_PB_L, 3, FALSE))</f>
        <v>-0.26132691246338668</v>
      </c>
      <c r="Q11" s="1">
        <f>(Main_L[[#This Row],[ROE]]-VLOOKUP(Main_L[[#This Row],[Industry]], Mean_ROE_L, 2, FALSE))/(VLOOKUP(Main_L[[#This Row],[Industry]], Mean_ROE_L, 3, FALSE))</f>
        <v>1.2607961647342452</v>
      </c>
      <c r="R11" s="1">
        <f>(Main_L[[#This Row],[ROA]]-VLOOKUP(Main_L[[#This Row],[Industry]], Mean_ROA_L, 2, FALSE))/(VLOOKUP(Main_L[[#This Row],[Industry]], Mean_ROA_L, 3, FALSE))</f>
        <v>1.6516845921848831</v>
      </c>
      <c r="S11" s="1">
        <f>(Main_L[[#This Row],[A/E]]-VLOOKUP(Main_L[[#This Row],[Industry]], Mean_AE_L, 2, FALSE))/(VLOOKUP(Main_L[[#This Row],[Industry]], Mean_AE_L, 3, FALSE))</f>
        <v>-0.38121707364373458</v>
      </c>
      <c r="T11" s="1">
        <f>(Main_L[[#This Row],[P/E]]-VLOOKUP(Main_L[[#This Row],[Industry]], Mean_PE_L, 2, FALSE))/(VLOOKUP(Main_L[[#This Row],[Industry]], Mean_PE_L, 3, FALSE))</f>
        <v>0.31832236673773417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152</v>
      </c>
      <c r="B12" t="s">
        <v>163</v>
      </c>
      <c r="C12" s="2">
        <v>12594</v>
      </c>
      <c r="D12">
        <f>RTD("tos.rtd", , "LAST", Main_L[[#This Row],[Symbol]])</f>
        <v>69.89</v>
      </c>
      <c r="E12">
        <v>1.45</v>
      </c>
      <c r="F12">
        <v>18.93</v>
      </c>
      <c r="G12">
        <v>0.1</v>
      </c>
      <c r="H12" s="1">
        <f>IF(ISNUMBER(Main_L[[#This Row],[Free CF]]),IF(Main_L[[#This Row],[Free CF]]&lt;&gt;0,Main_L[[#This Row],[Current Price]]/Main_L[[#This Row],[Free CF]],""),"")</f>
        <v>48.2</v>
      </c>
      <c r="I12" s="1">
        <f>IF(ISNUMBER(Main_L[[#This Row],[BVPS]]),IF(Main_L[[#This Row],[BVPS]]&lt;&gt;0,Main_L[[#This Row],[Current Price]]/Main_L[[#This Row],[BVPS]],""),"")</f>
        <v>3.6920232435287903</v>
      </c>
      <c r="J12">
        <v>0.47</v>
      </c>
      <c r="K12">
        <v>2.0299999999999998</v>
      </c>
      <c r="L12">
        <v>1.57</v>
      </c>
      <c r="M12" s="1">
        <f>IF(ISNUMBER(Main_L[[#This Row],[EPS]]),IF(Main_L[[#This Row],[EPS]]&lt;&gt;0,Main_L[[#This Row],[Current Price]]/Main_L[[#This Row],[EPS]],""),"")</f>
        <v>698.9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1.1327976281834964</v>
      </c>
      <c r="P12" s="1">
        <f>(Main_L[[#This Row],[P/B]]-VLOOKUP(Main_L[[#This Row],[Industry]], Mean_PB_L, 2, FALSE))/(VLOOKUP(Main_L[[#This Row],[Industry]], Mean_PB_L, 3, FALSE))</f>
        <v>-0.44194047920073404</v>
      </c>
      <c r="Q12" s="1">
        <f>(Main_L[[#This Row],[ROE]]-VLOOKUP(Main_L[[#This Row],[Industry]], Mean_ROE_L, 2, FALSE))/(VLOOKUP(Main_L[[#This Row],[Industry]], Mean_ROE_L, 3, FALSE))</f>
        <v>-0.20210110128930364</v>
      </c>
      <c r="R12" s="1">
        <f>(Main_L[[#This Row],[ROA]]-VLOOKUP(Main_L[[#This Row],[Industry]], Mean_ROA_L, 2, FALSE))/(VLOOKUP(Main_L[[#This Row],[Industry]], Mean_ROA_L, 3, FALSE))</f>
        <v>-0.2898578194674461</v>
      </c>
      <c r="S12" s="1">
        <f>(Main_L[[#This Row],[A/E]]-VLOOKUP(Main_L[[#This Row],[Industry]], Mean_AE_L, 2, FALSE))/(VLOOKUP(Main_L[[#This Row],[Industry]], Mean_AE_L, 3, FALSE))</f>
        <v>0.12183226064902791</v>
      </c>
      <c r="T12" s="1">
        <f>(Main_L[[#This Row],[P/E]]-VLOOKUP(Main_L[[#This Row],[Industry]], Mean_PE_L, 2, FALSE))/(VLOOKUP(Main_L[[#This Row],[Industry]], Mean_PE_L, 3, FALSE))</f>
        <v>18.85965935807301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" spans="1:26" x14ac:dyDescent="0.25">
      <c r="A13" t="s">
        <v>152</v>
      </c>
      <c r="B13" t="s">
        <v>159</v>
      </c>
      <c r="C13" s="2">
        <v>10617</v>
      </c>
      <c r="D13">
        <f>RTD("tos.rtd", , "LAST", Main_L[[#This Row],[Symbol]])</f>
        <v>54.63</v>
      </c>
      <c r="E13">
        <v>1.05</v>
      </c>
      <c r="F13">
        <v>12.71</v>
      </c>
      <c r="G13">
        <v>-5.51</v>
      </c>
      <c r="H13" s="1">
        <f>IF(ISNUMBER(Main_L[[#This Row],[Free CF]]),IF(Main_L[[#This Row],[Free CF]]&lt;&gt;0,Main_L[[#This Row],[Current Price]]/Main_L[[#This Row],[Free CF]],""),"")</f>
        <v>52.028571428571432</v>
      </c>
      <c r="I13" s="1">
        <f>IF(ISNUMBER(Main_L[[#This Row],[BVPS]]),IF(Main_L[[#This Row],[BVPS]]&lt;&gt;0,Main_L[[#This Row],[Current Price]]/Main_L[[#This Row],[BVPS]],""),"")</f>
        <v>4.298190401258851</v>
      </c>
      <c r="J13">
        <v>-36.89</v>
      </c>
      <c r="K13">
        <v>-1.83</v>
      </c>
      <c r="L13">
        <v>2.38</v>
      </c>
      <c r="M13" s="1">
        <f>IF(ISNUMBER(Main_L[[#This Row],[EPS]]),IF(Main_L[[#This Row],[EPS]]&lt;&gt;0,Main_L[[#This Row],[Current Price]]/Main_L[[#This Row],[EPS]],""),"")</f>
        <v>-9.9147005444646101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1.2281229258104314</v>
      </c>
      <c r="P13" s="1">
        <f>(Main_L[[#This Row],[P/B]]-VLOOKUP(Main_L[[#This Row],[Industry]], Mean_PB_L, 2, FALSE))/(VLOOKUP(Main_L[[#This Row],[Industry]], Mean_PB_L, 3, FALSE))</f>
        <v>-0.38263410614090776</v>
      </c>
      <c r="Q13" s="1">
        <f>(Main_L[[#This Row],[ROE]]-VLOOKUP(Main_L[[#This Row],[Industry]], Mean_ROE_L, 2, FALSE))/(VLOOKUP(Main_L[[#This Row],[Industry]], Mean_ROE_L, 3, FALSE))</f>
        <v>-2.0392050293108088</v>
      </c>
      <c r="R13" s="1">
        <f>(Main_L[[#This Row],[ROA]]-VLOOKUP(Main_L[[#This Row],[Industry]], Mean_ROA_L, 2, FALSE))/(VLOOKUP(Main_L[[#This Row],[Industry]], Mean_ROA_L, 3, FALSE))</f>
        <v>-0.75767016085184002</v>
      </c>
      <c r="S13" s="1">
        <f>(Main_L[[#This Row],[A/E]]-VLOOKUP(Main_L[[#This Row],[Industry]], Mean_AE_L, 2, FALSE))/(VLOOKUP(Main_L[[#This Row],[Industry]], Mean_AE_L, 3, FALSE))</f>
        <v>1.8196237638871011</v>
      </c>
      <c r="T13" s="1">
        <f>(Main_L[[#This Row],[P/E]]-VLOOKUP(Main_L[[#This Row],[Industry]], Mean_PE_L, 2, FALSE))/(VLOOKUP(Main_L[[#This Row],[Industry]], Mean_PE_L, 3, FALSE))</f>
        <v>-0.48468577717922084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152</v>
      </c>
      <c r="B14" t="s">
        <v>166</v>
      </c>
      <c r="C14" s="2">
        <v>21537</v>
      </c>
      <c r="D14">
        <f>RTD("tos.rtd", , "LAST", Main_L[[#This Row],[Symbol]])</f>
        <v>164.19</v>
      </c>
      <c r="E14">
        <v>0.66</v>
      </c>
      <c r="F14">
        <v>9.1199999999999992</v>
      </c>
      <c r="G14">
        <v>-1.48</v>
      </c>
      <c r="H14" s="1">
        <f>IF(ISNUMBER(Main_L[[#This Row],[Free CF]]),IF(Main_L[[#This Row],[Free CF]]&lt;&gt;0,Main_L[[#This Row],[Current Price]]/Main_L[[#This Row],[Free CF]],""),"")</f>
        <v>248.77272727272725</v>
      </c>
      <c r="I14" s="1">
        <f>IF(ISNUMBER(Main_L[[#This Row],[BVPS]]),IF(Main_L[[#This Row],[BVPS]]&lt;&gt;0,Main_L[[#This Row],[Current Price]]/Main_L[[#This Row],[BVPS]],""),"")</f>
        <v>18.003289473684212</v>
      </c>
      <c r="J14">
        <v>-18.66</v>
      </c>
      <c r="K14">
        <v>-8.8699999999999992</v>
      </c>
      <c r="L14">
        <v>1.4</v>
      </c>
      <c r="M14" s="1">
        <f>IF(ISNUMBER(Main_L[[#This Row],[EPS]]),IF(Main_L[[#This Row],[EPS]]&lt;&gt;0,Main_L[[#This Row],[Current Price]]/Main_L[[#This Row],[EPS]],""),"")</f>
        <v>-110.93918918918919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6.1267373469085511</v>
      </c>
      <c r="P14" s="1">
        <f>(Main_L[[#This Row],[P/B]]-VLOOKUP(Main_L[[#This Row],[Industry]], Mean_PB_L, 2, FALSE))/(VLOOKUP(Main_L[[#This Row],[Industry]], Mean_PB_L, 3, FALSE))</f>
        <v>0.95824968811621281</v>
      </c>
      <c r="Q14" s="1">
        <f>(Main_L[[#This Row],[ROE]]-VLOOKUP(Main_L[[#This Row],[Industry]], Mean_ROE_L, 2, FALSE))/(VLOOKUP(Main_L[[#This Row],[Industry]], Mean_ROE_L, 3, FALSE))</f>
        <v>-1.1427809231054546</v>
      </c>
      <c r="R14" s="1">
        <f>(Main_L[[#This Row],[ROA]]-VLOOKUP(Main_L[[#This Row],[Industry]], Mean_ROA_L, 2, FALSE))/(VLOOKUP(Main_L[[#This Row],[Industry]], Mean_ROA_L, 3, FALSE))</f>
        <v>-1.6108823067964337</v>
      </c>
      <c r="S14" s="1">
        <f>(Main_L[[#This Row],[A/E]]-VLOOKUP(Main_L[[#This Row],[Industry]], Mean_AE_L, 2, FALSE))/(VLOOKUP(Main_L[[#This Row],[Industry]], Mean_AE_L, 3, FALSE))</f>
        <v>-0.23449435114167919</v>
      </c>
      <c r="T14" s="1">
        <f>(Main_L[[#This Row],[P/E]]-VLOOKUP(Main_L[[#This Row],[Industry]], Mean_PE_L, 2, FALSE))/(VLOOKUP(Main_L[[#This Row],[Industry]], Mean_PE_L, 3, FALSE))</f>
        <v>-3.2417569467737488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5" spans="1:26" x14ac:dyDescent="0.25">
      <c r="A15" t="s">
        <v>152</v>
      </c>
      <c r="B15" t="s">
        <v>169</v>
      </c>
      <c r="C15" s="2">
        <v>13528</v>
      </c>
      <c r="D15">
        <f>RTD("tos.rtd", , "LAST", Main_L[[#This Row],[Symbol]])</f>
        <v>21.56</v>
      </c>
      <c r="E15">
        <v>-0.22</v>
      </c>
      <c r="F15">
        <v>0.53</v>
      </c>
      <c r="G15">
        <v>-0.31</v>
      </c>
      <c r="H15" s="1">
        <f>IF(ISNUMBER(Main_L[[#This Row],[Free CF]]),IF(Main_L[[#This Row],[Free CF]]&lt;&gt;0,Main_L[[#This Row],[Current Price]]/Main_L[[#This Row],[Free CF]],""),"")</f>
        <v>-98</v>
      </c>
      <c r="I15" s="1">
        <f>IF(ISNUMBER(Main_L[[#This Row],[BVPS]]),IF(Main_L[[#This Row],[BVPS]]&lt;&gt;0,Main_L[[#This Row],[Current Price]]/Main_L[[#This Row],[BVPS]],""),"")</f>
        <v>40.679245283018865</v>
      </c>
      <c r="J15">
        <v>-94.9</v>
      </c>
      <c r="K15">
        <v>-41.3</v>
      </c>
      <c r="L15">
        <v>1.1200000000000001</v>
      </c>
      <c r="M15" s="1">
        <f>IF(ISNUMBER(Main_L[[#This Row],[EPS]]),IF(Main_L[[#This Row],[EPS]]&lt;&gt;0,Main_L[[#This Row],[Current Price]]/Main_L[[#This Row],[EPS]],""),"")</f>
        <v>-69.548387096774192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-2.5073482520928185</v>
      </c>
      <c r="P15" s="1">
        <f>(Main_L[[#This Row],[P/B]]-VLOOKUP(Main_L[[#This Row],[Industry]], Mean_PB_L, 2, FALSE))/(VLOOKUP(Main_L[[#This Row],[Industry]], Mean_PB_L, 3, FALSE))</f>
        <v>3.1768269857589502</v>
      </c>
      <c r="Q15" s="1">
        <f>(Main_L[[#This Row],[ROE]]-VLOOKUP(Main_L[[#This Row],[Industry]], Mean_ROE_L, 2, FALSE))/(VLOOKUP(Main_L[[#This Row],[Industry]], Mean_ROE_L, 3, FALSE))</f>
        <v>-4.8917317655133665</v>
      </c>
      <c r="R15" s="1">
        <f>(Main_L[[#This Row],[ROA]]-VLOOKUP(Main_L[[#This Row],[Industry]], Mean_ROA_L, 2, FALSE))/(VLOOKUP(Main_L[[#This Row],[Industry]], Mean_ROA_L, 3, FALSE))</f>
        <v>-5.5412331438679088</v>
      </c>
      <c r="S15" s="1">
        <f>(Main_L[[#This Row],[A/E]]-VLOOKUP(Main_L[[#This Row],[Industry]], Mean_AE_L, 2, FALSE))/(VLOOKUP(Main_L[[#This Row],[Industry]], Mean_AE_L, 3, FALSE))</f>
        <v>-0.82138524114990175</v>
      </c>
      <c r="T15" s="1">
        <f>(Main_L[[#This Row],[P/E]]-VLOOKUP(Main_L[[#This Row],[Industry]], Mean_PE_L, 2, FALSE))/(VLOOKUP(Main_L[[#This Row],[Industry]], Mean_PE_L, 3, FALSE))</f>
        <v>-2.1121557118027923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152</v>
      </c>
      <c r="B16" t="s">
        <v>154</v>
      </c>
      <c r="C16" s="2">
        <v>39711</v>
      </c>
      <c r="D16">
        <f>RTD("tos.rtd", , "LAST", Main_L[[#This Row],[Symbol]])</f>
        <v>304</v>
      </c>
      <c r="E16">
        <v>-0.59</v>
      </c>
      <c r="F16">
        <v>0.89</v>
      </c>
      <c r="G16">
        <v>-2.1</v>
      </c>
      <c r="H16" s="1">
        <f>IF(ISNUMBER(Main_L[[#This Row],[Free CF]]),IF(Main_L[[#This Row],[Free CF]]&lt;&gt;0,Main_L[[#This Row],[Current Price]]/Main_L[[#This Row],[Free CF]],""),"")</f>
        <v>-515.25423728813564</v>
      </c>
      <c r="I16" s="1">
        <f>IF(ISNUMBER(Main_L[[#This Row],[BVPS]]),IF(Main_L[[#This Row],[BVPS]]&lt;&gt;0,Main_L[[#This Row],[Current Price]]/Main_L[[#This Row],[BVPS]],""),"")</f>
        <v>341.57303370786514</v>
      </c>
      <c r="J16">
        <v>519.47</v>
      </c>
      <c r="K16">
        <v>-1.79</v>
      </c>
      <c r="L16">
        <v>36.5</v>
      </c>
      <c r="M16" s="1">
        <f>IF(ISNUMBER(Main_L[[#This Row],[EPS]]),IF(Main_L[[#This Row],[EPS]]&lt;&gt;0,Main_L[[#This Row],[Current Price]]/Main_L[[#This Row],[EPS]],""),"")</f>
        <v>-144.76190476190476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-12.896310583777108</v>
      </c>
      <c r="P16" s="1">
        <f>(Main_L[[#This Row],[P/B]]-VLOOKUP(Main_L[[#This Row],[Industry]], Mean_PB_L, 2, FALSE))/(VLOOKUP(Main_L[[#This Row],[Industry]], Mean_PB_L, 3, FALSE))</f>
        <v>32.61576810974362</v>
      </c>
      <c r="Q16" s="1">
        <f>(Main_L[[#This Row],[ROE]]-VLOOKUP(Main_L[[#This Row],[Industry]], Mean_ROE_L, 2, FALSE))/(VLOOKUP(Main_L[[#This Row],[Industry]], Mean_ROE_L, 3, FALSE))</f>
        <v>25.318694900936642</v>
      </c>
      <c r="R16" s="1">
        <f>(Main_L[[#This Row],[ROA]]-VLOOKUP(Main_L[[#This Row],[Industry]], Mean_ROA_L, 2, FALSE))/(VLOOKUP(Main_L[[#This Row],[Industry]], Mean_ROA_L, 3, FALSE))</f>
        <v>-0.75282236456806384</v>
      </c>
      <c r="S16" s="1">
        <f>(Main_L[[#This Row],[A/E]]-VLOOKUP(Main_L[[#This Row],[Industry]], Mean_AE_L, 2, FALSE))/(VLOOKUP(Main_L[[#This Row],[Industry]], Mean_AE_L, 3, FALSE))</f>
        <v>73.336470789174825</v>
      </c>
      <c r="T16" s="1">
        <f>(Main_L[[#This Row],[P/E]]-VLOOKUP(Main_L[[#This Row],[Industry]], Mean_PE_L, 2, FALSE))/(VLOOKUP(Main_L[[#This Row],[Industry]], Mean_PE_L, 3, FALSE))</f>
        <v>-4.1648166448126114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7" spans="1:26" x14ac:dyDescent="0.25">
      <c r="A17" t="s">
        <v>152</v>
      </c>
      <c r="B17" t="s">
        <v>167</v>
      </c>
      <c r="C17" s="2">
        <v>26550</v>
      </c>
      <c r="D17">
        <f>RTD("tos.rtd", , "LAST", Main_L[[#This Row],[Symbol]])</f>
        <v>263.77999999999997</v>
      </c>
      <c r="E17">
        <v>-2.27</v>
      </c>
      <c r="F17">
        <v>32.42</v>
      </c>
      <c r="G17">
        <v>-3.7</v>
      </c>
      <c r="H17" s="1">
        <f>IF(ISNUMBER(Main_L[[#This Row],[Free CF]]),IF(Main_L[[#This Row],[Free CF]]&lt;&gt;0,Main_L[[#This Row],[Current Price]]/Main_L[[#This Row],[Free CF]],""),"")</f>
        <v>-116.20264317180616</v>
      </c>
      <c r="I17" s="1">
        <f>IF(ISNUMBER(Main_L[[#This Row],[BVPS]]),IF(Main_L[[#This Row],[BVPS]]&lt;&gt;0,Main_L[[#This Row],[Current Price]]/Main_L[[#This Row],[BVPS]],""),"")</f>
        <v>8.1363355953115342</v>
      </c>
      <c r="J17">
        <v>-11.44</v>
      </c>
      <c r="K17">
        <v>-3.22</v>
      </c>
      <c r="L17">
        <v>1.67</v>
      </c>
      <c r="M17" s="1">
        <f>IF(ISNUMBER(Main_L[[#This Row],[EPS]]),IF(Main_L[[#This Row],[EPS]]&lt;&gt;0,Main_L[[#This Row],[Current Price]]/Main_L[[#This Row],[EPS]],""),"")</f>
        <v>-71.291891891891879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-2.9605649179751028</v>
      </c>
      <c r="P17" s="1">
        <f>(Main_L[[#This Row],[P/B]]-VLOOKUP(Main_L[[#This Row],[Industry]], Mean_PB_L, 2, FALSE))/(VLOOKUP(Main_L[[#This Row],[Industry]], Mean_PB_L, 3, FALSE))</f>
        <v>-7.1164492809250362E-3</v>
      </c>
      <c r="Q17" s="1">
        <f>(Main_L[[#This Row],[ROE]]-VLOOKUP(Main_L[[#This Row],[Industry]], Mean_ROE_L, 2, FALSE))/(VLOOKUP(Main_L[[#This Row],[Industry]], Mean_ROE_L, 3, FALSE))</f>
        <v>-0.78775173787217634</v>
      </c>
      <c r="R17" s="1">
        <f>(Main_L[[#This Row],[ROA]]-VLOOKUP(Main_L[[#This Row],[Industry]], Mean_ROA_L, 2, FALSE))/(VLOOKUP(Main_L[[#This Row],[Industry]], Mean_ROA_L, 3, FALSE))</f>
        <v>-0.92613108171305947</v>
      </c>
      <c r="S17" s="1">
        <f>(Main_L[[#This Row],[A/E]]-VLOOKUP(Main_L[[#This Row],[Industry]], Mean_AE_L, 2, FALSE))/(VLOOKUP(Main_L[[#This Row],[Industry]], Mean_AE_L, 3, FALSE))</f>
        <v>0.33143614993767867</v>
      </c>
      <c r="T17" s="1">
        <f>(Main_L[[#This Row],[P/E]]-VLOOKUP(Main_L[[#This Row],[Industry]], Mean_PE_L, 2, FALSE))/(VLOOKUP(Main_L[[#This Row],[Industry]], Mean_PE_L, 3, FALSE))</f>
        <v>-2.1597379056763346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152</v>
      </c>
      <c r="B18" t="s">
        <v>156</v>
      </c>
      <c r="C18" s="2">
        <v>35003</v>
      </c>
      <c r="D18">
        <f>RTD("tos.rtd", , "LAST", Main_L[[#This Row],[Symbol]])</f>
        <v>583.62</v>
      </c>
      <c r="E18">
        <v>-2.52</v>
      </c>
      <c r="F18">
        <v>90.49</v>
      </c>
      <c r="G18">
        <v>15.94</v>
      </c>
      <c r="H18" s="1">
        <f>IF(ISNUMBER(Main_L[[#This Row],[Free CF]]),IF(Main_L[[#This Row],[Free CF]]&lt;&gt;0,Main_L[[#This Row],[Current Price]]/Main_L[[#This Row],[Free CF]],""),"")</f>
        <v>-231.5952380952381</v>
      </c>
      <c r="I18" s="1">
        <f>IF(ISNUMBER(Main_L[[#This Row],[BVPS]]),IF(Main_L[[#This Row],[BVPS]]&lt;&gt;0,Main_L[[#This Row],[Current Price]]/Main_L[[#This Row],[BVPS]],""),"")</f>
        <v>6.4495524367333408</v>
      </c>
      <c r="J18">
        <v>17.36</v>
      </c>
      <c r="K18">
        <v>-0.21</v>
      </c>
      <c r="L18">
        <v>1.1299999999999999</v>
      </c>
      <c r="M18" s="1">
        <f>IF(ISNUMBER(Main_L[[#This Row],[EPS]]),IF(Main_L[[#This Row],[EPS]]&lt;&gt;0,Main_L[[#This Row],[Current Price]]/Main_L[[#This Row],[EPS]],""),"")</f>
        <v>36.613550815558348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-5.8336557457789633</v>
      </c>
      <c r="P18" s="1">
        <f>(Main_L[[#This Row],[P/B]]-VLOOKUP(Main_L[[#This Row],[Industry]], Mean_PB_L, 2, FALSE))/(VLOOKUP(Main_L[[#This Row],[Industry]], Mean_PB_L, 3, FALSE))</f>
        <v>-0.17214847056080301</v>
      </c>
      <c r="Q18" s="1">
        <f>(Main_L[[#This Row],[ROE]]-VLOOKUP(Main_L[[#This Row],[Industry]], Mean_ROE_L, 2, FALSE))/(VLOOKUP(Main_L[[#This Row],[Industry]], Mean_ROE_L, 3, FALSE))</f>
        <v>0.62843116167330948</v>
      </c>
      <c r="R18" s="1">
        <f>(Main_L[[#This Row],[ROA]]-VLOOKUP(Main_L[[#This Row],[Industry]], Mean_ROA_L, 2, FALSE))/(VLOOKUP(Main_L[[#This Row],[Industry]], Mean_ROA_L, 3, FALSE))</f>
        <v>-0.56133441135890783</v>
      </c>
      <c r="S18" s="1">
        <f>(Main_L[[#This Row],[A/E]]-VLOOKUP(Main_L[[#This Row],[Industry]], Mean_AE_L, 2, FALSE))/(VLOOKUP(Main_L[[#This Row],[Industry]], Mean_AE_L, 3, FALSE))</f>
        <v>-0.8004248522210371</v>
      </c>
      <c r="T18" s="1">
        <f>(Main_L[[#This Row],[P/E]]-VLOOKUP(Main_L[[#This Row],[Industry]], Mean_PE_L, 2, FALSE))/(VLOOKUP(Main_L[[#This Row],[Industry]], Mean_PE_L, 3, FALSE))</f>
        <v>0.7851221883676105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152</v>
      </c>
      <c r="B19" t="s">
        <v>164</v>
      </c>
      <c r="C19" s="2">
        <v>12701</v>
      </c>
      <c r="D19">
        <f>RTD("tos.rtd", , "LAST", Main_L[[#This Row],[Symbol]])</f>
        <v>70.680000000000007</v>
      </c>
      <c r="E19">
        <v>-4.58</v>
      </c>
      <c r="F19">
        <v>0.55000000000000004</v>
      </c>
      <c r="G19">
        <v>-5.89</v>
      </c>
      <c r="H19" s="1">
        <f>IF(ISNUMBER(Main_L[[#This Row],[Free CF]]),IF(Main_L[[#This Row],[Free CF]]&lt;&gt;0,Main_L[[#This Row],[Current Price]]/Main_L[[#This Row],[Free CF]],""),"")</f>
        <v>-15.43231441048035</v>
      </c>
      <c r="I19" s="1">
        <f>IF(ISNUMBER(Main_L[[#This Row],[BVPS]]),IF(Main_L[[#This Row],[BVPS]]&lt;&gt;0,Main_L[[#This Row],[Current Price]]/Main_L[[#This Row],[BVPS]],""),"")</f>
        <v>128.5090909090909</v>
      </c>
      <c r="J19">
        <v>554.23</v>
      </c>
      <c r="K19">
        <v>-36.25</v>
      </c>
      <c r="L19">
        <v>18.18</v>
      </c>
      <c r="M19" s="1">
        <f>IF(ISNUMBER(Main_L[[#This Row],[EPS]]),IF(Main_L[[#This Row],[EPS]]&lt;&gt;0,Main_L[[#This Row],[Current Price]]/Main_L[[#This Row],[EPS]],""),"")</f>
        <v>-12.000000000000002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-0.45154510200636161</v>
      </c>
      <c r="P19" s="1">
        <f>(Main_L[[#This Row],[P/B]]-VLOOKUP(Main_L[[#This Row],[Industry]], Mean_PB_L, 2, FALSE))/(VLOOKUP(Main_L[[#This Row],[Industry]], Mean_PB_L, 3, FALSE))</f>
        <v>11.76995105073247</v>
      </c>
      <c r="Q19" s="1">
        <f>(Main_L[[#This Row],[ROE]]-VLOOKUP(Main_L[[#This Row],[Industry]], Mean_ROE_L, 2, FALSE))/(VLOOKUP(Main_L[[#This Row],[Industry]], Mean_ROE_L, 3, FALSE))</f>
        <v>27.027948983860288</v>
      </c>
      <c r="R19" s="1">
        <f>(Main_L[[#This Row],[ROA]]-VLOOKUP(Main_L[[#This Row],[Industry]], Mean_ROA_L, 2, FALSE))/(VLOOKUP(Main_L[[#This Row],[Industry]], Mean_ROA_L, 3, FALSE))</f>
        <v>-4.9291988630411767</v>
      </c>
      <c r="S19" s="1">
        <f>(Main_L[[#This Row],[A/E]]-VLOOKUP(Main_L[[#This Row],[Industry]], Mean_AE_L, 2, FALSE))/(VLOOKUP(Main_L[[#This Row],[Industry]], Mean_AE_L, 3, FALSE))</f>
        <v>34.937038271493968</v>
      </c>
      <c r="T19" s="1">
        <f>(Main_L[[#This Row],[P/E]]-VLOOKUP(Main_L[[#This Row],[Industry]], Mean_PE_L, 2, FALSE))/(VLOOKUP(Main_L[[#This Row],[Industry]], Mean_PE_L, 3, FALSE))</f>
        <v>-0.54159592922212374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152</v>
      </c>
      <c r="B20" t="s">
        <v>171</v>
      </c>
      <c r="C20" s="2">
        <v>113517</v>
      </c>
      <c r="D20">
        <f>RTD("tos.rtd", , "LAST", Main_L[[#This Row],[Symbol]])</f>
        <v>446.15</v>
      </c>
      <c r="E20">
        <v>-4.88</v>
      </c>
      <c r="F20">
        <v>64.2</v>
      </c>
      <c r="G20">
        <v>-3.84</v>
      </c>
      <c r="H20" s="1">
        <f>IF(ISNUMBER(Main_L[[#This Row],[Free CF]]),IF(Main_L[[#This Row],[Free CF]]&lt;&gt;0,Main_L[[#This Row],[Current Price]]/Main_L[[#This Row],[Free CF]],""),"")</f>
        <v>-91.424180327868854</v>
      </c>
      <c r="I20" s="1">
        <f>IF(ISNUMBER(Main_L[[#This Row],[BVPS]]),IF(Main_L[[#This Row],[BVPS]]&lt;&gt;0,Main_L[[#This Row],[Current Price]]/Main_L[[#This Row],[BVPS]],""),"")</f>
        <v>6.9493769470404976</v>
      </c>
      <c r="J20">
        <v>-5.64</v>
      </c>
      <c r="K20">
        <v>11.77</v>
      </c>
      <c r="L20">
        <v>1.39</v>
      </c>
      <c r="M20" s="1">
        <f>IF(ISNUMBER(Main_L[[#This Row],[EPS]]),IF(Main_L[[#This Row],[EPS]]&lt;&gt;0,Main_L[[#This Row],[Current Price]]/Main_L[[#This Row],[EPS]],""),"")</f>
        <v>-116.18489583333333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-2.3436208725514498</v>
      </c>
      <c r="P20" s="1">
        <f>(Main_L[[#This Row],[P/B]]-VLOOKUP(Main_L[[#This Row],[Industry]], Mean_PB_L, 2, FALSE))/(VLOOKUP(Main_L[[#This Row],[Industry]], Mean_PB_L, 3, FALSE))</f>
        <v>-0.12324648289171551</v>
      </c>
      <c r="Q20" s="1">
        <f>(Main_L[[#This Row],[ROE]]-VLOOKUP(Main_L[[#This Row],[Industry]], Mean_ROE_L, 2, FALSE))/(VLOOKUP(Main_L[[#This Row],[Industry]], Mean_ROE_L, 3, FALSE))</f>
        <v>-0.50254823726926612</v>
      </c>
      <c r="R20" s="1">
        <f>(Main_L[[#This Row],[ROA]]-VLOOKUP(Main_L[[#This Row],[Industry]], Mean_ROA_L, 2, FALSE))/(VLOOKUP(Main_L[[#This Row],[Industry]], Mean_ROA_L, 3, FALSE))</f>
        <v>0.89058057563203485</v>
      </c>
      <c r="S20" s="1">
        <f>(Main_L[[#This Row],[A/E]]-VLOOKUP(Main_L[[#This Row],[Industry]], Mean_AE_L, 2, FALSE))/(VLOOKUP(Main_L[[#This Row],[Industry]], Mean_AE_L, 3, FALSE))</f>
        <v>-0.25545474007054431</v>
      </c>
      <c r="T20" s="1">
        <f>(Main_L[[#This Row],[P/E]]-VLOOKUP(Main_L[[#This Row],[Industry]], Mean_PE_L, 2, FALSE))/(VLOOKUP(Main_L[[#This Row],[Industry]], Mean_PE_L, 3, FALSE))</f>
        <v>-3.3849181421110686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1" spans="1:26" x14ac:dyDescent="0.25">
      <c r="A21" t="s">
        <v>152</v>
      </c>
      <c r="B21" t="s">
        <v>264</v>
      </c>
      <c r="C21" s="2">
        <v>10272</v>
      </c>
      <c r="D21">
        <f>RTD("tos.rtd", , "LAST", Main_L[[#This Row],[Symbol]])</f>
        <v>28.14</v>
      </c>
      <c r="E21">
        <v>-10.48</v>
      </c>
      <c r="F21">
        <v>26.01</v>
      </c>
      <c r="G21">
        <v>-8.73</v>
      </c>
      <c r="H21" s="1">
        <f>IF(ISNUMBER(Main_L[[#This Row],[Free CF]]),IF(Main_L[[#This Row],[Free CF]]&lt;&gt;0,Main_L[[#This Row],[Current Price]]/Main_L[[#This Row],[Free CF]],""),"")</f>
        <v>-2.6851145038167936</v>
      </c>
      <c r="I21" s="1">
        <f>IF(ISNUMBER(Main_L[[#This Row],[BVPS]]),IF(Main_L[[#This Row],[BVPS]]&lt;&gt;0,Main_L[[#This Row],[Current Price]]/Main_L[[#This Row],[BVPS]],""),"")</f>
        <v>1.0818915801614764</v>
      </c>
      <c r="J21">
        <v>-29.34</v>
      </c>
      <c r="K21">
        <v>-15.84</v>
      </c>
      <c r="L21">
        <v>1.26</v>
      </c>
      <c r="M21" s="1">
        <f>IF(ISNUMBER(Main_L[[#This Row],[EPS]]),IF(Main_L[[#This Row],[EPS]]&lt;&gt;0,Main_L[[#This Row],[Current Price]]/Main_L[[#This Row],[EPS]],""),"")</f>
        <v>-3.2233676975945018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-0.13416023726422777</v>
      </c>
      <c r="P21" s="1">
        <f>(Main_L[[#This Row],[P/B]]-VLOOKUP(Main_L[[#This Row],[Industry]], Mean_PB_L, 2, FALSE))/(VLOOKUP(Main_L[[#This Row],[Industry]], Mean_PB_L, 3, FALSE))</f>
        <v>-0.69731136194964993</v>
      </c>
      <c r="Q21" s="1">
        <f>(Main_L[[#This Row],[ROE]]-VLOOKUP(Main_L[[#This Row],[Industry]], Mean_ROE_L, 2, FALSE))/(VLOOKUP(Main_L[[#This Row],[Industry]], Mean_ROE_L, 3, FALSE))</f>
        <v>-1.6679487483535724</v>
      </c>
      <c r="R21" s="1">
        <f>(Main_L[[#This Row],[ROA]]-VLOOKUP(Main_L[[#This Row],[Industry]], Mean_ROA_L, 2, FALSE))/(VLOOKUP(Main_L[[#This Row],[Industry]], Mean_ROA_L, 3, FALSE))</f>
        <v>-2.45561080924442</v>
      </c>
      <c r="S21" s="1">
        <f>(Main_L[[#This Row],[A/E]]-VLOOKUP(Main_L[[#This Row],[Industry]], Mean_AE_L, 2, FALSE))/(VLOOKUP(Main_L[[#This Row],[Industry]], Mean_AE_L, 3, FALSE))</f>
        <v>-0.52793979614579045</v>
      </c>
      <c r="T21" s="1">
        <f>(Main_L[[#This Row],[P/E]]-VLOOKUP(Main_L[[#This Row],[Industry]], Mean_PE_L, 2, FALSE))/(VLOOKUP(Main_L[[#This Row],[Industry]], Mean_PE_L, 3, FALSE))</f>
        <v>-0.30207182757394546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105</v>
      </c>
      <c r="B22" t="s">
        <v>120</v>
      </c>
      <c r="C22" s="2">
        <v>35893</v>
      </c>
      <c r="D22">
        <f>RTD("tos.rtd", , "LAST", Main_L[[#This Row],[Symbol]])</f>
        <v>250.98</v>
      </c>
      <c r="E22">
        <v>10.62</v>
      </c>
      <c r="F22">
        <v>37.83</v>
      </c>
      <c r="G22">
        <v>8.91</v>
      </c>
      <c r="H22" s="1">
        <f>IF(ISNUMBER(Main_L[[#This Row],[Free CF]]),IF(Main_L[[#This Row],[Free CF]]&lt;&gt;0,Main_L[[#This Row],[Current Price]]/Main_L[[#This Row],[Free CF]],""),"")</f>
        <v>23.63276836158192</v>
      </c>
      <c r="I22" s="1">
        <f>IF(ISNUMBER(Main_L[[#This Row],[BVPS]]),IF(Main_L[[#This Row],[BVPS]]&lt;&gt;0,Main_L[[#This Row],[Current Price]]/Main_L[[#This Row],[BVPS]],""),"")</f>
        <v>6.6344171292624905</v>
      </c>
      <c r="J22">
        <v>25.81</v>
      </c>
      <c r="K22">
        <v>14.01</v>
      </c>
      <c r="L22">
        <v>1.36</v>
      </c>
      <c r="M22" s="1">
        <f>IF(ISNUMBER(Main_L[[#This Row],[EPS]]),IF(Main_L[[#This Row],[EPS]]&lt;&gt;0,Main_L[[#This Row],[Current Price]]/Main_L[[#This Row],[EPS]],""),"")</f>
        <v>28.168350168350166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-0.82027377404183788</v>
      </c>
      <c r="P22" s="1">
        <f>(Main_L[[#This Row],[P/B]]-VLOOKUP(Main_L[[#This Row],[Industry]], Mean_PB_L, 2, FALSE))/(VLOOKUP(Main_L[[#This Row],[Industry]], Mean_PB_L, 3, FALSE))</f>
        <v>0.96777712492544665</v>
      </c>
      <c r="Q22" s="1">
        <f>(Main_L[[#This Row],[ROE]]-VLOOKUP(Main_L[[#This Row],[Industry]], Mean_ROE_L, 2, FALSE))/(VLOOKUP(Main_L[[#This Row],[Industry]], Mean_ROE_L, 3, FALSE))</f>
        <v>1.2852271140578919</v>
      </c>
      <c r="R22" s="1">
        <f>(Main_L[[#This Row],[ROA]]-VLOOKUP(Main_L[[#This Row],[Industry]], Mean_ROA_L, 2, FALSE))/(VLOOKUP(Main_L[[#This Row],[Industry]], Mean_ROA_L, 3, FALSE))</f>
        <v>4.7071965379235623</v>
      </c>
      <c r="S22" s="1">
        <f>(Main_L[[#This Row],[A/E]]-VLOOKUP(Main_L[[#This Row],[Industry]], Mean_AE_L, 2, FALSE))/(VLOOKUP(Main_L[[#This Row],[Industry]], Mean_AE_L, 3, FALSE))</f>
        <v>-1.014408272519904</v>
      </c>
      <c r="T22" s="1">
        <f>(Main_L[[#This Row],[P/E]]-VLOOKUP(Main_L[[#This Row],[Industry]], Mean_PE_L, 2, FALSE))/(VLOOKUP(Main_L[[#This Row],[Industry]], Mean_PE_L, 3, FALSE))</f>
        <v>-0.73305459361967484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105</v>
      </c>
      <c r="B23" t="s">
        <v>114</v>
      </c>
      <c r="C23" s="2">
        <v>41285</v>
      </c>
      <c r="D23">
        <f>RTD("tos.rtd", , "LAST", Main_L[[#This Row],[Symbol]])</f>
        <v>518.6</v>
      </c>
      <c r="E23">
        <v>10.210000000000001</v>
      </c>
      <c r="F23">
        <v>17.93</v>
      </c>
      <c r="G23">
        <v>10.82</v>
      </c>
      <c r="H23" s="1">
        <f>IF(ISNUMBER(Main_L[[#This Row],[Free CF]]),IF(Main_L[[#This Row],[Free CF]]&lt;&gt;0,Main_L[[#This Row],[Current Price]]/Main_L[[#This Row],[Free CF]],""),"")</f>
        <v>50.793339862879527</v>
      </c>
      <c r="I23" s="1">
        <f>IF(ISNUMBER(Main_L[[#This Row],[BVPS]]),IF(Main_L[[#This Row],[BVPS]]&lt;&gt;0,Main_L[[#This Row],[Current Price]]/Main_L[[#This Row],[BVPS]],""),"")</f>
        <v>28.923591745677637</v>
      </c>
      <c r="J23">
        <v>59.33</v>
      </c>
      <c r="K23">
        <v>22.98</v>
      </c>
      <c r="L23">
        <v>2.2200000000000002</v>
      </c>
      <c r="M23" s="1">
        <f>IF(ISNUMBER(Main_L[[#This Row],[EPS]]),IF(Main_L[[#This Row],[EPS]]&lt;&gt;0,Main_L[[#This Row],[Current Price]]/Main_L[[#This Row],[EPS]],""),"")</f>
        <v>47.929759704251389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0.30420521685877666</v>
      </c>
      <c r="P23" s="1">
        <f>(Main_L[[#This Row],[P/B]]-VLOOKUP(Main_L[[#This Row],[Industry]], Mean_PB_L, 2, FALSE))/(VLOOKUP(Main_L[[#This Row],[Industry]], Mean_PB_L, 3, FALSE))</f>
        <v>9.9764812503497016</v>
      </c>
      <c r="Q23" s="1">
        <f>(Main_L[[#This Row],[ROE]]-VLOOKUP(Main_L[[#This Row],[Industry]], Mean_ROE_L, 2, FALSE))/(VLOOKUP(Main_L[[#This Row],[Industry]], Mean_ROE_L, 3, FALSE))</f>
        <v>4.6535471190008595</v>
      </c>
      <c r="R23" s="1">
        <f>(Main_L[[#This Row],[ROA]]-VLOOKUP(Main_L[[#This Row],[Industry]], Mean_ROA_L, 2, FALSE))/(VLOOKUP(Main_L[[#This Row],[Industry]], Mean_ROA_L, 3, FALSE))</f>
        <v>9.6125661542582712</v>
      </c>
      <c r="S23" s="1">
        <f>(Main_L[[#This Row],[A/E]]-VLOOKUP(Main_L[[#This Row],[Industry]], Mean_AE_L, 2, FALSE))/(VLOOKUP(Main_L[[#This Row],[Industry]], Mean_AE_L, 3, FALSE))</f>
        <v>0.63606140330977889</v>
      </c>
      <c r="T23" s="1">
        <f>(Main_L[[#This Row],[P/E]]-VLOOKUP(Main_L[[#This Row],[Industry]], Mean_PE_L, 2, FALSE))/(VLOOKUP(Main_L[[#This Row],[Industry]], Mean_PE_L, 3, FALSE))</f>
        <v>0.27190692030595814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105</v>
      </c>
      <c r="B24" t="s">
        <v>123</v>
      </c>
      <c r="C24" s="2">
        <v>146232</v>
      </c>
      <c r="D24">
        <f>RTD("tos.rtd", , "LAST", Main_L[[#This Row],[Symbol]])</f>
        <v>382.28</v>
      </c>
      <c r="E24">
        <v>9.3800000000000008</v>
      </c>
      <c r="F24">
        <v>54.77</v>
      </c>
      <c r="G24">
        <v>7.4</v>
      </c>
      <c r="H24" s="1">
        <f>IF(ISNUMBER(Main_L[[#This Row],[Free CF]]),IF(Main_L[[#This Row],[Free CF]]&lt;&gt;0,Main_L[[#This Row],[Current Price]]/Main_L[[#This Row],[Free CF]],""),"")</f>
        <v>40.754797441364602</v>
      </c>
      <c r="I24" s="1">
        <f>IF(ISNUMBER(Main_L[[#This Row],[BVPS]]),IF(Main_L[[#This Row],[BVPS]]&lt;&gt;0,Main_L[[#This Row],[Current Price]]/Main_L[[#This Row],[BVPS]],""),"")</f>
        <v>6.9797334307102421</v>
      </c>
      <c r="J24">
        <v>14.26</v>
      </c>
      <c r="K24">
        <v>7.49</v>
      </c>
      <c r="L24">
        <v>2.2000000000000002</v>
      </c>
      <c r="M24" s="1">
        <f>IF(ISNUMBER(Main_L[[#This Row],[EPS]]),IF(Main_L[[#This Row],[EPS]]&lt;&gt;0,Main_L[[#This Row],[Current Price]]/Main_L[[#This Row],[EPS]],""),"")</f>
        <v>51.659459459459455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-0.11140201923044997</v>
      </c>
      <c r="P24" s="1">
        <f>(Main_L[[#This Row],[P/B]]-VLOOKUP(Main_L[[#This Row],[Industry]], Mean_PB_L, 2, FALSE))/(VLOOKUP(Main_L[[#This Row],[Industry]], Mean_PB_L, 3, FALSE))</f>
        <v>1.1073449843444123</v>
      </c>
      <c r="Q24" s="1">
        <f>(Main_L[[#This Row],[ROE]]-VLOOKUP(Main_L[[#This Row],[Industry]], Mean_ROE_L, 2, FALSE))/(VLOOKUP(Main_L[[#This Row],[Industry]], Mean_ROE_L, 3, FALSE))</f>
        <v>0.12460372333321205</v>
      </c>
      <c r="R24" s="1">
        <f>(Main_L[[#This Row],[ROA]]-VLOOKUP(Main_L[[#This Row],[Industry]], Mean_ROA_L, 2, FALSE))/(VLOOKUP(Main_L[[#This Row],[Industry]], Mean_ROA_L, 3, FALSE))</f>
        <v>1.1416435949467194</v>
      </c>
      <c r="S24" s="1">
        <f>(Main_L[[#This Row],[A/E]]-VLOOKUP(Main_L[[#This Row],[Industry]], Mean_AE_L, 2, FALSE))/(VLOOKUP(Main_L[[#This Row],[Industry]], Mean_AE_L, 3, FALSE))</f>
        <v>0.59767838759280945</v>
      </c>
      <c r="T24" s="1">
        <f>(Main_L[[#This Row],[P/E]]-VLOOKUP(Main_L[[#This Row],[Industry]], Mean_PE_L, 2, FALSE))/(VLOOKUP(Main_L[[#This Row],[Industry]], Mean_PE_L, 3, FALSE))</f>
        <v>0.46157986370974069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105</v>
      </c>
      <c r="B25" t="s">
        <v>108</v>
      </c>
      <c r="C25" s="2">
        <v>49466</v>
      </c>
      <c r="D25">
        <f>RTD("tos.rtd", , "LAST", Main_L[[#This Row],[Symbol]])</f>
        <v>172.51</v>
      </c>
      <c r="E25">
        <v>8.9700000000000006</v>
      </c>
      <c r="F25">
        <v>88.07</v>
      </c>
      <c r="G25">
        <v>5.16</v>
      </c>
      <c r="H25" s="1">
        <f>IF(ISNUMBER(Main_L[[#This Row],[Free CF]]),IF(Main_L[[#This Row],[Free CF]]&lt;&gt;0,Main_L[[#This Row],[Current Price]]/Main_L[[#This Row],[Free CF]],""),"")</f>
        <v>19.231884057971012</v>
      </c>
      <c r="I25" s="1">
        <f>IF(ISNUMBER(Main_L[[#This Row],[BVPS]]),IF(Main_L[[#This Row],[BVPS]]&lt;&gt;0,Main_L[[#This Row],[Current Price]]/Main_L[[#This Row],[BVPS]],""),"")</f>
        <v>1.9587827864198932</v>
      </c>
      <c r="J25">
        <v>5.89</v>
      </c>
      <c r="K25">
        <v>3.69</v>
      </c>
      <c r="L25">
        <v>2.16</v>
      </c>
      <c r="M25" s="1">
        <f>IF(ISNUMBER(Main_L[[#This Row],[EPS]]),IF(Main_L[[#This Row],[EPS]]&lt;&gt;0,Main_L[[#This Row],[Current Price]]/Main_L[[#This Row],[EPS]],""),"")</f>
        <v>33.432170542635653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-1.0024754607978887</v>
      </c>
      <c r="P25" s="1">
        <f>(Main_L[[#This Row],[P/B]]-VLOOKUP(Main_L[[#This Row],[Industry]], Mean_PB_L, 2, FALSE))/(VLOOKUP(Main_L[[#This Row],[Industry]], Mean_PB_L, 3, FALSE))</f>
        <v>-0.92199255556871496</v>
      </c>
      <c r="Q25" s="1">
        <f>(Main_L[[#This Row],[ROE]]-VLOOKUP(Main_L[[#This Row],[Industry]], Mean_ROE_L, 2, FALSE))/(VLOOKUP(Main_L[[#This Row],[Industry]], Mean_ROE_L, 3, FALSE))</f>
        <v>-0.71647140916597163</v>
      </c>
      <c r="R25" s="1">
        <f>(Main_L[[#This Row],[ROA]]-VLOOKUP(Main_L[[#This Row],[Industry]], Mean_ROA_L, 2, FALSE))/(VLOOKUP(Main_L[[#This Row],[Industry]], Mean_ROA_L, 3, FALSE))</f>
        <v>-0.93643940862874187</v>
      </c>
      <c r="S25" s="1">
        <f>(Main_L[[#This Row],[A/E]]-VLOOKUP(Main_L[[#This Row],[Industry]], Mean_AE_L, 2, FALSE))/(VLOOKUP(Main_L[[#This Row],[Industry]], Mean_AE_L, 3, FALSE))</f>
        <v>0.52091235615887066</v>
      </c>
      <c r="T25" s="1">
        <f>(Main_L[[#This Row],[P/E]]-VLOOKUP(Main_L[[#This Row],[Industry]], Mean_PE_L, 2, FALSE))/(VLOOKUP(Main_L[[#This Row],[Industry]], Mean_PE_L, 3, FALSE))</f>
        <v>-0.46536433181096487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105</v>
      </c>
      <c r="B26" t="s">
        <v>126</v>
      </c>
      <c r="C26" s="2">
        <v>13115</v>
      </c>
      <c r="D26">
        <f>RTD("tos.rtd", , "LAST", Main_L[[#This Row],[Symbol]])</f>
        <v>180.93</v>
      </c>
      <c r="E26">
        <v>8.4700000000000006</v>
      </c>
      <c r="F26">
        <v>51.94</v>
      </c>
      <c r="G26">
        <v>5.5</v>
      </c>
      <c r="H26" s="1">
        <f>IF(ISNUMBER(Main_L[[#This Row],[Free CF]]),IF(Main_L[[#This Row],[Free CF]]&lt;&gt;0,Main_L[[#This Row],[Current Price]]/Main_L[[#This Row],[Free CF]],""),"")</f>
        <v>21.361275088547814</v>
      </c>
      <c r="I26" s="1">
        <f>IF(ISNUMBER(Main_L[[#This Row],[BVPS]]),IF(Main_L[[#This Row],[BVPS]]&lt;&gt;0,Main_L[[#This Row],[Current Price]]/Main_L[[#This Row],[BVPS]],""),"")</f>
        <v>3.483442433577205</v>
      </c>
      <c r="J26">
        <v>10.84</v>
      </c>
      <c r="K26">
        <v>6.72</v>
      </c>
      <c r="L26">
        <v>1.61</v>
      </c>
      <c r="M26" s="1">
        <f>IF(ISNUMBER(Main_L[[#This Row],[EPS]]),IF(Main_L[[#This Row],[EPS]]&lt;&gt;0,Main_L[[#This Row],[Current Price]]/Main_L[[#This Row],[EPS]],""),"")</f>
        <v>32.896363636363638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6" s="1">
        <f>(Main_L[[#This Row],[P/FCF]]-VLOOKUP(Main_L[[#This Row],[Industry]], Mean_PFCF_L, 2, FALSE))/(VLOOKUP(Main_L[[#This Row],[Industry]], Mean_PFCF_L, 3, FALSE))</f>
        <v>-0.91431621579888622</v>
      </c>
      <c r="P26" s="1">
        <f>(Main_L[[#This Row],[P/B]]-VLOOKUP(Main_L[[#This Row],[Industry]], Mean_PB_L, 2, FALSE))/(VLOOKUP(Main_L[[#This Row],[Industry]], Mean_PB_L, 3, FALSE))</f>
        <v>-0.30576481768296593</v>
      </c>
      <c r="Q26" s="1">
        <f>(Main_L[[#This Row],[ROE]]-VLOOKUP(Main_L[[#This Row],[Industry]], Mean_ROE_L, 2, FALSE))/(VLOOKUP(Main_L[[#This Row],[Industry]], Mean_ROE_L, 3, FALSE))</f>
        <v>-0.21906138456968019</v>
      </c>
      <c r="R26" s="1">
        <f>(Main_L[[#This Row],[ROA]]-VLOOKUP(Main_L[[#This Row],[Industry]], Mean_ROA_L, 2, FALSE))/(VLOOKUP(Main_L[[#This Row],[Industry]], Mean_ROA_L, 3, FALSE))</f>
        <v>0.72055835474853369</v>
      </c>
      <c r="S26" s="1">
        <f>(Main_L[[#This Row],[A/E]]-VLOOKUP(Main_L[[#This Row],[Industry]], Mean_AE_L, 2, FALSE))/(VLOOKUP(Main_L[[#This Row],[Industry]], Mean_AE_L, 3, FALSE))</f>
        <v>-0.53462057605778701</v>
      </c>
      <c r="T26" s="1">
        <f>(Main_L[[#This Row],[P/E]]-VLOOKUP(Main_L[[#This Row],[Industry]], Mean_PE_L, 2, FALSE))/(VLOOKUP(Main_L[[#This Row],[Industry]], Mean_PE_L, 3, FALSE))</f>
        <v>-0.49261265732745629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105</v>
      </c>
      <c r="B27" t="s">
        <v>122</v>
      </c>
      <c r="C27" s="2">
        <v>24122</v>
      </c>
      <c r="D27">
        <f>RTD("tos.rtd", , "LAST", Main_L[[#This Row],[Symbol]])</f>
        <v>242.7</v>
      </c>
      <c r="E27">
        <v>7.89</v>
      </c>
      <c r="F27">
        <v>67.319999999999993</v>
      </c>
      <c r="G27">
        <v>6.16</v>
      </c>
      <c r="H27" s="1">
        <f>IF(ISNUMBER(Main_L[[#This Row],[Free CF]]),IF(Main_L[[#This Row],[Free CF]]&lt;&gt;0,Main_L[[#This Row],[Current Price]]/Main_L[[#This Row],[Free CF]],""),"")</f>
        <v>30.760456273764259</v>
      </c>
      <c r="I27" s="1">
        <f>IF(ISNUMBER(Main_L[[#This Row],[BVPS]]),IF(Main_L[[#This Row],[BVPS]]&lt;&gt;0,Main_L[[#This Row],[Current Price]]/Main_L[[#This Row],[BVPS]],""),"")</f>
        <v>3.6051693404634584</v>
      </c>
      <c r="J27">
        <v>9.4600000000000009</v>
      </c>
      <c r="K27">
        <v>5.78</v>
      </c>
      <c r="L27">
        <v>1.53</v>
      </c>
      <c r="M27" s="1">
        <f>IF(ISNUMBER(Main_L[[#This Row],[EPS]]),IF(Main_L[[#This Row],[EPS]]&lt;&gt;0,Main_L[[#This Row],[Current Price]]/Main_L[[#This Row],[EPS]],""),"")</f>
        <v>39.399350649350644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-0.52517927241979412</v>
      </c>
      <c r="P27" s="1">
        <f>(Main_L[[#This Row],[P/B]]-VLOOKUP(Main_L[[#This Row],[Industry]], Mean_PB_L, 2, FALSE))/(VLOOKUP(Main_L[[#This Row],[Industry]], Mean_PB_L, 3, FALSE))</f>
        <v>-0.2565659708385557</v>
      </c>
      <c r="Q27" s="1">
        <f>(Main_L[[#This Row],[ROE]]-VLOOKUP(Main_L[[#This Row],[Industry]], Mean_ROE_L, 2, FALSE))/(VLOOKUP(Main_L[[#This Row],[Industry]], Mean_ROE_L, 3, FALSE))</f>
        <v>-0.3577332702147068</v>
      </c>
      <c r="R27" s="1">
        <f>(Main_L[[#This Row],[ROA]]-VLOOKUP(Main_L[[#This Row],[Industry]], Mean_ROA_L, 2, FALSE))/(VLOOKUP(Main_L[[#This Row],[Industry]], Mean_ROA_L, 3, FALSE))</f>
        <v>0.20650624333776194</v>
      </c>
      <c r="S27" s="1">
        <f>(Main_L[[#This Row],[A/E]]-VLOOKUP(Main_L[[#This Row],[Industry]], Mean_AE_L, 2, FALSE))/(VLOOKUP(Main_L[[#This Row],[Industry]], Mean_AE_L, 3, FALSE))</f>
        <v>-0.68815263892566458</v>
      </c>
      <c r="T27" s="1">
        <f>(Main_L[[#This Row],[P/E]]-VLOOKUP(Main_L[[#This Row],[Industry]], Mean_PE_L, 2, FALSE))/(VLOOKUP(Main_L[[#This Row],[Industry]], Mean_PE_L, 3, FALSE))</f>
        <v>-0.1619048876343411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105</v>
      </c>
      <c r="B28" t="s">
        <v>124</v>
      </c>
      <c r="C28" s="2">
        <v>18236</v>
      </c>
      <c r="D28">
        <f>RTD("tos.rtd", , "LAST", Main_L[[#This Row],[Symbol]])</f>
        <v>92.83</v>
      </c>
      <c r="E28">
        <v>5.61</v>
      </c>
      <c r="F28">
        <v>62.63</v>
      </c>
      <c r="G28">
        <v>4.51</v>
      </c>
      <c r="H28" s="1">
        <f>IF(ISNUMBER(Main_L[[#This Row],[Free CF]]),IF(Main_L[[#This Row],[Free CF]]&lt;&gt;0,Main_L[[#This Row],[Current Price]]/Main_L[[#This Row],[Free CF]],""),"")</f>
        <v>16.547237076648841</v>
      </c>
      <c r="I28" s="1">
        <f>IF(ISNUMBER(Main_L[[#This Row],[BVPS]]),IF(Main_L[[#This Row],[BVPS]]&lt;&gt;0,Main_L[[#This Row],[Current Price]]/Main_L[[#This Row],[BVPS]],""),"")</f>
        <v>1.4821970301772314</v>
      </c>
      <c r="J28">
        <v>7.32</v>
      </c>
      <c r="K28">
        <v>4.42</v>
      </c>
      <c r="L28">
        <v>1.79</v>
      </c>
      <c r="M28" s="1">
        <f>IF(ISNUMBER(Main_L[[#This Row],[EPS]]),IF(Main_L[[#This Row],[EPS]]&lt;&gt;0,Main_L[[#This Row],[Current Price]]/Main_L[[#This Row],[EPS]],""),"")</f>
        <v>20.583148558758314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-1.1136229426664979</v>
      </c>
      <c r="P28" s="1">
        <f>(Main_L[[#This Row],[P/B]]-VLOOKUP(Main_L[[#This Row],[Industry]], Mean_PB_L, 2, FALSE))/(VLOOKUP(Main_L[[#This Row],[Industry]], Mean_PB_L, 3, FALSE))</f>
        <v>-1.1146161112754283</v>
      </c>
      <c r="Q28" s="1">
        <f>(Main_L[[#This Row],[ROE]]-VLOOKUP(Main_L[[#This Row],[Industry]], Mean_ROE_L, 2, FALSE))/(VLOOKUP(Main_L[[#This Row],[Industry]], Mean_ROE_L, 3, FALSE))</f>
        <v>-0.57277517983815407</v>
      </c>
      <c r="R28" s="1">
        <f>(Main_L[[#This Row],[ROA]]-VLOOKUP(Main_L[[#This Row],[Industry]], Mean_ROA_L, 2, FALSE))/(VLOOKUP(Main_L[[#This Row],[Industry]], Mean_ROA_L, 3, FALSE))</f>
        <v>-0.53722872636292962</v>
      </c>
      <c r="S28" s="1">
        <f>(Main_L[[#This Row],[A/E]]-VLOOKUP(Main_L[[#This Row],[Industry]], Mean_AE_L, 2, FALSE))/(VLOOKUP(Main_L[[#This Row],[Industry]], Mean_AE_L, 3, FALSE))</f>
        <v>-0.18917343460506281</v>
      </c>
      <c r="T28" s="1">
        <f>(Main_L[[#This Row],[P/E]]-VLOOKUP(Main_L[[#This Row],[Industry]], Mean_PE_L, 2, FALSE))/(VLOOKUP(Main_L[[#This Row],[Industry]], Mean_PE_L, 3, FALSE))</f>
        <v>-1.1187981145541461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105</v>
      </c>
      <c r="B29" t="s">
        <v>115</v>
      </c>
      <c r="C29" s="2">
        <v>197969</v>
      </c>
      <c r="D29">
        <f>RTD("tos.rtd", , "LAST", Main_L[[#This Row],[Symbol]])</f>
        <v>526.15</v>
      </c>
      <c r="E29">
        <v>4.9000000000000004</v>
      </c>
      <c r="F29">
        <v>47.73</v>
      </c>
      <c r="G29">
        <v>6.83</v>
      </c>
      <c r="H29" s="1">
        <f>IF(ISNUMBER(Main_L[[#This Row],[Free CF]]),IF(Main_L[[#This Row],[Free CF]]&lt;&gt;0,Main_L[[#This Row],[Current Price]]/Main_L[[#This Row],[Free CF]],""),"")</f>
        <v>107.37755102040815</v>
      </c>
      <c r="I29" s="1">
        <f>IF(ISNUMBER(Main_L[[#This Row],[BVPS]]),IF(Main_L[[#This Row],[BVPS]]&lt;&gt;0,Main_L[[#This Row],[Current Price]]/Main_L[[#This Row],[BVPS]],""),"")</f>
        <v>11.023465325790907</v>
      </c>
      <c r="J29">
        <v>15.96</v>
      </c>
      <c r="K29">
        <v>8.84</v>
      </c>
      <c r="L29">
        <v>1.1200000000000001</v>
      </c>
      <c r="M29" s="1">
        <f>IF(ISNUMBER(Main_L[[#This Row],[EPS]]),IF(Main_L[[#This Row],[EPS]]&lt;&gt;0,Main_L[[#This Row],[Current Price]]/Main_L[[#This Row],[EPS]],""),"")</f>
        <v>77.035139092240115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2.6468568308089928</v>
      </c>
      <c r="P29" s="1">
        <f>(Main_L[[#This Row],[P/B]]-VLOOKUP(Main_L[[#This Row],[Industry]], Mean_PB_L, 2, FALSE))/(VLOOKUP(Main_L[[#This Row],[Industry]], Mean_PB_L, 3, FALSE))</f>
        <v>2.7417161457823229</v>
      </c>
      <c r="Q29" s="1">
        <f>(Main_L[[#This Row],[ROE]]-VLOOKUP(Main_L[[#This Row],[Industry]], Mean_ROE_L, 2, FALSE))/(VLOOKUP(Main_L[[#This Row],[Industry]], Mean_ROE_L, 3, FALSE))</f>
        <v>0.29543140854810013</v>
      </c>
      <c r="R29" s="1">
        <f>(Main_L[[#This Row],[ROA]]-VLOOKUP(Main_L[[#This Row],[Industry]], Mean_ROA_L, 2, FALSE))/(VLOOKUP(Main_L[[#This Row],[Industry]], Mean_ROA_L, 3, FALSE))</f>
        <v>1.8799099251643174</v>
      </c>
      <c r="S29" s="1">
        <f>(Main_L[[#This Row],[A/E]]-VLOOKUP(Main_L[[#This Row],[Industry]], Mean_AE_L, 2, FALSE))/(VLOOKUP(Main_L[[#This Row],[Industry]], Mean_AE_L, 3, FALSE))</f>
        <v>-1.4750044611235364</v>
      </c>
      <c r="T29" s="1">
        <f>(Main_L[[#This Row],[P/E]]-VLOOKUP(Main_L[[#This Row],[Industry]], Mean_PE_L, 2, FALSE))/(VLOOKUP(Main_L[[#This Row],[Industry]], Mean_PE_L, 3, FALSE))</f>
        <v>1.752053671983463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105</v>
      </c>
      <c r="B30" t="s">
        <v>113</v>
      </c>
      <c r="C30" s="2">
        <v>13854</v>
      </c>
      <c r="D30">
        <f>RTD("tos.rtd", , "LAST", Main_L[[#This Row],[Symbol]])</f>
        <v>64.569999999999993</v>
      </c>
      <c r="E30">
        <v>4.2</v>
      </c>
      <c r="F30">
        <v>20.73</v>
      </c>
      <c r="G30">
        <v>2.39</v>
      </c>
      <c r="H30" s="1">
        <f>IF(ISNUMBER(Main_L[[#This Row],[Free CF]]),IF(Main_L[[#This Row],[Free CF]]&lt;&gt;0,Main_L[[#This Row],[Current Price]]/Main_L[[#This Row],[Free CF]],""),"")</f>
        <v>15.373809523809522</v>
      </c>
      <c r="I30" s="1">
        <f>IF(ISNUMBER(Main_L[[#This Row],[BVPS]]),IF(Main_L[[#This Row],[BVPS]]&lt;&gt;0,Main_L[[#This Row],[Current Price]]/Main_L[[#This Row],[BVPS]],""),"")</f>
        <v>3.1148094548962852</v>
      </c>
      <c r="J30">
        <v>11.77</v>
      </c>
      <c r="K30">
        <v>6.92</v>
      </c>
      <c r="L30">
        <v>1.85</v>
      </c>
      <c r="M30" s="1">
        <f>IF(ISNUMBER(Main_L[[#This Row],[EPS]]),IF(Main_L[[#This Row],[EPS]]&lt;&gt;0,Main_L[[#This Row],[Current Price]]/Main_L[[#This Row],[EPS]],""),"")</f>
        <v>27.016736401673636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0" s="1">
        <f>(Main_L[[#This Row],[P/FCF]]-VLOOKUP(Main_L[[#This Row],[Industry]], Mean_PFCF_L, 2, FALSE))/(VLOOKUP(Main_L[[#This Row],[Industry]], Mean_PFCF_L, 3, FALSE))</f>
        <v>-1.1622041969471266</v>
      </c>
      <c r="P30" s="1">
        <f>(Main_L[[#This Row],[P/B]]-VLOOKUP(Main_L[[#This Row],[Industry]], Mean_PB_L, 2, FALSE))/(VLOOKUP(Main_L[[#This Row],[Industry]], Mean_PB_L, 3, FALSE))</f>
        <v>-0.45475667103605105</v>
      </c>
      <c r="Q30" s="1">
        <f>(Main_L[[#This Row],[ROE]]-VLOOKUP(Main_L[[#This Row],[Industry]], Mean_ROE_L, 2, FALSE))/(VLOOKUP(Main_L[[#This Row],[Industry]], Mean_ROE_L, 3, FALSE))</f>
        <v>-0.1256085920697709</v>
      </c>
      <c r="R30" s="1">
        <f>(Main_L[[#This Row],[ROA]]-VLOOKUP(Main_L[[#This Row],[Industry]], Mean_ROA_L, 2, FALSE))/(VLOOKUP(Main_L[[#This Row],[Industry]], Mean_ROA_L, 3, FALSE))</f>
        <v>0.82993114441040017</v>
      </c>
      <c r="S30" s="1">
        <f>(Main_L[[#This Row],[A/E]]-VLOOKUP(Main_L[[#This Row],[Industry]], Mean_AE_L, 2, FALSE))/(VLOOKUP(Main_L[[#This Row],[Industry]], Mean_AE_L, 3, FALSE))</f>
        <v>-7.40243874541546E-2</v>
      </c>
      <c r="T30" s="1">
        <f>(Main_L[[#This Row],[P/E]]-VLOOKUP(Main_L[[#This Row],[Industry]], Mean_PE_L, 2, FALSE))/(VLOOKUP(Main_L[[#This Row],[Industry]], Mean_PE_L, 3, FALSE))</f>
        <v>-0.79161962220806015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105</v>
      </c>
      <c r="B31" t="s">
        <v>116</v>
      </c>
      <c r="C31" s="2">
        <v>106375</v>
      </c>
      <c r="D31">
        <f>RTD("tos.rtd", , "LAST", Main_L[[#This Row],[Symbol]])</f>
        <v>87.45</v>
      </c>
      <c r="E31">
        <v>4.03</v>
      </c>
      <c r="F31">
        <v>37.46</v>
      </c>
      <c r="G31">
        <v>3.61</v>
      </c>
      <c r="H31" s="1">
        <f>IF(ISNUMBER(Main_L[[#This Row],[Free CF]]),IF(Main_L[[#This Row],[Free CF]]&lt;&gt;0,Main_L[[#This Row],[Current Price]]/Main_L[[#This Row],[Free CF]],""),"")</f>
        <v>21.699751861042184</v>
      </c>
      <c r="I31" s="1">
        <f>IF(ISNUMBER(Main_L[[#This Row],[BVPS]]),IF(Main_L[[#This Row],[BVPS]]&lt;&gt;0,Main_L[[#This Row],[Current Price]]/Main_L[[#This Row],[BVPS]],""),"")</f>
        <v>2.3344901227976509</v>
      </c>
      <c r="J31">
        <v>9.51</v>
      </c>
      <c r="K31">
        <v>4.6100000000000003</v>
      </c>
      <c r="L31">
        <v>1.91</v>
      </c>
      <c r="M31" s="1">
        <f>IF(ISNUMBER(Main_L[[#This Row],[EPS]]),IF(Main_L[[#This Row],[EPS]]&lt;&gt;0,Main_L[[#This Row],[Current Price]]/Main_L[[#This Row],[EPS]],""),"")</f>
        <v>24.224376731301941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-0.90030288697185534</v>
      </c>
      <c r="P31" s="1">
        <f>(Main_L[[#This Row],[P/B]]-VLOOKUP(Main_L[[#This Row],[Industry]], Mean_PB_L, 2, FALSE))/(VLOOKUP(Main_L[[#This Row],[Industry]], Mean_PB_L, 3, FALSE))</f>
        <v>-0.77014143100146393</v>
      </c>
      <c r="Q31" s="1">
        <f>(Main_L[[#This Row],[ROE]]-VLOOKUP(Main_L[[#This Row],[Industry]], Mean_ROE_L, 2, FALSE))/(VLOOKUP(Main_L[[#This Row],[Industry]], Mean_ROE_L, 3, FALSE))</f>
        <v>-0.35270892653191604</v>
      </c>
      <c r="R31" s="1">
        <f>(Main_L[[#This Row],[ROA]]-VLOOKUP(Main_L[[#This Row],[Industry]], Mean_ROA_L, 2, FALSE))/(VLOOKUP(Main_L[[#This Row],[Industry]], Mean_ROA_L, 3, FALSE))</f>
        <v>-0.43332457618415632</v>
      </c>
      <c r="S31" s="1">
        <f>(Main_L[[#This Row],[A/E]]-VLOOKUP(Main_L[[#This Row],[Industry]], Mean_AE_L, 2, FALSE))/(VLOOKUP(Main_L[[#This Row],[Industry]], Mean_AE_L, 3, FALSE))</f>
        <v>4.112465969675317E-2</v>
      </c>
      <c r="T31" s="1">
        <f>(Main_L[[#This Row],[P/E]]-VLOOKUP(Main_L[[#This Row],[Industry]], Mean_PE_L, 2, FALSE))/(VLOOKUP(Main_L[[#This Row],[Industry]], Mean_PE_L, 3, FALSE))</f>
        <v>-0.93362437124498876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105</v>
      </c>
      <c r="B32" t="s">
        <v>119</v>
      </c>
      <c r="C32" s="2">
        <v>22874</v>
      </c>
      <c r="D32">
        <f>RTD("tos.rtd", , "LAST", Main_L[[#This Row],[Symbol]])</f>
        <v>305.66000000000003</v>
      </c>
      <c r="E32">
        <v>4</v>
      </c>
      <c r="F32">
        <v>18.91</v>
      </c>
      <c r="G32">
        <v>5.55</v>
      </c>
      <c r="H32" s="1">
        <f>IF(ISNUMBER(Main_L[[#This Row],[Free CF]]),IF(Main_L[[#This Row],[Free CF]]&lt;&gt;0,Main_L[[#This Row],[Current Price]]/Main_L[[#This Row],[Free CF]],""),"")</f>
        <v>76.415000000000006</v>
      </c>
      <c r="I32" s="1">
        <f>IF(ISNUMBER(Main_L[[#This Row],[BVPS]]),IF(Main_L[[#This Row],[BVPS]]&lt;&gt;0,Main_L[[#This Row],[Current Price]]/Main_L[[#This Row],[BVPS]],""),"")</f>
        <v>16.16393442622951</v>
      </c>
      <c r="J32">
        <v>37.92</v>
      </c>
      <c r="K32">
        <v>6.94</v>
      </c>
      <c r="L32">
        <v>2.64</v>
      </c>
      <c r="M32" s="1">
        <f>IF(ISNUMBER(Main_L[[#This Row],[EPS]]),IF(Main_L[[#This Row],[EPS]]&lt;&gt;0,Main_L[[#This Row],[Current Price]]/Main_L[[#This Row],[EPS]],""),"")</f>
        <v>55.073873873873879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1.3649715020899722</v>
      </c>
      <c r="P32" s="1">
        <f>(Main_L[[#This Row],[P/B]]-VLOOKUP(Main_L[[#This Row],[Industry]], Mean_PB_L, 2, FALSE))/(VLOOKUP(Main_L[[#This Row],[Industry]], Mean_PB_L, 3, FALSE))</f>
        <v>4.8193599342442042</v>
      </c>
      <c r="Q32" s="1">
        <f>(Main_L[[#This Row],[ROE]]-VLOOKUP(Main_L[[#This Row],[Industry]], Mean_ROE_L, 2, FALSE))/(VLOOKUP(Main_L[[#This Row],[Industry]], Mean_ROE_L, 3, FALSE))</f>
        <v>2.5021231540298294</v>
      </c>
      <c r="R32" s="1">
        <f>(Main_L[[#This Row],[ROA]]-VLOOKUP(Main_L[[#This Row],[Industry]], Mean_ROA_L, 2, FALSE))/(VLOOKUP(Main_L[[#This Row],[Industry]], Mean_ROA_L, 3, FALSE))</f>
        <v>0.84086842337658707</v>
      </c>
      <c r="S32" s="1">
        <f>(Main_L[[#This Row],[A/E]]-VLOOKUP(Main_L[[#This Row],[Industry]], Mean_AE_L, 2, FALSE))/(VLOOKUP(Main_L[[#This Row],[Industry]], Mean_AE_L, 3, FALSE))</f>
        <v>1.4421047333661354</v>
      </c>
      <c r="T32" s="1">
        <f>(Main_L[[#This Row],[P/E]]-VLOOKUP(Main_L[[#This Row],[Industry]], Mean_PE_L, 2, FALSE))/(VLOOKUP(Main_L[[#This Row],[Industry]], Mean_PE_L, 3, FALSE))</f>
        <v>0.63521905037026527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105</v>
      </c>
      <c r="B33" t="s">
        <v>117</v>
      </c>
      <c r="C33" s="2">
        <v>10339</v>
      </c>
      <c r="D33">
        <f>RTD("tos.rtd", , "LAST", Main_L[[#This Row],[Symbol]])</f>
        <v>256.49</v>
      </c>
      <c r="E33">
        <v>3.9</v>
      </c>
      <c r="F33">
        <v>31.35</v>
      </c>
      <c r="G33">
        <v>1.08</v>
      </c>
      <c r="H33" s="1">
        <f>IF(ISNUMBER(Main_L[[#This Row],[Free CF]]),IF(Main_L[[#This Row],[Free CF]]&lt;&gt;0,Main_L[[#This Row],[Current Price]]/Main_L[[#This Row],[Free CF]],""),"")</f>
        <v>65.766666666666666</v>
      </c>
      <c r="I33" s="1">
        <f>IF(ISNUMBER(Main_L[[#This Row],[BVPS]]),IF(Main_L[[#This Row],[BVPS]]&lt;&gt;0,Main_L[[#This Row],[Current Price]]/Main_L[[#This Row],[BVPS]],""),"")</f>
        <v>8.1814992025518336</v>
      </c>
      <c r="J33">
        <v>3.5</v>
      </c>
      <c r="K33">
        <v>5.82</v>
      </c>
      <c r="L33">
        <v>1.31</v>
      </c>
      <c r="M33" s="1">
        <f>IF(ISNUMBER(Main_L[[#This Row],[EPS]]),IF(Main_L[[#This Row],[EPS]]&lt;&gt;0,Main_L[[#This Row],[Current Price]]/Main_L[[#This Row],[EPS]],""),"")</f>
        <v>237.49074074074073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0.9241182188345739</v>
      </c>
      <c r="P33" s="1">
        <f>(Main_L[[#This Row],[P/B]]-VLOOKUP(Main_L[[#This Row],[Industry]], Mean_PB_L, 2, FALSE))/(VLOOKUP(Main_L[[#This Row],[Industry]], Mean_PB_L, 3, FALSE))</f>
        <v>1.5930674237302926</v>
      </c>
      <c r="Q33" s="1">
        <f>(Main_L[[#This Row],[ROE]]-VLOOKUP(Main_L[[#This Row],[Industry]], Mean_ROE_L, 2, FALSE))/(VLOOKUP(Main_L[[#This Row],[Industry]], Mean_ROE_L, 3, FALSE))</f>
        <v>-0.95663503720337284</v>
      </c>
      <c r="R33" s="1">
        <f>(Main_L[[#This Row],[ROA]]-VLOOKUP(Main_L[[#This Row],[Industry]], Mean_ROA_L, 2, FALSE))/(VLOOKUP(Main_L[[#This Row],[Industry]], Mean_ROA_L, 3, FALSE))</f>
        <v>0.22838080127013524</v>
      </c>
      <c r="S33" s="1">
        <f>(Main_L[[#This Row],[A/E]]-VLOOKUP(Main_L[[#This Row],[Industry]], Mean_AE_L, 2, FALSE))/(VLOOKUP(Main_L[[#This Row],[Industry]], Mean_AE_L, 3, FALSE))</f>
        <v>-1.1103658118123276</v>
      </c>
      <c r="T33" s="1">
        <f>(Main_L[[#This Row],[P/E]]-VLOOKUP(Main_L[[#This Row],[Industry]], Mean_PE_L, 2, FALSE))/(VLOOKUP(Main_L[[#This Row],[Industry]], Mean_PE_L, 3, FALSE))</f>
        <v>9.9119829552450671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4" spans="1:26" x14ac:dyDescent="0.25">
      <c r="A34" t="s">
        <v>105</v>
      </c>
      <c r="B34" t="s">
        <v>106</v>
      </c>
      <c r="C34" s="2">
        <v>232407</v>
      </c>
      <c r="D34">
        <f>RTD("tos.rtd", , "LAST", Main_L[[#This Row],[Symbol]])</f>
        <v>133.4</v>
      </c>
      <c r="E34">
        <v>3.83</v>
      </c>
      <c r="F34">
        <v>28.05</v>
      </c>
      <c r="G34">
        <v>7.7</v>
      </c>
      <c r="H34" s="1">
        <f>IF(ISNUMBER(Main_L[[#This Row],[Free CF]]),IF(Main_L[[#This Row],[Free CF]]&lt;&gt;0,Main_L[[#This Row],[Current Price]]/Main_L[[#This Row],[Free CF]],""),"")</f>
        <v>34.83028720626632</v>
      </c>
      <c r="I34" s="1">
        <f>IF(ISNUMBER(Main_L[[#This Row],[BVPS]]),IF(Main_L[[#This Row],[BVPS]]&lt;&gt;0,Main_L[[#This Row],[Current Price]]/Main_L[[#This Row],[BVPS]],""),"")</f>
        <v>4.7557932263814617</v>
      </c>
      <c r="J34">
        <v>30.65</v>
      </c>
      <c r="K34">
        <v>6.38</v>
      </c>
      <c r="L34">
        <v>1.67</v>
      </c>
      <c r="M34" s="1">
        <f>IF(ISNUMBER(Main_L[[#This Row],[EPS]]),IF(Main_L[[#This Row],[EPS]]&lt;&gt;0,Main_L[[#This Row],[Current Price]]/Main_L[[#This Row],[EPS]],""),"")</f>
        <v>17.324675324675326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-0.35668357711023907</v>
      </c>
      <c r="P34" s="1">
        <f>(Main_L[[#This Row],[P/B]]-VLOOKUP(Main_L[[#This Row],[Industry]], Mean_PB_L, 2, FALSE))/(VLOOKUP(Main_L[[#This Row],[Industry]], Mean_PB_L, 3, FALSE))</f>
        <v>0.20848624963475437</v>
      </c>
      <c r="Q34" s="1">
        <f>(Main_L[[#This Row],[ROE]]-VLOOKUP(Main_L[[#This Row],[Industry]], Mean_ROE_L, 2, FALSE))/(VLOOKUP(Main_L[[#This Row],[Industry]], Mean_ROE_L, 3, FALSE))</f>
        <v>1.7715835825520434</v>
      </c>
      <c r="R34" s="1">
        <f>(Main_L[[#This Row],[ROA]]-VLOOKUP(Main_L[[#This Row],[Industry]], Mean_ROA_L, 2, FALSE))/(VLOOKUP(Main_L[[#This Row],[Industry]], Mean_ROA_L, 3, FALSE))</f>
        <v>0.53462461232336089</v>
      </c>
      <c r="S34" s="1">
        <f>(Main_L[[#This Row],[A/E]]-VLOOKUP(Main_L[[#This Row],[Industry]], Mean_AE_L, 2, FALSE))/(VLOOKUP(Main_L[[#This Row],[Industry]], Mean_AE_L, 3, FALSE))</f>
        <v>-0.41947152890687917</v>
      </c>
      <c r="T34" s="1">
        <f>(Main_L[[#This Row],[P/E]]-VLOOKUP(Main_L[[#This Row],[Industry]], Mean_PE_L, 2, FALSE))/(VLOOKUP(Main_L[[#This Row],[Industry]], Mean_PE_L, 3, FALSE))</f>
        <v>-1.284506951692562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105</v>
      </c>
      <c r="B35" t="s">
        <v>112</v>
      </c>
      <c r="C35" s="2">
        <v>32299</v>
      </c>
      <c r="D35">
        <f>RTD("tos.rtd", , "LAST", Main_L[[#This Row],[Symbol]])</f>
        <v>71.67</v>
      </c>
      <c r="E35">
        <v>3.01</v>
      </c>
      <c r="F35">
        <v>20.07</v>
      </c>
      <c r="G35">
        <v>4.76</v>
      </c>
      <c r="H35" s="1">
        <f>IF(ISNUMBER(Main_L[[#This Row],[Free CF]]),IF(Main_L[[#This Row],[Free CF]]&lt;&gt;0,Main_L[[#This Row],[Current Price]]/Main_L[[#This Row],[Free CF]],""),"")</f>
        <v>23.810631229235884</v>
      </c>
      <c r="I35" s="1">
        <f>IF(ISNUMBER(Main_L[[#This Row],[BVPS]]),IF(Main_L[[#This Row],[BVPS]]&lt;&gt;0,Main_L[[#This Row],[Current Price]]/Main_L[[#This Row],[BVPS]],""),"")</f>
        <v>3.5710014947683111</v>
      </c>
      <c r="J35">
        <v>26.44</v>
      </c>
      <c r="K35">
        <v>5.87</v>
      </c>
      <c r="L35">
        <v>3.66</v>
      </c>
      <c r="M35" s="1">
        <f>IF(ISNUMBER(Main_L[[#This Row],[EPS]]),IF(Main_L[[#This Row],[EPS]]&lt;&gt;0,Main_L[[#This Row],[Current Price]]/Main_L[[#This Row],[EPS]],""),"")</f>
        <v>15.056722689075631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-0.8129100461494162</v>
      </c>
      <c r="P35" s="1">
        <f>(Main_L[[#This Row],[P/B]]-VLOOKUP(Main_L[[#This Row],[Industry]], Mean_PB_L, 2, FALSE))/(VLOOKUP(Main_L[[#This Row],[Industry]], Mean_PB_L, 3, FALSE))</f>
        <v>-0.27037572457632053</v>
      </c>
      <c r="Q35" s="1">
        <f>(Main_L[[#This Row],[ROE]]-VLOOKUP(Main_L[[#This Row],[Industry]], Mean_ROE_L, 2, FALSE))/(VLOOKUP(Main_L[[#This Row],[Industry]], Mean_ROE_L, 3, FALSE))</f>
        <v>1.3485338444610566</v>
      </c>
      <c r="R35" s="1">
        <f>(Main_L[[#This Row],[ROA]]-VLOOKUP(Main_L[[#This Row],[Industry]], Mean_ROA_L, 2, FALSE))/(VLOOKUP(Main_L[[#This Row],[Industry]], Mean_ROA_L, 3, FALSE))</f>
        <v>0.25572399868560175</v>
      </c>
      <c r="S35" s="1">
        <f>(Main_L[[#This Row],[A/E]]-VLOOKUP(Main_L[[#This Row],[Industry]], Mean_AE_L, 2, FALSE))/(VLOOKUP(Main_L[[#This Row],[Industry]], Mean_AE_L, 3, FALSE))</f>
        <v>3.3996385349315732</v>
      </c>
      <c r="T35" s="1">
        <f>(Main_L[[#This Row],[P/E]]-VLOOKUP(Main_L[[#This Row],[Industry]], Mean_PE_L, 2, FALSE))/(VLOOKUP(Main_L[[#This Row],[Industry]], Mean_PE_L, 3, FALSE))</f>
        <v>-1.3998431128122022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105</v>
      </c>
      <c r="B36" t="s">
        <v>125</v>
      </c>
      <c r="C36" s="2">
        <v>42507</v>
      </c>
      <c r="D36">
        <f>RTD("tos.rtd", , "LAST", Main_L[[#This Row],[Symbol]])</f>
        <v>87.48</v>
      </c>
      <c r="E36">
        <v>2.94</v>
      </c>
      <c r="F36">
        <v>44.39</v>
      </c>
      <c r="G36">
        <v>2.25</v>
      </c>
      <c r="H36" s="1">
        <f>IF(ISNUMBER(Main_L[[#This Row],[Free CF]]),IF(Main_L[[#This Row],[Free CF]]&lt;&gt;0,Main_L[[#This Row],[Current Price]]/Main_L[[#This Row],[Free CF]],""),"")</f>
        <v>29.755102040816329</v>
      </c>
      <c r="I36" s="1">
        <f>IF(ISNUMBER(Main_L[[#This Row],[BVPS]]),IF(Main_L[[#This Row],[BVPS]]&lt;&gt;0,Main_L[[#This Row],[Current Price]]/Main_L[[#This Row],[BVPS]],""),"")</f>
        <v>1.9707141248028837</v>
      </c>
      <c r="J36">
        <v>5.23</v>
      </c>
      <c r="K36">
        <v>2.74</v>
      </c>
      <c r="L36">
        <v>1.41</v>
      </c>
      <c r="M36" s="1">
        <f>IF(ISNUMBER(Main_L[[#This Row],[EPS]]),IF(Main_L[[#This Row],[EPS]]&lt;&gt;0,Main_L[[#This Row],[Current Price]]/Main_L[[#This Row],[EPS]],""),"")</f>
        <v>38.880000000000003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-0.56680209737798537</v>
      </c>
      <c r="P36" s="1">
        <f>(Main_L[[#This Row],[P/B]]-VLOOKUP(Main_L[[#This Row],[Industry]], Mean_PB_L, 2, FALSE))/(VLOOKUP(Main_L[[#This Row],[Industry]], Mean_PB_L, 3, FALSE))</f>
        <v>-0.91717021920308206</v>
      </c>
      <c r="Q36" s="1">
        <f>(Main_L[[#This Row],[ROE]]-VLOOKUP(Main_L[[#This Row],[Industry]], Mean_ROE_L, 2, FALSE))/(VLOOKUP(Main_L[[#This Row],[Industry]], Mean_ROE_L, 3, FALSE))</f>
        <v>-0.78279274577881042</v>
      </c>
      <c r="R36" s="1">
        <f>(Main_L[[#This Row],[ROA]]-VLOOKUP(Main_L[[#This Row],[Industry]], Mean_ROA_L, 2, FALSE))/(VLOOKUP(Main_L[[#This Row],[Industry]], Mean_ROA_L, 3, FALSE))</f>
        <v>-1.455960159522607</v>
      </c>
      <c r="S36" s="1">
        <f>(Main_L[[#This Row],[A/E]]-VLOOKUP(Main_L[[#This Row],[Industry]], Mean_AE_L, 2, FALSE))/(VLOOKUP(Main_L[[#This Row],[Industry]], Mean_AE_L, 3, FALSE))</f>
        <v>-0.91845073322748094</v>
      </c>
      <c r="T36" s="1">
        <f>(Main_L[[#This Row],[P/E]]-VLOOKUP(Main_L[[#This Row],[Industry]], Mean_PE_L, 2, FALSE))/(VLOOKUP(Main_L[[#This Row],[Industry]], Mean_PE_L, 3, FALSE))</f>
        <v>-0.18831633434220263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105</v>
      </c>
      <c r="B37" t="s">
        <v>128</v>
      </c>
      <c r="C37" s="2">
        <v>12646</v>
      </c>
      <c r="D37">
        <f>RTD("tos.rtd", , "LAST", Main_L[[#This Row],[Symbol]])</f>
        <v>74.92</v>
      </c>
      <c r="E37">
        <v>2.2200000000000002</v>
      </c>
      <c r="F37">
        <v>18.850000000000001</v>
      </c>
      <c r="G37">
        <v>2.1800000000000002</v>
      </c>
      <c r="H37" s="1">
        <f>IF(ISNUMBER(Main_L[[#This Row],[Free CF]]),IF(Main_L[[#This Row],[Free CF]]&lt;&gt;0,Main_L[[#This Row],[Current Price]]/Main_L[[#This Row],[Free CF]],""),"")</f>
        <v>33.747747747747745</v>
      </c>
      <c r="I37" s="1">
        <f>IF(ISNUMBER(Main_L[[#This Row],[BVPS]]),IF(Main_L[[#This Row],[BVPS]]&lt;&gt;0,Main_L[[#This Row],[Current Price]]/Main_L[[#This Row],[BVPS]],""),"")</f>
        <v>3.9745358090185676</v>
      </c>
      <c r="J37">
        <v>10.66</v>
      </c>
      <c r="K37">
        <v>3.72</v>
      </c>
      <c r="L37">
        <v>4.45</v>
      </c>
      <c r="M37" s="1">
        <f>IF(ISNUMBER(Main_L[[#This Row],[EPS]]),IF(Main_L[[#This Row],[EPS]]&lt;&gt;0,Main_L[[#This Row],[Current Price]]/Main_L[[#This Row],[EPS]],""),"")</f>
        <v>34.366972477064216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-0.40150195944313322</v>
      </c>
      <c r="P37" s="1">
        <f>(Main_L[[#This Row],[P/B]]-VLOOKUP(Main_L[[#This Row],[Industry]], Mean_PB_L, 2, FALSE))/(VLOOKUP(Main_L[[#This Row],[Industry]], Mean_PB_L, 3, FALSE))</f>
        <v>-0.1072776599732798</v>
      </c>
      <c r="Q37" s="1">
        <f>(Main_L[[#This Row],[ROE]]-VLOOKUP(Main_L[[#This Row],[Industry]], Mean_ROE_L, 2, FALSE))/(VLOOKUP(Main_L[[#This Row],[Industry]], Mean_ROE_L, 3, FALSE))</f>
        <v>-0.23714902182772712</v>
      </c>
      <c r="R37" s="1">
        <f>(Main_L[[#This Row],[ROA]]-VLOOKUP(Main_L[[#This Row],[Industry]], Mean_ROA_L, 2, FALSE))/(VLOOKUP(Main_L[[#This Row],[Industry]], Mean_ROA_L, 3, FALSE))</f>
        <v>-0.92003349017946179</v>
      </c>
      <c r="S37" s="1">
        <f>(Main_L[[#This Row],[A/E]]-VLOOKUP(Main_L[[#This Row],[Industry]], Mean_AE_L, 2, FALSE))/(VLOOKUP(Main_L[[#This Row],[Industry]], Mean_AE_L, 3, FALSE))</f>
        <v>4.9157676557518633</v>
      </c>
      <c r="T37" s="1">
        <f>(Main_L[[#This Row],[P/E]]-VLOOKUP(Main_L[[#This Row],[Industry]], Mean_PE_L, 2, FALSE))/(VLOOKUP(Main_L[[#This Row],[Industry]], Mean_PE_L, 3, FALSE))</f>
        <v>-0.41782521444500842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105</v>
      </c>
      <c r="B38" t="s">
        <v>109</v>
      </c>
      <c r="C38" s="2">
        <v>155727</v>
      </c>
      <c r="D38">
        <f>RTD("tos.rtd", , "LAST", Main_L[[#This Row],[Symbol]])</f>
        <v>100.04</v>
      </c>
      <c r="E38">
        <v>2.06</v>
      </c>
      <c r="F38">
        <v>15.02</v>
      </c>
      <c r="G38">
        <v>1.37</v>
      </c>
      <c r="H38" s="1">
        <f>IF(ISNUMBER(Main_L[[#This Row],[Free CF]]),IF(Main_L[[#This Row],[Free CF]]&lt;&gt;0,Main_L[[#This Row],[Current Price]]/Main_L[[#This Row],[Free CF]],""),"")</f>
        <v>48.563106796116507</v>
      </c>
      <c r="I38" s="1">
        <f>IF(ISNUMBER(Main_L[[#This Row],[BVPS]]),IF(Main_L[[#This Row],[BVPS]]&lt;&gt;0,Main_L[[#This Row],[Current Price]]/Main_L[[#This Row],[BVPS]],""),"")</f>
        <v>6.6604527296937421</v>
      </c>
      <c r="J38">
        <v>9.5</v>
      </c>
      <c r="K38">
        <v>5.28</v>
      </c>
      <c r="L38">
        <v>1.81</v>
      </c>
      <c r="M38" s="1">
        <f>IF(ISNUMBER(Main_L[[#This Row],[EPS]]),IF(Main_L[[#This Row],[EPS]]&lt;&gt;0,Main_L[[#This Row],[Current Price]]/Main_L[[#This Row],[EPS]],""),"")</f>
        <v>73.021897810218974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0.21187099523656042</v>
      </c>
      <c r="P38" s="1">
        <f>(Main_L[[#This Row],[P/B]]-VLOOKUP(Main_L[[#This Row],[Industry]], Mean_PB_L, 2, FALSE))/(VLOOKUP(Main_L[[#This Row],[Industry]], Mean_PB_L, 3, FALSE))</f>
        <v>0.97830003683444933</v>
      </c>
      <c r="Q38" s="1">
        <f>(Main_L[[#This Row],[ROE]]-VLOOKUP(Main_L[[#This Row],[Industry]], Mean_ROE_L, 2, FALSE))/(VLOOKUP(Main_L[[#This Row],[Industry]], Mean_ROE_L, 3, FALSE))</f>
        <v>-0.35371379526847418</v>
      </c>
      <c r="R38" s="1">
        <f>(Main_L[[#This Row],[ROA]]-VLOOKUP(Main_L[[#This Row],[Industry]], Mean_ROA_L, 2, FALSE))/(VLOOKUP(Main_L[[#This Row],[Industry]], Mean_ROA_L, 3, FALSE))</f>
        <v>-6.6925730816904005E-2</v>
      </c>
      <c r="S38" s="1">
        <f>(Main_L[[#This Row],[A/E]]-VLOOKUP(Main_L[[#This Row],[Industry]], Mean_AE_L, 2, FALSE))/(VLOOKUP(Main_L[[#This Row],[Industry]], Mean_AE_L, 3, FALSE))</f>
        <v>-0.15079041888809339</v>
      </c>
      <c r="T38" s="1">
        <f>(Main_L[[#This Row],[P/E]]-VLOOKUP(Main_L[[#This Row],[Industry]], Mean_PE_L, 2, FALSE))/(VLOOKUP(Main_L[[#This Row],[Industry]], Mean_PE_L, 3, FALSE))</f>
        <v>1.5479612955160027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105</v>
      </c>
      <c r="B39" t="s">
        <v>127</v>
      </c>
      <c r="C39" s="2">
        <v>13653</v>
      </c>
      <c r="D39">
        <f>RTD("tos.rtd", , "LAST", Main_L[[#This Row],[Symbol]])</f>
        <v>71.97</v>
      </c>
      <c r="E39">
        <v>1.93</v>
      </c>
      <c r="F39">
        <v>41.3</v>
      </c>
      <c r="G39">
        <v>2.0699999999999998</v>
      </c>
      <c r="H39" s="1">
        <f>IF(ISNUMBER(Main_L[[#This Row],[Free CF]]),IF(Main_L[[#This Row],[Free CF]]&lt;&gt;0,Main_L[[#This Row],[Current Price]]/Main_L[[#This Row],[Free CF]],""),"")</f>
        <v>37.290155440414509</v>
      </c>
      <c r="I39" s="1">
        <f>IF(ISNUMBER(Main_L[[#This Row],[BVPS]]),IF(Main_L[[#This Row],[BVPS]]&lt;&gt;0,Main_L[[#This Row],[Current Price]]/Main_L[[#This Row],[BVPS]],""),"")</f>
        <v>1.7426150121065376</v>
      </c>
      <c r="J39">
        <v>5.15</v>
      </c>
      <c r="K39">
        <v>3.88</v>
      </c>
      <c r="L39">
        <v>1.5</v>
      </c>
      <c r="M39" s="1">
        <f>IF(ISNUMBER(Main_L[[#This Row],[EPS]]),IF(Main_L[[#This Row],[EPS]]&lt;&gt;0,Main_L[[#This Row],[Current Price]]/Main_L[[#This Row],[EPS]],""),"")</f>
        <v>34.768115942028984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-0.25484219466542257</v>
      </c>
      <c r="P39" s="1">
        <f>(Main_L[[#This Row],[P/B]]-VLOOKUP(Main_L[[#This Row],[Industry]], Mean_PB_L, 2, FALSE))/(VLOOKUP(Main_L[[#This Row],[Industry]], Mean_PB_L, 3, FALSE))</f>
        <v>-1.00936194244616</v>
      </c>
      <c r="Q39" s="1">
        <f>(Main_L[[#This Row],[ROE]]-VLOOKUP(Main_L[[#This Row],[Industry]], Mean_ROE_L, 2, FALSE))/(VLOOKUP(Main_L[[#This Row],[Industry]], Mean_ROE_L, 3, FALSE))</f>
        <v>-0.79083169567127576</v>
      </c>
      <c r="R39" s="1">
        <f>(Main_L[[#This Row],[ROA]]-VLOOKUP(Main_L[[#This Row],[Industry]], Mean_ROA_L, 2, FALSE))/(VLOOKUP(Main_L[[#This Row],[Industry]], Mean_ROA_L, 3, FALSE))</f>
        <v>-0.8325352584499689</v>
      </c>
      <c r="S39" s="1">
        <f>(Main_L[[#This Row],[A/E]]-VLOOKUP(Main_L[[#This Row],[Industry]], Mean_AE_L, 2, FALSE))/(VLOOKUP(Main_L[[#This Row],[Industry]], Mean_AE_L, 3, FALSE))</f>
        <v>-0.7457271625011187</v>
      </c>
      <c r="T39" s="1">
        <f>(Main_L[[#This Row],[P/E]]-VLOOKUP(Main_L[[#This Row],[Industry]], Mean_PE_L, 2, FALSE))/(VLOOKUP(Main_L[[#This Row],[Industry]], Mean_PE_L, 3, FALSE))</f>
        <v>-0.39742516438177883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105</v>
      </c>
      <c r="B40" t="s">
        <v>110</v>
      </c>
      <c r="C40" s="2">
        <v>33643</v>
      </c>
      <c r="D40">
        <f>RTD("tos.rtd", , "LAST", Main_L[[#This Row],[Symbol]])</f>
        <v>85.68</v>
      </c>
      <c r="E40">
        <v>1.46</v>
      </c>
      <c r="F40">
        <v>5.78</v>
      </c>
      <c r="G40">
        <v>1.33</v>
      </c>
      <c r="H40" s="1">
        <f>IF(ISNUMBER(Main_L[[#This Row],[Free CF]]),IF(Main_L[[#This Row],[Free CF]]&lt;&gt;0,Main_L[[#This Row],[Current Price]]/Main_L[[#This Row],[Free CF]],""),"")</f>
        <v>58.684931506849324</v>
      </c>
      <c r="I40" s="1">
        <f>IF(ISNUMBER(Main_L[[#This Row],[BVPS]]),IF(Main_L[[#This Row],[BVPS]]&lt;&gt;0,Main_L[[#This Row],[Current Price]]/Main_L[[#This Row],[BVPS]],""),"")</f>
        <v>14.823529411764707</v>
      </c>
      <c r="J40">
        <v>23.72</v>
      </c>
      <c r="K40">
        <v>5.98</v>
      </c>
      <c r="L40">
        <v>2.98</v>
      </c>
      <c r="M40" s="1">
        <f>IF(ISNUMBER(Main_L[[#This Row],[EPS]]),IF(Main_L[[#This Row],[EPS]]&lt;&gt;0,Main_L[[#This Row],[Current Price]]/Main_L[[#This Row],[EPS]],""),"")</f>
        <v>64.421052631578945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0.63092621416867944</v>
      </c>
      <c r="P40" s="1">
        <f>(Main_L[[#This Row],[P/B]]-VLOOKUP(Main_L[[#This Row],[Industry]], Mean_PB_L, 2, FALSE))/(VLOOKUP(Main_L[[#This Row],[Industry]], Mean_PB_L, 3, FALSE))</f>
        <v>4.2776031221882107</v>
      </c>
      <c r="Q40" s="1">
        <f>(Main_L[[#This Row],[ROE]]-VLOOKUP(Main_L[[#This Row],[Industry]], Mean_ROE_L, 2, FALSE))/(VLOOKUP(Main_L[[#This Row],[Industry]], Mean_ROE_L, 3, FALSE))</f>
        <v>1.0752095481172355</v>
      </c>
      <c r="R40" s="1">
        <f>(Main_L[[#This Row],[ROA]]-VLOOKUP(Main_L[[#This Row],[Industry]], Mean_ROA_L, 2, FALSE))/(VLOOKUP(Main_L[[#This Row],[Industry]], Mean_ROA_L, 3, FALSE))</f>
        <v>0.31587903299962844</v>
      </c>
      <c r="S40" s="1">
        <f>(Main_L[[#This Row],[A/E]]-VLOOKUP(Main_L[[#This Row],[Industry]], Mean_AE_L, 2, FALSE))/(VLOOKUP(Main_L[[#This Row],[Industry]], Mean_AE_L, 3, FALSE))</f>
        <v>2.0946160005546144</v>
      </c>
      <c r="T40" s="1">
        <f>(Main_L[[#This Row],[P/E]]-VLOOKUP(Main_L[[#This Row],[Industry]], Mean_PE_L, 2, FALSE))/(VLOOKUP(Main_L[[#This Row],[Industry]], Mean_PE_L, 3, FALSE))</f>
        <v>1.1105674762105988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105</v>
      </c>
      <c r="B41" t="s">
        <v>111</v>
      </c>
      <c r="C41" s="2">
        <v>45884</v>
      </c>
      <c r="D41">
        <f>RTD("tos.rtd", , "LAST", Main_L[[#This Row],[Symbol]])</f>
        <v>76.36</v>
      </c>
      <c r="E41">
        <v>1.05</v>
      </c>
      <c r="F41">
        <v>17.28</v>
      </c>
      <c r="G41">
        <v>2.42</v>
      </c>
      <c r="H41" s="1">
        <f>IF(ISNUMBER(Main_L[[#This Row],[Free CF]]),IF(Main_L[[#This Row],[Free CF]]&lt;&gt;0,Main_L[[#This Row],[Current Price]]/Main_L[[#This Row],[Free CF]],""),"")</f>
        <v>72.723809523809521</v>
      </c>
      <c r="I41" s="1">
        <f>IF(ISNUMBER(Main_L[[#This Row],[BVPS]]),IF(Main_L[[#This Row],[BVPS]]&lt;&gt;0,Main_L[[#This Row],[Current Price]]/Main_L[[#This Row],[BVPS]],""),"")</f>
        <v>4.418981481481481</v>
      </c>
      <c r="J41">
        <v>16.510000000000002</v>
      </c>
      <c r="K41">
        <v>8.42</v>
      </c>
      <c r="L41">
        <v>1.29</v>
      </c>
      <c r="M41" s="1">
        <f>IF(ISNUMBER(Main_L[[#This Row],[EPS]]),IF(Main_L[[#This Row],[EPS]]&lt;&gt;0,Main_L[[#This Row],[Current Price]]/Main_L[[#This Row],[EPS]],""),"")</f>
        <v>31.553719008264462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1.2121519584478093</v>
      </c>
      <c r="P41" s="1">
        <f>(Main_L[[#This Row],[P/B]]-VLOOKUP(Main_L[[#This Row],[Industry]], Mean_PB_L, 2, FALSE))/(VLOOKUP(Main_L[[#This Row],[Industry]], Mean_PB_L, 3, FALSE))</f>
        <v>7.2355710573106247E-2</v>
      </c>
      <c r="Q41" s="1">
        <f>(Main_L[[#This Row],[ROE]]-VLOOKUP(Main_L[[#This Row],[Industry]], Mean_ROE_L, 2, FALSE))/(VLOOKUP(Main_L[[#This Row],[Industry]], Mean_ROE_L, 3, FALSE))</f>
        <v>0.35069918905879921</v>
      </c>
      <c r="R41" s="1">
        <f>(Main_L[[#This Row],[ROA]]-VLOOKUP(Main_L[[#This Row],[Industry]], Mean_ROA_L, 2, FALSE))/(VLOOKUP(Main_L[[#This Row],[Industry]], Mean_ROA_L, 3, FALSE))</f>
        <v>1.6502270668743979</v>
      </c>
      <c r="S41" s="1">
        <f>(Main_L[[#This Row],[A/E]]-VLOOKUP(Main_L[[#This Row],[Industry]], Mean_AE_L, 2, FALSE))/(VLOOKUP(Main_L[[#This Row],[Industry]], Mean_AE_L, 3, FALSE))</f>
        <v>-1.148748827529297</v>
      </c>
      <c r="T41" s="1">
        <f>(Main_L[[#This Row],[P/E]]-VLOOKUP(Main_L[[#This Row],[Industry]], Mean_PE_L, 2, FALSE))/(VLOOKUP(Main_L[[#This Row],[Industry]], Mean_PE_L, 3, FALSE))</f>
        <v>-0.56089251234829052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105</v>
      </c>
      <c r="B42" t="s">
        <v>121</v>
      </c>
      <c r="C42" s="2">
        <v>12671</v>
      </c>
      <c r="D42">
        <f>RTD("tos.rtd", , "LAST", Main_L[[#This Row],[Symbol]])</f>
        <v>29.88</v>
      </c>
      <c r="E42">
        <v>0.69</v>
      </c>
      <c r="F42">
        <v>6.03</v>
      </c>
      <c r="G42">
        <v>0.47</v>
      </c>
      <c r="H42" s="1">
        <f>IF(ISNUMBER(Main_L[[#This Row],[Free CF]]),IF(Main_L[[#This Row],[Free CF]]&lt;&gt;0,Main_L[[#This Row],[Current Price]]/Main_L[[#This Row],[Free CF]],""),"")</f>
        <v>43.304347826086961</v>
      </c>
      <c r="I42" s="1">
        <f>IF(ISNUMBER(Main_L[[#This Row],[BVPS]]),IF(Main_L[[#This Row],[BVPS]]&lt;&gt;0,Main_L[[#This Row],[Current Price]]/Main_L[[#This Row],[BVPS]],""),"")</f>
        <v>4.9552238805970141</v>
      </c>
      <c r="J42">
        <v>7.86</v>
      </c>
      <c r="K42">
        <v>5.44</v>
      </c>
      <c r="L42">
        <v>1.97</v>
      </c>
      <c r="M42" s="1">
        <f>IF(ISNUMBER(Main_L[[#This Row],[EPS]]),IF(Main_L[[#This Row],[EPS]]&lt;&gt;0,Main_L[[#This Row],[Current Price]]/Main_L[[#This Row],[EPS]],""),"")</f>
        <v>63.574468085106382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-5.8476923001089245E-3</v>
      </c>
      <c r="P42" s="1">
        <f>(Main_L[[#This Row],[P/B]]-VLOOKUP(Main_L[[#This Row],[Industry]], Mean_PB_L, 2, FALSE))/(VLOOKUP(Main_L[[#This Row],[Industry]], Mean_PB_L, 3, FALSE))</f>
        <v>0.28909092828645139</v>
      </c>
      <c r="Q42" s="1">
        <f>(Main_L[[#This Row],[ROE]]-VLOOKUP(Main_L[[#This Row],[Industry]], Mean_ROE_L, 2, FALSE))/(VLOOKUP(Main_L[[#This Row],[Industry]], Mean_ROE_L, 3, FALSE))</f>
        <v>-0.51851226806401318</v>
      </c>
      <c r="R42" s="1">
        <f>(Main_L[[#This Row],[ROA]]-VLOOKUP(Main_L[[#This Row],[Industry]], Mean_ROA_L, 2, FALSE))/(VLOOKUP(Main_L[[#This Row],[Industry]], Mean_ROA_L, 3, FALSE))</f>
        <v>2.0572500912589175E-2</v>
      </c>
      <c r="S42" s="1">
        <f>(Main_L[[#This Row],[A/E]]-VLOOKUP(Main_L[[#This Row],[Industry]], Mean_AE_L, 2, FALSE))/(VLOOKUP(Main_L[[#This Row],[Industry]], Mean_AE_L, 3, FALSE))</f>
        <v>0.15627370684766137</v>
      </c>
      <c r="T42" s="1">
        <f>(Main_L[[#This Row],[P/E]]-VLOOKUP(Main_L[[#This Row],[Industry]], Mean_PE_L, 2, FALSE))/(VLOOKUP(Main_L[[#This Row],[Industry]], Mean_PE_L, 3, FALSE))</f>
        <v>1.0675146319312743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105</v>
      </c>
      <c r="B43" t="s">
        <v>107</v>
      </c>
      <c r="C43" s="2">
        <v>15652</v>
      </c>
      <c r="D43">
        <f>RTD("tos.rtd", , "LAST", Main_L[[#This Row],[Symbol]])</f>
        <v>30.85</v>
      </c>
      <c r="E43">
        <v>0.37</v>
      </c>
      <c r="F43">
        <v>13.8</v>
      </c>
      <c r="G43">
        <v>-0.54</v>
      </c>
      <c r="H43" s="1">
        <f>IF(ISNUMBER(Main_L[[#This Row],[Free CF]]),IF(Main_L[[#This Row],[Free CF]]&lt;&gt;0,Main_L[[#This Row],[Current Price]]/Main_L[[#This Row],[Free CF]],""),"")</f>
        <v>83.378378378378386</v>
      </c>
      <c r="I43" s="1">
        <f>IF(ISNUMBER(Main_L[[#This Row],[BVPS]]),IF(Main_L[[#This Row],[BVPS]]&lt;&gt;0,Main_L[[#This Row],[Current Price]]/Main_L[[#This Row],[BVPS]],""),"")</f>
        <v>2.2355072463768115</v>
      </c>
      <c r="J43">
        <v>-3.51</v>
      </c>
      <c r="K43">
        <v>2.5</v>
      </c>
      <c r="L43">
        <v>3.01</v>
      </c>
      <c r="M43" s="1">
        <f>IF(ISNUMBER(Main_L[[#This Row],[EPS]]),IF(Main_L[[#This Row],[EPS]]&lt;&gt;0,Main_L[[#This Row],[Current Price]]/Main_L[[#This Row],[EPS]],""),"")</f>
        <v>-57.129629629629626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1.6532633994752679</v>
      </c>
      <c r="P43" s="1">
        <f>(Main_L[[#This Row],[P/B]]-VLOOKUP(Main_L[[#This Row],[Industry]], Mean_PB_L, 2, FALSE))/(VLOOKUP(Main_L[[#This Row],[Industry]], Mean_PB_L, 3, FALSE))</f>
        <v>-0.81014773282755603</v>
      </c>
      <c r="Q43" s="1">
        <f>(Main_L[[#This Row],[ROE]]-VLOOKUP(Main_L[[#This Row],[Industry]], Mean_ROE_L, 2, FALSE))/(VLOOKUP(Main_L[[#This Row],[Industry]], Mean_ROE_L, 3, FALSE))</f>
        <v>-1.661048021530646</v>
      </c>
      <c r="R43" s="1">
        <f>(Main_L[[#This Row],[ROA]]-VLOOKUP(Main_L[[#This Row],[Industry]], Mean_ROA_L, 2, FALSE))/(VLOOKUP(Main_L[[#This Row],[Industry]], Mean_ROA_L, 3, FALSE))</f>
        <v>-1.5872075071168468</v>
      </c>
      <c r="S43" s="1">
        <f>(Main_L[[#This Row],[A/E]]-VLOOKUP(Main_L[[#This Row],[Industry]], Mean_AE_L, 2, FALSE))/(VLOOKUP(Main_L[[#This Row],[Industry]], Mean_AE_L, 3, FALSE))</f>
        <v>2.1521905241300678</v>
      </c>
      <c r="T43" s="1">
        <f>(Main_L[[#This Row],[P/E]]-VLOOKUP(Main_L[[#This Row],[Industry]], Mean_PE_L, 2, FALSE))/(VLOOKUP(Main_L[[#This Row],[Industry]], Mean_PE_L, 3, FALSE))</f>
        <v>-5.0708619123154008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4" spans="1:26" x14ac:dyDescent="0.25">
      <c r="A44" t="s">
        <v>105</v>
      </c>
      <c r="B44" t="s">
        <v>118</v>
      </c>
      <c r="C44" s="2">
        <v>21314</v>
      </c>
      <c r="D44">
        <f>RTD("tos.rtd", , "LAST", Main_L[[#This Row],[Symbol]])</f>
        <v>23.48</v>
      </c>
      <c r="E44">
        <v>0.16</v>
      </c>
      <c r="F44">
        <v>13.68</v>
      </c>
      <c r="G44">
        <v>0.28000000000000003</v>
      </c>
      <c r="H44" s="1">
        <f>IF(ISNUMBER(Main_L[[#This Row],[Free CF]]),IF(Main_L[[#This Row],[Free CF]]&lt;&gt;0,Main_L[[#This Row],[Current Price]]/Main_L[[#This Row],[Free CF]],""),"")</f>
        <v>146.75</v>
      </c>
      <c r="I44" s="1">
        <f>IF(ISNUMBER(Main_L[[#This Row],[BVPS]]),IF(Main_L[[#This Row],[BVPS]]&lt;&gt;0,Main_L[[#This Row],[Current Price]]/Main_L[[#This Row],[BVPS]],""),"")</f>
        <v>1.7163742690058481</v>
      </c>
      <c r="J44">
        <v>1.99</v>
      </c>
      <c r="K44">
        <v>2.0099999999999998</v>
      </c>
      <c r="L44">
        <v>2.3199999999999998</v>
      </c>
      <c r="M44" s="1">
        <f>IF(ISNUMBER(Main_L[[#This Row],[EPS]]),IF(Main_L[[#This Row],[EPS]]&lt;&gt;0,Main_L[[#This Row],[Current Price]]/Main_L[[#This Row],[EPS]],""),"")</f>
        <v>83.857142857142847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4.2769216361737179</v>
      </c>
      <c r="P44" s="1">
        <f>(Main_L[[#This Row],[P/B]]-VLOOKUP(Main_L[[#This Row],[Industry]], Mean_PB_L, 2, FALSE))/(VLOOKUP(Main_L[[#This Row],[Industry]], Mean_PB_L, 3, FALSE))</f>
        <v>-1.0199677676816663</v>
      </c>
      <c r="Q44" s="1">
        <f>(Main_L[[#This Row],[ROE]]-VLOOKUP(Main_L[[#This Row],[Industry]], Mean_ROE_L, 2, FALSE))/(VLOOKUP(Main_L[[#This Row],[Industry]], Mean_ROE_L, 3, FALSE))</f>
        <v>-1.1083702164236557</v>
      </c>
      <c r="R44" s="1">
        <f>(Main_L[[#This Row],[ROA]]-VLOOKUP(Main_L[[#This Row],[Industry]], Mean_ROA_L, 2, FALSE))/(VLOOKUP(Main_L[[#This Row],[Industry]], Mean_ROA_L, 3, FALSE))</f>
        <v>-1.8551708417884196</v>
      </c>
      <c r="S44" s="1">
        <f>(Main_L[[#This Row],[A/E]]-VLOOKUP(Main_L[[#This Row],[Industry]], Mean_AE_L, 2, FALSE))/(VLOOKUP(Main_L[[#This Row],[Industry]], Mean_AE_L, 3, FALSE))</f>
        <v>0.82797648189462503</v>
      </c>
      <c r="T44" s="1">
        <f>(Main_L[[#This Row],[P/E]]-VLOOKUP(Main_L[[#This Row],[Industry]], Mean_PE_L, 2, FALSE))/(VLOOKUP(Main_L[[#This Row],[Industry]], Mean_PE_L, 3, FALSE))</f>
        <v>2.098984958394372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129</v>
      </c>
      <c r="B45" t="s">
        <v>132</v>
      </c>
      <c r="C45" s="2">
        <v>89939</v>
      </c>
      <c r="D45">
        <f>RTD("tos.rtd", , "LAST", Main_L[[#This Row],[Symbol]])</f>
        <v>708.22</v>
      </c>
      <c r="E45">
        <v>41.02</v>
      </c>
      <c r="F45">
        <v>-16.59</v>
      </c>
      <c r="G45">
        <v>25.72</v>
      </c>
      <c r="H45" s="1">
        <f>IF(ISNUMBER(Main_L[[#This Row],[Free CF]]),IF(Main_L[[#This Row],[Free CF]]&lt;&gt;0,Main_L[[#This Row],[Current Price]]/Main_L[[#This Row],[Free CF]],""),"")</f>
        <v>17.265236470014628</v>
      </c>
      <c r="I45" s="1">
        <f>IF(ISNUMBER(Main_L[[#This Row],[BVPS]]),IF(Main_L[[#This Row],[BVPS]]&lt;&gt;0,Main_L[[#This Row],[Current Price]]/Main_L[[#This Row],[BVPS]],""),"")</f>
        <v>-42.689572031344184</v>
      </c>
      <c r="J45">
        <v>-211.42</v>
      </c>
      <c r="K45">
        <v>4.3099999999999996</v>
      </c>
      <c r="L45">
        <v>-36.229999999999997</v>
      </c>
      <c r="M45" s="1">
        <f>IF(ISNUMBER(Main_L[[#This Row],[EPS]]),IF(Main_L[[#This Row],[EPS]]&lt;&gt;0,Main_L[[#This Row],[Current Price]]/Main_L[[#This Row],[EPS]],""),"")</f>
        <v>27.535769828926906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0.5602031064462778</v>
      </c>
      <c r="P45" s="1">
        <f>(Main_L[[#This Row],[P/B]]-VLOOKUP(Main_L[[#This Row],[Industry]], Mean_PB_L, 2, FALSE))/(VLOOKUP(Main_L[[#This Row],[Industry]], Mean_PB_L, 3, FALSE))</f>
        <v>-33.970638822158712</v>
      </c>
      <c r="Q45" s="1">
        <f>(Main_L[[#This Row],[ROE]]-VLOOKUP(Main_L[[#This Row],[Industry]], Mean_ROE_L, 2, FALSE))/(VLOOKUP(Main_L[[#This Row],[Industry]], Mean_ROE_L, 3, FALSE))</f>
        <v>-18.193216348448352</v>
      </c>
      <c r="R45" s="1">
        <f>(Main_L[[#This Row],[ROA]]-VLOOKUP(Main_L[[#This Row],[Industry]], Mean_ROA_L, 2, FALSE))/(VLOOKUP(Main_L[[#This Row],[Industry]], Mean_ROA_L, 3, FALSE))</f>
        <v>-0.58149323413594833</v>
      </c>
      <c r="S45" s="1">
        <f>(Main_L[[#This Row],[A/E]]-VLOOKUP(Main_L[[#This Row],[Industry]], Mean_AE_L, 2, FALSE))/(VLOOKUP(Main_L[[#This Row],[Industry]], Mean_AE_L, 3, FALSE))</f>
        <v>-60.925730713952319</v>
      </c>
      <c r="T45" s="1">
        <f>(Main_L[[#This Row],[P/E]]-VLOOKUP(Main_L[[#This Row],[Industry]], Mean_PE_L, 2, FALSE))/(VLOOKUP(Main_L[[#This Row],[Industry]], Mean_PE_L, 3, FALSE))</f>
        <v>1.3692551585249055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129</v>
      </c>
      <c r="B46" t="s">
        <v>148</v>
      </c>
      <c r="C46" s="2">
        <v>273875</v>
      </c>
      <c r="D46">
        <f>RTD("tos.rtd", , "LAST", Main_L[[#This Row],[Symbol]])</f>
        <v>303.19</v>
      </c>
      <c r="E46">
        <v>27.07</v>
      </c>
      <c r="F46">
        <v>104.44</v>
      </c>
      <c r="G46">
        <v>23.82</v>
      </c>
      <c r="H46" s="1">
        <f>IF(ISNUMBER(Main_L[[#This Row],[Free CF]]),IF(Main_L[[#This Row],[Free CF]]&lt;&gt;0,Main_L[[#This Row],[Current Price]]/Main_L[[#This Row],[Free CF]],""),"")</f>
        <v>11.200221647580348</v>
      </c>
      <c r="I46" s="1">
        <f>IF(ISNUMBER(Main_L[[#This Row],[BVPS]]),IF(Main_L[[#This Row],[BVPS]]&lt;&gt;0,Main_L[[#This Row],[Current Price]]/Main_L[[#This Row],[BVPS]],""),"")</f>
        <v>2.903006510915358</v>
      </c>
      <c r="J46">
        <v>22.7</v>
      </c>
      <c r="K46">
        <v>7.04</v>
      </c>
      <c r="L46">
        <v>3.26</v>
      </c>
      <c r="M46" s="1">
        <f>IF(ISNUMBER(Main_L[[#This Row],[EPS]]),IF(Main_L[[#This Row],[EPS]]&lt;&gt;0,Main_L[[#This Row],[Current Price]]/Main_L[[#This Row],[EPS]],""),"")</f>
        <v>12.728379513014273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-0.67189931802373648</v>
      </c>
      <c r="P46" s="1">
        <f>(Main_L[[#This Row],[P/B]]-VLOOKUP(Main_L[[#This Row],[Industry]], Mean_PB_L, 2, FALSE))/(VLOOKUP(Main_L[[#This Row],[Industry]], Mean_PB_L, 3, FALSE))</f>
        <v>0.368824636097352</v>
      </c>
      <c r="Q46" s="1">
        <f>(Main_L[[#This Row],[ROE]]-VLOOKUP(Main_L[[#This Row],[Industry]], Mean_ROE_L, 2, FALSE))/(VLOOKUP(Main_L[[#This Row],[Industry]], Mean_ROE_L, 3, FALSE))</f>
        <v>0.22260712640455216</v>
      </c>
      <c r="R46" s="1">
        <f>(Main_L[[#This Row],[ROA]]-VLOOKUP(Main_L[[#This Row],[Industry]], Mean_ROA_L, 2, FALSE))/(VLOOKUP(Main_L[[#This Row],[Industry]], Mean_ROA_L, 3, FALSE))</f>
        <v>0.47423144401006623</v>
      </c>
      <c r="S46" s="1">
        <f>(Main_L[[#This Row],[A/E]]-VLOOKUP(Main_L[[#This Row],[Industry]], Mean_AE_L, 2, FALSE))/(VLOOKUP(Main_L[[#This Row],[Industry]], Mean_AE_L, 3, FALSE))</f>
        <v>0.70469761436630562</v>
      </c>
      <c r="T46" s="1">
        <f>(Main_L[[#This Row],[P/E]]-VLOOKUP(Main_L[[#This Row],[Industry]], Mean_PE_L, 2, FALSE))/(VLOOKUP(Main_L[[#This Row],[Industry]], Mean_PE_L, 3, FALSE))</f>
        <v>-0.76383020764195864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129</v>
      </c>
      <c r="B47" t="s">
        <v>133</v>
      </c>
      <c r="C47" s="2">
        <v>84588</v>
      </c>
      <c r="D47">
        <f>RTD("tos.rtd", , "LAST", Main_L[[#This Row],[Symbol]])</f>
        <v>311.39999999999998</v>
      </c>
      <c r="E47">
        <v>21.74</v>
      </c>
      <c r="F47">
        <v>149.04</v>
      </c>
      <c r="G47">
        <v>17.989999999999998</v>
      </c>
      <c r="H47" s="1">
        <f>IF(ISNUMBER(Main_L[[#This Row],[Free CF]]),IF(Main_L[[#This Row],[Free CF]]&lt;&gt;0,Main_L[[#This Row],[Current Price]]/Main_L[[#This Row],[Free CF]],""),"")</f>
        <v>14.323827046918124</v>
      </c>
      <c r="I47" s="1">
        <f>IF(ISNUMBER(Main_L[[#This Row],[BVPS]]),IF(Main_L[[#This Row],[BVPS]]&lt;&gt;0,Main_L[[#This Row],[Current Price]]/Main_L[[#This Row],[BVPS]],""),"")</f>
        <v>2.0893719806763285</v>
      </c>
      <c r="J47">
        <v>13.21</v>
      </c>
      <c r="K47">
        <v>4.03</v>
      </c>
      <c r="L47">
        <v>3.75</v>
      </c>
      <c r="M47" s="1">
        <f>IF(ISNUMBER(Main_L[[#This Row],[EPS]]),IF(Main_L[[#This Row],[EPS]]&lt;&gt;0,Main_L[[#This Row],[Current Price]]/Main_L[[#This Row],[EPS]],""),"")</f>
        <v>17.309616453585324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-3.7341629660658397E-2</v>
      </c>
      <c r="P47" s="1">
        <f>(Main_L[[#This Row],[P/B]]-VLOOKUP(Main_L[[#This Row],[Industry]], Mean_PB_L, 2, FALSE))/(VLOOKUP(Main_L[[#This Row],[Industry]], Mean_PB_L, 3, FALSE))</f>
        <v>-0.24398942515652627</v>
      </c>
      <c r="Q47" s="1">
        <f>(Main_L[[#This Row],[ROE]]-VLOOKUP(Main_L[[#This Row],[Industry]], Mean_ROE_L, 2, FALSE))/(VLOOKUP(Main_L[[#This Row],[Industry]], Mean_ROE_L, 3, FALSE))</f>
        <v>-0.52387401478951079</v>
      </c>
      <c r="R47" s="1">
        <f>(Main_L[[#This Row],[ROA]]-VLOOKUP(Main_L[[#This Row],[Industry]], Mean_ROA_L, 2, FALSE))/(VLOOKUP(Main_L[[#This Row],[Industry]], Mean_ROA_L, 3, FALSE))</f>
        <v>-0.68977268830477012</v>
      </c>
      <c r="S47" s="1">
        <f>(Main_L[[#This Row],[A/E]]-VLOOKUP(Main_L[[#This Row],[Industry]], Mean_AE_L, 2, FALSE))/(VLOOKUP(Main_L[[#This Row],[Industry]], Mean_AE_L, 3, FALSE))</f>
        <v>1.4694205791897077</v>
      </c>
      <c r="T47" s="1">
        <f>(Main_L[[#This Row],[P/E]]-VLOOKUP(Main_L[[#This Row],[Industry]], Mean_PE_L, 2, FALSE))/(VLOOKUP(Main_L[[#This Row],[Industry]], Mean_PE_L, 3, FALSE))</f>
        <v>-0.10387803049339063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129</v>
      </c>
      <c r="B48" t="s">
        <v>136</v>
      </c>
      <c r="C48" s="2">
        <v>10298</v>
      </c>
      <c r="D48">
        <f>RTD("tos.rtd", , "LAST", Main_L[[#This Row],[Symbol]])</f>
        <v>137.78</v>
      </c>
      <c r="E48">
        <v>21.22</v>
      </c>
      <c r="F48">
        <v>-3.46</v>
      </c>
      <c r="G48">
        <v>10.11</v>
      </c>
      <c r="H48" s="1">
        <f>IF(ISNUMBER(Main_L[[#This Row],[Free CF]]),IF(Main_L[[#This Row],[Free CF]]&lt;&gt;0,Main_L[[#This Row],[Current Price]]/Main_L[[#This Row],[Free CF]],""),"")</f>
        <v>6.492931196983978</v>
      </c>
      <c r="I48" s="1">
        <f>IF(ISNUMBER(Main_L[[#This Row],[BVPS]]),IF(Main_L[[#This Row],[BVPS]]&lt;&gt;0,Main_L[[#This Row],[Current Price]]/Main_L[[#This Row],[BVPS]],""),"")</f>
        <v>-39.820809248554916</v>
      </c>
      <c r="J48">
        <v>54.79</v>
      </c>
      <c r="K48">
        <v>7.04</v>
      </c>
      <c r="L48">
        <v>-64.09</v>
      </c>
      <c r="M48" s="1">
        <f>IF(ISNUMBER(Main_L[[#This Row],[EPS]]),IF(Main_L[[#This Row],[EPS]]&lt;&gt;0,Main_L[[#This Row],[Current Price]]/Main_L[[#This Row],[EPS]],""),"")</f>
        <v>13.628090999010881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-1.6281812310391568</v>
      </c>
      <c r="P48" s="1">
        <f>(Main_L[[#This Row],[P/B]]-VLOOKUP(Main_L[[#This Row],[Industry]], Mean_PB_L, 2, FALSE))/(VLOOKUP(Main_L[[#This Row],[Industry]], Mean_PB_L, 3, FALSE))</f>
        <v>-31.809941228389437</v>
      </c>
      <c r="Q48" s="1">
        <f>(Main_L[[#This Row],[ROE]]-VLOOKUP(Main_L[[#This Row],[Industry]], Mean_ROE_L, 2, FALSE))/(VLOOKUP(Main_L[[#This Row],[Industry]], Mean_ROE_L, 3, FALSE))</f>
        <v>2.7467988883558152</v>
      </c>
      <c r="R48" s="1">
        <f>(Main_L[[#This Row],[ROA]]-VLOOKUP(Main_L[[#This Row],[Industry]], Mean_ROA_L, 2, FALSE))/(VLOOKUP(Main_L[[#This Row],[Industry]], Mean_ROA_L, 3, FALSE))</f>
        <v>0.47423144401006623</v>
      </c>
      <c r="S48" s="1">
        <f>(Main_L[[#This Row],[A/E]]-VLOOKUP(Main_L[[#This Row],[Industry]], Mean_AE_L, 2, FALSE))/(VLOOKUP(Main_L[[#This Row],[Industry]], Mean_AE_L, 3, FALSE))</f>
        <v>-104.40569357105433</v>
      </c>
      <c r="T48" s="1">
        <f>(Main_L[[#This Row],[P/E]]-VLOOKUP(Main_L[[#This Row],[Industry]], Mean_PE_L, 2, FALSE))/(VLOOKUP(Main_L[[#This Row],[Industry]], Mean_PE_L, 3, FALSE))</f>
        <v>-0.63422185913444362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129</v>
      </c>
      <c r="B49" t="s">
        <v>146</v>
      </c>
      <c r="C49" s="2">
        <v>28137</v>
      </c>
      <c r="D49">
        <f>RTD("tos.rtd", , "LAST", Main_L[[#This Row],[Symbol]])</f>
        <v>233.07</v>
      </c>
      <c r="E49">
        <v>19.760000000000002</v>
      </c>
      <c r="F49">
        <v>147.08000000000001</v>
      </c>
      <c r="G49">
        <v>14.16</v>
      </c>
      <c r="H49" s="1">
        <f>IF(ISNUMBER(Main_L[[#This Row],[Free CF]]),IF(Main_L[[#This Row],[Free CF]]&lt;&gt;0,Main_L[[#This Row],[Current Price]]/Main_L[[#This Row],[Free CF]],""),"")</f>
        <v>11.795040485829958</v>
      </c>
      <c r="I49" s="1">
        <f>IF(ISNUMBER(Main_L[[#This Row],[BVPS]]),IF(Main_L[[#This Row],[BVPS]]&lt;&gt;0,Main_L[[#This Row],[Current Price]]/Main_L[[#This Row],[BVPS]],""),"")</f>
        <v>1.5846478107152568</v>
      </c>
      <c r="J49">
        <v>10.1</v>
      </c>
      <c r="K49">
        <v>4.72</v>
      </c>
      <c r="L49">
        <v>2.87</v>
      </c>
      <c r="M49" s="1">
        <f>IF(ISNUMBER(Main_L[[#This Row],[EPS]]),IF(Main_L[[#This Row],[EPS]]&lt;&gt;0,Main_L[[#This Row],[Current Price]]/Main_L[[#This Row],[EPS]],""),"")</f>
        <v>16.459745762711865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-0.55106239442432625</v>
      </c>
      <c r="P49" s="1">
        <f>(Main_L[[#This Row],[P/B]]-VLOOKUP(Main_L[[#This Row],[Industry]], Mean_PB_L, 2, FALSE))/(VLOOKUP(Main_L[[#This Row],[Industry]], Mean_PB_L, 3, FALSE))</f>
        <v>-0.6241380753323863</v>
      </c>
      <c r="Q49" s="1">
        <f>(Main_L[[#This Row],[ROE]]-VLOOKUP(Main_L[[#This Row],[Industry]], Mean_ROE_L, 2, FALSE))/(VLOOKUP(Main_L[[#This Row],[Industry]], Mean_ROE_L, 3, FALSE))</f>
        <v>-0.76850587454857688</v>
      </c>
      <c r="R49" s="1">
        <f>(Main_L[[#This Row],[ROA]]-VLOOKUP(Main_L[[#This Row],[Industry]], Mean_ROA_L, 2, FALSE))/(VLOOKUP(Main_L[[#This Row],[Industry]], Mean_ROA_L, 3, FALSE))</f>
        <v>-0.42294117624588751</v>
      </c>
      <c r="S49" s="1">
        <f>(Main_L[[#This Row],[A/E]]-VLOOKUP(Main_L[[#This Row],[Industry]], Mean_AE_L, 2, FALSE))/(VLOOKUP(Main_L[[#This Row],[Industry]], Mean_AE_L, 3, FALSE))</f>
        <v>9.604056073135378E-2</v>
      </c>
      <c r="T49" s="1">
        <f>(Main_L[[#This Row],[P/E]]-VLOOKUP(Main_L[[#This Row],[Industry]], Mean_PE_L, 2, FALSE))/(VLOOKUP(Main_L[[#This Row],[Industry]], Mean_PE_L, 3, FALSE))</f>
        <v>-0.22630654052517782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129</v>
      </c>
      <c r="B50" t="s">
        <v>141</v>
      </c>
      <c r="C50" s="2">
        <v>91752</v>
      </c>
      <c r="D50">
        <f>RTD("tos.rtd", , "LAST", Main_L[[#This Row],[Symbol]])</f>
        <v>373.01</v>
      </c>
      <c r="E50">
        <v>19.46</v>
      </c>
      <c r="F50">
        <v>-14.48</v>
      </c>
      <c r="G50">
        <v>22.47</v>
      </c>
      <c r="H50" s="1">
        <f>IF(ISNUMBER(Main_L[[#This Row],[Free CF]]),IF(Main_L[[#This Row],[Free CF]]&lt;&gt;0,Main_L[[#This Row],[Current Price]]/Main_L[[#This Row],[Free CF]],""),"")</f>
        <v>19.168036998972248</v>
      </c>
      <c r="I50" s="1">
        <f>IF(ISNUMBER(Main_L[[#This Row],[BVPS]]),IF(Main_L[[#This Row],[BVPS]]&lt;&gt;0,Main_L[[#This Row],[Current Price]]/Main_L[[#This Row],[BVPS]],""),"")</f>
        <v>-25.760359116022098</v>
      </c>
      <c r="J50">
        <v>1605.8</v>
      </c>
      <c r="K50">
        <v>11.61</v>
      </c>
      <c r="L50">
        <v>-16.989999999999998</v>
      </c>
      <c r="M50" s="1">
        <f>IF(ISNUMBER(Main_L[[#This Row],[EPS]]),IF(Main_L[[#This Row],[EPS]]&lt;&gt;0,Main_L[[#This Row],[Current Price]]/Main_L[[#This Row],[EPS]],""),"")</f>
        <v>16.600356030262574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0.94675535959815593</v>
      </c>
      <c r="P50" s="1">
        <f>(Main_L[[#This Row],[P/B]]-VLOOKUP(Main_L[[#This Row],[Industry]], Mean_PB_L, 2, FALSE))/(VLOOKUP(Main_L[[#This Row],[Industry]], Mean_PB_L, 3, FALSE))</f>
        <v>-21.219877473052343</v>
      </c>
      <c r="Q50" s="1">
        <f>(Main_L[[#This Row],[ROE]]-VLOOKUP(Main_L[[#This Row],[Industry]], Mean_ROE_L, 2, FALSE))/(VLOOKUP(Main_L[[#This Row],[Industry]], Mean_ROE_L, 3, FALSE))</f>
        <v>124.74887631758699</v>
      </c>
      <c r="R50" s="1">
        <f>(Main_L[[#This Row],[ROA]]-VLOOKUP(Main_L[[#This Row],[Industry]], Mean_ROA_L, 2, FALSE))/(VLOOKUP(Main_L[[#This Row],[Industry]], Mean_ROA_L, 3, FALSE))</f>
        <v>2.2415068209797679</v>
      </c>
      <c r="S50" s="1">
        <f>(Main_L[[#This Row],[A/E]]-VLOOKUP(Main_L[[#This Row],[Industry]], Mean_AE_L, 2, FALSE))/(VLOOKUP(Main_L[[#This Row],[Industry]], Mean_AE_L, 3, FALSE))</f>
        <v>-30.89864940129468</v>
      </c>
      <c r="T50" s="1">
        <f>(Main_L[[#This Row],[P/E]]-VLOOKUP(Main_L[[#This Row],[Industry]], Mean_PE_L, 2, FALSE))/(VLOOKUP(Main_L[[#This Row],[Industry]], Mean_PE_L, 3, FALSE))</f>
        <v>-0.20605086429552483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129</v>
      </c>
      <c r="B51" t="s">
        <v>131</v>
      </c>
      <c r="C51" s="2">
        <v>56449</v>
      </c>
      <c r="D51">
        <f>RTD("tos.rtd", , "LAST", Main_L[[#This Row],[Symbol]])</f>
        <v>283.95</v>
      </c>
      <c r="E51">
        <v>18.29</v>
      </c>
      <c r="F51">
        <v>5.23</v>
      </c>
      <c r="G51">
        <v>8.59</v>
      </c>
      <c r="H51" s="1">
        <f>IF(ISNUMBER(Main_L[[#This Row],[Free CF]]),IF(Main_L[[#This Row],[Free CF]]&lt;&gt;0,Main_L[[#This Row],[Current Price]]/Main_L[[#This Row],[Free CF]],""),"")</f>
        <v>15.524876981957354</v>
      </c>
      <c r="I51" s="1">
        <f>IF(ISNUMBER(Main_L[[#This Row],[BVPS]]),IF(Main_L[[#This Row],[BVPS]]&lt;&gt;0,Main_L[[#This Row],[Current Price]]/Main_L[[#This Row],[BVPS]],""),"")</f>
        <v>54.2925430210325</v>
      </c>
      <c r="J51">
        <v>141.78</v>
      </c>
      <c r="K51">
        <v>2.97</v>
      </c>
      <c r="L51">
        <v>70.290000000000006</v>
      </c>
      <c r="M51" s="1">
        <f>IF(ISNUMBER(Main_L[[#This Row],[EPS]]),IF(Main_L[[#This Row],[EPS]]&lt;&gt;0,Main_L[[#This Row],[Current Price]]/Main_L[[#This Row],[EPS]],""),"")</f>
        <v>33.055878928987191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0.20665060781872871</v>
      </c>
      <c r="P51" s="1">
        <f>(Main_L[[#This Row],[P/B]]-VLOOKUP(Main_L[[#This Row],[Industry]], Mean_PB_L, 2, FALSE))/(VLOOKUP(Main_L[[#This Row],[Industry]], Mean_PB_L, 3, FALSE))</f>
        <v>39.07444663749834</v>
      </c>
      <c r="Q51" s="1">
        <f>(Main_L[[#This Row],[ROE]]-VLOOKUP(Main_L[[#This Row],[Industry]], Mean_ROE_L, 2, FALSE))/(VLOOKUP(Main_L[[#This Row],[Industry]], Mean_ROE_L, 3, FALSE))</f>
        <v>9.5894115830314259</v>
      </c>
      <c r="R51" s="1">
        <f>(Main_L[[#This Row],[ROA]]-VLOOKUP(Main_L[[#This Row],[Industry]], Mean_ROA_L, 2, FALSE))/(VLOOKUP(Main_L[[#This Row],[Industry]], Mean_ROA_L, 3, FALSE))</f>
        <v>-1.0996877648010248</v>
      </c>
      <c r="S51" s="1">
        <f>(Main_L[[#This Row],[A/E]]-VLOOKUP(Main_L[[#This Row],[Industry]], Mean_AE_L, 2, FALSE))/(VLOOKUP(Main_L[[#This Row],[Industry]], Mean_AE_L, 3, FALSE))</f>
        <v>105.31567788398388</v>
      </c>
      <c r="T51" s="1">
        <f>(Main_L[[#This Row],[P/E]]-VLOOKUP(Main_L[[#This Row],[Industry]], Mean_PE_L, 2, FALSE))/(VLOOKUP(Main_L[[#This Row],[Industry]], Mean_PE_L, 3, FALSE))</f>
        <v>2.1644569928636259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t="s">
        <v>129</v>
      </c>
      <c r="B52" t="s">
        <v>143</v>
      </c>
      <c r="C52" s="2">
        <v>12266</v>
      </c>
      <c r="D52">
        <f>RTD("tos.rtd", , "LAST", Main_L[[#This Row],[Symbol]])</f>
        <v>177.77</v>
      </c>
      <c r="E52">
        <v>16.010000000000002</v>
      </c>
      <c r="F52">
        <v>105.3</v>
      </c>
      <c r="G52">
        <v>17.8</v>
      </c>
      <c r="H52" s="1">
        <f>IF(ISNUMBER(Main_L[[#This Row],[Free CF]]),IF(Main_L[[#This Row],[Free CF]]&lt;&gt;0,Main_L[[#This Row],[Current Price]]/Main_L[[#This Row],[Free CF]],""),"")</f>
        <v>11.10368519675203</v>
      </c>
      <c r="I52" s="1">
        <f>IF(ISNUMBER(Main_L[[#This Row],[BVPS]]),IF(Main_L[[#This Row],[BVPS]]&lt;&gt;0,Main_L[[#This Row],[Current Price]]/Main_L[[#This Row],[BVPS]],""),"")</f>
        <v>1.6882241215574549</v>
      </c>
      <c r="J52">
        <v>18.47</v>
      </c>
      <c r="K52">
        <v>7.57</v>
      </c>
      <c r="L52">
        <v>2.19</v>
      </c>
      <c r="M52" s="1">
        <f>IF(ISNUMBER(Main_L[[#This Row],[EPS]]),IF(Main_L[[#This Row],[EPS]]&lt;&gt;0,Main_L[[#This Row],[Current Price]]/Main_L[[#This Row],[EPS]],""),"")</f>
        <v>9.987078651685394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2" s="1">
        <f>(Main_L[[#This Row],[P/FCF]]-VLOOKUP(Main_L[[#This Row],[Industry]], Mean_PFCF_L, 2, FALSE))/(VLOOKUP(Main_L[[#This Row],[Industry]], Mean_PFCF_L, 3, FALSE))</f>
        <v>-0.69151061306547901</v>
      </c>
      <c r="P52" s="1">
        <f>(Main_L[[#This Row],[P/B]]-VLOOKUP(Main_L[[#This Row],[Industry]], Mean_PB_L, 2, FALSE))/(VLOOKUP(Main_L[[#This Row],[Industry]], Mean_PB_L, 3, FALSE))</f>
        <v>-0.54612636695730732</v>
      </c>
      <c r="Q52" s="1">
        <f>(Main_L[[#This Row],[ROE]]-VLOOKUP(Main_L[[#This Row],[Industry]], Mean_ROE_L, 2, FALSE))/(VLOOKUP(Main_L[[#This Row],[Industry]], Mean_ROE_L, 3, FALSE))</f>
        <v>-0.11012366677256979</v>
      </c>
      <c r="R52" s="1">
        <f>(Main_L[[#This Row],[ROA]]-VLOOKUP(Main_L[[#This Row],[Industry]], Mean_ROA_L, 2, FALSE))/(VLOOKUP(Main_L[[#This Row],[Industry]], Mean_ROA_L, 3, FALSE))</f>
        <v>0.67918898225819369</v>
      </c>
      <c r="S52" s="1">
        <f>(Main_L[[#This Row],[A/E]]-VLOOKUP(Main_L[[#This Row],[Industry]], Mean_AE_L, 2, FALSE))/(VLOOKUP(Main_L[[#This Row],[Industry]], Mean_AE_L, 3, FALSE))</f>
        <v>-0.96520763535010179</v>
      </c>
      <c r="T52" s="1">
        <f>(Main_L[[#This Row],[P/E]]-VLOOKUP(Main_L[[#This Row],[Industry]], Mean_PE_L, 2, FALSE))/(VLOOKUP(Main_L[[#This Row],[Industry]], Mean_PE_L, 3, FALSE))</f>
        <v>-1.1587295536311952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129</v>
      </c>
      <c r="B53" t="s">
        <v>145</v>
      </c>
      <c r="C53" s="2">
        <v>86723</v>
      </c>
      <c r="D53">
        <f>RTD("tos.rtd", , "LAST", Main_L[[#This Row],[Symbol]])</f>
        <v>389.61</v>
      </c>
      <c r="E53">
        <v>15.97</v>
      </c>
      <c r="F53">
        <v>188.37</v>
      </c>
      <c r="G53">
        <v>25.6</v>
      </c>
      <c r="H53" s="1">
        <f>IF(ISNUMBER(Main_L[[#This Row],[Free CF]]),IF(Main_L[[#This Row],[Free CF]]&lt;&gt;0,Main_L[[#This Row],[Current Price]]/Main_L[[#This Row],[Free CF]],""),"")</f>
        <v>24.39636819035692</v>
      </c>
      <c r="I53" s="1">
        <f>IF(ISNUMBER(Main_L[[#This Row],[BVPS]]),IF(Main_L[[#This Row],[BVPS]]&lt;&gt;0,Main_L[[#This Row],[Current Price]]/Main_L[[#This Row],[BVPS]],""),"")</f>
        <v>2.0683229813664599</v>
      </c>
      <c r="J53">
        <v>14.18</v>
      </c>
      <c r="K53">
        <v>4.93</v>
      </c>
      <c r="L53">
        <v>2.82</v>
      </c>
      <c r="M53" s="1">
        <f>IF(ISNUMBER(Main_L[[#This Row],[EPS]]),IF(Main_L[[#This Row],[EPS]]&lt;&gt;0,Main_L[[#This Row],[Current Price]]/Main_L[[#This Row],[EPS]],""),"")</f>
        <v>15.219140625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2.008886240632298</v>
      </c>
      <c r="P53" s="1">
        <f>(Main_L[[#This Row],[P/B]]-VLOOKUP(Main_L[[#This Row],[Industry]], Mean_PB_L, 2, FALSE))/(VLOOKUP(Main_L[[#This Row],[Industry]], Mean_PB_L, 3, FALSE))</f>
        <v>-0.25984313130223419</v>
      </c>
      <c r="Q53" s="1">
        <f>(Main_L[[#This Row],[ROE]]-VLOOKUP(Main_L[[#This Row],[Industry]], Mean_ROE_L, 2, FALSE))/(VLOOKUP(Main_L[[#This Row],[Industry]], Mean_ROE_L, 3, FALSE))</f>
        <v>-0.44757404566851605</v>
      </c>
      <c r="R53" s="1">
        <f>(Main_L[[#This Row],[ROA]]-VLOOKUP(Main_L[[#This Row],[Industry]], Mean_ROA_L, 2, FALSE))/(VLOOKUP(Main_L[[#This Row],[Industry]], Mean_ROA_L, 3, FALSE))</f>
        <v>-0.34173158561927103</v>
      </c>
      <c r="S53" s="1">
        <f>(Main_L[[#This Row],[A/E]]-VLOOKUP(Main_L[[#This Row],[Industry]], Mean_AE_L, 2, FALSE))/(VLOOKUP(Main_L[[#This Row],[Industry]], Mean_AE_L, 3, FALSE))</f>
        <v>1.8007605137128704E-2</v>
      </c>
      <c r="T53" s="1">
        <f>(Main_L[[#This Row],[P/E]]-VLOOKUP(Main_L[[#This Row],[Industry]], Mean_PE_L, 2, FALSE))/(VLOOKUP(Main_L[[#This Row],[Industry]], Mean_PE_L, 3, FALSE))</f>
        <v>-0.40502247952496001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129</v>
      </c>
      <c r="B54" t="s">
        <v>142</v>
      </c>
      <c r="C54" s="2">
        <v>15676</v>
      </c>
      <c r="D54">
        <f>RTD("tos.rtd", , "LAST", Main_L[[#This Row],[Symbol]])</f>
        <v>166.19</v>
      </c>
      <c r="E54">
        <v>14.77</v>
      </c>
      <c r="F54">
        <v>45.01</v>
      </c>
      <c r="G54">
        <v>15.09</v>
      </c>
      <c r="H54" s="1">
        <f>IF(ISNUMBER(Main_L[[#This Row],[Free CF]]),IF(Main_L[[#This Row],[Free CF]]&lt;&gt;0,Main_L[[#This Row],[Current Price]]/Main_L[[#This Row],[Free CF]],""),"")</f>
        <v>11.251861882193635</v>
      </c>
      <c r="I54" s="1">
        <f>IF(ISNUMBER(Main_L[[#This Row],[BVPS]]),IF(Main_L[[#This Row],[BVPS]]&lt;&gt;0,Main_L[[#This Row],[Current Price]]/Main_L[[#This Row],[BVPS]],""),"")</f>
        <v>3.6922906020884247</v>
      </c>
      <c r="J54">
        <v>28.82</v>
      </c>
      <c r="K54">
        <v>7.26</v>
      </c>
      <c r="L54">
        <v>6.99</v>
      </c>
      <c r="M54" s="1">
        <f>IF(ISNUMBER(Main_L[[#This Row],[EPS]]),IF(Main_L[[#This Row],[EPS]]&lt;&gt;0,Main_L[[#This Row],[Current Price]]/Main_L[[#This Row],[EPS]],""),"")</f>
        <v>11.013253810470511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-0.66140864980114922</v>
      </c>
      <c r="P54" s="1">
        <f>(Main_L[[#This Row],[P/B]]-VLOOKUP(Main_L[[#This Row],[Industry]], Mean_PB_L, 2, FALSE))/(VLOOKUP(Main_L[[#This Row],[Industry]], Mean_PB_L, 3, FALSE))</f>
        <v>0.96329840954050538</v>
      </c>
      <c r="Q54" s="1">
        <f>(Main_L[[#This Row],[ROE]]-VLOOKUP(Main_L[[#This Row],[Industry]], Mean_ROE_L, 2, FALSE))/(VLOOKUP(Main_L[[#This Row],[Industry]], Mean_ROE_L, 3, FALSE))</f>
        <v>0.70400486972464349</v>
      </c>
      <c r="R54" s="1">
        <f>(Main_L[[#This Row],[ROA]]-VLOOKUP(Main_L[[#This Row],[Industry]], Mean_ROA_L, 2, FALSE))/(VLOOKUP(Main_L[[#This Row],[Industry]], Mean_ROA_L, 3, FALSE))</f>
        <v>0.55930815799985489</v>
      </c>
      <c r="S54" s="1">
        <f>(Main_L[[#This Row],[A/E]]-VLOOKUP(Main_L[[#This Row],[Industry]], Mean_AE_L, 2, FALSE))/(VLOOKUP(Main_L[[#This Row],[Industry]], Mean_AE_L, 3, FALSE))</f>
        <v>6.5259561016954661</v>
      </c>
      <c r="T54" s="1">
        <f>(Main_L[[#This Row],[P/E]]-VLOOKUP(Main_L[[#This Row],[Industry]], Mean_PE_L, 2, FALSE))/(VLOOKUP(Main_L[[#This Row],[Industry]], Mean_PE_L, 3, FALSE))</f>
        <v>-1.0109034230552902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129</v>
      </c>
      <c r="B55" t="s">
        <v>139</v>
      </c>
      <c r="C55" s="2">
        <v>20839</v>
      </c>
      <c r="D55">
        <f>RTD("tos.rtd", , "LAST", Main_L[[#This Row],[Symbol]])</f>
        <v>255.73</v>
      </c>
      <c r="E55">
        <v>13.75</v>
      </c>
      <c r="F55">
        <v>99.13</v>
      </c>
      <c r="G55">
        <v>8.67</v>
      </c>
      <c r="H55" s="1">
        <f>IF(ISNUMBER(Main_L[[#This Row],[Free CF]]),IF(Main_L[[#This Row],[Free CF]]&lt;&gt;0,Main_L[[#This Row],[Current Price]]/Main_L[[#This Row],[Free CF]],""),"")</f>
        <v>18.598545454545455</v>
      </c>
      <c r="I55" s="1">
        <f>IF(ISNUMBER(Main_L[[#This Row],[BVPS]]),IF(Main_L[[#This Row],[BVPS]]&lt;&gt;0,Main_L[[#This Row],[Current Price]]/Main_L[[#This Row],[BVPS]],""),"")</f>
        <v>2.5797437708060125</v>
      </c>
      <c r="J55">
        <v>8.98</v>
      </c>
      <c r="K55">
        <v>4.18</v>
      </c>
      <c r="L55">
        <v>2.12</v>
      </c>
      <c r="M55" s="1">
        <f>IF(ISNUMBER(Main_L[[#This Row],[EPS]]),IF(Main_L[[#This Row],[EPS]]&lt;&gt;0,Main_L[[#This Row],[Current Price]]/Main_L[[#This Row],[EPS]],""),"")</f>
        <v>29.495963091118799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0.83106365345294353</v>
      </c>
      <c r="P55" s="1">
        <f>(Main_L[[#This Row],[P/B]]-VLOOKUP(Main_L[[#This Row],[Industry]], Mean_PB_L, 2, FALSE))/(VLOOKUP(Main_L[[#This Row],[Industry]], Mean_PB_L, 3, FALSE))</f>
        <v>0.12534928536430578</v>
      </c>
      <c r="Q55" s="1">
        <f>(Main_L[[#This Row],[ROE]]-VLOOKUP(Main_L[[#This Row],[Industry]], Mean_ROE_L, 2, FALSE))/(VLOOKUP(Main_L[[#This Row],[Industry]], Mean_ROE_L, 3, FALSE))</f>
        <v>-0.85660480796663274</v>
      </c>
      <c r="R55" s="1">
        <f>(Main_L[[#This Row],[ROA]]-VLOOKUP(Main_L[[#This Row],[Industry]], Mean_ROA_L, 2, FALSE))/(VLOOKUP(Main_L[[#This Row],[Industry]], Mean_ROA_L, 3, FALSE))</f>
        <v>-0.6317658378571871</v>
      </c>
      <c r="S55" s="1">
        <f>(Main_L[[#This Row],[A/E]]-VLOOKUP(Main_L[[#This Row],[Industry]], Mean_AE_L, 2, FALSE))/(VLOOKUP(Main_L[[#This Row],[Industry]], Mean_AE_L, 3, FALSE))</f>
        <v>-1.0744537731820161</v>
      </c>
      <c r="T55" s="1">
        <f>(Main_L[[#This Row],[P/E]]-VLOOKUP(Main_L[[#This Row],[Industry]], Mean_PE_L, 2, FALSE))/(VLOOKUP(Main_L[[#This Row],[Industry]], Mean_PE_L, 3, FALSE))</f>
        <v>1.6516316930278869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129</v>
      </c>
      <c r="B56" t="s">
        <v>130</v>
      </c>
      <c r="C56" s="2">
        <v>36861</v>
      </c>
      <c r="D56">
        <f>RTD("tos.rtd", , "LAST", Main_L[[#This Row],[Symbol]])</f>
        <v>153.62</v>
      </c>
      <c r="E56">
        <v>10.07</v>
      </c>
      <c r="F56">
        <v>-12.33</v>
      </c>
      <c r="G56">
        <v>6.38</v>
      </c>
      <c r="H56" s="1">
        <f>IF(ISNUMBER(Main_L[[#This Row],[Free CF]]),IF(Main_L[[#This Row],[Free CF]]&lt;&gt;0,Main_L[[#This Row],[Current Price]]/Main_L[[#This Row],[Free CF]],""),"")</f>
        <v>15.255213505461768</v>
      </c>
      <c r="I56" s="1">
        <f>IF(ISNUMBER(Main_L[[#This Row],[BVPS]]),IF(Main_L[[#This Row],[BVPS]]&lt;&gt;0,Main_L[[#This Row],[Current Price]]/Main_L[[#This Row],[BVPS]],""),"")</f>
        <v>-12.459042984590431</v>
      </c>
      <c r="J56">
        <v>-60.43</v>
      </c>
      <c r="K56">
        <v>3.13</v>
      </c>
      <c r="L56">
        <v>-16.920000000000002</v>
      </c>
      <c r="M56" s="1">
        <f>IF(ISNUMBER(Main_L[[#This Row],[EPS]]),IF(Main_L[[#This Row],[EPS]]&lt;&gt;0,Main_L[[#This Row],[Current Price]]/Main_L[[#This Row],[EPS]],""),"")</f>
        <v>24.078369905956112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0.15186870985003267</v>
      </c>
      <c r="P56" s="1">
        <f>(Main_L[[#This Row],[P/B]]-VLOOKUP(Main_L[[#This Row],[Industry]], Mean_PB_L, 2, FALSE))/(VLOOKUP(Main_L[[#This Row],[Industry]], Mean_PB_L, 3, FALSE))</f>
        <v>-11.201579016459437</v>
      </c>
      <c r="Q56" s="1">
        <f>(Main_L[[#This Row],[ROE]]-VLOOKUP(Main_L[[#This Row],[Industry]], Mean_ROE_L, 2, FALSE))/(VLOOKUP(Main_L[[#This Row],[Industry]], Mean_ROE_L, 3, FALSE))</f>
        <v>-6.3163788870266879</v>
      </c>
      <c r="R56" s="1">
        <f>(Main_L[[#This Row],[ROA]]-VLOOKUP(Main_L[[#This Row],[Industry]], Mean_ROA_L, 2, FALSE))/(VLOOKUP(Main_L[[#This Row],[Industry]], Mean_ROA_L, 3, FALSE))</f>
        <v>-1.0378137909902694</v>
      </c>
      <c r="S56" s="1">
        <f>(Main_L[[#This Row],[A/E]]-VLOOKUP(Main_L[[#This Row],[Industry]], Mean_AE_L, 2, FALSE))/(VLOOKUP(Main_L[[#This Row],[Industry]], Mean_AE_L, 3, FALSE))</f>
        <v>-30.78940326346277</v>
      </c>
      <c r="T56" s="1">
        <f>(Main_L[[#This Row],[P/E]]-VLOOKUP(Main_L[[#This Row],[Industry]], Mean_PE_L, 2, FALSE))/(VLOOKUP(Main_L[[#This Row],[Industry]], Mean_PE_L, 3, FALSE))</f>
        <v>0.87119783557110719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129</v>
      </c>
      <c r="B57" t="s">
        <v>135</v>
      </c>
      <c r="C57" s="2">
        <v>19351</v>
      </c>
      <c r="D57">
        <f>RTD("tos.rtd", , "LAST", Main_L[[#This Row],[Symbol]])</f>
        <v>175.9</v>
      </c>
      <c r="E57">
        <v>9.51</v>
      </c>
      <c r="F57">
        <v>61.87</v>
      </c>
      <c r="G57">
        <v>7.91</v>
      </c>
      <c r="H57" s="1">
        <f>IF(ISNUMBER(Main_L[[#This Row],[Free CF]]),IF(Main_L[[#This Row],[Free CF]]&lt;&gt;0,Main_L[[#This Row],[Current Price]]/Main_L[[#This Row],[Free CF]],""),"")</f>
        <v>18.496319663512093</v>
      </c>
      <c r="I57" s="1">
        <f>IF(ISNUMBER(Main_L[[#This Row],[BVPS]]),IF(Main_L[[#This Row],[BVPS]]&lt;&gt;0,Main_L[[#This Row],[Current Price]]/Main_L[[#This Row],[BVPS]],""),"")</f>
        <v>2.8430580248909005</v>
      </c>
      <c r="J57">
        <v>13.95</v>
      </c>
      <c r="K57">
        <v>6.13</v>
      </c>
      <c r="L57">
        <v>2.2799999999999998</v>
      </c>
      <c r="M57" s="1">
        <f>IF(ISNUMBER(Main_L[[#This Row],[EPS]]),IF(Main_L[[#This Row],[EPS]]&lt;&gt;0,Main_L[[#This Row],[Current Price]]/Main_L[[#This Row],[EPS]],""),"")</f>
        <v>22.237673830594186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0.81029657395469135</v>
      </c>
      <c r="P57" s="1">
        <f>(Main_L[[#This Row],[P/B]]-VLOOKUP(Main_L[[#This Row],[Industry]], Mean_PB_L, 2, FALSE))/(VLOOKUP(Main_L[[#This Row],[Industry]], Mean_PB_L, 3, FALSE))</f>
        <v>0.32367257602453714</v>
      </c>
      <c r="Q57" s="1">
        <f>(Main_L[[#This Row],[ROE]]-VLOOKUP(Main_L[[#This Row],[Industry]], Mean_ROE_L, 2, FALSE))/(VLOOKUP(Main_L[[#This Row],[Industry]], Mean_ROE_L, 3, FALSE))</f>
        <v>-0.46566579092400973</v>
      </c>
      <c r="R57" s="1">
        <f>(Main_L[[#This Row],[ROA]]-VLOOKUP(Main_L[[#This Row],[Industry]], Mean_ROA_L, 2, FALSE))/(VLOOKUP(Main_L[[#This Row],[Industry]], Mean_ROA_L, 3, FALSE))</f>
        <v>0.12232321796139473</v>
      </c>
      <c r="S57" s="1">
        <f>(Main_L[[#This Row],[A/E]]-VLOOKUP(Main_L[[#This Row],[Industry]], Mean_AE_L, 2, FALSE))/(VLOOKUP(Main_L[[#This Row],[Industry]], Mean_AE_L, 3, FALSE))</f>
        <v>-0.82474831528049763</v>
      </c>
      <c r="T57" s="1">
        <f>(Main_L[[#This Row],[P/E]]-VLOOKUP(Main_L[[#This Row],[Industry]], Mean_PE_L, 2, FALSE))/(VLOOKUP(Main_L[[#This Row],[Industry]], Mean_PE_L, 3, FALSE))</f>
        <v>0.60603552282408157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129</v>
      </c>
      <c r="B58" t="s">
        <v>147</v>
      </c>
      <c r="C58" s="2">
        <v>16533</v>
      </c>
      <c r="D58">
        <f>RTD("tos.rtd", , "LAST", Main_L[[#This Row],[Symbol]])</f>
        <v>297</v>
      </c>
      <c r="E58">
        <v>9.2799999999999994</v>
      </c>
      <c r="F58">
        <v>79.81</v>
      </c>
      <c r="G58">
        <v>20.69</v>
      </c>
      <c r="H58" s="1">
        <f>IF(ISNUMBER(Main_L[[#This Row],[Free CF]]),IF(Main_L[[#This Row],[Free CF]]&lt;&gt;0,Main_L[[#This Row],[Current Price]]/Main_L[[#This Row],[Free CF]],""),"")</f>
        <v>32.004310344827587</v>
      </c>
      <c r="I58" s="1">
        <f>IF(ISNUMBER(Main_L[[#This Row],[BVPS]]),IF(Main_L[[#This Row],[BVPS]]&lt;&gt;0,Main_L[[#This Row],[Current Price]]/Main_L[[#This Row],[BVPS]],""),"")</f>
        <v>3.7213381781731614</v>
      </c>
      <c r="J58">
        <v>26.72</v>
      </c>
      <c r="K58">
        <v>6.73</v>
      </c>
      <c r="L58">
        <v>3.8</v>
      </c>
      <c r="M58" s="1">
        <f>IF(ISNUMBER(Main_L[[#This Row],[EPS]]),IF(Main_L[[#This Row],[EPS]]&lt;&gt;0,Main_L[[#This Row],[Current Price]]/Main_L[[#This Row],[EPS]],""),"")</f>
        <v>14.354760753987433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3.5544329949580584</v>
      </c>
      <c r="P58" s="1">
        <f>(Main_L[[#This Row],[P/B]]-VLOOKUP(Main_L[[#This Row],[Industry]], Mean_PB_L, 2, FALSE))/(VLOOKUP(Main_L[[#This Row],[Industry]], Mean_PB_L, 3, FALSE))</f>
        <v>0.98517649166275623</v>
      </c>
      <c r="Q58" s="1">
        <f>(Main_L[[#This Row],[ROE]]-VLOOKUP(Main_L[[#This Row],[Industry]], Mean_ROE_L, 2, FALSE))/(VLOOKUP(Main_L[[#This Row],[Industry]], Mean_ROE_L, 3, FALSE))</f>
        <v>0.53881936956578858</v>
      </c>
      <c r="R58" s="1">
        <f>(Main_L[[#This Row],[ROA]]-VLOOKUP(Main_L[[#This Row],[Industry]], Mean_ROA_L, 2, FALSE))/(VLOOKUP(Main_L[[#This Row],[Industry]], Mean_ROA_L, 3, FALSE))</f>
        <v>0.35435061975172777</v>
      </c>
      <c r="S58" s="1">
        <f>(Main_L[[#This Row],[A/E]]-VLOOKUP(Main_L[[#This Row],[Industry]], Mean_AE_L, 2, FALSE))/(VLOOKUP(Main_L[[#This Row],[Industry]], Mean_AE_L, 3, FALSE))</f>
        <v>1.547453534783932</v>
      </c>
      <c r="T58" s="1">
        <f>(Main_L[[#This Row],[P/E]]-VLOOKUP(Main_L[[#This Row],[Industry]], Mean_PE_L, 2, FALSE))/(VLOOKUP(Main_L[[#This Row],[Industry]], Mean_PE_L, 3, FALSE))</f>
        <v>-0.52954111611986954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129</v>
      </c>
      <c r="B59" t="s">
        <v>137</v>
      </c>
      <c r="C59" s="2">
        <v>16666</v>
      </c>
      <c r="D59">
        <f>RTD("tos.rtd", , "LAST", Main_L[[#This Row],[Symbol]])</f>
        <v>28.63</v>
      </c>
      <c r="E59">
        <v>6.28</v>
      </c>
      <c r="F59">
        <v>52.99</v>
      </c>
      <c r="G59">
        <v>2.2799999999999998</v>
      </c>
      <c r="H59" s="1">
        <f>IF(ISNUMBER(Main_L[[#This Row],[Free CF]]),IF(Main_L[[#This Row],[Free CF]]&lt;&gt;0,Main_L[[#This Row],[Current Price]]/Main_L[[#This Row],[Free CF]],""),"")</f>
        <v>4.5589171974522289</v>
      </c>
      <c r="I59" s="1">
        <f>IF(ISNUMBER(Main_L[[#This Row],[BVPS]]),IF(Main_L[[#This Row],[BVPS]]&lt;&gt;0,Main_L[[#This Row],[Current Price]]/Main_L[[#This Row],[BVPS]],""),"")</f>
        <v>0.54029062087186253</v>
      </c>
      <c r="J59">
        <v>5.3</v>
      </c>
      <c r="K59">
        <v>2.91</v>
      </c>
      <c r="L59">
        <v>2.2799999999999998</v>
      </c>
      <c r="M59" s="1">
        <f>IF(ISNUMBER(Main_L[[#This Row],[EPS]]),IF(Main_L[[#This Row],[EPS]]&lt;&gt;0,Main_L[[#This Row],[Current Price]]/Main_L[[#This Row],[EPS]],""),"")</f>
        <v>12.557017543859649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-2.0210744732729169</v>
      </c>
      <c r="P59" s="1">
        <f>(Main_L[[#This Row],[P/B]]-VLOOKUP(Main_L[[#This Row],[Industry]], Mean_PB_L, 2, FALSE))/(VLOOKUP(Main_L[[#This Row],[Industry]], Mean_PB_L, 3, FALSE))</f>
        <v>-1.410728057839151</v>
      </c>
      <c r="Q59" s="1">
        <f>(Main_L[[#This Row],[ROE]]-VLOOKUP(Main_L[[#This Row],[Industry]], Mean_ROE_L, 2, FALSE))/(VLOOKUP(Main_L[[#This Row],[Industry]], Mean_ROE_L, 3, FALSE))</f>
        <v>-1.1460727320545308</v>
      </c>
      <c r="R59" s="1">
        <f>(Main_L[[#This Row],[ROA]]-VLOOKUP(Main_L[[#This Row],[Industry]], Mean_ROA_L, 2, FALSE))/(VLOOKUP(Main_L[[#This Row],[Industry]], Mean_ROA_L, 3, FALSE))</f>
        <v>-1.1228905049800582</v>
      </c>
      <c r="S59" s="1">
        <f>(Main_L[[#This Row],[A/E]]-VLOOKUP(Main_L[[#This Row],[Industry]], Mean_AE_L, 2, FALSE))/(VLOOKUP(Main_L[[#This Row],[Industry]], Mean_AE_L, 3, FALSE))</f>
        <v>-0.82474831528049763</v>
      </c>
      <c r="T59" s="1">
        <f>(Main_L[[#This Row],[P/E]]-VLOOKUP(Main_L[[#This Row],[Industry]], Mean_PE_L, 2, FALSE))/(VLOOKUP(Main_L[[#This Row],[Industry]], Mean_PE_L, 3, FALSE))</f>
        <v>-0.78851583427317218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129</v>
      </c>
      <c r="B60" t="s">
        <v>134</v>
      </c>
      <c r="C60" s="2">
        <v>81012</v>
      </c>
      <c r="D60">
        <f>RTD("tos.rtd", , "LAST", Main_L[[#This Row],[Symbol]])</f>
        <v>63.86</v>
      </c>
      <c r="E60">
        <v>4.72</v>
      </c>
      <c r="F60">
        <v>60.96</v>
      </c>
      <c r="G60">
        <v>4.1900000000000004</v>
      </c>
      <c r="H60" s="1">
        <f>IF(ISNUMBER(Main_L[[#This Row],[Free CF]]),IF(Main_L[[#This Row],[Free CF]]&lt;&gt;0,Main_L[[#This Row],[Current Price]]/Main_L[[#This Row],[Free CF]],""),"")</f>
        <v>13.529661016949154</v>
      </c>
      <c r="I60" s="1">
        <f>IF(ISNUMBER(Main_L[[#This Row],[BVPS]]),IF(Main_L[[#This Row],[BVPS]]&lt;&gt;0,Main_L[[#This Row],[Current Price]]/Main_L[[#This Row],[BVPS]],""),"")</f>
        <v>1.0475721784776904</v>
      </c>
      <c r="J60">
        <v>6.93</v>
      </c>
      <c r="K60">
        <v>2.31</v>
      </c>
      <c r="L60">
        <v>3.32</v>
      </c>
      <c r="M60" s="1">
        <f>IF(ISNUMBER(Main_L[[#This Row],[EPS]]),IF(Main_L[[#This Row],[EPS]]&lt;&gt;0,Main_L[[#This Row],[Current Price]]/Main_L[[#This Row],[EPS]],""),"")</f>
        <v>15.24105011933174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-0.19867575984894401</v>
      </c>
      <c r="P60" s="1">
        <f>(Main_L[[#This Row],[P/B]]-VLOOKUP(Main_L[[#This Row],[Industry]], Mean_PB_L, 2, FALSE))/(VLOOKUP(Main_L[[#This Row],[Industry]], Mean_PB_L, 3, FALSE))</f>
        <v>-1.0286532319043504</v>
      </c>
      <c r="Q60" s="1">
        <f>(Main_L[[#This Row],[ROE]]-VLOOKUP(Main_L[[#This Row],[Industry]], Mean_ROE_L, 2, FALSE))/(VLOOKUP(Main_L[[#This Row],[Industry]], Mean_ROE_L, 3, FALSE))</f>
        <v>-1.0178573200264673</v>
      </c>
      <c r="R60" s="1">
        <f>(Main_L[[#This Row],[ROA]]-VLOOKUP(Main_L[[#This Row],[Industry]], Mean_ROA_L, 2, FALSE))/(VLOOKUP(Main_L[[#This Row],[Industry]], Mean_ROA_L, 3, FALSE))</f>
        <v>-1.3549179067703909</v>
      </c>
      <c r="S60" s="1">
        <f>(Main_L[[#This Row],[A/E]]-VLOOKUP(Main_L[[#This Row],[Industry]], Mean_AE_L, 2, FALSE))/(VLOOKUP(Main_L[[#This Row],[Industry]], Mean_AE_L, 3, FALSE))</f>
        <v>0.79833716107937525</v>
      </c>
      <c r="T60" s="1">
        <f>(Main_L[[#This Row],[P/E]]-VLOOKUP(Main_L[[#This Row],[Industry]], Mean_PE_L, 2, FALSE))/(VLOOKUP(Main_L[[#This Row],[Industry]], Mean_PE_L, 3, FALSE))</f>
        <v>-0.40186629732525603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129</v>
      </c>
      <c r="B61" t="s">
        <v>140</v>
      </c>
      <c r="C61" s="2">
        <v>12186</v>
      </c>
      <c r="D61">
        <f>RTD("tos.rtd", , "LAST", Main_L[[#This Row],[Symbol]])</f>
        <v>120.3</v>
      </c>
      <c r="E61">
        <v>3.86</v>
      </c>
      <c r="F61">
        <v>21.4</v>
      </c>
      <c r="G61">
        <v>4.8600000000000003</v>
      </c>
      <c r="H61" s="1">
        <f>IF(ISNUMBER(Main_L[[#This Row],[Free CF]]),IF(Main_L[[#This Row],[Free CF]]&lt;&gt;0,Main_L[[#This Row],[Current Price]]/Main_L[[#This Row],[Free CF]],""),"")</f>
        <v>31.165803108808291</v>
      </c>
      <c r="I61" s="1">
        <f>IF(ISNUMBER(Main_L[[#This Row],[BVPS]]),IF(Main_L[[#This Row],[BVPS]]&lt;&gt;0,Main_L[[#This Row],[Current Price]]/Main_L[[#This Row],[BVPS]],""),"")</f>
        <v>5.6214953271028039</v>
      </c>
      <c r="J61">
        <v>24.58</v>
      </c>
      <c r="K61">
        <v>8.9700000000000006</v>
      </c>
      <c r="L61">
        <v>3.08</v>
      </c>
      <c r="M61" s="1">
        <f>IF(ISNUMBER(Main_L[[#This Row],[EPS]]),IF(Main_L[[#This Row],[EPS]]&lt;&gt;0,Main_L[[#This Row],[Current Price]]/Main_L[[#This Row],[EPS]],""),"")</f>
        <v>24.753086419753085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3.3840909877772143</v>
      </c>
      <c r="P61" s="1">
        <f>(Main_L[[#This Row],[P/B]]-VLOOKUP(Main_L[[#This Row],[Industry]], Mean_PB_L, 2, FALSE))/(VLOOKUP(Main_L[[#This Row],[Industry]], Mean_PB_L, 3, FALSE))</f>
        <v>2.4163387348803278</v>
      </c>
      <c r="Q61" s="1">
        <f>(Main_L[[#This Row],[ROE]]-VLOOKUP(Main_L[[#This Row],[Industry]], Mean_ROE_L, 2, FALSE))/(VLOOKUP(Main_L[[#This Row],[Industry]], Mean_ROE_L, 3, FALSE))</f>
        <v>0.37048747892771738</v>
      </c>
      <c r="R61" s="1">
        <f>(Main_L[[#This Row],[ROA]]-VLOOKUP(Main_L[[#This Row],[Industry]], Mean_ROA_L, 2, FALSE))/(VLOOKUP(Main_L[[#This Row],[Industry]], Mean_ROA_L, 3, FALSE))</f>
        <v>1.2205862531023037</v>
      </c>
      <c r="S61" s="1">
        <f>(Main_L[[#This Row],[A/E]]-VLOOKUP(Main_L[[#This Row],[Industry]], Mean_AE_L, 2, FALSE))/(VLOOKUP(Main_L[[#This Row],[Industry]], Mean_AE_L, 3, FALSE))</f>
        <v>0.42377897422709732</v>
      </c>
      <c r="T61" s="1">
        <f>(Main_L[[#This Row],[P/E]]-VLOOKUP(Main_L[[#This Row],[Industry]], Mean_PE_L, 2, FALSE))/(VLOOKUP(Main_L[[#This Row],[Industry]], Mean_PE_L, 3, FALSE))</f>
        <v>0.96839443072972831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129</v>
      </c>
      <c r="B62" t="s">
        <v>144</v>
      </c>
      <c r="C62" s="2">
        <v>28085</v>
      </c>
      <c r="D62">
        <f>RTD("tos.rtd", , "LAST", Main_L[[#This Row],[Symbol]])</f>
        <v>55.76</v>
      </c>
      <c r="E62">
        <v>2.91</v>
      </c>
      <c r="F62">
        <v>56.11</v>
      </c>
      <c r="G62">
        <v>6.72</v>
      </c>
      <c r="H62" s="1">
        <f>IF(ISNUMBER(Main_L[[#This Row],[Free CF]]),IF(Main_L[[#This Row],[Free CF]]&lt;&gt;0,Main_L[[#This Row],[Current Price]]/Main_L[[#This Row],[Free CF]],""),"")</f>
        <v>19.161512027491408</v>
      </c>
      <c r="I62" s="1">
        <f>IF(ISNUMBER(Main_L[[#This Row],[BVPS]]),IF(Main_L[[#This Row],[BVPS]]&lt;&gt;0,Main_L[[#This Row],[Current Price]]/Main_L[[#This Row],[BVPS]],""),"")</f>
        <v>0.99376225271787555</v>
      </c>
      <c r="J62">
        <v>12.53</v>
      </c>
      <c r="K62">
        <v>3.86</v>
      </c>
      <c r="L62">
        <v>3.12</v>
      </c>
      <c r="M62" s="1">
        <f>IF(ISNUMBER(Main_L[[#This Row],[EPS]]),IF(Main_L[[#This Row],[EPS]]&lt;&gt;0,Main_L[[#This Row],[Current Price]]/Main_L[[#This Row],[EPS]],""),"")</f>
        <v>8.2976190476190474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0.94542981738325438</v>
      </c>
      <c r="P62" s="1">
        <f>(Main_L[[#This Row],[P/B]]-VLOOKUP(Main_L[[#This Row],[Industry]], Mean_PB_L, 2, FALSE))/(VLOOKUP(Main_L[[#This Row],[Industry]], Mean_PB_L, 3, FALSE))</f>
        <v>-1.0691818450778279</v>
      </c>
      <c r="Q62" s="1">
        <f>(Main_L[[#This Row],[ROE]]-VLOOKUP(Main_L[[#This Row],[Industry]], Mean_ROE_L, 2, FALSE))/(VLOOKUP(Main_L[[#This Row],[Industry]], Mean_ROE_L, 3, FALSE))</f>
        <v>-0.57736265293618771</v>
      </c>
      <c r="R62" s="1">
        <f>(Main_L[[#This Row],[ROA]]-VLOOKUP(Main_L[[#This Row],[Industry]], Mean_ROA_L, 2, FALSE))/(VLOOKUP(Main_L[[#This Row],[Industry]], Mean_ROA_L, 3, FALSE))</f>
        <v>-0.75551378547869785</v>
      </c>
      <c r="S62" s="1">
        <f>(Main_L[[#This Row],[A/E]]-VLOOKUP(Main_L[[#This Row],[Industry]], Mean_AE_L, 2, FALSE))/(VLOOKUP(Main_L[[#This Row],[Industry]], Mean_AE_L, 3, FALSE))</f>
        <v>0.48620533870247706</v>
      </c>
      <c r="T62" s="1">
        <f>(Main_L[[#This Row],[P/E]]-VLOOKUP(Main_L[[#This Row],[Industry]], Mean_PE_L, 2, FALSE))/(VLOOKUP(Main_L[[#This Row],[Industry]], Mean_PE_L, 3, FALSE))</f>
        <v>-1.4021054275210889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t="s">
        <v>129</v>
      </c>
      <c r="B63" t="s">
        <v>138</v>
      </c>
      <c r="C63" s="2">
        <v>12660</v>
      </c>
      <c r="D63">
        <f>RTD("tos.rtd", , "LAST", Main_L[[#This Row],[Symbol]])</f>
        <v>56.86</v>
      </c>
      <c r="E63">
        <v>1.08</v>
      </c>
      <c r="F63">
        <v>2.46</v>
      </c>
      <c r="G63">
        <v>0.68</v>
      </c>
      <c r="H63" s="1">
        <f>IF(ISNUMBER(Main_L[[#This Row],[Free CF]]),IF(Main_L[[#This Row],[Free CF]]&lt;&gt;0,Main_L[[#This Row],[Current Price]]/Main_L[[#This Row],[Free CF]],""),"")</f>
        <v>52.648148148148145</v>
      </c>
      <c r="I63" s="1">
        <f>IF(ISNUMBER(Main_L[[#This Row],[BVPS]]),IF(Main_L[[#This Row],[BVPS]]&lt;&gt;0,Main_L[[#This Row],[Current Price]]/Main_L[[#This Row],[BVPS]],""),"")</f>
        <v>23.113821138211382</v>
      </c>
      <c r="J63">
        <v>36.79</v>
      </c>
      <c r="K63">
        <v>10.76</v>
      </c>
      <c r="L63">
        <v>1.62</v>
      </c>
      <c r="M63" s="1">
        <f>IF(ISNUMBER(Main_L[[#This Row],[EPS]]),IF(Main_L[[#This Row],[EPS]]&lt;&gt;0,Main_L[[#This Row],[Current Price]]/Main_L[[#This Row],[EPS]],""),"")</f>
        <v>83.617647058823522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7.7482104798460778</v>
      </c>
      <c r="P63" s="1">
        <f>(Main_L[[#This Row],[P/B]]-VLOOKUP(Main_L[[#This Row],[Industry]], Mean_PB_L, 2, FALSE))/(VLOOKUP(Main_L[[#This Row],[Industry]], Mean_PB_L, 3, FALSE))</f>
        <v>15.591226012503983</v>
      </c>
      <c r="Q63" s="1">
        <f>(Main_L[[#This Row],[ROE]]-VLOOKUP(Main_L[[#This Row],[Industry]], Mean_ROE_L, 2, FALSE))/(VLOOKUP(Main_L[[#This Row],[Industry]], Mean_ROE_L, 3, FALSE))</f>
        <v>1.3309231727084878</v>
      </c>
      <c r="R63" s="1">
        <f>(Main_L[[#This Row],[ROA]]-VLOOKUP(Main_L[[#This Row],[Industry]], Mean_ROA_L, 2, FALSE))/(VLOOKUP(Main_L[[#This Row],[Industry]], Mean_ROA_L, 3, FALSE))</f>
        <v>1.9128013351101298</v>
      </c>
      <c r="S63" s="1">
        <f>(Main_L[[#This Row],[A/E]]-VLOOKUP(Main_L[[#This Row],[Industry]], Mean_AE_L, 2, FALSE))/(VLOOKUP(Main_L[[#This Row],[Industry]], Mean_AE_L, 3, FALSE))</f>
        <v>-1.8547833291242628</v>
      </c>
      <c r="T63" s="1">
        <f>(Main_L[[#This Row],[P/E]]-VLOOKUP(Main_L[[#This Row],[Industry]], Mean_PE_L, 2, FALSE))/(VLOOKUP(Main_L[[#This Row],[Industry]], Mean_PE_L, 3, FALSE))</f>
        <v>9.4481555639327777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4" spans="1:26" x14ac:dyDescent="0.25">
      <c r="A64" t="s">
        <v>149</v>
      </c>
      <c r="B64" t="s">
        <v>151</v>
      </c>
      <c r="C64" s="2">
        <v>45578</v>
      </c>
      <c r="D64">
        <f>RTD("tos.rtd", , "LAST", Main_L[[#This Row],[Symbol]])</f>
        <v>283.33</v>
      </c>
      <c r="E64">
        <v>7.31</v>
      </c>
      <c r="F64">
        <v>38.159999999999997</v>
      </c>
      <c r="G64">
        <v>4.71</v>
      </c>
      <c r="H64" s="1">
        <f>IF(ISNUMBER(Main_L[[#This Row],[Free CF]]),IF(Main_L[[#This Row],[Free CF]]&lt;&gt;0,Main_L[[#This Row],[Current Price]]/Main_L[[#This Row],[Free CF]],""),"")</f>
        <v>38.759233926128594</v>
      </c>
      <c r="I64" s="1">
        <f>IF(ISNUMBER(Main_L[[#This Row],[BVPS]]),IF(Main_L[[#This Row],[BVPS]]&lt;&gt;0,Main_L[[#This Row],[Current Price]]/Main_L[[#This Row],[BVPS]],""),"")</f>
        <v>7.42479035639413</v>
      </c>
      <c r="J64">
        <v>14.06</v>
      </c>
      <c r="K64">
        <v>6.9</v>
      </c>
      <c r="L64">
        <v>1.25</v>
      </c>
      <c r="M64" s="1">
        <f>IF(ISNUMBER(Main_L[[#This Row],[EPS]]),IF(Main_L[[#This Row],[EPS]]&lt;&gt;0,Main_L[[#This Row],[Current Price]]/Main_L[[#This Row],[EPS]],""),"")</f>
        <v>60.154989384288747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 t="e">
        <f>(Main_L[[#This Row],[P/FCF]]-VLOOKUP(Main_L[[#This Row],[Industry]], Mean_PFCF_L, 2, FALSE))/(VLOOKUP(Main_L[[#This Row],[Industry]], Mean_PFCF_L, 3, FALSE))</f>
        <v>#DIV/0!</v>
      </c>
      <c r="P64" s="1" t="e">
        <f>(Main_L[[#This Row],[P/B]]-VLOOKUP(Main_L[[#This Row],[Industry]], Mean_PB_L, 2, FALSE))/(VLOOKUP(Main_L[[#This Row],[Industry]], Mean_PB_L, 3, FALSE))</f>
        <v>#DIV/0!</v>
      </c>
      <c r="Q64" s="1" t="e">
        <f>(Main_L[[#This Row],[ROE]]-VLOOKUP(Main_L[[#This Row],[Industry]], Mean_ROE_L, 2, FALSE))/(VLOOKUP(Main_L[[#This Row],[Industry]], Mean_ROE_L, 3, FALSE))</f>
        <v>#DIV/0!</v>
      </c>
      <c r="R64" s="1" t="e">
        <f>(Main_L[[#This Row],[ROA]]-VLOOKUP(Main_L[[#This Row],[Industry]], Mean_ROA_L, 2, FALSE))/(VLOOKUP(Main_L[[#This Row],[Industry]], Mean_ROA_L, 3, FALSE))</f>
        <v>#DIV/0!</v>
      </c>
      <c r="S64" s="1" t="e">
        <f>(Main_L[[#This Row],[A/E]]-VLOOKUP(Main_L[[#This Row],[Industry]], Mean_AE_L, 2, FALSE))/(VLOOKUP(Main_L[[#This Row],[Industry]], Mean_AE_L, 3, FALSE))</f>
        <v>#DIV/0!</v>
      </c>
      <c r="T64" s="1" t="e">
        <f>(Main_L[[#This Row],[P/E]]-VLOOKUP(Main_L[[#This Row],[Industry]], Mean_PE_L, 2, FALSE))/(VLOOKUP(Main_L[[#This Row],[Industry]], Mean_PE_L, 3, FALSE))</f>
        <v>#DIV/0!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190</v>
      </c>
      <c r="B65" t="s">
        <v>196</v>
      </c>
      <c r="C65" s="2">
        <v>24015</v>
      </c>
      <c r="D65">
        <f>RTD("tos.rtd", , "LAST", Main_L[[#This Row],[Symbol]])</f>
        <v>1195.3900000000001</v>
      </c>
      <c r="E65">
        <v>41.23</v>
      </c>
      <c r="F65">
        <v>-8.76</v>
      </c>
      <c r="G65">
        <v>40.11</v>
      </c>
      <c r="H65" s="1">
        <f>IF(ISNUMBER(Main_L[[#This Row],[Free CF]]),IF(Main_L[[#This Row],[Free CF]]&lt;&gt;0,Main_L[[#This Row],[Current Price]]/Main_L[[#This Row],[Free CF]],""),"")</f>
        <v>28.993208828522924</v>
      </c>
      <c r="I65" s="1">
        <f>IF(ISNUMBER(Main_L[[#This Row],[BVPS]]),IF(Main_L[[#This Row],[BVPS]]&lt;&gt;0,Main_L[[#This Row],[Current Price]]/Main_L[[#This Row],[BVPS]],""),"")</f>
        <v>-136.46004566210047</v>
      </c>
      <c r="J65">
        <v>-498.52</v>
      </c>
      <c r="K65">
        <v>21.22</v>
      </c>
      <c r="L65">
        <v>-17.78</v>
      </c>
      <c r="M65" s="1">
        <f>IF(ISNUMBER(Main_L[[#This Row],[EPS]]),IF(Main_L[[#This Row],[EPS]]&lt;&gt;0,Main_L[[#This Row],[Current Price]]/Main_L[[#This Row],[EPS]],""),"")</f>
        <v>29.802792321116932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0.83458621320111015</v>
      </c>
      <c r="P65" s="1">
        <f>(Main_L[[#This Row],[P/B]]-VLOOKUP(Main_L[[#This Row],[Industry]], Mean_PB_L, 2, FALSE))/(VLOOKUP(Main_L[[#This Row],[Industry]], Mean_PB_L, 3, FALSE))</f>
        <v>-51.907100174381512</v>
      </c>
      <c r="Q65" s="1">
        <f>(Main_L[[#This Row],[ROE]]-VLOOKUP(Main_L[[#This Row],[Industry]], Mean_ROE_L, 2, FALSE))/(VLOOKUP(Main_L[[#This Row],[Industry]], Mean_ROE_L, 3, FALSE))</f>
        <v>-82.079607984041687</v>
      </c>
      <c r="R65" s="1">
        <f>(Main_L[[#This Row],[ROA]]-VLOOKUP(Main_L[[#This Row],[Industry]], Mean_ROA_L, 2, FALSE))/(VLOOKUP(Main_L[[#This Row],[Industry]], Mean_ROA_L, 3, FALSE))</f>
        <v>5.0747019480515201</v>
      </c>
      <c r="S65" s="1">
        <f>(Main_L[[#This Row],[A/E]]-VLOOKUP(Main_L[[#This Row],[Industry]], Mean_AE_L, 2, FALSE))/(VLOOKUP(Main_L[[#This Row],[Industry]], Mean_AE_L, 3, FALSE))</f>
        <v>-50.155023081940413</v>
      </c>
      <c r="T65" s="1">
        <f>(Main_L[[#This Row],[P/E]]-VLOOKUP(Main_L[[#This Row],[Industry]], Mean_PE_L, 2, FALSE))/(VLOOKUP(Main_L[[#This Row],[Industry]], Mean_PE_L, 3, FALSE))</f>
        <v>8.8952772484868131E-2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190</v>
      </c>
      <c r="B66" t="s">
        <v>199</v>
      </c>
      <c r="C66" s="2">
        <v>152062</v>
      </c>
      <c r="D66">
        <f>RTD("tos.rtd", , "LAST", Main_L[[#This Row],[Symbol]])</f>
        <v>408.53</v>
      </c>
      <c r="E66">
        <v>17.649999999999999</v>
      </c>
      <c r="F66">
        <v>130.84</v>
      </c>
      <c r="G66">
        <v>17.059999999999999</v>
      </c>
      <c r="H66" s="1">
        <f>IF(ISNUMBER(Main_L[[#This Row],[Free CF]]),IF(Main_L[[#This Row],[Free CF]]&lt;&gt;0,Main_L[[#This Row],[Current Price]]/Main_L[[#This Row],[Free CF]],""),"")</f>
        <v>23.146175637393767</v>
      </c>
      <c r="I66" s="1">
        <f>IF(ISNUMBER(Main_L[[#This Row],[BVPS]]),IF(Main_L[[#This Row],[BVPS]]&lt;&gt;0,Main_L[[#This Row],[Current Price]]/Main_L[[#This Row],[BVPS]],""),"")</f>
        <v>3.1223631916844998</v>
      </c>
      <c r="J66">
        <v>13.7</v>
      </c>
      <c r="K66">
        <v>5</v>
      </c>
      <c r="L66">
        <v>2.0099999999999998</v>
      </c>
      <c r="M66" s="1">
        <f>IF(ISNUMBER(Main_L[[#This Row],[EPS]]),IF(Main_L[[#This Row],[EPS]]&lt;&gt;0,Main_L[[#This Row],[Current Price]]/Main_L[[#This Row],[EPS]],""),"")</f>
        <v>23.946658851113718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6.5450182362472437E-2</v>
      </c>
      <c r="P66" s="1">
        <f>(Main_L[[#This Row],[P/B]]-VLOOKUP(Main_L[[#This Row],[Industry]], Mean_PB_L, 2, FALSE))/(VLOOKUP(Main_L[[#This Row],[Industry]], Mean_PB_L, 3, FALSE))</f>
        <v>-0.51522802582863492</v>
      </c>
      <c r="Q66" s="1">
        <f>(Main_L[[#This Row],[ROE]]-VLOOKUP(Main_L[[#This Row],[Industry]], Mean_ROE_L, 2, FALSE))/(VLOOKUP(Main_L[[#This Row],[Industry]], Mean_ROE_L, 3, FALSE))</f>
        <v>0.11944003977199237</v>
      </c>
      <c r="R66" s="1">
        <f>(Main_L[[#This Row],[ROA]]-VLOOKUP(Main_L[[#This Row],[Industry]], Mean_ROA_L, 2, FALSE))/(VLOOKUP(Main_L[[#This Row],[Industry]], Mean_ROA_L, 3, FALSE))</f>
        <v>-0.39531939416631107</v>
      </c>
      <c r="S66" s="1">
        <f>(Main_L[[#This Row],[A/E]]-VLOOKUP(Main_L[[#This Row],[Industry]], Mean_AE_L, 2, FALSE))/(VLOOKUP(Main_L[[#This Row],[Industry]], Mean_AE_L, 3, FALSE))</f>
        <v>0.27072946986504948</v>
      </c>
      <c r="T66" s="1">
        <f>(Main_L[[#This Row],[P/E]]-VLOOKUP(Main_L[[#This Row],[Industry]], Mean_PE_L, 2, FALSE))/(VLOOKUP(Main_L[[#This Row],[Industry]], Mean_PE_L, 3, FALSE))</f>
        <v>-0.69473710931952148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190</v>
      </c>
      <c r="B67" t="s">
        <v>193</v>
      </c>
      <c r="C67" s="2">
        <v>10353</v>
      </c>
      <c r="D67">
        <f>RTD("tos.rtd", , "LAST", Main_L[[#This Row],[Symbol]])</f>
        <v>139.71</v>
      </c>
      <c r="E67">
        <v>12.91</v>
      </c>
      <c r="F67">
        <v>119.56</v>
      </c>
      <c r="G67">
        <v>9.19</v>
      </c>
      <c r="H67" s="1">
        <f>IF(ISNUMBER(Main_L[[#This Row],[Free CF]]),IF(Main_L[[#This Row],[Free CF]]&lt;&gt;0,Main_L[[#This Row],[Current Price]]/Main_L[[#This Row],[Free CF]],""),"")</f>
        <v>10.821843532145625</v>
      </c>
      <c r="I67" s="1">
        <f>IF(ISNUMBER(Main_L[[#This Row],[BVPS]]),IF(Main_L[[#This Row],[BVPS]]&lt;&gt;0,Main_L[[#This Row],[Current Price]]/Main_L[[#This Row],[BVPS]],""),"")</f>
        <v>1.1685346269655403</v>
      </c>
      <c r="J67">
        <v>8.01</v>
      </c>
      <c r="K67">
        <v>4.41</v>
      </c>
      <c r="L67">
        <v>1.76</v>
      </c>
      <c r="M67" s="1">
        <f>IF(ISNUMBER(Main_L[[#This Row],[EPS]]),IF(Main_L[[#This Row],[EPS]]&lt;&gt;0,Main_L[[#This Row],[Current Price]]/Main_L[[#This Row],[EPS]],""),"")</f>
        <v>15.202393906420024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-1.5557288956952637</v>
      </c>
      <c r="P67" s="1">
        <f>(Main_L[[#This Row],[P/B]]-VLOOKUP(Main_L[[#This Row],[Industry]], Mean_PB_L, 2, FALSE))/(VLOOKUP(Main_L[[#This Row],[Industry]], Mean_PB_L, 3, FALSE))</f>
        <v>-1.2345945178011981</v>
      </c>
      <c r="Q67" s="1">
        <f>(Main_L[[#This Row],[ROE]]-VLOOKUP(Main_L[[#This Row],[Industry]], Mean_ROE_L, 2, FALSE))/(VLOOKUP(Main_L[[#This Row],[Industry]], Mean_ROE_L, 3, FALSE))</f>
        <v>-0.7936687479666743</v>
      </c>
      <c r="R67" s="1">
        <f>(Main_L[[#This Row],[ROA]]-VLOOKUP(Main_L[[#This Row],[Industry]], Mean_ROA_L, 2, FALSE))/(VLOOKUP(Main_L[[#This Row],[Industry]], Mean_ROA_L, 3, FALSE))</f>
        <v>-0.59429057739125057</v>
      </c>
      <c r="S67" s="1">
        <f>(Main_L[[#This Row],[A/E]]-VLOOKUP(Main_L[[#This Row],[Industry]], Mean_AE_L, 2, FALSE))/(VLOOKUP(Main_L[[#This Row],[Industry]], Mean_AE_L, 3, FALSE))</f>
        <v>-0.36628104746447837</v>
      </c>
      <c r="T67" s="1">
        <f>(Main_L[[#This Row],[P/E]]-VLOOKUP(Main_L[[#This Row],[Industry]], Mean_PE_L, 2, FALSE))/(VLOOKUP(Main_L[[#This Row],[Industry]], Mean_PE_L, 3, FALSE))</f>
        <v>-1.8649276447769563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190</v>
      </c>
      <c r="B68" t="s">
        <v>195</v>
      </c>
      <c r="C68" s="2">
        <v>24277</v>
      </c>
      <c r="D68">
        <f>RTD("tos.rtd", , "LAST", Main_L[[#This Row],[Symbol]])</f>
        <v>154.15</v>
      </c>
      <c r="E68">
        <v>12.03</v>
      </c>
      <c r="F68">
        <v>34.33</v>
      </c>
      <c r="G68">
        <v>7.35</v>
      </c>
      <c r="H68" s="1">
        <f>IF(ISNUMBER(Main_L[[#This Row],[Free CF]]),IF(Main_L[[#This Row],[Free CF]]&lt;&gt;0,Main_L[[#This Row],[Current Price]]/Main_L[[#This Row],[Free CF]],""),"")</f>
        <v>12.813798836242727</v>
      </c>
      <c r="I68" s="1">
        <f>IF(ISNUMBER(Main_L[[#This Row],[BVPS]]),IF(Main_L[[#This Row],[BVPS]]&lt;&gt;0,Main_L[[#This Row],[Current Price]]/Main_L[[#This Row],[BVPS]],""),"")</f>
        <v>4.4902417710457332</v>
      </c>
      <c r="J68">
        <v>21.64</v>
      </c>
      <c r="K68">
        <v>5.29</v>
      </c>
      <c r="L68">
        <v>4.57</v>
      </c>
      <c r="M68" s="1">
        <f>IF(ISNUMBER(Main_L[[#This Row],[EPS]]),IF(Main_L[[#This Row],[EPS]]&lt;&gt;0,Main_L[[#This Row],[Current Price]]/Main_L[[#This Row],[EPS]],""),"")</f>
        <v>20.972789115646261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-1.2937012064176274</v>
      </c>
      <c r="P68" s="1">
        <f>(Main_L[[#This Row],[P/B]]-VLOOKUP(Main_L[[#This Row],[Industry]], Mean_PB_L, 2, FALSE))/(VLOOKUP(Main_L[[#This Row],[Industry]], Mean_PB_L, 3, FALSE))</f>
        <v>-1.1598366170626989E-2</v>
      </c>
      <c r="Q68" s="1">
        <f>(Main_L[[#This Row],[ROE]]-VLOOKUP(Main_L[[#This Row],[Industry]], Mean_ROE_L, 2, FALSE))/(VLOOKUP(Main_L[[#This Row],[Industry]], Mean_ROE_L, 3, FALSE))</f>
        <v>1.3936199650171619</v>
      </c>
      <c r="R68" s="1">
        <f>(Main_L[[#This Row],[ROA]]-VLOOKUP(Main_L[[#This Row],[Industry]], Mean_ROA_L, 2, FALSE))/(VLOOKUP(Main_L[[#This Row],[Industry]], Mean_ROA_L, 3, FALSE))</f>
        <v>-0.29751999902184922</v>
      </c>
      <c r="S68" s="1">
        <f>(Main_L[[#This Row],[A/E]]-VLOOKUP(Main_L[[#This Row],[Industry]], Mean_AE_L, 2, FALSE))/(VLOOKUP(Main_L[[#This Row],[Industry]], Mean_AE_L, 3, FALSE))</f>
        <v>6.7937171673194223</v>
      </c>
      <c r="T68" s="1">
        <f>(Main_L[[#This Row],[P/E]]-VLOOKUP(Main_L[[#This Row],[Industry]], Mean_PE_L, 2, FALSE))/(VLOOKUP(Main_L[[#This Row],[Industry]], Mean_PE_L, 3, FALSE))</f>
        <v>-1.0927115806030223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190</v>
      </c>
      <c r="B69" t="s">
        <v>200</v>
      </c>
      <c r="C69" s="2">
        <v>20783</v>
      </c>
      <c r="D69">
        <f>RTD("tos.rtd", , "LAST", Main_L[[#This Row],[Symbol]])</f>
        <v>348.33</v>
      </c>
      <c r="E69">
        <v>10.43</v>
      </c>
      <c r="F69">
        <v>32.979999999999997</v>
      </c>
      <c r="G69">
        <v>11.02</v>
      </c>
      <c r="H69" s="1">
        <f>IF(ISNUMBER(Main_L[[#This Row],[Free CF]]),IF(Main_L[[#This Row],[Free CF]]&lt;&gt;0,Main_L[[#This Row],[Current Price]]/Main_L[[#This Row],[Free CF]],""),"")</f>
        <v>33.396931927133267</v>
      </c>
      <c r="I69" s="1">
        <f>IF(ISNUMBER(Main_L[[#This Row],[BVPS]]),IF(Main_L[[#This Row],[BVPS]]&lt;&gt;0,Main_L[[#This Row],[Current Price]]/Main_L[[#This Row],[BVPS]],""),"")</f>
        <v>10.561855670103093</v>
      </c>
      <c r="J69">
        <v>40.82</v>
      </c>
      <c r="K69">
        <v>11.61</v>
      </c>
      <c r="L69">
        <v>2.34</v>
      </c>
      <c r="M69" s="1">
        <f>IF(ISNUMBER(Main_L[[#This Row],[EPS]]),IF(Main_L[[#This Row],[EPS]]&lt;&gt;0,Main_L[[#This Row],[Current Price]]/Main_L[[#This Row],[EPS]],""),"")</f>
        <v>31.608892921960074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1.4138649677866455</v>
      </c>
      <c r="P69" s="1">
        <f>(Main_L[[#This Row],[P/B]]-VLOOKUP(Main_L[[#This Row],[Industry]], Mean_PB_L, 2, FALSE))/(VLOOKUP(Main_L[[#This Row],[Industry]], Mean_PB_L, 3, FALSE))</f>
        <v>2.22386674578765</v>
      </c>
      <c r="Q69" s="1">
        <f>(Main_L[[#This Row],[ROE]]-VLOOKUP(Main_L[[#This Row],[Industry]], Mean_ROE_L, 2, FALSE))/(VLOOKUP(Main_L[[#This Row],[Industry]], Mean_ROE_L, 3, FALSE))</f>
        <v>4.4715508171837044</v>
      </c>
      <c r="R69" s="1">
        <f>(Main_L[[#This Row],[ROA]]-VLOOKUP(Main_L[[#This Row],[Industry]], Mean_ROA_L, 2, FALSE))/(VLOOKUP(Main_L[[#This Row],[Industry]], Mean_ROA_L, 3, FALSE))</f>
        <v>1.8338323365402156</v>
      </c>
      <c r="S69" s="1">
        <f>(Main_L[[#This Row],[A/E]]-VLOOKUP(Main_L[[#This Row],[Industry]], Mean_AE_L, 2, FALSE))/(VLOOKUP(Main_L[[#This Row],[Industry]], Mean_AE_L, 3, FALSE))</f>
        <v>1.1115833527400272</v>
      </c>
      <c r="T69" s="1">
        <f>(Main_L[[#This Row],[P/E]]-VLOOKUP(Main_L[[#This Row],[Industry]], Mean_PE_L, 2, FALSE))/(VLOOKUP(Main_L[[#This Row],[Industry]], Mean_PE_L, 3, FALSE))</f>
        <v>0.33065197105194272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190</v>
      </c>
      <c r="B70" t="s">
        <v>192</v>
      </c>
      <c r="C70" s="2">
        <v>135906</v>
      </c>
      <c r="D70">
        <f>RTD("tos.rtd", , "LAST", Main_L[[#This Row],[Symbol]])</f>
        <v>199.2</v>
      </c>
      <c r="E70">
        <v>6.76</v>
      </c>
      <c r="F70">
        <v>71.06</v>
      </c>
      <c r="G70">
        <v>5.16</v>
      </c>
      <c r="H70" s="1">
        <f>IF(ISNUMBER(Main_L[[#This Row],[Free CF]]),IF(Main_L[[#This Row],[Free CF]]&lt;&gt;0,Main_L[[#This Row],[Current Price]]/Main_L[[#This Row],[Free CF]],""),"")</f>
        <v>29.467455621301774</v>
      </c>
      <c r="I70" s="1">
        <f>IF(ISNUMBER(Main_L[[#This Row],[BVPS]]),IF(Main_L[[#This Row],[BVPS]]&lt;&gt;0,Main_L[[#This Row],[Current Price]]/Main_L[[#This Row],[BVPS]],""),"")</f>
        <v>2.8032648466084997</v>
      </c>
      <c r="J70">
        <v>7.22</v>
      </c>
      <c r="K70">
        <v>3.93</v>
      </c>
      <c r="L70">
        <v>1.56</v>
      </c>
      <c r="M70" s="1">
        <f>IF(ISNUMBER(Main_L[[#This Row],[EPS]]),IF(Main_L[[#This Row],[EPS]]&lt;&gt;0,Main_L[[#This Row],[Current Price]]/Main_L[[#This Row],[EPS]],""),"")</f>
        <v>38.604651162790695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0.89697003828171273</v>
      </c>
      <c r="P70" s="1">
        <f>(Main_L[[#This Row],[P/B]]-VLOOKUP(Main_L[[#This Row],[Industry]], Mean_PB_L, 2, FALSE))/(VLOOKUP(Main_L[[#This Row],[Industry]], Mean_PB_L, 3, FALSE))</f>
        <v>-0.63271461663635564</v>
      </c>
      <c r="Q70" s="1">
        <f>(Main_L[[#This Row],[ROE]]-VLOOKUP(Main_L[[#This Row],[Industry]], Mean_ROE_L, 2, FALSE))/(VLOOKUP(Main_L[[#This Row],[Industry]], Mean_ROE_L, 3, FALSE))</f>
        <v>-0.92044483624673523</v>
      </c>
      <c r="R70" s="1">
        <f>(Main_L[[#This Row],[ROA]]-VLOOKUP(Main_L[[#This Row],[Industry]], Mean_ROA_L, 2, FALSE))/(VLOOKUP(Main_L[[#This Row],[Industry]], Mean_ROA_L, 3, FALSE))</f>
        <v>-0.75616543832001504</v>
      </c>
      <c r="S70" s="1">
        <f>(Main_L[[#This Row],[A/E]]-VLOOKUP(Main_L[[#This Row],[Industry]], Mean_AE_L, 2, FALSE))/(VLOOKUP(Main_L[[#This Row],[Industry]], Mean_AE_L, 3, FALSE))</f>
        <v>-0.87588946132810097</v>
      </c>
      <c r="T70" s="1">
        <f>(Main_L[[#This Row],[P/E]]-VLOOKUP(Main_L[[#This Row],[Industry]], Mean_PE_L, 2, FALSE))/(VLOOKUP(Main_L[[#This Row],[Industry]], Mean_PE_L, 3, FALSE))</f>
        <v>1.2668507405935845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190</v>
      </c>
      <c r="B71" t="s">
        <v>194</v>
      </c>
      <c r="C71" s="2">
        <v>13019</v>
      </c>
      <c r="D71">
        <f>RTD("tos.rtd", , "LAST", Main_L[[#This Row],[Symbol]])</f>
        <v>84.98</v>
      </c>
      <c r="E71">
        <v>5.47</v>
      </c>
      <c r="F71">
        <v>14.89</v>
      </c>
      <c r="G71">
        <v>-6.08</v>
      </c>
      <c r="H71" s="1">
        <f>IF(ISNUMBER(Main_L[[#This Row],[Free CF]]),IF(Main_L[[#This Row],[Free CF]]&lt;&gt;0,Main_L[[#This Row],[Current Price]]/Main_L[[#This Row],[Free CF]],""),"")</f>
        <v>15.53564899451554</v>
      </c>
      <c r="I71" s="1">
        <f>IF(ISNUMBER(Main_L[[#This Row],[BVPS]]),IF(Main_L[[#This Row],[BVPS]]&lt;&gt;0,Main_L[[#This Row],[Current Price]]/Main_L[[#This Row],[BVPS]],""),"")</f>
        <v>5.707186030893217</v>
      </c>
      <c r="J71">
        <v>-23.85</v>
      </c>
      <c r="K71">
        <v>4.95</v>
      </c>
      <c r="L71">
        <v>2.61</v>
      </c>
      <c r="M71" s="1">
        <f>IF(ISNUMBER(Main_L[[#This Row],[EPS]]),IF(Main_L[[#This Row],[EPS]]&lt;&gt;0,Main_L[[#This Row],[Current Price]]/Main_L[[#This Row],[EPS]],""),"")</f>
        <v>-13.976973684210527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-0.93566099032178096</v>
      </c>
      <c r="P71" s="1">
        <f>(Main_L[[#This Row],[P/B]]-VLOOKUP(Main_L[[#This Row],[Industry]], Mean_PB_L, 2, FALSE))/(VLOOKUP(Main_L[[#This Row],[Industry]], Mean_PB_L, 3, FALSE))</f>
        <v>0.43645984064474641</v>
      </c>
      <c r="Q71" s="1">
        <f>(Main_L[[#This Row],[ROE]]-VLOOKUP(Main_L[[#This Row],[Industry]], Mean_ROE_L, 2, FALSE))/(VLOOKUP(Main_L[[#This Row],[Industry]], Mean_ROE_L, 3, FALSE))</f>
        <v>-5.9064360550587525</v>
      </c>
      <c r="R71" s="1">
        <f>(Main_L[[#This Row],[ROA]]-VLOOKUP(Main_L[[#This Row],[Industry]], Mean_ROA_L, 2, FALSE))/(VLOOKUP(Main_L[[#This Row],[Industry]], Mean_ROA_L, 3, FALSE))</f>
        <v>-0.41218135884639062</v>
      </c>
      <c r="S71" s="1">
        <f>(Main_L[[#This Row],[A/E]]-VLOOKUP(Main_L[[#This Row],[Industry]], Mean_AE_L, 2, FALSE))/(VLOOKUP(Main_L[[#This Row],[Industry]], Mean_AE_L, 3, FALSE))</f>
        <v>1.7995547114559178</v>
      </c>
      <c r="T71" s="1">
        <f>(Main_L[[#This Row],[P/E]]-VLOOKUP(Main_L[[#This Row],[Industry]], Mean_PE_L, 2, FALSE))/(VLOOKUP(Main_L[[#This Row],[Industry]], Mean_PE_L, 3, FALSE))</f>
        <v>-5.7698207376960866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2" spans="1:26" x14ac:dyDescent="0.25">
      <c r="A72" t="s">
        <v>190</v>
      </c>
      <c r="B72" t="s">
        <v>197</v>
      </c>
      <c r="C72" s="2">
        <v>10658</v>
      </c>
      <c r="D72">
        <f>RTD("tos.rtd", , "LAST", Main_L[[#This Row],[Symbol]])</f>
        <v>92.88</v>
      </c>
      <c r="E72">
        <v>4.3</v>
      </c>
      <c r="F72">
        <v>63.96</v>
      </c>
      <c r="G72">
        <v>2.4300000000000002</v>
      </c>
      <c r="H72" s="1">
        <f>IF(ISNUMBER(Main_L[[#This Row],[Free CF]]),IF(Main_L[[#This Row],[Free CF]]&lt;&gt;0,Main_L[[#This Row],[Current Price]]/Main_L[[#This Row],[Free CF]],""),"")</f>
        <v>21.6</v>
      </c>
      <c r="I72" s="1">
        <f>IF(ISNUMBER(Main_L[[#This Row],[BVPS]]),IF(Main_L[[#This Row],[BVPS]]&lt;&gt;0,Main_L[[#This Row],[Current Price]]/Main_L[[#This Row],[BVPS]],""),"")</f>
        <v>1.4521575984990618</v>
      </c>
      <c r="J72">
        <v>3.82</v>
      </c>
      <c r="K72">
        <v>2.0299999999999998</v>
      </c>
      <c r="L72">
        <v>1.62</v>
      </c>
      <c r="M72" s="1">
        <f>IF(ISNUMBER(Main_L[[#This Row],[EPS]]),IF(Main_L[[#This Row],[EPS]]&lt;&gt;0,Main_L[[#This Row],[Current Price]]/Main_L[[#This Row],[EPS]],""),"")</f>
        <v>38.222222222222214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-0.13793833175245848</v>
      </c>
      <c r="P72" s="1">
        <f>(Main_L[[#This Row],[P/B]]-VLOOKUP(Main_L[[#This Row],[Industry]], Mean_PB_L, 2, FALSE))/(VLOOKUP(Main_L[[#This Row],[Industry]], Mean_PB_L, 3, FALSE))</f>
        <v>-1.1301693569866151</v>
      </c>
      <c r="Q72" s="1">
        <f>(Main_L[[#This Row],[ROE]]-VLOOKUP(Main_L[[#This Row],[Industry]], Mean_ROE_L, 2, FALSE))/(VLOOKUP(Main_L[[#This Row],[Industry]], Mean_ROE_L, 3, FALSE))</f>
        <v>-1.4660634440343392</v>
      </c>
      <c r="R72" s="1">
        <f>(Main_L[[#This Row],[ROA]]-VLOOKUP(Main_L[[#This Row],[Industry]], Mean_ROA_L, 2, FALSE))/(VLOOKUP(Main_L[[#This Row],[Industry]], Mean_ROA_L, 3, FALSE))</f>
        <v>-1.3969200961630408</v>
      </c>
      <c r="S72" s="1">
        <f>(Main_L[[#This Row],[A/E]]-VLOOKUP(Main_L[[#This Row],[Industry]], Mean_AE_L, 2, FALSE))/(VLOOKUP(Main_L[[#This Row],[Industry]], Mean_AE_L, 3, FALSE))</f>
        <v>-0.72300693716901399</v>
      </c>
      <c r="T72" s="1">
        <f>(Main_L[[#This Row],[P/E]]-VLOOKUP(Main_L[[#This Row],[Industry]], Mean_PE_L, 2, FALSE))/(VLOOKUP(Main_L[[#This Row],[Industry]], Mean_PE_L, 3, FALSE))</f>
        <v>1.2156726564928944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190</v>
      </c>
      <c r="B73" t="s">
        <v>201</v>
      </c>
      <c r="C73" s="2">
        <v>15149</v>
      </c>
      <c r="D73">
        <f>RTD("tos.rtd", , "LAST", Main_L[[#This Row],[Symbol]])</f>
        <v>223.77</v>
      </c>
      <c r="E73">
        <v>4.22</v>
      </c>
      <c r="F73">
        <v>37.369999999999997</v>
      </c>
      <c r="G73">
        <v>6.37</v>
      </c>
      <c r="H73" s="1">
        <f>IF(ISNUMBER(Main_L[[#This Row],[Free CF]]),IF(Main_L[[#This Row],[Free CF]]&lt;&gt;0,Main_L[[#This Row],[Current Price]]/Main_L[[#This Row],[Free CF]],""),"")</f>
        <v>53.026066350710906</v>
      </c>
      <c r="I73" s="1">
        <f>IF(ISNUMBER(Main_L[[#This Row],[BVPS]]),IF(Main_L[[#This Row],[BVPS]]&lt;&gt;0,Main_L[[#This Row],[Current Price]]/Main_L[[#This Row],[BVPS]],""),"")</f>
        <v>5.9879582552849886</v>
      </c>
      <c r="J73">
        <v>17.420000000000002</v>
      </c>
      <c r="K73">
        <v>10.33</v>
      </c>
      <c r="L73">
        <v>1.35</v>
      </c>
      <c r="M73" s="1">
        <f>IF(ISNUMBER(Main_L[[#This Row],[EPS]]),IF(Main_L[[#This Row],[EPS]]&lt;&gt;0,Main_L[[#This Row],[Current Price]]/Main_L[[#This Row],[EPS]],""),"")</f>
        <v>35.128728414442698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3.9959393371016261</v>
      </c>
      <c r="P73" s="1">
        <f>(Main_L[[#This Row],[P/B]]-VLOOKUP(Main_L[[#This Row],[Industry]], Mean_PB_L, 2, FALSE))/(VLOOKUP(Main_L[[#This Row],[Industry]], Mean_PB_L, 3, FALSE))</f>
        <v>0.53983540478135472</v>
      </c>
      <c r="Q73" s="1">
        <f>(Main_L[[#This Row],[ROE]]-VLOOKUP(Main_L[[#This Row],[Industry]], Mean_ROE_L, 2, FALSE))/(VLOOKUP(Main_L[[#This Row],[Industry]], Mean_ROE_L, 3, FALSE))</f>
        <v>0.71641098711607709</v>
      </c>
      <c r="R73" s="1">
        <f>(Main_L[[#This Row],[ROA]]-VLOOKUP(Main_L[[#This Row],[Industry]], Mean_ROA_L, 2, FALSE))/(VLOOKUP(Main_L[[#This Row],[Industry]], Mean_ROA_L, 3, FALSE))</f>
        <v>1.4021660407301773</v>
      </c>
      <c r="S73" s="1">
        <f>(Main_L[[#This Row],[A/E]]-VLOOKUP(Main_L[[#This Row],[Industry]], Mean_AE_L, 2, FALSE))/(VLOOKUP(Main_L[[#This Row],[Industry]], Mean_AE_L, 3, FALSE))</f>
        <v>-1.4109782958849046</v>
      </c>
      <c r="T73" s="1">
        <f>(Main_L[[#This Row],[P/E]]-VLOOKUP(Main_L[[#This Row],[Industry]], Mean_PE_L, 2, FALSE))/(VLOOKUP(Main_L[[#This Row],[Industry]], Mean_PE_L, 3, FALSE))</f>
        <v>0.80168964039541291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190</v>
      </c>
      <c r="B74" t="s">
        <v>191</v>
      </c>
      <c r="C74" s="2">
        <v>31778</v>
      </c>
      <c r="D74">
        <f>RTD("tos.rtd", , "LAST", Main_L[[#This Row],[Symbol]])</f>
        <v>116.74</v>
      </c>
      <c r="E74">
        <v>4.16</v>
      </c>
      <c r="F74">
        <v>21.61</v>
      </c>
      <c r="G74">
        <v>4.0599999999999996</v>
      </c>
      <c r="H74" s="1">
        <f>IF(ISNUMBER(Main_L[[#This Row],[Free CF]]),IF(Main_L[[#This Row],[Free CF]]&lt;&gt;0,Main_L[[#This Row],[Current Price]]/Main_L[[#This Row],[Free CF]],""),"")</f>
        <v>28.062499999999996</v>
      </c>
      <c r="I74" s="1">
        <f>IF(ISNUMBER(Main_L[[#This Row],[BVPS]]),IF(Main_L[[#This Row],[BVPS]]&lt;&gt;0,Main_L[[#This Row],[Current Price]]/Main_L[[#This Row],[BVPS]],""),"")</f>
        <v>5.4021286441462282</v>
      </c>
      <c r="J74">
        <v>18.88</v>
      </c>
      <c r="K74">
        <v>8</v>
      </c>
      <c r="L74">
        <v>1.98</v>
      </c>
      <c r="M74" s="1">
        <f>IF(ISNUMBER(Main_L[[#This Row],[EPS]]),IF(Main_L[[#This Row],[EPS]]&lt;&gt;0,Main_L[[#This Row],[Current Price]]/Main_L[[#This Row],[EPS]],""),"")</f>
        <v>28.75369458128079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0.71215802255518668</v>
      </c>
      <c r="P74" s="1">
        <f>(Main_L[[#This Row],[P/B]]-VLOOKUP(Main_L[[#This Row],[Industry]], Mean_PB_L, 2, FALSE))/(VLOOKUP(Main_L[[#This Row],[Industry]], Mean_PB_L, 3, FALSE))</f>
        <v>0.32414289220968023</v>
      </c>
      <c r="Q74" s="1">
        <f>(Main_L[[#This Row],[ROE]]-VLOOKUP(Main_L[[#This Row],[Industry]], Mean_ROE_L, 2, FALSE))/(VLOOKUP(Main_L[[#This Row],[Industry]], Mean_ROE_L, 3, FALSE))</f>
        <v>0.95070603634251838</v>
      </c>
      <c r="R74" s="1">
        <f>(Main_L[[#This Row],[ROA]]-VLOOKUP(Main_L[[#This Row],[Industry]], Mean_ROA_L, 2, FALSE))/(VLOOKUP(Main_L[[#This Row],[Industry]], Mean_ROA_L, 3, FALSE))</f>
        <v>0.61639848663846664</v>
      </c>
      <c r="S74" s="1">
        <f>(Main_L[[#This Row],[A/E]]-VLOOKUP(Main_L[[#This Row],[Industry]], Mean_AE_L, 2, FALSE))/(VLOOKUP(Main_L[[#This Row],[Industry]], Mean_AE_L, 3, FALSE))</f>
        <v>0.19428820778550654</v>
      </c>
      <c r="T74" s="1">
        <f>(Main_L[[#This Row],[P/E]]-VLOOKUP(Main_L[[#This Row],[Industry]], Mean_PE_L, 2, FALSE))/(VLOOKUP(Main_L[[#This Row],[Industry]], Mean_PE_L, 3, FALSE))</f>
        <v>-5.1441446319196678E-2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t="s">
        <v>172</v>
      </c>
      <c r="B75" t="s">
        <v>177</v>
      </c>
      <c r="C75" s="2">
        <v>373447</v>
      </c>
      <c r="D75">
        <f>RTD("tos.rtd", , "LAST", Main_L[[#This Row],[Symbol]])</f>
        <v>155.22999999999999</v>
      </c>
      <c r="E75">
        <v>7.72</v>
      </c>
      <c r="F75">
        <v>32.47</v>
      </c>
      <c r="G75">
        <v>8.98</v>
      </c>
      <c r="H75" s="1">
        <f>IF(ISNUMBER(Main_L[[#This Row],[Free CF]]),IF(Main_L[[#This Row],[Free CF]]&lt;&gt;0,Main_L[[#This Row],[Current Price]]/Main_L[[#This Row],[Free CF]],""),"")</f>
        <v>20.107512953367873</v>
      </c>
      <c r="I75" s="1">
        <f>IF(ISNUMBER(Main_L[[#This Row],[BVPS]]),IF(Main_L[[#This Row],[BVPS]]&lt;&gt;0,Main_L[[#This Row],[Current Price]]/Main_L[[#This Row],[BVPS]],""),"")</f>
        <v>4.7807206652294427</v>
      </c>
      <c r="J75">
        <v>29.45</v>
      </c>
      <c r="K75">
        <v>7.77</v>
      </c>
      <c r="L75">
        <v>2.48</v>
      </c>
      <c r="M75" s="1">
        <f>IF(ISNUMBER(Main_L[[#This Row],[EPS]]),IF(Main_L[[#This Row],[EPS]]&lt;&gt;0,Main_L[[#This Row],[Current Price]]/Main_L[[#This Row],[EPS]],""),"")</f>
        <v>17.286191536748326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4.5704735622804971E-2</v>
      </c>
      <c r="P75" s="1">
        <f>(Main_L[[#This Row],[P/B]]-VLOOKUP(Main_L[[#This Row],[Industry]], Mean_PB_L, 2, FALSE))/(VLOOKUP(Main_L[[#This Row],[Industry]], Mean_PB_L, 3, FALSE))</f>
        <v>0.65386338594079152</v>
      </c>
      <c r="Q75" s="1">
        <f>(Main_L[[#This Row],[ROE]]-VLOOKUP(Main_L[[#This Row],[Industry]], Mean_ROE_L, 2, FALSE))/(VLOOKUP(Main_L[[#This Row],[Industry]], Mean_ROE_L, 3, FALSE))</f>
        <v>0.69380826628405001</v>
      </c>
      <c r="R75" s="1">
        <f>(Main_L[[#This Row],[ROA]]-VLOOKUP(Main_L[[#This Row],[Industry]], Mean_ROA_L, 2, FALSE))/(VLOOKUP(Main_L[[#This Row],[Industry]], Mean_ROA_L, 3, FALSE))</f>
        <v>3.9895384649774978E-4</v>
      </c>
      <c r="S75" s="1">
        <f>(Main_L[[#This Row],[A/E]]-VLOOKUP(Main_L[[#This Row],[Industry]], Mean_AE_L, 2, FALSE))/(VLOOKUP(Main_L[[#This Row],[Industry]], Mean_AE_L, 3, FALSE))</f>
        <v>9.8634687034399954E-2</v>
      </c>
      <c r="T75" s="1">
        <f>(Main_L[[#This Row],[P/E]]-VLOOKUP(Main_L[[#This Row],[Industry]], Mean_PE_L, 2, FALSE))/(VLOOKUP(Main_L[[#This Row],[Industry]], Mean_PE_L, 3, FALSE))</f>
        <v>-0.10176784671151609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172</v>
      </c>
      <c r="B76" t="s">
        <v>181</v>
      </c>
      <c r="C76" s="2">
        <v>228636</v>
      </c>
      <c r="D76">
        <f>RTD("tos.rtd", , "LAST", Main_L[[#This Row],[Symbol]])</f>
        <v>118.02</v>
      </c>
      <c r="E76">
        <v>7.47</v>
      </c>
      <c r="F76">
        <v>19.579999999999998</v>
      </c>
      <c r="G76">
        <v>6.38</v>
      </c>
      <c r="H76" s="1">
        <f>IF(ISNUMBER(Main_L[[#This Row],[Free CF]]),IF(Main_L[[#This Row],[Free CF]]&lt;&gt;0,Main_L[[#This Row],[Current Price]]/Main_L[[#This Row],[Free CF]],""),"")</f>
        <v>15.799196787148594</v>
      </c>
      <c r="I76" s="1">
        <f>IF(ISNUMBER(Main_L[[#This Row],[BVPS]]),IF(Main_L[[#This Row],[BVPS]]&lt;&gt;0,Main_L[[#This Row],[Current Price]]/Main_L[[#This Row],[BVPS]],""),"")</f>
        <v>6.027579162410623</v>
      </c>
      <c r="J76">
        <v>32.89</v>
      </c>
      <c r="K76">
        <v>11.42</v>
      </c>
      <c r="L76">
        <v>2.6</v>
      </c>
      <c r="M76" s="1">
        <f>IF(ISNUMBER(Main_L[[#This Row],[EPS]]),IF(Main_L[[#This Row],[EPS]]&lt;&gt;0,Main_L[[#This Row],[Current Price]]/Main_L[[#This Row],[EPS]],""),"")</f>
        <v>18.498432601880879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-0.2447562934966715</v>
      </c>
      <c r="P76" s="1">
        <f>(Main_L[[#This Row],[P/B]]-VLOOKUP(Main_L[[#This Row],[Industry]], Mean_PB_L, 2, FALSE))/(VLOOKUP(Main_L[[#This Row],[Industry]], Mean_PB_L, 3, FALSE))</f>
        <v>1.1860731754299498</v>
      </c>
      <c r="Q76" s="1">
        <f>(Main_L[[#This Row],[ROE]]-VLOOKUP(Main_L[[#This Row],[Industry]], Mean_ROE_L, 2, FALSE))/(VLOOKUP(Main_L[[#This Row],[Industry]], Mean_ROE_L, 3, FALSE))</f>
        <v>0.87826865641085139</v>
      </c>
      <c r="R76" s="1">
        <f>(Main_L[[#This Row],[ROA]]-VLOOKUP(Main_L[[#This Row],[Industry]], Mean_ROA_L, 2, FALSE))/(VLOOKUP(Main_L[[#This Row],[Industry]], Mean_ROA_L, 3, FALSE))</f>
        <v>0.87410787767736453</v>
      </c>
      <c r="S76" s="1">
        <f>(Main_L[[#This Row],[A/E]]-VLOOKUP(Main_L[[#This Row],[Industry]], Mean_AE_L, 2, FALSE))/(VLOOKUP(Main_L[[#This Row],[Industry]], Mean_AE_L, 3, FALSE))</f>
        <v>0.25960649627454141</v>
      </c>
      <c r="T76" s="1">
        <f>(Main_L[[#This Row],[P/E]]-VLOOKUP(Main_L[[#This Row],[Industry]], Mean_PE_L, 2, FALSE))/(VLOOKUP(Main_L[[#This Row],[Industry]], Mean_PE_L, 3, FALSE))</f>
        <v>-2.2689785398358087E-2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172</v>
      </c>
      <c r="B77" t="s">
        <v>179</v>
      </c>
      <c r="C77" s="2">
        <v>192948</v>
      </c>
      <c r="D77">
        <f>RTD("tos.rtd", , "LAST", Main_L[[#This Row],[Symbol]])</f>
        <v>79.33</v>
      </c>
      <c r="E77">
        <v>6.74</v>
      </c>
      <c r="F77">
        <v>19.21</v>
      </c>
      <c r="G77">
        <v>6.88</v>
      </c>
      <c r="H77" s="1">
        <f>IF(ISNUMBER(Main_L[[#This Row],[Free CF]]),IF(Main_L[[#This Row],[Free CF]]&lt;&gt;0,Main_L[[#This Row],[Current Price]]/Main_L[[#This Row],[Free CF]],""),"")</f>
        <v>11.770029673590503</v>
      </c>
      <c r="I77" s="1">
        <f>IF(ISNUMBER(Main_L[[#This Row],[BVPS]]),IF(Main_L[[#This Row],[BVPS]]&lt;&gt;0,Main_L[[#This Row],[Current Price]]/Main_L[[#This Row],[BVPS]],""),"")</f>
        <v>4.1296199895887558</v>
      </c>
      <c r="J77">
        <v>39.29</v>
      </c>
      <c r="K77">
        <v>13.81</v>
      </c>
      <c r="L77">
        <v>2.38</v>
      </c>
      <c r="M77" s="1">
        <f>IF(ISNUMBER(Main_L[[#This Row],[EPS]]),IF(Main_L[[#This Row],[EPS]]&lt;&gt;0,Main_L[[#This Row],[Current Price]]/Main_L[[#This Row],[EPS]],""),"")</f>
        <v>11.530523255813954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-0.51639745935972203</v>
      </c>
      <c r="P77" s="1">
        <f>(Main_L[[#This Row],[P/B]]-VLOOKUP(Main_L[[#This Row],[Industry]], Mean_PB_L, 2, FALSE))/(VLOOKUP(Main_L[[#This Row],[Industry]], Mean_PB_L, 3, FALSE))</f>
        <v>0.37594720354930561</v>
      </c>
      <c r="Q77" s="1">
        <f>(Main_L[[#This Row],[ROE]]-VLOOKUP(Main_L[[#This Row],[Industry]], Mean_ROE_L, 2, FALSE))/(VLOOKUP(Main_L[[#This Row],[Industry]], Mean_ROE_L, 3, FALSE))</f>
        <v>1.2214507775769934</v>
      </c>
      <c r="R77" s="1">
        <f>(Main_L[[#This Row],[ROA]]-VLOOKUP(Main_L[[#This Row],[Industry]], Mean_ROA_L, 2, FALSE))/(VLOOKUP(Main_L[[#This Row],[Industry]], Mean_ROA_L, 3, FALSE))</f>
        <v>1.446207693555658</v>
      </c>
      <c r="S77" s="1">
        <f>(Main_L[[#This Row],[A/E]]-VLOOKUP(Main_L[[#This Row],[Industry]], Mean_AE_L, 2, FALSE))/(VLOOKUP(Main_L[[#This Row],[Industry]], Mean_AE_L, 3, FALSE))</f>
        <v>-3.5508487332384583E-2</v>
      </c>
      <c r="T77" s="1">
        <f>(Main_L[[#This Row],[P/E]]-VLOOKUP(Main_L[[#This Row],[Industry]], Mean_PE_L, 2, FALSE))/(VLOOKUP(Main_L[[#This Row],[Industry]], Mean_PE_L, 3, FALSE))</f>
        <v>-0.47722707038346707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172</v>
      </c>
      <c r="B78" t="s">
        <v>174</v>
      </c>
      <c r="C78" s="2">
        <v>98254</v>
      </c>
      <c r="D78">
        <f>RTD("tos.rtd", , "LAST", Main_L[[#This Row],[Symbol]])</f>
        <v>49</v>
      </c>
      <c r="E78">
        <v>6.45</v>
      </c>
      <c r="F78">
        <v>8.5399999999999991</v>
      </c>
      <c r="G78">
        <v>2.67</v>
      </c>
      <c r="H78" s="1">
        <f>IF(ISNUMBER(Main_L[[#This Row],[Free CF]]),IF(Main_L[[#This Row],[Free CF]]&lt;&gt;0,Main_L[[#This Row],[Current Price]]/Main_L[[#This Row],[Free CF]],""),"")</f>
        <v>7.5968992248062017</v>
      </c>
      <c r="I78" s="1">
        <f>IF(ISNUMBER(Main_L[[#This Row],[BVPS]]),IF(Main_L[[#This Row],[BVPS]]&lt;&gt;0,Main_L[[#This Row],[Current Price]]/Main_L[[#This Row],[BVPS]],""),"")</f>
        <v>5.7377049180327875</v>
      </c>
      <c r="J78">
        <v>31.99</v>
      </c>
      <c r="K78">
        <v>7.24</v>
      </c>
      <c r="L78">
        <v>5.32</v>
      </c>
      <c r="M78" s="1">
        <f>IF(ISNUMBER(Main_L[[#This Row],[EPS]]),IF(Main_L[[#This Row],[EPS]]&lt;&gt;0,Main_L[[#This Row],[Current Price]]/Main_L[[#This Row],[EPS]],""),"")</f>
        <v>18.352059925093634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-0.79774444459442118</v>
      </c>
      <c r="P78" s="1">
        <f>(Main_L[[#This Row],[P/B]]-VLOOKUP(Main_L[[#This Row],[Industry]], Mean_PB_L, 2, FALSE))/(VLOOKUP(Main_L[[#This Row],[Industry]], Mean_PB_L, 3, FALSE))</f>
        <v>1.0623430882328626</v>
      </c>
      <c r="Q78" s="1">
        <f>(Main_L[[#This Row],[ROE]]-VLOOKUP(Main_L[[#This Row],[Industry]], Mean_ROE_L, 2, FALSE))/(VLOOKUP(Main_L[[#This Row],[Industry]], Mean_ROE_L, 3, FALSE))</f>
        <v>0.83000867062186257</v>
      </c>
      <c r="R78" s="1">
        <f>(Main_L[[#This Row],[ROA]]-VLOOKUP(Main_L[[#This Row],[Industry]], Mean_ROA_L, 2, FALSE))/(VLOOKUP(Main_L[[#This Row],[Industry]], Mean_ROA_L, 3, FALSE))</f>
        <v>-0.12646836933990191</v>
      </c>
      <c r="S78" s="1">
        <f>(Main_L[[#This Row],[A/E]]-VLOOKUP(Main_L[[#This Row],[Industry]], Mean_AE_L, 2, FALSE))/(VLOOKUP(Main_L[[#This Row],[Industry]], Mean_AE_L, 3, FALSE))</f>
        <v>3.9083008390510781</v>
      </c>
      <c r="T78" s="1">
        <f>(Main_L[[#This Row],[P/E]]-VLOOKUP(Main_L[[#This Row],[Industry]], Mean_PE_L, 2, FALSE))/(VLOOKUP(Main_L[[#This Row],[Industry]], Mean_PE_L, 3, FALSE))</f>
        <v>-3.2238106967787117E-2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172</v>
      </c>
      <c r="B79" t="s">
        <v>173</v>
      </c>
      <c r="C79" s="2">
        <v>225802</v>
      </c>
      <c r="D79">
        <f>RTD("tos.rtd", , "LAST", Main_L[[#This Row],[Symbol]])</f>
        <v>73.010000000000005</v>
      </c>
      <c r="E79">
        <v>5.93</v>
      </c>
      <c r="F79">
        <v>26.48</v>
      </c>
      <c r="G79">
        <v>4.97</v>
      </c>
      <c r="H79" s="1">
        <f>IF(ISNUMBER(Main_L[[#This Row],[Free CF]]),IF(Main_L[[#This Row],[Free CF]]&lt;&gt;0,Main_L[[#This Row],[Current Price]]/Main_L[[#This Row],[Free CF]],""),"")</f>
        <v>12.311973018549748</v>
      </c>
      <c r="I79" s="1">
        <f>IF(ISNUMBER(Main_L[[#This Row],[BVPS]]),IF(Main_L[[#This Row],[BVPS]]&lt;&gt;0,Main_L[[#This Row],[Current Price]]/Main_L[[#This Row],[BVPS]],""),"")</f>
        <v>2.7571752265861029</v>
      </c>
      <c r="J79">
        <v>19.79</v>
      </c>
      <c r="K79">
        <v>8.16</v>
      </c>
      <c r="L79">
        <v>2.59</v>
      </c>
      <c r="M79" s="1">
        <f>IF(ISNUMBER(Main_L[[#This Row],[EPS]]),IF(Main_L[[#This Row],[EPS]]&lt;&gt;0,Main_L[[#This Row],[Current Price]]/Main_L[[#This Row],[EPS]],""),"")</f>
        <v>14.690140845070424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-0.47986034935475919</v>
      </c>
      <c r="P79" s="1">
        <f>(Main_L[[#This Row],[P/B]]-VLOOKUP(Main_L[[#This Row],[Industry]], Mean_PB_L, 2, FALSE))/(VLOOKUP(Main_L[[#This Row],[Industry]], Mean_PB_L, 3, FALSE))</f>
        <v>-0.20986789901000408</v>
      </c>
      <c r="Q79" s="1">
        <f>(Main_L[[#This Row],[ROE]]-VLOOKUP(Main_L[[#This Row],[Industry]], Mean_ROE_L, 2, FALSE))/(VLOOKUP(Main_L[[#This Row],[Industry]], Mean_ROE_L, 3, FALSE))</f>
        <v>0.17581775214890419</v>
      </c>
      <c r="R79" s="1">
        <f>(Main_L[[#This Row],[ROA]]-VLOOKUP(Main_L[[#This Row],[Industry]], Mean_ROA_L, 2, FALSE))/(VLOOKUP(Main_L[[#This Row],[Industry]], Mean_ROA_L, 3, FALSE))</f>
        <v>9.3754153927056244E-2</v>
      </c>
      <c r="S79" s="1">
        <f>(Main_L[[#This Row],[A/E]]-VLOOKUP(Main_L[[#This Row],[Industry]], Mean_AE_L, 2, FALSE))/(VLOOKUP(Main_L[[#This Row],[Industry]], Mean_AE_L, 3, FALSE))</f>
        <v>0.24619217883786265</v>
      </c>
      <c r="T79" s="1">
        <f>(Main_L[[#This Row],[P/E]]-VLOOKUP(Main_L[[#This Row],[Industry]], Mean_PE_L, 2, FALSE))/(VLOOKUP(Main_L[[#This Row],[Industry]], Mean_PE_L, 3, FALSE))</f>
        <v>-0.27111589280012466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172</v>
      </c>
      <c r="B80" t="s">
        <v>189</v>
      </c>
      <c r="C80" s="2">
        <v>75075</v>
      </c>
      <c r="D80">
        <f>RTD("tos.rtd", , "LAST", Main_L[[#This Row],[Symbol]])</f>
        <v>164.61</v>
      </c>
      <c r="E80">
        <v>5.05</v>
      </c>
      <c r="F80">
        <v>10.44</v>
      </c>
      <c r="G80">
        <v>5.57</v>
      </c>
      <c r="H80" s="1">
        <f>IF(ISNUMBER(Main_L[[#This Row],[Free CF]]),IF(Main_L[[#This Row],[Free CF]]&lt;&gt;0,Main_L[[#This Row],[Current Price]]/Main_L[[#This Row],[Free CF]],""),"")</f>
        <v>32.596039603960399</v>
      </c>
      <c r="I80" s="1">
        <f>IF(ISNUMBER(Main_L[[#This Row],[BVPS]]),IF(Main_L[[#This Row],[BVPS]]&lt;&gt;0,Main_L[[#This Row],[Current Price]]/Main_L[[#This Row],[BVPS]],""),"")</f>
        <v>15.767241379310347</v>
      </c>
      <c r="J80">
        <v>52.09</v>
      </c>
      <c r="K80">
        <v>15.11</v>
      </c>
      <c r="L80">
        <v>3.03</v>
      </c>
      <c r="M80" s="1">
        <f>IF(ISNUMBER(Main_L[[#This Row],[EPS]]),IF(Main_L[[#This Row],[EPS]]&lt;&gt;0,Main_L[[#This Row],[Current Price]]/Main_L[[#This Row],[EPS]],""),"")</f>
        <v>29.552962298025136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0.88766483399235641</v>
      </c>
      <c r="P80" s="1">
        <f>(Main_L[[#This Row],[P/B]]-VLOOKUP(Main_L[[#This Row],[Industry]], Mean_PB_L, 2, FALSE))/(VLOOKUP(Main_L[[#This Row],[Industry]], Mean_PB_L, 3, FALSE))</f>
        <v>5.3433561308497861</v>
      </c>
      <c r="Q80" s="1">
        <f>(Main_L[[#This Row],[ROE]]-VLOOKUP(Main_L[[#This Row],[Industry]], Mean_ROE_L, 2, FALSE))/(VLOOKUP(Main_L[[#This Row],[Industry]], Mean_ROE_L, 3, FALSE))</f>
        <v>1.907815019909278</v>
      </c>
      <c r="R80" s="1">
        <f>(Main_L[[#This Row],[ROA]]-VLOOKUP(Main_L[[#This Row],[Industry]], Mean_ROA_L, 2, FALSE))/(VLOOKUP(Main_L[[#This Row],[Industry]], Mean_ROA_L, 3, FALSE))</f>
        <v>1.7573916938241858</v>
      </c>
      <c r="S80" s="1">
        <f>(Main_L[[#This Row],[A/E]]-VLOOKUP(Main_L[[#This Row],[Industry]], Mean_AE_L, 2, FALSE))/(VLOOKUP(Main_L[[#This Row],[Industry]], Mean_AE_L, 3, FALSE))</f>
        <v>0.83642214605171405</v>
      </c>
      <c r="T80" s="1">
        <f>(Main_L[[#This Row],[P/E]]-VLOOKUP(Main_L[[#This Row],[Industry]], Mean_PE_L, 2, FALSE))/(VLOOKUP(Main_L[[#This Row],[Industry]], Mean_PE_L, 3, FALSE))</f>
        <v>0.69842980231684226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t="s">
        <v>172</v>
      </c>
      <c r="B81" t="s">
        <v>185</v>
      </c>
      <c r="C81" s="2">
        <v>120151</v>
      </c>
      <c r="D81">
        <f>RTD("tos.rtd", , "LAST", Main_L[[#This Row],[Symbol]])</f>
        <v>49.75</v>
      </c>
      <c r="E81">
        <v>4.87</v>
      </c>
      <c r="F81">
        <v>66.89</v>
      </c>
      <c r="G81">
        <v>5.39</v>
      </c>
      <c r="H81" s="1">
        <f>IF(ISNUMBER(Main_L[[#This Row],[Free CF]]),IF(Main_L[[#This Row],[Free CF]]&lt;&gt;0,Main_L[[#This Row],[Current Price]]/Main_L[[#This Row],[Free CF]],""),"")</f>
        <v>10.215605749486652</v>
      </c>
      <c r="I81" s="1">
        <f>IF(ISNUMBER(Main_L[[#This Row],[BVPS]]),IF(Main_L[[#This Row],[BVPS]]&lt;&gt;0,Main_L[[#This Row],[Current Price]]/Main_L[[#This Row],[BVPS]],""),"")</f>
        <v>0.7437584093287487</v>
      </c>
      <c r="J81">
        <v>7.3</v>
      </c>
      <c r="K81">
        <v>4.28</v>
      </c>
      <c r="L81">
        <v>1.71</v>
      </c>
      <c r="M81" s="1">
        <f>IF(ISNUMBER(Main_L[[#This Row],[EPS]]),IF(Main_L[[#This Row],[EPS]]&lt;&gt;0,Main_L[[#This Row],[Current Price]]/Main_L[[#This Row],[EPS]],""),"")</f>
        <v>9.2300556586270872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-0.62119468297651814</v>
      </c>
      <c r="P81" s="1">
        <f>(Main_L[[#This Row],[P/B]]-VLOOKUP(Main_L[[#This Row],[Industry]], Mean_PB_L, 2, FALSE))/(VLOOKUP(Main_L[[#This Row],[Industry]], Mean_PB_L, 3, FALSE))</f>
        <v>-1.0692758774526132</v>
      </c>
      <c r="Q81" s="1">
        <f>(Main_L[[#This Row],[ROE]]-VLOOKUP(Main_L[[#This Row],[Industry]], Mean_ROE_L, 2, FALSE))/(VLOOKUP(Main_L[[#This Row],[Industry]], Mean_ROE_L, 3, FALSE))</f>
        <v>-0.49392360618939496</v>
      </c>
      <c r="R81" s="1">
        <f>(Main_L[[#This Row],[ROA]]-VLOOKUP(Main_L[[#This Row],[Industry]], Mean_ROA_L, 2, FALSE))/(VLOOKUP(Main_L[[#This Row],[Industry]], Mean_ROA_L, 3, FALSE))</f>
        <v>-0.83501040072054988</v>
      </c>
      <c r="S81" s="1">
        <f>(Main_L[[#This Row],[A/E]]-VLOOKUP(Main_L[[#This Row],[Industry]], Mean_AE_L, 2, FALSE))/(VLOOKUP(Main_L[[#This Row],[Industry]], Mean_AE_L, 3, FALSE))</f>
        <v>-0.9342677555898401</v>
      </c>
      <c r="T81" s="1">
        <f>(Main_L[[#This Row],[P/E]]-VLOOKUP(Main_L[[#This Row],[Industry]], Mean_PE_L, 2, FALSE))/(VLOOKUP(Main_L[[#This Row],[Industry]], Mean_PE_L, 3, FALSE))</f>
        <v>-0.62729335912067019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2" spans="1:26" x14ac:dyDescent="0.25">
      <c r="A82" t="s">
        <v>172</v>
      </c>
      <c r="B82" t="s">
        <v>186</v>
      </c>
      <c r="C82" s="2">
        <v>46949</v>
      </c>
      <c r="D82">
        <f>RTD("tos.rtd", , "LAST", Main_L[[#This Row],[Symbol]])</f>
        <v>15.05</v>
      </c>
      <c r="E82">
        <v>3</v>
      </c>
      <c r="F82">
        <v>29.17</v>
      </c>
      <c r="G82">
        <v>0.45</v>
      </c>
      <c r="H82" s="1">
        <f>IF(ISNUMBER(Main_L[[#This Row],[Free CF]]),IF(Main_L[[#This Row],[Free CF]]&lt;&gt;0,Main_L[[#This Row],[Current Price]]/Main_L[[#This Row],[Free CF]],""),"")</f>
        <v>5.0166666666666666</v>
      </c>
      <c r="I82" s="1">
        <f>IF(ISNUMBER(Main_L[[#This Row],[BVPS]]),IF(Main_L[[#This Row],[BVPS]]&lt;&gt;0,Main_L[[#This Row],[Current Price]]/Main_L[[#This Row],[BVPS]],""),"")</f>
        <v>0.51594103531025026</v>
      </c>
      <c r="J82">
        <v>1.52</v>
      </c>
      <c r="K82">
        <v>1.91</v>
      </c>
      <c r="L82">
        <v>2.0499999999999998</v>
      </c>
      <c r="M82" s="1">
        <f>IF(ISNUMBER(Main_L[[#This Row],[EPS]]),IF(Main_L[[#This Row],[EPS]]&lt;&gt;0,Main_L[[#This Row],[Current Price]]/Main_L[[#This Row],[EPS]],""),"")</f>
        <v>33.444444444444443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-0.97170034181504394</v>
      </c>
      <c r="P82" s="1">
        <f>(Main_L[[#This Row],[P/B]]-VLOOKUP(Main_L[[#This Row],[Industry]], Mean_PB_L, 2, FALSE))/(VLOOKUP(Main_L[[#This Row],[Industry]], Mean_PB_L, 3, FALSE))</f>
        <v>-1.1665175748404601</v>
      </c>
      <c r="Q82" s="1">
        <f>(Main_L[[#This Row],[ROE]]-VLOOKUP(Main_L[[#This Row],[Industry]], Mean_ROE_L, 2, FALSE))/(VLOOKUP(Main_L[[#This Row],[Industry]], Mean_ROE_L, 3, FALSE))</f>
        <v>-0.80385995936756716</v>
      </c>
      <c r="R82" s="1">
        <f>(Main_L[[#This Row],[ROA]]-VLOOKUP(Main_L[[#This Row],[Industry]], Mean_ROA_L, 2, FALSE))/(VLOOKUP(Main_L[[#This Row],[Industry]], Mean_ROA_L, 3, FALSE))</f>
        <v>-1.4023227704408661</v>
      </c>
      <c r="S82" s="1">
        <f>(Main_L[[#This Row],[A/E]]-VLOOKUP(Main_L[[#This Row],[Industry]], Mean_AE_L, 2, FALSE))/(VLOOKUP(Main_L[[#This Row],[Industry]], Mean_AE_L, 3, FALSE))</f>
        <v>-0.47818096274277327</v>
      </c>
      <c r="T82" s="1">
        <f>(Main_L[[#This Row],[P/E]]-VLOOKUP(Main_L[[#This Row],[Industry]], Mean_PE_L, 2, FALSE))/(VLOOKUP(Main_L[[#This Row],[Industry]], Mean_PE_L, 3, FALSE))</f>
        <v>0.95228266428036346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t="s">
        <v>172</v>
      </c>
      <c r="B83" t="s">
        <v>180</v>
      </c>
      <c r="C83" s="2">
        <v>317701</v>
      </c>
      <c r="D83">
        <f>RTD("tos.rtd", , "LAST", Main_L[[#This Row],[Symbol]])</f>
        <v>75.459999999999994</v>
      </c>
      <c r="E83">
        <v>2.42</v>
      </c>
      <c r="F83">
        <v>4.5199999999999996</v>
      </c>
      <c r="G83">
        <v>3.4</v>
      </c>
      <c r="H83" s="1">
        <f>IF(ISNUMBER(Main_L[[#This Row],[Free CF]]),IF(Main_L[[#This Row],[Free CF]]&lt;&gt;0,Main_L[[#This Row],[Current Price]]/Main_L[[#This Row],[Free CF]],""),"")</f>
        <v>31.18181818181818</v>
      </c>
      <c r="I83" s="1">
        <f>IF(ISNUMBER(Main_L[[#This Row],[BVPS]]),IF(Main_L[[#This Row],[BVPS]]&lt;&gt;0,Main_L[[#This Row],[Current Price]]/Main_L[[#This Row],[BVPS]],""),"")</f>
        <v>16.694690265486727</v>
      </c>
      <c r="J83">
        <v>88.12</v>
      </c>
      <c r="K83">
        <v>23.29</v>
      </c>
      <c r="L83">
        <v>3.53</v>
      </c>
      <c r="M83" s="1">
        <f>IF(ISNUMBER(Main_L[[#This Row],[EPS]]),IF(Main_L[[#This Row],[EPS]]&lt;&gt;0,Main_L[[#This Row],[Current Price]]/Main_L[[#This Row],[EPS]],""),"")</f>
        <v>22.194117647058821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0.79231987929774517</v>
      </c>
      <c r="P83" s="1">
        <f>(Main_L[[#This Row],[P/B]]-VLOOKUP(Main_L[[#This Row],[Industry]], Mean_PB_L, 2, FALSE))/(VLOOKUP(Main_L[[#This Row],[Industry]], Mean_PB_L, 3, FALSE))</f>
        <v>5.7392289404667389</v>
      </c>
      <c r="Q83" s="1">
        <f>(Main_L[[#This Row],[ROE]]-VLOOKUP(Main_L[[#This Row],[Industry]], Mean_ROE_L, 2, FALSE))/(VLOOKUP(Main_L[[#This Row],[Industry]], Mean_ROE_L, 3, FALSE))</f>
        <v>3.8398231176617941</v>
      </c>
      <c r="R83" s="1">
        <f>(Main_L[[#This Row],[ROA]]-VLOOKUP(Main_L[[#This Row],[Industry]], Mean_ROA_L, 2, FALSE))/(VLOOKUP(Main_L[[#This Row],[Industry]], Mean_ROA_L, 3, FALSE))</f>
        <v>3.7154571724369223</v>
      </c>
      <c r="S83" s="1">
        <f>(Main_L[[#This Row],[A/E]]-VLOOKUP(Main_L[[#This Row],[Industry]], Mean_AE_L, 2, FALSE))/(VLOOKUP(Main_L[[#This Row],[Industry]], Mean_AE_L, 3, FALSE))</f>
        <v>1.5071380178856362</v>
      </c>
      <c r="T83" s="1">
        <f>(Main_L[[#This Row],[P/E]]-VLOOKUP(Main_L[[#This Row],[Industry]], Mean_PE_L, 2, FALSE))/(VLOOKUP(Main_L[[#This Row],[Industry]], Mean_PE_L, 3, FALSE))</f>
        <v>0.21839065396519924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172</v>
      </c>
      <c r="B84" t="s">
        <v>182</v>
      </c>
      <c r="C84" s="2">
        <v>133549</v>
      </c>
      <c r="D84">
        <f>RTD("tos.rtd", , "LAST", Main_L[[#This Row],[Symbol]])</f>
        <v>23.97</v>
      </c>
      <c r="E84">
        <v>1.98</v>
      </c>
      <c r="F84">
        <v>15.89</v>
      </c>
      <c r="G84">
        <v>1.38</v>
      </c>
      <c r="H84" s="1">
        <f>IF(ISNUMBER(Main_L[[#This Row],[Free CF]]),IF(Main_L[[#This Row],[Free CF]]&lt;&gt;0,Main_L[[#This Row],[Current Price]]/Main_L[[#This Row],[Free CF]],""),"")</f>
        <v>12.106060606060606</v>
      </c>
      <c r="I84" s="1">
        <f>IF(ISNUMBER(Main_L[[#This Row],[BVPS]]),IF(Main_L[[#This Row],[BVPS]]&lt;&gt;0,Main_L[[#This Row],[Current Price]]/Main_L[[#This Row],[BVPS]],""),"")</f>
        <v>1.5084959093769665</v>
      </c>
      <c r="J84">
        <v>8.6199999999999992</v>
      </c>
      <c r="K84">
        <v>4.79</v>
      </c>
      <c r="L84">
        <v>2.2999999999999998</v>
      </c>
      <c r="M84" s="1">
        <f>IF(ISNUMBER(Main_L[[#This Row],[EPS]]),IF(Main_L[[#This Row],[EPS]]&lt;&gt;0,Main_L[[#This Row],[Current Price]]/Main_L[[#This Row],[EPS]],""),"")</f>
        <v>17.369565217391305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-0.4937426943202996</v>
      </c>
      <c r="P84" s="1">
        <f>(Main_L[[#This Row],[P/B]]-VLOOKUP(Main_L[[#This Row],[Industry]], Mean_PB_L, 2, FALSE))/(VLOOKUP(Main_L[[#This Row],[Industry]], Mean_PB_L, 3, FALSE))</f>
        <v>-0.74285488835461289</v>
      </c>
      <c r="Q84" s="1">
        <f>(Main_L[[#This Row],[ROE]]-VLOOKUP(Main_L[[#This Row],[Industry]], Mean_ROE_L, 2, FALSE))/(VLOOKUP(Main_L[[#This Row],[Industry]], Mean_ROE_L, 3, FALSE))</f>
        <v>-0.42314229369887824</v>
      </c>
      <c r="R84" s="1">
        <f>(Main_L[[#This Row],[ROA]]-VLOOKUP(Main_L[[#This Row],[Industry]], Mean_ROA_L, 2, FALSE))/(VLOOKUP(Main_L[[#This Row],[Industry]], Mean_ROA_L, 3, FALSE))</f>
        <v>-0.7129305236921275</v>
      </c>
      <c r="S84" s="1">
        <f>(Main_L[[#This Row],[A/E]]-VLOOKUP(Main_L[[#This Row],[Industry]], Mean_AE_L, 2, FALSE))/(VLOOKUP(Main_L[[#This Row],[Industry]], Mean_AE_L, 3, FALSE))</f>
        <v>-0.14282302682581222</v>
      </c>
      <c r="T84" s="1">
        <f>(Main_L[[#This Row],[P/E]]-VLOOKUP(Main_L[[#This Row],[Industry]], Mean_PE_L, 2, FALSE))/(VLOOKUP(Main_L[[#This Row],[Industry]], Mean_PE_L, 3, FALSE))</f>
        <v>-9.632913553481777E-2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172</v>
      </c>
      <c r="B85" t="s">
        <v>188</v>
      </c>
      <c r="C85" s="2">
        <v>10317</v>
      </c>
      <c r="D85">
        <f>RTD("tos.rtd", , "LAST", Main_L[[#This Row],[Symbol]])</f>
        <v>8.81</v>
      </c>
      <c r="E85">
        <v>1.54</v>
      </c>
      <c r="F85">
        <v>13.2</v>
      </c>
      <c r="G85">
        <v>-3.18</v>
      </c>
      <c r="H85" s="1">
        <f>IF(ISNUMBER(Main_L[[#This Row],[Free CF]]),IF(Main_L[[#This Row],[Free CF]]&lt;&gt;0,Main_L[[#This Row],[Current Price]]/Main_L[[#This Row],[Free CF]],""),"")</f>
        <v>5.720779220779221</v>
      </c>
      <c r="I85" s="1">
        <f>IF(ISNUMBER(Main_L[[#This Row],[BVPS]]),IF(Main_L[[#This Row],[BVPS]]&lt;&gt;0,Main_L[[#This Row],[Current Price]]/Main_L[[#This Row],[BVPS]],""),"")</f>
        <v>0.66742424242424248</v>
      </c>
      <c r="J85">
        <v>-21.25</v>
      </c>
      <c r="K85">
        <v>2.23</v>
      </c>
      <c r="L85">
        <v>2.46</v>
      </c>
      <c r="M85" s="1">
        <f>IF(ISNUMBER(Main_L[[#This Row],[EPS]]),IF(Main_L[[#This Row],[EPS]]&lt;&gt;0,Main_L[[#This Row],[Current Price]]/Main_L[[#This Row],[EPS]],""),"")</f>
        <v>-2.7704402515723272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-0.92422999628027147</v>
      </c>
      <c r="P85" s="1">
        <f>(Main_L[[#This Row],[P/B]]-VLOOKUP(Main_L[[#This Row],[Industry]], Mean_PB_L, 2, FALSE))/(VLOOKUP(Main_L[[#This Row],[Industry]], Mean_PB_L, 3, FALSE))</f>
        <v>-1.1018583966325537</v>
      </c>
      <c r="Q85" s="1">
        <f>(Main_L[[#This Row],[ROE]]-VLOOKUP(Main_L[[#This Row],[Industry]], Mean_ROE_L, 2, FALSE))/(VLOOKUP(Main_L[[#This Row],[Industry]], Mean_ROE_L, 3, FALSE))</f>
        <v>-2.0248375998289823</v>
      </c>
      <c r="R85" s="1">
        <f>(Main_L[[#This Row],[ROA]]-VLOOKUP(Main_L[[#This Row],[Industry]], Mean_ROA_L, 2, FALSE))/(VLOOKUP(Main_L[[#This Row],[Industry]], Mean_ROA_L, 3, FALSE))</f>
        <v>-1.3257236319132284</v>
      </c>
      <c r="S85" s="1">
        <f>(Main_L[[#This Row],[A/E]]-VLOOKUP(Main_L[[#This Row],[Industry]], Mean_AE_L, 2, FALSE))/(VLOOKUP(Main_L[[#This Row],[Industry]], Mean_AE_L, 3, FALSE))</f>
        <v>7.1806052161043049E-2</v>
      </c>
      <c r="T85" s="1">
        <f>(Main_L[[#This Row],[P/E]]-VLOOKUP(Main_L[[#This Row],[Industry]], Mean_PE_L, 2, FALSE))/(VLOOKUP(Main_L[[#This Row],[Industry]], Mean_PE_L, 3, FALSE))</f>
        <v>-1.4101211139874679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172</v>
      </c>
      <c r="B86" t="s">
        <v>175</v>
      </c>
      <c r="C86" s="2">
        <v>83200</v>
      </c>
      <c r="D86">
        <f>RTD("tos.rtd", , "LAST", Main_L[[#This Row],[Symbol]])</f>
        <v>40.86</v>
      </c>
      <c r="E86">
        <v>1.28</v>
      </c>
      <c r="F86">
        <v>4.4800000000000004</v>
      </c>
      <c r="G86">
        <v>0.98</v>
      </c>
      <c r="H86" s="1">
        <f>IF(ISNUMBER(Main_L[[#This Row],[Free CF]]),IF(Main_L[[#This Row],[Free CF]]&lt;&gt;0,Main_L[[#This Row],[Current Price]]/Main_L[[#This Row],[Free CF]],""),"")</f>
        <v>31.921875</v>
      </c>
      <c r="I86" s="1">
        <f>IF(ISNUMBER(Main_L[[#This Row],[BVPS]]),IF(Main_L[[#This Row],[BVPS]]&lt;&gt;0,Main_L[[#This Row],[Current Price]]/Main_L[[#This Row],[BVPS]],""),"")</f>
        <v>9.1205357142857135</v>
      </c>
      <c r="J86">
        <v>27.1</v>
      </c>
      <c r="K86">
        <v>6.55</v>
      </c>
      <c r="L86">
        <v>4.29</v>
      </c>
      <c r="M86" s="1">
        <f>IF(ISNUMBER(Main_L[[#This Row],[EPS]]),IF(Main_L[[#This Row],[EPS]]&lt;&gt;0,Main_L[[#This Row],[Current Price]]/Main_L[[#This Row],[EPS]],""),"")</f>
        <v>41.693877551020407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0.84221354000477977</v>
      </c>
      <c r="P86" s="1">
        <f>(Main_L[[#This Row],[P/B]]-VLOOKUP(Main_L[[#This Row],[Industry]], Mean_PB_L, 2, FALSE))/(VLOOKUP(Main_L[[#This Row],[Industry]], Mean_PB_L, 3, FALSE))</f>
        <v>2.5062725076668952</v>
      </c>
      <c r="Q86" s="1">
        <f>(Main_L[[#This Row],[ROE]]-VLOOKUP(Main_L[[#This Row],[Industry]], Mean_ROE_L, 2, FALSE))/(VLOOKUP(Main_L[[#This Row],[Industry]], Mean_ROE_L, 3, FALSE))</f>
        <v>0.56779608116835723</v>
      </c>
      <c r="R86" s="1">
        <f>(Main_L[[#This Row],[ROA]]-VLOOKUP(Main_L[[#This Row],[Industry]], Mean_ROA_L, 2, FALSE))/(VLOOKUP(Main_L[[#This Row],[Industry]], Mean_ROA_L, 3, FALSE))</f>
        <v>-0.29163526179012061</v>
      </c>
      <c r="S86" s="1">
        <f>(Main_L[[#This Row],[A/E]]-VLOOKUP(Main_L[[#This Row],[Industry]], Mean_AE_L, 2, FALSE))/(VLOOKUP(Main_L[[#This Row],[Industry]], Mean_AE_L, 3, FALSE))</f>
        <v>2.526626143073198</v>
      </c>
      <c r="T86" s="1">
        <f>(Main_L[[#This Row],[P/E]]-VLOOKUP(Main_L[[#This Row],[Industry]], Mean_PE_L, 2, FALSE))/(VLOOKUP(Main_L[[#This Row],[Industry]], Mean_PE_L, 3, FALSE))</f>
        <v>1.4904175252119047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172</v>
      </c>
      <c r="B87" t="s">
        <v>559</v>
      </c>
      <c r="C87" s="2">
        <v>31456</v>
      </c>
      <c r="D87">
        <f>RTD("tos.rtd", , "LAST", Main_L[[#This Row],[Symbol]])</f>
        <v>28.1</v>
      </c>
      <c r="E87">
        <v>0.9</v>
      </c>
      <c r="F87">
        <v>32.81</v>
      </c>
      <c r="G87">
        <v>0.97</v>
      </c>
      <c r="H87" s="1">
        <f>IF(ISNUMBER(Main_L[[#This Row],[Free CF]]),IF(Main_L[[#This Row],[Free CF]]&lt;&gt;0,Main_L[[#This Row],[Current Price]]/Main_L[[#This Row],[Free CF]],""),"")</f>
        <v>31.222222222222221</v>
      </c>
      <c r="I87" s="1">
        <f>IF(ISNUMBER(Main_L[[#This Row],[BVPS]]),IF(Main_L[[#This Row],[BVPS]]&lt;&gt;0,Main_L[[#This Row],[Current Price]]/Main_L[[#This Row],[BVPS]],""),"")</f>
        <v>0.85644620542517524</v>
      </c>
      <c r="J87">
        <v>3.51</v>
      </c>
      <c r="K87">
        <v>3.34</v>
      </c>
      <c r="L87">
        <v>1.62</v>
      </c>
      <c r="M87" s="1">
        <f>IF(ISNUMBER(Main_L[[#This Row],[EPS]]),IF(Main_L[[#This Row],[EPS]]&lt;&gt;0,Main_L[[#This Row],[Current Price]]/Main_L[[#This Row],[EPS]],""),"")</f>
        <v>28.969072164948457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0.79504386674517558</v>
      </c>
      <c r="P87" s="1">
        <f>(Main_L[[#This Row],[P/B]]-VLOOKUP(Main_L[[#This Row],[Industry]], Mean_PB_L, 2, FALSE))/(VLOOKUP(Main_L[[#This Row],[Industry]], Mean_PB_L, 3, FALSE))</f>
        <v>-1.0211761545297149</v>
      </c>
      <c r="Q87" s="1">
        <f>(Main_L[[#This Row],[ROE]]-VLOOKUP(Main_L[[#This Row],[Industry]], Mean_ROE_L, 2, FALSE))/(VLOOKUP(Main_L[[#This Row],[Industry]], Mean_ROE_L, 3, FALSE))</f>
        <v>-0.69715176856746985</v>
      </c>
      <c r="R87" s="1">
        <f>(Main_L[[#This Row],[ROA]]-VLOOKUP(Main_L[[#This Row],[Industry]], Mean_ROA_L, 2, FALSE))/(VLOOKUP(Main_L[[#This Row],[Industry]], Mean_ROA_L, 3, FALSE))</f>
        <v>-1.0600203701454856</v>
      </c>
      <c r="S87" s="1">
        <f>(Main_L[[#This Row],[A/E]]-VLOOKUP(Main_L[[#This Row],[Industry]], Mean_AE_L, 2, FALSE))/(VLOOKUP(Main_L[[#This Row],[Industry]], Mean_AE_L, 3, FALSE))</f>
        <v>-1.0549966125199459</v>
      </c>
      <c r="T87" s="1">
        <f>(Main_L[[#This Row],[P/E]]-VLOOKUP(Main_L[[#This Row],[Industry]], Mean_PE_L, 2, FALSE))/(VLOOKUP(Main_L[[#This Row],[Industry]], Mean_PE_L, 3, FALSE))</f>
        <v>0.6603409262082468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172</v>
      </c>
      <c r="B88" t="s">
        <v>187</v>
      </c>
      <c r="C88" s="2">
        <v>19244</v>
      </c>
      <c r="D88">
        <f>RTD("tos.rtd", , "LAST", Main_L[[#This Row],[Symbol]])</f>
        <v>18.07</v>
      </c>
      <c r="E88">
        <v>0.67</v>
      </c>
      <c r="F88">
        <v>5.46</v>
      </c>
      <c r="G88">
        <v>-1.1399999999999999</v>
      </c>
      <c r="H88" s="1">
        <f>IF(ISNUMBER(Main_L[[#This Row],[Free CF]]),IF(Main_L[[#This Row],[Free CF]]&lt;&gt;0,Main_L[[#This Row],[Current Price]]/Main_L[[#This Row],[Free CF]],""),"")</f>
        <v>26.970149253731343</v>
      </c>
      <c r="I88" s="1">
        <f>IF(ISNUMBER(Main_L[[#This Row],[BVPS]]),IF(Main_L[[#This Row],[BVPS]]&lt;&gt;0,Main_L[[#This Row],[Current Price]]/Main_L[[#This Row],[BVPS]],""),"")</f>
        <v>3.3095238095238098</v>
      </c>
      <c r="J88">
        <v>-19.11</v>
      </c>
      <c r="K88">
        <v>5.27</v>
      </c>
      <c r="L88">
        <v>6.13</v>
      </c>
      <c r="M88" s="1">
        <f>IF(ISNUMBER(Main_L[[#This Row],[EPS]]),IF(Main_L[[#This Row],[EPS]]&lt;&gt;0,Main_L[[#This Row],[Current Price]]/Main_L[[#This Row],[EPS]],""),"")</f>
        <v>-15.850877192982457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0.50837468029993282</v>
      </c>
      <c r="P88" s="1">
        <f>(Main_L[[#This Row],[P/B]]-VLOOKUP(Main_L[[#This Row],[Industry]], Mean_PB_L, 2, FALSE))/(VLOOKUP(Main_L[[#This Row],[Industry]], Mean_PB_L, 3, FALSE))</f>
        <v>2.589688401428486E-2</v>
      </c>
      <c r="Q88" s="1">
        <f>(Main_L[[#This Row],[ROE]]-VLOOKUP(Main_L[[#This Row],[Industry]], Mean_ROE_L, 2, FALSE))/(VLOOKUP(Main_L[[#This Row],[Industry]], Mean_ROE_L, 3, FALSE))</f>
        <v>-1.9100860780640534</v>
      </c>
      <c r="R88" s="1">
        <f>(Main_L[[#This Row],[ROA]]-VLOOKUP(Main_L[[#This Row],[Industry]], Mean_ROA_L, 2, FALSE))/(VLOOKUP(Main_L[[#This Row],[Industry]], Mean_ROA_L, 3, FALSE))</f>
        <v>-0.59803181590067123</v>
      </c>
      <c r="S88" s="1">
        <f>(Main_L[[#This Row],[A/E]]-VLOOKUP(Main_L[[#This Row],[Industry]], Mean_AE_L, 2, FALSE))/(VLOOKUP(Main_L[[#This Row],[Industry]], Mean_AE_L, 3, FALSE))</f>
        <v>4.9948605514220308</v>
      </c>
      <c r="T88" s="1">
        <f>(Main_L[[#This Row],[P/E]]-VLOOKUP(Main_L[[#This Row],[Industry]], Mean_PE_L, 2, FALSE))/(VLOOKUP(Main_L[[#This Row],[Industry]], Mean_PE_L, 3, FALSE))</f>
        <v>-2.2633966086124775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t="s">
        <v>172</v>
      </c>
      <c r="B89" t="s">
        <v>184</v>
      </c>
      <c r="C89" s="2">
        <v>13855</v>
      </c>
      <c r="D89">
        <f>RTD("tos.rtd", , "LAST", Main_L[[#This Row],[Symbol]])</f>
        <v>33.39</v>
      </c>
      <c r="E89">
        <v>0.63</v>
      </c>
      <c r="F89">
        <v>15.72</v>
      </c>
      <c r="G89">
        <v>2.4500000000000002</v>
      </c>
      <c r="H89" s="1">
        <f>IF(ISNUMBER(Main_L[[#This Row],[Free CF]]),IF(Main_L[[#This Row],[Free CF]]&lt;&gt;0,Main_L[[#This Row],[Current Price]]/Main_L[[#This Row],[Free CF]],""),"")</f>
        <v>53</v>
      </c>
      <c r="I89" s="1">
        <f>IF(ISNUMBER(Main_L[[#This Row],[BVPS]]),IF(Main_L[[#This Row],[BVPS]]&lt;&gt;0,Main_L[[#This Row],[Current Price]]/Main_L[[#This Row],[BVPS]],""),"")</f>
        <v>2.1240458015267176</v>
      </c>
      <c r="J89">
        <v>18</v>
      </c>
      <c r="K89">
        <v>7.04</v>
      </c>
      <c r="L89">
        <v>2.63</v>
      </c>
      <c r="M89" s="1">
        <f>IF(ISNUMBER(Main_L[[#This Row],[EPS]]),IF(Main_L[[#This Row],[EPS]]&lt;&gt;0,Main_L[[#This Row],[Current Price]]/Main_L[[#This Row],[EPS]],""),"")</f>
        <v>13.628571428571428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2.2632731009101237</v>
      </c>
      <c r="P89" s="1">
        <f>(Main_L[[#This Row],[P/B]]-VLOOKUP(Main_L[[#This Row],[Industry]], Mean_PB_L, 2, FALSE))/(VLOOKUP(Main_L[[#This Row],[Industry]], Mean_PB_L, 3, FALSE))</f>
        <v>-0.48011322259084366</v>
      </c>
      <c r="Q89" s="1">
        <f>(Main_L[[#This Row],[ROE]]-VLOOKUP(Main_L[[#This Row],[Industry]], Mean_ROE_L, 2, FALSE))/(VLOOKUP(Main_L[[#This Row],[Industry]], Mean_ROE_L, 3, FALSE))</f>
        <v>7.9834002635248855E-2</v>
      </c>
      <c r="R89" s="1">
        <f>(Main_L[[#This Row],[ROA]]-VLOOKUP(Main_L[[#This Row],[Industry]], Mean_ROA_L, 2, FALSE))/(VLOOKUP(Main_L[[#This Row],[Industry]], Mean_ROA_L, 3, FALSE))</f>
        <v>-0.17434283091967548</v>
      </c>
      <c r="S89" s="1">
        <f>(Main_L[[#This Row],[A/E]]-VLOOKUP(Main_L[[#This Row],[Industry]], Mean_AE_L, 2, FALSE))/(VLOOKUP(Main_L[[#This Row],[Industry]], Mean_AE_L, 3, FALSE))</f>
        <v>0.29984944858457646</v>
      </c>
      <c r="T89" s="1">
        <f>(Main_L[[#This Row],[P/E]]-VLOOKUP(Main_L[[#This Row],[Industry]], Mean_PE_L, 2, FALSE))/(VLOOKUP(Main_L[[#This Row],[Industry]], Mean_PE_L, 3, FALSE))</f>
        <v>-0.34036519792649556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t="s">
        <v>172</v>
      </c>
      <c r="B90" t="s">
        <v>176</v>
      </c>
      <c r="C90" s="2">
        <v>51088</v>
      </c>
      <c r="D90">
        <f>RTD("tos.rtd", , "LAST", Main_L[[#This Row],[Symbol]])</f>
        <v>10.88</v>
      </c>
      <c r="E90">
        <v>0.32</v>
      </c>
      <c r="F90">
        <v>2.2400000000000002</v>
      </c>
      <c r="G90">
        <v>0.2</v>
      </c>
      <c r="H90" s="1">
        <f>IF(ISNUMBER(Main_L[[#This Row],[Free CF]]),IF(Main_L[[#This Row],[Free CF]]&lt;&gt;0,Main_L[[#This Row],[Current Price]]/Main_L[[#This Row],[Free CF]],""),"")</f>
        <v>34</v>
      </c>
      <c r="I90" s="1">
        <f>IF(ISNUMBER(Main_L[[#This Row],[BVPS]]),IF(Main_L[[#This Row],[BVPS]]&lt;&gt;0,Main_L[[#This Row],[Current Price]]/Main_L[[#This Row],[BVPS]],""),"")</f>
        <v>4.8571428571428568</v>
      </c>
      <c r="J90">
        <v>8.9499999999999993</v>
      </c>
      <c r="K90">
        <v>4.55</v>
      </c>
      <c r="L90">
        <v>2.12</v>
      </c>
      <c r="M90" s="1">
        <f>IF(ISNUMBER(Main_L[[#This Row],[EPS]]),IF(Main_L[[#This Row],[EPS]]&lt;&gt;0,Main_L[[#This Row],[Current Price]]/Main_L[[#This Row],[EPS]],""),"")</f>
        <v>54.4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0.98231800375601086</v>
      </c>
      <c r="P90" s="1">
        <f>(Main_L[[#This Row],[P/B]]-VLOOKUP(Main_L[[#This Row],[Industry]], Mean_PB_L, 2, FALSE))/(VLOOKUP(Main_L[[#This Row],[Industry]], Mean_PB_L, 3, FALSE))</f>
        <v>0.68648347776555607</v>
      </c>
      <c r="Q90" s="1">
        <f>(Main_L[[#This Row],[ROE]]-VLOOKUP(Main_L[[#This Row],[Industry]], Mean_ROE_L, 2, FALSE))/(VLOOKUP(Main_L[[#This Row],[Industry]], Mean_ROE_L, 3, FALSE))</f>
        <v>-0.40544696557624904</v>
      </c>
      <c r="R90" s="1">
        <f>(Main_L[[#This Row],[ROA]]-VLOOKUP(Main_L[[#This Row],[Industry]], Mean_ROA_L, 2, FALSE))/(VLOOKUP(Main_L[[#This Row],[Industry]], Mean_ROA_L, 3, FALSE))</f>
        <v>-0.77037987758785575</v>
      </c>
      <c r="S90" s="1">
        <f>(Main_L[[#This Row],[A/E]]-VLOOKUP(Main_L[[#This Row],[Industry]], Mean_AE_L, 2, FALSE))/(VLOOKUP(Main_L[[#This Row],[Industry]], Mean_AE_L, 3, FALSE))</f>
        <v>-0.3842807406860238</v>
      </c>
      <c r="T90" s="1">
        <f>(Main_L[[#This Row],[P/E]]-VLOOKUP(Main_L[[#This Row],[Industry]], Mean_PE_L, 2, FALSE))/(VLOOKUP(Main_L[[#This Row],[Industry]], Mean_PE_L, 3, FALSE))</f>
        <v>2.3192753811062969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t="s">
        <v>172</v>
      </c>
      <c r="B91" t="s">
        <v>183</v>
      </c>
      <c r="C91" s="2">
        <v>12247</v>
      </c>
      <c r="D91">
        <f>RTD("tos.rtd", , "LAST", Main_L[[#This Row],[Symbol]])</f>
        <v>15.63</v>
      </c>
      <c r="E91">
        <v>0.18</v>
      </c>
      <c r="F91">
        <v>4.68</v>
      </c>
      <c r="G91">
        <v>0.79</v>
      </c>
      <c r="H91" s="1">
        <f>IF(ISNUMBER(Main_L[[#This Row],[Free CF]]),IF(Main_L[[#This Row],[Free CF]]&lt;&gt;0,Main_L[[#This Row],[Current Price]]/Main_L[[#This Row],[Free CF]],""),"")</f>
        <v>86.833333333333343</v>
      </c>
      <c r="I91" s="1">
        <f>IF(ISNUMBER(Main_L[[#This Row],[BVPS]]),IF(Main_L[[#This Row],[BVPS]]&lt;&gt;0,Main_L[[#This Row],[Current Price]]/Main_L[[#This Row],[BVPS]],""),"")</f>
        <v>3.3397435897435903</v>
      </c>
      <c r="J91">
        <v>18.53</v>
      </c>
      <c r="K91">
        <v>10.58</v>
      </c>
      <c r="L91">
        <v>1.48</v>
      </c>
      <c r="M91" s="1">
        <f>IF(ISNUMBER(Main_L[[#This Row],[EPS]]),IF(Main_L[[#This Row],[EPS]]&lt;&gt;0,Main_L[[#This Row],[Current Price]]/Main_L[[#This Row],[EPS]],""),"")</f>
        <v>19.784810126582279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4.5442720897020976</v>
      </c>
      <c r="P91" s="1">
        <f>(Main_L[[#This Row],[P/B]]-VLOOKUP(Main_L[[#This Row],[Industry]], Mean_PB_L, 2, FALSE))/(VLOOKUP(Main_L[[#This Row],[Industry]], Mean_PB_L, 3, FALSE))</f>
        <v>3.879591217629208E-2</v>
      </c>
      <c r="Q91" s="1">
        <f>(Main_L[[#This Row],[ROE]]-VLOOKUP(Main_L[[#This Row],[Industry]], Mean_ROE_L, 2, FALSE))/(VLOOKUP(Main_L[[#This Row],[Industry]], Mean_ROE_L, 3, FALSE))</f>
        <v>0.10825377204432006</v>
      </c>
      <c r="R91" s="1">
        <f>(Main_L[[#This Row],[ROA]]-VLOOKUP(Main_L[[#This Row],[Industry]], Mean_ROA_L, 2, FALSE))/(VLOOKUP(Main_L[[#This Row],[Industry]], Mean_ROA_L, 3, FALSE))</f>
        <v>0.67303513904231571</v>
      </c>
      <c r="S91" s="1">
        <f>(Main_L[[#This Row],[A/E]]-VLOOKUP(Main_L[[#This Row],[Industry]], Mean_AE_L, 2, FALSE))/(VLOOKUP(Main_L[[#This Row],[Industry]], Mean_AE_L, 3, FALSE))</f>
        <v>-1.2427970566334443</v>
      </c>
      <c r="T91" s="1">
        <f>(Main_L[[#This Row],[P/E]]-VLOOKUP(Main_L[[#This Row],[Industry]], Mean_PE_L, 2, FALSE))/(VLOOKUP(Main_L[[#This Row],[Industry]], Mean_PE_L, 3, FALSE))</f>
        <v>6.1224415907042126E-2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t="s">
        <v>172</v>
      </c>
      <c r="B92" t="s">
        <v>296</v>
      </c>
      <c r="C92" s="2">
        <v>11412</v>
      </c>
      <c r="D92">
        <f>RTD("tos.rtd", , "LAST", Main_L[[#This Row],[Symbol]])</f>
        <v>639.95000000000005</v>
      </c>
      <c r="E92">
        <v>-0.31</v>
      </c>
      <c r="F92">
        <v>0.63</v>
      </c>
      <c r="G92">
        <v>-0.33</v>
      </c>
      <c r="H92" s="1">
        <f>IF(ISNUMBER(Main_L[[#This Row],[Free CF]]),IF(Main_L[[#This Row],[Free CF]]&lt;&gt;0,Main_L[[#This Row],[Current Price]]/Main_L[[#This Row],[Free CF]],""),"")</f>
        <v>-2064.3548387096776</v>
      </c>
      <c r="I92" s="1">
        <f>IF(ISNUMBER(Main_L[[#This Row],[BVPS]]),IF(Main_L[[#This Row],[BVPS]]&lt;&gt;0,Main_L[[#This Row],[Current Price]]/Main_L[[#This Row],[BVPS]],""),"")</f>
        <v>1015.7936507936508</v>
      </c>
      <c r="J92">
        <v>-43.18</v>
      </c>
      <c r="K92">
        <v>-28.12</v>
      </c>
      <c r="L92">
        <v>1.03</v>
      </c>
      <c r="M92" s="1">
        <f>IF(ISNUMBER(Main_L[[#This Row],[EPS]]),IF(Main_L[[#This Row],[EPS]]&lt;&gt;0,Main_L[[#This Row],[Current Price]]/Main_L[[#This Row],[EPS]],""),"")</f>
        <v>-1939.2424242424242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-140.48601495851545</v>
      </c>
      <c r="P92" s="1">
        <f>(Main_L[[#This Row],[P/B]]-VLOOKUP(Main_L[[#This Row],[Industry]], Mean_PB_L, 2, FALSE))/(VLOOKUP(Main_L[[#This Row],[Industry]], Mean_PB_L, 3, FALSE))</f>
        <v>432.19519701032692</v>
      </c>
      <c r="Q92" s="1">
        <f>(Main_L[[#This Row],[ROE]]-VLOOKUP(Main_L[[#This Row],[Industry]], Mean_ROE_L, 2, FALSE))/(VLOOKUP(Main_L[[#This Row],[Industry]], Mean_ROE_L, 3, FALSE))</f>
        <v>-3.2007725868873411</v>
      </c>
      <c r="R92" s="1">
        <f>(Main_L[[#This Row],[ROA]]-VLOOKUP(Main_L[[#This Row],[Industry]], Mean_ROA_L, 2, FALSE))/(VLOOKUP(Main_L[[#This Row],[Industry]], Mean_ROA_L, 3, FALSE))</f>
        <v>-8.5906731766438593</v>
      </c>
      <c r="S92" s="1">
        <f>(Main_L[[#This Row],[A/E]]-VLOOKUP(Main_L[[#This Row],[Industry]], Mean_AE_L, 2, FALSE))/(VLOOKUP(Main_L[[#This Row],[Industry]], Mean_AE_L, 3, FALSE))</f>
        <v>-1.8464413412839742</v>
      </c>
      <c r="T92" s="1">
        <f>(Main_L[[#This Row],[P/E]]-VLOOKUP(Main_L[[#This Row],[Industry]], Mean_PE_L, 2, FALSE))/(VLOOKUP(Main_L[[#This Row],[Industry]], Mean_PE_L, 3, FALSE))</f>
        <v>-127.73190205819023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3" spans="1:26" x14ac:dyDescent="0.25">
      <c r="A93" t="s">
        <v>172</v>
      </c>
      <c r="B93" t="s">
        <v>178</v>
      </c>
      <c r="C93" s="2">
        <v>662233</v>
      </c>
      <c r="D93">
        <f>RTD("tos.rtd", , "LAST", Main_L[[#This Row],[Symbol]])</f>
        <v>773.71</v>
      </c>
      <c r="E93">
        <v>-0.74</v>
      </c>
      <c r="F93">
        <v>16.64</v>
      </c>
      <c r="G93">
        <v>12.29</v>
      </c>
      <c r="H93" s="1">
        <f>IF(ISNUMBER(Main_L[[#This Row],[Free CF]]),IF(Main_L[[#This Row],[Free CF]]&lt;&gt;0,Main_L[[#This Row],[Current Price]]/Main_L[[#This Row],[Free CF]],""),"")</f>
        <v>-1045.5540540540542</v>
      </c>
      <c r="I93" s="1">
        <f>IF(ISNUMBER(Main_L[[#This Row],[BVPS]]),IF(Main_L[[#This Row],[BVPS]]&lt;&gt;0,Main_L[[#This Row],[Current Price]]/Main_L[[#This Row],[BVPS]],""),"")</f>
        <v>46.496995192307693</v>
      </c>
      <c r="J93">
        <v>77.28</v>
      </c>
      <c r="K93">
        <v>16.45</v>
      </c>
      <c r="L93">
        <v>5.67</v>
      </c>
      <c r="M93" s="1">
        <f>IF(ISNUMBER(Main_L[[#This Row],[EPS]]),IF(Main_L[[#This Row],[EPS]]&lt;&gt;0,Main_L[[#This Row],[Current Price]]/Main_L[[#This Row],[EPS]],""),"")</f>
        <v>62.95443449959317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-71.799801374871748</v>
      </c>
      <c r="P93" s="1">
        <f>(Main_L[[#This Row],[P/B]]-VLOOKUP(Main_L[[#This Row],[Industry]], Mean_PB_L, 2, FALSE))/(VLOOKUP(Main_L[[#This Row],[Industry]], Mean_PB_L, 3, FALSE))</f>
        <v>18.460061711188381</v>
      </c>
      <c r="Q93" s="1">
        <f>(Main_L[[#This Row],[ROE]]-VLOOKUP(Main_L[[#This Row],[Industry]], Mean_ROE_L, 2, FALSE))/(VLOOKUP(Main_L[[#This Row],[Industry]], Mean_ROE_L, 3, FALSE))</f>
        <v>3.2585583999366405</v>
      </c>
      <c r="R93" s="1">
        <f>(Main_L[[#This Row],[ROA]]-VLOOKUP(Main_L[[#This Row],[Industry]], Mean_ROA_L, 2, FALSE))/(VLOOKUP(Main_L[[#This Row],[Industry]], Mean_ROA_L, 3, FALSE))</f>
        <v>2.0781505864086682</v>
      </c>
      <c r="S93" s="1">
        <f>(Main_L[[#This Row],[A/E]]-VLOOKUP(Main_L[[#This Row],[Industry]], Mean_AE_L, 2, FALSE))/(VLOOKUP(Main_L[[#This Row],[Industry]], Mean_AE_L, 3, FALSE))</f>
        <v>4.377801949334823</v>
      </c>
      <c r="T93" s="1">
        <f>(Main_L[[#This Row],[P/E]]-VLOOKUP(Main_L[[#This Row],[Industry]], Mean_PE_L, 2, FALSE))/(VLOOKUP(Main_L[[#This Row],[Industry]], Mean_PE_L, 3, FALSE))</f>
        <v>2.8773063827901533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4" spans="1:26" x14ac:dyDescent="0.25">
      <c r="A94" t="s">
        <v>172</v>
      </c>
      <c r="B94" t="s">
        <v>560</v>
      </c>
      <c r="C94" s="2">
        <v>12304</v>
      </c>
      <c r="D94">
        <f>RTD("tos.rtd", , "LAST", Main_L[[#This Row],[Symbol]])</f>
        <v>15.615</v>
      </c>
      <c r="E94">
        <v>-1.39</v>
      </c>
      <c r="F94">
        <v>10.37</v>
      </c>
      <c r="G94">
        <v>2.16</v>
      </c>
      <c r="H94" s="1">
        <f>IF(ISNUMBER(Main_L[[#This Row],[Free CF]]),IF(Main_L[[#This Row],[Free CF]]&lt;&gt;0,Main_L[[#This Row],[Current Price]]/Main_L[[#This Row],[Free CF]],""),"")</f>
        <v>-11.233812949640289</v>
      </c>
      <c r="I94" s="1">
        <f>IF(ISNUMBER(Main_L[[#This Row],[BVPS]]),IF(Main_L[[#This Row],[BVPS]]&lt;&gt;0,Main_L[[#This Row],[Current Price]]/Main_L[[#This Row],[BVPS]],""),"")</f>
        <v>1.5057859209257476</v>
      </c>
      <c r="J94">
        <v>22.02</v>
      </c>
      <c r="K94">
        <v>9.33</v>
      </c>
      <c r="L94">
        <v>2.61</v>
      </c>
      <c r="M94" s="1">
        <f>IF(ISNUMBER(Main_L[[#This Row],[EPS]]),IF(Main_L[[#This Row],[EPS]]&lt;&gt;0,Main_L[[#This Row],[Current Price]]/Main_L[[#This Row],[EPS]],""),"")</f>
        <v>7.2291666666666661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-2.0672863784312234</v>
      </c>
      <c r="P94" s="1">
        <f>(Main_L[[#This Row],[P/B]]-VLOOKUP(Main_L[[#This Row],[Industry]], Mean_PB_L, 2, FALSE))/(VLOOKUP(Main_L[[#This Row],[Industry]], Mean_PB_L, 3, FALSE))</f>
        <v>-0.74401162136513643</v>
      </c>
      <c r="Q94" s="1">
        <f>(Main_L[[#This Row],[ROE]]-VLOOKUP(Main_L[[#This Row],[Industry]], Mean_ROE_L, 2, FALSE))/(VLOOKUP(Main_L[[#This Row],[Industry]], Mean_ROE_L, 3, FALSE))</f>
        <v>0.29539527249273184</v>
      </c>
      <c r="R94" s="1">
        <f>(Main_L[[#This Row],[ROA]]-VLOOKUP(Main_L[[#This Row],[Industry]], Mean_ROA_L, 2, FALSE))/(VLOOKUP(Main_L[[#This Row],[Industry]], Mean_ROA_L, 3, FALSE))</f>
        <v>0.37381975416873131</v>
      </c>
      <c r="S94" s="1">
        <f>(Main_L[[#This Row],[A/E]]-VLOOKUP(Main_L[[#This Row],[Industry]], Mean_AE_L, 2, FALSE))/(VLOOKUP(Main_L[[#This Row],[Industry]], Mean_AE_L, 3, FALSE))</f>
        <v>0.27302081371121956</v>
      </c>
      <c r="T94" s="1">
        <f>(Main_L[[#This Row],[P/E]]-VLOOKUP(Main_L[[#This Row],[Industry]], Mean_PE_L, 2, FALSE))/(VLOOKUP(Main_L[[#This Row],[Industry]], Mean_PE_L, 3, FALSE))</f>
        <v>-0.7578172515527154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14"/>
  <sheetViews>
    <sheetView topLeftCell="H1"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152</v>
      </c>
      <c r="B2" s="67" t="s">
        <v>239</v>
      </c>
      <c r="C2" s="2">
        <v>2126</v>
      </c>
      <c r="D2">
        <f>RTD("tos.rtd", , "LAST", Main_M[[#This Row],[Symbol]])</f>
        <v>29.88</v>
      </c>
      <c r="H2" s="1" t="str">
        <f>IF(ISNUMBER(Main_M[[#This Row],[Free CF]]),IF(Main_M[[#This Row],[Free CF]]&lt;&gt;0,Main_M[[#This Row],[Current Price]]/Main_M[[#This Row],[Free CF]],""),"")</f>
        <v/>
      </c>
      <c r="I2" s="1" t="str">
        <f>IF(ISNUMBER(Main_M[[#This Row],[BVPS]]),IF(Main_M[[#This Row],[BVPS]]&lt;&gt;0,Main_M[[#This Row],[Current Price]]/Main_M[[#This Row],[BVPS]],""),"")</f>
        <v/>
      </c>
      <c r="J2">
        <v>-235.32</v>
      </c>
      <c r="K2">
        <v>-9.25</v>
      </c>
      <c r="L2">
        <v>9.91</v>
      </c>
      <c r="M2" s="1" t="str">
        <f>IF(ISNUMBER(Main_M[[#This Row],[EPS]]),IF(Main_M[[#This Row],[EPS]]&lt;&gt;0,Main_M[[#This Row],[Current Price]]/Main_M[[#This Row],[EPS]],""),"")</f>
        <v/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 t="e">
        <f>(Main_M[[#This Row],[P/FCF]]-VLOOKUP(Main_M[[#This Row],[Industry]], Mean_PFCF_M, 2, FALSE))/(VLOOKUP(Main_M[[#This Row],[Industry]], Mean_PFCF_M, 3, FALSE))</f>
        <v>#VALUE!</v>
      </c>
      <c r="P2" s="1" t="e">
        <f>(Main_M[[#This Row],[P/B]]-VLOOKUP(Main_M[[#This Row],[Industry]], Mean_PB_M, 2, FALSE))/(VLOOKUP(Main_M[[#This Row],[Industry]], Mean_PB_M, 3, FALSE))</f>
        <v>#VALUE!</v>
      </c>
      <c r="Q2" s="1">
        <f>(Main_M[[#This Row],[ROE]]-VLOOKUP(Main_M[[#This Row],[Industry]], Mean_ROE_M, 2, FALSE))/(VLOOKUP(Main_M[[#This Row],[Industry]], Mean_ROE_M, 3, FALSE))</f>
        <v>-2.351969804092604</v>
      </c>
      <c r="R2" s="1">
        <f>(Main_M[[#This Row],[ROA]]-VLOOKUP(Main_M[[#This Row],[Industry]], Mean_ROA_M, 2, FALSE))/(VLOOKUP(Main_M[[#This Row],[Industry]], Mean_ROA_M, 3, FALSE))</f>
        <v>0.10930241320228287</v>
      </c>
      <c r="S2" s="1">
        <f>(Main_M[[#This Row],[A/E]]-VLOOKUP(Main_M[[#This Row],[Industry]], Mean_AE_M, 2, FALSE))/(VLOOKUP(Main_M[[#This Row],[Industry]], Mean_AE_M, 3, FALSE))</f>
        <v>9.7202018807187827</v>
      </c>
      <c r="T2" s="1" t="e">
        <f>(Main_M[[#This Row],[P/E]]-VLOOKUP(Main_M[[#This Row],[Industry]], Mean_PE_M, 2, FALSE))/(VLOOKUP(Main_M[[#This Row],[Industry]], Mean_PE_M, 3, FALSE))</f>
        <v>#VALUE!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" spans="1:26" x14ac:dyDescent="0.25">
      <c r="A3" s="67" t="s">
        <v>152</v>
      </c>
      <c r="B3" s="67" t="s">
        <v>270</v>
      </c>
      <c r="C3" s="2">
        <v>3846</v>
      </c>
      <c r="D3">
        <f>RTD("tos.rtd", , "LAST", Main_M[[#This Row],[Symbol]])</f>
        <v>51.69</v>
      </c>
      <c r="E3">
        <v>8.7899999999999991</v>
      </c>
      <c r="F3">
        <v>-2.34</v>
      </c>
      <c r="G3">
        <v>7.51</v>
      </c>
      <c r="H3" s="1">
        <f>IF(ISNUMBER(Main_M[[#This Row],[Free CF]]),IF(Main_M[[#This Row],[Free CF]]&lt;&gt;0,Main_M[[#This Row],[Current Price]]/Main_M[[#This Row],[Free CF]],""),"")</f>
        <v>5.8805460750853245</v>
      </c>
      <c r="I3" s="1">
        <f>IF(ISNUMBER(Main_M[[#This Row],[BVPS]]),IF(Main_M[[#This Row],[BVPS]]&lt;&gt;0,Main_M[[#This Row],[Current Price]]/Main_M[[#This Row],[BVPS]],""),"")</f>
        <v>-22.089743589743591</v>
      </c>
      <c r="J3">
        <v>-110.19</v>
      </c>
      <c r="K3">
        <v>24.42</v>
      </c>
      <c r="L3">
        <v>-14.3</v>
      </c>
      <c r="M3" s="1">
        <f>IF(ISNUMBER(Main_M[[#This Row],[EPS]]),IF(Main_M[[#This Row],[EPS]]&lt;&gt;0,Main_M[[#This Row],[Current Price]]/Main_M[[#This Row],[EPS]],""),"")</f>
        <v>6.8828229027962715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1.3463330320510618</v>
      </c>
      <c r="P3" s="1">
        <f>(Main_M[[#This Row],[P/B]]-VLOOKUP(Main_M[[#This Row],[Industry]], Mean_PB_M, 2, FALSE))/(VLOOKUP(Main_M[[#This Row],[Industry]], Mean_PB_M, 3, FALSE))</f>
        <v>-5.3784709640783959</v>
      </c>
      <c r="Q3" s="1">
        <f>(Main_M[[#This Row],[ROE]]-VLOOKUP(Main_M[[#This Row],[Industry]], Mean_ROE_M, 2, FALSE))/(VLOOKUP(Main_M[[#This Row],[Industry]], Mean_ROE_M, 3, FALSE))</f>
        <v>-0.94773726233458533</v>
      </c>
      <c r="R3" s="1">
        <f>(Main_M[[#This Row],[ROA]]-VLOOKUP(Main_M[[#This Row],[Industry]], Mean_ROA_M, 2, FALSE))/(VLOOKUP(Main_M[[#This Row],[Industry]], Mean_ROA_M, 3, FALSE))</f>
        <v>1.8848814006505719</v>
      </c>
      <c r="S3" s="1">
        <f>(Main_M[[#This Row],[A/E]]-VLOOKUP(Main_M[[#This Row],[Industry]], Mean_AE_M, 2, FALSE))/(VLOOKUP(Main_M[[#This Row],[Industry]], Mean_AE_M, 3, FALSE))</f>
        <v>-18.171860901391813</v>
      </c>
      <c r="T3" s="1">
        <f>(Main_M[[#This Row],[P/E]]-VLOOKUP(Main_M[[#This Row],[Industry]], Mean_PE_M, 2, FALSE))/(VLOOKUP(Main_M[[#This Row],[Industry]], Mean_PE_M, 3, FALSE))</f>
        <v>0.84401826369484856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7" t="s">
        <v>152</v>
      </c>
      <c r="B4" s="67" t="s">
        <v>271</v>
      </c>
      <c r="C4" s="2">
        <v>2942</v>
      </c>
      <c r="D4">
        <f>RTD("tos.rtd", , "LAST", Main_M[[#This Row],[Symbol]])</f>
        <v>55.68</v>
      </c>
      <c r="E4">
        <v>5.4</v>
      </c>
      <c r="F4">
        <v>11.13</v>
      </c>
      <c r="G4">
        <v>0.86</v>
      </c>
      <c r="H4" s="1">
        <f>IF(ISNUMBER(Main_M[[#This Row],[Free CF]]),IF(Main_M[[#This Row],[Free CF]]&lt;&gt;0,Main_M[[#This Row],[Current Price]]/Main_M[[#This Row],[Free CF]],""),"")</f>
        <v>10.31111111111111</v>
      </c>
      <c r="I4" s="1">
        <f>IF(ISNUMBER(Main_M[[#This Row],[BVPS]]),IF(Main_M[[#This Row],[BVPS]]&lt;&gt;0,Main_M[[#This Row],[Current Price]]/Main_M[[#This Row],[BVPS]],""),"")</f>
        <v>5.0026954177897567</v>
      </c>
      <c r="J4">
        <v>8.99</v>
      </c>
      <c r="K4">
        <v>2.48</v>
      </c>
      <c r="L4">
        <v>1.08</v>
      </c>
      <c r="M4" s="1">
        <f>IF(ISNUMBER(Main_M[[#This Row],[EPS]]),IF(Main_M[[#This Row],[EPS]]&lt;&gt;0,Main_M[[#This Row],[Current Price]]/Main_M[[#This Row],[EPS]],""),"")</f>
        <v>64.744186046511629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1.6828986321993156</v>
      </c>
      <c r="P4" s="1">
        <f>(Main_M[[#This Row],[P/B]]-VLOOKUP(Main_M[[#This Row],[Industry]], Mean_PB_M, 2, FALSE))/(VLOOKUP(Main_M[[#This Row],[Industry]], Mean_PB_M, 3, FALSE))</f>
        <v>-8.6683619265807588E-2</v>
      </c>
      <c r="Q4" s="1">
        <f>(Main_M[[#This Row],[ROE]]-VLOOKUP(Main_M[[#This Row],[Industry]], Mean_ROE_M, 2, FALSE))/(VLOOKUP(Main_M[[#This Row],[Industry]], Mean_ROE_M, 3, FALSE))</f>
        <v>0.38972325334287544</v>
      </c>
      <c r="R4" s="1">
        <f>(Main_M[[#This Row],[ROA]]-VLOOKUP(Main_M[[#This Row],[Industry]], Mean_ROA_M, 2, FALSE))/(VLOOKUP(Main_M[[#This Row],[Industry]], Mean_ROA_M, 3, FALSE))</f>
        <v>0.727881015007107</v>
      </c>
      <c r="S4" s="1">
        <f>(Main_M[[#This Row],[A/E]]-VLOOKUP(Main_M[[#This Row],[Industry]], Mean_AE_M, 2, FALSE))/(VLOOKUP(Main_M[[#This Row],[Industry]], Mean_AE_M, 3, FALSE))</f>
        <v>-0.45273964617244189</v>
      </c>
      <c r="T4" s="1">
        <f>(Main_M[[#This Row],[P/E]]-VLOOKUP(Main_M[[#This Row],[Industry]], Mean_PE_M, 2, FALSE))/(VLOOKUP(Main_M[[#This Row],[Industry]], Mean_PE_M, 3, FALSE))</f>
        <v>4.0252688729472164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" spans="1:26" x14ac:dyDescent="0.25">
      <c r="A5" s="67" t="s">
        <v>152</v>
      </c>
      <c r="B5" s="67" t="s">
        <v>259</v>
      </c>
      <c r="C5" s="2">
        <v>3640</v>
      </c>
      <c r="D5">
        <f>RTD("tos.rtd", , "LAST", Main_M[[#This Row],[Symbol]])</f>
        <v>136.08000000000001</v>
      </c>
      <c r="E5">
        <v>4.5</v>
      </c>
      <c r="F5">
        <v>34.07</v>
      </c>
      <c r="G5">
        <v>4.16</v>
      </c>
      <c r="H5" s="1">
        <f>IF(ISNUMBER(Main_M[[#This Row],[Free CF]]),IF(Main_M[[#This Row],[Free CF]]&lt;&gt;0,Main_M[[#This Row],[Current Price]]/Main_M[[#This Row],[Free CF]],""),"")</f>
        <v>30.240000000000002</v>
      </c>
      <c r="I5" s="1">
        <f>IF(ISNUMBER(Main_M[[#This Row],[BVPS]]),IF(Main_M[[#This Row],[BVPS]]&lt;&gt;0,Main_M[[#This Row],[Current Price]]/Main_M[[#This Row],[BVPS]],""),"")</f>
        <v>3.9941297329028473</v>
      </c>
      <c r="J5">
        <v>13.9</v>
      </c>
      <c r="K5">
        <v>8.66</v>
      </c>
      <c r="L5">
        <v>1.0900000000000001</v>
      </c>
      <c r="M5" s="1">
        <f>IF(ISNUMBER(Main_M[[#This Row],[EPS]]),IF(Main_M[[#This Row],[EPS]]&lt;&gt;0,Main_M[[#This Row],[Current Price]]/Main_M[[#This Row],[EPS]],""),"")</f>
        <v>32.71153846153846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3.1967864534225141</v>
      </c>
      <c r="P5" s="1">
        <f>(Main_M[[#This Row],[P/B]]-VLOOKUP(Main_M[[#This Row],[Industry]], Mean_PB_M, 2, FALSE))/(VLOOKUP(Main_M[[#This Row],[Industry]], Mean_PB_M, 3, FALSE))</f>
        <v>-0.28368009958316642</v>
      </c>
      <c r="Q5" s="1">
        <f>(Main_M[[#This Row],[ROE]]-VLOOKUP(Main_M[[#This Row],[Industry]], Mean_ROE_M, 2, FALSE))/(VLOOKUP(Main_M[[#This Row],[Industry]], Mean_ROE_M, 3, FALSE))</f>
        <v>0.44482420259590733</v>
      </c>
      <c r="R5" s="1">
        <f>(Main_M[[#This Row],[ROA]]-VLOOKUP(Main_M[[#This Row],[Industry]], Mean_ROA_M, 2, FALSE))/(VLOOKUP(Main_M[[#This Row],[Industry]], Mean_ROA_M, 3, FALSE))</f>
        <v>1.0537817617380374</v>
      </c>
      <c r="S5" s="1">
        <f>(Main_M[[#This Row],[A/E]]-VLOOKUP(Main_M[[#This Row],[Industry]], Mean_AE_M, 2, FALSE))/(VLOOKUP(Main_M[[#This Row],[Industry]], Mean_AE_M, 3, FALSE))</f>
        <v>-0.44121876109102487</v>
      </c>
      <c r="T5" s="1">
        <f>(Main_M[[#This Row],[P/E]]-VLOOKUP(Main_M[[#This Row],[Industry]], Mean_PE_M, 2, FALSE))/(VLOOKUP(Main_M[[#This Row],[Industry]], Mean_PE_M, 3, FALSE))</f>
        <v>2.264095715091349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152</v>
      </c>
      <c r="B6" s="67" t="s">
        <v>257</v>
      </c>
      <c r="C6" s="2">
        <v>6909</v>
      </c>
      <c r="D6">
        <f>RTD("tos.rtd", , "LAST", Main_M[[#This Row],[Symbol]])</f>
        <v>54.38</v>
      </c>
      <c r="E6">
        <v>3.94</v>
      </c>
      <c r="F6">
        <v>3.92</v>
      </c>
      <c r="G6">
        <v>3.76</v>
      </c>
      <c r="H6" s="1">
        <f>IF(ISNUMBER(Main_M[[#This Row],[Free CF]]),IF(Main_M[[#This Row],[Free CF]]&lt;&gt;0,Main_M[[#This Row],[Current Price]]/Main_M[[#This Row],[Free CF]],""),"")</f>
        <v>13.802030456852792</v>
      </c>
      <c r="I6" s="1">
        <f>IF(ISNUMBER(Main_M[[#This Row],[BVPS]]),IF(Main_M[[#This Row],[BVPS]]&lt;&gt;0,Main_M[[#This Row],[Current Price]]/Main_M[[#This Row],[BVPS]],""),"")</f>
        <v>13.872448979591837</v>
      </c>
      <c r="J6">
        <v>147.06</v>
      </c>
      <c r="K6">
        <v>18.5</v>
      </c>
      <c r="L6">
        <v>4.55</v>
      </c>
      <c r="M6" s="1">
        <f>IF(ISNUMBER(Main_M[[#This Row],[EPS]]),IF(Main_M[[#This Row],[EPS]]&lt;&gt;0,Main_M[[#This Row],[Current Price]]/Main_M[[#This Row],[EPS]],""),"")</f>
        <v>14.462765957446811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1.9480845295092903</v>
      </c>
      <c r="P6" s="1">
        <f>(Main_M[[#This Row],[P/B]]-VLOOKUP(Main_M[[#This Row],[Industry]], Mean_PB_M, 2, FALSE))/(VLOOKUP(Main_M[[#This Row],[Industry]], Mean_PB_M, 3, FALSE))</f>
        <v>1.6457868178513277</v>
      </c>
      <c r="Q6" s="1">
        <f>(Main_M[[#This Row],[ROE]]-VLOOKUP(Main_M[[#This Row],[Industry]], Mean_ROE_M, 2, FALSE))/(VLOOKUP(Main_M[[#This Row],[Industry]], Mean_ROE_M, 3, FALSE))</f>
        <v>1.9391709240895363</v>
      </c>
      <c r="R6" s="1">
        <f>(Main_M[[#This Row],[ROA]]-VLOOKUP(Main_M[[#This Row],[Industry]], Mean_ROA_M, 2, FALSE))/(VLOOKUP(Main_M[[#This Row],[Industry]], Mean_ROA_M, 3, FALSE))</f>
        <v>1.5726916885717517</v>
      </c>
      <c r="S6" s="1">
        <f>(Main_M[[#This Row],[A/E]]-VLOOKUP(Main_M[[#This Row],[Industry]], Mean_AE_M, 2, FALSE))/(VLOOKUP(Main_M[[#This Row],[Industry]], Mean_AE_M, 3, FALSE))</f>
        <v>3.5450074770792623</v>
      </c>
      <c r="T6" s="1">
        <f>(Main_M[[#This Row],[P/E]]-VLOOKUP(Main_M[[#This Row],[Industry]], Mean_PE_M, 2, FALSE))/(VLOOKUP(Main_M[[#This Row],[Industry]], Mean_PE_M, 3, FALSE))</f>
        <v>1.2607678380319063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152</v>
      </c>
      <c r="B7" s="67" t="s">
        <v>243</v>
      </c>
      <c r="C7" s="2">
        <v>5048</v>
      </c>
      <c r="D7">
        <f>RTD("tos.rtd", , "LAST", Main_M[[#This Row],[Symbol]])</f>
        <v>31.14</v>
      </c>
      <c r="E7">
        <v>2.93</v>
      </c>
      <c r="F7">
        <v>9.17</v>
      </c>
      <c r="G7">
        <v>2.11</v>
      </c>
      <c r="H7" s="1">
        <f>IF(ISNUMBER(Main_M[[#This Row],[Free CF]]),IF(Main_M[[#This Row],[Free CF]]&lt;&gt;0,Main_M[[#This Row],[Current Price]]/Main_M[[#This Row],[Free CF]],""),"")</f>
        <v>10.627986348122867</v>
      </c>
      <c r="I7" s="1">
        <f>IF(ISNUMBER(Main_M[[#This Row],[BVPS]]),IF(Main_M[[#This Row],[BVPS]]&lt;&gt;0,Main_M[[#This Row],[Current Price]]/Main_M[[#This Row],[BVPS]],""),"")</f>
        <v>3.3958560523446022</v>
      </c>
      <c r="J7">
        <v>25.71</v>
      </c>
      <c r="K7">
        <v>11.62</v>
      </c>
      <c r="L7">
        <v>1.38</v>
      </c>
      <c r="M7" s="1">
        <f>IF(ISNUMBER(Main_M[[#This Row],[EPS]]),IF(Main_M[[#This Row],[EPS]]&lt;&gt;0,Main_M[[#This Row],[Current Price]]/Main_M[[#This Row],[EPS]],""),"")</f>
        <v>14.75829383886256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1.7069698970266676</v>
      </c>
      <c r="P7" s="1">
        <f>(Main_M[[#This Row],[P/B]]-VLOOKUP(Main_M[[#This Row],[Industry]], Mean_PB_M, 2, FALSE))/(VLOOKUP(Main_M[[#This Row],[Industry]], Mean_PB_M, 3, FALSE))</f>
        <v>-0.40053694996242711</v>
      </c>
      <c r="Q7" s="1">
        <f>(Main_M[[#This Row],[ROE]]-VLOOKUP(Main_M[[#This Row],[Industry]], Mean_ROE_M, 2, FALSE))/(VLOOKUP(Main_M[[#This Row],[Industry]], Mean_ROE_M, 3, FALSE))</f>
        <v>0.57735825772387184</v>
      </c>
      <c r="R7" s="1">
        <f>(Main_M[[#This Row],[ROA]]-VLOOKUP(Main_M[[#This Row],[Industry]], Mean_ROA_M, 2, FALSE))/(VLOOKUP(Main_M[[#This Row],[Industry]], Mean_ROA_M, 3, FALSE))</f>
        <v>1.2098766177774471</v>
      </c>
      <c r="S7" s="1">
        <f>(Main_M[[#This Row],[A/E]]-VLOOKUP(Main_M[[#This Row],[Industry]], Mean_AE_M, 2, FALSE))/(VLOOKUP(Main_M[[#This Row],[Industry]], Mean_AE_M, 3, FALSE))</f>
        <v>-0.10711309372993161</v>
      </c>
      <c r="T7" s="1">
        <f>(Main_M[[#This Row],[P/E]]-VLOOKUP(Main_M[[#This Row],[Industry]], Mean_PE_M, 2, FALSE))/(VLOOKUP(Main_M[[#This Row],[Industry]], Mean_PE_M, 3, FALSE))</f>
        <v>1.2770161288035871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152</v>
      </c>
      <c r="B8" s="67" t="s">
        <v>251</v>
      </c>
      <c r="C8" s="2">
        <v>3044</v>
      </c>
      <c r="D8">
        <f>RTD("tos.rtd", , "LAST", Main_M[[#This Row],[Symbol]])</f>
        <v>25.84</v>
      </c>
      <c r="E8">
        <v>2.2400000000000002</v>
      </c>
      <c r="F8">
        <v>6.51</v>
      </c>
      <c r="G8">
        <v>1.57</v>
      </c>
      <c r="H8" s="1">
        <f>IF(ISNUMBER(Main_M[[#This Row],[Free CF]]),IF(Main_M[[#This Row],[Free CF]]&lt;&gt;0,Main_M[[#This Row],[Current Price]]/Main_M[[#This Row],[Free CF]],""),"")</f>
        <v>11.535714285714285</v>
      </c>
      <c r="I8" s="1">
        <f>IF(ISNUMBER(Main_M[[#This Row],[BVPS]]),IF(Main_M[[#This Row],[BVPS]]&lt;&gt;0,Main_M[[#This Row],[Current Price]]/Main_M[[#This Row],[BVPS]],""),"")</f>
        <v>3.9692780337941631</v>
      </c>
      <c r="J8">
        <v>29.11</v>
      </c>
      <c r="K8">
        <v>18.59</v>
      </c>
      <c r="L8">
        <v>1.1399999999999999</v>
      </c>
      <c r="M8" s="1">
        <f>IF(ISNUMBER(Main_M[[#This Row],[EPS]]),IF(Main_M[[#This Row],[EPS]]&lt;&gt;0,Main_M[[#This Row],[Current Price]]/Main_M[[#This Row],[EPS]],""),"")</f>
        <v>16.458598726114648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1.7759249841549754</v>
      </c>
      <c r="P8" s="1">
        <f>(Main_M[[#This Row],[P/B]]-VLOOKUP(Main_M[[#This Row],[Industry]], Mean_PB_M, 2, FALSE))/(VLOOKUP(Main_M[[#This Row],[Industry]], Mean_PB_M, 3, FALSE))</f>
        <v>-0.28853421798881668</v>
      </c>
      <c r="Q8" s="1">
        <f>(Main_M[[#This Row],[ROE]]-VLOOKUP(Main_M[[#This Row],[Industry]], Mean_ROE_M, 2, FALSE))/(VLOOKUP(Main_M[[#This Row],[Industry]], Mean_ROE_M, 3, FALSE))</f>
        <v>0.61551370119847637</v>
      </c>
      <c r="R8" s="1">
        <f>(Main_M[[#This Row],[ROA]]-VLOOKUP(Main_M[[#This Row],[Industry]], Mean_ROA_M, 2, FALSE))/(VLOOKUP(Main_M[[#This Row],[Industry]], Mean_ROA_M, 3, FALSE))</f>
        <v>1.5774378159513285</v>
      </c>
      <c r="S8" s="1">
        <f>(Main_M[[#This Row],[A/E]]-VLOOKUP(Main_M[[#This Row],[Industry]], Mean_AE_M, 2, FALSE))/(VLOOKUP(Main_M[[#This Row],[Industry]], Mean_AE_M, 3, FALSE))</f>
        <v>-0.38361433568393999</v>
      </c>
      <c r="T8" s="1">
        <f>(Main_M[[#This Row],[P/E]]-VLOOKUP(Main_M[[#This Row],[Industry]], Mean_PE_M, 2, FALSE))/(VLOOKUP(Main_M[[#This Row],[Industry]], Mean_PE_M, 3, FALSE))</f>
        <v>1.3704998572295912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7" t="s">
        <v>152</v>
      </c>
      <c r="B9" s="67" t="s">
        <v>256</v>
      </c>
      <c r="C9" s="2">
        <v>5654</v>
      </c>
      <c r="D9">
        <f>RTD("tos.rtd", , "LAST", Main_M[[#This Row],[Symbol]])</f>
        <v>8.83</v>
      </c>
      <c r="E9">
        <v>1.28</v>
      </c>
      <c r="F9">
        <v>8.9700000000000006</v>
      </c>
      <c r="G9">
        <v>0.31</v>
      </c>
      <c r="H9" s="1">
        <f>IF(ISNUMBER(Main_M[[#This Row],[Free CF]]),IF(Main_M[[#This Row],[Free CF]]&lt;&gt;0,Main_M[[#This Row],[Current Price]]/Main_M[[#This Row],[Free CF]],""),"")</f>
        <v>6.8984375</v>
      </c>
      <c r="I9" s="1">
        <f>IF(ISNUMBER(Main_M[[#This Row],[BVPS]]),IF(Main_M[[#This Row],[BVPS]]&lt;&gt;0,Main_M[[#This Row],[Current Price]]/Main_M[[#This Row],[BVPS]],""),"")</f>
        <v>0.98439241917502784</v>
      </c>
      <c r="J9">
        <v>3.45</v>
      </c>
      <c r="K9">
        <v>3.99</v>
      </c>
      <c r="L9">
        <v>3.72</v>
      </c>
      <c r="M9" s="1">
        <f>IF(ISNUMBER(Main_M[[#This Row],[EPS]]),IF(Main_M[[#This Row],[EPS]]&lt;&gt;0,Main_M[[#This Row],[Current Price]]/Main_M[[#This Row],[EPS]],""),"")</f>
        <v>28.483870967741936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1.4236566319816633</v>
      </c>
      <c r="P9" s="1">
        <f>(Main_M[[#This Row],[P/B]]-VLOOKUP(Main_M[[#This Row],[Industry]], Mean_PB_M, 2, FALSE))/(VLOOKUP(Main_M[[#This Row],[Industry]], Mean_PB_M, 3, FALSE))</f>
        <v>-0.8715522296474425</v>
      </c>
      <c r="Q9" s="1">
        <f>(Main_M[[#This Row],[ROE]]-VLOOKUP(Main_M[[#This Row],[Industry]], Mean_ROE_M, 2, FALSE))/(VLOOKUP(Main_M[[#This Row],[Industry]], Mean_ROE_M, 3, FALSE))</f>
        <v>0.32755232485778457</v>
      </c>
      <c r="R9" s="1">
        <f>(Main_M[[#This Row],[ROA]]-VLOOKUP(Main_M[[#This Row],[Industry]], Mean_ROA_M, 2, FALSE))/(VLOOKUP(Main_M[[#This Row],[Industry]], Mean_ROA_M, 3, FALSE))</f>
        <v>0.80751048548667093</v>
      </c>
      <c r="S9" s="1">
        <f>(Main_M[[#This Row],[A/E]]-VLOOKUP(Main_M[[#This Row],[Industry]], Mean_AE_M, 2, FALSE))/(VLOOKUP(Main_M[[#This Row],[Industry]], Mean_AE_M, 3, FALSE))</f>
        <v>2.5887740153216505</v>
      </c>
      <c r="T9" s="1">
        <f>(Main_M[[#This Row],[P/E]]-VLOOKUP(Main_M[[#This Row],[Industry]], Mean_PE_M, 2, FALSE))/(VLOOKUP(Main_M[[#This Row],[Industry]], Mean_PE_M, 3, FALSE))</f>
        <v>2.0316561550873531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7" t="s">
        <v>152</v>
      </c>
      <c r="B10" s="67" t="s">
        <v>283</v>
      </c>
      <c r="C10" s="2">
        <v>2084</v>
      </c>
      <c r="D10">
        <f>RTD("tos.rtd", , "LAST", Main_M[[#This Row],[Symbol]])</f>
        <v>27.85</v>
      </c>
      <c r="E10">
        <v>1.01</v>
      </c>
      <c r="F10">
        <v>15.26</v>
      </c>
      <c r="G10">
        <v>0.41</v>
      </c>
      <c r="H10" s="1">
        <f>IF(ISNUMBER(Main_M[[#This Row],[Free CF]]),IF(Main_M[[#This Row],[Free CF]]&lt;&gt;0,Main_M[[#This Row],[Current Price]]/Main_M[[#This Row],[Free CF]],""),"")</f>
        <v>27.574257425742577</v>
      </c>
      <c r="I10" s="1">
        <f>IF(ISNUMBER(Main_M[[#This Row],[BVPS]]),IF(Main_M[[#This Row],[BVPS]]&lt;&gt;0,Main_M[[#This Row],[Current Price]]/Main_M[[#This Row],[BVPS]],""),"")</f>
        <v>1.825032765399738</v>
      </c>
      <c r="J10">
        <v>2.86</v>
      </c>
      <c r="K10">
        <v>1.94</v>
      </c>
      <c r="L10">
        <v>1.1000000000000001</v>
      </c>
      <c r="M10" s="1">
        <f>IF(ISNUMBER(Main_M[[#This Row],[EPS]]),IF(Main_M[[#This Row],[EPS]]&lt;&gt;0,Main_M[[#This Row],[Current Price]]/Main_M[[#This Row],[EPS]],""),"")</f>
        <v>67.926829268292693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2.994284686255027</v>
      </c>
      <c r="P10" s="1">
        <f>(Main_M[[#This Row],[P/B]]-VLOOKUP(Main_M[[#This Row],[Industry]], Mean_PB_M, 2, FALSE))/(VLOOKUP(Main_M[[#This Row],[Industry]], Mean_PB_M, 3, FALSE))</f>
        <v>-0.70735549769378403</v>
      </c>
      <c r="Q10" s="1">
        <f>(Main_M[[#This Row],[ROE]]-VLOOKUP(Main_M[[#This Row],[Industry]], Mean_ROE_M, 2, FALSE))/(VLOOKUP(Main_M[[#This Row],[Industry]], Mean_ROE_M, 3, FALSE))</f>
        <v>0.32093123319601496</v>
      </c>
      <c r="R10" s="1">
        <f>(Main_M[[#This Row],[ROA]]-VLOOKUP(Main_M[[#This Row],[Industry]], Mean_ROA_M, 2, FALSE))/(VLOOKUP(Main_M[[#This Row],[Industry]], Mean_ROA_M, 3, FALSE))</f>
        <v>0.69940425072964707</v>
      </c>
      <c r="S10" s="1">
        <f>(Main_M[[#This Row],[A/E]]-VLOOKUP(Main_M[[#This Row],[Industry]], Mean_AE_M, 2, FALSE))/(VLOOKUP(Main_M[[#This Row],[Industry]], Mean_AE_M, 3, FALSE))</f>
        <v>-0.42969787600960779</v>
      </c>
      <c r="T10" s="1">
        <f>(Main_M[[#This Row],[P/E]]-VLOOKUP(Main_M[[#This Row],[Industry]], Mean_PE_M, 2, FALSE))/(VLOOKUP(Main_M[[#This Row],[Industry]], Mean_PE_M, 3, FALSE))</f>
        <v>4.2002524049316969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" spans="1:26" x14ac:dyDescent="0.25">
      <c r="A11" s="67" t="s">
        <v>152</v>
      </c>
      <c r="B11" s="67" t="s">
        <v>242</v>
      </c>
      <c r="C11" s="2">
        <v>4736</v>
      </c>
      <c r="D11">
        <f>RTD("tos.rtd", , "LAST", Main_M[[#This Row],[Symbol]])</f>
        <v>20.87</v>
      </c>
      <c r="E11">
        <v>0.38</v>
      </c>
      <c r="F11">
        <v>1.57</v>
      </c>
      <c r="G11">
        <v>0.84</v>
      </c>
      <c r="H11" s="1">
        <f>IF(ISNUMBER(Main_M[[#This Row],[Free CF]]),IF(Main_M[[#This Row],[Free CF]]&lt;&gt;0,Main_M[[#This Row],[Current Price]]/Main_M[[#This Row],[Free CF]],""),"")</f>
        <v>54.921052631578952</v>
      </c>
      <c r="I11" s="1">
        <f>IF(ISNUMBER(Main_M[[#This Row],[BVPS]]),IF(Main_M[[#This Row],[BVPS]]&lt;&gt;0,Main_M[[#This Row],[Current Price]]/Main_M[[#This Row],[BVPS]],""),"")</f>
        <v>13.292993630573248</v>
      </c>
      <c r="J11">
        <v>78.45</v>
      </c>
      <c r="K11">
        <v>22.06</v>
      </c>
      <c r="L11">
        <v>1.37</v>
      </c>
      <c r="M11" s="1">
        <f>IF(ISNUMBER(Main_M[[#This Row],[EPS]]),IF(Main_M[[#This Row],[EPS]]&lt;&gt;0,Main_M[[#This Row],[Current Price]]/Main_M[[#This Row],[EPS]],""),"")</f>
        <v>24.845238095238098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5.0716699555704023</v>
      </c>
      <c r="P11" s="1">
        <f>(Main_M[[#This Row],[P/B]]-VLOOKUP(Main_M[[#This Row],[Industry]], Mean_PB_M, 2, FALSE))/(VLOOKUP(Main_M[[#This Row],[Industry]], Mean_PB_M, 3, FALSE))</f>
        <v>1.5326056280009825</v>
      </c>
      <c r="Q11" s="1">
        <f>(Main_M[[#This Row],[ROE]]-VLOOKUP(Main_M[[#This Row],[Industry]], Mean_ROE_M, 2, FALSE))/(VLOOKUP(Main_M[[#This Row],[Industry]], Mean_ROE_M, 3, FALSE))</f>
        <v>1.1692165191505315</v>
      </c>
      <c r="R11" s="1">
        <f>(Main_M[[#This Row],[ROA]]-VLOOKUP(Main_M[[#This Row],[Industry]], Mean_ROA_M, 2, FALSE))/(VLOOKUP(Main_M[[#This Row],[Industry]], Mean_ROA_M, 3, FALSE))</f>
        <v>1.7604273938083392</v>
      </c>
      <c r="S11" s="1">
        <f>(Main_M[[#This Row],[A/E]]-VLOOKUP(Main_M[[#This Row],[Industry]], Mean_AE_M, 2, FALSE))/(VLOOKUP(Main_M[[#This Row],[Industry]], Mean_AE_M, 3, FALSE))</f>
        <v>-0.11863397881134838</v>
      </c>
      <c r="T11" s="1">
        <f>(Main_M[[#This Row],[P/E]]-VLOOKUP(Main_M[[#This Row],[Industry]], Mean_PE_M, 2, FALSE))/(VLOOKUP(Main_M[[#This Row],[Industry]], Mean_PE_M, 3, FALSE))</f>
        <v>1.8316020531169646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152</v>
      </c>
      <c r="B12" s="67" t="s">
        <v>240</v>
      </c>
      <c r="C12" s="2">
        <v>3610</v>
      </c>
      <c r="D12">
        <f>RTD("tos.rtd", , "LAST", Main_M[[#This Row],[Symbol]])</f>
        <v>22.3</v>
      </c>
      <c r="E12">
        <v>0.3</v>
      </c>
      <c r="F12">
        <v>4.58</v>
      </c>
      <c r="G12">
        <v>1.37</v>
      </c>
      <c r="H12" s="1">
        <f>IF(ISNUMBER(Main_M[[#This Row],[Free CF]]),IF(Main_M[[#This Row],[Free CF]]&lt;&gt;0,Main_M[[#This Row],[Current Price]]/Main_M[[#This Row],[Free CF]],""),"")</f>
        <v>74.333333333333343</v>
      </c>
      <c r="I12" s="1">
        <f>IF(ISNUMBER(Main_M[[#This Row],[BVPS]]),IF(Main_M[[#This Row],[BVPS]]&lt;&gt;0,Main_M[[#This Row],[Current Price]]/Main_M[[#This Row],[BVPS]],""),"")</f>
        <v>4.8689956331877733</v>
      </c>
      <c r="J12">
        <v>37.24</v>
      </c>
      <c r="K12">
        <v>5.56</v>
      </c>
      <c r="L12">
        <v>1.48</v>
      </c>
      <c r="M12" s="1">
        <f>IF(ISNUMBER(Main_M[[#This Row],[EPS]]),IF(Main_M[[#This Row],[EPS]]&lt;&gt;0,Main_M[[#This Row],[Current Price]]/Main_M[[#This Row],[EPS]],""),"")</f>
        <v>16.277372262773721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6.5463139008701834</v>
      </c>
      <c r="P12" s="1">
        <f>(Main_M[[#This Row],[P/B]]-VLOOKUP(Main_M[[#This Row],[Industry]], Mean_PB_M, 2, FALSE))/(VLOOKUP(Main_M[[#This Row],[Industry]], Mean_PB_M, 3, FALSE))</f>
        <v>-0.11279831598854316</v>
      </c>
      <c r="Q12" s="1">
        <f>(Main_M[[#This Row],[ROE]]-VLOOKUP(Main_M[[#This Row],[Industry]], Mean_ROE_M, 2, FALSE))/(VLOOKUP(Main_M[[#This Row],[Industry]], Mean_ROE_M, 3, FALSE))</f>
        <v>0.70675009985981008</v>
      </c>
      <c r="R12" s="1">
        <f>(Main_M[[#This Row],[ROA]]-VLOOKUP(Main_M[[#This Row],[Industry]], Mean_ROA_M, 2, FALSE))/(VLOOKUP(Main_M[[#This Row],[Industry]], Mean_ROA_M, 3, FALSE))</f>
        <v>0.8903040408859525</v>
      </c>
      <c r="S12" s="1">
        <f>(Main_M[[#This Row],[A/E]]-VLOOKUP(Main_M[[#This Row],[Industry]], Mean_AE_M, 2, FALSE))/(VLOOKUP(Main_M[[#This Row],[Industry]], Mean_AE_M, 3, FALSE))</f>
        <v>8.0957570842386459E-3</v>
      </c>
      <c r="T12" s="1">
        <f>(Main_M[[#This Row],[P/E]]-VLOOKUP(Main_M[[#This Row],[Industry]], Mean_PE_M, 2, FALSE))/(VLOOKUP(Main_M[[#This Row],[Industry]], Mean_PE_M, 3, FALSE))</f>
        <v>1.3605359233436229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7" t="s">
        <v>152</v>
      </c>
      <c r="B13" s="67" t="s">
        <v>401</v>
      </c>
      <c r="C13" s="2">
        <v>2219</v>
      </c>
      <c r="D13">
        <f>RTD("tos.rtd", , "LAST", Main_M[[#This Row],[Symbol]])</f>
        <v>16.57</v>
      </c>
      <c r="E13">
        <v>0.08</v>
      </c>
      <c r="F13">
        <v>4.95</v>
      </c>
      <c r="G13">
        <v>-1.1399999999999999</v>
      </c>
      <c r="H13" s="1">
        <f>IF(ISNUMBER(Main_M[[#This Row],[Free CF]]),IF(Main_M[[#This Row],[Free CF]]&lt;&gt;0,Main_M[[#This Row],[Current Price]]/Main_M[[#This Row],[Free CF]],""),"")</f>
        <v>207.125</v>
      </c>
      <c r="I13" s="1">
        <f>IF(ISNUMBER(Main_M[[#This Row],[BVPS]]),IF(Main_M[[#This Row],[BVPS]]&lt;&gt;0,Main_M[[#This Row],[Current Price]]/Main_M[[#This Row],[BVPS]],""),"")</f>
        <v>3.3474747474747475</v>
      </c>
      <c r="J13">
        <v>-26.22</v>
      </c>
      <c r="K13">
        <v>-5.86</v>
      </c>
      <c r="L13">
        <v>2.2999999999999998</v>
      </c>
      <c r="M13" s="1">
        <f>IF(ISNUMBER(Main_M[[#This Row],[EPS]]),IF(Main_M[[#This Row],[EPS]]&lt;&gt;0,Main_M[[#This Row],[Current Price]]/Main_M[[#This Row],[EPS]],""),"")</f>
        <v>-14.535087719298247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16.633764739069196</v>
      </c>
      <c r="P13" s="1">
        <f>(Main_M[[#This Row],[P/B]]-VLOOKUP(Main_M[[#This Row],[Industry]], Mean_PB_M, 2, FALSE))/(VLOOKUP(Main_M[[#This Row],[Industry]], Mean_PB_M, 3, FALSE))</f>
        <v>-0.4099869510038478</v>
      </c>
      <c r="Q13" s="1">
        <f>(Main_M[[#This Row],[ROE]]-VLOOKUP(Main_M[[#This Row],[Industry]], Mean_ROE_M, 2, FALSE))/(VLOOKUP(Main_M[[#This Row],[Industry]], Mean_ROE_M, 3, FALSE))</f>
        <v>-5.41003040442606E-3</v>
      </c>
      <c r="R13" s="1">
        <f>(Main_M[[#This Row],[ROA]]-VLOOKUP(Main_M[[#This Row],[Industry]], Mean_ROA_M, 2, FALSE))/(VLOOKUP(Main_M[[#This Row],[Industry]], Mean_ROA_M, 3, FALSE))</f>
        <v>0.28807321116633688</v>
      </c>
      <c r="S13" s="1">
        <f>(Main_M[[#This Row],[A/E]]-VLOOKUP(Main_M[[#This Row],[Industry]], Mean_AE_M, 2, FALSE))/(VLOOKUP(Main_M[[#This Row],[Industry]], Mean_AE_M, 3, FALSE))</f>
        <v>0.95280833376043372</v>
      </c>
      <c r="T13" s="1">
        <f>(Main_M[[#This Row],[P/E]]-VLOOKUP(Main_M[[#This Row],[Industry]], Mean_PE_M, 2, FALSE))/(VLOOKUP(Main_M[[#This Row],[Industry]], Mean_PE_M, 3, FALSE))</f>
        <v>-0.33355062707283367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7" t="s">
        <v>152</v>
      </c>
      <c r="B14" s="67" t="s">
        <v>281</v>
      </c>
      <c r="C14" s="2">
        <v>5687</v>
      </c>
      <c r="D14">
        <f>RTD("tos.rtd", , "LAST", Main_M[[#This Row],[Symbol]])</f>
        <v>16.91</v>
      </c>
      <c r="E14">
        <v>-0.01</v>
      </c>
      <c r="F14">
        <v>1.05</v>
      </c>
      <c r="G14">
        <v>0.09</v>
      </c>
      <c r="H14" s="1">
        <f>IF(ISNUMBER(Main_M[[#This Row],[Free CF]]),IF(Main_M[[#This Row],[Free CF]]&lt;&gt;0,Main_M[[#This Row],[Current Price]]/Main_M[[#This Row],[Free CF]],""),"")</f>
        <v>-1691</v>
      </c>
      <c r="I14" s="1">
        <f>IF(ISNUMBER(Main_M[[#This Row],[BVPS]]),IF(Main_M[[#This Row],[BVPS]]&lt;&gt;0,Main_M[[#This Row],[Current Price]]/Main_M[[#This Row],[BVPS]],""),"")</f>
        <v>16.104761904761904</v>
      </c>
      <c r="J14">
        <v>13.92</v>
      </c>
      <c r="K14">
        <v>5.33</v>
      </c>
      <c r="L14">
        <v>2.67</v>
      </c>
      <c r="M14" s="1">
        <f>IF(ISNUMBER(Main_M[[#This Row],[EPS]]),IF(Main_M[[#This Row],[EPS]]&lt;&gt;0,Main_M[[#This Row],[Current Price]]/Main_M[[#This Row],[EPS]],""),"")</f>
        <v>187.88888888888889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-127.55632717626057</v>
      </c>
      <c r="P14" s="1">
        <f>(Main_M[[#This Row],[P/B]]-VLOOKUP(Main_M[[#This Row],[Industry]], Mean_PB_M, 2, FALSE))/(VLOOKUP(Main_M[[#This Row],[Industry]], Mean_PB_M, 3, FALSE))</f>
        <v>2.0818097718493722</v>
      </c>
      <c r="Q14" s="1">
        <f>(Main_M[[#This Row],[ROE]]-VLOOKUP(Main_M[[#This Row],[Industry]], Mean_ROE_M, 2, FALSE))/(VLOOKUP(Main_M[[#This Row],[Industry]], Mean_ROE_M, 3, FALSE))</f>
        <v>0.44504864638105202</v>
      </c>
      <c r="R14" s="1">
        <f>(Main_M[[#This Row],[ROA]]-VLOOKUP(Main_M[[#This Row],[Industry]], Mean_ROA_M, 2, FALSE))/(VLOOKUP(Main_M[[#This Row],[Industry]], Mean_ROA_M, 3, FALSE))</f>
        <v>0.878175048693701</v>
      </c>
      <c r="S14" s="1">
        <f>(Main_M[[#This Row],[A/E]]-VLOOKUP(Main_M[[#This Row],[Industry]], Mean_AE_M, 2, FALSE))/(VLOOKUP(Main_M[[#This Row],[Industry]], Mean_AE_M, 3, FALSE))</f>
        <v>1.3790810817728634</v>
      </c>
      <c r="T14" s="1">
        <f>(Main_M[[#This Row],[P/E]]-VLOOKUP(Main_M[[#This Row],[Industry]], Mean_PE_M, 2, FALSE))/(VLOOKUP(Main_M[[#This Row],[Industry]], Mean_PE_M, 3, FALSE))</f>
        <v>10.795834577914798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s="67" t="s">
        <v>152</v>
      </c>
      <c r="B15" s="67" t="s">
        <v>246</v>
      </c>
      <c r="C15" s="2">
        <v>2128</v>
      </c>
      <c r="D15">
        <f>RTD("tos.rtd", , "LAST", Main_M[[#This Row],[Symbol]])</f>
        <v>19.39</v>
      </c>
      <c r="E15">
        <v>-7.0000000000000007E-2</v>
      </c>
      <c r="F15">
        <v>1.31</v>
      </c>
      <c r="G15">
        <v>-1.8</v>
      </c>
      <c r="H15" s="1">
        <f>IF(ISNUMBER(Main_M[[#This Row],[Free CF]]),IF(Main_M[[#This Row],[Free CF]]&lt;&gt;0,Main_M[[#This Row],[Current Price]]/Main_M[[#This Row],[Free CF]],""),"")</f>
        <v>-277</v>
      </c>
      <c r="I15" s="1">
        <f>IF(ISNUMBER(Main_M[[#This Row],[BVPS]]),IF(Main_M[[#This Row],[BVPS]]&lt;&gt;0,Main_M[[#This Row],[Current Price]]/Main_M[[#This Row],[BVPS]],""),"")</f>
        <v>14.801526717557252</v>
      </c>
      <c r="J15">
        <v>-103.82</v>
      </c>
      <c r="K15">
        <v>-14.2</v>
      </c>
      <c r="L15">
        <v>4.92</v>
      </c>
      <c r="M15" s="1">
        <f>IF(ISNUMBER(Main_M[[#This Row],[EPS]]),IF(Main_M[[#This Row],[EPS]]&lt;&gt;0,Main_M[[#This Row],[Current Price]]/Main_M[[#This Row],[EPS]],""),"")</f>
        <v>-10.772222222222222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-20.142542537063321</v>
      </c>
      <c r="P15" s="1">
        <f>(Main_M[[#This Row],[P/B]]-VLOOKUP(Main_M[[#This Row],[Industry]], Mean_PB_M, 2, FALSE))/(VLOOKUP(Main_M[[#This Row],[Industry]], Mean_PB_M, 3, FALSE))</f>
        <v>1.8272574419891328</v>
      </c>
      <c r="Q15" s="1">
        <f>(Main_M[[#This Row],[ROE]]-VLOOKUP(Main_M[[#This Row],[Industry]], Mean_ROE_M, 2, FALSE))/(VLOOKUP(Main_M[[#This Row],[Industry]], Mean_ROE_M, 3, FALSE))</f>
        <v>-0.87625191676598801</v>
      </c>
      <c r="R15" s="1">
        <f>(Main_M[[#This Row],[ROA]]-VLOOKUP(Main_M[[#This Row],[Industry]], Mean_ROA_M, 2, FALSE))/(VLOOKUP(Main_M[[#This Row],[Industry]], Mean_ROA_M, 3, FALSE))</f>
        <v>-0.15173459267443315</v>
      </c>
      <c r="S15" s="1">
        <f>(Main_M[[#This Row],[A/E]]-VLOOKUP(Main_M[[#This Row],[Industry]], Mean_AE_M, 2, FALSE))/(VLOOKUP(Main_M[[#This Row],[Industry]], Mean_AE_M, 3, FALSE))</f>
        <v>3.9712802250916921</v>
      </c>
      <c r="T15" s="1">
        <f>(Main_M[[#This Row],[P/E]]-VLOOKUP(Main_M[[#This Row],[Industry]], Mean_PE_M, 2, FALSE))/(VLOOKUP(Main_M[[#This Row],[Industry]], Mean_PE_M, 3, FALSE))</f>
        <v>-0.12666614484286376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152</v>
      </c>
      <c r="B16" s="67" t="s">
        <v>249</v>
      </c>
      <c r="C16" s="2">
        <v>2249</v>
      </c>
      <c r="D16">
        <f>RTD("tos.rtd", , "LAST", Main_M[[#This Row],[Symbol]])</f>
        <v>11.11</v>
      </c>
      <c r="E16">
        <v>-0.13</v>
      </c>
      <c r="F16">
        <v>-2.16</v>
      </c>
      <c r="G16">
        <v>-0.26</v>
      </c>
      <c r="H16" s="1">
        <f>IF(ISNUMBER(Main_M[[#This Row],[Free CF]]),IF(Main_M[[#This Row],[Free CF]]&lt;&gt;0,Main_M[[#This Row],[Current Price]]/Main_M[[#This Row],[Free CF]],""),"")</f>
        <v>-85.461538461538453</v>
      </c>
      <c r="I16" s="1">
        <f>IF(ISNUMBER(Main_M[[#This Row],[BVPS]]),IF(Main_M[[#This Row],[BVPS]]&lt;&gt;0,Main_M[[#This Row],[Current Price]]/Main_M[[#This Row],[BVPS]],""),"")</f>
        <v>-5.1435185185185182</v>
      </c>
      <c r="J16">
        <v>11.52</v>
      </c>
      <c r="K16">
        <v>4.54</v>
      </c>
      <c r="L16">
        <v>-1.06</v>
      </c>
      <c r="M16" s="1">
        <f>IF(ISNUMBER(Main_M[[#This Row],[EPS]]),IF(Main_M[[#This Row],[EPS]]&lt;&gt;0,Main_M[[#This Row],[Current Price]]/Main_M[[#This Row],[EPS]],""),"")</f>
        <v>-42.730769230769226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-5.592421562653505</v>
      </c>
      <c r="P16" s="1">
        <f>(Main_M[[#This Row],[P/B]]-VLOOKUP(Main_M[[#This Row],[Industry]], Mean_PB_M, 2, FALSE))/(VLOOKUP(Main_M[[#This Row],[Industry]], Mean_PB_M, 3, FALSE))</f>
        <v>-2.0684766387494982</v>
      </c>
      <c r="Q16" s="1">
        <f>(Main_M[[#This Row],[ROE]]-VLOOKUP(Main_M[[#This Row],[Industry]], Mean_ROE_M, 2, FALSE))/(VLOOKUP(Main_M[[#This Row],[Industry]], Mean_ROE_M, 3, FALSE))</f>
        <v>0.41811539216368415</v>
      </c>
      <c r="R16" s="1">
        <f>(Main_M[[#This Row],[ROA]]-VLOOKUP(Main_M[[#This Row],[Industry]], Mean_ROA_M, 2, FALSE))/(VLOOKUP(Main_M[[#This Row],[Industry]], Mean_ROA_M, 3, FALSE))</f>
        <v>0.83651459725075039</v>
      </c>
      <c r="S16" s="1">
        <f>(Main_M[[#This Row],[A/E]]-VLOOKUP(Main_M[[#This Row],[Industry]], Mean_AE_M, 2, FALSE))/(VLOOKUP(Main_M[[#This Row],[Industry]], Mean_AE_M, 3, FALSE))</f>
        <v>-2.9182090535956835</v>
      </c>
      <c r="T16" s="1">
        <f>(Main_M[[#This Row],[P/E]]-VLOOKUP(Main_M[[#This Row],[Industry]], Mean_PE_M, 2, FALSE))/(VLOOKUP(Main_M[[#This Row],[Industry]], Mean_PE_M, 3, FALSE))</f>
        <v>-1.883765210919798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152</v>
      </c>
      <c r="B17" s="67" t="s">
        <v>282</v>
      </c>
      <c r="C17" s="2">
        <v>2079</v>
      </c>
      <c r="D17">
        <f>RTD("tos.rtd", , "LAST", Main_M[[#This Row],[Symbol]])</f>
        <v>43.82</v>
      </c>
      <c r="E17">
        <v>-0.13</v>
      </c>
      <c r="F17">
        <v>5.88</v>
      </c>
      <c r="G17">
        <v>0.05</v>
      </c>
      <c r="H17" s="1">
        <f>IF(ISNUMBER(Main_M[[#This Row],[Free CF]]),IF(Main_M[[#This Row],[Free CF]]&lt;&gt;0,Main_M[[#This Row],[Current Price]]/Main_M[[#This Row],[Free CF]],""),"")</f>
        <v>-337.07692307692309</v>
      </c>
      <c r="I17" s="1">
        <f>IF(ISNUMBER(Main_M[[#This Row],[BVPS]]),IF(Main_M[[#This Row],[BVPS]]&lt;&gt;0,Main_M[[#This Row],[Current Price]]/Main_M[[#This Row],[BVPS]],""),"")</f>
        <v>7.4523809523809526</v>
      </c>
      <c r="J17">
        <v>1.1200000000000001</v>
      </c>
      <c r="K17">
        <v>-0.45</v>
      </c>
      <c r="L17">
        <v>1.44</v>
      </c>
      <c r="M17" s="1">
        <f>IF(ISNUMBER(Main_M[[#This Row],[EPS]]),IF(Main_M[[#This Row],[EPS]]&lt;&gt;0,Main_M[[#This Row],[Current Price]]/Main_M[[#This Row],[EPS]],""),"")</f>
        <v>876.4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-24.706255180040856</v>
      </c>
      <c r="P17" s="1">
        <f>(Main_M[[#This Row],[P/B]]-VLOOKUP(Main_M[[#This Row],[Industry]], Mean_PB_M, 2, FALSE))/(VLOOKUP(Main_M[[#This Row],[Industry]], Mean_PB_M, 3, FALSE))</f>
        <v>0.39179729222081006</v>
      </c>
      <c r="Q17" s="1">
        <f>(Main_M[[#This Row],[ROE]]-VLOOKUP(Main_M[[#This Row],[Industry]], Mean_ROE_M, 2, FALSE))/(VLOOKUP(Main_M[[#This Row],[Industry]], Mean_ROE_M, 3, FALSE))</f>
        <v>0.30140462388842326</v>
      </c>
      <c r="R17" s="1">
        <f>(Main_M[[#This Row],[ROA]]-VLOOKUP(Main_M[[#This Row],[Industry]], Mean_ROA_M, 2, FALSE))/(VLOOKUP(Main_M[[#This Row],[Industry]], Mean_ROA_M, 3, FALSE))</f>
        <v>0.57336820142755596</v>
      </c>
      <c r="S17" s="1">
        <f>(Main_M[[#This Row],[A/E]]-VLOOKUP(Main_M[[#This Row],[Industry]], Mean_AE_M, 2, FALSE))/(VLOOKUP(Main_M[[#This Row],[Industry]], Mean_AE_M, 3, FALSE))</f>
        <v>-3.7987783241429457E-2</v>
      </c>
      <c r="T17" s="1">
        <f>(Main_M[[#This Row],[P/E]]-VLOOKUP(Main_M[[#This Row],[Industry]], Mean_PE_M, 2, FALSE))/(VLOOKUP(Main_M[[#This Row],[Industry]], Mean_PE_M, 3, FALSE))</f>
        <v>48.650566521559831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8" spans="1:26" x14ac:dyDescent="0.25">
      <c r="A18" s="67" t="s">
        <v>152</v>
      </c>
      <c r="B18" s="67" t="s">
        <v>280</v>
      </c>
      <c r="C18" s="2">
        <v>5574</v>
      </c>
      <c r="D18">
        <f>RTD("tos.rtd", , "LAST", Main_M[[#This Row],[Symbol]])</f>
        <v>39.840000000000003</v>
      </c>
      <c r="E18">
        <v>-0.42</v>
      </c>
      <c r="F18">
        <v>1.63</v>
      </c>
      <c r="G18">
        <v>0.24</v>
      </c>
      <c r="H18" s="1">
        <f>IF(ISNUMBER(Main_M[[#This Row],[Free CF]]),IF(Main_M[[#This Row],[Free CF]]&lt;&gt;0,Main_M[[#This Row],[Current Price]]/Main_M[[#This Row],[Free CF]],""),"")</f>
        <v>-94.857142857142875</v>
      </c>
      <c r="I18" s="1">
        <f>IF(ISNUMBER(Main_M[[#This Row],[BVPS]]),IF(Main_M[[#This Row],[BVPS]]&lt;&gt;0,Main_M[[#This Row],[Current Price]]/Main_M[[#This Row],[BVPS]],""),"")</f>
        <v>24.441717791411048</v>
      </c>
      <c r="J18">
        <v>19.7</v>
      </c>
      <c r="K18">
        <v>7.26</v>
      </c>
      <c r="L18">
        <v>2.77</v>
      </c>
      <c r="M18" s="1">
        <f>IF(ISNUMBER(Main_M[[#This Row],[EPS]]),IF(Main_M[[#This Row],[EPS]]&lt;&gt;0,Main_M[[#This Row],[Current Price]]/Main_M[[#This Row],[EPS]],""),"")</f>
        <v>166.00000000000003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-6.3061538307613896</v>
      </c>
      <c r="P18" s="1">
        <f>(Main_M[[#This Row],[P/B]]-VLOOKUP(Main_M[[#This Row],[Industry]], Mean_PB_M, 2, FALSE))/(VLOOKUP(Main_M[[#This Row],[Industry]], Mean_PB_M, 3, FALSE))</f>
        <v>3.7102123546867252</v>
      </c>
      <c r="Q18" s="1">
        <f>(Main_M[[#This Row],[ROE]]-VLOOKUP(Main_M[[#This Row],[Industry]], Mean_ROE_M, 2, FALSE))/(VLOOKUP(Main_M[[#This Row],[Industry]], Mean_ROE_M, 3, FALSE))</f>
        <v>0.50991290028787972</v>
      </c>
      <c r="R18" s="1">
        <f>(Main_M[[#This Row],[ROA]]-VLOOKUP(Main_M[[#This Row],[Industry]], Mean_ROA_M, 2, FALSE))/(VLOOKUP(Main_M[[#This Row],[Industry]], Mean_ROA_M, 3, FALSE))</f>
        <v>0.97995311361128934</v>
      </c>
      <c r="S18" s="1">
        <f>(Main_M[[#This Row],[A/E]]-VLOOKUP(Main_M[[#This Row],[Industry]], Mean_AE_M, 2, FALSE))/(VLOOKUP(Main_M[[#This Row],[Industry]], Mean_AE_M, 3, FALSE))</f>
        <v>1.4942899325870336</v>
      </c>
      <c r="T18" s="1">
        <f>(Main_M[[#This Row],[P/E]]-VLOOKUP(Main_M[[#This Row],[Industry]], Mean_PE_M, 2, FALSE))/(VLOOKUP(Main_M[[#This Row],[Industry]], Mean_PE_M, 3, FALSE))</f>
        <v>9.5923710345364839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s="67" t="s">
        <v>152</v>
      </c>
      <c r="B19" s="67" t="s">
        <v>434</v>
      </c>
      <c r="C19" s="2">
        <v>2348</v>
      </c>
      <c r="D19">
        <f>RTD("tos.rtd", , "LAST", Main_M[[#This Row],[Symbol]])</f>
        <v>3.44</v>
      </c>
      <c r="E19">
        <v>-0.51</v>
      </c>
      <c r="F19">
        <v>-0.69</v>
      </c>
      <c r="G19">
        <v>-0.57999999999999996</v>
      </c>
      <c r="H19" s="1">
        <f>IF(ISNUMBER(Main_M[[#This Row],[Free CF]]),IF(Main_M[[#This Row],[Free CF]]&lt;&gt;0,Main_M[[#This Row],[Current Price]]/Main_M[[#This Row],[Free CF]],""),"")</f>
        <v>-6.7450980392156863</v>
      </c>
      <c r="I19" s="1">
        <f>IF(ISNUMBER(Main_M[[#This Row],[BVPS]]),IF(Main_M[[#This Row],[BVPS]]&lt;&gt;0,Main_M[[#This Row],[Current Price]]/Main_M[[#This Row],[BVPS]],""),"")</f>
        <v>-4.9855072463768115</v>
      </c>
      <c r="J19">
        <v>63.86</v>
      </c>
      <c r="K19">
        <v>-55.62</v>
      </c>
      <c r="L19">
        <v>-0.51</v>
      </c>
      <c r="M19" s="1">
        <f>IF(ISNUMBER(Main_M[[#This Row],[EPS]]),IF(Main_M[[#This Row],[EPS]]&lt;&gt;0,Main_M[[#This Row],[Current Price]]/Main_M[[#This Row],[EPS]],""),"")</f>
        <v>-5.931034482758621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0.38723245367434511</v>
      </c>
      <c r="P19" s="1">
        <f>(Main_M[[#This Row],[P/B]]-VLOOKUP(Main_M[[#This Row],[Industry]], Mean_PB_M, 2, FALSE))/(VLOOKUP(Main_M[[#This Row],[Industry]], Mean_PB_M, 3, FALSE))</f>
        <v>-2.0376133395823501</v>
      </c>
      <c r="Q19" s="1">
        <f>(Main_M[[#This Row],[ROE]]-VLOOKUP(Main_M[[#This Row],[Industry]], Mean_ROE_M, 2, FALSE))/(VLOOKUP(Main_M[[#This Row],[Industry]], Mean_ROE_M, 3, FALSE))</f>
        <v>1.0054847778874492</v>
      </c>
      <c r="R19" s="1">
        <f>(Main_M[[#This Row],[ROA]]-VLOOKUP(Main_M[[#This Row],[Industry]], Mean_ROA_M, 2, FALSE))/(VLOOKUP(Main_M[[#This Row],[Industry]], Mean_ROA_M, 3, FALSE))</f>
        <v>-2.3360078822529342</v>
      </c>
      <c r="S19" s="1">
        <f>(Main_M[[#This Row],[A/E]]-VLOOKUP(Main_M[[#This Row],[Industry]], Mean_AE_M, 2, FALSE))/(VLOOKUP(Main_M[[#This Row],[Industry]], Mean_AE_M, 3, FALSE))</f>
        <v>-2.2845603741177474</v>
      </c>
      <c r="T19" s="1">
        <f>(Main_M[[#This Row],[P/E]]-VLOOKUP(Main_M[[#This Row],[Industry]], Mean_PE_M, 2, FALSE))/(VLOOKUP(Main_M[[#This Row],[Industry]], Mean_PE_M, 3, FALSE))</f>
        <v>0.13950510672998251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152</v>
      </c>
      <c r="B20" s="67" t="s">
        <v>262</v>
      </c>
      <c r="C20" s="2">
        <v>2202</v>
      </c>
      <c r="D20">
        <f>RTD("tos.rtd", , "LAST", Main_M[[#This Row],[Symbol]])</f>
        <v>47.05</v>
      </c>
      <c r="E20">
        <v>-0.57999999999999996</v>
      </c>
      <c r="F20">
        <v>4.72</v>
      </c>
      <c r="G20">
        <v>-1.61</v>
      </c>
      <c r="H20" s="1">
        <f>IF(ISNUMBER(Main_M[[#This Row],[Free CF]]),IF(Main_M[[#This Row],[Free CF]]&lt;&gt;0,Main_M[[#This Row],[Current Price]]/Main_M[[#This Row],[Free CF]],""),"")</f>
        <v>-81.120689655172413</v>
      </c>
      <c r="I20" s="1">
        <f>IF(ISNUMBER(Main_M[[#This Row],[BVPS]]),IF(Main_M[[#This Row],[BVPS]]&lt;&gt;0,Main_M[[#This Row],[Current Price]]/Main_M[[#This Row],[BVPS]],""),"")</f>
        <v>9.9682203389830502</v>
      </c>
      <c r="J20">
        <v>-33.06</v>
      </c>
      <c r="K20">
        <v>-7.11</v>
      </c>
      <c r="L20">
        <v>2.96</v>
      </c>
      <c r="M20" s="1">
        <f>IF(ISNUMBER(Main_M[[#This Row],[EPS]]),IF(Main_M[[#This Row],[EPS]]&lt;&gt;0,Main_M[[#This Row],[Current Price]]/Main_M[[#This Row],[EPS]],""),"")</f>
        <v>-29.223602484472046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-5.2626712098682731</v>
      </c>
      <c r="P20" s="1">
        <f>(Main_M[[#This Row],[P/B]]-VLOOKUP(Main_M[[#This Row],[Industry]], Mean_PB_M, 2, FALSE))/(VLOOKUP(Main_M[[#This Row],[Industry]], Mean_PB_M, 3, FALSE))</f>
        <v>0.88319959911167878</v>
      </c>
      <c r="Q20" s="1">
        <f>(Main_M[[#This Row],[ROE]]-VLOOKUP(Main_M[[#This Row],[Industry]], Mean_ROE_M, 2, FALSE))/(VLOOKUP(Main_M[[#This Row],[Industry]], Mean_ROE_M, 3, FALSE))</f>
        <v>-8.2169804923924603E-2</v>
      </c>
      <c r="R20" s="1">
        <f>(Main_M[[#This Row],[ROA]]-VLOOKUP(Main_M[[#This Row],[Industry]], Mean_ROA_M, 2, FALSE))/(VLOOKUP(Main_M[[#This Row],[Industry]], Mean_ROA_M, 3, FALSE))</f>
        <v>0.22215477533888334</v>
      </c>
      <c r="S20" s="1">
        <f>(Main_M[[#This Row],[A/E]]-VLOOKUP(Main_M[[#This Row],[Industry]], Mean_AE_M, 2, FALSE))/(VLOOKUP(Main_M[[#This Row],[Industry]], Mean_AE_M, 3, FALSE))</f>
        <v>1.713186749133957</v>
      </c>
      <c r="T20" s="1">
        <f>(Main_M[[#This Row],[P/E]]-VLOOKUP(Main_M[[#This Row],[Industry]], Mean_PE_M, 2, FALSE))/(VLOOKUP(Main_M[[#This Row],[Industry]], Mean_PE_M, 3, FALSE))</f>
        <v>-1.1411335115212953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7" t="s">
        <v>152</v>
      </c>
      <c r="B21" s="67" t="s">
        <v>244</v>
      </c>
      <c r="C21" s="2">
        <v>3453</v>
      </c>
      <c r="D21">
        <f>RTD("tos.rtd", , "LAST", Main_M[[#This Row],[Symbol]])</f>
        <v>10.63</v>
      </c>
      <c r="E21">
        <v>-0.81</v>
      </c>
      <c r="F21">
        <v>-1.07</v>
      </c>
      <c r="G21">
        <v>0.34</v>
      </c>
      <c r="H21" s="1">
        <f>IF(ISNUMBER(Main_M[[#This Row],[Free CF]]),IF(Main_M[[#This Row],[Free CF]]&lt;&gt;0,Main_M[[#This Row],[Current Price]]/Main_M[[#This Row],[Free CF]],""),"")</f>
        <v>-13.123456790123457</v>
      </c>
      <c r="I21" s="1">
        <f>IF(ISNUMBER(Main_M[[#This Row],[BVPS]]),IF(Main_M[[#This Row],[BVPS]]&lt;&gt;0,Main_M[[#This Row],[Current Price]]/Main_M[[#This Row],[BVPS]],""),"")</f>
        <v>-9.934579439252337</v>
      </c>
      <c r="J21">
        <v>-20.09</v>
      </c>
      <c r="K21">
        <v>7.02</v>
      </c>
      <c r="L21">
        <v>-4.12</v>
      </c>
      <c r="M21" s="1">
        <f>IF(ISNUMBER(Main_M[[#This Row],[EPS]]),IF(Main_M[[#This Row],[EPS]]&lt;&gt;0,Main_M[[#This Row],[Current Price]]/Main_M[[#This Row],[EPS]],""),"")</f>
        <v>31.264705882352942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-9.7296296835942403E-2</v>
      </c>
      <c r="P21" s="1">
        <f>(Main_M[[#This Row],[P/B]]-VLOOKUP(Main_M[[#This Row],[Industry]], Mean_PB_M, 2, FALSE))/(VLOOKUP(Main_M[[#This Row],[Industry]], Mean_PB_M, 3, FALSE))</f>
        <v>-3.0042829550990753</v>
      </c>
      <c r="Q21" s="1">
        <f>(Main_M[[#This Row],[ROE]]-VLOOKUP(Main_M[[#This Row],[Industry]], Mean_ROE_M, 2, FALSE))/(VLOOKUP(Main_M[[#This Row],[Industry]], Mean_ROE_M, 3, FALSE))</f>
        <v>6.3381989742434433E-2</v>
      </c>
      <c r="R21" s="1">
        <f>(Main_M[[#This Row],[ROA]]-VLOOKUP(Main_M[[#This Row],[Industry]], Mean_ROA_M, 2, FALSE))/(VLOOKUP(Main_M[[#This Row],[Industry]], Mean_ROA_M, 3, FALSE))</f>
        <v>0.96729677393241831</v>
      </c>
      <c r="S21" s="1">
        <f>(Main_M[[#This Row],[A/E]]-VLOOKUP(Main_M[[#This Row],[Industry]], Mean_AE_M, 2, FALSE))/(VLOOKUP(Main_M[[#This Row],[Industry]], Mean_AE_M, 3, FALSE))</f>
        <v>-6.44359988850929</v>
      </c>
      <c r="T21" s="1">
        <f>(Main_M[[#This Row],[P/E]]-VLOOKUP(Main_M[[#This Row],[Industry]], Mean_PE_M, 2, FALSE))/(VLOOKUP(Main_M[[#This Row],[Industry]], Mean_PE_M, 3, FALSE))</f>
        <v>2.1845480381279168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152</v>
      </c>
      <c r="B22" s="67" t="s">
        <v>274</v>
      </c>
      <c r="C22" s="2">
        <v>7471</v>
      </c>
      <c r="D22">
        <f>RTD("tos.rtd", , "LAST", Main_M[[#This Row],[Symbol]])</f>
        <v>11.08</v>
      </c>
      <c r="E22">
        <v>-1.1599999999999999</v>
      </c>
      <c r="F22">
        <v>6.74</v>
      </c>
      <c r="G22">
        <v>-0.75</v>
      </c>
      <c r="H22" s="1">
        <f>IF(ISNUMBER(Main_M[[#This Row],[Free CF]]),IF(Main_M[[#This Row],[Free CF]]&lt;&gt;0,Main_M[[#This Row],[Current Price]]/Main_M[[#This Row],[Free CF]],""),"")</f>
        <v>-9.5517241379310356</v>
      </c>
      <c r="I22" s="1">
        <f>IF(ISNUMBER(Main_M[[#This Row],[BVPS]]),IF(Main_M[[#This Row],[BVPS]]&lt;&gt;0,Main_M[[#This Row],[Current Price]]/Main_M[[#This Row],[BVPS]],""),"")</f>
        <v>1.6439169139465875</v>
      </c>
      <c r="J22">
        <v>-12.54</v>
      </c>
      <c r="K22">
        <v>-10.73</v>
      </c>
      <c r="L22">
        <v>1.1599999999999999</v>
      </c>
      <c r="M22" s="1">
        <f>IF(ISNUMBER(Main_M[[#This Row],[EPS]]),IF(Main_M[[#This Row],[EPS]]&lt;&gt;0,Main_M[[#This Row],[Current Price]]/Main_M[[#This Row],[EPS]],""),"")</f>
        <v>-14.773333333333333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0.17402854184254815</v>
      </c>
      <c r="P22" s="1">
        <f>(Main_M[[#This Row],[P/B]]-VLOOKUP(Main_M[[#This Row],[Industry]], Mean_PB_M, 2, FALSE))/(VLOOKUP(Main_M[[#This Row],[Industry]], Mean_PB_M, 3, FALSE))</f>
        <v>-0.74273166188476869</v>
      </c>
      <c r="Q22" s="1">
        <f>(Main_M[[#This Row],[ROE]]-VLOOKUP(Main_M[[#This Row],[Industry]], Mean_ROE_M, 2, FALSE))/(VLOOKUP(Main_M[[#This Row],[Industry]], Mean_ROE_M, 3, FALSE))</f>
        <v>0.14810951863457095</v>
      </c>
      <c r="R22" s="1">
        <f>(Main_M[[#This Row],[ROA]]-VLOOKUP(Main_M[[#This Row],[Industry]], Mean_ROA_M, 2, FALSE))/(VLOOKUP(Main_M[[#This Row],[Industry]], Mean_ROA_M, 3, FALSE))</f>
        <v>3.1254985182577841E-2</v>
      </c>
      <c r="S22" s="1">
        <f>(Main_M[[#This Row],[A/E]]-VLOOKUP(Main_M[[#This Row],[Industry]], Mean_AE_M, 2, FALSE))/(VLOOKUP(Main_M[[#This Row],[Industry]], Mean_AE_M, 3, FALSE))</f>
        <v>-0.36057256552110595</v>
      </c>
      <c r="T22" s="1">
        <f>(Main_M[[#This Row],[P/E]]-VLOOKUP(Main_M[[#This Row],[Industry]], Mean_PE_M, 2, FALSE))/(VLOOKUP(Main_M[[#This Row],[Industry]], Mean_PE_M, 3, FALSE))</f>
        <v>-0.34664950624922491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152</v>
      </c>
      <c r="B23" s="67" t="s">
        <v>284</v>
      </c>
      <c r="C23" s="2">
        <v>3010</v>
      </c>
      <c r="D23">
        <f>RTD("tos.rtd", , "LAST", Main_M[[#This Row],[Symbol]])</f>
        <v>27.57</v>
      </c>
      <c r="E23">
        <v>-1.21</v>
      </c>
      <c r="F23">
        <v>7.54</v>
      </c>
      <c r="G23">
        <v>-1.1499999999999999</v>
      </c>
      <c r="H23" s="1">
        <f>IF(ISNUMBER(Main_M[[#This Row],[Free CF]]),IF(Main_M[[#This Row],[Free CF]]&lt;&gt;0,Main_M[[#This Row],[Current Price]]/Main_M[[#This Row],[Free CF]],""),"")</f>
        <v>-22.785123966942148</v>
      </c>
      <c r="I23" s="1">
        <f>IF(ISNUMBER(Main_M[[#This Row],[BVPS]]),IF(Main_M[[#This Row],[BVPS]]&lt;&gt;0,Main_M[[#This Row],[Current Price]]/Main_M[[#This Row],[BVPS]],""),"")</f>
        <v>3.6564986737400531</v>
      </c>
      <c r="J23">
        <v>-14.4</v>
      </c>
      <c r="K23">
        <v>-11.74</v>
      </c>
      <c r="L23">
        <v>1.02</v>
      </c>
      <c r="M23" s="1">
        <f>IF(ISNUMBER(Main_M[[#This Row],[EPS]]),IF(Main_M[[#This Row],[EPS]]&lt;&gt;0,Main_M[[#This Row],[Current Price]]/Main_M[[#This Row],[EPS]],""),"")</f>
        <v>-23.973913043478262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-0.83123988763255052</v>
      </c>
      <c r="P23" s="1">
        <f>(Main_M[[#This Row],[P/B]]-VLOOKUP(Main_M[[#This Row],[Industry]], Mean_PB_M, 2, FALSE))/(VLOOKUP(Main_M[[#This Row],[Industry]], Mean_PB_M, 3, FALSE))</f>
        <v>-0.34962734654740396</v>
      </c>
      <c r="Q23" s="1">
        <f>(Main_M[[#This Row],[ROE]]-VLOOKUP(Main_M[[#This Row],[Industry]], Mean_ROE_M, 2, FALSE))/(VLOOKUP(Main_M[[#This Row],[Industry]], Mean_ROE_M, 3, FALSE))</f>
        <v>0.12723624661611083</v>
      </c>
      <c r="R23" s="1">
        <f>(Main_M[[#This Row],[ROA]]-VLOOKUP(Main_M[[#This Row],[Industry]], Mean_ROA_M, 2, FALSE))/(VLOOKUP(Main_M[[#This Row],[Industry]], Mean_ROA_M, 3, FALSE))</f>
        <v>-2.200711096600462E-2</v>
      </c>
      <c r="S23" s="1">
        <f>(Main_M[[#This Row],[A/E]]-VLOOKUP(Main_M[[#This Row],[Industry]], Mean_AE_M, 2, FALSE))/(VLOOKUP(Main_M[[#This Row],[Industry]], Mean_AE_M, 3, FALSE))</f>
        <v>-0.52186495666094401</v>
      </c>
      <c r="T23" s="1">
        <f>(Main_M[[#This Row],[P/E]]-VLOOKUP(Main_M[[#This Row],[Industry]], Mean_PE_M, 2, FALSE))/(VLOOKUP(Main_M[[#This Row],[Industry]], Mean_PE_M, 3, FALSE))</f>
        <v>-0.85250260438095526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152</v>
      </c>
      <c r="B24" s="67" t="s">
        <v>267</v>
      </c>
      <c r="C24" s="2">
        <v>2033</v>
      </c>
      <c r="D24">
        <f>RTD("tos.rtd", , "LAST", Main_M[[#This Row],[Symbol]])</f>
        <v>20.16</v>
      </c>
      <c r="E24">
        <v>-1.39</v>
      </c>
      <c r="F24">
        <v>6.93</v>
      </c>
      <c r="G24">
        <v>-1.85</v>
      </c>
      <c r="H24" s="1">
        <f>IF(ISNUMBER(Main_M[[#This Row],[Free CF]]),IF(Main_M[[#This Row],[Free CF]]&lt;&gt;0,Main_M[[#This Row],[Current Price]]/Main_M[[#This Row],[Free CF]],""),"")</f>
        <v>-14.503597122302159</v>
      </c>
      <c r="I24" s="1">
        <f>IF(ISNUMBER(Main_M[[#This Row],[BVPS]]),IF(Main_M[[#This Row],[BVPS]]&lt;&gt;0,Main_M[[#This Row],[Current Price]]/Main_M[[#This Row],[BVPS]],""),"")</f>
        <v>2.9090909090909092</v>
      </c>
      <c r="J24">
        <v>-31.51</v>
      </c>
      <c r="K24">
        <v>-18.149999999999999</v>
      </c>
      <c r="L24">
        <v>1.05</v>
      </c>
      <c r="M24" s="1">
        <f>IF(ISNUMBER(Main_M[[#This Row],[EPS]]),IF(Main_M[[#This Row],[EPS]]&lt;&gt;0,Main_M[[#This Row],[Current Price]]/Main_M[[#This Row],[EPS]],""),"")</f>
        <v>-10.897297297297296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-0.20213794917859673</v>
      </c>
      <c r="P24" s="1">
        <f>(Main_M[[#This Row],[P/B]]-VLOOKUP(Main_M[[#This Row],[Industry]], Mean_PB_M, 2, FALSE))/(VLOOKUP(Main_M[[#This Row],[Industry]], Mean_PB_M, 3, FALSE))</f>
        <v>-0.49561357352701402</v>
      </c>
      <c r="Q24" s="1">
        <f>(Main_M[[#This Row],[ROE]]-VLOOKUP(Main_M[[#This Row],[Industry]], Mean_ROE_M, 2, FALSE))/(VLOOKUP(Main_M[[#This Row],[Industry]], Mean_ROE_M, 3, FALSE))</f>
        <v>-6.4775411575207831E-2</v>
      </c>
      <c r="R24" s="1">
        <f>(Main_M[[#This Row],[ROA]]-VLOOKUP(Main_M[[#This Row],[Industry]], Mean_ROA_M, 2, FALSE))/(VLOOKUP(Main_M[[#This Row],[Industry]], Mean_ROA_M, 3, FALSE))</f>
        <v>-0.36003684988918633</v>
      </c>
      <c r="S24" s="1">
        <f>(Main_M[[#This Row],[A/E]]-VLOOKUP(Main_M[[#This Row],[Industry]], Mean_AE_M, 2, FALSE))/(VLOOKUP(Main_M[[#This Row],[Industry]], Mean_AE_M, 3, FALSE))</f>
        <v>-0.48730230141669295</v>
      </c>
      <c r="T24" s="1">
        <f>(Main_M[[#This Row],[P/E]]-VLOOKUP(Main_M[[#This Row],[Industry]], Mean_PE_M, 2, FALSE))/(VLOOKUP(Main_M[[#This Row],[Industry]], Mean_PE_M, 3, FALSE))</f>
        <v>-0.13354284350958162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7" t="s">
        <v>152</v>
      </c>
      <c r="B25" s="67" t="s">
        <v>260</v>
      </c>
      <c r="C25" s="2">
        <v>5328</v>
      </c>
      <c r="D25">
        <f>RTD("tos.rtd", , "LAST", Main_M[[#This Row],[Symbol]])</f>
        <v>34.78</v>
      </c>
      <c r="E25">
        <v>-1.49</v>
      </c>
      <c r="F25">
        <v>5.53</v>
      </c>
      <c r="G25">
        <v>-1.19</v>
      </c>
      <c r="H25" s="1">
        <f>IF(ISNUMBER(Main_M[[#This Row],[Free CF]]),IF(Main_M[[#This Row],[Free CF]]&lt;&gt;0,Main_M[[#This Row],[Current Price]]/Main_M[[#This Row],[Free CF]],""),"")</f>
        <v>-23.342281879194633</v>
      </c>
      <c r="I25" s="1">
        <f>IF(ISNUMBER(Main_M[[#This Row],[BVPS]]),IF(Main_M[[#This Row],[BVPS]]&lt;&gt;0,Main_M[[#This Row],[Current Price]]/Main_M[[#This Row],[BVPS]],""),"")</f>
        <v>6.2893309222423142</v>
      </c>
      <c r="J25">
        <v>-20</v>
      </c>
      <c r="K25">
        <v>-8.77</v>
      </c>
      <c r="L25">
        <v>1.59</v>
      </c>
      <c r="M25" s="1">
        <f>IF(ISNUMBER(Main_M[[#This Row],[EPS]]),IF(Main_M[[#This Row],[EPS]]&lt;&gt;0,Main_M[[#This Row],[Current Price]]/Main_M[[#This Row],[EPS]],""),"")</f>
        <v>-29.226890756302524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-0.87356410262315387</v>
      </c>
      <c r="P25" s="1">
        <f>(Main_M[[#This Row],[P/B]]-VLOOKUP(Main_M[[#This Row],[Industry]], Mean_PB_M, 2, FALSE))/(VLOOKUP(Main_M[[#This Row],[Industry]], Mean_PB_M, 3, FALSE))</f>
        <v>0.16462640409367651</v>
      </c>
      <c r="Q25" s="1">
        <f>(Main_M[[#This Row],[ROE]]-VLOOKUP(Main_M[[#This Row],[Industry]], Mean_ROE_M, 2, FALSE))/(VLOOKUP(Main_M[[#This Row],[Industry]], Mean_ROE_M, 3, FALSE))</f>
        <v>6.4391986775585733E-2</v>
      </c>
      <c r="R25" s="1">
        <f>(Main_M[[#This Row],[ROA]]-VLOOKUP(Main_M[[#This Row],[Industry]], Mean_ROA_M, 2, FALSE))/(VLOOKUP(Main_M[[#This Row],[Industry]], Mean_ROA_M, 3, FALSE))</f>
        <v>0.13461509256002505</v>
      </c>
      <c r="S25" s="1">
        <f>(Main_M[[#This Row],[A/E]]-VLOOKUP(Main_M[[#This Row],[Industry]], Mean_AE_M, 2, FALSE))/(VLOOKUP(Main_M[[#This Row],[Industry]], Mean_AE_M, 3, FALSE))</f>
        <v>0.13482549297982593</v>
      </c>
      <c r="T25" s="1">
        <f>(Main_M[[#This Row],[P/E]]-VLOOKUP(Main_M[[#This Row],[Industry]], Mean_PE_M, 2, FALSE))/(VLOOKUP(Main_M[[#This Row],[Industry]], Mean_PE_M, 3, FALSE))</f>
        <v>-1.1413143025741799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152</v>
      </c>
      <c r="B26" s="67" t="s">
        <v>276</v>
      </c>
      <c r="C26" s="2">
        <v>3902</v>
      </c>
      <c r="D26">
        <f>RTD("tos.rtd", , "LAST", Main_M[[#This Row],[Symbol]])</f>
        <v>66.72</v>
      </c>
      <c r="E26">
        <v>-1.85</v>
      </c>
      <c r="F26">
        <v>0.3</v>
      </c>
      <c r="G26">
        <v>-2.82</v>
      </c>
      <c r="H26" s="1">
        <f>IF(ISNUMBER(Main_M[[#This Row],[Free CF]]),IF(Main_M[[#This Row],[Free CF]]&lt;&gt;0,Main_M[[#This Row],[Current Price]]/Main_M[[#This Row],[Free CF]],""),"")</f>
        <v>-36.064864864864866</v>
      </c>
      <c r="I26" s="1">
        <f>IF(ISNUMBER(Main_M[[#This Row],[BVPS]]),IF(Main_M[[#This Row],[BVPS]]&lt;&gt;0,Main_M[[#This Row],[Current Price]]/Main_M[[#This Row],[BVPS]],""),"")</f>
        <v>222.4</v>
      </c>
      <c r="J26">
        <v>-150.19999999999999</v>
      </c>
      <c r="K26">
        <v>-51.33</v>
      </c>
      <c r="L26">
        <v>20.41</v>
      </c>
      <c r="M26" s="1">
        <f>IF(ISNUMBER(Main_M[[#This Row],[EPS]]),IF(Main_M[[#This Row],[EPS]]&lt;&gt;0,Main_M[[#This Row],[Current Price]]/Main_M[[#This Row],[EPS]],""),"")</f>
        <v>-23.659574468085108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-1.8400285926352455</v>
      </c>
      <c r="P26" s="1">
        <f>(Main_M[[#This Row],[P/B]]-VLOOKUP(Main_M[[#This Row],[Industry]], Mean_PB_M, 2, FALSE))/(VLOOKUP(Main_M[[#This Row],[Industry]], Mean_PB_M, 3, FALSE))</f>
        <v>42.376097412173294</v>
      </c>
      <c r="Q26" s="1">
        <f>(Main_M[[#This Row],[ROE]]-VLOOKUP(Main_M[[#This Row],[Industry]], Mean_ROE_M, 2, FALSE))/(VLOOKUP(Main_M[[#This Row],[Industry]], Mean_ROE_M, 3, FALSE))</f>
        <v>-1.3967370545166227</v>
      </c>
      <c r="R26" s="1">
        <f>(Main_M[[#This Row],[ROA]]-VLOOKUP(Main_M[[#This Row],[Industry]], Mean_ROA_M, 2, FALSE))/(VLOOKUP(Main_M[[#This Row],[Industry]], Mean_ROA_M, 3, FALSE))</f>
        <v>-2.1097758104931135</v>
      </c>
      <c r="S26" s="1">
        <f>(Main_M[[#This Row],[A/E]]-VLOOKUP(Main_M[[#This Row],[Industry]], Mean_AE_M, 2, FALSE))/(VLOOKUP(Main_M[[#This Row],[Industry]], Mean_AE_M, 3, FALSE))</f>
        <v>21.817131216206651</v>
      </c>
      <c r="T26" s="1">
        <f>(Main_M[[#This Row],[P/E]]-VLOOKUP(Main_M[[#This Row],[Industry]], Mean_PE_M, 2, FALSE))/(VLOOKUP(Main_M[[#This Row],[Industry]], Mean_PE_M, 3, FALSE))</f>
        <v>-0.83522009097045657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152</v>
      </c>
      <c r="B27" s="67" t="s">
        <v>277</v>
      </c>
      <c r="C27" s="2">
        <v>3696</v>
      </c>
      <c r="D27">
        <f>RTD("tos.rtd", , "LAST", Main_M[[#This Row],[Symbol]])</f>
        <v>77.73</v>
      </c>
      <c r="E27">
        <v>-2.1</v>
      </c>
      <c r="F27">
        <v>4.79</v>
      </c>
      <c r="G27">
        <v>-4.6500000000000004</v>
      </c>
      <c r="H27" s="1">
        <f>IF(ISNUMBER(Main_M[[#This Row],[Free CF]]),IF(Main_M[[#This Row],[Free CF]]&lt;&gt;0,Main_M[[#This Row],[Current Price]]/Main_M[[#This Row],[Free CF]],""),"")</f>
        <v>-37.014285714285712</v>
      </c>
      <c r="I27" s="1">
        <f>IF(ISNUMBER(Main_M[[#This Row],[BVPS]]),IF(Main_M[[#This Row],[BVPS]]&lt;&gt;0,Main_M[[#This Row],[Current Price]]/Main_M[[#This Row],[BVPS]],""),"")</f>
        <v>16.227557411273487</v>
      </c>
      <c r="J27">
        <v>-105.54</v>
      </c>
      <c r="K27">
        <v>-52.4</v>
      </c>
      <c r="L27">
        <v>1.37</v>
      </c>
      <c r="M27" s="1">
        <f>IF(ISNUMBER(Main_M[[#This Row],[EPS]]),IF(Main_M[[#This Row],[EPS]]&lt;&gt;0,Main_M[[#This Row],[Current Price]]/Main_M[[#This Row],[EPS]],""),"")</f>
        <v>-16.716129032258063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-1.912150860422837</v>
      </c>
      <c r="P27" s="1">
        <f>(Main_M[[#This Row],[P/B]]-VLOOKUP(Main_M[[#This Row],[Industry]], Mean_PB_M, 2, FALSE))/(VLOOKUP(Main_M[[#This Row],[Industry]], Mean_PB_M, 3, FALSE))</f>
        <v>2.1057946078834093</v>
      </c>
      <c r="Q27" s="1">
        <f>(Main_M[[#This Row],[ROE]]-VLOOKUP(Main_M[[#This Row],[Industry]], Mean_ROE_M, 2, FALSE))/(VLOOKUP(Main_M[[#This Row],[Industry]], Mean_ROE_M, 3, FALSE))</f>
        <v>-0.89555408228843514</v>
      </c>
      <c r="R27" s="1">
        <f>(Main_M[[#This Row],[ROA]]-VLOOKUP(Main_M[[#This Row],[Industry]], Mean_ROA_M, 2, FALSE))/(VLOOKUP(Main_M[[#This Row],[Industry]], Mean_ROA_M, 3, FALSE))</f>
        <v>-2.1662019915614139</v>
      </c>
      <c r="S27" s="1">
        <f>(Main_M[[#This Row],[A/E]]-VLOOKUP(Main_M[[#This Row],[Industry]], Mean_AE_M, 2, FALSE))/(VLOOKUP(Main_M[[#This Row],[Industry]], Mean_AE_M, 3, FALSE))</f>
        <v>-0.11863397881134838</v>
      </c>
      <c r="T27" s="1">
        <f>(Main_M[[#This Row],[P/E]]-VLOOKUP(Main_M[[#This Row],[Industry]], Mean_PE_M, 2, FALSE))/(VLOOKUP(Main_M[[#This Row],[Industry]], Mean_PE_M, 3, FALSE))</f>
        <v>-0.45346551722888462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152</v>
      </c>
      <c r="B28" s="67" t="s">
        <v>263</v>
      </c>
      <c r="C28" s="2">
        <v>2476</v>
      </c>
      <c r="D28">
        <f>RTD("tos.rtd", , "LAST", Main_M[[#This Row],[Symbol]])</f>
        <v>46.62</v>
      </c>
      <c r="E28">
        <v>-2.2200000000000002</v>
      </c>
      <c r="F28">
        <v>6.42</v>
      </c>
      <c r="G28">
        <v>-2.2999999999999998</v>
      </c>
      <c r="H28" s="1">
        <f>IF(ISNUMBER(Main_M[[#This Row],[Free CF]]),IF(Main_M[[#This Row],[Free CF]]&lt;&gt;0,Main_M[[#This Row],[Current Price]]/Main_M[[#This Row],[Free CF]],""),"")</f>
        <v>-20.999999999999996</v>
      </c>
      <c r="I28" s="1">
        <f>IF(ISNUMBER(Main_M[[#This Row],[BVPS]]),IF(Main_M[[#This Row],[BVPS]]&lt;&gt;0,Main_M[[#This Row],[Current Price]]/Main_M[[#This Row],[BVPS]],""),"")</f>
        <v>7.2616822429906538</v>
      </c>
      <c r="J28">
        <v>-30.64</v>
      </c>
      <c r="K28">
        <v>-19.850000000000001</v>
      </c>
      <c r="L28">
        <v>1.25</v>
      </c>
      <c r="M28" s="1">
        <f>IF(ISNUMBER(Main_M[[#This Row],[EPS]]),IF(Main_M[[#This Row],[EPS]]&lt;&gt;0,Main_M[[#This Row],[Current Price]]/Main_M[[#This Row],[EPS]],""),"")</f>
        <v>-20.269565217391303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-0.69563386122562421</v>
      </c>
      <c r="P28" s="1">
        <f>(Main_M[[#This Row],[P/B]]-VLOOKUP(Main_M[[#This Row],[Industry]], Mean_PB_M, 2, FALSE))/(VLOOKUP(Main_M[[#This Row],[Industry]], Mean_PB_M, 3, FALSE))</f>
        <v>0.35454937162041394</v>
      </c>
      <c r="Q28" s="1">
        <f>(Main_M[[#This Row],[ROE]]-VLOOKUP(Main_M[[#This Row],[Industry]], Mean_ROE_M, 2, FALSE))/(VLOOKUP(Main_M[[#This Row],[Industry]], Mean_ROE_M, 3, FALSE))</f>
        <v>-5.5012106921411959E-2</v>
      </c>
      <c r="R28" s="1">
        <f>(Main_M[[#This Row],[ROA]]-VLOOKUP(Main_M[[#This Row],[Industry]], Mean_ROA_M, 2, FALSE))/(VLOOKUP(Main_M[[#This Row],[Industry]], Mean_ROA_M, 3, FALSE))</f>
        <v>-0.44968592261452334</v>
      </c>
      <c r="S28" s="1">
        <f>(Main_M[[#This Row],[A/E]]-VLOOKUP(Main_M[[#This Row],[Industry]], Mean_AE_M, 2, FALSE))/(VLOOKUP(Main_M[[#This Row],[Industry]], Mean_AE_M, 3, FALSE))</f>
        <v>-0.25688459978835271</v>
      </c>
      <c r="T28" s="1">
        <f>(Main_M[[#This Row],[P/E]]-VLOOKUP(Main_M[[#This Row],[Industry]], Mean_PE_M, 2, FALSE))/(VLOOKUP(Main_M[[#This Row],[Industry]], Mean_PE_M, 3, FALSE))</f>
        <v>-0.64883545693833933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152</v>
      </c>
      <c r="B29" s="67" t="s">
        <v>241</v>
      </c>
      <c r="C29" s="2">
        <v>3420</v>
      </c>
      <c r="D29">
        <f>RTD("tos.rtd", , "LAST", Main_M[[#This Row],[Symbol]])</f>
        <v>66.86</v>
      </c>
      <c r="E29">
        <v>-2.2599999999999998</v>
      </c>
      <c r="F29">
        <v>7.57</v>
      </c>
      <c r="G29">
        <v>-3</v>
      </c>
      <c r="H29" s="1">
        <f>IF(ISNUMBER(Main_M[[#This Row],[Free CF]]),IF(Main_M[[#This Row],[Free CF]]&lt;&gt;0,Main_M[[#This Row],[Current Price]]/Main_M[[#This Row],[Free CF]],""),"")</f>
        <v>-29.584070796460178</v>
      </c>
      <c r="I29" s="1">
        <f>IF(ISNUMBER(Main_M[[#This Row],[BVPS]]),IF(Main_M[[#This Row],[BVPS]]&lt;&gt;0,Main_M[[#This Row],[Current Price]]/Main_M[[#This Row],[BVPS]],""),"")</f>
        <v>8.8322324966974897</v>
      </c>
      <c r="J29">
        <v>-35.56</v>
      </c>
      <c r="K29">
        <v>-16.690000000000001</v>
      </c>
      <c r="L29">
        <v>1.55</v>
      </c>
      <c r="M29" s="1">
        <f>IF(ISNUMBER(Main_M[[#This Row],[EPS]]),IF(Main_M[[#This Row],[EPS]]&lt;&gt;0,Main_M[[#This Row],[Current Price]]/Main_M[[#This Row],[EPS]],""),"")</f>
        <v>-22.286666666666665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-1.3477183957790873</v>
      </c>
      <c r="P29" s="1">
        <f>(Main_M[[#This Row],[P/B]]-VLOOKUP(Main_M[[#This Row],[Industry]], Mean_PB_M, 2, FALSE))/(VLOOKUP(Main_M[[#This Row],[Industry]], Mean_PB_M, 3, FALSE))</f>
        <v>0.661314589570967</v>
      </c>
      <c r="Q29" s="1">
        <f>(Main_M[[#This Row],[ROE]]-VLOOKUP(Main_M[[#This Row],[Industry]], Mean_ROE_M, 2, FALSE))/(VLOOKUP(Main_M[[#This Row],[Industry]], Mean_ROE_M, 3, FALSE))</f>
        <v>-0.11022527806701617</v>
      </c>
      <c r="R29" s="1">
        <f>(Main_M[[#This Row],[ROA]]-VLOOKUP(Main_M[[#This Row],[Industry]], Mean_ROA_M, 2, FALSE))/(VLOOKUP(Main_M[[#This Row],[Industry]], Mean_ROA_M, 3, FALSE))</f>
        <v>-0.28304411684272074</v>
      </c>
      <c r="S29" s="1">
        <f>(Main_M[[#This Row],[A/E]]-VLOOKUP(Main_M[[#This Row],[Industry]], Mean_AE_M, 2, FALSE))/(VLOOKUP(Main_M[[#This Row],[Industry]], Mean_AE_M, 3, FALSE))</f>
        <v>8.8741952654157824E-2</v>
      </c>
      <c r="T29" s="1">
        <f>(Main_M[[#This Row],[P/E]]-VLOOKUP(Main_M[[#This Row],[Industry]], Mean_PE_M, 2, FALSE))/(VLOOKUP(Main_M[[#This Row],[Industry]], Mean_PE_M, 3, FALSE))</f>
        <v>-0.75973684027583255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7" t="s">
        <v>152</v>
      </c>
      <c r="B30" s="67" t="s">
        <v>286</v>
      </c>
      <c r="C30" s="2">
        <v>3304</v>
      </c>
      <c r="D30">
        <f>RTD("tos.rtd", , "LAST", Main_M[[#This Row],[Symbol]])</f>
        <v>37.869999999999997</v>
      </c>
      <c r="E30">
        <v>-2.35</v>
      </c>
      <c r="F30">
        <v>7.48</v>
      </c>
      <c r="G30">
        <v>-2.48</v>
      </c>
      <c r="H30" s="1">
        <f>IF(ISNUMBER(Main_M[[#This Row],[Free CF]]),IF(Main_M[[#This Row],[Free CF]]&lt;&gt;0,Main_M[[#This Row],[Current Price]]/Main_M[[#This Row],[Free CF]],""),"")</f>
        <v>-16.114893617021274</v>
      </c>
      <c r="I30" s="1">
        <f>IF(ISNUMBER(Main_M[[#This Row],[BVPS]]),IF(Main_M[[#This Row],[BVPS]]&lt;&gt;0,Main_M[[#This Row],[Current Price]]/Main_M[[#This Row],[BVPS]],""),"")</f>
        <v>5.0628342245989302</v>
      </c>
      <c r="J30">
        <v>-32.049999999999997</v>
      </c>
      <c r="K30">
        <v>-15.5</v>
      </c>
      <c r="L30">
        <v>1.45</v>
      </c>
      <c r="M30" s="1">
        <f>IF(ISNUMBER(Main_M[[#This Row],[EPS]]),IF(Main_M[[#This Row],[EPS]]&lt;&gt;0,Main_M[[#This Row],[Current Price]]/Main_M[[#This Row],[EPS]],""),"")</f>
        <v>-15.27016129032258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-0.32453926082898743</v>
      </c>
      <c r="P30" s="1">
        <f>(Main_M[[#This Row],[P/B]]-VLOOKUP(Main_M[[#This Row],[Industry]], Mean_PB_M, 2, FALSE))/(VLOOKUP(Main_M[[#This Row],[Industry]], Mean_PB_M, 3, FALSE))</f>
        <v>-7.4937102951184789E-2</v>
      </c>
      <c r="Q30" s="1">
        <f>(Main_M[[#This Row],[ROE]]-VLOOKUP(Main_M[[#This Row],[Industry]], Mean_ROE_M, 2, FALSE))/(VLOOKUP(Main_M[[#This Row],[Industry]], Mean_ROE_M, 3, FALSE))</f>
        <v>-7.083539377411556E-2</v>
      </c>
      <c r="R30" s="1">
        <f>(Main_M[[#This Row],[ROA]]-VLOOKUP(Main_M[[#This Row],[Industry]], Mean_ROA_M, 2, FALSE))/(VLOOKUP(Main_M[[#This Row],[Industry]], Mean_ROA_M, 3, FALSE))</f>
        <v>-0.22028976593498489</v>
      </c>
      <c r="S30" s="1">
        <f>(Main_M[[#This Row],[A/E]]-VLOOKUP(Main_M[[#This Row],[Industry]], Mean_AE_M, 2, FALSE))/(VLOOKUP(Main_M[[#This Row],[Industry]], Mean_AE_M, 3, FALSE))</f>
        <v>-2.6466898160012433E-2</v>
      </c>
      <c r="T30" s="1">
        <f>(Main_M[[#This Row],[P/E]]-VLOOKUP(Main_M[[#This Row],[Industry]], Mean_PE_M, 2, FALSE))/(VLOOKUP(Main_M[[#This Row],[Industry]], Mean_PE_M, 3, FALSE))</f>
        <v>-0.37396538950866248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7" t="s">
        <v>152</v>
      </c>
      <c r="B31" s="67" t="s">
        <v>250</v>
      </c>
      <c r="C31" s="2">
        <v>6545</v>
      </c>
      <c r="D31">
        <f>RTD("tos.rtd", , "LAST", Main_M[[#This Row],[Symbol]])</f>
        <v>127.97</v>
      </c>
      <c r="E31">
        <v>-2.38</v>
      </c>
      <c r="F31">
        <v>5.3</v>
      </c>
      <c r="G31">
        <v>-2.4500000000000002</v>
      </c>
      <c r="H31" s="1">
        <f>IF(ISNUMBER(Main_M[[#This Row],[Free CF]]),IF(Main_M[[#This Row],[Free CF]]&lt;&gt;0,Main_M[[#This Row],[Current Price]]/Main_M[[#This Row],[Free CF]],""),"")</f>
        <v>-53.768907563025209</v>
      </c>
      <c r="I31" s="1">
        <f>IF(ISNUMBER(Main_M[[#This Row],[BVPS]]),IF(Main_M[[#This Row],[BVPS]]&lt;&gt;0,Main_M[[#This Row],[Current Price]]/Main_M[[#This Row],[BVPS]],""),"")</f>
        <v>24.145283018867925</v>
      </c>
      <c r="J31">
        <v>-47.71</v>
      </c>
      <c r="K31">
        <v>-9.75</v>
      </c>
      <c r="L31">
        <v>3.49</v>
      </c>
      <c r="M31" s="1">
        <f>IF(ISNUMBER(Main_M[[#This Row],[EPS]]),IF(Main_M[[#This Row],[EPS]]&lt;&gt;0,Main_M[[#This Row],[Current Price]]/Main_M[[#This Row],[EPS]],""),"")</f>
        <v>-52.232653061224482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-3.1849071142924927</v>
      </c>
      <c r="P31" s="1">
        <f>(Main_M[[#This Row],[P/B]]-VLOOKUP(Main_M[[#This Row],[Industry]], Mean_PB_M, 2, FALSE))/(VLOOKUP(Main_M[[#This Row],[Industry]], Mean_PB_M, 3, FALSE))</f>
        <v>3.6523117065586659</v>
      </c>
      <c r="Q31" s="1">
        <f>(Main_M[[#This Row],[ROE]]-VLOOKUP(Main_M[[#This Row],[Industry]], Mean_ROE_M, 2, FALSE))/(VLOOKUP(Main_M[[#This Row],[Industry]], Mean_ROE_M, 3, FALSE))</f>
        <v>-0.24657487754244115</v>
      </c>
      <c r="R31" s="1">
        <f>(Main_M[[#This Row],[ROA]]-VLOOKUP(Main_M[[#This Row],[Industry]], Mean_ROA_M, 2, FALSE))/(VLOOKUP(Main_M[[#This Row],[Industry]], Mean_ROA_M, 3, FALSE))</f>
        <v>8.293503887130145E-2</v>
      </c>
      <c r="S31" s="1">
        <f>(Main_M[[#This Row],[A/E]]-VLOOKUP(Main_M[[#This Row],[Industry]], Mean_AE_M, 2, FALSE))/(VLOOKUP(Main_M[[#This Row],[Industry]], Mean_AE_M, 3, FALSE))</f>
        <v>2.3237936584490591</v>
      </c>
      <c r="T31" s="1">
        <f>(Main_M[[#This Row],[P/E]]-VLOOKUP(Main_M[[#This Row],[Industry]], Mean_PE_M, 2, FALSE))/(VLOOKUP(Main_M[[#This Row],[Industry]], Mean_PE_M, 3, FALSE))</f>
        <v>-2.4061841807183728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7" t="s">
        <v>152</v>
      </c>
      <c r="B32" s="67" t="s">
        <v>279</v>
      </c>
      <c r="C32" s="2">
        <v>2754</v>
      </c>
      <c r="D32">
        <f>RTD("tos.rtd", , "LAST", Main_M[[#This Row],[Symbol]])</f>
        <v>34.07</v>
      </c>
      <c r="E32">
        <v>-2.4300000000000002</v>
      </c>
      <c r="F32">
        <v>3.29</v>
      </c>
      <c r="G32">
        <v>-2.78</v>
      </c>
      <c r="H32" s="1">
        <f>IF(ISNUMBER(Main_M[[#This Row],[Free CF]]),IF(Main_M[[#This Row],[Free CF]]&lt;&gt;0,Main_M[[#This Row],[Current Price]]/Main_M[[#This Row],[Free CF]],""),"")</f>
        <v>-14.020576131687243</v>
      </c>
      <c r="I32" s="1">
        <f>IF(ISNUMBER(Main_M[[#This Row],[BVPS]]),IF(Main_M[[#This Row],[BVPS]]&lt;&gt;0,Main_M[[#This Row],[Current Price]]/Main_M[[#This Row],[BVPS]],""),"")</f>
        <v>10.355623100303951</v>
      </c>
      <c r="J32">
        <v>-106.71</v>
      </c>
      <c r="K32">
        <v>-50.15</v>
      </c>
      <c r="L32">
        <v>1.3</v>
      </c>
      <c r="M32" s="1">
        <f>IF(ISNUMBER(Main_M[[#This Row],[EPS]]),IF(Main_M[[#This Row],[EPS]]&lt;&gt;0,Main_M[[#This Row],[Current Price]]/Main_M[[#This Row],[EPS]],""),"")</f>
        <v>-12.255395683453239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-0.16544550740906183</v>
      </c>
      <c r="P32" s="1">
        <f>(Main_M[[#This Row],[P/B]]-VLOOKUP(Main_M[[#This Row],[Industry]], Mean_PB_M, 2, FALSE))/(VLOOKUP(Main_M[[#This Row],[Industry]], Mean_PB_M, 3, FALSE))</f>
        <v>0.95886842424526519</v>
      </c>
      <c r="Q32" s="1">
        <f>(Main_M[[#This Row],[ROE]]-VLOOKUP(Main_M[[#This Row],[Industry]], Mean_ROE_M, 2, FALSE))/(VLOOKUP(Main_M[[#This Row],[Industry]], Mean_ROE_M, 3, FALSE))</f>
        <v>-0.90868404371940181</v>
      </c>
      <c r="R32" s="1">
        <f>(Main_M[[#This Row],[ROA]]-VLOOKUP(Main_M[[#This Row],[Industry]], Mean_ROA_M, 2, FALSE))/(VLOOKUP(Main_M[[#This Row],[Industry]], Mean_ROA_M, 3, FALSE))</f>
        <v>-2.0475488070719972</v>
      </c>
      <c r="S32" s="1">
        <f>(Main_M[[#This Row],[A/E]]-VLOOKUP(Main_M[[#This Row],[Industry]], Mean_AE_M, 2, FALSE))/(VLOOKUP(Main_M[[#This Row],[Industry]], Mean_AE_M, 3, FALSE))</f>
        <v>-0.19928017438126755</v>
      </c>
      <c r="T32" s="1">
        <f>(Main_M[[#This Row],[P/E]]-VLOOKUP(Main_M[[#This Row],[Industry]], Mean_PE_M, 2, FALSE))/(VLOOKUP(Main_M[[#This Row],[Industry]], Mean_PE_M, 3, FALSE))</f>
        <v>-0.20821186414174622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7" t="s">
        <v>152</v>
      </c>
      <c r="B33" s="67" t="s">
        <v>285</v>
      </c>
      <c r="C33" s="2">
        <v>2214</v>
      </c>
      <c r="D33">
        <f>RTD("tos.rtd", , "LAST", Main_M[[#This Row],[Symbol]])</f>
        <v>31.45</v>
      </c>
      <c r="E33">
        <v>-2.56</v>
      </c>
      <c r="F33">
        <v>9.19</v>
      </c>
      <c r="G33">
        <v>-3.22</v>
      </c>
      <c r="H33" s="1">
        <f>IF(ISNUMBER(Main_M[[#This Row],[Free CF]]),IF(Main_M[[#This Row],[Free CF]]&lt;&gt;0,Main_M[[#This Row],[Current Price]]/Main_M[[#This Row],[Free CF]],""),"")</f>
        <v>-12.28515625</v>
      </c>
      <c r="I33" s="1">
        <f>IF(ISNUMBER(Main_M[[#This Row],[BVPS]]),IF(Main_M[[#This Row],[BVPS]]&lt;&gt;0,Main_M[[#This Row],[Current Price]]/Main_M[[#This Row],[BVPS]],""),"")</f>
        <v>3.4221980413492927</v>
      </c>
      <c r="J33">
        <v>-31.6</v>
      </c>
      <c r="K33">
        <v>-22.03</v>
      </c>
      <c r="L33">
        <v>1.06</v>
      </c>
      <c r="M33" s="1">
        <f>IF(ISNUMBER(Main_M[[#This Row],[EPS]]),IF(Main_M[[#This Row],[EPS]]&lt;&gt;0,Main_M[[#This Row],[Current Price]]/Main_M[[#This Row],[EPS]],""),"")</f>
        <v>-9.7670807453416142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-3.3615226341074098E-2</v>
      </c>
      <c r="P33" s="1">
        <f>(Main_M[[#This Row],[P/B]]-VLOOKUP(Main_M[[#This Row],[Industry]], Mean_PB_M, 2, FALSE))/(VLOOKUP(Main_M[[#This Row],[Industry]], Mean_PB_M, 3, FALSE))</f>
        <v>-0.3953917430649066</v>
      </c>
      <c r="Q33" s="1">
        <f>(Main_M[[#This Row],[ROE]]-VLOOKUP(Main_M[[#This Row],[Industry]], Mean_ROE_M, 2, FALSE))/(VLOOKUP(Main_M[[#This Row],[Industry]], Mean_ROE_M, 3, FALSE))</f>
        <v>-6.5785408608359131E-2</v>
      </c>
      <c r="R33" s="1">
        <f>(Main_M[[#This Row],[ROA]]-VLOOKUP(Main_M[[#This Row],[Industry]], Mean_ROA_M, 2, FALSE))/(VLOOKUP(Main_M[[#This Row],[Industry]], Mean_ROA_M, 3, FALSE))</f>
        <v>-0.56464767469760235</v>
      </c>
      <c r="S33" s="1">
        <f>(Main_M[[#This Row],[A/E]]-VLOOKUP(Main_M[[#This Row],[Industry]], Mean_AE_M, 2, FALSE))/(VLOOKUP(Main_M[[#This Row],[Industry]], Mean_AE_M, 3, FALSE))</f>
        <v>-0.47578141633527593</v>
      </c>
      <c r="T33" s="1">
        <f>(Main_M[[#This Row],[P/E]]-VLOOKUP(Main_M[[#This Row],[Industry]], Mean_PE_M, 2, FALSE))/(VLOOKUP(Main_M[[#This Row],[Industry]], Mean_PE_M, 3, FALSE))</f>
        <v>-7.1402895552156911E-2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7" t="s">
        <v>152</v>
      </c>
      <c r="B34" s="67" t="s">
        <v>248</v>
      </c>
      <c r="C34" s="2">
        <v>6503</v>
      </c>
      <c r="D34">
        <f>RTD("tos.rtd", , "LAST", Main_M[[#This Row],[Symbol]])</f>
        <v>39.03</v>
      </c>
      <c r="E34">
        <v>-2.7</v>
      </c>
      <c r="F34">
        <v>-8.68</v>
      </c>
      <c r="G34">
        <v>-3.54</v>
      </c>
      <c r="H34" s="1">
        <f>IF(ISNUMBER(Main_M[[#This Row],[Free CF]]),IF(Main_M[[#This Row],[Free CF]]&lt;&gt;0,Main_M[[#This Row],[Current Price]]/Main_M[[#This Row],[Free CF]],""),"")</f>
        <v>-14.455555555555556</v>
      </c>
      <c r="I34" s="1">
        <f>IF(ISNUMBER(Main_M[[#This Row],[BVPS]]),IF(Main_M[[#This Row],[BVPS]]&lt;&gt;0,Main_M[[#This Row],[Current Price]]/Main_M[[#This Row],[BVPS]],""),"")</f>
        <v>-4.4965437788018434</v>
      </c>
      <c r="J34">
        <v>50.59</v>
      </c>
      <c r="K34">
        <v>-48.27</v>
      </c>
      <c r="L34">
        <v>-0.53</v>
      </c>
      <c r="M34" s="1">
        <f>IF(ISNUMBER(Main_M[[#This Row],[EPS]]),IF(Main_M[[#This Row],[EPS]]&lt;&gt;0,Main_M[[#This Row],[Current Price]]/Main_M[[#This Row],[EPS]],""),"")</f>
        <v>-11.025423728813559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-0.19848849620529457</v>
      </c>
      <c r="P34" s="1">
        <f>(Main_M[[#This Row],[P/B]]-VLOOKUP(Main_M[[#This Row],[Industry]], Mean_PB_M, 2, FALSE))/(VLOOKUP(Main_M[[#This Row],[Industry]], Mean_PB_M, 3, FALSE))</f>
        <v>-1.9421073318334938</v>
      </c>
      <c r="Q34" s="1">
        <f>(Main_M[[#This Row],[ROE]]-VLOOKUP(Main_M[[#This Row],[Industry]], Mean_ROE_M, 2, FALSE))/(VLOOKUP(Main_M[[#This Row],[Industry]], Mean_ROE_M, 3, FALSE))</f>
        <v>0.85656632644391917</v>
      </c>
      <c r="R34" s="1">
        <f>(Main_M[[#This Row],[ROA]]-VLOOKUP(Main_M[[#This Row],[Industry]], Mean_ROA_M, 2, FALSE))/(VLOOKUP(Main_M[[#This Row],[Industry]], Mean_ROA_M, 3, FALSE))</f>
        <v>-1.9484074795875075</v>
      </c>
      <c r="S34" s="1">
        <f>(Main_M[[#This Row],[A/E]]-VLOOKUP(Main_M[[#This Row],[Industry]], Mean_AE_M, 2, FALSE))/(VLOOKUP(Main_M[[#This Row],[Industry]], Mean_AE_M, 3, FALSE))</f>
        <v>-2.3076021442805814</v>
      </c>
      <c r="T34" s="1">
        <f>(Main_M[[#This Row],[P/E]]-VLOOKUP(Main_M[[#This Row],[Industry]], Mean_PE_M, 2, FALSE))/(VLOOKUP(Main_M[[#This Row],[Industry]], Mean_PE_M, 3, FALSE))</f>
        <v>-0.14058730748651982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152</v>
      </c>
      <c r="B35" s="67" t="s">
        <v>268</v>
      </c>
      <c r="C35" s="2">
        <v>5358</v>
      </c>
      <c r="D35">
        <f>RTD("tos.rtd", , "LAST", Main_M[[#This Row],[Symbol]])</f>
        <v>76.08</v>
      </c>
      <c r="E35">
        <v>-2.99</v>
      </c>
      <c r="F35">
        <v>14.09</v>
      </c>
      <c r="G35">
        <v>-4.41</v>
      </c>
      <c r="H35" s="1">
        <f>IF(ISNUMBER(Main_M[[#This Row],[Free CF]]),IF(Main_M[[#This Row],[Free CF]]&lt;&gt;0,Main_M[[#This Row],[Current Price]]/Main_M[[#This Row],[Free CF]],""),"")</f>
        <v>-25.444816053511705</v>
      </c>
      <c r="I35" s="1">
        <f>IF(ISNUMBER(Main_M[[#This Row],[BVPS]]),IF(Main_M[[#This Row],[BVPS]]&lt;&gt;0,Main_M[[#This Row],[Current Price]]/Main_M[[#This Row],[BVPS]],""),"")</f>
        <v>5.3995741660752303</v>
      </c>
      <c r="J35">
        <v>-35.69</v>
      </c>
      <c r="K35">
        <v>-22.23</v>
      </c>
      <c r="L35">
        <v>1.0900000000000001</v>
      </c>
      <c r="M35" s="1">
        <f>IF(ISNUMBER(Main_M[[#This Row],[EPS]]),IF(Main_M[[#This Row],[EPS]]&lt;&gt;0,Main_M[[#This Row],[Current Price]]/Main_M[[#This Row],[EPS]],""),"")</f>
        <v>-17.251700680272108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-1.0332820326066379</v>
      </c>
      <c r="P35" s="1">
        <f>(Main_M[[#This Row],[P/B]]-VLOOKUP(Main_M[[#This Row],[Industry]], Mean_PB_M, 2, FALSE))/(VLOOKUP(Main_M[[#This Row],[Industry]], Mean_PB_M, 3, FALSE))</f>
        <v>-9.1639121247064376E-3</v>
      </c>
      <c r="Q35" s="1">
        <f>(Main_M[[#This Row],[ROE]]-VLOOKUP(Main_M[[#This Row],[Industry]], Mean_ROE_M, 2, FALSE))/(VLOOKUP(Main_M[[#This Row],[Industry]], Mean_ROE_M, 3, FALSE))</f>
        <v>-0.11168416267045687</v>
      </c>
      <c r="R35" s="1">
        <f>(Main_M[[#This Row],[ROA]]-VLOOKUP(Main_M[[#This Row],[Industry]], Mean_ROA_M, 2, FALSE))/(VLOOKUP(Main_M[[#This Row],[Industry]], Mean_ROA_M, 3, FALSE))</f>
        <v>-0.57519462442999481</v>
      </c>
      <c r="S35" s="1">
        <f>(Main_M[[#This Row],[A/E]]-VLOOKUP(Main_M[[#This Row],[Industry]], Mean_AE_M, 2, FALSE))/(VLOOKUP(Main_M[[#This Row],[Industry]], Mean_AE_M, 3, FALSE))</f>
        <v>-0.44121876109102487</v>
      </c>
      <c r="T35" s="1">
        <f>(Main_M[[#This Row],[P/E]]-VLOOKUP(Main_M[[#This Row],[Industry]], Mean_PE_M, 2, FALSE))/(VLOOKUP(Main_M[[#This Row],[Industry]], Mean_PE_M, 3, FALSE))</f>
        <v>-0.48291155062618168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152</v>
      </c>
      <c r="B36" s="67" t="s">
        <v>273</v>
      </c>
      <c r="C36" s="2">
        <v>3734</v>
      </c>
      <c r="D36">
        <f>RTD("tos.rtd", , "LAST", Main_M[[#This Row],[Symbol]])</f>
        <v>32.659999999999997</v>
      </c>
      <c r="E36">
        <v>-2.99</v>
      </c>
      <c r="F36">
        <v>11.03</v>
      </c>
      <c r="G36">
        <v>-3.03</v>
      </c>
      <c r="H36" s="1">
        <f>IF(ISNUMBER(Main_M[[#This Row],[Free CF]]),IF(Main_M[[#This Row],[Free CF]]&lt;&gt;0,Main_M[[#This Row],[Current Price]]/Main_M[[#This Row],[Free CF]],""),"")</f>
        <v>-10.923076923076922</v>
      </c>
      <c r="I36" s="1">
        <f>IF(ISNUMBER(Main_M[[#This Row],[BVPS]]),IF(Main_M[[#This Row],[BVPS]]&lt;&gt;0,Main_M[[#This Row],[Current Price]]/Main_M[[#This Row],[BVPS]],""),"")</f>
        <v>2.9610154125113324</v>
      </c>
      <c r="J36">
        <v>-34.19</v>
      </c>
      <c r="K36">
        <v>-22.47</v>
      </c>
      <c r="L36">
        <v>1.1000000000000001</v>
      </c>
      <c r="M36" s="1">
        <f>IF(ISNUMBER(Main_M[[#This Row],[EPS]]),IF(Main_M[[#This Row],[EPS]]&lt;&gt;0,Main_M[[#This Row],[Current Price]]/Main_M[[#This Row],[EPS]],""),"")</f>
        <v>-10.778877887788779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6.9854431002361758E-2</v>
      </c>
      <c r="P36" s="1">
        <f>(Main_M[[#This Row],[P/B]]-VLOOKUP(Main_M[[#This Row],[Industry]], Mean_PB_M, 2, FALSE))/(VLOOKUP(Main_M[[#This Row],[Industry]], Mean_PB_M, 3, FALSE))</f>
        <v>-0.48547150289212326</v>
      </c>
      <c r="Q36" s="1">
        <f>(Main_M[[#This Row],[ROE]]-VLOOKUP(Main_M[[#This Row],[Industry]], Mean_ROE_M, 2, FALSE))/(VLOOKUP(Main_M[[#This Row],[Industry]], Mean_ROE_M, 3, FALSE))</f>
        <v>-9.4850878784601939E-2</v>
      </c>
      <c r="R36" s="1">
        <f>(Main_M[[#This Row],[ROA]]-VLOOKUP(Main_M[[#This Row],[Industry]], Mean_ROA_M, 2, FALSE))/(VLOOKUP(Main_M[[#This Row],[Industry]], Mean_ROA_M, 3, FALSE))</f>
        <v>-0.58785096410886584</v>
      </c>
      <c r="S36" s="1">
        <f>(Main_M[[#This Row],[A/E]]-VLOOKUP(Main_M[[#This Row],[Industry]], Mean_AE_M, 2, FALSE))/(VLOOKUP(Main_M[[#This Row],[Industry]], Mean_AE_M, 3, FALSE))</f>
        <v>-0.42969787600960779</v>
      </c>
      <c r="T36" s="1">
        <f>(Main_M[[#This Row],[P/E]]-VLOOKUP(Main_M[[#This Row],[Industry]], Mean_PE_M, 2, FALSE))/(VLOOKUP(Main_M[[#This Row],[Industry]], Mean_PE_M, 3, FALSE))</f>
        <v>-0.12703207711594205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7" t="s">
        <v>152</v>
      </c>
      <c r="B37" s="67" t="s">
        <v>252</v>
      </c>
      <c r="C37" s="2">
        <v>2858</v>
      </c>
      <c r="D37">
        <f>RTD("tos.rtd", , "LAST", Main_M[[#This Row],[Symbol]])</f>
        <v>32.28</v>
      </c>
      <c r="E37">
        <v>-3.09</v>
      </c>
      <c r="F37">
        <v>13.41</v>
      </c>
      <c r="G37">
        <v>-3.82</v>
      </c>
      <c r="H37" s="1">
        <f>IF(ISNUMBER(Main_M[[#This Row],[Free CF]]),IF(Main_M[[#This Row],[Free CF]]&lt;&gt;0,Main_M[[#This Row],[Current Price]]/Main_M[[#This Row],[Free CF]],""),"")</f>
        <v>-10.446601941747574</v>
      </c>
      <c r="I37" s="1">
        <f>IF(ISNUMBER(Main_M[[#This Row],[BVPS]]),IF(Main_M[[#This Row],[BVPS]]&lt;&gt;0,Main_M[[#This Row],[Current Price]]/Main_M[[#This Row],[BVPS]],""),"")</f>
        <v>2.407158836689038</v>
      </c>
      <c r="J37">
        <v>-30.84</v>
      </c>
      <c r="K37">
        <v>-20.13</v>
      </c>
      <c r="L37">
        <v>1.0900000000000001</v>
      </c>
      <c r="M37" s="1">
        <f>IF(ISNUMBER(Main_M[[#This Row],[EPS]]),IF(Main_M[[#This Row],[EPS]]&lt;&gt;0,Main_M[[#This Row],[Current Price]]/Main_M[[#This Row],[EPS]],""),"")</f>
        <v>-8.4502617801047126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0.1060496085345231</v>
      </c>
      <c r="P37" s="1">
        <f>(Main_M[[#This Row],[P/B]]-VLOOKUP(Main_M[[#This Row],[Industry]], Mean_PB_M, 2, FALSE))/(VLOOKUP(Main_M[[#This Row],[Industry]], Mean_PB_M, 3, FALSE))</f>
        <v>-0.5936526532847729</v>
      </c>
      <c r="Q37" s="1">
        <f>(Main_M[[#This Row],[ROE]]-VLOOKUP(Main_M[[#This Row],[Industry]], Mean_ROE_M, 2, FALSE))/(VLOOKUP(Main_M[[#This Row],[Industry]], Mean_ROE_M, 3, FALSE))</f>
        <v>-5.7256544772859276E-2</v>
      </c>
      <c r="R37" s="1">
        <f>(Main_M[[#This Row],[ROA]]-VLOOKUP(Main_M[[#This Row],[Industry]], Mean_ROA_M, 2, FALSE))/(VLOOKUP(Main_M[[#This Row],[Industry]], Mean_ROA_M, 3, FALSE))</f>
        <v>-0.46445165223987278</v>
      </c>
      <c r="S37" s="1">
        <f>(Main_M[[#This Row],[A/E]]-VLOOKUP(Main_M[[#This Row],[Industry]], Mean_AE_M, 2, FALSE))/(VLOOKUP(Main_M[[#This Row],[Industry]], Mean_AE_M, 3, FALSE))</f>
        <v>-0.44121876109102487</v>
      </c>
      <c r="T37" s="1">
        <f>(Main_M[[#This Row],[P/E]]-VLOOKUP(Main_M[[#This Row],[Industry]], Mean_PE_M, 2, FALSE))/(VLOOKUP(Main_M[[#This Row],[Industry]], Mean_PE_M, 3, FALSE))</f>
        <v>9.9655907234013751E-4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152</v>
      </c>
      <c r="B38" s="67" t="s">
        <v>245</v>
      </c>
      <c r="C38" s="2">
        <v>2137</v>
      </c>
      <c r="D38">
        <f>RTD("tos.rtd", , "LAST", Main_M[[#This Row],[Symbol]])</f>
        <v>40.130000000000003</v>
      </c>
      <c r="E38">
        <v>-3.38</v>
      </c>
      <c r="F38">
        <v>11.55</v>
      </c>
      <c r="G38">
        <v>-3.59</v>
      </c>
      <c r="H38" s="1">
        <f>IF(ISNUMBER(Main_M[[#This Row],[Free CF]]),IF(Main_M[[#This Row],[Free CF]]&lt;&gt;0,Main_M[[#This Row],[Current Price]]/Main_M[[#This Row],[Free CF]],""),"")</f>
        <v>-11.872781065088759</v>
      </c>
      <c r="I38" s="1">
        <f>IF(ISNUMBER(Main_M[[#This Row],[BVPS]]),IF(Main_M[[#This Row],[BVPS]]&lt;&gt;0,Main_M[[#This Row],[Current Price]]/Main_M[[#This Row],[BVPS]],""),"")</f>
        <v>3.4744588744588745</v>
      </c>
      <c r="J38">
        <v>-27.85</v>
      </c>
      <c r="K38">
        <v>-19.649999999999999</v>
      </c>
      <c r="L38">
        <v>1.06</v>
      </c>
      <c r="M38" s="1">
        <f>IF(ISNUMBER(Main_M[[#This Row],[EPS]]),IF(Main_M[[#This Row],[EPS]]&lt;&gt;0,Main_M[[#This Row],[Current Price]]/Main_M[[#This Row],[EPS]],""),"")</f>
        <v>-11.178272980501394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-2.2893569615796304E-3</v>
      </c>
      <c r="P38" s="1">
        <f>(Main_M[[#This Row],[P/B]]-VLOOKUP(Main_M[[#This Row],[Industry]], Mean_PB_M, 2, FALSE))/(VLOOKUP(Main_M[[#This Row],[Industry]], Mean_PB_M, 3, FALSE))</f>
        <v>-0.38518397937106758</v>
      </c>
      <c r="Q38" s="1">
        <f>(Main_M[[#This Row],[ROE]]-VLOOKUP(Main_M[[#This Row],[Industry]], Mean_ROE_M, 2, FALSE))/(VLOOKUP(Main_M[[#This Row],[Industry]], Mean_ROE_M, 3, FALSE))</f>
        <v>-2.3702198893721785E-2</v>
      </c>
      <c r="R38" s="1">
        <f>(Main_M[[#This Row],[ROA]]-VLOOKUP(Main_M[[#This Row],[Industry]], Mean_ROA_M, 2, FALSE))/(VLOOKUP(Main_M[[#This Row],[Industry]], Mean_ROA_M, 3, FALSE))</f>
        <v>-0.43913897288213061</v>
      </c>
      <c r="S38" s="1">
        <f>(Main_M[[#This Row],[A/E]]-VLOOKUP(Main_M[[#This Row],[Industry]], Mean_AE_M, 2, FALSE))/(VLOOKUP(Main_M[[#This Row],[Industry]], Mean_AE_M, 3, FALSE))</f>
        <v>-0.47578141633527593</v>
      </c>
      <c r="T38" s="1">
        <f>(Main_M[[#This Row],[P/E]]-VLOOKUP(Main_M[[#This Row],[Industry]], Mean_PE_M, 2, FALSE))/(VLOOKUP(Main_M[[#This Row],[Industry]], Mean_PE_M, 3, FALSE))</f>
        <v>-0.14899104615835074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7" t="s">
        <v>152</v>
      </c>
      <c r="B39" s="67" t="s">
        <v>275</v>
      </c>
      <c r="C39" s="2">
        <v>7339</v>
      </c>
      <c r="D39">
        <f>RTD("tos.rtd", , "LAST", Main_M[[#This Row],[Symbol]])</f>
        <v>40.58</v>
      </c>
      <c r="E39">
        <v>-3.47</v>
      </c>
      <c r="F39">
        <v>11.16</v>
      </c>
      <c r="G39">
        <v>-4.0199999999999996</v>
      </c>
      <c r="H39" s="1">
        <f>IF(ISNUMBER(Main_M[[#This Row],[Free CF]]),IF(Main_M[[#This Row],[Free CF]]&lt;&gt;0,Main_M[[#This Row],[Current Price]]/Main_M[[#This Row],[Free CF]],""),"")</f>
        <v>-11.694524495677232</v>
      </c>
      <c r="I39" s="1">
        <f>IF(ISNUMBER(Main_M[[#This Row],[BVPS]]),IF(Main_M[[#This Row],[BVPS]]&lt;&gt;0,Main_M[[#This Row],[Current Price]]/Main_M[[#This Row],[BVPS]],""),"")</f>
        <v>3.6362007168458779</v>
      </c>
      <c r="J39">
        <v>-36.68</v>
      </c>
      <c r="K39">
        <v>-23.09</v>
      </c>
      <c r="L39">
        <v>1.1399999999999999</v>
      </c>
      <c r="M39" s="1">
        <f>IF(ISNUMBER(Main_M[[#This Row],[EPS]]),IF(Main_M[[#This Row],[EPS]]&lt;&gt;0,Main_M[[#This Row],[Current Price]]/Main_M[[#This Row],[EPS]],""),"")</f>
        <v>-10.09452736318408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1.1251811890819153E-2</v>
      </c>
      <c r="P39" s="1">
        <f>(Main_M[[#This Row],[P/B]]-VLOOKUP(Main_M[[#This Row],[Industry]], Mean_PB_M, 2, FALSE))/(VLOOKUP(Main_M[[#This Row],[Industry]], Mean_PB_M, 3, FALSE))</f>
        <v>-0.35359201253366973</v>
      </c>
      <c r="Q39" s="1">
        <f>(Main_M[[#This Row],[ROE]]-VLOOKUP(Main_M[[#This Row],[Industry]], Mean_ROE_M, 2, FALSE))/(VLOOKUP(Main_M[[#This Row],[Industry]], Mean_ROE_M, 3, FALSE))</f>
        <v>-0.12279413003512116</v>
      </c>
      <c r="R39" s="1">
        <f>(Main_M[[#This Row],[ROA]]-VLOOKUP(Main_M[[#This Row],[Industry]], Mean_ROA_M, 2, FALSE))/(VLOOKUP(Main_M[[#This Row],[Industry]], Mean_ROA_M, 3, FALSE))</f>
        <v>-0.62054650827928282</v>
      </c>
      <c r="S39" s="1">
        <f>(Main_M[[#This Row],[A/E]]-VLOOKUP(Main_M[[#This Row],[Industry]], Mean_AE_M, 2, FALSE))/(VLOOKUP(Main_M[[#This Row],[Industry]], Mean_AE_M, 3, FALSE))</f>
        <v>-0.38361433568393999</v>
      </c>
      <c r="T39" s="1">
        <f>(Main_M[[#This Row],[P/E]]-VLOOKUP(Main_M[[#This Row],[Industry]], Mean_PE_M, 2, FALSE))/(VLOOKUP(Main_M[[#This Row],[Industry]], Mean_PE_M, 3, FALSE))</f>
        <v>-8.9406096581514508E-2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7" t="s">
        <v>152</v>
      </c>
      <c r="B40" s="67" t="s">
        <v>254</v>
      </c>
      <c r="C40" s="2">
        <v>3705</v>
      </c>
      <c r="D40">
        <f>RTD("tos.rtd", , "LAST", Main_M[[#This Row],[Symbol]])</f>
        <v>33.130000000000003</v>
      </c>
      <c r="E40">
        <v>-3.51</v>
      </c>
      <c r="F40">
        <v>-2.23</v>
      </c>
      <c r="G40">
        <v>-5.3</v>
      </c>
      <c r="H40" s="1">
        <f>IF(ISNUMBER(Main_M[[#This Row],[Free CF]]),IF(Main_M[[#This Row],[Free CF]]&lt;&gt;0,Main_M[[#This Row],[Current Price]]/Main_M[[#This Row],[Free CF]],""),"")</f>
        <v>-9.4387464387464401</v>
      </c>
      <c r="I40" s="1">
        <f>IF(ISNUMBER(Main_M[[#This Row],[BVPS]]),IF(Main_M[[#This Row],[BVPS]]&lt;&gt;0,Main_M[[#This Row],[Current Price]]/Main_M[[#This Row],[BVPS]],""),"")</f>
        <v>-14.856502242152468</v>
      </c>
      <c r="J40">
        <v>185.72</v>
      </c>
      <c r="K40">
        <v>-34.119999999999997</v>
      </c>
      <c r="L40">
        <v>-4.74</v>
      </c>
      <c r="M40" s="1">
        <f>IF(ISNUMBER(Main_M[[#This Row],[EPS]]),IF(Main_M[[#This Row],[EPS]]&lt;&gt;0,Main_M[[#This Row],[Current Price]]/Main_M[[#This Row],[EPS]],""),"")</f>
        <v>-6.2509433962264156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0.1826108348052399</v>
      </c>
      <c r="P40" s="1">
        <f>(Main_M[[#This Row],[P/B]]-VLOOKUP(Main_M[[#This Row],[Industry]], Mean_PB_M, 2, FALSE))/(VLOOKUP(Main_M[[#This Row],[Industry]], Mean_PB_M, 3, FALSE))</f>
        <v>-3.9656496594142205</v>
      </c>
      <c r="Q40" s="1">
        <f>(Main_M[[#This Row],[ROE]]-VLOOKUP(Main_M[[#This Row],[Industry]], Mean_ROE_M, 2, FALSE))/(VLOOKUP(Main_M[[#This Row],[Industry]], Mean_ROE_M, 3, FALSE))</f>
        <v>2.3730207607743039</v>
      </c>
      <c r="R40" s="1">
        <f>(Main_M[[#This Row],[ROA]]-VLOOKUP(Main_M[[#This Row],[Industry]], Mean_ROA_M, 2, FALSE))/(VLOOKUP(Main_M[[#This Row],[Industry]], Mean_ROA_M, 3, FALSE))</f>
        <v>-1.2022107860207329</v>
      </c>
      <c r="S40" s="1">
        <f>(Main_M[[#This Row],[A/E]]-VLOOKUP(Main_M[[#This Row],[Industry]], Mean_AE_M, 2, FALSE))/(VLOOKUP(Main_M[[#This Row],[Industry]], Mean_AE_M, 3, FALSE))</f>
        <v>-7.1578947635571453</v>
      </c>
      <c r="T40" s="1">
        <f>(Main_M[[#This Row],[P/E]]-VLOOKUP(Main_M[[#This Row],[Industry]], Mean_PE_M, 2, FALSE))/(VLOOKUP(Main_M[[#This Row],[Industry]], Mean_PE_M, 3, FALSE))</f>
        <v>0.12191633296834631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152</v>
      </c>
      <c r="B41" s="67" t="s">
        <v>265</v>
      </c>
      <c r="C41" s="2">
        <v>3881</v>
      </c>
      <c r="D41">
        <f>RTD("tos.rtd", , "LAST", Main_M[[#This Row],[Symbol]])</f>
        <v>54.91</v>
      </c>
      <c r="E41">
        <v>-3.58</v>
      </c>
      <c r="F41">
        <v>8.6199999999999992</v>
      </c>
      <c r="G41">
        <v>-4.1399999999999997</v>
      </c>
      <c r="H41" s="1">
        <f>IF(ISNUMBER(Main_M[[#This Row],[Free CF]]),IF(Main_M[[#This Row],[Free CF]]&lt;&gt;0,Main_M[[#This Row],[Current Price]]/Main_M[[#This Row],[Free CF]],""),"")</f>
        <v>-15.337988826815641</v>
      </c>
      <c r="I41" s="1">
        <f>IF(ISNUMBER(Main_M[[#This Row],[BVPS]]),IF(Main_M[[#This Row],[BVPS]]&lt;&gt;0,Main_M[[#This Row],[Current Price]]/Main_M[[#This Row],[BVPS]],""),"")</f>
        <v>6.370069605568446</v>
      </c>
      <c r="J41">
        <v>-58.66</v>
      </c>
      <c r="K41">
        <v>-30.61</v>
      </c>
      <c r="L41">
        <v>1.23</v>
      </c>
      <c r="M41" s="1">
        <f>IF(ISNUMBER(Main_M[[#This Row],[EPS]]),IF(Main_M[[#This Row],[EPS]]&lt;&gt;0,Main_M[[#This Row],[Current Price]]/Main_M[[#This Row],[EPS]],""),"")</f>
        <v>-13.263285024154589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-0.26552208698152735</v>
      </c>
      <c r="P41" s="1">
        <f>(Main_M[[#This Row],[P/B]]-VLOOKUP(Main_M[[#This Row],[Industry]], Mean_PB_M, 2, FALSE))/(VLOOKUP(Main_M[[#This Row],[Industry]], Mean_PB_M, 3, FALSE))</f>
        <v>0.18039655836229937</v>
      </c>
      <c r="Q41" s="1">
        <f>(Main_M[[#This Row],[ROE]]-VLOOKUP(Main_M[[#This Row],[Industry]], Mean_ROE_M, 2, FALSE))/(VLOOKUP(Main_M[[#This Row],[Industry]], Mean_ROE_M, 3, FALSE))</f>
        <v>-0.36945784990918207</v>
      </c>
      <c r="R41" s="1">
        <f>(Main_M[[#This Row],[ROA]]-VLOOKUP(Main_M[[#This Row],[Industry]], Mean_ROA_M, 2, FALSE))/(VLOOKUP(Main_M[[#This Row],[Industry]], Mean_ROA_M, 3, FALSE))</f>
        <v>-1.0171118182172434</v>
      </c>
      <c r="S41" s="1">
        <f>(Main_M[[#This Row],[A/E]]-VLOOKUP(Main_M[[#This Row],[Industry]], Mean_AE_M, 2, FALSE))/(VLOOKUP(Main_M[[#This Row],[Industry]], Mean_AE_M, 3, FALSE))</f>
        <v>-0.27992636995118675</v>
      </c>
      <c r="T41" s="1">
        <f>(Main_M[[#This Row],[P/E]]-VLOOKUP(Main_M[[#This Row],[Industry]], Mean_PE_M, 2, FALSE))/(VLOOKUP(Main_M[[#This Row],[Industry]], Mean_PE_M, 3, FALSE))</f>
        <v>-0.26362619254602609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152</v>
      </c>
      <c r="B42" s="67" t="s">
        <v>253</v>
      </c>
      <c r="C42" s="2">
        <v>3134</v>
      </c>
      <c r="D42">
        <f>RTD("tos.rtd", , "LAST", Main_M[[#This Row],[Symbol]])</f>
        <v>42.09</v>
      </c>
      <c r="E42">
        <v>-3.61</v>
      </c>
      <c r="F42">
        <v>21.18</v>
      </c>
      <c r="G42">
        <v>-4.5199999999999996</v>
      </c>
      <c r="H42" s="1">
        <f>IF(ISNUMBER(Main_M[[#This Row],[Free CF]]),IF(Main_M[[#This Row],[Free CF]]&lt;&gt;0,Main_M[[#This Row],[Current Price]]/Main_M[[#This Row],[Free CF]],""),"")</f>
        <v>-11.659279778393353</v>
      </c>
      <c r="I42" s="1">
        <f>IF(ISNUMBER(Main_M[[#This Row],[BVPS]]),IF(Main_M[[#This Row],[BVPS]]&lt;&gt;0,Main_M[[#This Row],[Current Price]]/Main_M[[#This Row],[BVPS]],""),"")</f>
        <v>1.9872521246458925</v>
      </c>
      <c r="J42">
        <v>-19.71</v>
      </c>
      <c r="K42">
        <v>-12.88</v>
      </c>
      <c r="L42">
        <v>1.18</v>
      </c>
      <c r="M42" s="1">
        <f>IF(ISNUMBER(Main_M[[#This Row],[EPS]]),IF(Main_M[[#This Row],[EPS]]&lt;&gt;0,Main_M[[#This Row],[Current Price]]/Main_M[[#This Row],[EPS]],""),"")</f>
        <v>-9.3119469026548689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1.3929158759277409E-2</v>
      </c>
      <c r="P42" s="1">
        <f>(Main_M[[#This Row],[P/B]]-VLOOKUP(Main_M[[#This Row],[Industry]], Mean_PB_M, 2, FALSE))/(VLOOKUP(Main_M[[#This Row],[Industry]], Mean_PB_M, 3, FALSE))</f>
        <v>-0.67567026063913149</v>
      </c>
      <c r="Q42" s="1">
        <f>(Main_M[[#This Row],[ROE]]-VLOOKUP(Main_M[[#This Row],[Industry]], Mean_ROE_M, 2, FALSE))/(VLOOKUP(Main_M[[#This Row],[Industry]], Mean_ROE_M, 3, FALSE))</f>
        <v>6.7646421660184336E-2</v>
      </c>
      <c r="R42" s="1">
        <f>(Main_M[[#This Row],[ROA]]-VLOOKUP(Main_M[[#This Row],[Industry]], Mean_ROA_M, 2, FALSE))/(VLOOKUP(Main_M[[#This Row],[Industry]], Mean_ROA_M, 3, FALSE))</f>
        <v>-8.2124724440642283E-2</v>
      </c>
      <c r="S42" s="1">
        <f>(Main_M[[#This Row],[A/E]]-VLOOKUP(Main_M[[#This Row],[Industry]], Mean_AE_M, 2, FALSE))/(VLOOKUP(Main_M[[#This Row],[Industry]], Mean_AE_M, 3, FALSE))</f>
        <v>-0.33753079535827185</v>
      </c>
      <c r="T42" s="1">
        <f>(Main_M[[#This Row],[P/E]]-VLOOKUP(Main_M[[#This Row],[Industry]], Mean_PE_M, 2, FALSE))/(VLOOKUP(Main_M[[#This Row],[Industry]], Mean_PE_M, 3, FALSE))</f>
        <v>-4.637937837814364E-2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152</v>
      </c>
      <c r="B43" s="67" t="s">
        <v>258</v>
      </c>
      <c r="C43" s="2">
        <v>5333</v>
      </c>
      <c r="D43">
        <f>RTD("tos.rtd", , "LAST", Main_M[[#This Row],[Symbol]])</f>
        <v>36.76</v>
      </c>
      <c r="E43">
        <v>-3.66</v>
      </c>
      <c r="F43">
        <v>2.99</v>
      </c>
      <c r="G43">
        <v>-3</v>
      </c>
      <c r="H43" s="1">
        <f>IF(ISNUMBER(Main_M[[#This Row],[Free CF]]),IF(Main_M[[#This Row],[Free CF]]&lt;&gt;0,Main_M[[#This Row],[Current Price]]/Main_M[[#This Row],[Free CF]],""),"")</f>
        <v>-10.043715846994534</v>
      </c>
      <c r="I43" s="1">
        <f>IF(ISNUMBER(Main_M[[#This Row],[BVPS]]),IF(Main_M[[#This Row],[BVPS]]&lt;&gt;0,Main_M[[#This Row],[Current Price]]/Main_M[[#This Row],[BVPS]],""),"")</f>
        <v>12.294314381270901</v>
      </c>
      <c r="J43">
        <v>-118.62</v>
      </c>
      <c r="K43">
        <v>-10.59</v>
      </c>
      <c r="L43">
        <v>5.91</v>
      </c>
      <c r="M43" s="1">
        <f>IF(ISNUMBER(Main_M[[#This Row],[EPS]]),IF(Main_M[[#This Row],[EPS]]&lt;&gt;0,Main_M[[#This Row],[Current Price]]/Main_M[[#This Row],[EPS]],""),"")</f>
        <v>-12.253333333333332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0.13665464404791081</v>
      </c>
      <c r="P43" s="1">
        <f>(Main_M[[#This Row],[P/B]]-VLOOKUP(Main_M[[#This Row],[Industry]], Mean_PB_M, 2, FALSE))/(VLOOKUP(Main_M[[#This Row],[Industry]], Mean_PB_M, 3, FALSE))</f>
        <v>1.3375401999117802</v>
      </c>
      <c r="Q43" s="1">
        <f>(Main_M[[#This Row],[ROE]]-VLOOKUP(Main_M[[#This Row],[Industry]], Mean_ROE_M, 2, FALSE))/(VLOOKUP(Main_M[[#This Row],[Industry]], Mean_ROE_M, 3, FALSE))</f>
        <v>-1.0423403177730901</v>
      </c>
      <c r="R43" s="1">
        <f>(Main_M[[#This Row],[ROA]]-VLOOKUP(Main_M[[#This Row],[Industry]], Mean_ROA_M, 2, FALSE))/(VLOOKUP(Main_M[[#This Row],[Industry]], Mean_ROA_M, 3, FALSE))</f>
        <v>3.8637849995252667E-2</v>
      </c>
      <c r="S43" s="1">
        <f>(Main_M[[#This Row],[A/E]]-VLOOKUP(Main_M[[#This Row],[Industry]], Mean_AE_M, 2, FALSE))/(VLOOKUP(Main_M[[#This Row],[Industry]], Mean_AE_M, 3, FALSE))</f>
        <v>5.1118478481519762</v>
      </c>
      <c r="T43" s="1">
        <f>(Main_M[[#This Row],[P/E]]-VLOOKUP(Main_M[[#This Row],[Industry]], Mean_PE_M, 2, FALSE))/(VLOOKUP(Main_M[[#This Row],[Industry]], Mean_PE_M, 3, FALSE))</f>
        <v>-0.20809847496079745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7" t="s">
        <v>152</v>
      </c>
      <c r="B44" s="67" t="s">
        <v>247</v>
      </c>
      <c r="C44" s="2">
        <v>9851</v>
      </c>
      <c r="D44">
        <f>RTD("tos.rtd", , "LAST", Main_M[[#This Row],[Symbol]])</f>
        <v>173.15</v>
      </c>
      <c r="E44">
        <v>-4.07</v>
      </c>
      <c r="F44">
        <v>-3.4</v>
      </c>
      <c r="G44">
        <v>-6.3</v>
      </c>
      <c r="H44" s="1">
        <f>IF(ISNUMBER(Main_M[[#This Row],[Free CF]]),IF(Main_M[[#This Row],[Free CF]]&lt;&gt;0,Main_M[[#This Row],[Current Price]]/Main_M[[#This Row],[Free CF]],""),"")</f>
        <v>-42.54299754299754</v>
      </c>
      <c r="I44" s="1">
        <f>IF(ISNUMBER(Main_M[[#This Row],[BVPS]]),IF(Main_M[[#This Row],[BVPS]]&lt;&gt;0,Main_M[[#This Row],[Current Price]]/Main_M[[#This Row],[BVPS]],""),"")</f>
        <v>-50.926470588235297</v>
      </c>
      <c r="J44">
        <v>159.66999999999999</v>
      </c>
      <c r="K44">
        <v>-22.39</v>
      </c>
      <c r="L44">
        <v>-5.59</v>
      </c>
      <c r="M44" s="1">
        <f>IF(ISNUMBER(Main_M[[#This Row],[EPS]]),IF(Main_M[[#This Row],[EPS]]&lt;&gt;0,Main_M[[#This Row],[Current Price]]/Main_M[[#This Row],[EPS]],""),"")</f>
        <v>-27.484126984126984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-2.3321366183446437</v>
      </c>
      <c r="P44" s="1">
        <f>(Main_M[[#This Row],[P/B]]-VLOOKUP(Main_M[[#This Row],[Industry]], Mean_PB_M, 2, FALSE))/(VLOOKUP(Main_M[[#This Row],[Industry]], Mean_PB_M, 3, FALSE))</f>
        <v>-11.010958572669207</v>
      </c>
      <c r="Q44" s="1">
        <f>(Main_M[[#This Row],[ROE]]-VLOOKUP(Main_M[[#This Row],[Industry]], Mean_ROE_M, 2, FALSE))/(VLOOKUP(Main_M[[#This Row],[Industry]], Mean_ROE_M, 3, FALSE))</f>
        <v>2.0806827306232898</v>
      </c>
      <c r="R44" s="1">
        <f>(Main_M[[#This Row],[ROA]]-VLOOKUP(Main_M[[#This Row],[Industry]], Mean_ROA_M, 2, FALSE))/(VLOOKUP(Main_M[[#This Row],[Industry]], Mean_ROA_M, 3, FALSE))</f>
        <v>-0.5836321842159089</v>
      </c>
      <c r="S44" s="1">
        <f>(Main_M[[#This Row],[A/E]]-VLOOKUP(Main_M[[#This Row],[Industry]], Mean_AE_M, 2, FALSE))/(VLOOKUP(Main_M[[#This Row],[Industry]], Mean_AE_M, 3, FALSE))</f>
        <v>-8.137169995477592</v>
      </c>
      <c r="T44" s="1">
        <f>(Main_M[[#This Row],[P/E]]-VLOOKUP(Main_M[[#This Row],[Industry]], Mean_PE_M, 2, FALSE))/(VLOOKUP(Main_M[[#This Row],[Industry]], Mean_PE_M, 3, FALSE))</f>
        <v>-1.0454961605396438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7" t="s">
        <v>152</v>
      </c>
      <c r="B45" s="67" t="s">
        <v>272</v>
      </c>
      <c r="C45" s="2">
        <v>3217</v>
      </c>
      <c r="D45">
        <f>RTD("tos.rtd", , "LAST", Main_M[[#This Row],[Symbol]])</f>
        <v>37.04</v>
      </c>
      <c r="E45">
        <v>-4.42</v>
      </c>
      <c r="F45">
        <v>1.54</v>
      </c>
      <c r="G45">
        <v>-5.88</v>
      </c>
      <c r="H45" s="1">
        <f>IF(ISNUMBER(Main_M[[#This Row],[Free CF]]),IF(Main_M[[#This Row],[Free CF]]&lt;&gt;0,Main_M[[#This Row],[Current Price]]/Main_M[[#This Row],[Free CF]],""),"")</f>
        <v>-8.380090497737557</v>
      </c>
      <c r="I45" s="1">
        <f>IF(ISNUMBER(Main_M[[#This Row],[BVPS]]),IF(Main_M[[#This Row],[BVPS]]&lt;&gt;0,Main_M[[#This Row],[Current Price]]/Main_M[[#This Row],[BVPS]],""),"")</f>
        <v>24.051948051948052</v>
      </c>
      <c r="J45">
        <v>-377.06</v>
      </c>
      <c r="K45">
        <v>-24.51</v>
      </c>
      <c r="L45">
        <v>9.1</v>
      </c>
      <c r="M45" s="1">
        <f>IF(ISNUMBER(Main_M[[#This Row],[EPS]]),IF(Main_M[[#This Row],[EPS]]&lt;&gt;0,Main_M[[#This Row],[Current Price]]/Main_M[[#This Row],[EPS]],""),"")</f>
        <v>-6.2993197278911568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0.26303109028935229</v>
      </c>
      <c r="P45" s="1">
        <f>(Main_M[[#This Row],[P/B]]-VLOOKUP(Main_M[[#This Row],[Industry]], Mean_PB_M, 2, FALSE))/(VLOOKUP(Main_M[[#This Row],[Industry]], Mean_PB_M, 3, FALSE))</f>
        <v>3.6340812033308922</v>
      </c>
      <c r="Q45" s="1">
        <f>(Main_M[[#This Row],[ROE]]-VLOOKUP(Main_M[[#This Row],[Industry]], Mean_ROE_M, 2, FALSE))/(VLOOKUP(Main_M[[#This Row],[Industry]], Mean_ROE_M, 3, FALSE))</f>
        <v>-3.9426029094133237</v>
      </c>
      <c r="R45" s="1">
        <f>(Main_M[[#This Row],[ROA]]-VLOOKUP(Main_M[[#This Row],[Industry]], Mean_ROA_M, 2, FALSE))/(VLOOKUP(Main_M[[#This Row],[Industry]], Mean_ROA_M, 3, FALSE))</f>
        <v>-0.69542985137927016</v>
      </c>
      <c r="S45" s="1">
        <f>(Main_M[[#This Row],[A/E]]-VLOOKUP(Main_M[[#This Row],[Industry]], Mean_AE_M, 2, FALSE))/(VLOOKUP(Main_M[[#This Row],[Industry]], Mean_AE_M, 3, FALSE))</f>
        <v>8.787010189124004</v>
      </c>
      <c r="T45" s="1">
        <f>(Main_M[[#This Row],[P/E]]-VLOOKUP(Main_M[[#This Row],[Industry]], Mean_PE_M, 2, FALSE))/(VLOOKUP(Main_M[[#This Row],[Industry]], Mean_PE_M, 3, FALSE))</f>
        <v>0.11925657477703643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7" t="s">
        <v>152</v>
      </c>
      <c r="B46" s="67" t="s">
        <v>269</v>
      </c>
      <c r="C46" s="2">
        <v>4191</v>
      </c>
      <c r="D46">
        <f>RTD("tos.rtd", , "LAST", Main_M[[#This Row],[Symbol]])</f>
        <v>37.200000000000003</v>
      </c>
      <c r="E46">
        <v>-4.6399999999999997</v>
      </c>
      <c r="F46">
        <v>24.82</v>
      </c>
      <c r="G46">
        <v>-3.98</v>
      </c>
      <c r="H46" s="1">
        <f>IF(ISNUMBER(Main_M[[#This Row],[Free CF]]),IF(Main_M[[#This Row],[Free CF]]&lt;&gt;0,Main_M[[#This Row],[Current Price]]/Main_M[[#This Row],[Free CF]],""),"")</f>
        <v>-8.0172413793103452</v>
      </c>
      <c r="I46" s="1">
        <f>IF(ISNUMBER(Main_M[[#This Row],[BVPS]]),IF(Main_M[[#This Row],[BVPS]]&lt;&gt;0,Main_M[[#This Row],[Current Price]]/Main_M[[#This Row],[BVPS]],""),"")</f>
        <v>1.4987912973408541</v>
      </c>
      <c r="J46">
        <v>-19.66</v>
      </c>
      <c r="K46">
        <v>-14.53</v>
      </c>
      <c r="L46">
        <v>1.06</v>
      </c>
      <c r="M46" s="1">
        <f>IF(ISNUMBER(Main_M[[#This Row],[EPS]]),IF(Main_M[[#This Row],[EPS]]&lt;&gt;0,Main_M[[#This Row],[Current Price]]/Main_M[[#This Row],[EPS]],""),"")</f>
        <v>-9.3467336683417095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0.29059473743451714</v>
      </c>
      <c r="P46" s="1">
        <f>(Main_M[[#This Row],[P/B]]-VLOOKUP(Main_M[[#This Row],[Industry]], Mean_PB_M, 2, FALSE))/(VLOOKUP(Main_M[[#This Row],[Industry]], Mean_PB_M, 3, FALSE))</f>
        <v>-0.77107809098067992</v>
      </c>
      <c r="Q46" s="1">
        <f>(Main_M[[#This Row],[ROE]]-VLOOKUP(Main_M[[#This Row],[Industry]], Mean_ROE_M, 2, FALSE))/(VLOOKUP(Main_M[[#This Row],[Industry]], Mean_ROE_M, 3, FALSE))</f>
        <v>6.8207531123046186E-2</v>
      </c>
      <c r="R46" s="1">
        <f>(Main_M[[#This Row],[ROA]]-VLOOKUP(Main_M[[#This Row],[Industry]], Mean_ROA_M, 2, FALSE))/(VLOOKUP(Main_M[[#This Row],[Industry]], Mean_ROA_M, 3, FALSE))</f>
        <v>-0.1691370597328809</v>
      </c>
      <c r="S46" s="1">
        <f>(Main_M[[#This Row],[A/E]]-VLOOKUP(Main_M[[#This Row],[Industry]], Mean_AE_M, 2, FALSE))/(VLOOKUP(Main_M[[#This Row],[Industry]], Mean_AE_M, 3, FALSE))</f>
        <v>-0.47578141633527593</v>
      </c>
      <c r="T46" s="1">
        <f>(Main_M[[#This Row],[P/E]]-VLOOKUP(Main_M[[#This Row],[Industry]], Mean_PE_M, 2, FALSE))/(VLOOKUP(Main_M[[#This Row],[Industry]], Mean_PE_M, 3, FALSE))</f>
        <v>-4.8291974513501035E-2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7" t="s">
        <v>152</v>
      </c>
      <c r="B47" s="67" t="s">
        <v>266</v>
      </c>
      <c r="C47" s="2">
        <v>2807</v>
      </c>
      <c r="D47">
        <f>RTD("tos.rtd", , "LAST", Main_M[[#This Row],[Symbol]])</f>
        <v>30.39</v>
      </c>
      <c r="E47">
        <v>-4.6900000000000004</v>
      </c>
      <c r="F47">
        <v>4.82</v>
      </c>
      <c r="G47">
        <v>-8.99</v>
      </c>
      <c r="H47" s="1">
        <f>IF(ISNUMBER(Main_M[[#This Row],[Free CF]]),IF(Main_M[[#This Row],[Free CF]]&lt;&gt;0,Main_M[[#This Row],[Current Price]]/Main_M[[#This Row],[Free CF]],""),"")</f>
        <v>-6.4797441364605541</v>
      </c>
      <c r="I47" s="1">
        <f>IF(ISNUMBER(Main_M[[#This Row],[BVPS]]),IF(Main_M[[#This Row],[BVPS]]&lt;&gt;0,Main_M[[#This Row],[Current Price]]/Main_M[[#This Row],[BVPS]],""),"")</f>
        <v>6.304979253112033</v>
      </c>
      <c r="J47">
        <v>-108.4</v>
      </c>
      <c r="K47">
        <v>-27.09</v>
      </c>
      <c r="L47">
        <v>1.37</v>
      </c>
      <c r="M47" s="1">
        <f>IF(ISNUMBER(Main_M[[#This Row],[EPS]]),IF(Main_M[[#This Row],[EPS]]&lt;&gt;0,Main_M[[#This Row],[Current Price]]/Main_M[[#This Row],[EPS]],""),"")</f>
        <v>-3.3804226918798665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0.40738992677456454</v>
      </c>
      <c r="P47" s="1">
        <f>(Main_M[[#This Row],[P/B]]-VLOOKUP(Main_M[[#This Row],[Industry]], Mean_PB_M, 2, FALSE))/(VLOOKUP(Main_M[[#This Row],[Industry]], Mean_PB_M, 3, FALSE))</f>
        <v>0.16768288930863975</v>
      </c>
      <c r="Q47" s="1">
        <f>(Main_M[[#This Row],[ROE]]-VLOOKUP(Main_M[[#This Row],[Industry]], Mean_ROE_M, 2, FALSE))/(VLOOKUP(Main_M[[#This Row],[Industry]], Mean_ROE_M, 3, FALSE))</f>
        <v>-0.92764954356413187</v>
      </c>
      <c r="R47" s="1">
        <f>(Main_M[[#This Row],[ROA]]-VLOOKUP(Main_M[[#This Row],[Industry]], Mean_ROA_M, 2, FALSE))/(VLOOKUP(Main_M[[#This Row],[Industry]], Mean_ROA_M, 3, FALSE))</f>
        <v>-0.83148550292713419</v>
      </c>
      <c r="S47" s="1">
        <f>(Main_M[[#This Row],[A/E]]-VLOOKUP(Main_M[[#This Row],[Industry]], Mean_AE_M, 2, FALSE))/(VLOOKUP(Main_M[[#This Row],[Industry]], Mean_AE_M, 3, FALSE))</f>
        <v>-0.11863397881134838</v>
      </c>
      <c r="T47" s="1">
        <f>(Main_M[[#This Row],[P/E]]-VLOOKUP(Main_M[[#This Row],[Industry]], Mean_PE_M, 2, FALSE))/(VLOOKUP(Main_M[[#This Row],[Industry]], Mean_PE_M, 3, FALSE))</f>
        <v>0.27973919166755162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7" t="s">
        <v>152</v>
      </c>
      <c r="B48" s="67" t="s">
        <v>278</v>
      </c>
      <c r="C48" s="2">
        <v>3695</v>
      </c>
      <c r="D48">
        <f>RTD("tos.rtd", , "LAST", Main_M[[#This Row],[Symbol]])</f>
        <v>39.71</v>
      </c>
      <c r="E48">
        <v>-7.27</v>
      </c>
      <c r="F48">
        <v>11.63</v>
      </c>
      <c r="G48">
        <v>-2.59</v>
      </c>
      <c r="H48" s="1">
        <f>IF(ISNUMBER(Main_M[[#This Row],[Free CF]]),IF(Main_M[[#This Row],[Free CF]]&lt;&gt;0,Main_M[[#This Row],[Current Price]]/Main_M[[#This Row],[Free CF]],""),"")</f>
        <v>-5.4621733149931231</v>
      </c>
      <c r="I48" s="1">
        <f>IF(ISNUMBER(Main_M[[#This Row],[BVPS]]),IF(Main_M[[#This Row],[BVPS]]&lt;&gt;0,Main_M[[#This Row],[Current Price]]/Main_M[[#This Row],[BVPS]],""),"")</f>
        <v>3.4144453998280309</v>
      </c>
      <c r="J48">
        <v>-23.61</v>
      </c>
      <c r="K48">
        <v>-2.19</v>
      </c>
      <c r="L48">
        <v>3.03</v>
      </c>
      <c r="M48" s="1">
        <f>IF(ISNUMBER(Main_M[[#This Row],[EPS]]),IF(Main_M[[#This Row],[EPS]]&lt;&gt;0,Main_M[[#This Row],[Current Price]]/Main_M[[#This Row],[EPS]],""),"")</f>
        <v>-15.332046332046334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0.4846891722287609</v>
      </c>
      <c r="P48" s="1">
        <f>(Main_M[[#This Row],[P/B]]-VLOOKUP(Main_M[[#This Row],[Industry]], Mean_PB_M, 2, FALSE))/(VLOOKUP(Main_M[[#This Row],[Industry]], Mean_PB_M, 3, FALSE))</f>
        <v>-0.39690601537828801</v>
      </c>
      <c r="Q48" s="1">
        <f>(Main_M[[#This Row],[ROE]]-VLOOKUP(Main_M[[#This Row],[Industry]], Mean_ROE_M, 2, FALSE))/(VLOOKUP(Main_M[[#This Row],[Industry]], Mean_ROE_M, 3, FALSE))</f>
        <v>2.3879883556961523E-2</v>
      </c>
      <c r="R48" s="1">
        <f>(Main_M[[#This Row],[ROA]]-VLOOKUP(Main_M[[#This Row],[Industry]], Mean_ROA_M, 2, FALSE))/(VLOOKUP(Main_M[[#This Row],[Industry]], Mean_ROA_M, 3, FALSE))</f>
        <v>0.48160973875574054</v>
      </c>
      <c r="S48" s="1">
        <f>(Main_M[[#This Row],[A/E]]-VLOOKUP(Main_M[[#This Row],[Industry]], Mean_AE_M, 2, FALSE))/(VLOOKUP(Main_M[[#This Row],[Industry]], Mean_AE_M, 3, FALSE))</f>
        <v>1.7938329447038759</v>
      </c>
      <c r="T48" s="1">
        <f>(Main_M[[#This Row],[P/E]]-VLOOKUP(Main_M[[#This Row],[Industry]], Mean_PE_M, 2, FALSE))/(VLOOKUP(Main_M[[#This Row],[Industry]], Mean_PE_M, 3, FALSE))</f>
        <v>-0.37736786425158048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7" t="s">
        <v>152</v>
      </c>
      <c r="B49" s="67" t="s">
        <v>261</v>
      </c>
      <c r="C49" s="2">
        <v>6112</v>
      </c>
      <c r="D49">
        <f>RTD("tos.rtd", , "LAST", Main_M[[#This Row],[Symbol]])</f>
        <v>280.24</v>
      </c>
      <c r="E49">
        <v>-18.420000000000002</v>
      </c>
      <c r="F49">
        <v>32.03</v>
      </c>
      <c r="G49">
        <v>-17.97</v>
      </c>
      <c r="H49" s="1">
        <f>IF(ISNUMBER(Main_M[[#This Row],[Free CF]]),IF(Main_M[[#This Row],[Free CF]]&lt;&gt;0,Main_M[[#This Row],[Current Price]]/Main_M[[#This Row],[Free CF]],""),"")</f>
        <v>-15.213897937024973</v>
      </c>
      <c r="I49" s="1">
        <f>IF(ISNUMBER(Main_M[[#This Row],[BVPS]]),IF(Main_M[[#This Row],[BVPS]]&lt;&gt;0,Main_M[[#This Row],[Current Price]]/Main_M[[#This Row],[BVPS]],""),"")</f>
        <v>8.7492975335622845</v>
      </c>
      <c r="J49">
        <v>-50.16</v>
      </c>
      <c r="K49">
        <v>-25.56</v>
      </c>
      <c r="L49">
        <v>1.4</v>
      </c>
      <c r="M49" s="1">
        <f>IF(ISNUMBER(Main_M[[#This Row],[EPS]]),IF(Main_M[[#This Row],[EPS]]&lt;&gt;0,Main_M[[#This Row],[Current Price]]/Main_M[[#This Row],[EPS]],""),"")</f>
        <v>-15.594880356149138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-0.25609558619534545</v>
      </c>
      <c r="P49" s="1">
        <f>(Main_M[[#This Row],[P/B]]-VLOOKUP(Main_M[[#This Row],[Industry]], Mean_PB_M, 2, FALSE))/(VLOOKUP(Main_M[[#This Row],[Industry]], Mean_PB_M, 3, FALSE))</f>
        <v>0.64511545045915275</v>
      </c>
      <c r="Q49" s="1">
        <f>(Main_M[[#This Row],[ROE]]-VLOOKUP(Main_M[[#This Row],[Industry]], Mean_ROE_M, 2, FALSE))/(VLOOKUP(Main_M[[#This Row],[Industry]], Mean_ROE_M, 3, FALSE))</f>
        <v>-0.27406924122267085</v>
      </c>
      <c r="R49" s="1">
        <f>(Main_M[[#This Row],[ROA]]-VLOOKUP(Main_M[[#This Row],[Industry]], Mean_ROA_M, 2, FALSE))/(VLOOKUP(Main_M[[#This Row],[Industry]], Mean_ROA_M, 3, FALSE))</f>
        <v>-0.75080133747433098</v>
      </c>
      <c r="S49" s="1">
        <f>(Main_M[[#This Row],[A/E]]-VLOOKUP(Main_M[[#This Row],[Industry]], Mean_AE_M, 2, FALSE))/(VLOOKUP(Main_M[[#This Row],[Industry]], Mean_AE_M, 3, FALSE))</f>
        <v>-8.4071323567097567E-2</v>
      </c>
      <c r="T49" s="1">
        <f>(Main_M[[#This Row],[P/E]]-VLOOKUP(Main_M[[#This Row],[Industry]], Mean_PE_M, 2, FALSE))/(VLOOKUP(Main_M[[#This Row],[Industry]], Mean_PE_M, 3, FALSE))</f>
        <v>-0.39181862817901342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7" t="s">
        <v>105</v>
      </c>
      <c r="B50" s="67" t="s">
        <v>211</v>
      </c>
      <c r="C50" s="2">
        <v>5403</v>
      </c>
      <c r="D50">
        <f>RTD("tos.rtd", , "LAST", Main_M[[#This Row],[Symbol]])</f>
        <v>123.27</v>
      </c>
      <c r="E50">
        <v>10.32</v>
      </c>
      <c r="F50">
        <v>91.67</v>
      </c>
      <c r="G50">
        <v>3.2</v>
      </c>
      <c r="H50" s="1">
        <f>IF(ISNUMBER(Main_M[[#This Row],[Free CF]]),IF(Main_M[[#This Row],[Free CF]]&lt;&gt;0,Main_M[[#This Row],[Current Price]]/Main_M[[#This Row],[Free CF]],""),"")</f>
        <v>11.944767441860465</v>
      </c>
      <c r="I50" s="1">
        <f>IF(ISNUMBER(Main_M[[#This Row],[BVPS]]),IF(Main_M[[#This Row],[BVPS]]&lt;&gt;0,Main_M[[#This Row],[Current Price]]/Main_M[[#This Row],[BVPS]],""),"")</f>
        <v>1.3447147376459037</v>
      </c>
      <c r="J50">
        <v>3.48</v>
      </c>
      <c r="K50">
        <v>4.84</v>
      </c>
      <c r="L50">
        <v>1.75</v>
      </c>
      <c r="M50" s="1">
        <f>IF(ISNUMBER(Main_M[[#This Row],[EPS]]),IF(Main_M[[#This Row],[EPS]]&lt;&gt;0,Main_M[[#This Row],[Current Price]]/Main_M[[#This Row],[EPS]],""),"")</f>
        <v>38.521874999999994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0.17982391215254465</v>
      </c>
      <c r="P50" s="1">
        <f>(Main_M[[#This Row],[P/B]]-VLOOKUP(Main_M[[#This Row],[Industry]], Mean_PB_M, 2, FALSE))/(VLOOKUP(Main_M[[#This Row],[Industry]], Mean_PB_M, 3, FALSE))</f>
        <v>-0.88084364015526639</v>
      </c>
      <c r="Q50" s="1">
        <f>(Main_M[[#This Row],[ROE]]-VLOOKUP(Main_M[[#This Row],[Industry]], Mean_ROE_M, 2, FALSE))/(VLOOKUP(Main_M[[#This Row],[Industry]], Mean_ROE_M, 3, FALSE))</f>
        <v>0.5472134841236842</v>
      </c>
      <c r="R50" s="1">
        <f>(Main_M[[#This Row],[ROA]]-VLOOKUP(Main_M[[#This Row],[Industry]], Mean_ROA_M, 2, FALSE))/(VLOOKUP(Main_M[[#This Row],[Industry]], Mean_ROA_M, 3, FALSE))</f>
        <v>0.50157327360754289</v>
      </c>
      <c r="S50" s="1">
        <f>(Main_M[[#This Row],[A/E]]-VLOOKUP(Main_M[[#This Row],[Industry]], Mean_AE_M, 2, FALSE))/(VLOOKUP(Main_M[[#This Row],[Industry]], Mean_AE_M, 3, FALSE))</f>
        <v>-0.44855828110856499</v>
      </c>
      <c r="T50" s="1">
        <f>(Main_M[[#This Row],[P/E]]-VLOOKUP(Main_M[[#This Row],[Industry]], Mean_PE_M, 2, FALSE))/(VLOOKUP(Main_M[[#This Row],[Industry]], Mean_PE_M, 3, FALSE))</f>
        <v>1.0256709882022397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s="67" t="s">
        <v>105</v>
      </c>
      <c r="B51" s="67" t="s">
        <v>215</v>
      </c>
      <c r="C51" s="2">
        <v>5228</v>
      </c>
      <c r="D51">
        <f>RTD("tos.rtd", , "LAST", Main_M[[#This Row],[Symbol]])</f>
        <v>83.22</v>
      </c>
      <c r="E51">
        <v>5.67</v>
      </c>
      <c r="F51">
        <v>16.84</v>
      </c>
      <c r="G51">
        <v>3.53</v>
      </c>
      <c r="H51" s="1">
        <f>IF(ISNUMBER(Main_M[[#This Row],[Free CF]]),IF(Main_M[[#This Row],[Free CF]]&lt;&gt;0,Main_M[[#This Row],[Current Price]]/Main_M[[#This Row],[Free CF]],""),"")</f>
        <v>14.677248677248677</v>
      </c>
      <c r="I51" s="1">
        <f>IF(ISNUMBER(Main_M[[#This Row],[BVPS]]),IF(Main_M[[#This Row],[BVPS]]&lt;&gt;0,Main_M[[#This Row],[Current Price]]/Main_M[[#This Row],[BVPS]],""),"")</f>
        <v>4.9418052256532068</v>
      </c>
      <c r="J51">
        <v>24.11</v>
      </c>
      <c r="K51">
        <v>14.39</v>
      </c>
      <c r="L51">
        <v>1.77</v>
      </c>
      <c r="M51" s="1">
        <f>IF(ISNUMBER(Main_M[[#This Row],[EPS]]),IF(Main_M[[#This Row],[EPS]]&lt;&gt;0,Main_M[[#This Row],[Current Price]]/Main_M[[#This Row],[EPS]],""),"")</f>
        <v>23.575070821529746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0.24840689892533521</v>
      </c>
      <c r="P51" s="1">
        <f>(Main_M[[#This Row],[P/B]]-VLOOKUP(Main_M[[#This Row],[Industry]], Mean_PB_M, 2, FALSE))/(VLOOKUP(Main_M[[#This Row],[Industry]], Mean_PB_M, 3, FALSE))</f>
        <v>0.41078425612530794</v>
      </c>
      <c r="Q51" s="1">
        <f>(Main_M[[#This Row],[ROE]]-VLOOKUP(Main_M[[#This Row],[Industry]], Mean_ROE_M, 2, FALSE))/(VLOOKUP(Main_M[[#This Row],[Industry]], Mean_ROE_M, 3, FALSE))</f>
        <v>1.2061786212342682</v>
      </c>
      <c r="R51" s="1">
        <f>(Main_M[[#This Row],[ROA]]-VLOOKUP(Main_M[[#This Row],[Industry]], Mean_ROA_M, 2, FALSE))/(VLOOKUP(Main_M[[#This Row],[Industry]], Mean_ROA_M, 3, FALSE))</f>
        <v>2.0470358086271787</v>
      </c>
      <c r="S51" s="1">
        <f>(Main_M[[#This Row],[A/E]]-VLOOKUP(Main_M[[#This Row],[Industry]], Mean_AE_M, 2, FALSE))/(VLOOKUP(Main_M[[#This Row],[Industry]], Mean_AE_M, 3, FALSE))</f>
        <v>-0.41781033441967136</v>
      </c>
      <c r="T51" s="1">
        <f>(Main_M[[#This Row],[P/E]]-VLOOKUP(Main_M[[#This Row],[Industry]], Mean_PE_M, 2, FALSE))/(VLOOKUP(Main_M[[#This Row],[Industry]], Mean_PE_M, 3, FALSE))</f>
        <v>0.59397605130637299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7" t="s">
        <v>105</v>
      </c>
      <c r="B52" s="67" t="s">
        <v>214</v>
      </c>
      <c r="C52" s="2">
        <v>3319</v>
      </c>
      <c r="D52">
        <f>RTD("tos.rtd", , "LAST", Main_M[[#This Row],[Symbol]])</f>
        <v>136.25</v>
      </c>
      <c r="E52">
        <v>4.96</v>
      </c>
      <c r="F52">
        <v>80.760000000000005</v>
      </c>
      <c r="G52">
        <v>-3.83</v>
      </c>
      <c r="H52" s="1">
        <f>IF(ISNUMBER(Main_M[[#This Row],[Free CF]]),IF(Main_M[[#This Row],[Free CF]]&lt;&gt;0,Main_M[[#This Row],[Current Price]]/Main_M[[#This Row],[Free CF]],""),"")</f>
        <v>27.469758064516128</v>
      </c>
      <c r="I52" s="1">
        <f>IF(ISNUMBER(Main_M[[#This Row],[BVPS]]),IF(Main_M[[#This Row],[BVPS]]&lt;&gt;0,Main_M[[#This Row],[Current Price]]/Main_M[[#This Row],[BVPS]],""),"")</f>
        <v>1.6870975730559683</v>
      </c>
      <c r="J52">
        <v>-4.62</v>
      </c>
      <c r="K52">
        <v>1.79</v>
      </c>
      <c r="L52">
        <v>2.11</v>
      </c>
      <c r="M52" s="1">
        <f>IF(ISNUMBER(Main_M[[#This Row],[EPS]]),IF(Main_M[[#This Row],[EPS]]&lt;&gt;0,Main_M[[#This Row],[Current Price]]/Main_M[[#This Row],[EPS]],""),"")</f>
        <v>-35.574412532637076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0.56948815311119072</v>
      </c>
      <c r="P52" s="1">
        <f>(Main_M[[#This Row],[P/B]]-VLOOKUP(Main_M[[#This Row],[Industry]], Mean_PB_M, 2, FALSE))/(VLOOKUP(Main_M[[#This Row],[Industry]], Mean_PB_M, 3, FALSE))</f>
        <v>-0.75790227326508719</v>
      </c>
      <c r="Q52" s="1">
        <f>(Main_M[[#This Row],[ROE]]-VLOOKUP(Main_M[[#This Row],[Industry]], Mean_ROE_M, 2, FALSE))/(VLOOKUP(Main_M[[#This Row],[Industry]], Mean_ROE_M, 3, FALSE))</f>
        <v>0.28848262563625177</v>
      </c>
      <c r="R52" s="1">
        <f>(Main_M[[#This Row],[ROA]]-VLOOKUP(Main_M[[#This Row],[Industry]], Mean_ROA_M, 2, FALSE))/(VLOOKUP(Main_M[[#This Row],[Industry]], Mean_ROA_M, 3, FALSE))</f>
        <v>7.9962336274499741E-3</v>
      </c>
      <c r="S52" s="1">
        <f>(Main_M[[#This Row],[A/E]]-VLOOKUP(Main_M[[#This Row],[Industry]], Mean_AE_M, 2, FALSE))/(VLOOKUP(Main_M[[#This Row],[Industry]], Mean_AE_M, 3, FALSE))</f>
        <v>0.10490475929151949</v>
      </c>
      <c r="T52" s="1">
        <f>(Main_M[[#This Row],[P/E]]-VLOOKUP(Main_M[[#This Row],[Industry]], Mean_PE_M, 2, FALSE))/(VLOOKUP(Main_M[[#This Row],[Industry]], Mean_PE_M, 3, FALSE))</f>
        <v>-1.1143846242673896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7" t="s">
        <v>105</v>
      </c>
      <c r="B53" s="67" t="s">
        <v>203</v>
      </c>
      <c r="C53" s="2">
        <v>8012</v>
      </c>
      <c r="D53">
        <f>RTD("tos.rtd", , "LAST", Main_M[[#This Row],[Symbol]])</f>
        <v>60.34</v>
      </c>
      <c r="E53">
        <v>3.8</v>
      </c>
      <c r="F53">
        <v>30.2</v>
      </c>
      <c r="G53">
        <v>1.34</v>
      </c>
      <c r="H53" s="1">
        <f>IF(ISNUMBER(Main_M[[#This Row],[Free CF]]),IF(Main_M[[#This Row],[Free CF]]&lt;&gt;0,Main_M[[#This Row],[Current Price]]/Main_M[[#This Row],[Free CF]],""),"")</f>
        <v>15.878947368421054</v>
      </c>
      <c r="I53" s="1">
        <f>IF(ISNUMBER(Main_M[[#This Row],[BVPS]]),IF(Main_M[[#This Row],[BVPS]]&lt;&gt;0,Main_M[[#This Row],[Current Price]]/Main_M[[#This Row],[BVPS]],""),"")</f>
        <v>1.9980132450331127</v>
      </c>
      <c r="J53">
        <v>4.63</v>
      </c>
      <c r="K53">
        <v>5.9</v>
      </c>
      <c r="L53">
        <v>1.1499999999999999</v>
      </c>
      <c r="M53" s="1">
        <f>IF(ISNUMBER(Main_M[[#This Row],[EPS]]),IF(Main_M[[#This Row],[EPS]]&lt;&gt;0,Main_M[[#This Row],[Current Price]]/Main_M[[#This Row],[EPS]],""),"")</f>
        <v>45.029850746268657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0.27856852798766463</v>
      </c>
      <c r="P53" s="1">
        <f>(Main_M[[#This Row],[P/B]]-VLOOKUP(Main_M[[#This Row],[Industry]], Mean_PB_M, 2, FALSE))/(VLOOKUP(Main_M[[#This Row],[Industry]], Mean_PB_M, 3, FALSE))</f>
        <v>-0.6462600010855597</v>
      </c>
      <c r="Q53" s="1">
        <f>(Main_M[[#This Row],[ROE]]-VLOOKUP(Main_M[[#This Row],[Industry]], Mean_ROE_M, 2, FALSE))/(VLOOKUP(Main_M[[#This Row],[Industry]], Mean_ROE_M, 3, FALSE))</f>
        <v>0.58394687761264064</v>
      </c>
      <c r="R53" s="1">
        <f>(Main_M[[#This Row],[ROA]]-VLOOKUP(Main_M[[#This Row],[Industry]], Mean_ROA_M, 2, FALSE))/(VLOOKUP(Main_M[[#This Row],[Industry]], Mean_ROA_M, 3, FALSE))</f>
        <v>0.67311152356783766</v>
      </c>
      <c r="S53" s="1">
        <f>(Main_M[[#This Row],[A/E]]-VLOOKUP(Main_M[[#This Row],[Industry]], Mean_AE_M, 2, FALSE))/(VLOOKUP(Main_M[[#This Row],[Industry]], Mean_AE_M, 3, FALSE))</f>
        <v>-1.3709966817753729</v>
      </c>
      <c r="T53" s="1">
        <f>(Main_M[[#This Row],[P/E]]-VLOOKUP(Main_M[[#This Row],[Industry]], Mean_PE_M, 2, FALSE))/(VLOOKUP(Main_M[[#This Row],[Industry]], Mean_PE_M, 3, FALSE))</f>
        <v>1.2136349265504853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7" t="s">
        <v>105</v>
      </c>
      <c r="B54" s="67" t="s">
        <v>206</v>
      </c>
      <c r="C54" s="2">
        <v>4144</v>
      </c>
      <c r="D54">
        <f>RTD("tos.rtd", , "LAST", Main_M[[#This Row],[Symbol]])</f>
        <v>122.06</v>
      </c>
      <c r="E54">
        <v>3.31</v>
      </c>
      <c r="F54">
        <v>46.05</v>
      </c>
      <c r="G54">
        <v>2.21</v>
      </c>
      <c r="H54" s="1">
        <f>IF(ISNUMBER(Main_M[[#This Row],[Free CF]]),IF(Main_M[[#This Row],[Free CF]]&lt;&gt;0,Main_M[[#This Row],[Current Price]]/Main_M[[#This Row],[Free CF]],""),"")</f>
        <v>36.876132930513599</v>
      </c>
      <c r="I54" s="1">
        <f>IF(ISNUMBER(Main_M[[#This Row],[BVPS]]),IF(Main_M[[#This Row],[BVPS]]&lt;&gt;0,Main_M[[#This Row],[Current Price]]/Main_M[[#This Row],[BVPS]],""),"")</f>
        <v>2.6505971769815422</v>
      </c>
      <c r="J54">
        <v>4.9800000000000004</v>
      </c>
      <c r="K54">
        <v>4.51</v>
      </c>
      <c r="L54">
        <v>2.0499999999999998</v>
      </c>
      <c r="M54" s="1">
        <f>IF(ISNUMBER(Main_M[[#This Row],[EPS]]),IF(Main_M[[#This Row],[EPS]]&lt;&gt;0,Main_M[[#This Row],[Current Price]]/Main_M[[#This Row],[EPS]],""),"")</f>
        <v>55.230769230769234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0.80558027138806532</v>
      </c>
      <c r="P54" s="1">
        <f>(Main_M[[#This Row],[P/B]]-VLOOKUP(Main_M[[#This Row],[Industry]], Mean_PB_M, 2, FALSE))/(VLOOKUP(Main_M[[#This Row],[Industry]], Mean_PB_M, 3, FALSE))</f>
        <v>-0.411932948713853</v>
      </c>
      <c r="Q54" s="1">
        <f>(Main_M[[#This Row],[ROE]]-VLOOKUP(Main_M[[#This Row],[Industry]], Mean_ROE_M, 2, FALSE))/(VLOOKUP(Main_M[[#This Row],[Industry]], Mean_ROE_M, 3, FALSE))</f>
        <v>0.59512660606580137</v>
      </c>
      <c r="R54" s="1">
        <f>(Main_M[[#This Row],[ROA]]-VLOOKUP(Main_M[[#This Row],[Industry]], Mean_ROA_M, 2, FALSE))/(VLOOKUP(Main_M[[#This Row],[Industry]], Mean_ROA_M, 3, FALSE))</f>
        <v>0.44816985616707383</v>
      </c>
      <c r="S54" s="1">
        <f>(Main_M[[#This Row],[A/E]]-VLOOKUP(Main_M[[#This Row],[Industry]], Mean_AE_M, 2, FALSE))/(VLOOKUP(Main_M[[#This Row],[Industry]], Mean_AE_M, 3, FALSE))</f>
        <v>1.266091922483863E-2</v>
      </c>
      <c r="T54" s="1">
        <f>(Main_M[[#This Row],[P/E]]-VLOOKUP(Main_M[[#This Row],[Industry]], Mean_PE_M, 2, FALSE))/(VLOOKUP(Main_M[[#This Row],[Industry]], Mean_PE_M, 3, FALSE))</f>
        <v>1.5082587677987394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7" t="s">
        <v>105</v>
      </c>
      <c r="B55" s="67" t="s">
        <v>216</v>
      </c>
      <c r="C55" s="2">
        <v>5616</v>
      </c>
      <c r="D55">
        <f>RTD("tos.rtd", , "LAST", Main_M[[#This Row],[Symbol]])</f>
        <v>94.84</v>
      </c>
      <c r="E55">
        <v>3.05</v>
      </c>
      <c r="F55">
        <v>24.18</v>
      </c>
      <c r="G55">
        <v>2.04</v>
      </c>
      <c r="H55" s="1">
        <f>IF(ISNUMBER(Main_M[[#This Row],[Free CF]]),IF(Main_M[[#This Row],[Free CF]]&lt;&gt;0,Main_M[[#This Row],[Current Price]]/Main_M[[#This Row],[Free CF]],""),"")</f>
        <v>31.095081967213119</v>
      </c>
      <c r="I55" s="1">
        <f>IF(ISNUMBER(Main_M[[#This Row],[BVPS]]),IF(Main_M[[#This Row],[BVPS]]&lt;&gt;0,Main_M[[#This Row],[Current Price]]/Main_M[[#This Row],[BVPS]],""),"")</f>
        <v>3.9222497932175355</v>
      </c>
      <c r="J55">
        <v>9.16</v>
      </c>
      <c r="K55">
        <v>4.3099999999999996</v>
      </c>
      <c r="L55">
        <v>1.73</v>
      </c>
      <c r="M55" s="1">
        <f>IF(ISNUMBER(Main_M[[#This Row],[EPS]]),IF(Main_M[[#This Row],[EPS]]&lt;&gt;0,Main_M[[#This Row],[Current Price]]/Main_M[[#This Row],[EPS]],""),"")</f>
        <v>46.490196078431374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0.66048074184178618</v>
      </c>
      <c r="P55" s="1">
        <f>(Main_M[[#This Row],[P/B]]-VLOOKUP(Main_M[[#This Row],[Industry]], Mean_PB_M, 2, FALSE))/(VLOOKUP(Main_M[[#This Row],[Industry]], Mean_PB_M, 3, FALSE))</f>
        <v>4.4686643977708371E-2</v>
      </c>
      <c r="Q55" s="1">
        <f>(Main_M[[#This Row],[ROE]]-VLOOKUP(Main_M[[#This Row],[Industry]], Mean_ROE_M, 2, FALSE))/(VLOOKUP(Main_M[[#This Row],[Industry]], Mean_ROE_M, 3, FALSE))</f>
        <v>0.72864450587783436</v>
      </c>
      <c r="R55" s="1">
        <f>(Main_M[[#This Row],[ROA]]-VLOOKUP(Main_M[[#This Row],[Industry]], Mean_ROA_M, 2, FALSE))/(VLOOKUP(Main_M[[#This Row],[Industry]], Mean_ROA_M, 3, FALSE))</f>
        <v>0.41580414862739556</v>
      </c>
      <c r="S55" s="1">
        <f>(Main_M[[#This Row],[A/E]]-VLOOKUP(Main_M[[#This Row],[Industry]], Mean_AE_M, 2, FALSE))/(VLOOKUP(Main_M[[#This Row],[Industry]], Mean_AE_M, 3, FALSE))</f>
        <v>-0.47930622779745857</v>
      </c>
      <c r="T55" s="1">
        <f>(Main_M[[#This Row],[P/E]]-VLOOKUP(Main_M[[#This Row],[Industry]], Mean_PE_M, 2, FALSE))/(VLOOKUP(Main_M[[#This Row],[Industry]], Mean_PE_M, 3, FALSE))</f>
        <v>1.2558127512203392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7" t="s">
        <v>105</v>
      </c>
      <c r="B56" s="67" t="s">
        <v>213</v>
      </c>
      <c r="C56" s="2">
        <v>3253</v>
      </c>
      <c r="D56">
        <f>RTD("tos.rtd", , "LAST", Main_M[[#This Row],[Symbol]])</f>
        <v>71.650000000000006</v>
      </c>
      <c r="E56">
        <v>2.83</v>
      </c>
      <c r="F56">
        <v>17.02</v>
      </c>
      <c r="G56">
        <v>3.31</v>
      </c>
      <c r="H56" s="1">
        <f>IF(ISNUMBER(Main_M[[#This Row],[Free CF]]),IF(Main_M[[#This Row],[Free CF]]&lt;&gt;0,Main_M[[#This Row],[Current Price]]/Main_M[[#This Row],[Free CF]],""),"")</f>
        <v>25.31802120141343</v>
      </c>
      <c r="I56" s="1">
        <f>IF(ISNUMBER(Main_M[[#This Row],[BVPS]]),IF(Main_M[[#This Row],[BVPS]]&lt;&gt;0,Main_M[[#This Row],[Current Price]]/Main_M[[#This Row],[BVPS]],""),"")</f>
        <v>4.2097532314923622</v>
      </c>
      <c r="J56">
        <v>18.829999999999998</v>
      </c>
      <c r="K56">
        <v>6.65</v>
      </c>
      <c r="L56">
        <v>2.99</v>
      </c>
      <c r="M56" s="1">
        <f>IF(ISNUMBER(Main_M[[#This Row],[EPS]]),IF(Main_M[[#This Row],[EPS]]&lt;&gt;0,Main_M[[#This Row],[Current Price]]/Main_M[[#This Row],[EPS]],""),"")</f>
        <v>21.646525679758309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0.5154813629054632</v>
      </c>
      <c r="P56" s="1">
        <f>(Main_M[[#This Row],[P/B]]-VLOOKUP(Main_M[[#This Row],[Industry]], Mean_PB_M, 2, FALSE))/(VLOOKUP(Main_M[[#This Row],[Industry]], Mean_PB_M, 3, FALSE))</f>
        <v>0.14792215122736432</v>
      </c>
      <c r="Q56" s="1">
        <f>(Main_M[[#This Row],[ROE]]-VLOOKUP(Main_M[[#This Row],[Industry]], Mean_ROE_M, 2, FALSE))/(VLOOKUP(Main_M[[#This Row],[Industry]], Mean_ROE_M, 3, FALSE))</f>
        <v>1.0375244319980159</v>
      </c>
      <c r="R56" s="1">
        <f>(Main_M[[#This Row],[ROA]]-VLOOKUP(Main_M[[#This Row],[Industry]], Mean_ROA_M, 2, FALSE))/(VLOOKUP(Main_M[[#This Row],[Industry]], Mean_ROA_M, 3, FALSE))</f>
        <v>0.79448292684163102</v>
      </c>
      <c r="S56" s="1">
        <f>(Main_M[[#This Row],[A/E]]-VLOOKUP(Main_M[[#This Row],[Industry]], Mean_AE_M, 2, FALSE))/(VLOOKUP(Main_M[[#This Row],[Industry]], Mean_AE_M, 3, FALSE))</f>
        <v>1.4578144136028381</v>
      </c>
      <c r="T56" s="1">
        <f>(Main_M[[#This Row],[P/E]]-VLOOKUP(Main_M[[#This Row],[Industry]], Mean_PE_M, 2, FALSE))/(VLOOKUP(Main_M[[#This Row],[Industry]], Mean_PE_M, 3, FALSE))</f>
        <v>0.53827563780412957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7" t="s">
        <v>105</v>
      </c>
      <c r="B57" s="67" t="s">
        <v>207</v>
      </c>
      <c r="C57" s="2">
        <v>2358</v>
      </c>
      <c r="D57">
        <f>RTD("tos.rtd", , "LAST", Main_M[[#This Row],[Symbol]])</f>
        <v>46.3</v>
      </c>
      <c r="E57">
        <v>2.68</v>
      </c>
      <c r="F57">
        <v>18.97</v>
      </c>
      <c r="G57">
        <v>-4.09</v>
      </c>
      <c r="H57" s="1">
        <f>IF(ISNUMBER(Main_M[[#This Row],[Free CF]]),IF(Main_M[[#This Row],[Free CF]]&lt;&gt;0,Main_M[[#This Row],[Current Price]]/Main_M[[#This Row],[Free CF]],""),"")</f>
        <v>17.276119402985074</v>
      </c>
      <c r="I57" s="1">
        <f>IF(ISNUMBER(Main_M[[#This Row],[BVPS]]),IF(Main_M[[#This Row],[BVPS]]&lt;&gt;0,Main_M[[#This Row],[Current Price]]/Main_M[[#This Row],[BVPS]],""),"")</f>
        <v>2.4406958355297839</v>
      </c>
      <c r="J57">
        <v>-19.7</v>
      </c>
      <c r="K57">
        <v>4.55</v>
      </c>
      <c r="L57">
        <v>2.4700000000000002</v>
      </c>
      <c r="M57" s="1">
        <f>IF(ISNUMBER(Main_M[[#This Row],[EPS]]),IF(Main_M[[#This Row],[EPS]]&lt;&gt;0,Main_M[[#This Row],[Current Price]]/Main_M[[#This Row],[EPS]],""),"")</f>
        <v>-11.320293398533007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0.31363637398961652</v>
      </c>
      <c r="P57" s="1">
        <f>(Main_M[[#This Row],[P/B]]-VLOOKUP(Main_M[[#This Row],[Industry]], Mean_PB_M, 2, FALSE))/(VLOOKUP(Main_M[[#This Row],[Industry]], Mean_PB_M, 3, FALSE))</f>
        <v>-0.48730342632338225</v>
      </c>
      <c r="Q57" s="1">
        <f>(Main_M[[#This Row],[ROE]]-VLOOKUP(Main_M[[#This Row],[Industry]], Mean_ROE_M, 2, FALSE))/(VLOOKUP(Main_M[[#This Row],[Industry]], Mean_ROE_M, 3, FALSE))</f>
        <v>-0.1932039602884989</v>
      </c>
      <c r="R57" s="1">
        <f>(Main_M[[#This Row],[ROA]]-VLOOKUP(Main_M[[#This Row],[Industry]], Mean_ROA_M, 2, FALSE))/(VLOOKUP(Main_M[[#This Row],[Industry]], Mean_ROA_M, 3, FALSE))</f>
        <v>0.45464299767500949</v>
      </c>
      <c r="S57" s="1">
        <f>(Main_M[[#This Row],[A/E]]-VLOOKUP(Main_M[[#This Row],[Industry]], Mean_AE_M, 2, FALSE))/(VLOOKUP(Main_M[[#This Row],[Industry]], Mean_AE_M, 3, FALSE))</f>
        <v>0.65836779969160464</v>
      </c>
      <c r="T57" s="1">
        <f>(Main_M[[#This Row],[P/E]]-VLOOKUP(Main_M[[#This Row],[Industry]], Mean_PE_M, 2, FALSE))/(VLOOKUP(Main_M[[#This Row],[Industry]], Mean_PE_M, 3, FALSE))</f>
        <v>-0.41387498327378575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7" t="s">
        <v>105</v>
      </c>
      <c r="B58" s="67" t="s">
        <v>204</v>
      </c>
      <c r="C58" s="2">
        <v>4076</v>
      </c>
      <c r="D58">
        <f>RTD("tos.rtd", , "LAST", Main_M[[#This Row],[Symbol]])</f>
        <v>136.63999999999999</v>
      </c>
      <c r="E58">
        <v>2.65</v>
      </c>
      <c r="F58">
        <v>21.57</v>
      </c>
      <c r="G58">
        <v>2.17</v>
      </c>
      <c r="H58" s="1">
        <f>IF(ISNUMBER(Main_M[[#This Row],[Free CF]]),IF(Main_M[[#This Row],[Free CF]]&lt;&gt;0,Main_M[[#This Row],[Current Price]]/Main_M[[#This Row],[Free CF]],""),"")</f>
        <v>51.562264150943392</v>
      </c>
      <c r="I58" s="1">
        <f>IF(ISNUMBER(Main_M[[#This Row],[BVPS]]),IF(Main_M[[#This Row],[BVPS]]&lt;&gt;0,Main_M[[#This Row],[Current Price]]/Main_M[[#This Row],[BVPS]],""),"")</f>
        <v>6.3347241539174775</v>
      </c>
      <c r="J58">
        <v>10.86</v>
      </c>
      <c r="K58">
        <v>4.4000000000000004</v>
      </c>
      <c r="L58">
        <v>1.1499999999999999</v>
      </c>
      <c r="M58" s="1">
        <f>IF(ISNUMBER(Main_M[[#This Row],[EPS]]),IF(Main_M[[#This Row],[EPS]]&lt;&gt;0,Main_M[[#This Row],[Current Price]]/Main_M[[#This Row],[EPS]],""),"")</f>
        <v>62.967741935483865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1.1741898450567769</v>
      </c>
      <c r="P58" s="1">
        <f>(Main_M[[#This Row],[P/B]]-VLOOKUP(Main_M[[#This Row],[Industry]], Mean_PB_M, 2, FALSE))/(VLOOKUP(Main_M[[#This Row],[Industry]], Mean_PB_M, 3, FALSE))</f>
        <v>0.91094763844823801</v>
      </c>
      <c r="Q58" s="1">
        <f>(Main_M[[#This Row],[ROE]]-VLOOKUP(Main_M[[#This Row],[Industry]], Mean_ROE_M, 2, FALSE))/(VLOOKUP(Main_M[[#This Row],[Industry]], Mean_ROE_M, 3, FALSE))</f>
        <v>0.78294604407890045</v>
      </c>
      <c r="R58" s="1">
        <f>(Main_M[[#This Row],[ROA]]-VLOOKUP(Main_M[[#This Row],[Industry]], Mean_ROA_M, 2, FALSE))/(VLOOKUP(Main_M[[#This Row],[Industry]], Mean_ROA_M, 3, FALSE))</f>
        <v>0.43036871702025092</v>
      </c>
      <c r="S58" s="1">
        <f>(Main_M[[#This Row],[A/E]]-VLOOKUP(Main_M[[#This Row],[Industry]], Mean_AE_M, 2, FALSE))/(VLOOKUP(Main_M[[#This Row],[Industry]], Mean_AE_M, 3, FALSE))</f>
        <v>-1.3709966817753729</v>
      </c>
      <c r="T58" s="1">
        <f>(Main_M[[#This Row],[P/E]]-VLOOKUP(Main_M[[#This Row],[Industry]], Mean_PE_M, 2, FALSE))/(VLOOKUP(Main_M[[#This Row],[Industry]], Mean_PE_M, 3, FALSE))</f>
        <v>1.7317187063679396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7" t="s">
        <v>105</v>
      </c>
      <c r="B59" s="67" t="s">
        <v>208</v>
      </c>
      <c r="C59" s="2">
        <v>8811</v>
      </c>
      <c r="D59">
        <f>RTD("tos.rtd", , "LAST", Main_M[[#This Row],[Symbol]])</f>
        <v>171.88</v>
      </c>
      <c r="E59">
        <v>2.56</v>
      </c>
      <c r="F59">
        <v>17.46</v>
      </c>
      <c r="G59">
        <v>-5.41</v>
      </c>
      <c r="H59" s="1">
        <f>IF(ISNUMBER(Main_M[[#This Row],[Free CF]]),IF(Main_M[[#This Row],[Free CF]]&lt;&gt;0,Main_M[[#This Row],[Current Price]]/Main_M[[#This Row],[Free CF]],""),"")</f>
        <v>67.140625</v>
      </c>
      <c r="I59" s="1">
        <f>IF(ISNUMBER(Main_M[[#This Row],[BVPS]]),IF(Main_M[[#This Row],[BVPS]]&lt;&gt;0,Main_M[[#This Row],[Current Price]]/Main_M[[#This Row],[BVPS]],""),"")</f>
        <v>9.8442153493699873</v>
      </c>
      <c r="J59">
        <v>-25.07</v>
      </c>
      <c r="K59">
        <v>1.32</v>
      </c>
      <c r="L59">
        <v>2.42</v>
      </c>
      <c r="M59" s="1">
        <f>IF(ISNUMBER(Main_M[[#This Row],[EPS]]),IF(Main_M[[#This Row],[EPS]]&lt;&gt;0,Main_M[[#This Row],[Current Price]]/Main_M[[#This Row],[EPS]],""),"")</f>
        <v>-31.77079482439926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1.5651936339266446</v>
      </c>
      <c r="P59" s="1">
        <f>(Main_M[[#This Row],[P/B]]-VLOOKUP(Main_M[[#This Row],[Industry]], Mean_PB_M, 2, FALSE))/(VLOOKUP(Main_M[[#This Row],[Industry]], Mean_PB_M, 3, FALSE))</f>
        <v>2.1711207547238494</v>
      </c>
      <c r="Q59" s="1">
        <f>(Main_M[[#This Row],[ROE]]-VLOOKUP(Main_M[[#This Row],[Industry]], Mean_ROE_M, 2, FALSE))/(VLOOKUP(Main_M[[#This Row],[Industry]], Mean_ROE_M, 3, FALSE))</f>
        <v>-0.36473293684127822</v>
      </c>
      <c r="R59" s="1">
        <f>(Main_M[[#This Row],[ROA]]-VLOOKUP(Main_M[[#This Row],[Industry]], Mean_ROA_M, 2, FALSE))/(VLOOKUP(Main_M[[#This Row],[Industry]], Mean_ROA_M, 3, FALSE))</f>
        <v>-6.806317909079386E-2</v>
      </c>
      <c r="S59" s="1">
        <f>(Main_M[[#This Row],[A/E]]-VLOOKUP(Main_M[[#This Row],[Industry]], Mean_AE_M, 2, FALSE))/(VLOOKUP(Main_M[[#This Row],[Industry]], Mean_AE_M, 3, FALSE))</f>
        <v>0.58149793296937025</v>
      </c>
      <c r="T59" s="1">
        <f>(Main_M[[#This Row],[P/E]]-VLOOKUP(Main_M[[#This Row],[Industry]], Mean_PE_M, 2, FALSE))/(VLOOKUP(Main_M[[#This Row],[Industry]], Mean_PE_M, 3, FALSE))</f>
        <v>-1.004528196971787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s="67" t="s">
        <v>105</v>
      </c>
      <c r="B60" s="67" t="s">
        <v>209</v>
      </c>
      <c r="C60" s="2">
        <v>3097</v>
      </c>
      <c r="D60">
        <f>RTD("tos.rtd", , "LAST", Main_M[[#This Row],[Symbol]])</f>
        <v>19.02</v>
      </c>
      <c r="E60">
        <v>1.55</v>
      </c>
      <c r="F60">
        <v>17.7</v>
      </c>
      <c r="G60">
        <v>-6.54</v>
      </c>
      <c r="H60" s="1">
        <f>IF(ISNUMBER(Main_M[[#This Row],[Free CF]]),IF(Main_M[[#This Row],[Free CF]]&lt;&gt;0,Main_M[[#This Row],[Current Price]]/Main_M[[#This Row],[Free CF]],""),"")</f>
        <v>12.270967741935483</v>
      </c>
      <c r="I60" s="1">
        <f>IF(ISNUMBER(Main_M[[#This Row],[BVPS]]),IF(Main_M[[#This Row],[BVPS]]&lt;&gt;0,Main_M[[#This Row],[Current Price]]/Main_M[[#This Row],[BVPS]],""),"")</f>
        <v>1.0745762711864406</v>
      </c>
      <c r="J60">
        <v>-31.33</v>
      </c>
      <c r="K60">
        <v>1.57</v>
      </c>
      <c r="L60">
        <v>1.8</v>
      </c>
      <c r="M60" s="1">
        <f>IF(ISNUMBER(Main_M[[#This Row],[EPS]]),IF(Main_M[[#This Row],[EPS]]&lt;&gt;0,Main_M[[#This Row],[Current Price]]/Main_M[[#This Row],[EPS]],""),"")</f>
        <v>-2.9082568807339451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0.18801126604013568</v>
      </c>
      <c r="P60" s="1">
        <f>(Main_M[[#This Row],[P/B]]-VLOOKUP(Main_M[[#This Row],[Industry]], Mean_PB_M, 2, FALSE))/(VLOOKUP(Main_M[[#This Row],[Industry]], Mean_PB_M, 3, FALSE))</f>
        <v>-0.97784380745736521</v>
      </c>
      <c r="Q60" s="1">
        <f>(Main_M[[#This Row],[ROE]]-VLOOKUP(Main_M[[#This Row],[Industry]], Mean_ROE_M, 2, FALSE))/(VLOOKUP(Main_M[[#This Row],[Industry]], Mean_ROE_M, 3, FALSE))</f>
        <v>-0.56469036574638021</v>
      </c>
      <c r="R60" s="1">
        <f>(Main_M[[#This Row],[ROA]]-VLOOKUP(Main_M[[#This Row],[Industry]], Mean_ROA_M, 2, FALSE))/(VLOOKUP(Main_M[[#This Row],[Industry]], Mean_ROA_M, 3, FALSE))</f>
        <v>-2.7606044666196074E-2</v>
      </c>
      <c r="S60" s="1">
        <f>(Main_M[[#This Row],[A/E]]-VLOOKUP(Main_M[[#This Row],[Industry]], Mean_AE_M, 2, FALSE))/(VLOOKUP(Main_M[[#This Row],[Industry]], Mean_AE_M, 3, FALSE))</f>
        <v>-0.37168841438633093</v>
      </c>
      <c r="T60" s="1">
        <f>(Main_M[[#This Row],[P/E]]-VLOOKUP(Main_M[[#This Row],[Industry]], Mean_PE_M, 2, FALSE))/(VLOOKUP(Main_M[[#This Row],[Industry]], Mean_PE_M, 3, FALSE))</f>
        <v>-0.17091779119738179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s="67" t="s">
        <v>105</v>
      </c>
      <c r="B61" s="67" t="s">
        <v>217</v>
      </c>
      <c r="C61" s="2">
        <v>3185</v>
      </c>
      <c r="D61">
        <f>RTD("tos.rtd", , "LAST", Main_M[[#This Row],[Symbol]])</f>
        <v>16.225000000000001</v>
      </c>
      <c r="E61">
        <v>1.38</v>
      </c>
      <c r="F61">
        <v>10.09</v>
      </c>
      <c r="G61">
        <v>-4.5199999999999996</v>
      </c>
      <c r="H61" s="1">
        <f>IF(ISNUMBER(Main_M[[#This Row],[Free CF]]),IF(Main_M[[#This Row],[Free CF]]&lt;&gt;0,Main_M[[#This Row],[Current Price]]/Main_M[[#This Row],[Free CF]],""),"")</f>
        <v>11.757246376811596</v>
      </c>
      <c r="I61" s="1">
        <f>IF(ISNUMBER(Main_M[[#This Row],[BVPS]]),IF(Main_M[[#This Row],[BVPS]]&lt;&gt;0,Main_M[[#This Row],[Current Price]]/Main_M[[#This Row],[BVPS]],""),"")</f>
        <v>1.6080277502477702</v>
      </c>
      <c r="J61">
        <v>-34.47</v>
      </c>
      <c r="K61">
        <v>2.31</v>
      </c>
      <c r="L61">
        <v>3.01</v>
      </c>
      <c r="M61" s="1">
        <f>IF(ISNUMBER(Main_M[[#This Row],[EPS]]),IF(Main_M[[#This Row],[EPS]]&lt;&gt;0,Main_M[[#This Row],[Current Price]]/Main_M[[#This Row],[EPS]],""),"")</f>
        <v>-3.5896017699115053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0.17511729072828477</v>
      </c>
      <c r="P61" s="1">
        <f>(Main_M[[#This Row],[P/B]]-VLOOKUP(Main_M[[#This Row],[Industry]], Mean_PB_M, 2, FALSE))/(VLOOKUP(Main_M[[#This Row],[Industry]], Mean_PB_M, 3, FALSE))</f>
        <v>-0.78629432768616103</v>
      </c>
      <c r="Q61" s="1">
        <f>(Main_M[[#This Row],[ROE]]-VLOOKUP(Main_M[[#This Row],[Industry]], Mean_ROE_M, 2, FALSE))/(VLOOKUP(Main_M[[#This Row],[Industry]], Mean_ROE_M, 3, FALSE))</f>
        <v>-0.66498850101187879</v>
      </c>
      <c r="R61" s="1">
        <f>(Main_M[[#This Row],[ROA]]-VLOOKUP(Main_M[[#This Row],[Industry]], Mean_ROA_M, 2, FALSE))/(VLOOKUP(Main_M[[#This Row],[Industry]], Mean_ROA_M, 3, FALSE))</f>
        <v>9.2147073230613372E-2</v>
      </c>
      <c r="S61" s="1">
        <f>(Main_M[[#This Row],[A/E]]-VLOOKUP(Main_M[[#This Row],[Industry]], Mean_AE_M, 2, FALSE))/(VLOOKUP(Main_M[[#This Row],[Industry]], Mean_AE_M, 3, FALSE))</f>
        <v>1.4885623602917311</v>
      </c>
      <c r="T61" s="1">
        <f>(Main_M[[#This Row],[P/E]]-VLOOKUP(Main_M[[#This Row],[Industry]], Mean_PE_M, 2, FALSE))/(VLOOKUP(Main_M[[#This Row],[Industry]], Mean_PE_M, 3, FALSE))</f>
        <v>-0.19059645530683106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s="67" t="s">
        <v>105</v>
      </c>
      <c r="B62" s="67" t="s">
        <v>205</v>
      </c>
      <c r="C62" s="2">
        <v>4486</v>
      </c>
      <c r="D62">
        <f>RTD("tos.rtd", , "LAST", Main_M[[#This Row],[Symbol]])</f>
        <v>147.47999999999999</v>
      </c>
      <c r="E62">
        <v>-0.03</v>
      </c>
      <c r="F62">
        <v>2.72</v>
      </c>
      <c r="G62">
        <v>-3.14</v>
      </c>
      <c r="H62" s="1">
        <f>IF(ISNUMBER(Main_M[[#This Row],[Free CF]]),IF(Main_M[[#This Row],[Free CF]]&lt;&gt;0,Main_M[[#This Row],[Current Price]]/Main_M[[#This Row],[Free CF]],""),"")</f>
        <v>-4916</v>
      </c>
      <c r="I62" s="1">
        <f>IF(ISNUMBER(Main_M[[#This Row],[BVPS]]),IF(Main_M[[#This Row],[BVPS]]&lt;&gt;0,Main_M[[#This Row],[Current Price]]/Main_M[[#This Row],[BVPS]],""),"")</f>
        <v>54.220588235294109</v>
      </c>
      <c r="J62">
        <v>-111.13</v>
      </c>
      <c r="K62">
        <v>-4.37</v>
      </c>
      <c r="L62">
        <v>10.69</v>
      </c>
      <c r="M62" s="1">
        <f>IF(ISNUMBER(Main_M[[#This Row],[EPS]]),IF(Main_M[[#This Row],[EPS]]&lt;&gt;0,Main_M[[#This Row],[Current Price]]/Main_M[[#This Row],[EPS]],""),"")</f>
        <v>-46.968152866242036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-123.50745577542078</v>
      </c>
      <c r="P62" s="1">
        <f>(Main_M[[#This Row],[P/B]]-VLOOKUP(Main_M[[#This Row],[Industry]], Mean_PB_M, 2, FALSE))/(VLOOKUP(Main_M[[#This Row],[Industry]], Mean_PB_M, 3, FALSE))</f>
        <v>18.105599285721571</v>
      </c>
      <c r="Q62" s="1">
        <f>(Main_M[[#This Row],[ROE]]-VLOOKUP(Main_M[[#This Row],[Industry]], Mean_ROE_M, 2, FALSE))/(VLOOKUP(Main_M[[#This Row],[Industry]], Mean_ROE_M, 3, FALSE))</f>
        <v>-3.1136684530670107</v>
      </c>
      <c r="R62" s="1">
        <f>(Main_M[[#This Row],[ROA]]-VLOOKUP(Main_M[[#This Row],[Industry]], Mean_ROA_M, 2, FALSE))/(VLOOKUP(Main_M[[#This Row],[Industry]], Mean_ROA_M, 3, FALSE))</f>
        <v>-0.98886755859463948</v>
      </c>
      <c r="S62" s="1">
        <f>(Main_M[[#This Row],[A/E]]-VLOOKUP(Main_M[[#This Row],[Industry]], Mean_AE_M, 2, FALSE))/(VLOOKUP(Main_M[[#This Row],[Industry]], Mean_AE_M, 3, FALSE))</f>
        <v>13.29577388882687</v>
      </c>
      <c r="T62" s="1">
        <f>(Main_M[[#This Row],[P/E]]-VLOOKUP(Main_M[[#This Row],[Industry]], Mean_PE_M, 2, FALSE))/(VLOOKUP(Main_M[[#This Row],[Industry]], Mean_PE_M, 3, FALSE))</f>
        <v>-1.4434596529888062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s="67" t="s">
        <v>105</v>
      </c>
      <c r="B63" s="67" t="s">
        <v>212</v>
      </c>
      <c r="C63" s="2">
        <v>4053</v>
      </c>
      <c r="D63">
        <f>RTD("tos.rtd", , "LAST", Main_M[[#This Row],[Symbol]])</f>
        <v>11.98</v>
      </c>
      <c r="E63">
        <v>-0.48</v>
      </c>
      <c r="F63">
        <v>18</v>
      </c>
      <c r="G63">
        <v>-1.03</v>
      </c>
      <c r="H63" s="1">
        <f>IF(ISNUMBER(Main_M[[#This Row],[Free CF]]),IF(Main_M[[#This Row],[Free CF]]&lt;&gt;0,Main_M[[#This Row],[Current Price]]/Main_M[[#This Row],[Free CF]],""),"")</f>
        <v>-24.958333333333336</v>
      </c>
      <c r="I63" s="1">
        <f>IF(ISNUMBER(Main_M[[#This Row],[BVPS]]),IF(Main_M[[#This Row],[BVPS]]&lt;&gt;0,Main_M[[#This Row],[Current Price]]/Main_M[[#This Row],[BVPS]],""),"")</f>
        <v>0.66555555555555557</v>
      </c>
      <c r="J63">
        <v>-5.36</v>
      </c>
      <c r="K63">
        <v>0.61</v>
      </c>
      <c r="L63">
        <v>2.11</v>
      </c>
      <c r="M63" s="1">
        <f>IF(ISNUMBER(Main_M[[#This Row],[EPS]]),IF(Main_M[[#This Row],[EPS]]&lt;&gt;0,Main_M[[#This Row],[Current Price]]/Main_M[[#This Row],[EPS]],""),"")</f>
        <v>-11.631067961165048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-0.74641295987504963</v>
      </c>
      <c r="P63" s="1">
        <f>(Main_M[[#This Row],[P/B]]-VLOOKUP(Main_M[[#This Row],[Industry]], Mean_PB_M, 2, FALSE))/(VLOOKUP(Main_M[[#This Row],[Industry]], Mean_PB_M, 3, FALSE))</f>
        <v>-1.1247132198969063</v>
      </c>
      <c r="Q63" s="1">
        <f>(Main_M[[#This Row],[ROE]]-VLOOKUP(Main_M[[#This Row],[Industry]], Mean_ROE_M, 2, FALSE))/(VLOOKUP(Main_M[[#This Row],[Industry]], Mean_ROE_M, 3, FALSE))</f>
        <v>0.26484548547814074</v>
      </c>
      <c r="R63" s="1">
        <f>(Main_M[[#This Row],[ROA]]-VLOOKUP(Main_M[[#This Row],[Industry]], Mean_ROA_M, 2, FALSE))/(VLOOKUP(Main_M[[#This Row],[Industry]], Mean_ROA_M, 3, FALSE))</f>
        <v>-0.18296144085665161</v>
      </c>
      <c r="S63" s="1">
        <f>(Main_M[[#This Row],[A/E]]-VLOOKUP(Main_M[[#This Row],[Industry]], Mean_AE_M, 2, FALSE))/(VLOOKUP(Main_M[[#This Row],[Industry]], Mean_AE_M, 3, FALSE))</f>
        <v>0.10490475929151949</v>
      </c>
      <c r="T63" s="1">
        <f>(Main_M[[#This Row],[P/E]]-VLOOKUP(Main_M[[#This Row],[Industry]], Mean_PE_M, 2, FALSE))/(VLOOKUP(Main_M[[#This Row],[Industry]], Mean_PE_M, 3, FALSE))</f>
        <v>-0.42285080202422654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s="67" t="s">
        <v>105</v>
      </c>
      <c r="B64" s="67" t="s">
        <v>327</v>
      </c>
      <c r="C64" s="2">
        <v>2074</v>
      </c>
      <c r="D64">
        <f>RTD("tos.rtd", , "LAST", Main_M[[#This Row],[Symbol]])</f>
        <v>30.21</v>
      </c>
      <c r="E64">
        <v>-0.53</v>
      </c>
      <c r="F64">
        <v>44.4</v>
      </c>
      <c r="G64">
        <v>-5.33</v>
      </c>
      <c r="H64" s="1">
        <f>IF(ISNUMBER(Main_M[[#This Row],[Free CF]]),IF(Main_M[[#This Row],[Free CF]]&lt;&gt;0,Main_M[[#This Row],[Current Price]]/Main_M[[#This Row],[Free CF]],""),"")</f>
        <v>-57</v>
      </c>
      <c r="I64" s="1">
        <f>IF(ISNUMBER(Main_M[[#This Row],[BVPS]]),IF(Main_M[[#This Row],[BVPS]]&lt;&gt;0,Main_M[[#This Row],[Current Price]]/Main_M[[#This Row],[BVPS]],""),"")</f>
        <v>0.68040540540540539</v>
      </c>
      <c r="J64">
        <v>-11.38</v>
      </c>
      <c r="K64">
        <v>1.1200000000000001</v>
      </c>
      <c r="L64">
        <v>2.16</v>
      </c>
      <c r="M64" s="1">
        <f>IF(ISNUMBER(Main_M[[#This Row],[EPS]]),IF(Main_M[[#This Row],[EPS]]&lt;&gt;0,Main_M[[#This Row],[Current Price]]/Main_M[[#This Row],[EPS]],""),"")</f>
        <v>-5.6679174484052535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-1.5506319139590863</v>
      </c>
      <c r="P64" s="1">
        <f>(Main_M[[#This Row],[P/B]]-VLOOKUP(Main_M[[#This Row],[Industry]], Mean_PB_M, 2, FALSE))/(VLOOKUP(Main_M[[#This Row],[Industry]], Mean_PB_M, 3, FALSE))</f>
        <v>-1.1193809992075487</v>
      </c>
      <c r="Q64" s="1">
        <f>(Main_M[[#This Row],[ROE]]-VLOOKUP(Main_M[[#This Row],[Industry]], Mean_ROE_M, 2, FALSE))/(VLOOKUP(Main_M[[#This Row],[Industry]], Mean_ROE_M, 3, FALSE))</f>
        <v>7.2554156083777313E-2</v>
      </c>
      <c r="R64" s="1">
        <f>(Main_M[[#This Row],[ROA]]-VLOOKUP(Main_M[[#This Row],[Industry]], Mean_ROA_M, 2, FALSE))/(VLOOKUP(Main_M[[#This Row],[Industry]], Mean_ROA_M, 3, FALSE))</f>
        <v>-0.10042888663047209</v>
      </c>
      <c r="S64" s="1">
        <f>(Main_M[[#This Row],[A/E]]-VLOOKUP(Main_M[[#This Row],[Industry]], Mean_AE_M, 2, FALSE))/(VLOOKUP(Main_M[[#This Row],[Industry]], Mean_AE_M, 3, FALSE))</f>
        <v>0.18177462601375388</v>
      </c>
      <c r="T64" s="1">
        <f>(Main_M[[#This Row],[P/E]]-VLOOKUP(Main_M[[#This Row],[Industry]], Mean_PE_M, 2, FALSE))/(VLOOKUP(Main_M[[#This Row],[Industry]], Mean_PE_M, 3, FALSE))</f>
        <v>-0.25062255486391205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s="67" t="s">
        <v>105</v>
      </c>
      <c r="B65" s="67" t="s">
        <v>323</v>
      </c>
      <c r="C65" s="2">
        <v>2130</v>
      </c>
      <c r="D65">
        <f>RTD("tos.rtd", , "LAST", Main_M[[#This Row],[Symbol]])</f>
        <v>16.899999999999999</v>
      </c>
      <c r="E65">
        <v>-0.66</v>
      </c>
      <c r="F65">
        <v>3.25</v>
      </c>
      <c r="G65">
        <v>-1.51</v>
      </c>
      <c r="H65" s="1">
        <f>IF(ISNUMBER(Main_M[[#This Row],[Free CF]]),IF(Main_M[[#This Row],[Free CF]]&lt;&gt;0,Main_M[[#This Row],[Current Price]]/Main_M[[#This Row],[Free CF]],""),"")</f>
        <v>-25.606060606060602</v>
      </c>
      <c r="I65" s="1">
        <f>IF(ISNUMBER(Main_M[[#This Row],[BVPS]]),IF(Main_M[[#This Row],[BVPS]]&lt;&gt;0,Main_M[[#This Row],[Current Price]]/Main_M[[#This Row],[BVPS]],""),"")</f>
        <v>5.1999999999999993</v>
      </c>
      <c r="J65">
        <v>-45.52</v>
      </c>
      <c r="K65">
        <v>-8.64</v>
      </c>
      <c r="L65">
        <v>3.45</v>
      </c>
      <c r="M65" s="1">
        <f>IF(ISNUMBER(Main_M[[#This Row],[EPS]]),IF(Main_M[[#This Row],[EPS]]&lt;&gt;0,Main_M[[#This Row],[Current Price]]/Main_M[[#This Row],[EPS]],""),"")</f>
        <v>-11.19205298013245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-0.76267037105230095</v>
      </c>
      <c r="P65" s="1">
        <f>(Main_M[[#This Row],[P/B]]-VLOOKUP(Main_M[[#This Row],[Industry]], Mean_PB_M, 2, FALSE))/(VLOOKUP(Main_M[[#This Row],[Industry]], Mean_PB_M, 3, FALSE))</f>
        <v>0.50349573345178766</v>
      </c>
      <c r="Q65" s="1">
        <f>(Main_M[[#This Row],[ROE]]-VLOOKUP(Main_M[[#This Row],[Industry]], Mean_ROE_M, 2, FALSE))/(VLOOKUP(Main_M[[#This Row],[Industry]], Mean_ROE_M, 3, FALSE))</f>
        <v>-1.0179484993188084</v>
      </c>
      <c r="R65" s="1">
        <f>(Main_M[[#This Row],[ROA]]-VLOOKUP(Main_M[[#This Row],[Industry]], Mean_ROA_M, 2, FALSE))/(VLOOKUP(Main_M[[#This Row],[Industry]], Mean_ROA_M, 3, FALSE))</f>
        <v>-1.6798754145667698</v>
      </c>
      <c r="S65" s="1">
        <f>(Main_M[[#This Row],[A/E]]-VLOOKUP(Main_M[[#This Row],[Industry]], Mean_AE_M, 2, FALSE))/(VLOOKUP(Main_M[[#This Row],[Industry]], Mean_AE_M, 3, FALSE))</f>
        <v>2.1650171874473907</v>
      </c>
      <c r="T65" s="1">
        <f>(Main_M[[#This Row],[P/E]]-VLOOKUP(Main_M[[#This Row],[Industry]], Mean_PE_M, 2, FALSE))/(VLOOKUP(Main_M[[#This Row],[Industry]], Mean_PE_M, 3, FALSE))</f>
        <v>-0.41017113202452199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s="67" t="s">
        <v>105</v>
      </c>
      <c r="B66" s="67" t="s">
        <v>202</v>
      </c>
      <c r="C66" s="2">
        <v>5388</v>
      </c>
      <c r="D66">
        <f>RTD("tos.rtd", , "LAST", Main_M[[#This Row],[Symbol]])</f>
        <v>94.64</v>
      </c>
      <c r="E66">
        <v>-0.98</v>
      </c>
      <c r="F66">
        <v>13.46</v>
      </c>
      <c r="G66">
        <v>-2.27</v>
      </c>
      <c r="H66" s="1">
        <f>IF(ISNUMBER(Main_M[[#This Row],[Free CF]]),IF(Main_M[[#This Row],[Free CF]]&lt;&gt;0,Main_M[[#This Row],[Current Price]]/Main_M[[#This Row],[Free CF]],""),"")</f>
        <v>-96.571428571428569</v>
      </c>
      <c r="I66" s="1">
        <f>IF(ISNUMBER(Main_M[[#This Row],[BVPS]]),IF(Main_M[[#This Row],[BVPS]]&lt;&gt;0,Main_M[[#This Row],[Current Price]]/Main_M[[#This Row],[BVPS]],""),"")</f>
        <v>7.0312035661218424</v>
      </c>
      <c r="J66">
        <v>-20.36</v>
      </c>
      <c r="K66">
        <v>-6.68</v>
      </c>
      <c r="L66">
        <v>1.26</v>
      </c>
      <c r="M66" s="1">
        <f>IF(ISNUMBER(Main_M[[#This Row],[EPS]]),IF(Main_M[[#This Row],[EPS]]&lt;&gt;0,Main_M[[#This Row],[Current Price]]/Main_M[[#This Row],[EPS]],""),"")</f>
        <v>-41.691629955947135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-2.5438415752540289</v>
      </c>
      <c r="P66" s="1">
        <f>(Main_M[[#This Row],[P/B]]-VLOOKUP(Main_M[[#This Row],[Industry]], Mean_PB_M, 2, FALSE))/(VLOOKUP(Main_M[[#This Row],[Industry]], Mean_PB_M, 3, FALSE))</f>
        <v>1.1610364924783201</v>
      </c>
      <c r="Q66" s="1">
        <f>(Main_M[[#This Row],[ROE]]-VLOOKUP(Main_M[[#This Row],[Industry]], Mean_ROE_M, 2, FALSE))/(VLOOKUP(Main_M[[#This Row],[Industry]], Mean_ROE_M, 3, FALSE))</f>
        <v>-0.21428573394303044</v>
      </c>
      <c r="R66" s="1">
        <f>(Main_M[[#This Row],[ROA]]-VLOOKUP(Main_M[[#This Row],[Industry]], Mean_ROA_M, 2, FALSE))/(VLOOKUP(Main_M[[#This Row],[Industry]], Mean_ROA_M, 3, FALSE))</f>
        <v>-1.3626914806779229</v>
      </c>
      <c r="S66" s="1">
        <f>(Main_M[[#This Row],[A/E]]-VLOOKUP(Main_M[[#This Row],[Industry]], Mean_AE_M, 2, FALSE))/(VLOOKUP(Main_M[[#This Row],[Industry]], Mean_AE_M, 3, FALSE))</f>
        <v>-1.2018829749864579</v>
      </c>
      <c r="T66" s="1">
        <f>(Main_M[[#This Row],[P/E]]-VLOOKUP(Main_M[[#This Row],[Industry]], Mean_PE_M, 2, FALSE))/(VLOOKUP(Main_M[[#This Row],[Industry]], Mean_PE_M, 3, FALSE))</f>
        <v>-1.2910626457362175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s="67" t="s">
        <v>105</v>
      </c>
      <c r="B67" s="67" t="s">
        <v>210</v>
      </c>
      <c r="C67" s="2">
        <v>3209</v>
      </c>
      <c r="D67">
        <f>RTD("tos.rtd", , "LAST", Main_M[[#This Row],[Symbol]])</f>
        <v>62.86</v>
      </c>
      <c r="E67">
        <v>-1.66</v>
      </c>
      <c r="F67">
        <v>7.04</v>
      </c>
      <c r="G67">
        <v>-1.7</v>
      </c>
      <c r="H67" s="1">
        <f>IF(ISNUMBER(Main_M[[#This Row],[Free CF]]),IF(Main_M[[#This Row],[Free CF]]&lt;&gt;0,Main_M[[#This Row],[Current Price]]/Main_M[[#This Row],[Free CF]],""),"")</f>
        <v>-37.867469879518076</v>
      </c>
      <c r="I67" s="1">
        <f>IF(ISNUMBER(Main_M[[#This Row],[BVPS]]),IF(Main_M[[#This Row],[BVPS]]&lt;&gt;0,Main_M[[#This Row],[Current Price]]/Main_M[[#This Row],[BVPS]],""),"")</f>
        <v>8.9289772727272734</v>
      </c>
      <c r="J67">
        <v>-27.62</v>
      </c>
      <c r="K67">
        <v>-13.36</v>
      </c>
      <c r="L67">
        <v>1.33</v>
      </c>
      <c r="M67" s="1">
        <f>IF(ISNUMBER(Main_M[[#This Row],[EPS]]),IF(Main_M[[#This Row],[EPS]]&lt;&gt;0,Main_M[[#This Row],[Current Price]]/Main_M[[#This Row],[EPS]],""),"")</f>
        <v>-36.976470588235294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-1.0704214579130431</v>
      </c>
      <c r="P67" s="1">
        <f>(Main_M[[#This Row],[P/B]]-VLOOKUP(Main_M[[#This Row],[Industry]], Mean_PB_M, 2, FALSE))/(VLOOKUP(Main_M[[#This Row],[Industry]], Mean_PB_M, 3, FALSE))</f>
        <v>1.8424809733585528</v>
      </c>
      <c r="Q67" s="1">
        <f>(Main_M[[#This Row],[ROE]]-VLOOKUP(Main_M[[#This Row],[Industry]], Mean_ROE_M, 2, FALSE))/(VLOOKUP(Main_M[[#This Row],[Industry]], Mean_ROE_M, 3, FALSE))</f>
        <v>-0.4461852441428773</v>
      </c>
      <c r="R67" s="1">
        <f>(Main_M[[#This Row],[ROA]]-VLOOKUP(Main_M[[#This Row],[Industry]], Mean_ROA_M, 2, FALSE))/(VLOOKUP(Main_M[[#This Row],[Industry]], Mean_ROA_M, 3, FALSE))</f>
        <v>-2.4437061125031758</v>
      </c>
      <c r="S67" s="1">
        <f>(Main_M[[#This Row],[A/E]]-VLOOKUP(Main_M[[#This Row],[Industry]], Mean_AE_M, 2, FALSE))/(VLOOKUP(Main_M[[#This Row],[Industry]], Mean_AE_M, 3, FALSE))</f>
        <v>-1.0942651615753303</v>
      </c>
      <c r="T67" s="1">
        <f>(Main_M[[#This Row],[P/E]]-VLOOKUP(Main_M[[#This Row],[Industry]], Mean_PE_M, 2, FALSE))/(VLOOKUP(Main_M[[#This Row],[Industry]], Mean_PE_M, 3, FALSE))</f>
        <v>-1.1548789905953869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s="67" t="s">
        <v>129</v>
      </c>
      <c r="B68" s="67" t="s">
        <v>561</v>
      </c>
      <c r="C68" s="2">
        <v>3030</v>
      </c>
      <c r="D68">
        <f>RTD("tos.rtd", , "LAST", Main_M[[#This Row],[Symbol]])</f>
        <v>38</v>
      </c>
      <c r="H68" s="1" t="str">
        <f>IF(ISNUMBER(Main_M[[#This Row],[Free CF]]),IF(Main_M[[#This Row],[Free CF]]&lt;&gt;0,Main_M[[#This Row],[Current Price]]/Main_M[[#This Row],[Free CF]],""),"")</f>
        <v/>
      </c>
      <c r="I68" s="1" t="str">
        <f>IF(ISNUMBER(Main_M[[#This Row],[BVPS]]),IF(Main_M[[#This Row],[BVPS]]&lt;&gt;0,Main_M[[#This Row],[Current Price]]/Main_M[[#This Row],[BVPS]],""),"")</f>
        <v/>
      </c>
      <c r="J68">
        <v>-2.83</v>
      </c>
      <c r="K68">
        <v>-2.36</v>
      </c>
      <c r="L68">
        <v>-2.31</v>
      </c>
      <c r="M68" s="1" t="str">
        <f>IF(ISNUMBER(Main_M[[#This Row],[EPS]]),IF(Main_M[[#This Row],[EPS]]&lt;&gt;0,Main_M[[#This Row],[Current Price]]/Main_M[[#This Row],[EPS]],""),"")</f>
        <v/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 t="e">
        <f>(Main_M[[#This Row],[P/FCF]]-VLOOKUP(Main_M[[#This Row],[Industry]], Mean_PFCF_M, 2, FALSE))/(VLOOKUP(Main_M[[#This Row],[Industry]], Mean_PFCF_M, 3, FALSE))</f>
        <v>#VALUE!</v>
      </c>
      <c r="P68" s="1" t="e">
        <f>(Main_M[[#This Row],[P/B]]-VLOOKUP(Main_M[[#This Row],[Industry]], Mean_PB_M, 2, FALSE))/(VLOOKUP(Main_M[[#This Row],[Industry]], Mean_PB_M, 3, FALSE))</f>
        <v>#VALUE!</v>
      </c>
      <c r="Q68" s="1">
        <f>(Main_M[[#This Row],[ROE]]-VLOOKUP(Main_M[[#This Row],[Industry]], Mean_ROE_M, 2, FALSE))/(VLOOKUP(Main_M[[#This Row],[Industry]], Mean_ROE_M, 3, FALSE))</f>
        <v>-0.20950931290320321</v>
      </c>
      <c r="R68" s="1">
        <f>(Main_M[[#This Row],[ROA]]-VLOOKUP(Main_M[[#This Row],[Industry]], Mean_ROA_M, 2, FALSE))/(VLOOKUP(Main_M[[#This Row],[Industry]], Mean_ROA_M, 3, FALSE))</f>
        <v>-1.613420243268205</v>
      </c>
      <c r="S68" s="1">
        <f>(Main_M[[#This Row],[A/E]]-VLOOKUP(Main_M[[#This Row],[Industry]], Mean_AE_M, 2, FALSE))/(VLOOKUP(Main_M[[#This Row],[Industry]], Mean_AE_M, 3, FALSE))</f>
        <v>-4.6993742598707726</v>
      </c>
      <c r="T68" s="1" t="e">
        <f>(Main_M[[#This Row],[P/E]]-VLOOKUP(Main_M[[#This Row],[Industry]], Mean_PE_M, 2, FALSE))/(VLOOKUP(Main_M[[#This Row],[Industry]], Mean_PE_M, 3, FALSE))</f>
        <v>#VALUE!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9" spans="1:26" x14ac:dyDescent="0.25">
      <c r="A69" s="67" t="s">
        <v>129</v>
      </c>
      <c r="B69" s="67" t="s">
        <v>222</v>
      </c>
      <c r="C69" s="2">
        <v>8410</v>
      </c>
      <c r="D69">
        <f>RTD("tos.rtd", , "LAST", Main_M[[#This Row],[Symbol]])</f>
        <v>550.03</v>
      </c>
      <c r="E69">
        <v>21.14</v>
      </c>
      <c r="F69">
        <v>81.09</v>
      </c>
      <c r="G69">
        <v>20.53</v>
      </c>
      <c r="H69" s="1">
        <f>IF(ISNUMBER(Main_M[[#This Row],[Free CF]]),IF(Main_M[[#This Row],[Free CF]]&lt;&gt;0,Main_M[[#This Row],[Current Price]]/Main_M[[#This Row],[Free CF]],""),"")</f>
        <v>26.01844843897824</v>
      </c>
      <c r="I69" s="1">
        <f>IF(ISNUMBER(Main_M[[#This Row],[BVPS]]),IF(Main_M[[#This Row],[BVPS]]&lt;&gt;0,Main_M[[#This Row],[Current Price]]/Main_M[[#This Row],[BVPS]],""),"")</f>
        <v>6.7829572080404485</v>
      </c>
      <c r="J69">
        <v>26.11</v>
      </c>
      <c r="K69">
        <v>14.09</v>
      </c>
      <c r="L69">
        <v>1.46</v>
      </c>
      <c r="M69" s="1">
        <f>IF(ISNUMBER(Main_M[[#This Row],[EPS]]),IF(Main_M[[#This Row],[EPS]]&lt;&gt;0,Main_M[[#This Row],[Current Price]]/Main_M[[#This Row],[EPS]],""),"")</f>
        <v>26.791524598149046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0.78658754545857434</v>
      </c>
      <c r="P69" s="1">
        <f>(Main_M[[#This Row],[P/B]]-VLOOKUP(Main_M[[#This Row],[Industry]], Mean_PB_M, 2, FALSE))/(VLOOKUP(Main_M[[#This Row],[Industry]], Mean_PB_M, 3, FALSE))</f>
        <v>1.2509496338728845</v>
      </c>
      <c r="Q69" s="1">
        <f>(Main_M[[#This Row],[ROE]]-VLOOKUP(Main_M[[#This Row],[Industry]], Mean_ROE_M, 2, FALSE))/(VLOOKUP(Main_M[[#This Row],[Industry]], Mean_ROE_M, 3, FALSE))</f>
        <v>1.1821967732678835</v>
      </c>
      <c r="R69" s="1">
        <f>(Main_M[[#This Row],[ROA]]-VLOOKUP(Main_M[[#This Row],[Industry]], Mean_ROA_M, 2, FALSE))/(VLOOKUP(Main_M[[#This Row],[Industry]], Mean_ROA_M, 3, FALSE))</f>
        <v>2.157138280983907</v>
      </c>
      <c r="S69" s="1">
        <f>(Main_M[[#This Row],[A/E]]-VLOOKUP(Main_M[[#This Row],[Industry]], Mean_AE_M, 2, FALSE))/(VLOOKUP(Main_M[[#This Row],[Industry]], Mean_AE_M, 3, FALSE))</f>
        <v>-1.0241711321695182</v>
      </c>
      <c r="T69" s="1">
        <f>(Main_M[[#This Row],[P/E]]-VLOOKUP(Main_M[[#This Row],[Industry]], Mean_PE_M, 2, FALSE))/(VLOOKUP(Main_M[[#This Row],[Industry]], Mean_PE_M, 3, FALSE))</f>
        <v>0.23343117861572205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s="67" t="s">
        <v>129</v>
      </c>
      <c r="B70" s="67" t="s">
        <v>220</v>
      </c>
      <c r="C70" s="2">
        <v>3087</v>
      </c>
      <c r="D70">
        <f>RTD("tos.rtd", , "LAST", Main_M[[#This Row],[Symbol]])</f>
        <v>94.22</v>
      </c>
      <c r="E70">
        <v>6.68</v>
      </c>
      <c r="F70">
        <v>36.549999999999997</v>
      </c>
      <c r="G70">
        <v>2.72</v>
      </c>
      <c r="H70" s="1">
        <f>IF(ISNUMBER(Main_M[[#This Row],[Free CF]]),IF(Main_M[[#This Row],[Free CF]]&lt;&gt;0,Main_M[[#This Row],[Current Price]]/Main_M[[#This Row],[Free CF]],""),"")</f>
        <v>14.104790419161677</v>
      </c>
      <c r="I70" s="1">
        <f>IF(ISNUMBER(Main_M[[#This Row],[BVPS]]),IF(Main_M[[#This Row],[BVPS]]&lt;&gt;0,Main_M[[#This Row],[Current Price]]/Main_M[[#This Row],[BVPS]],""),"")</f>
        <v>2.5778385772913817</v>
      </c>
      <c r="J70">
        <v>7.15</v>
      </c>
      <c r="K70">
        <v>6.36</v>
      </c>
      <c r="L70">
        <v>1.82</v>
      </c>
      <c r="M70" s="1">
        <f>IF(ISNUMBER(Main_M[[#This Row],[EPS]]),IF(Main_M[[#This Row],[EPS]]&lt;&gt;0,Main_M[[#This Row],[Current Price]]/Main_M[[#This Row],[EPS]],""),"")</f>
        <v>34.639705882352935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-1.0708020686430904</v>
      </c>
      <c r="P70" s="1">
        <f>(Main_M[[#This Row],[P/B]]-VLOOKUP(Main_M[[#This Row],[Industry]], Mean_PB_M, 2, FALSE))/(VLOOKUP(Main_M[[#This Row],[Industry]], Mean_PB_M, 3, FALSE))</f>
        <v>-0.57146519300646725</v>
      </c>
      <c r="Q70" s="1">
        <f>(Main_M[[#This Row],[ROE]]-VLOOKUP(Main_M[[#This Row],[Industry]], Mean_ROE_M, 2, FALSE))/(VLOOKUP(Main_M[[#This Row],[Industry]], Mean_ROE_M, 3, FALSE))</f>
        <v>0.27042250257666706</v>
      </c>
      <c r="R70" s="1">
        <f>(Main_M[[#This Row],[ROA]]-VLOOKUP(Main_M[[#This Row],[Industry]], Mean_ROA_M, 2, FALSE))/(VLOOKUP(Main_M[[#This Row],[Industry]], Mean_ROA_M, 3, FALSE))</f>
        <v>0.38531959451163805</v>
      </c>
      <c r="S70" s="1">
        <f>(Main_M[[#This Row],[A/E]]-VLOOKUP(Main_M[[#This Row],[Industry]], Mean_AE_M, 2, FALSE))/(VLOOKUP(Main_M[[#This Row],[Industry]], Mean_AE_M, 3, FALSE))</f>
        <v>-0.67322335339698447</v>
      </c>
      <c r="T70" s="1">
        <f>(Main_M[[#This Row],[P/E]]-VLOOKUP(Main_M[[#This Row],[Industry]], Mean_PE_M, 2, FALSE))/(VLOOKUP(Main_M[[#This Row],[Industry]], Mean_PE_M, 3, FALSE))</f>
        <v>0.41303858858164655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s="67" t="s">
        <v>129</v>
      </c>
      <c r="B71" s="67" t="s">
        <v>219</v>
      </c>
      <c r="C71" s="2">
        <v>2041</v>
      </c>
      <c r="D71">
        <f>RTD("tos.rtd", , "LAST", Main_M[[#This Row],[Symbol]])</f>
        <v>116.56</v>
      </c>
      <c r="E71">
        <v>5.15</v>
      </c>
      <c r="F71">
        <v>54.83</v>
      </c>
      <c r="G71">
        <v>4.42</v>
      </c>
      <c r="H71" s="1">
        <f>IF(ISNUMBER(Main_M[[#This Row],[Free CF]]),IF(Main_M[[#This Row],[Free CF]]&lt;&gt;0,Main_M[[#This Row],[Current Price]]/Main_M[[#This Row],[Free CF]],""),"")</f>
        <v>22.633009708737863</v>
      </c>
      <c r="I71" s="1">
        <f>IF(ISNUMBER(Main_M[[#This Row],[BVPS]]),IF(Main_M[[#This Row],[BVPS]]&lt;&gt;0,Main_M[[#This Row],[Current Price]]/Main_M[[#This Row],[BVPS]],""),"")</f>
        <v>2.1258435163231808</v>
      </c>
      <c r="J71">
        <v>9.18</v>
      </c>
      <c r="K71">
        <v>6.52</v>
      </c>
      <c r="L71">
        <v>1.41</v>
      </c>
      <c r="M71" s="1">
        <f>IF(ISNUMBER(Main_M[[#This Row],[EPS]]),IF(Main_M[[#This Row],[EPS]]&lt;&gt;0,Main_M[[#This Row],[Current Price]]/Main_M[[#This Row],[EPS]],""),"")</f>
        <v>26.371040723981903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0.25878334575209133</v>
      </c>
      <c r="P71" s="1">
        <f>(Main_M[[#This Row],[P/B]]-VLOOKUP(Main_M[[#This Row],[Industry]], Mean_PB_M, 2, FALSE))/(VLOOKUP(Main_M[[#This Row],[Industry]], Mean_PB_M, 3, FALSE))</f>
        <v>-0.76735086785078299</v>
      </c>
      <c r="Q71" s="1">
        <f>(Main_M[[#This Row],[ROE]]-VLOOKUP(Main_M[[#This Row],[Industry]], Mean_ROE_M, 2, FALSE))/(VLOOKUP(Main_M[[#This Row],[Industry]], Mean_ROE_M, 3, FALSE))</f>
        <v>0.36804390392177089</v>
      </c>
      <c r="R71" s="1">
        <f>(Main_M[[#This Row],[ROA]]-VLOOKUP(Main_M[[#This Row],[Industry]], Mean_ROA_M, 2, FALSE))/(VLOOKUP(Main_M[[#This Row],[Industry]], Mean_ROA_M, 3, FALSE))</f>
        <v>0.42199371997548824</v>
      </c>
      <c r="S71" s="1">
        <f>(Main_M[[#This Row],[A/E]]-VLOOKUP(Main_M[[#This Row],[Industry]], Mean_AE_M, 2, FALSE))/(VLOOKUP(Main_M[[#This Row],[Industry]], Mean_AE_M, 3, FALSE))</f>
        <v>-1.0729138792212589</v>
      </c>
      <c r="T71" s="1">
        <f>(Main_M[[#This Row],[P/E]]-VLOOKUP(Main_M[[#This Row],[Industry]], Mean_PE_M, 2, FALSE))/(VLOOKUP(Main_M[[#This Row],[Industry]], Mean_PE_M, 3, FALSE))</f>
        <v>0.2238083097195101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s="67" t="s">
        <v>129</v>
      </c>
      <c r="B72" s="67" t="s">
        <v>218</v>
      </c>
      <c r="C72" s="2">
        <v>8749</v>
      </c>
      <c r="D72">
        <f>RTD("tos.rtd", , "LAST", Main_M[[#This Row],[Symbol]])</f>
        <v>70.900000000000006</v>
      </c>
      <c r="E72">
        <v>4.05</v>
      </c>
      <c r="F72">
        <v>27.08</v>
      </c>
      <c r="G72">
        <v>3.21</v>
      </c>
      <c r="H72" s="1">
        <f>IF(ISNUMBER(Main_M[[#This Row],[Free CF]]),IF(Main_M[[#This Row],[Free CF]]&lt;&gt;0,Main_M[[#This Row],[Current Price]]/Main_M[[#This Row],[Free CF]],""),"")</f>
        <v>17.506172839506174</v>
      </c>
      <c r="I72" s="1">
        <f>IF(ISNUMBER(Main_M[[#This Row],[BVPS]]),IF(Main_M[[#This Row],[BVPS]]&lt;&gt;0,Main_M[[#This Row],[Current Price]]/Main_M[[#This Row],[BVPS]],""),"")</f>
        <v>2.6181683899556871</v>
      </c>
      <c r="J72">
        <v>8.4700000000000006</v>
      </c>
      <c r="K72">
        <v>4.6100000000000003</v>
      </c>
      <c r="L72">
        <v>3.17</v>
      </c>
      <c r="M72" s="1">
        <f>IF(ISNUMBER(Main_M[[#This Row],[EPS]]),IF(Main_M[[#This Row],[EPS]]&lt;&gt;0,Main_M[[#This Row],[Current Price]]/Main_M[[#This Row],[EPS]],""),"")</f>
        <v>22.087227414330219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-0.54051218029583981</v>
      </c>
      <c r="P72" s="1">
        <f>(Main_M[[#This Row],[P/B]]-VLOOKUP(Main_M[[#This Row],[Industry]], Mean_PB_M, 2, FALSE))/(VLOOKUP(Main_M[[#This Row],[Industry]], Mean_PB_M, 3, FALSE))</f>
        <v>-0.55398705385784486</v>
      </c>
      <c r="Q72" s="1">
        <f>(Main_M[[#This Row],[ROE]]-VLOOKUP(Main_M[[#This Row],[Industry]], Mean_ROE_M, 2, FALSE))/(VLOOKUP(Main_M[[#This Row],[Industry]], Mean_ROE_M, 3, FALSE))</f>
        <v>0.33390045813111885</v>
      </c>
      <c r="R72" s="1">
        <f>(Main_M[[#This Row],[ROA]]-VLOOKUP(Main_M[[#This Row],[Industry]], Mean_ROA_M, 2, FALSE))/(VLOOKUP(Main_M[[#This Row],[Industry]], Mean_ROA_M, 3, FALSE))</f>
        <v>-1.580365274922493E-2</v>
      </c>
      <c r="S72" s="1">
        <f>(Main_M[[#This Row],[A/E]]-VLOOKUP(Main_M[[#This Row],[Industry]], Mean_AE_M, 2, FALSE))/(VLOOKUP(Main_M[[#This Row],[Industry]], Mean_AE_M, 3, FALSE))</f>
        <v>0.64283081700001643</v>
      </c>
      <c r="T72" s="1">
        <f>(Main_M[[#This Row],[P/E]]-VLOOKUP(Main_M[[#This Row],[Industry]], Mean_PE_M, 2, FALSE))/(VLOOKUP(Main_M[[#This Row],[Industry]], Mean_PE_M, 3, FALSE))</f>
        <v>0.12577226984455434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s="67" t="s">
        <v>129</v>
      </c>
      <c r="B73" s="67" t="s">
        <v>226</v>
      </c>
      <c r="C73" s="2">
        <v>5351</v>
      </c>
      <c r="D73">
        <f>RTD("tos.rtd", , "LAST", Main_M[[#This Row],[Symbol]])</f>
        <v>31.67</v>
      </c>
      <c r="E73">
        <v>2.04</v>
      </c>
      <c r="F73">
        <v>8.25</v>
      </c>
      <c r="G73">
        <v>1.25</v>
      </c>
      <c r="H73" s="1">
        <f>IF(ISNUMBER(Main_M[[#This Row],[Free CF]]),IF(Main_M[[#This Row],[Free CF]]&lt;&gt;0,Main_M[[#This Row],[Current Price]]/Main_M[[#This Row],[Free CF]],""),"")</f>
        <v>15.524509803921569</v>
      </c>
      <c r="I73" s="1">
        <f>IF(ISNUMBER(Main_M[[#This Row],[BVPS]]),IF(Main_M[[#This Row],[BVPS]]&lt;&gt;0,Main_M[[#This Row],[Current Price]]/Main_M[[#This Row],[BVPS]],""),"")</f>
        <v>3.8387878787878789</v>
      </c>
      <c r="J73">
        <v>15.38</v>
      </c>
      <c r="K73">
        <v>6.33</v>
      </c>
      <c r="L73">
        <v>2.4500000000000002</v>
      </c>
      <c r="M73" s="1">
        <f>IF(ISNUMBER(Main_M[[#This Row],[EPS]]),IF(Main_M[[#This Row],[EPS]]&lt;&gt;0,Main_M[[#This Row],[Current Price]]/Main_M[[#This Row],[EPS]],""),"")</f>
        <v>25.336000000000002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73" s="1">
        <f>(Main_M[[#This Row],[P/FCF]]-VLOOKUP(Main_M[[#This Row],[Industry]], Mean_PFCF_M, 2, FALSE))/(VLOOKUP(Main_M[[#This Row],[Industry]], Mean_PFCF_M, 3, FALSE))</f>
        <v>-0.84946181900644424</v>
      </c>
      <c r="P73" s="1">
        <f>(Main_M[[#This Row],[P/B]]-VLOOKUP(Main_M[[#This Row],[Industry]], Mean_PB_M, 2, FALSE))/(VLOOKUP(Main_M[[#This Row],[Industry]], Mean_PB_M, 3, FALSE))</f>
        <v>-2.4994830390077622E-2</v>
      </c>
      <c r="Q73" s="1">
        <f>(Main_M[[#This Row],[ROE]]-VLOOKUP(Main_M[[#This Row],[Industry]], Mean_ROE_M, 2, FALSE))/(VLOOKUP(Main_M[[#This Row],[Industry]], Mean_ROE_M, 3, FALSE))</f>
        <v>0.66619793758662027</v>
      </c>
      <c r="R73" s="1">
        <f>(Main_M[[#This Row],[ROA]]-VLOOKUP(Main_M[[#This Row],[Industry]], Mean_ROA_M, 2, FALSE))/(VLOOKUP(Main_M[[#This Row],[Industry]], Mean_ROA_M, 3, FALSE))</f>
        <v>0.37844319598716608</v>
      </c>
      <c r="S73" s="1">
        <f>(Main_M[[#This Row],[A/E]]-VLOOKUP(Main_M[[#This Row],[Industry]], Mean_AE_M, 2, FALSE))/(VLOOKUP(Main_M[[#This Row],[Industry]], Mean_AE_M, 3, FALSE))</f>
        <v>-5.9064740545050551E-2</v>
      </c>
      <c r="T73" s="1">
        <f>(Main_M[[#This Row],[P/E]]-VLOOKUP(Main_M[[#This Row],[Industry]], Mean_PE_M, 2, FALSE))/(VLOOKUP(Main_M[[#This Row],[Industry]], Mean_PE_M, 3, FALSE))</f>
        <v>0.20012116783126024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s="67" t="s">
        <v>129</v>
      </c>
      <c r="B74" s="67" t="s">
        <v>223</v>
      </c>
      <c r="C74" s="2">
        <v>5714</v>
      </c>
      <c r="D74">
        <f>RTD("tos.rtd", , "LAST", Main_M[[#This Row],[Symbol]])</f>
        <v>108.2</v>
      </c>
      <c r="E74">
        <v>1.78</v>
      </c>
      <c r="F74">
        <v>6.27</v>
      </c>
      <c r="G74">
        <v>1.83</v>
      </c>
      <c r="H74" s="1">
        <f>IF(ISNUMBER(Main_M[[#This Row],[Free CF]]),IF(Main_M[[#This Row],[Free CF]]&lt;&gt;0,Main_M[[#This Row],[Current Price]]/Main_M[[#This Row],[Free CF]],""),"")</f>
        <v>60.786516853932582</v>
      </c>
      <c r="I74" s="1">
        <f>IF(ISNUMBER(Main_M[[#This Row],[BVPS]]),IF(Main_M[[#This Row],[BVPS]]&lt;&gt;0,Main_M[[#This Row],[Current Price]]/Main_M[[#This Row],[BVPS]],""),"")</f>
        <v>17.256778309409889</v>
      </c>
      <c r="J74">
        <v>33.409999999999997</v>
      </c>
      <c r="K74">
        <v>15.09</v>
      </c>
      <c r="L74">
        <v>1.7</v>
      </c>
      <c r="M74" s="1">
        <f>IF(ISNUMBER(Main_M[[#This Row],[EPS]]),IF(Main_M[[#This Row],[EPS]]&lt;&gt;0,Main_M[[#This Row],[Current Price]]/Main_M[[#This Row],[EPS]],""),"")</f>
        <v>59.125683060109289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6.2070762877824572</v>
      </c>
      <c r="P74" s="1">
        <f>(Main_M[[#This Row],[P/B]]-VLOOKUP(Main_M[[#This Row],[Industry]], Mean_PB_M, 2, FALSE))/(VLOOKUP(Main_M[[#This Row],[Industry]], Mean_PB_M, 3, FALSE))</f>
        <v>5.7900955047272742</v>
      </c>
      <c r="Q74" s="1">
        <f>(Main_M[[#This Row],[ROE]]-VLOOKUP(Main_M[[#This Row],[Industry]], Mean_ROE_M, 2, FALSE))/(VLOOKUP(Main_M[[#This Row],[Industry]], Mean_ROE_M, 3, FALSE))</f>
        <v>1.533249103228109</v>
      </c>
      <c r="R74" s="1">
        <f>(Main_M[[#This Row],[ROA]]-VLOOKUP(Main_M[[#This Row],[Industry]], Mean_ROA_M, 2, FALSE))/(VLOOKUP(Main_M[[#This Row],[Industry]], Mean_ROA_M, 3, FALSE))</f>
        <v>2.3863515651329719</v>
      </c>
      <c r="S74" s="1">
        <f>(Main_M[[#This Row],[A/E]]-VLOOKUP(Main_M[[#This Row],[Industry]], Mean_AE_M, 2, FALSE))/(VLOOKUP(Main_M[[#This Row],[Industry]], Mean_AE_M, 3, FALSE))</f>
        <v>-0.79020594632116248</v>
      </c>
      <c r="T74" s="1">
        <f>(Main_M[[#This Row],[P/E]]-VLOOKUP(Main_M[[#This Row],[Industry]], Mean_PE_M, 2, FALSE))/(VLOOKUP(Main_M[[#This Row],[Industry]], Mean_PE_M, 3, FALSE))</f>
        <v>0.97340573379950468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s="67" t="s">
        <v>129</v>
      </c>
      <c r="B75" s="67" t="s">
        <v>232</v>
      </c>
      <c r="C75" s="2">
        <v>2772</v>
      </c>
      <c r="D75">
        <f>RTD("tos.rtd", , "LAST", Main_M[[#This Row],[Symbol]])</f>
        <v>22.08</v>
      </c>
      <c r="E75">
        <v>1.49</v>
      </c>
      <c r="F75">
        <v>2.4</v>
      </c>
      <c r="G75">
        <v>1.3</v>
      </c>
      <c r="H75" s="1">
        <f>IF(ISNUMBER(Main_M[[#This Row],[Free CF]]),IF(Main_M[[#This Row],[Free CF]]&lt;&gt;0,Main_M[[#This Row],[Current Price]]/Main_M[[#This Row],[Free CF]],""),"")</f>
        <v>14.818791946308723</v>
      </c>
      <c r="I75" s="1">
        <f>IF(ISNUMBER(Main_M[[#This Row],[BVPS]]),IF(Main_M[[#This Row],[BVPS]]&lt;&gt;0,Main_M[[#This Row],[Current Price]]/Main_M[[#This Row],[BVPS]],""),"")</f>
        <v>9.1999999999999993</v>
      </c>
      <c r="J75">
        <v>20.93</v>
      </c>
      <c r="K75">
        <v>7.69</v>
      </c>
      <c r="L75">
        <v>8.89</v>
      </c>
      <c r="M75" s="1">
        <f>IF(ISNUMBER(Main_M[[#This Row],[EPS]]),IF(Main_M[[#This Row],[EPS]]&lt;&gt;0,Main_M[[#This Row],[Current Price]]/Main_M[[#This Row],[EPS]],""),"")</f>
        <v>16.984615384615381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-0.9594862142875471</v>
      </c>
      <c r="P75" s="1">
        <f>(Main_M[[#This Row],[P/B]]-VLOOKUP(Main_M[[#This Row],[Industry]], Mean_PB_M, 2, FALSE))/(VLOOKUP(Main_M[[#This Row],[Industry]], Mean_PB_M, 3, FALSE))</f>
        <v>2.2984479348861675</v>
      </c>
      <c r="Q75" s="1">
        <f>(Main_M[[#This Row],[ROE]]-VLOOKUP(Main_M[[#This Row],[Industry]], Mean_ROE_M, 2, FALSE))/(VLOOKUP(Main_M[[#This Row],[Industry]], Mean_ROE_M, 3, FALSE))</f>
        <v>0.93309388707692875</v>
      </c>
      <c r="R75" s="1">
        <f>(Main_M[[#This Row],[ROA]]-VLOOKUP(Main_M[[#This Row],[Industry]], Mean_ROA_M, 2, FALSE))/(VLOOKUP(Main_M[[#This Row],[Industry]], Mean_ROA_M, 3, FALSE))</f>
        <v>0.69017326242989396</v>
      </c>
      <c r="S75" s="1">
        <f>(Main_M[[#This Row],[A/E]]-VLOOKUP(Main_M[[#This Row],[Industry]], Mean_AE_M, 2, FALSE))/(VLOOKUP(Main_M[[#This Row],[Industry]], Mean_AE_M, 3, FALSE))</f>
        <v>6.2190010797191624</v>
      </c>
      <c r="T75" s="1">
        <f>(Main_M[[#This Row],[P/E]]-VLOOKUP(Main_M[[#This Row],[Industry]], Mean_PE_M, 2, FALSE))/(VLOOKUP(Main_M[[#This Row],[Industry]], Mean_PE_M, 3, FALSE))</f>
        <v>8.9978354207938798E-3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s="67" t="s">
        <v>129</v>
      </c>
      <c r="B76" s="67" t="s">
        <v>234</v>
      </c>
      <c r="C76" s="2">
        <v>3026</v>
      </c>
      <c r="D76">
        <f>RTD("tos.rtd", , "LAST", Main_M[[#This Row],[Symbol]])</f>
        <v>23.36</v>
      </c>
      <c r="E76">
        <v>1.37</v>
      </c>
      <c r="F76">
        <v>13.67</v>
      </c>
      <c r="G76">
        <v>-1.53</v>
      </c>
      <c r="H76" s="1">
        <f>IF(ISNUMBER(Main_M[[#This Row],[Free CF]]),IF(Main_M[[#This Row],[Free CF]]&lt;&gt;0,Main_M[[#This Row],[Current Price]]/Main_M[[#This Row],[Free CF]],""),"")</f>
        <v>17.051094890510946</v>
      </c>
      <c r="I76" s="1">
        <f>IF(ISNUMBER(Main_M[[#This Row],[BVPS]]),IF(Main_M[[#This Row],[BVPS]]&lt;&gt;0,Main_M[[#This Row],[Current Price]]/Main_M[[#This Row],[BVPS]],""),"")</f>
        <v>1.7088514996342354</v>
      </c>
      <c r="J76">
        <v>-0.35</v>
      </c>
      <c r="K76">
        <v>3.97</v>
      </c>
      <c r="L76">
        <v>4.57</v>
      </c>
      <c r="M76" s="1">
        <f>IF(ISNUMBER(Main_M[[#This Row],[EPS]]),IF(Main_M[[#This Row],[EPS]]&lt;&gt;0,Main_M[[#This Row],[Current Price]]/Main_M[[#This Row],[EPS]],""),"")</f>
        <v>-15.267973856209149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-0.6114607550043355</v>
      </c>
      <c r="P76" s="1">
        <f>(Main_M[[#This Row],[P/B]]-VLOOKUP(Main_M[[#This Row],[Industry]], Mean_PB_M, 2, FALSE))/(VLOOKUP(Main_M[[#This Row],[Industry]], Mean_PB_M, 3, FALSE))</f>
        <v>-0.94806691908115881</v>
      </c>
      <c r="Q76" s="1">
        <f>(Main_M[[#This Row],[ROE]]-VLOOKUP(Main_M[[#This Row],[Industry]], Mean_ROE_M, 2, FALSE))/(VLOOKUP(Main_M[[#This Row],[Industry]], Mean_ROE_M, 3, FALSE))</f>
        <v>-9.0247699437263476E-2</v>
      </c>
      <c r="R76" s="1">
        <f>(Main_M[[#This Row],[ROA]]-VLOOKUP(Main_M[[#This Row],[Industry]], Mean_ROA_M, 2, FALSE))/(VLOOKUP(Main_M[[#This Row],[Industry]], Mean_ROA_M, 3, FALSE))</f>
        <v>-0.1625001546046263</v>
      </c>
      <c r="S76" s="1">
        <f>(Main_M[[#This Row],[A/E]]-VLOOKUP(Main_M[[#This Row],[Industry]], Mean_AE_M, 2, FALSE))/(VLOOKUP(Main_M[[#This Row],[Industry]], Mean_AE_M, 3, FALSE))</f>
        <v>2.0076277344487585</v>
      </c>
      <c r="T76" s="1">
        <f>(Main_M[[#This Row],[P/E]]-VLOOKUP(Main_M[[#This Row],[Industry]], Mean_PE_M, 2, FALSE))/(VLOOKUP(Main_M[[#This Row],[Industry]], Mean_PE_M, 3, FALSE))</f>
        <v>-0.72910998962378959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s="67" t="s">
        <v>129</v>
      </c>
      <c r="B77" s="67" t="s">
        <v>229</v>
      </c>
      <c r="C77" s="2">
        <v>4313</v>
      </c>
      <c r="D77">
        <f>RTD("tos.rtd", , "LAST", Main_M[[#This Row],[Symbol]])</f>
        <v>59.07</v>
      </c>
      <c r="E77">
        <v>1.05</v>
      </c>
      <c r="F77">
        <v>11.98</v>
      </c>
      <c r="G77">
        <v>-0.44</v>
      </c>
      <c r="H77" s="1">
        <f>IF(ISNUMBER(Main_M[[#This Row],[Free CF]]),IF(Main_M[[#This Row],[Free CF]]&lt;&gt;0,Main_M[[#This Row],[Current Price]]/Main_M[[#This Row],[Free CF]],""),"")</f>
        <v>56.257142857142853</v>
      </c>
      <c r="I77" s="1">
        <f>IF(ISNUMBER(Main_M[[#This Row],[BVPS]]),IF(Main_M[[#This Row],[BVPS]]&lt;&gt;0,Main_M[[#This Row],[Current Price]]/Main_M[[#This Row],[BVPS]],""),"")</f>
        <v>4.9307178631051753</v>
      </c>
      <c r="J77">
        <v>0.33</v>
      </c>
      <c r="K77">
        <v>1.65</v>
      </c>
      <c r="L77">
        <v>3.71</v>
      </c>
      <c r="M77" s="1">
        <f>IF(ISNUMBER(Main_M[[#This Row],[EPS]]),IF(Main_M[[#This Row],[EPS]]&lt;&gt;0,Main_M[[#This Row],[Current Price]]/Main_M[[#This Row],[EPS]],""),"")</f>
        <v>-134.25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5.500927747508265</v>
      </c>
      <c r="P77" s="1">
        <f>(Main_M[[#This Row],[P/B]]-VLOOKUP(Main_M[[#This Row],[Industry]], Mean_PB_M, 2, FALSE))/(VLOOKUP(Main_M[[#This Row],[Industry]], Mean_PB_M, 3, FALSE))</f>
        <v>0.4482259198600777</v>
      </c>
      <c r="Q77" s="1">
        <f>(Main_M[[#This Row],[ROE]]-VLOOKUP(Main_M[[#This Row],[Industry]], Mean_ROE_M, 2, FALSE))/(VLOOKUP(Main_M[[#This Row],[Industry]], Mean_ROE_M, 3, FALSE))</f>
        <v>-5.7546934454667117E-2</v>
      </c>
      <c r="R77" s="1">
        <f>(Main_M[[#This Row],[ROA]]-VLOOKUP(Main_M[[#This Row],[Industry]], Mean_ROA_M, 2, FALSE))/(VLOOKUP(Main_M[[#This Row],[Industry]], Mean_ROA_M, 3, FALSE))</f>
        <v>-0.69427497383045622</v>
      </c>
      <c r="S77" s="1">
        <f>(Main_M[[#This Row],[A/E]]-VLOOKUP(Main_M[[#This Row],[Industry]], Mean_AE_M, 2, FALSE))/(VLOOKUP(Main_M[[#This Row],[Industry]], Mean_AE_M, 3, FALSE))</f>
        <v>1.1692524851588169</v>
      </c>
      <c r="T77" s="1">
        <f>(Main_M[[#This Row],[P/E]]-VLOOKUP(Main_M[[#This Row],[Industry]], Mean_PE_M, 2, FALSE))/(VLOOKUP(Main_M[[#This Row],[Industry]], Mean_PE_M, 3, FALSE))</f>
        <v>-3.452040662899126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8" spans="1:26" x14ac:dyDescent="0.25">
      <c r="A78" s="67" t="s">
        <v>129</v>
      </c>
      <c r="B78" s="67" t="s">
        <v>228</v>
      </c>
      <c r="C78" s="2">
        <v>2775</v>
      </c>
      <c r="D78">
        <f>RTD("tos.rtd", , "LAST", Main_M[[#This Row],[Symbol]])</f>
        <v>23.24</v>
      </c>
      <c r="E78">
        <v>0.99</v>
      </c>
      <c r="F78">
        <v>5.43</v>
      </c>
      <c r="G78">
        <v>0.12</v>
      </c>
      <c r="H78" s="1">
        <f>IF(ISNUMBER(Main_M[[#This Row],[Free CF]]),IF(Main_M[[#This Row],[Free CF]]&lt;&gt;0,Main_M[[#This Row],[Current Price]]/Main_M[[#This Row],[Free CF]],""),"")</f>
        <v>23.474747474747474</v>
      </c>
      <c r="I78" s="1">
        <f>IF(ISNUMBER(Main_M[[#This Row],[BVPS]]),IF(Main_M[[#This Row],[BVPS]]&lt;&gt;0,Main_M[[#This Row],[Current Price]]/Main_M[[#This Row],[BVPS]],""),"")</f>
        <v>4.2799263351749541</v>
      </c>
      <c r="J78">
        <v>3.01</v>
      </c>
      <c r="K78">
        <v>1.21</v>
      </c>
      <c r="L78">
        <v>1.79</v>
      </c>
      <c r="M78" s="1">
        <f>IF(ISNUMBER(Main_M[[#This Row],[EPS]]),IF(Main_M[[#This Row],[EPS]]&lt;&gt;0,Main_M[[#This Row],[Current Price]]/Main_M[[#This Row],[EPS]],""),"")</f>
        <v>193.66666666666666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0.39001381936337448</v>
      </c>
      <c r="P78" s="1">
        <f>(Main_M[[#This Row],[P/B]]-VLOOKUP(Main_M[[#This Row],[Industry]], Mean_PB_M, 2, FALSE))/(VLOOKUP(Main_M[[#This Row],[Industry]], Mean_PB_M, 3, FALSE))</f>
        <v>0.16618580783207623</v>
      </c>
      <c r="Q78" s="1">
        <f>(Main_M[[#This Row],[ROE]]-VLOOKUP(Main_M[[#This Row],[Industry]], Mean_ROE_M, 2, FALSE))/(VLOOKUP(Main_M[[#This Row],[Industry]], Mean_ROE_M, 3, FALSE))</f>
        <v>7.1332551064977393E-2</v>
      </c>
      <c r="R78" s="1">
        <f>(Main_M[[#This Row],[ROA]]-VLOOKUP(Main_M[[#This Row],[Industry]], Mean_ROA_M, 2, FALSE))/(VLOOKUP(Main_M[[#This Row],[Industry]], Mean_ROA_M, 3, FALSE))</f>
        <v>-0.79512881885604458</v>
      </c>
      <c r="S78" s="1">
        <f>(Main_M[[#This Row],[A/E]]-VLOOKUP(Main_M[[#This Row],[Industry]], Mean_AE_M, 2, FALSE))/(VLOOKUP(Main_M[[#This Row],[Industry]], Mean_AE_M, 3, FALSE))</f>
        <v>-0.70246900162802894</v>
      </c>
      <c r="T78" s="1">
        <f>(Main_M[[#This Row],[P/E]]-VLOOKUP(Main_M[[#This Row],[Industry]], Mean_PE_M, 2, FALSE))/(VLOOKUP(Main_M[[#This Row],[Industry]], Mean_PE_M, 3, FALSE))</f>
        <v>4.052406679977687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9" spans="1:26" x14ac:dyDescent="0.25">
      <c r="A79" s="67" t="s">
        <v>129</v>
      </c>
      <c r="B79" s="67" t="s">
        <v>233</v>
      </c>
      <c r="C79" s="2">
        <v>8466</v>
      </c>
      <c r="D79">
        <f>RTD("tos.rtd", , "LAST", Main_M[[#This Row],[Symbol]])</f>
        <v>149.79499999999999</v>
      </c>
      <c r="E79">
        <v>0.98</v>
      </c>
      <c r="F79">
        <v>33.729999999999997</v>
      </c>
      <c r="G79">
        <v>5.3</v>
      </c>
      <c r="H79" s="1">
        <f>IF(ISNUMBER(Main_M[[#This Row],[Free CF]]),IF(Main_M[[#This Row],[Free CF]]&lt;&gt;0,Main_M[[#This Row],[Current Price]]/Main_M[[#This Row],[Free CF]],""),"")</f>
        <v>152.85204081632651</v>
      </c>
      <c r="I79" s="1">
        <f>IF(ISNUMBER(Main_M[[#This Row],[BVPS]]),IF(Main_M[[#This Row],[BVPS]]&lt;&gt;0,Main_M[[#This Row],[Current Price]]/Main_M[[#This Row],[BVPS]],""),"")</f>
        <v>4.4410020753038841</v>
      </c>
      <c r="J79">
        <v>17.64</v>
      </c>
      <c r="K79">
        <v>5.23</v>
      </c>
      <c r="L79">
        <v>2.4700000000000002</v>
      </c>
      <c r="M79" s="1">
        <f>IF(ISNUMBER(Main_M[[#This Row],[EPS]]),IF(Main_M[[#This Row],[EPS]]&lt;&gt;0,Main_M[[#This Row],[Current Price]]/Main_M[[#This Row],[EPS]],""),"")</f>
        <v>28.263207547169809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20.560480400956035</v>
      </c>
      <c r="P79" s="1">
        <f>(Main_M[[#This Row],[P/B]]-VLOOKUP(Main_M[[#This Row],[Industry]], Mean_PB_M, 2, FALSE))/(VLOOKUP(Main_M[[#This Row],[Industry]], Mean_PB_M, 3, FALSE))</f>
        <v>0.23599283180401048</v>
      </c>
      <c r="Q79" s="1">
        <f>(Main_M[[#This Row],[ROE]]-VLOOKUP(Main_M[[#This Row],[Industry]], Mean_ROE_M, 2, FALSE))/(VLOOKUP(Main_M[[#This Row],[Industry]], Mean_ROE_M, 3, FALSE))</f>
        <v>0.7748798917934846</v>
      </c>
      <c r="R79" s="1">
        <f>(Main_M[[#This Row],[ROA]]-VLOOKUP(Main_M[[#This Row],[Industry]], Mean_ROA_M, 2, FALSE))/(VLOOKUP(Main_M[[#This Row],[Industry]], Mean_ROA_M, 3, FALSE))</f>
        <v>0.12630858342319512</v>
      </c>
      <c r="S79" s="1">
        <f>(Main_M[[#This Row],[A/E]]-VLOOKUP(Main_M[[#This Row],[Industry]], Mean_AE_M, 2, FALSE))/(VLOOKUP(Main_M[[#This Row],[Industry]], Mean_AE_M, 3, FALSE))</f>
        <v>-3.9567641724354223E-2</v>
      </c>
      <c r="T79" s="1">
        <f>(Main_M[[#This Row],[P/E]]-VLOOKUP(Main_M[[#This Row],[Industry]], Mean_PE_M, 2, FALSE))/(VLOOKUP(Main_M[[#This Row],[Industry]], Mean_PE_M, 3, FALSE))</f>
        <v>0.26711097692729302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s="67" t="s">
        <v>129</v>
      </c>
      <c r="B80" s="67" t="s">
        <v>231</v>
      </c>
      <c r="C80" s="2">
        <v>2071</v>
      </c>
      <c r="D80">
        <f>RTD("tos.rtd", , "LAST", Main_M[[#This Row],[Symbol]])</f>
        <v>13.68</v>
      </c>
      <c r="E80">
        <v>0.87</v>
      </c>
      <c r="F80">
        <v>8.2200000000000006</v>
      </c>
      <c r="G80">
        <v>1.64</v>
      </c>
      <c r="H80" s="1">
        <f>IF(ISNUMBER(Main_M[[#This Row],[Free CF]]),IF(Main_M[[#This Row],[Free CF]]&lt;&gt;0,Main_M[[#This Row],[Current Price]]/Main_M[[#This Row],[Free CF]],""),"")</f>
        <v>15.724137931034482</v>
      </c>
      <c r="I80" s="1">
        <f>IF(ISNUMBER(Main_M[[#This Row],[BVPS]]),IF(Main_M[[#This Row],[BVPS]]&lt;&gt;0,Main_M[[#This Row],[Current Price]]/Main_M[[#This Row],[BVPS]],""),"")</f>
        <v>1.6642335766423355</v>
      </c>
      <c r="J80">
        <v>23.35</v>
      </c>
      <c r="K80">
        <v>5.22</v>
      </c>
      <c r="L80">
        <v>4.18</v>
      </c>
      <c r="M80" s="1">
        <f>IF(ISNUMBER(Main_M[[#This Row],[EPS]]),IF(Main_M[[#This Row],[EPS]]&lt;&gt;0,Main_M[[#This Row],[Current Price]]/Main_M[[#This Row],[EPS]],""),"")</f>
        <v>8.3414634146341466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-0.81833895066782458</v>
      </c>
      <c r="P80" s="1">
        <f>(Main_M[[#This Row],[P/B]]-VLOOKUP(Main_M[[#This Row],[Industry]], Mean_PB_M, 2, FALSE))/(VLOOKUP(Main_M[[#This Row],[Industry]], Mean_PB_M, 3, FALSE))</f>
        <v>-0.96740344000839729</v>
      </c>
      <c r="Q80" s="1">
        <f>(Main_M[[#This Row],[ROE]]-VLOOKUP(Main_M[[#This Row],[Industry]], Mean_ROE_M, 2, FALSE))/(VLOOKUP(Main_M[[#This Row],[Industry]], Mean_ROE_M, 3, FALSE))</f>
        <v>1.0494701389267571</v>
      </c>
      <c r="R80" s="1">
        <f>(Main_M[[#This Row],[ROA]]-VLOOKUP(Main_M[[#This Row],[Industry]], Mean_ROA_M, 2, FALSE))/(VLOOKUP(Main_M[[#This Row],[Industry]], Mean_ROA_M, 3, FALSE))</f>
        <v>0.12401645058170432</v>
      </c>
      <c r="S80" s="1">
        <f>(Main_M[[#This Row],[A/E]]-VLOOKUP(Main_M[[#This Row],[Industry]], Mean_AE_M, 2, FALSE))/(VLOOKUP(Main_M[[#This Row],[Industry]], Mean_AE_M, 3, FALSE))</f>
        <v>1.62743430744518</v>
      </c>
      <c r="T80" s="1">
        <f>(Main_M[[#This Row],[P/E]]-VLOOKUP(Main_M[[#This Row],[Industry]], Mean_PE_M, 2, FALSE))/(VLOOKUP(Main_M[[#This Row],[Industry]], Mean_PE_M, 3, FALSE))</f>
        <v>-0.18880265912113092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s="67" t="s">
        <v>129</v>
      </c>
      <c r="B81" s="67" t="s">
        <v>221</v>
      </c>
      <c r="C81" s="2">
        <v>4149</v>
      </c>
      <c r="D81">
        <f>RTD("tos.rtd", , "LAST", Main_M[[#This Row],[Symbol]])</f>
        <v>23.86</v>
      </c>
      <c r="E81">
        <v>0.64</v>
      </c>
      <c r="F81">
        <v>9.6300000000000008</v>
      </c>
      <c r="G81">
        <v>0.24</v>
      </c>
      <c r="H81" s="1">
        <f>IF(ISNUMBER(Main_M[[#This Row],[Free CF]]),IF(Main_M[[#This Row],[Free CF]]&lt;&gt;0,Main_M[[#This Row],[Current Price]]/Main_M[[#This Row],[Free CF]],""),"")</f>
        <v>37.28125</v>
      </c>
      <c r="I81" s="1">
        <f>IF(ISNUMBER(Main_M[[#This Row],[BVPS]]),IF(Main_M[[#This Row],[BVPS]]&lt;&gt;0,Main_M[[#This Row],[Current Price]]/Main_M[[#This Row],[BVPS]],""),"")</f>
        <v>2.4776739356178608</v>
      </c>
      <c r="J81">
        <v>2.74</v>
      </c>
      <c r="K81">
        <v>4.3899999999999997</v>
      </c>
      <c r="L81">
        <v>3.47</v>
      </c>
      <c r="M81" s="1">
        <f>IF(ISNUMBER(Main_M[[#This Row],[EPS]]),IF(Main_M[[#This Row],[EPS]]&lt;&gt;0,Main_M[[#This Row],[Current Price]]/Main_M[[#This Row],[EPS]],""),"")</f>
        <v>99.416666666666671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2.5425058881148406</v>
      </c>
      <c r="P81" s="1">
        <f>(Main_M[[#This Row],[P/B]]-VLOOKUP(Main_M[[#This Row],[Industry]], Mean_PB_M, 2, FALSE))/(VLOOKUP(Main_M[[#This Row],[Industry]], Mean_PB_M, 3, FALSE))</f>
        <v>-0.61487455767458499</v>
      </c>
      <c r="Q81" s="1">
        <f>(Main_M[[#This Row],[ROE]]-VLOOKUP(Main_M[[#This Row],[Industry]], Mean_ROE_M, 2, FALSE))/(VLOOKUP(Main_M[[#This Row],[Industry]], Mean_ROE_M, 3, FALSE))</f>
        <v>5.8348423792475908E-2</v>
      </c>
      <c r="R81" s="1">
        <f>(Main_M[[#This Row],[ROA]]-VLOOKUP(Main_M[[#This Row],[Industry]], Mean_ROA_M, 2, FALSE))/(VLOOKUP(Main_M[[#This Row],[Industry]], Mean_ROA_M, 3, FALSE))</f>
        <v>-6.6230575262019281E-2</v>
      </c>
      <c r="S81" s="1">
        <f>(Main_M[[#This Row],[A/E]]-VLOOKUP(Main_M[[#This Row],[Industry]], Mean_AE_M, 2, FALSE))/(VLOOKUP(Main_M[[#This Row],[Industry]], Mean_AE_M, 3, FALSE))</f>
        <v>0.9352872993104614</v>
      </c>
      <c r="T81" s="1">
        <f>(Main_M[[#This Row],[P/E]]-VLOOKUP(Main_M[[#This Row],[Industry]], Mean_PE_M, 2, FALSE))/(VLOOKUP(Main_M[[#This Row],[Industry]], Mean_PE_M, 3, FALSE))</f>
        <v>1.8954740383528654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s="67" t="s">
        <v>129</v>
      </c>
      <c r="B82" s="67" t="s">
        <v>562</v>
      </c>
      <c r="C82" s="2">
        <v>3822</v>
      </c>
      <c r="D82">
        <f>RTD("tos.rtd", , "LAST", Main_M[[#This Row],[Symbol]])</f>
        <v>13.138999999999999</v>
      </c>
      <c r="E82">
        <v>0.51</v>
      </c>
      <c r="F82">
        <v>2.74</v>
      </c>
      <c r="G82">
        <v>0.06</v>
      </c>
      <c r="H82" s="1">
        <f>IF(ISNUMBER(Main_M[[#This Row],[Free CF]]),IF(Main_M[[#This Row],[Free CF]]&lt;&gt;0,Main_M[[#This Row],[Current Price]]/Main_M[[#This Row],[Free CF]],""),"")</f>
        <v>25.762745098039215</v>
      </c>
      <c r="I82" s="1">
        <f>IF(ISNUMBER(Main_M[[#This Row],[BVPS]]),IF(Main_M[[#This Row],[BVPS]]&lt;&gt;0,Main_M[[#This Row],[Current Price]]/Main_M[[#This Row],[BVPS]],""),"")</f>
        <v>4.7952554744525537</v>
      </c>
      <c r="J82">
        <v>5.95</v>
      </c>
      <c r="K82">
        <v>2.17</v>
      </c>
      <c r="L82">
        <v>3.66</v>
      </c>
      <c r="M82" s="1">
        <f>IF(ISNUMBER(Main_M[[#This Row],[EPS]]),IF(Main_M[[#This Row],[EPS]]&lt;&gt;0,Main_M[[#This Row],[Current Price]]/Main_M[[#This Row],[EPS]],""),"")</f>
        <v>218.98333333333332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0.74672231439677539</v>
      </c>
      <c r="P82" s="1">
        <f>(Main_M[[#This Row],[P/B]]-VLOOKUP(Main_M[[#This Row],[Industry]], Mean_PB_M, 2, FALSE))/(VLOOKUP(Main_M[[#This Row],[Industry]], Mean_PB_M, 3, FALSE))</f>
        <v>0.38951921328589106</v>
      </c>
      <c r="Q82" s="1">
        <f>(Main_M[[#This Row],[ROE]]-VLOOKUP(Main_M[[#This Row],[Industry]], Mean_ROE_M, 2, FALSE))/(VLOOKUP(Main_M[[#This Row],[Industry]], Mean_ROE_M, 3, FALSE))</f>
        <v>0.21271527025443818</v>
      </c>
      <c r="R82" s="1">
        <f>(Main_M[[#This Row],[ROA]]-VLOOKUP(Main_M[[#This Row],[Industry]], Mean_ROA_M, 2, FALSE))/(VLOOKUP(Main_M[[#This Row],[Industry]], Mean_ROA_M, 3, FALSE))</f>
        <v>-0.5750840660729426</v>
      </c>
      <c r="S82" s="1">
        <f>(Main_M[[#This Row],[A/E]]-VLOOKUP(Main_M[[#This Row],[Industry]], Mean_AE_M, 2, FALSE))/(VLOOKUP(Main_M[[#This Row],[Industry]], Mean_AE_M, 3, FALSE))</f>
        <v>1.1205097381070763</v>
      </c>
      <c r="T82" s="1">
        <f>(Main_M[[#This Row],[P/E]]-VLOOKUP(Main_M[[#This Row],[Industry]], Mean_PE_M, 2, FALSE))/(VLOOKUP(Main_M[[#This Row],[Industry]], Mean_PE_M, 3, FALSE))</f>
        <v>4.6317843426882277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3" spans="1:26" x14ac:dyDescent="0.25">
      <c r="A83" s="67" t="s">
        <v>129</v>
      </c>
      <c r="B83" s="67" t="s">
        <v>225</v>
      </c>
      <c r="C83" s="2">
        <v>2310</v>
      </c>
      <c r="D83">
        <f>RTD("tos.rtd", , "LAST", Main_M[[#This Row],[Symbol]])</f>
        <v>5.88</v>
      </c>
      <c r="E83">
        <v>0.27</v>
      </c>
      <c r="F83">
        <v>3.75</v>
      </c>
      <c r="G83">
        <v>-0.09</v>
      </c>
      <c r="H83" s="1">
        <f>IF(ISNUMBER(Main_M[[#This Row],[Free CF]]),IF(Main_M[[#This Row],[Free CF]]&lt;&gt;0,Main_M[[#This Row],[Current Price]]/Main_M[[#This Row],[Free CF]],""),"")</f>
        <v>21.777777777777775</v>
      </c>
      <c r="I83" s="1">
        <f>IF(ISNUMBER(Main_M[[#This Row],[BVPS]]),IF(Main_M[[#This Row],[BVPS]]&lt;&gt;0,Main_M[[#This Row],[Current Price]]/Main_M[[#This Row],[BVPS]],""),"")</f>
        <v>1.5680000000000001</v>
      </c>
      <c r="J83">
        <v>-2.4700000000000002</v>
      </c>
      <c r="K83">
        <v>-0.33</v>
      </c>
      <c r="L83">
        <v>1.44</v>
      </c>
      <c r="M83" s="1">
        <f>IF(ISNUMBER(Main_M[[#This Row],[EPS]]),IF(Main_M[[#This Row],[EPS]]&lt;&gt;0,Main_M[[#This Row],[Current Price]]/Main_M[[#This Row],[EPS]],""),"")</f>
        <v>-65.333333333333329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0.12544907481942297</v>
      </c>
      <c r="P83" s="1">
        <f>(Main_M[[#This Row],[P/B]]-VLOOKUP(Main_M[[#This Row],[Industry]], Mean_PB_M, 2, FALSE))/(VLOOKUP(Main_M[[#This Row],[Industry]], Mean_PB_M, 3, FALSE))</f>
        <v>-1.0091091592321573</v>
      </c>
      <c r="Q83" s="1">
        <f>(Main_M[[#This Row],[ROE]]-VLOOKUP(Main_M[[#This Row],[Industry]], Mean_ROE_M, 2, FALSE))/(VLOOKUP(Main_M[[#This Row],[Industry]], Mean_ROE_M, 3, FALSE))</f>
        <v>-0.19219714320653453</v>
      </c>
      <c r="R83" s="1">
        <f>(Main_M[[#This Row],[ROA]]-VLOOKUP(Main_M[[#This Row],[Industry]], Mean_ROA_M, 2, FALSE))/(VLOOKUP(Main_M[[#This Row],[Industry]], Mean_ROA_M, 3, FALSE))</f>
        <v>-1.148117276445604</v>
      </c>
      <c r="S83" s="1">
        <f>(Main_M[[#This Row],[A/E]]-VLOOKUP(Main_M[[#This Row],[Industry]], Mean_AE_M, 2, FALSE))/(VLOOKUP(Main_M[[#This Row],[Industry]], Mean_AE_M, 3, FALSE))</f>
        <v>-1.0436682309902146</v>
      </c>
      <c r="T83" s="1">
        <f>(Main_M[[#This Row],[P/E]]-VLOOKUP(Main_M[[#This Row],[Industry]], Mean_PE_M, 2, FALSE))/(VLOOKUP(Main_M[[#This Row],[Industry]], Mean_PE_M, 3, FALSE))</f>
        <v>-1.8748671044342915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s="67" t="s">
        <v>129</v>
      </c>
      <c r="B84" s="67" t="s">
        <v>235</v>
      </c>
      <c r="C84" s="2">
        <v>3041</v>
      </c>
      <c r="D84">
        <f>RTD("tos.rtd", , "LAST", Main_M[[#This Row],[Symbol]])</f>
        <v>14.78</v>
      </c>
      <c r="E84">
        <v>0.1</v>
      </c>
      <c r="F84">
        <v>0.55000000000000004</v>
      </c>
      <c r="G84">
        <v>-0.47</v>
      </c>
      <c r="H84" s="1">
        <f>IF(ISNUMBER(Main_M[[#This Row],[Free CF]]),IF(Main_M[[#This Row],[Free CF]]&lt;&gt;0,Main_M[[#This Row],[Current Price]]/Main_M[[#This Row],[Free CF]],""),"")</f>
        <v>147.79999999999998</v>
      </c>
      <c r="I84" s="1">
        <f>IF(ISNUMBER(Main_M[[#This Row],[BVPS]]),IF(Main_M[[#This Row],[BVPS]]&lt;&gt;0,Main_M[[#This Row],[Current Price]]/Main_M[[#This Row],[BVPS]],""),"")</f>
        <v>26.872727272727268</v>
      </c>
      <c r="J84">
        <v>-75.39</v>
      </c>
      <c r="K84">
        <v>-5.0599999999999996</v>
      </c>
      <c r="L84">
        <v>8.2799999999999994</v>
      </c>
      <c r="M84" s="1">
        <f>IF(ISNUMBER(Main_M[[#This Row],[EPS]]),IF(Main_M[[#This Row],[EPS]]&lt;&gt;0,Main_M[[#This Row],[Current Price]]/Main_M[[#This Row],[EPS]],""),"")</f>
        <v>-31.446808510638299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19.772845895529205</v>
      </c>
      <c r="P84" s="1">
        <f>(Main_M[[#This Row],[P/B]]-VLOOKUP(Main_M[[#This Row],[Industry]], Mean_PB_M, 2, FALSE))/(VLOOKUP(Main_M[[#This Row],[Industry]], Mean_PB_M, 3, FALSE))</f>
        <v>9.9574566433934368</v>
      </c>
      <c r="Q84" s="1">
        <f>(Main_M[[#This Row],[ROE]]-VLOOKUP(Main_M[[#This Row],[Industry]], Mean_ROE_M, 2, FALSE))/(VLOOKUP(Main_M[[#This Row],[Industry]], Mean_ROE_M, 3, FALSE))</f>
        <v>-3.6988732939873104</v>
      </c>
      <c r="R84" s="1">
        <f>(Main_M[[#This Row],[ROA]]-VLOOKUP(Main_M[[#This Row],[Industry]], Mean_ROA_M, 2, FALSE))/(VLOOKUP(Main_M[[#This Row],[Industry]], Mean_ROA_M, 3, FALSE))</f>
        <v>-2.2322961104706791</v>
      </c>
      <c r="S84" s="1">
        <f>(Main_M[[#This Row],[A/E]]-VLOOKUP(Main_M[[#This Row],[Industry]], Mean_AE_M, 2, FALSE))/(VLOOKUP(Main_M[[#This Row],[Industry]], Mean_AE_M, 3, FALSE))</f>
        <v>5.6243395656879231</v>
      </c>
      <c r="T84" s="1">
        <f>(Main_M[[#This Row],[P/E]]-VLOOKUP(Main_M[[#This Row],[Industry]], Mean_PE_M, 2, FALSE))/(VLOOKUP(Main_M[[#This Row],[Industry]], Mean_PE_M, 3, FALSE))</f>
        <v>-1.0993662927494032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s="67" t="s">
        <v>129</v>
      </c>
      <c r="B85" s="67" t="s">
        <v>368</v>
      </c>
      <c r="C85" s="2">
        <v>2032</v>
      </c>
      <c r="D85">
        <f>RTD("tos.rtd", , "LAST", Main_M[[#This Row],[Symbol]])</f>
        <v>72.42</v>
      </c>
      <c r="E85">
        <v>-0.48</v>
      </c>
      <c r="F85">
        <v>9.02</v>
      </c>
      <c r="G85">
        <v>-1.41</v>
      </c>
      <c r="H85" s="1">
        <f>IF(ISNUMBER(Main_M[[#This Row],[Free CF]]),IF(Main_M[[#This Row],[Free CF]]&lt;&gt;0,Main_M[[#This Row],[Current Price]]/Main_M[[#This Row],[Free CF]],""),"")</f>
        <v>-150.875</v>
      </c>
      <c r="I85" s="1">
        <f>IF(ISNUMBER(Main_M[[#This Row],[BVPS]]),IF(Main_M[[#This Row],[BVPS]]&lt;&gt;0,Main_M[[#This Row],[Current Price]]/Main_M[[#This Row],[BVPS]],""),"")</f>
        <v>8.0288248337028829</v>
      </c>
      <c r="J85">
        <v>-16.600000000000001</v>
      </c>
      <c r="K85">
        <v>-1.84</v>
      </c>
      <c r="L85">
        <v>1.73</v>
      </c>
      <c r="M85" s="1">
        <f>IF(ISNUMBER(Main_M[[#This Row],[EPS]]),IF(Main_M[[#This Row],[EPS]]&lt;&gt;0,Main_M[[#This Row],[Current Price]]/Main_M[[#This Row],[EPS]],""),"")</f>
        <v>-51.361702127659576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-26.791848346076733</v>
      </c>
      <c r="P85" s="1">
        <f>(Main_M[[#This Row],[P/B]]-VLOOKUP(Main_M[[#This Row],[Industry]], Mean_PB_M, 2, FALSE))/(VLOOKUP(Main_M[[#This Row],[Industry]], Mean_PB_M, 3, FALSE))</f>
        <v>1.7908838979703872</v>
      </c>
      <c r="Q85" s="1">
        <f>(Main_M[[#This Row],[ROE]]-VLOOKUP(Main_M[[#This Row],[Industry]], Mean_ROE_M, 2, FALSE))/(VLOOKUP(Main_M[[#This Row],[Industry]], Mean_ROE_M, 3, FALSE))</f>
        <v>-0.87169980380077983</v>
      </c>
      <c r="R85" s="1">
        <f>(Main_M[[#This Row],[ROA]]-VLOOKUP(Main_M[[#This Row],[Industry]], Mean_ROA_M, 2, FALSE))/(VLOOKUP(Main_M[[#This Row],[Industry]], Mean_ROA_M, 3, FALSE))</f>
        <v>-1.4942293355106915</v>
      </c>
      <c r="S85" s="1">
        <f>(Main_M[[#This Row],[A/E]]-VLOOKUP(Main_M[[#This Row],[Industry]], Mean_AE_M, 2, FALSE))/(VLOOKUP(Main_M[[#This Row],[Industry]], Mean_AE_M, 3, FALSE))</f>
        <v>-0.760960298090118</v>
      </c>
      <c r="T85" s="1">
        <f>(Main_M[[#This Row],[P/E]]-VLOOKUP(Main_M[[#This Row],[Industry]], Mean_PE_M, 2, FALSE))/(VLOOKUP(Main_M[[#This Row],[Industry]], Mean_PE_M, 3, FALSE))</f>
        <v>-1.5551231531954404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s="67" t="s">
        <v>129</v>
      </c>
      <c r="B86" s="67" t="s">
        <v>236</v>
      </c>
      <c r="C86" s="2">
        <v>8716</v>
      </c>
      <c r="D86">
        <f>RTD("tos.rtd", , "LAST", Main_M[[#This Row],[Symbol]])</f>
        <v>111.16</v>
      </c>
      <c r="E86">
        <v>-1.91</v>
      </c>
      <c r="F86">
        <v>24.44</v>
      </c>
      <c r="G86">
        <v>1.0900000000000001</v>
      </c>
      <c r="H86" s="1">
        <f>IF(ISNUMBER(Main_M[[#This Row],[Free CF]]),IF(Main_M[[#This Row],[Free CF]]&lt;&gt;0,Main_M[[#This Row],[Current Price]]/Main_M[[#This Row],[Free CF]],""),"")</f>
        <v>-58.198952879581149</v>
      </c>
      <c r="I86" s="1">
        <f>IF(ISNUMBER(Main_M[[#This Row],[BVPS]]),IF(Main_M[[#This Row],[BVPS]]&lt;&gt;0,Main_M[[#This Row],[Current Price]]/Main_M[[#This Row],[BVPS]],""),"")</f>
        <v>4.5482815057283137</v>
      </c>
      <c r="J86">
        <v>4.66</v>
      </c>
      <c r="K86">
        <v>3.84</v>
      </c>
      <c r="L86">
        <v>1.63</v>
      </c>
      <c r="M86" s="1">
        <f>IF(ISNUMBER(Main_M[[#This Row],[EPS]]),IF(Main_M[[#This Row],[EPS]]&lt;&gt;0,Main_M[[#This Row],[Current Price]]/Main_M[[#This Row],[EPS]],""),"")</f>
        <v>101.98165137614677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-12.343261093434332</v>
      </c>
      <c r="P86" s="1">
        <f>(Main_M[[#This Row],[P/B]]-VLOOKUP(Main_M[[#This Row],[Industry]], Mean_PB_M, 2, FALSE))/(VLOOKUP(Main_M[[#This Row],[Industry]], Mean_PB_M, 3, FALSE))</f>
        <v>0.2824856044918112</v>
      </c>
      <c r="Q86" s="1">
        <f>(Main_M[[#This Row],[ROE]]-VLOOKUP(Main_M[[#This Row],[Industry]], Mean_ROE_M, 2, FALSE))/(VLOOKUP(Main_M[[#This Row],[Industry]], Mean_ROE_M, 3, FALSE))</f>
        <v>0.15067999550804212</v>
      </c>
      <c r="R86" s="1">
        <f>(Main_M[[#This Row],[ROA]]-VLOOKUP(Main_M[[#This Row],[Industry]], Mean_ROA_M, 2, FALSE))/(VLOOKUP(Main_M[[#This Row],[Industry]], Mean_ROA_M, 3, FALSE))</f>
        <v>-0.19229788154400476</v>
      </c>
      <c r="S86" s="1">
        <f>(Main_M[[#This Row],[A/E]]-VLOOKUP(Main_M[[#This Row],[Industry]], Mean_AE_M, 2, FALSE))/(VLOOKUP(Main_M[[#This Row],[Industry]], Mean_AE_M, 3, FALSE))</f>
        <v>-0.85844579219359962</v>
      </c>
      <c r="T86" s="1">
        <f>(Main_M[[#This Row],[P/E]]-VLOOKUP(Main_M[[#This Row],[Industry]], Mean_PE_M, 2, FALSE))/(VLOOKUP(Main_M[[#This Row],[Industry]], Mean_PE_M, 3, FALSE))</f>
        <v>1.9541742955957957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s="67" t="s">
        <v>129</v>
      </c>
      <c r="B87" s="67" t="s">
        <v>224</v>
      </c>
      <c r="C87" s="2">
        <v>5032</v>
      </c>
      <c r="D87">
        <f>RTD("tos.rtd", , "LAST", Main_M[[#This Row],[Symbol]])</f>
        <v>49.53</v>
      </c>
      <c r="E87">
        <v>-2.4700000000000002</v>
      </c>
      <c r="F87">
        <v>-2.0299999999999998</v>
      </c>
      <c r="G87">
        <v>-3.38</v>
      </c>
      <c r="H87" s="1">
        <f>IF(ISNUMBER(Main_M[[#This Row],[Free CF]]),IF(Main_M[[#This Row],[Free CF]]&lt;&gt;0,Main_M[[#This Row],[Current Price]]/Main_M[[#This Row],[Free CF]],""),"")</f>
        <v>-20.052631578947366</v>
      </c>
      <c r="I87" s="1">
        <f>IF(ISNUMBER(Main_M[[#This Row],[BVPS]]),IF(Main_M[[#This Row],[BVPS]]&lt;&gt;0,Main_M[[#This Row],[Current Price]]/Main_M[[#This Row],[BVPS]],""),"")</f>
        <v>-24.399014778325125</v>
      </c>
      <c r="J87">
        <v>456.48</v>
      </c>
      <c r="K87">
        <v>-18.64</v>
      </c>
      <c r="L87">
        <v>-5.36</v>
      </c>
      <c r="M87" s="1">
        <f>IF(ISNUMBER(Main_M[[#This Row],[EPS]]),IF(Main_M[[#This Row],[EPS]]&lt;&gt;0,Main_M[[#This Row],[Current Price]]/Main_M[[#This Row],[EPS]],""),"")</f>
        <v>-14.653846153846155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-6.3960884549273533</v>
      </c>
      <c r="P87" s="1">
        <f>(Main_M[[#This Row],[P/B]]-VLOOKUP(Main_M[[#This Row],[Industry]], Mean_PB_M, 2, FALSE))/(VLOOKUP(Main_M[[#This Row],[Industry]], Mean_PB_M, 3, FALSE))</f>
        <v>-12.262697202094401</v>
      </c>
      <c r="Q87" s="1">
        <f>(Main_M[[#This Row],[ROE]]-VLOOKUP(Main_M[[#This Row],[Industry]], Mean_ROE_M, 2, FALSE))/(VLOOKUP(Main_M[[#This Row],[Industry]], Mean_ROE_M, 3, FALSE))</f>
        <v>21.87841475203259</v>
      </c>
      <c r="R87" s="1">
        <f>(Main_M[[#This Row],[ROA]]-VLOOKUP(Main_M[[#This Row],[Industry]], Mean_ROA_M, 2, FALSE))/(VLOOKUP(Main_M[[#This Row],[Industry]], Mean_ROA_M, 3, FALSE))</f>
        <v>-5.3450125092149765</v>
      </c>
      <c r="S87" s="1">
        <f>(Main_M[[#This Row],[A/E]]-VLOOKUP(Main_M[[#This Row],[Industry]], Mean_AE_M, 2, FALSE))/(VLOOKUP(Main_M[[#This Row],[Industry]], Mean_AE_M, 3, FALSE))</f>
        <v>-7.6726818300269608</v>
      </c>
      <c r="T87" s="1">
        <f>(Main_M[[#This Row],[P/E]]-VLOOKUP(Main_M[[#This Row],[Industry]], Mean_PE_M, 2, FALSE))/(VLOOKUP(Main_M[[#This Row],[Industry]], Mean_PE_M, 3, FALSE))</f>
        <v>-0.71505553776858743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s="67" t="s">
        <v>129</v>
      </c>
      <c r="B88" s="67" t="s">
        <v>230</v>
      </c>
      <c r="C88" s="2">
        <v>2086</v>
      </c>
      <c r="D88">
        <f>RTD("tos.rtd", , "LAST", Main_M[[#This Row],[Symbol]])</f>
        <v>21.99</v>
      </c>
      <c r="E88">
        <v>-2.84</v>
      </c>
      <c r="F88">
        <v>33.65</v>
      </c>
      <c r="G88">
        <v>2.04</v>
      </c>
      <c r="H88" s="1">
        <f>IF(ISNUMBER(Main_M[[#This Row],[Free CF]]),IF(Main_M[[#This Row],[Free CF]]&lt;&gt;0,Main_M[[#This Row],[Current Price]]/Main_M[[#This Row],[Free CF]],""),"")</f>
        <v>-7.742957746478873</v>
      </c>
      <c r="I88" s="1">
        <f>IF(ISNUMBER(Main_M[[#This Row],[BVPS]]),IF(Main_M[[#This Row],[BVPS]]&lt;&gt;0,Main_M[[#This Row],[Current Price]]/Main_M[[#This Row],[BVPS]],""),"")</f>
        <v>0.65349182763744429</v>
      </c>
      <c r="J88">
        <v>6.33</v>
      </c>
      <c r="K88">
        <v>5.0599999999999996</v>
      </c>
      <c r="L88">
        <v>2.02</v>
      </c>
      <c r="M88" s="1">
        <f>IF(ISNUMBER(Main_M[[#This Row],[EPS]]),IF(Main_M[[#This Row],[EPS]]&lt;&gt;0,Main_M[[#This Row],[Current Price]]/Main_M[[#This Row],[EPS]],""),"")</f>
        <v>10.779411764705882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-4.4769583026789466</v>
      </c>
      <c r="P88" s="1">
        <f>(Main_M[[#This Row],[P/B]]-VLOOKUP(Main_M[[#This Row],[Industry]], Mean_PB_M, 2, FALSE))/(VLOOKUP(Main_M[[#This Row],[Industry]], Mean_PB_M, 3, FALSE))</f>
        <v>-1.4054388229018318</v>
      </c>
      <c r="Q88" s="1">
        <f>(Main_M[[#This Row],[ROE]]-VLOOKUP(Main_M[[#This Row],[Industry]], Mean_ROE_M, 2, FALSE))/(VLOOKUP(Main_M[[#This Row],[Industry]], Mean_ROE_M, 3, FALSE))</f>
        <v>0.23098922715647732</v>
      </c>
      <c r="R88" s="1">
        <f>(Main_M[[#This Row],[ROA]]-VLOOKUP(Main_M[[#This Row],[Industry]], Mean_ROA_M, 2, FALSE))/(VLOOKUP(Main_M[[#This Row],[Industry]], Mean_ROA_M, 3, FALSE))</f>
        <v>8.7342325117853961E-2</v>
      </c>
      <c r="S88" s="1">
        <f>(Main_M[[#This Row],[A/E]]-VLOOKUP(Main_M[[#This Row],[Industry]], Mean_AE_M, 2, FALSE))/(VLOOKUP(Main_M[[#This Row],[Industry]], Mean_AE_M, 3, FALSE))</f>
        <v>-0.4782523651900214</v>
      </c>
      <c r="T88" s="1">
        <f>(Main_M[[#This Row],[P/E]]-VLOOKUP(Main_M[[#This Row],[Industry]], Mean_PE_M, 2, FALSE))/(VLOOKUP(Main_M[[#This Row],[Industry]], Mean_PE_M, 3, FALSE))</f>
        <v>-0.13300965779630222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s="67" t="s">
        <v>149</v>
      </c>
      <c r="B89" s="67" t="s">
        <v>150</v>
      </c>
      <c r="C89" s="2">
        <v>9784</v>
      </c>
      <c r="D89">
        <f>RTD("tos.rtd", , "LAST", Main_M[[#This Row],[Symbol]])</f>
        <v>58.06</v>
      </c>
      <c r="E89">
        <v>1.43</v>
      </c>
      <c r="F89">
        <v>5.73</v>
      </c>
      <c r="G89">
        <v>1.1100000000000001</v>
      </c>
      <c r="H89" s="1">
        <f>IF(ISNUMBER(Main_M[[#This Row],[Free CF]]),IF(Main_M[[#This Row],[Free CF]]&lt;&gt;0,Main_M[[#This Row],[Current Price]]/Main_M[[#This Row],[Free CF]],""),"")</f>
        <v>40.601398601398607</v>
      </c>
      <c r="I89" s="1">
        <f>IF(ISNUMBER(Main_M[[#This Row],[BVPS]]),IF(Main_M[[#This Row],[BVPS]]&lt;&gt;0,Main_M[[#This Row],[Current Price]]/Main_M[[#This Row],[BVPS]],""),"")</f>
        <v>10.132635253054101</v>
      </c>
      <c r="J89">
        <v>22.5</v>
      </c>
      <c r="K89">
        <v>12.31</v>
      </c>
      <c r="L89">
        <v>1.17</v>
      </c>
      <c r="M89" s="1">
        <f>IF(ISNUMBER(Main_M[[#This Row],[EPS]]),IF(Main_M[[#This Row],[EPS]]&lt;&gt;0,Main_M[[#This Row],[Current Price]]/Main_M[[#This Row],[EPS]],""),"")</f>
        <v>52.306306306306304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1.0295690310367569</v>
      </c>
      <c r="P89" s="1">
        <f>(Main_M[[#This Row],[P/B]]-VLOOKUP(Main_M[[#This Row],[Industry]], Mean_PB_M, 2, FALSE))/(VLOOKUP(Main_M[[#This Row],[Industry]], Mean_PB_M, 3, FALSE))</f>
        <v>1.4133567290256182</v>
      </c>
      <c r="Q89" s="1">
        <f>(Main_M[[#This Row],[ROE]]-VLOOKUP(Main_M[[#This Row],[Industry]], Mean_ROE_M, 2, FALSE))/(VLOOKUP(Main_M[[#This Row],[Industry]], Mean_ROE_M, 3, FALSE))</f>
        <v>1.2387412773770967</v>
      </c>
      <c r="R89" s="1">
        <f>(Main_M[[#This Row],[ROA]]-VLOOKUP(Main_M[[#This Row],[Industry]], Mean_ROA_M, 2, FALSE))/(VLOOKUP(Main_M[[#This Row],[Industry]], Mean_ROA_M, 3, FALSE))</f>
        <v>1.2477685325551695</v>
      </c>
      <c r="S89" s="1">
        <f>(Main_M[[#This Row],[A/E]]-VLOOKUP(Main_M[[#This Row],[Industry]], Mean_AE_M, 2, FALSE))/(VLOOKUP(Main_M[[#This Row],[Industry]], Mean_AE_M, 3, FALSE))</f>
        <v>-1.3979818807726829</v>
      </c>
      <c r="T89" s="1">
        <f>(Main_M[[#This Row],[P/E]]-VLOOKUP(Main_M[[#This Row],[Industry]], Mean_PE_M, 2, FALSE))/(VLOOKUP(Main_M[[#This Row],[Industry]], Mean_PE_M, 3, FALSE))</f>
        <v>-0.54858937495274362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s="67" t="s">
        <v>149</v>
      </c>
      <c r="B90" s="67" t="s">
        <v>238</v>
      </c>
      <c r="C90" s="2">
        <v>6917</v>
      </c>
      <c r="D90">
        <f>RTD("tos.rtd", , "LAST", Main_M[[#This Row],[Symbol]])</f>
        <v>40.72</v>
      </c>
      <c r="E90">
        <v>1.21</v>
      </c>
      <c r="F90">
        <v>18.07</v>
      </c>
      <c r="G90">
        <v>0.15</v>
      </c>
      <c r="H90" s="1">
        <f>IF(ISNUMBER(Main_M[[#This Row],[Free CF]]),IF(Main_M[[#This Row],[Free CF]]&lt;&gt;0,Main_M[[#This Row],[Current Price]]/Main_M[[#This Row],[Free CF]],""),"")</f>
        <v>33.652892561983471</v>
      </c>
      <c r="I90" s="1">
        <f>IF(ISNUMBER(Main_M[[#This Row],[BVPS]]),IF(Main_M[[#This Row],[BVPS]]&lt;&gt;0,Main_M[[#This Row],[Current Price]]/Main_M[[#This Row],[BVPS]],""),"")</f>
        <v>2.2534587714443828</v>
      </c>
      <c r="J90">
        <v>1.01</v>
      </c>
      <c r="K90">
        <v>2.33</v>
      </c>
      <c r="L90">
        <v>1.48</v>
      </c>
      <c r="M90" s="1">
        <f>IF(ISNUMBER(Main_M[[#This Row],[EPS]]),IF(Main_M[[#This Row],[EPS]]&lt;&gt;0,Main_M[[#This Row],[Current Price]]/Main_M[[#This Row],[EPS]],""),"")</f>
        <v>271.4666666666667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0.32485273219489674</v>
      </c>
      <c r="P90" s="1">
        <f>(Main_M[[#This Row],[P/B]]-VLOOKUP(Main_M[[#This Row],[Industry]], Mean_PB_M, 2, FALSE))/(VLOOKUP(Main_M[[#This Row],[Industry]], Mean_PB_M, 3, FALSE))</f>
        <v>-0.66405129109104777</v>
      </c>
      <c r="Q90" s="1">
        <f>(Main_M[[#This Row],[ROE]]-VLOOKUP(Main_M[[#This Row],[Industry]], Mean_ROE_M, 2, FALSE))/(VLOOKUP(Main_M[[#This Row],[Industry]], Mean_ROE_M, 3, FALSE))</f>
        <v>-1.2102513675938151</v>
      </c>
      <c r="R90" s="1">
        <f>(Main_M[[#This Row],[ROA]]-VLOOKUP(Main_M[[#This Row],[Industry]], Mean_ROA_M, 2, FALSE))/(VLOOKUP(Main_M[[#This Row],[Industry]], Mean_ROA_M, 3, FALSE))</f>
        <v>-1.2003435162457332</v>
      </c>
      <c r="S90" s="1">
        <f>(Main_M[[#This Row],[A/E]]-VLOOKUP(Main_M[[#This Row],[Industry]], Mean_AE_M, 2, FALSE))/(VLOOKUP(Main_M[[#This Row],[Industry]], Mean_AE_M, 3, FALSE))</f>
        <v>0.51396392675466396</v>
      </c>
      <c r="T90" s="1">
        <f>(Main_M[[#This Row],[P/E]]-VLOOKUP(Main_M[[#This Row],[Industry]], Mean_PE_M, 2, FALSE))/(VLOOKUP(Main_M[[#This Row],[Industry]], Mean_PE_M, 3, FALSE))</f>
        <v>1.4031380217201981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s="67" t="s">
        <v>149</v>
      </c>
      <c r="B91" s="67" t="s">
        <v>563</v>
      </c>
      <c r="C91" s="2">
        <v>9493</v>
      </c>
      <c r="D91">
        <f>RTD("tos.rtd", , "LAST", Main_M[[#This Row],[Symbol]])</f>
        <v>7.18</v>
      </c>
      <c r="E91">
        <v>0.42</v>
      </c>
      <c r="F91">
        <v>3.72</v>
      </c>
      <c r="G91">
        <v>0.4</v>
      </c>
      <c r="H91" s="1">
        <f>IF(ISNUMBER(Main_M[[#This Row],[Free CF]]),IF(Main_M[[#This Row],[Free CF]]&lt;&gt;0,Main_M[[#This Row],[Current Price]]/Main_M[[#This Row],[Free CF]],""),"")</f>
        <v>17.095238095238095</v>
      </c>
      <c r="I91" s="1">
        <f>IF(ISNUMBER(Main_M[[#This Row],[BVPS]]),IF(Main_M[[#This Row],[BVPS]]&lt;&gt;0,Main_M[[#This Row],[Current Price]]/Main_M[[#This Row],[BVPS]],""),"")</f>
        <v>1.9301075268817203</v>
      </c>
      <c r="J91">
        <v>11.38</v>
      </c>
      <c r="K91">
        <v>7.03</v>
      </c>
      <c r="L91">
        <v>1.54</v>
      </c>
      <c r="M91" s="1">
        <f>IF(ISNUMBER(Main_M[[#This Row],[EPS]]),IF(Main_M[[#This Row],[EPS]]&lt;&gt;0,Main_M[[#This Row],[Current Price]]/Main_M[[#This Row],[EPS]],""),"")</f>
        <v>17.95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-1.3544217632316544</v>
      </c>
      <c r="P91" s="1">
        <f>(Main_M[[#This Row],[P/B]]-VLOOKUP(Main_M[[#This Row],[Industry]], Mean_PB_M, 2, FALSE))/(VLOOKUP(Main_M[[#This Row],[Industry]], Mean_PB_M, 3, FALSE))</f>
        <v>-0.74930543793456994</v>
      </c>
      <c r="Q91" s="1">
        <f>(Main_M[[#This Row],[ROE]]-VLOOKUP(Main_M[[#This Row],[Industry]], Mean_ROE_M, 2, FALSE))/(VLOOKUP(Main_M[[#This Row],[Industry]], Mean_ROE_M, 3, FALSE))</f>
        <v>-2.8489909783281895E-2</v>
      </c>
      <c r="R91" s="1">
        <f>(Main_M[[#This Row],[ROA]]-VLOOKUP(Main_M[[#This Row],[Industry]], Mean_ROA_M, 2, FALSE))/(VLOOKUP(Main_M[[#This Row],[Industry]], Mean_ROA_M, 3, FALSE))</f>
        <v>-4.7425016309436324E-2</v>
      </c>
      <c r="S91" s="1">
        <f>(Main_M[[#This Row],[A/E]]-VLOOKUP(Main_M[[#This Row],[Industry]], Mean_AE_M, 2, FALSE))/(VLOOKUP(Main_M[[#This Row],[Industry]], Mean_AE_M, 3, FALSE))</f>
        <v>0.88401795401802175</v>
      </c>
      <c r="T91" s="1">
        <f>(Main_M[[#This Row],[P/E]]-VLOOKUP(Main_M[[#This Row],[Industry]], Mean_PE_M, 2, FALSE))/(VLOOKUP(Main_M[[#This Row],[Industry]], Mean_PE_M, 3, FALSE))</f>
        <v>-0.8545486467674539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s="67" t="s">
        <v>190</v>
      </c>
      <c r="B92" s="67" t="s">
        <v>302</v>
      </c>
      <c r="C92" s="2">
        <v>8476</v>
      </c>
      <c r="D92">
        <f>RTD("tos.rtd", , "LAST", Main_M[[#This Row],[Symbol]])</f>
        <v>298.32</v>
      </c>
      <c r="E92">
        <v>17.54</v>
      </c>
      <c r="F92">
        <v>19.940000000000001</v>
      </c>
      <c r="G92">
        <v>13.09</v>
      </c>
      <c r="H92" s="1">
        <f>IF(ISNUMBER(Main_M[[#This Row],[Free CF]]),IF(Main_M[[#This Row],[Free CF]]&lt;&gt;0,Main_M[[#This Row],[Current Price]]/Main_M[[#This Row],[Free CF]],""),"")</f>
        <v>17.007981755986318</v>
      </c>
      <c r="I92" s="1">
        <f>IF(ISNUMBER(Main_M[[#This Row],[BVPS]]),IF(Main_M[[#This Row],[BVPS]]&lt;&gt;0,Main_M[[#This Row],[Current Price]]/Main_M[[#This Row],[BVPS]],""),"")</f>
        <v>14.96088264794383</v>
      </c>
      <c r="J92">
        <v>65.819999999999993</v>
      </c>
      <c r="K92">
        <v>15.44</v>
      </c>
      <c r="L92">
        <v>3.2</v>
      </c>
      <c r="M92" s="1">
        <f>IF(ISNUMBER(Main_M[[#This Row],[EPS]]),IF(Main_M[[#This Row],[EPS]]&lt;&gt;0,Main_M[[#This Row],[Current Price]]/Main_M[[#This Row],[EPS]],""),"")</f>
        <v>22.789915966386555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9.6394089887823109E-2</v>
      </c>
      <c r="P92" s="1">
        <f>(Main_M[[#This Row],[P/B]]-VLOOKUP(Main_M[[#This Row],[Industry]], Mean_PB_M, 2, FALSE))/(VLOOKUP(Main_M[[#This Row],[Industry]], Mean_PB_M, 3, FALSE))</f>
        <v>8.9735335356628667</v>
      </c>
      <c r="Q92" s="1">
        <f>(Main_M[[#This Row],[ROE]]-VLOOKUP(Main_M[[#This Row],[Industry]], Mean_ROE_M, 2, FALSE))/(VLOOKUP(Main_M[[#This Row],[Industry]], Mean_ROE_M, 3, FALSE))</f>
        <v>6.1997152198602832</v>
      </c>
      <c r="R92" s="1">
        <f>(Main_M[[#This Row],[ROA]]-VLOOKUP(Main_M[[#This Row],[Industry]], Mean_ROA_M, 2, FALSE))/(VLOOKUP(Main_M[[#This Row],[Industry]], Mean_ROA_M, 3, FALSE))</f>
        <v>7.0408793292664047</v>
      </c>
      <c r="S92" s="1">
        <f>(Main_M[[#This Row],[A/E]]-VLOOKUP(Main_M[[#This Row],[Industry]], Mean_AE_M, 2, FALSE))/(VLOOKUP(Main_M[[#This Row],[Industry]], Mean_AE_M, 3, FALSE))</f>
        <v>0.87275485784277196</v>
      </c>
      <c r="T92" s="1">
        <f>(Main_M[[#This Row],[P/E]]-VLOOKUP(Main_M[[#This Row],[Industry]], Mean_PE_M, 2, FALSE))/(VLOOKUP(Main_M[[#This Row],[Industry]], Mean_PE_M, 3, FALSE))</f>
        <v>-0.39549141894223322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s="67" t="s">
        <v>190</v>
      </c>
      <c r="B93" s="67" t="s">
        <v>299</v>
      </c>
      <c r="C93" s="2">
        <v>6175</v>
      </c>
      <c r="D93">
        <f>RTD("tos.rtd", , "LAST", Main_M[[#This Row],[Symbol]])</f>
        <v>225.56</v>
      </c>
      <c r="E93">
        <v>11.83</v>
      </c>
      <c r="F93">
        <v>241.72</v>
      </c>
      <c r="G93">
        <v>-77.099999999999994</v>
      </c>
      <c r="H93" s="1">
        <f>IF(ISNUMBER(Main_M[[#This Row],[Free CF]]),IF(Main_M[[#This Row],[Free CF]]&lt;&gt;0,Main_M[[#This Row],[Current Price]]/Main_M[[#This Row],[Free CF]],""),"")</f>
        <v>19.066779374471682</v>
      </c>
      <c r="I93" s="1">
        <f>IF(ISNUMBER(Main_M[[#This Row],[BVPS]]),IF(Main_M[[#This Row],[BVPS]]&lt;&gt;0,Main_M[[#This Row],[Current Price]]/Main_M[[#This Row],[BVPS]],""),"")</f>
        <v>0.9331457885156379</v>
      </c>
      <c r="J93">
        <v>-27.52</v>
      </c>
      <c r="K93">
        <v>1.55</v>
      </c>
      <c r="L93">
        <v>1.43</v>
      </c>
      <c r="M93" s="1">
        <f>IF(ISNUMBER(Main_M[[#This Row],[EPS]]),IF(Main_M[[#This Row],[EPS]]&lt;&gt;0,Main_M[[#This Row],[Current Price]]/Main_M[[#This Row],[EPS]],""),"")</f>
        <v>-2.9255512321660184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0.16977225716178959</v>
      </c>
      <c r="P93" s="1">
        <f>(Main_M[[#This Row],[P/B]]-VLOOKUP(Main_M[[#This Row],[Industry]], Mean_PB_M, 2, FALSE))/(VLOOKUP(Main_M[[#This Row],[Industry]], Mean_PB_M, 3, FALSE))</f>
        <v>-0.9901254525571489</v>
      </c>
      <c r="Q93" s="1">
        <f>(Main_M[[#This Row],[ROE]]-VLOOKUP(Main_M[[#This Row],[Industry]], Mean_ROE_M, 2, FALSE))/(VLOOKUP(Main_M[[#This Row],[Industry]], Mean_ROE_M, 3, FALSE))</f>
        <v>-2.9253967455621019</v>
      </c>
      <c r="R93" s="1">
        <f>(Main_M[[#This Row],[ROA]]-VLOOKUP(Main_M[[#This Row],[Industry]], Mean_ROA_M, 2, FALSE))/(VLOOKUP(Main_M[[#This Row],[Industry]], Mean_ROA_M, 3, FALSE))</f>
        <v>-1.8176183051095343</v>
      </c>
      <c r="S93" s="1">
        <f>(Main_M[[#This Row],[A/E]]-VLOOKUP(Main_M[[#This Row],[Industry]], Mean_AE_M, 2, FALSE))/(VLOOKUP(Main_M[[#This Row],[Industry]], Mean_AE_M, 3, FALSE))</f>
        <v>-0.8452537779848901</v>
      </c>
      <c r="T93" s="1">
        <f>(Main_M[[#This Row],[P/E]]-VLOOKUP(Main_M[[#This Row],[Industry]], Mean_PE_M, 2, FALSE))/(VLOOKUP(Main_M[[#This Row],[Industry]], Mean_PE_M, 3, FALSE))</f>
        <v>-0.94099879693741328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s="67" t="s">
        <v>190</v>
      </c>
      <c r="B94" s="67" t="s">
        <v>301</v>
      </c>
      <c r="C94" s="2">
        <v>6662</v>
      </c>
      <c r="D94">
        <f>RTD("tos.rtd", , "LAST", Main_M[[#This Row],[Symbol]])</f>
        <v>147.46</v>
      </c>
      <c r="E94">
        <v>11</v>
      </c>
      <c r="F94">
        <v>65.040000000000006</v>
      </c>
      <c r="G94">
        <v>-0.62</v>
      </c>
      <c r="H94" s="1">
        <f>IF(ISNUMBER(Main_M[[#This Row],[Free CF]]),IF(Main_M[[#This Row],[Free CF]]&lt;&gt;0,Main_M[[#This Row],[Current Price]]/Main_M[[#This Row],[Free CF]],""),"")</f>
        <v>13.405454545454546</v>
      </c>
      <c r="I94" s="1">
        <f>IF(ISNUMBER(Main_M[[#This Row],[BVPS]]),IF(Main_M[[#This Row],[BVPS]]&lt;&gt;0,Main_M[[#This Row],[Current Price]]/Main_M[[#This Row],[BVPS]],""),"")</f>
        <v>2.2672201722017218</v>
      </c>
      <c r="J94">
        <v>-0.67</v>
      </c>
      <c r="K94">
        <v>4.26</v>
      </c>
      <c r="L94">
        <v>2.37</v>
      </c>
      <c r="M94" s="1">
        <f>IF(ISNUMBER(Main_M[[#This Row],[EPS]]),IF(Main_M[[#This Row],[EPS]]&lt;&gt;0,Main_M[[#This Row],[Current Price]]/Main_M[[#This Row],[EPS]],""),"")</f>
        <v>-237.83870967741936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-3.2004564690907837E-2</v>
      </c>
      <c r="P94" s="1">
        <f>(Main_M[[#This Row],[P/B]]-VLOOKUP(Main_M[[#This Row],[Industry]], Mean_PB_M, 2, FALSE))/(VLOOKUP(Main_M[[#This Row],[Industry]], Mean_PB_M, 3, FALSE))</f>
        <v>-4.2555480496113483E-2</v>
      </c>
      <c r="Q94" s="1">
        <f>(Main_M[[#This Row],[ROE]]-VLOOKUP(Main_M[[#This Row],[Industry]], Mean_ROE_M, 2, FALSE))/(VLOOKUP(Main_M[[#This Row],[Industry]], Mean_ROE_M, 3, FALSE))</f>
        <v>-0.30048506491510102</v>
      </c>
      <c r="R94" s="1">
        <f>(Main_M[[#This Row],[ROA]]-VLOOKUP(Main_M[[#This Row],[Industry]], Mean_ROA_M, 2, FALSE))/(VLOOKUP(Main_M[[#This Row],[Industry]], Mean_ROA_M, 3, FALSE))</f>
        <v>-8.9286513233451159E-2</v>
      </c>
      <c r="S94" s="1">
        <f>(Main_M[[#This Row],[A/E]]-VLOOKUP(Main_M[[#This Row],[Industry]], Mean_AE_M, 2, FALSE))/(VLOOKUP(Main_M[[#This Row],[Industry]], Mean_AE_M, 3, FALSE))</f>
        <v>6.7134989064828746E-2</v>
      </c>
      <c r="T94" s="1">
        <f>(Main_M[[#This Row],[P/E]]-VLOOKUP(Main_M[[#This Row],[Industry]], Mean_PE_M, 2, FALSE))/(VLOOKUP(Main_M[[#This Row],[Industry]], Mean_PE_M, 3, FALSE))</f>
        <v>-5.9242588765850961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5" spans="1:26" x14ac:dyDescent="0.25">
      <c r="A95" s="67" t="s">
        <v>190</v>
      </c>
      <c r="B95" s="67" t="s">
        <v>303</v>
      </c>
      <c r="C95" s="2">
        <v>9773</v>
      </c>
      <c r="D95">
        <f>RTD("tos.rtd", , "LAST", Main_M[[#This Row],[Symbol]])</f>
        <v>46.17</v>
      </c>
      <c r="E95">
        <v>2.3199999999999998</v>
      </c>
      <c r="F95">
        <v>15.74</v>
      </c>
      <c r="G95">
        <v>0.42</v>
      </c>
      <c r="H95" s="1">
        <f>IF(ISNUMBER(Main_M[[#This Row],[Free CF]]),IF(Main_M[[#This Row],[Free CF]]&lt;&gt;0,Main_M[[#This Row],[Current Price]]/Main_M[[#This Row],[Free CF]],""),"")</f>
        <v>19.90086206896552</v>
      </c>
      <c r="I95" s="1">
        <f>IF(ISNUMBER(Main_M[[#This Row],[BVPS]]),IF(Main_M[[#This Row],[BVPS]]&lt;&gt;0,Main_M[[#This Row],[Current Price]]/Main_M[[#This Row],[BVPS]],""),"")</f>
        <v>2.9332909783989836</v>
      </c>
      <c r="J95">
        <v>2.67</v>
      </c>
      <c r="K95">
        <v>5.75</v>
      </c>
      <c r="L95">
        <v>1.63</v>
      </c>
      <c r="M95" s="1">
        <f>IF(ISNUMBER(Main_M[[#This Row],[EPS]]),IF(Main_M[[#This Row],[EPS]]&lt;&gt;0,Main_M[[#This Row],[Current Price]]/Main_M[[#This Row],[EPS]],""),"")</f>
        <v>109.92857142857143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0.19950002589794938</v>
      </c>
      <c r="P95" s="1">
        <f>(Main_M[[#This Row],[P/B]]-VLOOKUP(Main_M[[#This Row],[Industry]], Mean_PB_M, 2, FALSE))/(VLOOKUP(Main_M[[#This Row],[Industry]], Mean_PB_M, 3, FALSE))</f>
        <v>0.43054309851649719</v>
      </c>
      <c r="Q95" s="1">
        <f>(Main_M[[#This Row],[ROE]]-VLOOKUP(Main_M[[#This Row],[Industry]], Mean_ROE_M, 2, FALSE))/(VLOOKUP(Main_M[[#This Row],[Industry]], Mean_ROE_M, 3, FALSE))</f>
        <v>2.604026146705847E-2</v>
      </c>
      <c r="R95" s="1">
        <f>(Main_M[[#This Row],[ROA]]-VLOOKUP(Main_M[[#This Row],[Industry]], Mean_ROA_M, 2, FALSE))/(VLOOKUP(Main_M[[#This Row],[Industry]], Mean_ROA_M, 3, FALSE))</f>
        <v>0.86097709189398952</v>
      </c>
      <c r="S95" s="1">
        <f>(Main_M[[#This Row],[A/E]]-VLOOKUP(Main_M[[#This Row],[Industry]], Mean_AE_M, 2, FALSE))/(VLOOKUP(Main_M[[#This Row],[Industry]], Mean_AE_M, 3, FALSE))</f>
        <v>-0.6511285083998436</v>
      </c>
      <c r="T95" s="1">
        <f>(Main_M[[#This Row],[P/E]]-VLOOKUP(Main_M[[#This Row],[Industry]], Mean_PE_M, 2, FALSE))/(VLOOKUP(Main_M[[#This Row],[Industry]], Mean_PE_M, 3, FALSE))</f>
        <v>1.4529984061182817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s="67" t="s">
        <v>190</v>
      </c>
      <c r="B96" s="67" t="s">
        <v>304</v>
      </c>
      <c r="C96" s="2">
        <v>6634</v>
      </c>
      <c r="D96">
        <f>RTD("tos.rtd", , "LAST", Main_M[[#This Row],[Symbol]])</f>
        <v>131.68</v>
      </c>
      <c r="E96">
        <v>2.08</v>
      </c>
      <c r="F96">
        <v>35.340000000000003</v>
      </c>
      <c r="G96">
        <v>-0.42</v>
      </c>
      <c r="H96" s="1">
        <f>IF(ISNUMBER(Main_M[[#This Row],[Free CF]]),IF(Main_M[[#This Row],[Free CF]]&lt;&gt;0,Main_M[[#This Row],[Current Price]]/Main_M[[#This Row],[Free CF]],""),"")</f>
        <v>63.307692307692307</v>
      </c>
      <c r="I96" s="1">
        <f>IF(ISNUMBER(Main_M[[#This Row],[BVPS]]),IF(Main_M[[#This Row],[BVPS]]&lt;&gt;0,Main_M[[#This Row],[Current Price]]/Main_M[[#This Row],[BVPS]],""),"")</f>
        <v>3.7260894170911145</v>
      </c>
      <c r="J96">
        <v>-1.1599999999999999</v>
      </c>
      <c r="K96">
        <v>0.92</v>
      </c>
      <c r="L96">
        <v>1.44</v>
      </c>
      <c r="M96" s="1">
        <f>IF(ISNUMBER(Main_M[[#This Row],[EPS]]),IF(Main_M[[#This Row],[EPS]]&lt;&gt;0,Main_M[[#This Row],[Current Price]]/Main_M[[#This Row],[EPS]],""),"")</f>
        <v>-313.52380952380958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1.7465746977800816</v>
      </c>
      <c r="P96" s="1">
        <f>(Main_M[[#This Row],[P/B]]-VLOOKUP(Main_M[[#This Row],[Industry]], Mean_PB_M, 2, FALSE))/(VLOOKUP(Main_M[[#This Row],[Industry]], Mean_PB_M, 3, FALSE))</f>
        <v>0.9936541240995389</v>
      </c>
      <c r="Q96" s="1">
        <f>(Main_M[[#This Row],[ROE]]-VLOOKUP(Main_M[[#This Row],[Industry]], Mean_ROE_M, 2, FALSE))/(VLOOKUP(Main_M[[#This Row],[Industry]], Mean_ROE_M, 3, FALSE))</f>
        <v>-0.34838848106098674</v>
      </c>
      <c r="R96" s="1">
        <f>(Main_M[[#This Row],[ROA]]-VLOOKUP(Main_M[[#This Row],[Industry]], Mean_ROA_M, 2, FALSE))/(VLOOKUP(Main_M[[#This Row],[Industry]], Mean_ROA_M, 3, FALSE))</f>
        <v>-2.2194076146600628</v>
      </c>
      <c r="S96" s="1">
        <f>(Main_M[[#This Row],[A/E]]-VLOOKUP(Main_M[[#This Row],[Industry]], Mean_AE_M, 2, FALSE))/(VLOOKUP(Main_M[[#This Row],[Industry]], Mean_AE_M, 3, FALSE))</f>
        <v>-0.8355475145056378</v>
      </c>
      <c r="T96" s="1">
        <f>(Main_M[[#This Row],[P/E]]-VLOOKUP(Main_M[[#This Row],[Industry]], Mean_PE_M, 2, FALSE))/(VLOOKUP(Main_M[[#This Row],[Industry]], Mean_PE_M, 3, FALSE))</f>
        <v>-7.5297821226426915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7" spans="1:26" x14ac:dyDescent="0.25">
      <c r="A97" s="67" t="s">
        <v>190</v>
      </c>
      <c r="B97" s="67" t="s">
        <v>307</v>
      </c>
      <c r="C97" s="2">
        <v>7588</v>
      </c>
      <c r="D97">
        <f>RTD("tos.rtd", , "LAST", Main_M[[#This Row],[Symbol]])</f>
        <v>49.88</v>
      </c>
      <c r="E97">
        <v>1.4</v>
      </c>
      <c r="F97">
        <v>12.87</v>
      </c>
      <c r="G97">
        <v>0.83</v>
      </c>
      <c r="H97" s="1">
        <f>IF(ISNUMBER(Main_M[[#This Row],[Free CF]]),IF(Main_M[[#This Row],[Free CF]]&lt;&gt;0,Main_M[[#This Row],[Current Price]]/Main_M[[#This Row],[Free CF]],""),"")</f>
        <v>35.628571428571433</v>
      </c>
      <c r="I97" s="1">
        <f>IF(ISNUMBER(Main_M[[#This Row],[BVPS]]),IF(Main_M[[#This Row],[BVPS]]&lt;&gt;0,Main_M[[#This Row],[Current Price]]/Main_M[[#This Row],[BVPS]],""),"")</f>
        <v>3.875679875679876</v>
      </c>
      <c r="J97">
        <v>6.53</v>
      </c>
      <c r="K97">
        <v>5.24</v>
      </c>
      <c r="L97">
        <v>1.31</v>
      </c>
      <c r="M97" s="1">
        <f>IF(ISNUMBER(Main_M[[#This Row],[EPS]]),IF(Main_M[[#This Row],[EPS]]&lt;&gt;0,Main_M[[#This Row],[Current Price]]/Main_M[[#This Row],[EPS]],""),"")</f>
        <v>60.096385542168683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0.76005560351442658</v>
      </c>
      <c r="P97" s="1">
        <f>(Main_M[[#This Row],[P/B]]-VLOOKUP(Main_M[[#This Row],[Industry]], Mean_PB_M, 2, FALSE))/(VLOOKUP(Main_M[[#This Row],[Industry]], Mean_PB_M, 3, FALSE))</f>
        <v>1.0999056408057499</v>
      </c>
      <c r="Q97" s="1">
        <f>(Main_M[[#This Row],[ROE]]-VLOOKUP(Main_M[[#This Row],[Industry]], Mean_ROE_M, 2, FALSE))/(VLOOKUP(Main_M[[#This Row],[Industry]], Mean_ROE_M, 3, FALSE))</f>
        <v>0.40340186620811713</v>
      </c>
      <c r="R97" s="1">
        <f>(Main_M[[#This Row],[ROA]]-VLOOKUP(Main_M[[#This Row],[Industry]], Mean_ROA_M, 2, FALSE))/(VLOOKUP(Main_M[[#This Row],[Industry]], Mean_ROA_M, 3, FALSE))</f>
        <v>0.53571907940070462</v>
      </c>
      <c r="S97" s="1">
        <f>(Main_M[[#This Row],[A/E]]-VLOOKUP(Main_M[[#This Row],[Industry]], Mean_AE_M, 2, FALSE))/(VLOOKUP(Main_M[[#This Row],[Industry]], Mean_AE_M, 3, FALSE))</f>
        <v>-0.96172893973591789</v>
      </c>
      <c r="T97" s="1">
        <f>(Main_M[[#This Row],[P/E]]-VLOOKUP(Main_M[[#This Row],[Industry]], Mean_PE_M, 2, FALSE))/(VLOOKUP(Main_M[[#This Row],[Industry]], Mean_PE_M, 3, FALSE))</f>
        <v>0.39589822385170942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s="67" t="s">
        <v>190</v>
      </c>
      <c r="B98" s="67" t="s">
        <v>300</v>
      </c>
      <c r="C98" s="2">
        <v>5561</v>
      </c>
      <c r="D98">
        <f>RTD("tos.rtd", , "LAST", Main_M[[#This Row],[Symbol]])</f>
        <v>39.21</v>
      </c>
      <c r="E98">
        <v>1.1599999999999999</v>
      </c>
      <c r="F98">
        <v>11.99</v>
      </c>
      <c r="G98">
        <v>0.52</v>
      </c>
      <c r="H98" s="1">
        <f>IF(ISNUMBER(Main_M[[#This Row],[Free CF]]),IF(Main_M[[#This Row],[Free CF]]&lt;&gt;0,Main_M[[#This Row],[Current Price]]/Main_M[[#This Row],[Free CF]],""),"")</f>
        <v>33.801724137931039</v>
      </c>
      <c r="I98" s="1">
        <f>IF(ISNUMBER(Main_M[[#This Row],[BVPS]]),IF(Main_M[[#This Row],[BVPS]]&lt;&gt;0,Main_M[[#This Row],[Current Price]]/Main_M[[#This Row],[BVPS]],""),"")</f>
        <v>3.2702251876563802</v>
      </c>
      <c r="J98">
        <v>4.76</v>
      </c>
      <c r="K98">
        <v>4.79</v>
      </c>
      <c r="L98">
        <v>3.26</v>
      </c>
      <c r="M98" s="1">
        <f>IF(ISNUMBER(Main_M[[#This Row],[EPS]]),IF(Main_M[[#This Row],[EPS]]&lt;&gt;0,Main_M[[#This Row],[Current Price]]/Main_M[[#This Row],[EPS]],""),"")</f>
        <v>75.403846153846146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0.69494444111895859</v>
      </c>
      <c r="P98" s="1">
        <f>(Main_M[[#This Row],[P/B]]-VLOOKUP(Main_M[[#This Row],[Industry]], Mean_PB_M, 2, FALSE))/(VLOOKUP(Main_M[[#This Row],[Industry]], Mean_PB_M, 3, FALSE))</f>
        <v>0.66986164263717063</v>
      </c>
      <c r="Q98" s="1">
        <f>(Main_M[[#This Row],[ROE]]-VLOOKUP(Main_M[[#This Row],[Industry]], Mean_ROE_M, 2, FALSE))/(VLOOKUP(Main_M[[#This Row],[Industry]], Mean_ROE_M, 3, FALSE))</f>
        <v>0.23036299564032595</v>
      </c>
      <c r="R98" s="1">
        <f>(Main_M[[#This Row],[ROA]]-VLOOKUP(Main_M[[#This Row],[Industry]], Mean_ROA_M, 2, FALSE))/(VLOOKUP(Main_M[[#This Row],[Industry]], Mean_ROA_M, 3, FALSE))</f>
        <v>0.2487267154360413</v>
      </c>
      <c r="S98" s="1">
        <f>(Main_M[[#This Row],[A/E]]-VLOOKUP(Main_M[[#This Row],[Industry]], Mean_AE_M, 2, FALSE))/(VLOOKUP(Main_M[[#This Row],[Industry]], Mean_AE_M, 3, FALSE))</f>
        <v>0.93099243871828552</v>
      </c>
      <c r="T98" s="1">
        <f>(Main_M[[#This Row],[P/E]]-VLOOKUP(Main_M[[#This Row],[Industry]], Mean_PE_M, 2, FALSE))/(VLOOKUP(Main_M[[#This Row],[Industry]], Mean_PE_M, 3, FALSE))</f>
        <v>0.72061846469223667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s="67" t="s">
        <v>190</v>
      </c>
      <c r="B99" s="67" t="s">
        <v>298</v>
      </c>
      <c r="C99" s="2">
        <v>8797</v>
      </c>
      <c r="D99">
        <f>RTD("tos.rtd", , "LAST", Main_M[[#This Row],[Symbol]])</f>
        <v>13.45</v>
      </c>
      <c r="E99">
        <v>0.98</v>
      </c>
      <c r="F99">
        <v>8.9499999999999993</v>
      </c>
      <c r="G99">
        <v>1.04</v>
      </c>
      <c r="H99" s="1">
        <f>IF(ISNUMBER(Main_M[[#This Row],[Free CF]]),IF(Main_M[[#This Row],[Free CF]]&lt;&gt;0,Main_M[[#This Row],[Current Price]]/Main_M[[#This Row],[Free CF]],""),"")</f>
        <v>13.724489795918366</v>
      </c>
      <c r="I99" s="1">
        <f>IF(ISNUMBER(Main_M[[#This Row],[BVPS]]),IF(Main_M[[#This Row],[BVPS]]&lt;&gt;0,Main_M[[#This Row],[Current Price]]/Main_M[[#This Row],[BVPS]],""),"")</f>
        <v>1.5027932960893855</v>
      </c>
      <c r="J99">
        <v>12.52</v>
      </c>
      <c r="K99">
        <v>3.53</v>
      </c>
      <c r="L99">
        <v>2.02</v>
      </c>
      <c r="M99" s="1">
        <f>IF(ISNUMBER(Main_M[[#This Row],[EPS]]),IF(Main_M[[#This Row],[EPS]]&lt;&gt;0,Main_M[[#This Row],[Current Price]]/Main_M[[#This Row],[EPS]],""),"")</f>
        <v>12.932692307692307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-2.0633742340701009E-2</v>
      </c>
      <c r="P99" s="1">
        <f>(Main_M[[#This Row],[P/B]]-VLOOKUP(Main_M[[#This Row],[Industry]], Mean_PB_M, 2, FALSE))/(VLOOKUP(Main_M[[#This Row],[Industry]], Mean_PB_M, 3, FALSE))</f>
        <v>-0.58551467564914372</v>
      </c>
      <c r="Q99" s="1">
        <f>(Main_M[[#This Row],[ROE]]-VLOOKUP(Main_M[[#This Row],[Industry]], Mean_ROE_M, 2, FALSE))/(VLOOKUP(Main_M[[#This Row],[Industry]], Mean_ROE_M, 3, FALSE))</f>
        <v>0.98899668807312779</v>
      </c>
      <c r="R99" s="1">
        <f>(Main_M[[#This Row],[ROA]]-VLOOKUP(Main_M[[#This Row],[Industry]], Mean_ROA_M, 2, FALSE))/(VLOOKUP(Main_M[[#This Row],[Industry]], Mean_ROA_M, 3, FALSE))</f>
        <v>-0.55485190366501602</v>
      </c>
      <c r="S99" s="1">
        <f>(Main_M[[#This Row],[A/E]]-VLOOKUP(Main_M[[#This Row],[Industry]], Mean_AE_M, 2, FALSE))/(VLOOKUP(Main_M[[#This Row],[Industry]], Mean_AE_M, 3, FALSE))</f>
        <v>-0.27258423270900278</v>
      </c>
      <c r="T99" s="1">
        <f>(Main_M[[#This Row],[P/E]]-VLOOKUP(Main_M[[#This Row],[Industry]], Mean_PE_M, 2, FALSE))/(VLOOKUP(Main_M[[#This Row],[Industry]], Mean_PE_M, 3, FALSE))</f>
        <v>-0.60459468705898045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s="67" t="s">
        <v>190</v>
      </c>
      <c r="B100" s="67" t="s">
        <v>305</v>
      </c>
      <c r="C100" s="2">
        <v>3474</v>
      </c>
      <c r="D100">
        <f>RTD("tos.rtd", , "LAST", Main_M[[#This Row],[Symbol]])</f>
        <v>12.36</v>
      </c>
      <c r="E100">
        <v>0.37</v>
      </c>
      <c r="F100">
        <v>1.46</v>
      </c>
      <c r="G100">
        <v>0.09</v>
      </c>
      <c r="H100" s="1">
        <f>IF(ISNUMBER(Main_M[[#This Row],[Free CF]]),IF(Main_M[[#This Row],[Free CF]]&lt;&gt;0,Main_M[[#This Row],[Current Price]]/Main_M[[#This Row],[Free CF]],""),"")</f>
        <v>33.405405405405403</v>
      </c>
      <c r="I100" s="1">
        <f>IF(ISNUMBER(Main_M[[#This Row],[BVPS]]),IF(Main_M[[#This Row],[BVPS]]&lt;&gt;0,Main_M[[#This Row],[Current Price]]/Main_M[[#This Row],[BVPS]],""),"")</f>
        <v>8.4657534246575334</v>
      </c>
      <c r="J100">
        <v>5.88</v>
      </c>
      <c r="K100">
        <v>7.01</v>
      </c>
      <c r="L100">
        <v>7.48</v>
      </c>
      <c r="M100" s="1">
        <f>IF(ISNUMBER(Main_M[[#This Row],[EPS]]),IF(Main_M[[#This Row],[EPS]]&lt;&gt;0,Main_M[[#This Row],[Current Price]]/Main_M[[#This Row],[EPS]],""),"")</f>
        <v>137.33333333333334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0.68081913711240583</v>
      </c>
      <c r="P100" s="1">
        <f>(Main_M[[#This Row],[P/B]]-VLOOKUP(Main_M[[#This Row],[Industry]], Mean_PB_M, 2, FALSE))/(VLOOKUP(Main_M[[#This Row],[Industry]], Mean_PB_M, 3, FALSE))</f>
        <v>4.3601555322288208</v>
      </c>
      <c r="Q100" s="1">
        <f>(Main_M[[#This Row],[ROE]]-VLOOKUP(Main_M[[#This Row],[Industry]], Mean_ROE_M, 2, FALSE))/(VLOOKUP(Main_M[[#This Row],[Industry]], Mean_ROE_M, 3, FALSE))</f>
        <v>0.3398565182594932</v>
      </c>
      <c r="R100" s="1">
        <f>(Main_M[[#This Row],[ROA]]-VLOOKUP(Main_M[[#This Row],[Industry]], Mean_ROA_M, 2, FALSE))/(VLOOKUP(Main_M[[#This Row],[Industry]], Mean_ROA_M, 3, FALSE))</f>
        <v>1.6645557109950466</v>
      </c>
      <c r="S100" s="1">
        <f>(Main_M[[#This Row],[A/E]]-VLOOKUP(Main_M[[#This Row],[Industry]], Mean_AE_M, 2, FALSE))/(VLOOKUP(Main_M[[#This Row],[Industry]], Mean_AE_M, 3, FALSE))</f>
        <v>5.0270356269627676</v>
      </c>
      <c r="T100" s="1">
        <f>(Main_M[[#This Row],[P/E]]-VLOOKUP(Main_M[[#This Row],[Industry]], Mean_PE_M, 2, FALSE))/(VLOOKUP(Main_M[[#This Row],[Industry]], Mean_PE_M, 3, FALSE))</f>
        <v>2.0343411324946596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s="67" t="s">
        <v>190</v>
      </c>
      <c r="B101" s="67" t="s">
        <v>306</v>
      </c>
      <c r="C101" s="2">
        <v>6061</v>
      </c>
      <c r="D101">
        <f>RTD("tos.rtd", , "LAST", Main_M[[#This Row],[Symbol]])</f>
        <v>23.35</v>
      </c>
      <c r="E101">
        <v>-0.39</v>
      </c>
      <c r="F101">
        <v>5.61</v>
      </c>
      <c r="G101">
        <v>0.5</v>
      </c>
      <c r="H101" s="1">
        <f>IF(ISNUMBER(Main_M[[#This Row],[Free CF]]),IF(Main_M[[#This Row],[Free CF]]&lt;&gt;0,Main_M[[#This Row],[Current Price]]/Main_M[[#This Row],[Free CF]],""),"")</f>
        <v>-59.871794871794876</v>
      </c>
      <c r="I101" s="1">
        <f>IF(ISNUMBER(Main_M[[#This Row],[BVPS]]),IF(Main_M[[#This Row],[BVPS]]&lt;&gt;0,Main_M[[#This Row],[Current Price]]/Main_M[[#This Row],[BVPS]],""),"")</f>
        <v>4.1622103386809268</v>
      </c>
      <c r="J101">
        <v>9.14</v>
      </c>
      <c r="K101">
        <v>4.88</v>
      </c>
      <c r="L101">
        <v>1.64</v>
      </c>
      <c r="M101" s="1">
        <f>IF(ISNUMBER(Main_M[[#This Row],[EPS]]),IF(Main_M[[#This Row],[EPS]]&lt;&gt;0,Main_M[[#This Row],[Current Price]]/Main_M[[#This Row],[EPS]],""),"")</f>
        <v>46.7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-2.6436989910089528</v>
      </c>
      <c r="P101" s="1">
        <f>(Main_M[[#This Row],[P/B]]-VLOOKUP(Main_M[[#This Row],[Industry]], Mean_PB_M, 2, FALSE))/(VLOOKUP(Main_M[[#This Row],[Industry]], Mean_PB_M, 3, FALSE))</f>
        <v>1.3034232753100257</v>
      </c>
      <c r="Q101" s="1">
        <f>(Main_M[[#This Row],[ROE]]-VLOOKUP(Main_M[[#This Row],[Industry]], Mean_ROE_M, 2, FALSE))/(VLOOKUP(Main_M[[#This Row],[Industry]], Mean_ROE_M, 3, FALSE))</f>
        <v>0.65856087874028368</v>
      </c>
      <c r="R101" s="1">
        <f>(Main_M[[#This Row],[ROA]]-VLOOKUP(Main_M[[#This Row],[Industry]], Mean_ROA_M, 2, FALSE))/(VLOOKUP(Main_M[[#This Row],[Industry]], Mean_ROA_M, 3, FALSE))</f>
        <v>0.30612518822897383</v>
      </c>
      <c r="S101" s="1">
        <f>(Main_M[[#This Row],[A/E]]-VLOOKUP(Main_M[[#This Row],[Industry]], Mean_AE_M, 2, FALSE))/(VLOOKUP(Main_M[[#This Row],[Industry]], Mean_AE_M, 3, FALSE))</f>
        <v>-0.6414222449205913</v>
      </c>
      <c r="T101" s="1">
        <f>(Main_M[[#This Row],[P/E]]-VLOOKUP(Main_M[[#This Row],[Industry]], Mean_PE_M, 2, FALSE))/(VLOOKUP(Main_M[[#This Row],[Industry]], Mean_PE_M, 3, FALSE))</f>
        <v>0.11171800284711855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s="67" t="s">
        <v>190</v>
      </c>
      <c r="B102" s="67" t="s">
        <v>564</v>
      </c>
      <c r="C102" s="2">
        <v>2487</v>
      </c>
      <c r="D102">
        <f>RTD("tos.rtd", , "LAST", Main_M[[#This Row],[Symbol]])</f>
        <v>13.65</v>
      </c>
      <c r="E102">
        <v>-0.48</v>
      </c>
      <c r="F102">
        <v>45.14</v>
      </c>
      <c r="G102">
        <v>3.72</v>
      </c>
      <c r="H102" s="1">
        <f>IF(ISNUMBER(Main_M[[#This Row],[Free CF]]),IF(Main_M[[#This Row],[Free CF]]&lt;&gt;0,Main_M[[#This Row],[Current Price]]/Main_M[[#This Row],[Free CF]],""),"")</f>
        <v>-28.437500000000004</v>
      </c>
      <c r="I102" s="1">
        <f>IF(ISNUMBER(Main_M[[#This Row],[BVPS]]),IF(Main_M[[#This Row],[BVPS]]&lt;&gt;0,Main_M[[#This Row],[Current Price]]/Main_M[[#This Row],[BVPS]],""),"")</f>
        <v>0.30239255649091717</v>
      </c>
      <c r="J102">
        <v>5.42</v>
      </c>
      <c r="K102">
        <v>3.01</v>
      </c>
      <c r="L102">
        <v>3.2</v>
      </c>
      <c r="M102" s="1">
        <f>IF(ISNUMBER(Main_M[[#This Row],[EPS]]),IF(Main_M[[#This Row],[EPS]]&lt;&gt;0,Main_M[[#This Row],[Current Price]]/Main_M[[#This Row],[EPS]],""),"")</f>
        <v>3.6693548387096775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-1.5233407165814326</v>
      </c>
      <c r="P102" s="1">
        <f>(Main_M[[#This Row],[P/B]]-VLOOKUP(Main_M[[#This Row],[Industry]], Mean_PB_M, 2, FALSE))/(VLOOKUP(Main_M[[#This Row],[Industry]], Mean_PB_M, 3, FALSE))</f>
        <v>-1.4381385691838682</v>
      </c>
      <c r="Q102" s="1">
        <f>(Main_M[[#This Row],[ROE]]-VLOOKUP(Main_M[[#This Row],[Industry]], Mean_ROE_M, 2, FALSE))/(VLOOKUP(Main_M[[#This Row],[Industry]], Mean_ROE_M, 3, FALSE))</f>
        <v>0.29488596432662095</v>
      </c>
      <c r="R102" s="1">
        <f>(Main_M[[#This Row],[ROA]]-VLOOKUP(Main_M[[#This Row],[Industry]], Mean_ROA_M, 2, FALSE))/(VLOOKUP(Main_M[[#This Row],[Industry]], Mean_ROA_M, 3, FALSE))</f>
        <v>-0.88648752424640465</v>
      </c>
      <c r="S102" s="1">
        <f>(Main_M[[#This Row],[A/E]]-VLOOKUP(Main_M[[#This Row],[Industry]], Mean_AE_M, 2, FALSE))/(VLOOKUP(Main_M[[#This Row],[Industry]], Mean_AE_M, 3, FALSE))</f>
        <v>0.87275485784277196</v>
      </c>
      <c r="T102" s="1">
        <f>(Main_M[[#This Row],[P/E]]-VLOOKUP(Main_M[[#This Row],[Industry]], Mean_PE_M, 2, FALSE))/(VLOOKUP(Main_M[[#This Row],[Industry]], Mean_PE_M, 3, FALSE))</f>
        <v>-0.80109972798134199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s="67" t="s">
        <v>190</v>
      </c>
      <c r="B103" s="67" t="s">
        <v>198</v>
      </c>
      <c r="C103" s="2">
        <v>9553</v>
      </c>
      <c r="D103">
        <f>RTD("tos.rtd", , "LAST", Main_M[[#This Row],[Symbol]])</f>
        <v>66.94</v>
      </c>
      <c r="E103">
        <v>-1.45</v>
      </c>
      <c r="F103">
        <v>1.89</v>
      </c>
      <c r="G103">
        <v>-4.92</v>
      </c>
      <c r="H103" s="1">
        <f>IF(ISNUMBER(Main_M[[#This Row],[Free CF]]),IF(Main_M[[#This Row],[Free CF]]&lt;&gt;0,Main_M[[#This Row],[Current Price]]/Main_M[[#This Row],[Free CF]],""),"")</f>
        <v>-46.165517241379312</v>
      </c>
      <c r="I103" s="1">
        <f>IF(ISNUMBER(Main_M[[#This Row],[BVPS]]),IF(Main_M[[#This Row],[BVPS]]&lt;&gt;0,Main_M[[#This Row],[Current Price]]/Main_M[[#This Row],[BVPS]],""),"")</f>
        <v>35.417989417989418</v>
      </c>
      <c r="J103">
        <v>10561</v>
      </c>
      <c r="K103">
        <v>-43.89</v>
      </c>
      <c r="L103">
        <v>4.7300000000000004</v>
      </c>
      <c r="M103" s="1">
        <f>IF(ISNUMBER(Main_M[[#This Row],[EPS]]),IF(Main_M[[#This Row],[EPS]]&lt;&gt;0,Main_M[[#This Row],[Current Price]]/Main_M[[#This Row],[EPS]],""),"")</f>
        <v>-13.605691056910569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-2.1551898128178628</v>
      </c>
      <c r="P103" s="1">
        <f>(Main_M[[#This Row],[P/B]]-VLOOKUP(Main_M[[#This Row],[Industry]], Mean_PB_M, 2, FALSE))/(VLOOKUP(Main_M[[#This Row],[Industry]], Mean_PB_M, 3, FALSE))</f>
        <v>23.503862824335439</v>
      </c>
      <c r="Q103" s="1">
        <f>(Main_M[[#This Row],[ROE]]-VLOOKUP(Main_M[[#This Row],[Industry]], Mean_ROE_M, 2, FALSE))/(VLOOKUP(Main_M[[#This Row],[Industry]], Mean_ROE_M, 3, FALSE))</f>
        <v>1032.2302765789959</v>
      </c>
      <c r="R103" s="1">
        <f>(Main_M[[#This Row],[ROA]]-VLOOKUP(Main_M[[#This Row],[Industry]], Mean_ROA_M, 2, FALSE))/(VLOOKUP(Main_M[[#This Row],[Industry]], Mean_ROA_M, 3, FALSE))</f>
        <v>-30.797469457452419</v>
      </c>
      <c r="S103" s="1">
        <f>(Main_M[[#This Row],[A/E]]-VLOOKUP(Main_M[[#This Row],[Industry]], Mean_AE_M, 2, FALSE))/(VLOOKUP(Main_M[[#This Row],[Industry]], Mean_AE_M, 3, FALSE))</f>
        <v>2.3578131701683782</v>
      </c>
      <c r="T103" s="1">
        <f>(Main_M[[#This Row],[P/E]]-VLOOKUP(Main_M[[#This Row],[Industry]], Mean_PE_M, 2, FALSE))/(VLOOKUP(Main_M[[#This Row],[Industry]], Mean_PE_M, 3, FALSE))</f>
        <v>-1.167558751202846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s="67" t="s">
        <v>190</v>
      </c>
      <c r="B104" s="67" t="s">
        <v>565</v>
      </c>
      <c r="C104" s="2">
        <v>4574</v>
      </c>
      <c r="D104">
        <f>RTD("tos.rtd", , "LAST", Main_M[[#This Row],[Symbol]])</f>
        <v>6.1</v>
      </c>
      <c r="E104">
        <v>-2.0299999999999998</v>
      </c>
      <c r="F104">
        <v>20.45</v>
      </c>
      <c r="G104">
        <v>1.77</v>
      </c>
      <c r="H104" s="1">
        <f>IF(ISNUMBER(Main_M[[#This Row],[Free CF]]),IF(Main_M[[#This Row],[Free CF]]&lt;&gt;0,Main_M[[#This Row],[Current Price]]/Main_M[[#This Row],[Free CF]],""),"")</f>
        <v>-3.0049261083743843</v>
      </c>
      <c r="I104" s="1">
        <f>IF(ISNUMBER(Main_M[[#This Row],[BVPS]]),IF(Main_M[[#This Row],[BVPS]]&lt;&gt;0,Main_M[[#This Row],[Current Price]]/Main_M[[#This Row],[BVPS]],""),"")</f>
        <v>0.2982885085574572</v>
      </c>
      <c r="J104">
        <v>8.8699999999999992</v>
      </c>
      <c r="K104">
        <v>4.6100000000000003</v>
      </c>
      <c r="L104">
        <v>1.38</v>
      </c>
      <c r="M104" s="1">
        <f>IF(ISNUMBER(Main_M[[#This Row],[EPS]]),IF(Main_M[[#This Row],[EPS]]&lt;&gt;0,Main_M[[#This Row],[Current Price]]/Main_M[[#This Row],[EPS]],""),"")</f>
        <v>3.4463276836158188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-0.61689141604252973</v>
      </c>
      <c r="P104" s="1">
        <f>(Main_M[[#This Row],[P/B]]-VLOOKUP(Main_M[[#This Row],[Industry]], Mean_PB_M, 2, FALSE))/(VLOOKUP(Main_M[[#This Row],[Industry]], Mean_PB_M, 3, FALSE))</f>
        <v>-1.4410536034827059</v>
      </c>
      <c r="Q104" s="1">
        <f>(Main_M[[#This Row],[ROE]]-VLOOKUP(Main_M[[#This Row],[Industry]], Mean_ROE_M, 2, FALSE))/(VLOOKUP(Main_M[[#This Row],[Industry]], Mean_ROE_M, 3, FALSE))</f>
        <v>0.63216511882316295</v>
      </c>
      <c r="R104" s="1">
        <f>(Main_M[[#This Row],[ROA]]-VLOOKUP(Main_M[[#This Row],[Industry]], Mean_ROA_M, 2, FALSE))/(VLOOKUP(Main_M[[#This Row],[Industry]], Mean_ROA_M, 3, FALSE))</f>
        <v>0.13392976985017616</v>
      </c>
      <c r="S104" s="1">
        <f>(Main_M[[#This Row],[A/E]]-VLOOKUP(Main_M[[#This Row],[Industry]], Mean_AE_M, 2, FALSE))/(VLOOKUP(Main_M[[#This Row],[Industry]], Mean_AE_M, 3, FALSE))</f>
        <v>-0.89378509538115181</v>
      </c>
      <c r="T104" s="1">
        <f>(Main_M[[#This Row],[P/E]]-VLOOKUP(Main_M[[#This Row],[Industry]], Mean_PE_M, 2, FALSE))/(VLOOKUP(Main_M[[#This Row],[Industry]], Mean_PE_M, 3, FALSE))</f>
        <v>-0.80583084788119064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s="67" t="s">
        <v>172</v>
      </c>
      <c r="B105" s="67" t="s">
        <v>294</v>
      </c>
      <c r="C105" s="2">
        <v>4233</v>
      </c>
      <c r="D105">
        <f>RTD("tos.rtd", , "LAST", Main_M[[#This Row],[Symbol]])</f>
        <v>85.68</v>
      </c>
      <c r="E105">
        <v>4.9000000000000004</v>
      </c>
      <c r="F105">
        <v>37.06</v>
      </c>
      <c r="G105">
        <v>4.29</v>
      </c>
      <c r="H105" s="1">
        <f>IF(ISNUMBER(Main_M[[#This Row],[Free CF]]),IF(Main_M[[#This Row],[Free CF]]&lt;&gt;0,Main_M[[#This Row],[Current Price]]/Main_M[[#This Row],[Free CF]],""),"")</f>
        <v>17.485714285714288</v>
      </c>
      <c r="I105" s="1">
        <f>IF(ISNUMBER(Main_M[[#This Row],[BVPS]]),IF(Main_M[[#This Row],[BVPS]]&lt;&gt;0,Main_M[[#This Row],[Current Price]]/Main_M[[#This Row],[BVPS]],""),"")</f>
        <v>2.3119266055045871</v>
      </c>
      <c r="J105">
        <v>12.3</v>
      </c>
      <c r="K105">
        <v>6.5</v>
      </c>
      <c r="L105">
        <v>1.85</v>
      </c>
      <c r="M105" s="1">
        <f>IF(ISNUMBER(Main_M[[#This Row],[EPS]]),IF(Main_M[[#This Row],[EPS]]&lt;&gt;0,Main_M[[#This Row],[Current Price]]/Main_M[[#This Row],[EPS]],""),"")</f>
        <v>19.972027972027973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0.63206827748874705</v>
      </c>
      <c r="P105" s="1">
        <f>(Main_M[[#This Row],[P/B]]-VLOOKUP(Main_M[[#This Row],[Industry]], Mean_PB_M, 2, FALSE))/(VLOOKUP(Main_M[[#This Row],[Industry]], Mean_PB_M, 3, FALSE))</f>
        <v>-0.37567501130007025</v>
      </c>
      <c r="Q105" s="1">
        <f>(Main_M[[#This Row],[ROE]]-VLOOKUP(Main_M[[#This Row],[Industry]], Mean_ROE_M, 2, FALSE))/(VLOOKUP(Main_M[[#This Row],[Industry]], Mean_ROE_M, 3, FALSE))</f>
        <v>0.24125047386480125</v>
      </c>
      <c r="R105" s="1">
        <f>(Main_M[[#This Row],[ROA]]-VLOOKUP(Main_M[[#This Row],[Industry]], Mean_ROA_M, 2, FALSE))/(VLOOKUP(Main_M[[#This Row],[Industry]], Mean_ROA_M, 3, FALSE))</f>
        <v>0.76567068432874497</v>
      </c>
      <c r="S105" s="1">
        <f>(Main_M[[#This Row],[A/E]]-VLOOKUP(Main_M[[#This Row],[Industry]], Mean_AE_M, 2, FALSE))/(VLOOKUP(Main_M[[#This Row],[Industry]], Mean_AE_M, 3, FALSE))</f>
        <v>0.17100427991067596</v>
      </c>
      <c r="T105" s="1">
        <f>(Main_M[[#This Row],[P/E]]-VLOOKUP(Main_M[[#This Row],[Industry]], Mean_PE_M, 2, FALSE))/(VLOOKUP(Main_M[[#This Row],[Industry]], Mean_PE_M, 3, FALSE))</f>
        <v>0.67946597632189909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s="67" t="s">
        <v>172</v>
      </c>
      <c r="B106" s="67" t="s">
        <v>293</v>
      </c>
      <c r="C106" s="2">
        <v>2397</v>
      </c>
      <c r="D106">
        <f>RTD("tos.rtd", , "LAST", Main_M[[#This Row],[Symbol]])</f>
        <v>9.76</v>
      </c>
      <c r="E106">
        <v>2.27</v>
      </c>
      <c r="F106">
        <v>2.1</v>
      </c>
      <c r="G106">
        <v>2.88</v>
      </c>
      <c r="H106" s="1">
        <f>IF(ISNUMBER(Main_M[[#This Row],[Free CF]]),IF(Main_M[[#This Row],[Free CF]]&lt;&gt;0,Main_M[[#This Row],[Current Price]]/Main_M[[#This Row],[Free CF]],""),"")</f>
        <v>4.2995594713656384</v>
      </c>
      <c r="I106" s="1">
        <f>IF(ISNUMBER(Main_M[[#This Row],[BVPS]]),IF(Main_M[[#This Row],[BVPS]]&lt;&gt;0,Main_M[[#This Row],[Current Price]]/Main_M[[#This Row],[BVPS]],""),"")</f>
        <v>4.6476190476190471</v>
      </c>
      <c r="J106">
        <v>254.24</v>
      </c>
      <c r="K106">
        <v>6.98</v>
      </c>
      <c r="L106">
        <v>24.27</v>
      </c>
      <c r="M106" s="1">
        <f>IF(ISNUMBER(Main_M[[#This Row],[EPS]]),IF(Main_M[[#This Row],[EPS]]&lt;&gt;0,Main_M[[#This Row],[Current Price]]/Main_M[[#This Row],[EPS]],""),"")</f>
        <v>3.3888888888888888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0.27257513219983054</v>
      </c>
      <c r="P106" s="1">
        <f>(Main_M[[#This Row],[P/B]]-VLOOKUP(Main_M[[#This Row],[Industry]], Mean_PB_M, 2, FALSE))/(VLOOKUP(Main_M[[#This Row],[Industry]], Mean_PB_M, 3, FALSE))</f>
        <v>-0.20189253497215232</v>
      </c>
      <c r="Q106" s="1">
        <f>(Main_M[[#This Row],[ROE]]-VLOOKUP(Main_M[[#This Row],[Industry]], Mean_ROE_M, 2, FALSE))/(VLOOKUP(Main_M[[#This Row],[Industry]], Mean_ROE_M, 3, FALSE))</f>
        <v>2.1816806482946554</v>
      </c>
      <c r="R106" s="1">
        <f>(Main_M[[#This Row],[ROA]]-VLOOKUP(Main_M[[#This Row],[Industry]], Mean_ROA_M, 2, FALSE))/(VLOOKUP(Main_M[[#This Row],[Industry]], Mean_ROA_M, 3, FALSE))</f>
        <v>0.80732212827013017</v>
      </c>
      <c r="S106" s="1">
        <f>(Main_M[[#This Row],[A/E]]-VLOOKUP(Main_M[[#This Row],[Industry]], Mean_AE_M, 2, FALSE))/(VLOOKUP(Main_M[[#This Row],[Industry]], Mean_AE_M, 3, FALSE))</f>
        <v>49.869914815431919</v>
      </c>
      <c r="T106" s="1">
        <f>(Main_M[[#This Row],[P/E]]-VLOOKUP(Main_M[[#This Row],[Industry]], Mean_PE_M, 2, FALSE))/(VLOOKUP(Main_M[[#This Row],[Industry]], Mean_PE_M, 3, FALSE))</f>
        <v>0.18828618540945341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s="67" t="s">
        <v>172</v>
      </c>
      <c r="B107" s="67" t="s">
        <v>289</v>
      </c>
      <c r="C107" s="2">
        <v>8225</v>
      </c>
      <c r="D107">
        <f>RTD("tos.rtd", , "LAST", Main_M[[#This Row],[Symbol]])</f>
        <v>70.569999999999993</v>
      </c>
      <c r="E107">
        <v>1.71</v>
      </c>
      <c r="F107">
        <v>6.45</v>
      </c>
      <c r="G107">
        <v>1.1399999999999999</v>
      </c>
      <c r="H107" s="1">
        <f>IF(ISNUMBER(Main_M[[#This Row],[Free CF]]),IF(Main_M[[#This Row],[Free CF]]&lt;&gt;0,Main_M[[#This Row],[Current Price]]/Main_M[[#This Row],[Free CF]],""),"")</f>
        <v>41.26900584795321</v>
      </c>
      <c r="I107" s="1">
        <f>IF(ISNUMBER(Main_M[[#This Row],[BVPS]]),IF(Main_M[[#This Row],[BVPS]]&lt;&gt;0,Main_M[[#This Row],[Current Price]]/Main_M[[#This Row],[BVPS]],""),"")</f>
        <v>10.941085271317828</v>
      </c>
      <c r="J107">
        <v>21.77</v>
      </c>
      <c r="K107">
        <v>9.18</v>
      </c>
      <c r="L107">
        <v>1.24</v>
      </c>
      <c r="M107" s="1">
        <f>IF(ISNUMBER(Main_M[[#This Row],[EPS]]),IF(Main_M[[#This Row],[EPS]]&lt;&gt;0,Main_M[[#This Row],[Current Price]]/Main_M[[#This Row],[EPS]],""),"")</f>
        <v>61.903508771929822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1.2804703635714103</v>
      </c>
      <c r="P107" s="1">
        <f>(Main_M[[#This Row],[P/B]]-VLOOKUP(Main_M[[#This Row],[Industry]], Mean_PB_M, 2, FALSE))/(VLOOKUP(Main_M[[#This Row],[Industry]], Mean_PB_M, 3, FALSE))</f>
        <v>0.26636010194197102</v>
      </c>
      <c r="Q107" s="1">
        <f>(Main_M[[#This Row],[ROE]]-VLOOKUP(Main_M[[#This Row],[Industry]], Mean_ROE_M, 2, FALSE))/(VLOOKUP(Main_M[[#This Row],[Industry]], Mean_ROE_M, 3, FALSE))</f>
        <v>0.31720266759816784</v>
      </c>
      <c r="R107" s="1">
        <f>(Main_M[[#This Row],[ROA]]-VLOOKUP(Main_M[[#This Row],[Industry]], Mean_ROA_M, 2, FALSE))/(VLOOKUP(Main_M[[#This Row],[Industry]], Mean_ROA_M, 3, FALSE))</f>
        <v>0.9982245796681456</v>
      </c>
      <c r="S107" s="1">
        <f>(Main_M[[#This Row],[A/E]]-VLOOKUP(Main_M[[#This Row],[Industry]], Mean_AE_M, 2, FALSE))/(VLOOKUP(Main_M[[#This Row],[Industry]], Mean_AE_M, 3, FALSE))</f>
        <v>-1.1811962297533722</v>
      </c>
      <c r="T107" s="1">
        <f>(Main_M[[#This Row],[P/E]]-VLOOKUP(Main_M[[#This Row],[Industry]], Mean_PE_M, 2, FALSE))/(VLOOKUP(Main_M[[#This Row],[Industry]], Mean_PE_M, 3, FALSE))</f>
        <v>1.9214441005291496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s="67" t="s">
        <v>172</v>
      </c>
      <c r="B108" s="67" t="s">
        <v>295</v>
      </c>
      <c r="C108" s="2">
        <v>3680</v>
      </c>
      <c r="D108">
        <f>RTD("tos.rtd", , "LAST", Main_M[[#This Row],[Symbol]])</f>
        <v>26.17</v>
      </c>
      <c r="E108">
        <v>1.25</v>
      </c>
      <c r="F108">
        <v>31.81</v>
      </c>
      <c r="G108">
        <v>-1.2</v>
      </c>
      <c r="H108" s="1">
        <f>IF(ISNUMBER(Main_M[[#This Row],[Free CF]]),IF(Main_M[[#This Row],[Free CF]]&lt;&gt;0,Main_M[[#This Row],[Current Price]]/Main_M[[#This Row],[Free CF]],""),"")</f>
        <v>20.936</v>
      </c>
      <c r="I108" s="1">
        <f>IF(ISNUMBER(Main_M[[#This Row],[BVPS]]),IF(Main_M[[#This Row],[BVPS]]&lt;&gt;0,Main_M[[#This Row],[Current Price]]/Main_M[[#This Row],[BVPS]],""),"")</f>
        <v>0.82269726501100293</v>
      </c>
      <c r="J108">
        <v>-3.64</v>
      </c>
      <c r="K108">
        <v>2.93</v>
      </c>
      <c r="L108">
        <v>2.2400000000000002</v>
      </c>
      <c r="M108" s="1">
        <f>IF(ISNUMBER(Main_M[[#This Row],[EPS]]),IF(Main_M[[#This Row],[EPS]]&lt;&gt;0,Main_M[[#This Row],[Current Price]]/Main_M[[#This Row],[EPS]],""),"")</f>
        <v>-21.808333333333337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0.72613315698070346</v>
      </c>
      <c r="P108" s="1">
        <f>(Main_M[[#This Row],[P/B]]-VLOOKUP(Main_M[[#This Row],[Industry]], Mean_PB_M, 2, FALSE))/(VLOOKUP(Main_M[[#This Row],[Industry]], Mean_PB_M, 3, FALSE))</f>
        <v>-0.48647811103390259</v>
      </c>
      <c r="Q108" s="1">
        <f>(Main_M[[#This Row],[ROE]]-VLOOKUP(Main_M[[#This Row],[Industry]], Mean_ROE_M, 2, FALSE))/(VLOOKUP(Main_M[[#This Row],[Industry]], Mean_ROE_M, 3, FALSE))</f>
        <v>0.11340697142447771</v>
      </c>
      <c r="R108" s="1">
        <f>(Main_M[[#This Row],[ROA]]-VLOOKUP(Main_M[[#This Row],[Industry]], Mean_ROA_M, 2, FALSE))/(VLOOKUP(Main_M[[#This Row],[Industry]], Mean_ROA_M, 3, FALSE))</f>
        <v>0.45588807001469261</v>
      </c>
      <c r="S108" s="1">
        <f>(Main_M[[#This Row],[A/E]]-VLOOKUP(Main_M[[#This Row],[Industry]], Mean_AE_M, 2, FALSE))/(VLOOKUP(Main_M[[#This Row],[Industry]], Mean_AE_M, 3, FALSE))</f>
        <v>1.0355259172368709</v>
      </c>
      <c r="T108" s="1">
        <f>(Main_M[[#This Row],[P/E]]-VLOOKUP(Main_M[[#This Row],[Industry]], Mean_PE_M, 2, FALSE))/(VLOOKUP(Main_M[[#This Row],[Industry]], Mean_PE_M, 3, FALSE))</f>
        <v>-0.55803610499871303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s="67" t="s">
        <v>172</v>
      </c>
      <c r="B109" s="67" t="s">
        <v>287</v>
      </c>
      <c r="C109" s="2">
        <v>2294</v>
      </c>
      <c r="D109">
        <f>RTD("tos.rtd", , "LAST", Main_M[[#This Row],[Symbol]])</f>
        <v>7.61</v>
      </c>
      <c r="E109">
        <v>0.75</v>
      </c>
      <c r="F109">
        <v>-0.42</v>
      </c>
      <c r="G109">
        <v>-0.04</v>
      </c>
      <c r="H109" s="1">
        <f>IF(ISNUMBER(Main_M[[#This Row],[Free CF]]),IF(Main_M[[#This Row],[Free CF]]&lt;&gt;0,Main_M[[#This Row],[Current Price]]/Main_M[[#This Row],[Free CF]],""),"")</f>
        <v>10.146666666666667</v>
      </c>
      <c r="I109" s="1">
        <f>IF(ISNUMBER(Main_M[[#This Row],[BVPS]]),IF(Main_M[[#This Row],[BVPS]]&lt;&gt;0,Main_M[[#This Row],[Current Price]]/Main_M[[#This Row],[BVPS]],""),"")</f>
        <v>-18.11904761904762</v>
      </c>
      <c r="J109">
        <v>-85.32</v>
      </c>
      <c r="K109">
        <v>6.67</v>
      </c>
      <c r="L109">
        <v>-25.56</v>
      </c>
      <c r="M109" s="1">
        <f>IF(ISNUMBER(Main_M[[#This Row],[EPS]]),IF(Main_M[[#This Row],[EPS]]&lt;&gt;0,Main_M[[#This Row],[Current Price]]/Main_M[[#This Row],[EPS]],""),"")</f>
        <v>-190.25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0.43198437515767252</v>
      </c>
      <c r="P109" s="1">
        <f>(Main_M[[#This Row],[P/B]]-VLOOKUP(Main_M[[#This Row],[Industry]], Mean_PB_M, 2, FALSE))/(VLOOKUP(Main_M[[#This Row],[Industry]], Mean_PB_M, 3, FALSE))</f>
        <v>-1.8958003627869726</v>
      </c>
      <c r="Q109" s="1">
        <f>(Main_M[[#This Row],[ROE]]-VLOOKUP(Main_M[[#This Row],[Industry]], Mean_ROE_M, 2, FALSE))/(VLOOKUP(Main_M[[#This Row],[Industry]], Mean_ROE_M, 3, FALSE))</f>
        <v>-0.54169072489457026</v>
      </c>
      <c r="R109" s="1">
        <f>(Main_M[[#This Row],[ROA]]-VLOOKUP(Main_M[[#This Row],[Industry]], Mean_ROA_M, 2, FALSE))/(VLOOKUP(Main_M[[#This Row],[Industry]], Mean_ROA_M, 3, FALSE))</f>
        <v>0.78042223739131888</v>
      </c>
      <c r="S109" s="1">
        <f>(Main_M[[#This Row],[A/E]]-VLOOKUP(Main_M[[#This Row],[Industry]], Mean_AE_M, 2, FALSE))/(VLOOKUP(Main_M[[#This Row],[Industry]], Mean_AE_M, 3, FALSE))</f>
        <v>-60.589349769091868</v>
      </c>
      <c r="T109" s="1">
        <f>(Main_M[[#This Row],[P/E]]-VLOOKUP(Main_M[[#This Row],[Industry]], Mean_PE_M, 2, FALSE))/(VLOOKUP(Main_M[[#This Row],[Industry]], Mean_PE_M, 3, FALSE))</f>
        <v>-5.5471483713487073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0" spans="1:26" x14ac:dyDescent="0.25">
      <c r="A110" s="67" t="s">
        <v>172</v>
      </c>
      <c r="B110" s="67" t="s">
        <v>290</v>
      </c>
      <c r="C110" s="2">
        <v>6675</v>
      </c>
      <c r="D110">
        <f>RTD("tos.rtd", , "LAST", Main_M[[#This Row],[Symbol]])</f>
        <v>13.92</v>
      </c>
      <c r="E110">
        <v>0.67</v>
      </c>
      <c r="F110">
        <v>12.8</v>
      </c>
      <c r="G110">
        <v>0.75</v>
      </c>
      <c r="H110" s="1">
        <f>IF(ISNUMBER(Main_M[[#This Row],[Free CF]]),IF(Main_M[[#This Row],[Free CF]]&lt;&gt;0,Main_M[[#This Row],[Current Price]]/Main_M[[#This Row],[Free CF]],""),"")</f>
        <v>20.776119402985074</v>
      </c>
      <c r="I110" s="1">
        <f>IF(ISNUMBER(Main_M[[#This Row],[BVPS]]),IF(Main_M[[#This Row],[BVPS]]&lt;&gt;0,Main_M[[#This Row],[Current Price]]/Main_M[[#This Row],[BVPS]],""),"")</f>
        <v>1.0874999999999999</v>
      </c>
      <c r="J110">
        <v>6.01</v>
      </c>
      <c r="K110">
        <v>1.1399999999999999</v>
      </c>
      <c r="L110">
        <v>2.04</v>
      </c>
      <c r="M110" s="1">
        <f>IF(ISNUMBER(Main_M[[#This Row],[EPS]]),IF(Main_M[[#This Row],[EPS]]&lt;&gt;0,Main_M[[#This Row],[Current Price]]/Main_M[[#This Row],[EPS]],""),"")</f>
        <v>18.559999999999999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0.72177434430932308</v>
      </c>
      <c r="P110" s="1">
        <f>(Main_M[[#This Row],[P/B]]-VLOOKUP(Main_M[[#This Row],[Industry]], Mean_PB_M, 2, FALSE))/(VLOOKUP(Main_M[[#This Row],[Industry]], Mean_PB_M, 3, FALSE))</f>
        <v>-0.46677599863457747</v>
      </c>
      <c r="Q110" s="1">
        <f>(Main_M[[#This Row],[ROE]]-VLOOKUP(Main_M[[#This Row],[Industry]], Mean_ROE_M, 2, FALSE))/(VLOOKUP(Main_M[[#This Row],[Industry]], Mean_ROE_M, 3, FALSE))</f>
        <v>0.19080281825942888</v>
      </c>
      <c r="R110" s="1">
        <f>(Main_M[[#This Row],[ROA]]-VLOOKUP(Main_M[[#This Row],[Industry]], Mean_ROA_M, 2, FALSE))/(VLOOKUP(Main_M[[#This Row],[Industry]], Mean_ROA_M, 3, FALSE))</f>
        <v>0.30056289364994365</v>
      </c>
      <c r="S110" s="1">
        <f>(Main_M[[#This Row],[A/E]]-VLOOKUP(Main_M[[#This Row],[Industry]], Mean_AE_M, 2, FALSE))/(VLOOKUP(Main_M[[#This Row],[Industry]], Mean_AE_M, 3, FALSE))</f>
        <v>0.59218148783882196</v>
      </c>
      <c r="T110" s="1">
        <f>(Main_M[[#This Row],[P/E]]-VLOOKUP(Main_M[[#This Row],[Industry]], Mean_PE_M, 2, FALSE))/(VLOOKUP(Main_M[[#This Row],[Industry]], Mean_PE_M, 3, FALSE))</f>
        <v>0.63764279673050295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s="67" t="s">
        <v>172</v>
      </c>
      <c r="B111" s="67" t="s">
        <v>291</v>
      </c>
      <c r="C111" s="2">
        <v>2375</v>
      </c>
      <c r="D111">
        <f>RTD("tos.rtd", , "LAST", Main_M[[#This Row],[Symbol]])</f>
        <v>15.96</v>
      </c>
      <c r="E111">
        <v>-0.02</v>
      </c>
      <c r="F111">
        <v>0.89</v>
      </c>
      <c r="G111">
        <v>0.04</v>
      </c>
      <c r="H111" s="1">
        <f>IF(ISNUMBER(Main_M[[#This Row],[Free CF]]),IF(Main_M[[#This Row],[Free CF]]&lt;&gt;0,Main_M[[#This Row],[Current Price]]/Main_M[[#This Row],[Free CF]],""),"")</f>
        <v>-798</v>
      </c>
      <c r="I111" s="1">
        <f>IF(ISNUMBER(Main_M[[#This Row],[BVPS]]),IF(Main_M[[#This Row],[BVPS]]&lt;&gt;0,Main_M[[#This Row],[Current Price]]/Main_M[[#This Row],[BVPS]],""),"")</f>
        <v>17.932584269662922</v>
      </c>
      <c r="J111">
        <v>5.04</v>
      </c>
      <c r="K111">
        <v>-2.14</v>
      </c>
      <c r="L111">
        <v>1.68</v>
      </c>
      <c r="M111" s="1">
        <f>IF(ISNUMBER(Main_M[[#This Row],[EPS]]),IF(Main_M[[#This Row],[EPS]]&lt;&gt;0,Main_M[[#This Row],[Current Price]]/Main_M[[#This Row],[EPS]],""),"")</f>
        <v>399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-21.600457314258698</v>
      </c>
      <c r="P111" s="1">
        <f>(Main_M[[#This Row],[P/B]]-VLOOKUP(Main_M[[#This Row],[Industry]], Mean_PB_M, 2, FALSE))/(VLOOKUP(Main_M[[#This Row],[Industry]], Mean_PB_M, 3, FALSE))</f>
        <v>0.7865484569107658</v>
      </c>
      <c r="Q111" s="1">
        <f>(Main_M[[#This Row],[ROE]]-VLOOKUP(Main_M[[#This Row],[Industry]], Mean_ROE_M, 2, FALSE))/(VLOOKUP(Main_M[[#This Row],[Industry]], Mean_ROE_M, 3, FALSE))</f>
        <v>0.18302313210088977</v>
      </c>
      <c r="R111" s="1">
        <f>(Main_M[[#This Row],[ROA]]-VLOOKUP(Main_M[[#This Row],[Industry]], Mean_ROA_M, 2, FALSE))/(VLOOKUP(Main_M[[#This Row],[Industry]], Mean_ROA_M, 3, FALSE))</f>
        <v>1.5944693383811544E-2</v>
      </c>
      <c r="S111" s="1">
        <f>(Main_M[[#This Row],[A/E]]-VLOOKUP(Main_M[[#This Row],[Industry]], Mean_AE_M, 2, FALSE))/(VLOOKUP(Main_M[[#This Row],[Industry]], Mean_AE_M, 3, FALSE))</f>
        <v>-0.20583848507766564</v>
      </c>
      <c r="T111" s="1">
        <f>(Main_M[[#This Row],[P/E]]-VLOOKUP(Main_M[[#This Row],[Industry]], Mean_PE_M, 2, FALSE))/(VLOOKUP(Main_M[[#This Row],[Industry]], Mean_PE_M, 3, FALSE))</f>
        <v>11.905982205686275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2" spans="1:26" x14ac:dyDescent="0.25">
      <c r="A112" s="67" t="s">
        <v>172</v>
      </c>
      <c r="B112" s="67" t="s">
        <v>507</v>
      </c>
      <c r="C112" s="2">
        <v>2111</v>
      </c>
      <c r="D112">
        <f>RTD("tos.rtd", , "LAST", Main_M[[#This Row],[Symbol]])</f>
        <v>61.4</v>
      </c>
      <c r="E112">
        <v>-0.96</v>
      </c>
      <c r="F112">
        <v>4.8600000000000003</v>
      </c>
      <c r="G112">
        <v>-1.37</v>
      </c>
      <c r="H112" s="1">
        <f>IF(ISNUMBER(Main_M[[#This Row],[Free CF]]),IF(Main_M[[#This Row],[Free CF]]&lt;&gt;0,Main_M[[#This Row],[Current Price]]/Main_M[[#This Row],[Free CF]],""),"")</f>
        <v>-63.958333333333336</v>
      </c>
      <c r="I112" s="1">
        <f>IF(ISNUMBER(Main_M[[#This Row],[BVPS]]),IF(Main_M[[#This Row],[BVPS]]&lt;&gt;0,Main_M[[#This Row],[Current Price]]/Main_M[[#This Row],[BVPS]],""),"")</f>
        <v>12.633744855967077</v>
      </c>
      <c r="J112">
        <v>-33.43</v>
      </c>
      <c r="K112">
        <v>-22.23</v>
      </c>
      <c r="L112">
        <v>1.04</v>
      </c>
      <c r="M112" s="1">
        <f>IF(ISNUMBER(Main_M[[#This Row],[EPS]]),IF(Main_M[[#This Row],[EPS]]&lt;&gt;0,Main_M[[#This Row],[Current Price]]/Main_M[[#This Row],[EPS]],""),"")</f>
        <v>-44.817518248175176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-1.5883346569415342</v>
      </c>
      <c r="P112" s="1">
        <f>(Main_M[[#This Row],[P/B]]-VLOOKUP(Main_M[[#This Row],[Industry]], Mean_PB_M, 2, FALSE))/(VLOOKUP(Main_M[[#This Row],[Industry]], Mean_PB_M, 3, FALSE))</f>
        <v>0.39229901791253374</v>
      </c>
      <c r="Q112" s="1">
        <f>(Main_M[[#This Row],[ROE]]-VLOOKUP(Main_M[[#This Row],[Industry]], Mean_ROE_M, 2, FALSE))/(VLOOKUP(Main_M[[#This Row],[Industry]], Mean_ROE_M, 3, FALSE))</f>
        <v>-0.12551761688777058</v>
      </c>
      <c r="R112" s="1">
        <f>(Main_M[[#This Row],[ROA]]-VLOOKUP(Main_M[[#This Row],[Industry]], Mean_ROA_M, 2, FALSE))/(VLOOKUP(Main_M[[#This Row],[Industry]], Mean_ROA_M, 3, FALSE))</f>
        <v>-1.7273417832462479</v>
      </c>
      <c r="S112" s="1">
        <f>(Main_M[[#This Row],[A/E]]-VLOOKUP(Main_M[[#This Row],[Industry]], Mean_AE_M, 2, FALSE))/(VLOOKUP(Main_M[[#This Row],[Industry]], Mean_AE_M, 3, FALSE))</f>
        <v>-1.6245406591514207</v>
      </c>
      <c r="T112" s="1">
        <f>(Main_M[[#This Row],[P/E]]-VLOOKUP(Main_M[[#This Row],[Industry]], Mean_PE_M, 2, FALSE))/(VLOOKUP(Main_M[[#This Row],[Industry]], Mean_PE_M, 3, FALSE))</f>
        <v>-1.2395504177520065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s="67" t="s">
        <v>172</v>
      </c>
      <c r="B113" s="67" t="s">
        <v>297</v>
      </c>
      <c r="C113" s="2">
        <v>6913</v>
      </c>
      <c r="D113">
        <f>RTD("tos.rtd", , "LAST", Main_M[[#This Row],[Symbol]])</f>
        <v>84.64</v>
      </c>
      <c r="E113">
        <v>-1.47</v>
      </c>
      <c r="F113">
        <v>2.4900000000000002</v>
      </c>
      <c r="G113">
        <v>-2.02</v>
      </c>
      <c r="H113" s="1">
        <f>IF(ISNUMBER(Main_M[[#This Row],[Free CF]]),IF(Main_M[[#This Row],[Free CF]]&lt;&gt;0,Main_M[[#This Row],[Current Price]]/Main_M[[#This Row],[Free CF]],""),"")</f>
        <v>-57.57823129251701</v>
      </c>
      <c r="I113" s="1">
        <f>IF(ISNUMBER(Main_M[[#This Row],[BVPS]]),IF(Main_M[[#This Row],[BVPS]]&lt;&gt;0,Main_M[[#This Row],[Current Price]]/Main_M[[#This Row],[BVPS]],""),"")</f>
        <v>33.99196787148594</v>
      </c>
      <c r="J113">
        <v>-72.61</v>
      </c>
      <c r="K113">
        <v>-20.64</v>
      </c>
      <c r="L113">
        <v>2.3199999999999998</v>
      </c>
      <c r="M113" s="1">
        <f>IF(ISNUMBER(Main_M[[#This Row],[EPS]]),IF(Main_M[[#This Row],[EPS]]&lt;&gt;0,Main_M[[#This Row],[Current Price]]/Main_M[[#This Row],[EPS]],""),"")</f>
        <v>-41.900990099009903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-1.4143944156650183</v>
      </c>
      <c r="P113" s="1">
        <f>(Main_M[[#This Row],[P/B]]-VLOOKUP(Main_M[[#This Row],[Industry]], Mean_PB_M, 2, FALSE))/(VLOOKUP(Main_M[[#This Row],[Industry]], Mean_PB_M, 3, FALSE))</f>
        <v>1.9814144419624045</v>
      </c>
      <c r="Q113" s="1">
        <f>(Main_M[[#This Row],[ROE]]-VLOOKUP(Main_M[[#This Row],[Industry]], Mean_ROE_M, 2, FALSE))/(VLOOKUP(Main_M[[#This Row],[Industry]], Mean_ROE_M, 3, FALSE))</f>
        <v>-0.4397527753326812</v>
      </c>
      <c r="R113" s="1">
        <f>(Main_M[[#This Row],[ROA]]-VLOOKUP(Main_M[[#This Row],[Industry]], Mean_ROA_M, 2, FALSE))/(VLOOKUP(Main_M[[#This Row],[Industry]], Mean_ROA_M, 3, FALSE))</f>
        <v>-1.5893713751904093</v>
      </c>
      <c r="S113" s="1">
        <f>(Main_M[[#This Row],[A/E]]-VLOOKUP(Main_M[[#This Row],[Industry]], Mean_AE_M, 2, FALSE))/(VLOOKUP(Main_M[[#This Row],[Industry]], Mean_AE_M, 3, FALSE))</f>
        <v>1.2128636889960895</v>
      </c>
      <c r="T113" s="1">
        <f>(Main_M[[#This Row],[P/E]]-VLOOKUP(Main_M[[#This Row],[Industry]], Mean_PE_M, 2, FALSE))/(VLOOKUP(Main_M[[#This Row],[Industry]], Mean_PE_M, 3, FALSE))</f>
        <v>-1.1531651031673995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s="67" t="s">
        <v>172</v>
      </c>
      <c r="B114" s="67" t="s">
        <v>288</v>
      </c>
      <c r="C114" s="2">
        <v>5178</v>
      </c>
      <c r="D114">
        <f>RTD("tos.rtd", , "LAST", Main_M[[#This Row],[Symbol]])</f>
        <v>109.87</v>
      </c>
      <c r="E114">
        <v>-2.46</v>
      </c>
      <c r="F114">
        <v>1.08</v>
      </c>
      <c r="G114">
        <v>-5.77</v>
      </c>
      <c r="H114" s="1">
        <f>IF(ISNUMBER(Main_M[[#This Row],[Free CF]]),IF(Main_M[[#This Row],[Free CF]]&lt;&gt;0,Main_M[[#This Row],[Current Price]]/Main_M[[#This Row],[Free CF]],""),"")</f>
        <v>-44.662601626016261</v>
      </c>
      <c r="I114" s="1">
        <f>IF(ISNUMBER(Main_M[[#This Row],[BVPS]]),IF(Main_M[[#This Row],[BVPS]]&lt;&gt;0,Main_M[[#This Row],[Current Price]]/Main_M[[#This Row],[BVPS]],""),"")</f>
        <v>101.73148148148148</v>
      </c>
      <c r="J114">
        <v>-282.16000000000003</v>
      </c>
      <c r="K114">
        <v>-26.18</v>
      </c>
      <c r="L114">
        <v>11.22</v>
      </c>
      <c r="M114" s="1">
        <f>IF(ISNUMBER(Main_M[[#This Row],[EPS]]),IF(Main_M[[#This Row],[EPS]]&lt;&gt;0,Main_M[[#This Row],[Current Price]]/Main_M[[#This Row],[EPS]],""),"")</f>
        <v>-19.041594454072793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-1.0622765771011347</v>
      </c>
      <c r="P114" s="1">
        <f>(Main_M[[#This Row],[P/B]]-VLOOKUP(Main_M[[#This Row],[Industry]], Mean_PB_M, 2, FALSE))/(VLOOKUP(Main_M[[#This Row],[Industry]], Mean_PB_M, 3, FALSE))</f>
        <v>7.0214360681559613</v>
      </c>
      <c r="Q114" s="1">
        <f>(Main_M[[#This Row],[ROE]]-VLOOKUP(Main_M[[#This Row],[Industry]], Mean_ROE_M, 2, FALSE))/(VLOOKUP(Main_M[[#This Row],[Industry]], Mean_ROE_M, 3, FALSE))</f>
        <v>-2.1204055944273987</v>
      </c>
      <c r="R114" s="1">
        <f>(Main_M[[#This Row],[ROA]]-VLOOKUP(Main_M[[#This Row],[Industry]], Mean_ROA_M, 2, FALSE))/(VLOOKUP(Main_M[[#This Row],[Industry]], Mean_ROA_M, 3, FALSE))</f>
        <v>-2.0700984573472301</v>
      </c>
      <c r="S114" s="1">
        <f>(Main_M[[#This Row],[A/E]]-VLOOKUP(Main_M[[#This Row],[Industry]], Mean_AE_M, 2, FALSE))/(VLOOKUP(Main_M[[#This Row],[Industry]], Mean_AE_M, 3, FALSE))</f>
        <v>20.941690797209251</v>
      </c>
      <c r="T114" s="1">
        <f>(Main_M[[#This Row],[P/E]]-VLOOKUP(Main_M[[#This Row],[Industry]], Mean_PE_M, 2, FALSE))/(VLOOKUP(Main_M[[#This Row],[Industry]], Mean_PE_M, 3, FALSE))</f>
        <v>-0.47608743307288581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284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710937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152</v>
      </c>
      <c r="B2" s="67" t="s">
        <v>454</v>
      </c>
      <c r="C2" s="2">
        <v>345</v>
      </c>
      <c r="D2">
        <f>RTD("tos.rtd", , "LAST", Main_S[[#This Row],[Symbol]])</f>
        <v>8.42</v>
      </c>
      <c r="H2" s="1" t="str">
        <f>IF(ISNUMBER(Main_S[[#This Row],[Free CF]]),IF(Main_S[[#This Row],[Free CF]]&lt;&gt;0,Main_S[[#This Row],[Current Price]]/Main_S[[#This Row],[Free CF]],""),"")</f>
        <v/>
      </c>
      <c r="I2" s="1" t="str">
        <f>IF(ISNUMBER(Main_S[[#This Row],[BVPS]]),IF(Main_S[[#This Row],[BVPS]]&lt;&gt;0,Main_S[[#This Row],[Current Price]]/Main_S[[#This Row],[BVPS]],""),"")</f>
        <v/>
      </c>
      <c r="J2">
        <v>14.83</v>
      </c>
      <c r="K2">
        <v>7.18</v>
      </c>
      <c r="L2">
        <v>1.1000000000000001</v>
      </c>
      <c r="M2" s="1" t="str">
        <f>IF(ISNUMBER(Main_S[[#This Row],[EPS]]),IF(Main_S[[#This Row],[EPS]]&lt;&gt;0,Main_S[[#This Row],[Current Price]]/Main_S[[#This Row],[EPS]],""),"")</f>
        <v/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 t="e">
        <f>(Main_S[[#This Row],[P/FCF]]-VLOOKUP(Main_S[[#This Row],[Industry]], Mean_PFCF_S, 2, FALSE))/(VLOOKUP(Main_S[[#This Row],[Industry]], Mean_PFCF_S, 3, FALSE))</f>
        <v>#VALUE!</v>
      </c>
      <c r="P2" s="1" t="e">
        <f>(Main_S[[#This Row],[P/B]]-VLOOKUP(Main_S[[#This Row],[Industry]], Mean_PB_S, 2, FALSE))/(VLOOKUP(Main_S[[#This Row],[Industry]], Mean_PB_S, 3, FALSE))</f>
        <v>#VALUE!</v>
      </c>
      <c r="Q2" s="1">
        <f>(Main_S[[#This Row],[ROE]]-VLOOKUP(Main_S[[#This Row],[Industry]], Mean_ROE_S, 2, FALSE))/(VLOOKUP(Main_S[[#This Row],[Industry]], Mean_ROE_S, 3, FALSE))</f>
        <v>1.7472593791599444</v>
      </c>
      <c r="R2" s="1">
        <f>(Main_S[[#This Row],[ROA]]-VLOOKUP(Main_S[[#This Row],[Industry]], Mean_ROA_S, 2, FALSE))/(VLOOKUP(Main_S[[#This Row],[Industry]], Mean_ROA_S, 3, FALSE))</f>
        <v>1.8401769029455883</v>
      </c>
      <c r="S2" s="1">
        <f>(Main_S[[#This Row],[A/E]]-VLOOKUP(Main_S[[#This Row],[Industry]], Mean_AE_S, 2, FALSE))/(VLOOKUP(Main_S[[#This Row],[Industry]], Mean_AE_S, 3, FALSE))</f>
        <v>-0.74250206193285861</v>
      </c>
      <c r="T2" s="1" t="e">
        <f>(Main_S[[#This Row],[P/E]]-VLOOKUP(Main_S[[#This Row],[Industry]], Mean_PE_S, 2, FALSE))/(VLOOKUP(Main_S[[#This Row],[Industry]], Mean_PE_S, 3, FALSE))</f>
        <v>#VALUE!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" spans="1:26" x14ac:dyDescent="0.25">
      <c r="A3" s="67" t="s">
        <v>152</v>
      </c>
      <c r="B3" s="67" t="s">
        <v>425</v>
      </c>
      <c r="C3" s="2">
        <v>343</v>
      </c>
      <c r="D3">
        <f>RTD("tos.rtd", , "LAST", Main_S[[#This Row],[Symbol]])</f>
        <v>6.49</v>
      </c>
      <c r="E3">
        <v>2.88</v>
      </c>
      <c r="F3">
        <v>10.14</v>
      </c>
      <c r="G3">
        <v>-2.46</v>
      </c>
      <c r="H3" s="1">
        <f>IF(ISNUMBER(Main_S[[#This Row],[Free CF]]),IF(Main_S[[#This Row],[Free CF]]&lt;&gt;0,Main_S[[#This Row],[Current Price]]/Main_S[[#This Row],[Free CF]],""),"")</f>
        <v>2.2534722222222223</v>
      </c>
      <c r="I3" s="1">
        <f>IF(ISNUMBER(Main_S[[#This Row],[BVPS]]),IF(Main_S[[#This Row],[BVPS]]&lt;&gt;0,Main_S[[#This Row],[Current Price]]/Main_S[[#This Row],[BVPS]],""),"")</f>
        <v>0.64003944773175536</v>
      </c>
      <c r="J3">
        <v>-21.63</v>
      </c>
      <c r="K3">
        <v>-1.61</v>
      </c>
      <c r="L3">
        <v>2.58</v>
      </c>
      <c r="M3" s="1">
        <f>IF(ISNUMBER(Main_S[[#This Row],[EPS]]),IF(Main_S[[#This Row],[EPS]]&lt;&gt;0,Main_S[[#This Row],[Current Price]]/Main_S[[#This Row],[EPS]],""),"")</f>
        <v>-2.6382113821138211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2.1981385187927351</v>
      </c>
      <c r="P3" s="1">
        <f>(Main_S[[#This Row],[P/B]]-VLOOKUP(Main_S[[#This Row],[Industry]], Mean_PB_S, 2, FALSE))/(VLOOKUP(Main_S[[#This Row],[Industry]], Mean_PB_S, 3, FALSE))</f>
        <v>-1.005499037994106</v>
      </c>
      <c r="Q3" s="1">
        <f>(Main_S[[#This Row],[ROE]]-VLOOKUP(Main_S[[#This Row],[Industry]], Mean_ROE_S, 2, FALSE))/(VLOOKUP(Main_S[[#This Row],[Industry]], Mean_ROE_S, 3, FALSE))</f>
        <v>0.7031346138787633</v>
      </c>
      <c r="R3" s="1">
        <f>(Main_S[[#This Row],[ROA]]-VLOOKUP(Main_S[[#This Row],[Industry]], Mean_ROA_S, 2, FALSE))/(VLOOKUP(Main_S[[#This Row],[Industry]], Mean_ROA_S, 3, FALSE))</f>
        <v>1.296168448770824</v>
      </c>
      <c r="S3" s="1">
        <f>(Main_S[[#This Row],[A/E]]-VLOOKUP(Main_S[[#This Row],[Industry]], Mean_AE_S, 2, FALSE))/(VLOOKUP(Main_S[[#This Row],[Industry]], Mean_AE_S, 3, FALSE))</f>
        <v>2.5998125067904909</v>
      </c>
      <c r="T3" s="1">
        <f>(Main_S[[#This Row],[P/E]]-VLOOKUP(Main_S[[#This Row],[Industry]], Mean_PE_S, 2, FALSE))/(VLOOKUP(Main_S[[#This Row],[Industry]], Mean_PE_S, 3, FALSE))</f>
        <v>0.67642359525016937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7" t="s">
        <v>152</v>
      </c>
      <c r="B4" s="67" t="s">
        <v>469</v>
      </c>
      <c r="C4" s="2">
        <v>343</v>
      </c>
      <c r="D4">
        <f>RTD("tos.rtd", , "LAST", Main_S[[#This Row],[Symbol]])</f>
        <v>21.85</v>
      </c>
      <c r="E4">
        <v>2</v>
      </c>
      <c r="F4">
        <v>1.04</v>
      </c>
      <c r="G4">
        <v>2.08</v>
      </c>
      <c r="H4" s="1">
        <f>IF(ISNUMBER(Main_S[[#This Row],[Free CF]]),IF(Main_S[[#This Row],[Free CF]]&lt;&gt;0,Main_S[[#This Row],[Current Price]]/Main_S[[#This Row],[Free CF]],""),"")</f>
        <v>10.925000000000001</v>
      </c>
      <c r="I4" s="1">
        <f>IF(ISNUMBER(Main_S[[#This Row],[BVPS]]),IF(Main_S[[#This Row],[BVPS]]&lt;&gt;0,Main_S[[#This Row],[Current Price]]/Main_S[[#This Row],[BVPS]],""),"")</f>
        <v>21.009615384615387</v>
      </c>
      <c r="J4">
        <v>-567.42999999999995</v>
      </c>
      <c r="K4">
        <v>18.149999999999999</v>
      </c>
      <c r="L4">
        <v>9.48</v>
      </c>
      <c r="M4" s="1">
        <f>IF(ISNUMBER(Main_S[[#This Row],[EPS]]),IF(Main_S[[#This Row],[EPS]]&lt;&gt;0,Main_S[[#This Row],[Current Price]]/Main_S[[#This Row],[EPS]],""),"")</f>
        <v>10.504807692307693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4.7125410122733253</v>
      </c>
      <c r="P4" s="1">
        <f>(Main_S[[#This Row],[P/B]]-VLOOKUP(Main_S[[#This Row],[Industry]], Mean_PB_S, 2, FALSE))/(VLOOKUP(Main_S[[#This Row],[Industry]], Mean_PB_S, 3, FALSE))</f>
        <v>6.8618536039127536</v>
      </c>
      <c r="Q4" s="1">
        <f>(Main_S[[#This Row],[ROE]]-VLOOKUP(Main_S[[#This Row],[Industry]], Mean_ROE_S, 2, FALSE))/(VLOOKUP(Main_S[[#This Row],[Industry]], Mean_ROE_S, 3, FALSE))</f>
        <v>-14.927235569622846</v>
      </c>
      <c r="R4" s="1">
        <f>(Main_S[[#This Row],[ROA]]-VLOOKUP(Main_S[[#This Row],[Industry]], Mean_ROA_S, 2, FALSE))/(VLOOKUP(Main_S[[#This Row],[Industry]], Mean_ROA_S, 3, FALSE))</f>
        <v>2.5191044049134113</v>
      </c>
      <c r="S4" s="1">
        <f>(Main_S[[#This Row],[A/E]]-VLOOKUP(Main_S[[#This Row],[Industry]], Mean_AE_S, 2, FALSE))/(VLOOKUP(Main_S[[#This Row],[Industry]], Mean_AE_S, 3, FALSE))</f>
        <v>18.182225023135839</v>
      </c>
      <c r="T4" s="1">
        <f>(Main_S[[#This Row],[P/E]]-VLOOKUP(Main_S[[#This Row],[Industry]], Mean_PE_S, 2, FALSE))/(VLOOKUP(Main_S[[#This Row],[Industry]], Mean_PE_S, 3, FALSE))</f>
        <v>4.8151749801849899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" spans="1:26" x14ac:dyDescent="0.25">
      <c r="A5" s="67" t="s">
        <v>152</v>
      </c>
      <c r="B5" s="67" t="s">
        <v>446</v>
      </c>
      <c r="C5" s="2">
        <v>493</v>
      </c>
      <c r="D5">
        <f>RTD("tos.rtd", , "LAST", Main_S[[#This Row],[Symbol]])</f>
        <v>6.73</v>
      </c>
      <c r="E5">
        <v>1.27</v>
      </c>
      <c r="F5">
        <v>4.51</v>
      </c>
      <c r="G5">
        <v>-2.09</v>
      </c>
      <c r="H5" s="1">
        <f>IF(ISNUMBER(Main_S[[#This Row],[Free CF]]),IF(Main_S[[#This Row],[Free CF]]&lt;&gt;0,Main_S[[#This Row],[Current Price]]/Main_S[[#This Row],[Free CF]],""),"")</f>
        <v>5.2992125984251972</v>
      </c>
      <c r="I5" s="1">
        <f>IF(ISNUMBER(Main_S[[#This Row],[BVPS]]),IF(Main_S[[#This Row],[BVPS]]&lt;&gt;0,Main_S[[#This Row],[Current Price]]/Main_S[[#This Row],[BVPS]],""),"")</f>
        <v>1.4922394678492241</v>
      </c>
      <c r="J5">
        <v>-41.84</v>
      </c>
      <c r="K5">
        <v>-19.600000000000001</v>
      </c>
      <c r="L5">
        <v>2.04</v>
      </c>
      <c r="M5" s="1">
        <f>IF(ISNUMBER(Main_S[[#This Row],[EPS]]),IF(Main_S[[#This Row],[EPS]]&lt;&gt;0,Main_S[[#This Row],[Current Price]]/Main_S[[#This Row],[EPS]],""),"")</f>
        <v>-3.2200956937799048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3.0812836107158352</v>
      </c>
      <c r="P5" s="1">
        <f>(Main_S[[#This Row],[P/B]]-VLOOKUP(Main_S[[#This Row],[Industry]], Mean_PB_S, 2, FALSE))/(VLOOKUP(Main_S[[#This Row],[Industry]], Mean_PB_S, 3, FALSE))</f>
        <v>-0.67635335030386012</v>
      </c>
      <c r="Q5" s="1">
        <f>(Main_S[[#This Row],[ROE]]-VLOOKUP(Main_S[[#This Row],[Industry]], Mean_ROE_S, 2, FALSE))/(VLOOKUP(Main_S[[#This Row],[Industry]], Mean_ROE_S, 3, FALSE))</f>
        <v>0.12436989894917796</v>
      </c>
      <c r="R5" s="1">
        <f>(Main_S[[#This Row],[ROA]]-VLOOKUP(Main_S[[#This Row],[Industry]], Mean_ROA_S, 2, FALSE))/(VLOOKUP(Main_S[[#This Row],[Industry]], Mean_ROA_S, 3, FALSE))</f>
        <v>0.18277685712076572</v>
      </c>
      <c r="S5" s="1">
        <f>(Main_S[[#This Row],[A/E]]-VLOOKUP(Main_S[[#This Row],[Industry]], Mean_AE_S, 2, FALSE))/(VLOOKUP(Main_S[[#This Row],[Industry]], Mean_AE_S, 3, FALSE))</f>
        <v>1.3803193533373768</v>
      </c>
      <c r="T5" s="1">
        <f>(Main_S[[#This Row],[P/E]]-VLOOKUP(Main_S[[#This Row],[Industry]], Mean_PE_S, 2, FALSE))/(VLOOKUP(Main_S[[#This Row],[Industry]], Mean_PE_S, 3, FALSE))</f>
        <v>0.49318757564591048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7" t="s">
        <v>152</v>
      </c>
      <c r="B6" s="67" t="s">
        <v>444</v>
      </c>
      <c r="C6" s="2">
        <v>394</v>
      </c>
      <c r="D6">
        <f>RTD("tos.rtd", , "LAST", Main_S[[#This Row],[Symbol]])</f>
        <v>6.97</v>
      </c>
      <c r="E6">
        <v>0.64</v>
      </c>
      <c r="F6">
        <v>4.45</v>
      </c>
      <c r="G6">
        <v>0.28000000000000003</v>
      </c>
      <c r="H6" s="1">
        <f>IF(ISNUMBER(Main_S[[#This Row],[Free CF]]),IF(Main_S[[#This Row],[Free CF]]&lt;&gt;0,Main_S[[#This Row],[Current Price]]/Main_S[[#This Row],[Free CF]],""),"")</f>
        <v>10.890625</v>
      </c>
      <c r="I6" s="1">
        <f>IF(ISNUMBER(Main_S[[#This Row],[BVPS]]),IF(Main_S[[#This Row],[BVPS]]&lt;&gt;0,Main_S[[#This Row],[Current Price]]/Main_S[[#This Row],[BVPS]],""),"")</f>
        <v>1.5662921348314605</v>
      </c>
      <c r="J6">
        <v>6.44</v>
      </c>
      <c r="K6">
        <v>4.1399999999999997</v>
      </c>
      <c r="L6">
        <v>1.49</v>
      </c>
      <c r="M6" s="1">
        <f>IF(ISNUMBER(Main_S[[#This Row],[EPS]]),IF(Main_S[[#This Row],[EPS]]&lt;&gt;0,Main_S[[#This Row],[Current Price]]/Main_S[[#This Row],[EPS]],""),"")</f>
        <v>24.892857142857139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4.7025736123031736</v>
      </c>
      <c r="P6" s="1">
        <f>(Main_S[[#This Row],[P/B]]-VLOOKUP(Main_S[[#This Row],[Industry]], Mean_PB_S, 2, FALSE))/(VLOOKUP(Main_S[[#This Row],[Industry]], Mean_PB_S, 3, FALSE))</f>
        <v>-0.64775194755359367</v>
      </c>
      <c r="Q6" s="1">
        <f>(Main_S[[#This Row],[ROE]]-VLOOKUP(Main_S[[#This Row],[Industry]], Mean_ROE_S, 2, FALSE))/(VLOOKUP(Main_S[[#This Row],[Industry]], Mean_ROE_S, 3, FALSE))</f>
        <v>1.5069904054707204</v>
      </c>
      <c r="R6" s="1">
        <f>(Main_S[[#This Row],[ROA]]-VLOOKUP(Main_S[[#This Row],[Industry]], Mean_ROA_S, 2, FALSE))/(VLOOKUP(Main_S[[#This Row],[Industry]], Mean_ROA_S, 3, FALSE))</f>
        <v>1.6520329096928825</v>
      </c>
      <c r="S6" s="1">
        <f>(Main_S[[#This Row],[A/E]]-VLOOKUP(Main_S[[#This Row],[Industry]], Mean_AE_S, 2, FALSE))/(VLOOKUP(Main_S[[#This Row],[Industry]], Mean_AE_S, 3, FALSE))</f>
        <v>0.13824299333883458</v>
      </c>
      <c r="T6" s="1">
        <f>(Main_S[[#This Row],[P/E]]-VLOOKUP(Main_S[[#This Row],[Industry]], Mean_PE_S, 2, FALSE))/(VLOOKUP(Main_S[[#This Row],[Industry]], Mean_PE_S, 3, FALSE))</f>
        <v>9.3459878210385448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" spans="1:26" x14ac:dyDescent="0.25">
      <c r="A7" s="67" t="s">
        <v>152</v>
      </c>
      <c r="B7" s="67" t="s">
        <v>445</v>
      </c>
      <c r="C7" s="2">
        <v>1996</v>
      </c>
      <c r="D7">
        <f>RTD("tos.rtd", , "LAST", Main_S[[#This Row],[Symbol]])</f>
        <v>30.33</v>
      </c>
      <c r="E7">
        <v>0.61</v>
      </c>
      <c r="F7">
        <v>6.28</v>
      </c>
      <c r="G7">
        <v>-0.24</v>
      </c>
      <c r="H7" s="1">
        <f>IF(ISNUMBER(Main_S[[#This Row],[Free CF]]),IF(Main_S[[#This Row],[Free CF]]&lt;&gt;0,Main_S[[#This Row],[Current Price]]/Main_S[[#This Row],[Free CF]],""),"")</f>
        <v>49.721311475409834</v>
      </c>
      <c r="I7" s="1">
        <f>IF(ISNUMBER(Main_S[[#This Row],[BVPS]]),IF(Main_S[[#This Row],[BVPS]]&lt;&gt;0,Main_S[[#This Row],[Current Price]]/Main_S[[#This Row],[BVPS]],""),"")</f>
        <v>4.8296178343949041</v>
      </c>
      <c r="J7">
        <v>-3.81</v>
      </c>
      <c r="K7">
        <v>-1.77</v>
      </c>
      <c r="L7">
        <v>1.31</v>
      </c>
      <c r="M7" s="1">
        <f>IF(ISNUMBER(Main_S[[#This Row],[EPS]]),IF(Main_S[[#This Row],[EPS]]&lt;&gt;0,Main_S[[#This Row],[Current Price]]/Main_S[[#This Row],[EPS]],""),"")</f>
        <v>-126.375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15.961947669495476</v>
      </c>
      <c r="P7" s="1">
        <f>(Main_S[[#This Row],[P/B]]-VLOOKUP(Main_S[[#This Row],[Industry]], Mean_PB_S, 2, FALSE))/(VLOOKUP(Main_S[[#This Row],[Industry]], Mean_PB_S, 3, FALSE))</f>
        <v>0.61264415216957357</v>
      </c>
      <c r="Q7" s="1">
        <f>(Main_S[[#This Row],[ROE]]-VLOOKUP(Main_S[[#This Row],[Industry]], Mean_ROE_S, 2, FALSE))/(VLOOKUP(Main_S[[#This Row],[Industry]], Mean_ROE_S, 3, FALSE))</f>
        <v>1.2134556044797136</v>
      </c>
      <c r="R7" s="1">
        <f>(Main_S[[#This Row],[ROA]]-VLOOKUP(Main_S[[#This Row],[Industry]], Mean_ROA_S, 2, FALSE))/(VLOOKUP(Main_S[[#This Row],[Industry]], Mean_ROA_S, 3, FALSE))</f>
        <v>1.2862661333364711</v>
      </c>
      <c r="S7" s="1">
        <f>(Main_S[[#This Row],[A/E]]-VLOOKUP(Main_S[[#This Row],[Industry]], Mean_AE_S, 2, FALSE))/(VLOOKUP(Main_S[[#This Row],[Industry]], Mean_AE_S, 3, FALSE))</f>
        <v>-0.26825472447886994</v>
      </c>
      <c r="T7" s="1">
        <f>(Main_S[[#This Row],[P/E]]-VLOOKUP(Main_S[[#This Row],[Industry]], Mean_PE_S, 2, FALSE))/(VLOOKUP(Main_S[[#This Row],[Industry]], Mean_PE_S, 3, FALSE))</f>
        <v>-38.288429332364117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" spans="1:26" x14ac:dyDescent="0.25">
      <c r="A8" s="67" t="s">
        <v>152</v>
      </c>
      <c r="B8" s="67" t="s">
        <v>436</v>
      </c>
      <c r="C8" s="2">
        <v>1839</v>
      </c>
      <c r="D8">
        <f>RTD("tos.rtd", , "LAST", Main_S[[#This Row],[Symbol]])</f>
        <v>36.07</v>
      </c>
      <c r="E8">
        <v>0.52</v>
      </c>
      <c r="F8">
        <v>7.54</v>
      </c>
      <c r="G8">
        <v>-0.43</v>
      </c>
      <c r="H8" s="1">
        <f>IF(ISNUMBER(Main_S[[#This Row],[Free CF]]),IF(Main_S[[#This Row],[Free CF]]&lt;&gt;0,Main_S[[#This Row],[Current Price]]/Main_S[[#This Row],[Free CF]],""),"")</f>
        <v>69.365384615384613</v>
      </c>
      <c r="I8" s="1">
        <f>IF(ISNUMBER(Main_S[[#This Row],[BVPS]]),IF(Main_S[[#This Row],[BVPS]]&lt;&gt;0,Main_S[[#This Row],[Current Price]]/Main_S[[#This Row],[BVPS]],""),"")</f>
        <v>4.7838196286472146</v>
      </c>
      <c r="J8">
        <v>-5.86</v>
      </c>
      <c r="K8">
        <v>-1.83</v>
      </c>
      <c r="L8">
        <v>2.72</v>
      </c>
      <c r="M8" s="1">
        <f>IF(ISNUMBER(Main_S[[#This Row],[EPS]]),IF(Main_S[[#This Row],[EPS]]&lt;&gt;0,Main_S[[#This Row],[Current Price]]/Main_S[[#This Row],[EPS]],""),"")</f>
        <v>-83.883720930232556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21.657957386704211</v>
      </c>
      <c r="P8" s="1">
        <f>(Main_S[[#This Row],[P/B]]-VLOOKUP(Main_S[[#This Row],[Industry]], Mean_PB_S, 2, FALSE))/(VLOOKUP(Main_S[[#This Row],[Industry]], Mean_PB_S, 3, FALSE))</f>
        <v>0.59495548569462464</v>
      </c>
      <c r="Q8" s="1">
        <f>(Main_S[[#This Row],[ROE]]-VLOOKUP(Main_S[[#This Row],[Industry]], Mean_ROE_S, 2, FALSE))/(VLOOKUP(Main_S[[#This Row],[Industry]], Mean_ROE_S, 3, FALSE))</f>
        <v>1.1547486442815122</v>
      </c>
      <c r="R8" s="1">
        <f>(Main_S[[#This Row],[ROA]]-VLOOKUP(Main_S[[#This Row],[Industry]], Mean_ROA_S, 2, FALSE))/(VLOOKUP(Main_S[[#This Row],[Industry]], Mean_ROA_S, 3, FALSE))</f>
        <v>1.2825527650485888</v>
      </c>
      <c r="S8" s="1">
        <f>(Main_S[[#This Row],[A/E]]-VLOOKUP(Main_S[[#This Row],[Industry]], Mean_AE_S, 2, FALSE))/(VLOOKUP(Main_S[[#This Row],[Industry]], Mean_AE_S, 3, FALSE))</f>
        <v>2.9159773984264836</v>
      </c>
      <c r="T8" s="1">
        <f>(Main_S[[#This Row],[P/E]]-VLOOKUP(Main_S[[#This Row],[Industry]], Mean_PE_S, 2, FALSE))/(VLOOKUP(Main_S[[#This Row],[Industry]], Mean_PE_S, 3, FALSE))</f>
        <v>-24.90787809814228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s="67" t="s">
        <v>152</v>
      </c>
      <c r="B9" s="67" t="s">
        <v>403</v>
      </c>
      <c r="C9" s="2">
        <v>1059</v>
      </c>
      <c r="D9">
        <f>RTD("tos.rtd", , "LAST", Main_S[[#This Row],[Symbol]])</f>
        <v>8.14</v>
      </c>
      <c r="E9">
        <v>0.45</v>
      </c>
      <c r="F9">
        <v>2.54</v>
      </c>
      <c r="G9">
        <v>0.27</v>
      </c>
      <c r="H9" s="1">
        <f>IF(ISNUMBER(Main_S[[#This Row],[Free CF]]),IF(Main_S[[#This Row],[Free CF]]&lt;&gt;0,Main_S[[#This Row],[Current Price]]/Main_S[[#This Row],[Free CF]],""),"")</f>
        <v>18.088888888888889</v>
      </c>
      <c r="I9" s="1">
        <f>IF(ISNUMBER(Main_S[[#This Row],[BVPS]]),IF(Main_S[[#This Row],[BVPS]]&lt;&gt;0,Main_S[[#This Row],[Current Price]]/Main_S[[#This Row],[BVPS]],""),"")</f>
        <v>3.204724409448819</v>
      </c>
      <c r="J9">
        <v>11.23</v>
      </c>
      <c r="K9">
        <v>5.2</v>
      </c>
      <c r="L9">
        <v>1.44</v>
      </c>
      <c r="M9" s="1">
        <f>IF(ISNUMBER(Main_S[[#This Row],[EPS]]),IF(Main_S[[#This Row],[EPS]]&lt;&gt;0,Main_S[[#This Row],[Current Price]]/Main_S[[#This Row],[EPS]],""),"")</f>
        <v>30.148148148148149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6.7897874383761341</v>
      </c>
      <c r="P9" s="1">
        <f>(Main_S[[#This Row],[P/B]]-VLOOKUP(Main_S[[#This Row],[Industry]], Mean_PB_S, 2, FALSE))/(VLOOKUP(Main_S[[#This Row],[Industry]], Mean_PB_S, 3, FALSE))</f>
        <v>-1.4939338973170825E-2</v>
      </c>
      <c r="Q9" s="1">
        <f>(Main_S[[#This Row],[ROE]]-VLOOKUP(Main_S[[#This Row],[Industry]], Mean_ROE_S, 2, FALSE))/(VLOOKUP(Main_S[[#This Row],[Industry]], Mean_ROE_S, 3, FALSE))</f>
        <v>1.6441642295435908</v>
      </c>
      <c r="R9" s="1">
        <f>(Main_S[[#This Row],[ROA]]-VLOOKUP(Main_S[[#This Row],[Industry]], Mean_ROA_S, 2, FALSE))/(VLOOKUP(Main_S[[#This Row],[Industry]], Mean_ROA_S, 3, FALSE))</f>
        <v>1.7176357494454706</v>
      </c>
      <c r="S9" s="1">
        <f>(Main_S[[#This Row],[A/E]]-VLOOKUP(Main_S[[#This Row],[Industry]], Mean_AE_S, 2, FALSE))/(VLOOKUP(Main_S[[#This Row],[Industry]], Mean_AE_S, 3, FALSE))</f>
        <v>2.5326960611694295E-2</v>
      </c>
      <c r="T9" s="1">
        <f>(Main_S[[#This Row],[P/E]]-VLOOKUP(Main_S[[#This Row],[Industry]], Mean_PE_S, 2, FALSE))/(VLOOKUP(Main_S[[#This Row],[Industry]], Mean_PE_S, 3, FALSE))</f>
        <v>11.000884827823951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" spans="1:26" x14ac:dyDescent="0.25">
      <c r="A10" s="67" t="s">
        <v>152</v>
      </c>
      <c r="B10" s="67" t="s">
        <v>423</v>
      </c>
      <c r="C10" s="2">
        <v>1176</v>
      </c>
      <c r="D10">
        <f>RTD("tos.rtd", , "LAST", Main_S[[#This Row],[Symbol]])</f>
        <v>10.28</v>
      </c>
      <c r="E10">
        <v>0.42</v>
      </c>
      <c r="F10">
        <v>4.29</v>
      </c>
      <c r="G10">
        <v>-0.47</v>
      </c>
      <c r="H10" s="1">
        <f>IF(ISNUMBER(Main_S[[#This Row],[Free CF]]),IF(Main_S[[#This Row],[Free CF]]&lt;&gt;0,Main_S[[#This Row],[Current Price]]/Main_S[[#This Row],[Free CF]],""),"")</f>
        <v>24.476190476190474</v>
      </c>
      <c r="I10" s="1">
        <f>IF(ISNUMBER(Main_S[[#This Row],[BVPS]]),IF(Main_S[[#This Row],[BVPS]]&lt;&gt;0,Main_S[[#This Row],[Current Price]]/Main_S[[#This Row],[BVPS]],""),"")</f>
        <v>2.396270396270396</v>
      </c>
      <c r="J10">
        <v>-10.45</v>
      </c>
      <c r="K10">
        <v>-7.0000000000000007E-2</v>
      </c>
      <c r="L10">
        <v>1.78</v>
      </c>
      <c r="M10" s="1">
        <f>IF(ISNUMBER(Main_S[[#This Row],[EPS]]),IF(Main_S[[#This Row],[EPS]]&lt;&gt;0,Main_S[[#This Row],[Current Price]]/Main_S[[#This Row],[EPS]],""),"")</f>
        <v>-21.872340425531913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8.6418540463942364</v>
      </c>
      <c r="P10" s="1">
        <f>(Main_S[[#This Row],[P/B]]-VLOOKUP(Main_S[[#This Row],[Industry]], Mean_PB_S, 2, FALSE))/(VLOOKUP(Main_S[[#This Row],[Industry]], Mean_PB_S, 3, FALSE))</f>
        <v>-0.32718898207558655</v>
      </c>
      <c r="Q10" s="1">
        <f>(Main_S[[#This Row],[ROE]]-VLOOKUP(Main_S[[#This Row],[Industry]], Mean_ROE_S, 2, FALSE))/(VLOOKUP(Main_S[[#This Row],[Industry]], Mean_ROE_S, 3, FALSE))</f>
        <v>1.0233023285206615</v>
      </c>
      <c r="R10" s="1">
        <f>(Main_S[[#This Row],[ROA]]-VLOOKUP(Main_S[[#This Row],[Industry]], Mean_ROA_S, 2, FALSE))/(VLOOKUP(Main_S[[#This Row],[Industry]], Mean_ROA_S, 3, FALSE))</f>
        <v>1.3914782348264709</v>
      </c>
      <c r="S10" s="1">
        <f>(Main_S[[#This Row],[A/E]]-VLOOKUP(Main_S[[#This Row],[Industry]], Mean_AE_S, 2, FALSE))/(VLOOKUP(Main_S[[#This Row],[Industry]], Mean_AE_S, 3, FALSE))</f>
        <v>0.79315598315624769</v>
      </c>
      <c r="T10" s="1">
        <f>(Main_S[[#This Row],[P/E]]-VLOOKUP(Main_S[[#This Row],[Industry]], Mean_PE_S, 2, FALSE))/(VLOOKUP(Main_S[[#This Row],[Industry]], Mean_PE_S, 3, FALSE))</f>
        <v>-5.3804251216010988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" spans="1:26" x14ac:dyDescent="0.25">
      <c r="A11" s="67" t="s">
        <v>152</v>
      </c>
      <c r="B11" s="67" t="s">
        <v>568</v>
      </c>
      <c r="C11" s="2">
        <v>257</v>
      </c>
      <c r="D11">
        <f>RTD("tos.rtd", , "LAST", Main_S[[#This Row],[Symbol]])</f>
        <v>4.92</v>
      </c>
      <c r="E11">
        <v>0.38</v>
      </c>
      <c r="F11">
        <v>4.47</v>
      </c>
      <c r="G11">
        <v>0.08</v>
      </c>
      <c r="H11" s="1">
        <f>IF(ISNUMBER(Main_S[[#This Row],[Free CF]]),IF(Main_S[[#This Row],[Free CF]]&lt;&gt;0,Main_S[[#This Row],[Current Price]]/Main_S[[#This Row],[Free CF]],""),"")</f>
        <v>12.947368421052632</v>
      </c>
      <c r="I11" s="1">
        <f>IF(ISNUMBER(Main_S[[#This Row],[BVPS]]),IF(Main_S[[#This Row],[BVPS]]&lt;&gt;0,Main_S[[#This Row],[Current Price]]/Main_S[[#This Row],[BVPS]],""),"")</f>
        <v>1.1006711409395973</v>
      </c>
      <c r="J11">
        <v>2.88</v>
      </c>
      <c r="K11">
        <v>-0.4</v>
      </c>
      <c r="L11">
        <v>1.43</v>
      </c>
      <c r="M11" s="1">
        <f>IF(ISNUMBER(Main_S[[#This Row],[EPS]]),IF(Main_S[[#This Row],[EPS]]&lt;&gt;0,Main_S[[#This Row],[Current Price]]/Main_S[[#This Row],[EPS]],""),"")</f>
        <v>61.5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5.2989484286991164</v>
      </c>
      <c r="P11" s="1">
        <f>(Main_S[[#This Row],[P/B]]-VLOOKUP(Main_S[[#This Row],[Industry]], Mean_PB_S, 2, FALSE))/(VLOOKUP(Main_S[[#This Row],[Industry]], Mean_PB_S, 3, FALSE))</f>
        <v>-0.82758900296275439</v>
      </c>
      <c r="Q11" s="1">
        <f>(Main_S[[#This Row],[ROE]]-VLOOKUP(Main_S[[#This Row],[Industry]], Mean_ROE_S, 2, FALSE))/(VLOOKUP(Main_S[[#This Row],[Industry]], Mean_ROE_S, 3, FALSE))</f>
        <v>1.4050407575167709</v>
      </c>
      <c r="R11" s="1">
        <f>(Main_S[[#This Row],[ROA]]-VLOOKUP(Main_S[[#This Row],[Industry]], Mean_ROA_S, 2, FALSE))/(VLOOKUP(Main_S[[#This Row],[Industry]], Mean_ROA_S, 3, FALSE))</f>
        <v>1.371054709243118</v>
      </c>
      <c r="S11" s="1">
        <f>(Main_S[[#This Row],[A/E]]-VLOOKUP(Main_S[[#This Row],[Industry]], Mean_AE_S, 2, FALSE))/(VLOOKUP(Main_S[[#This Row],[Industry]], Mean_AE_S, 3, FALSE))</f>
        <v>2.7437540662662387E-3</v>
      </c>
      <c r="T11" s="1">
        <f>(Main_S[[#This Row],[P/E]]-VLOOKUP(Main_S[[#This Row],[Industry]], Mean_PE_S, 2, FALSE))/(VLOOKUP(Main_S[[#This Row],[Industry]], Mean_PE_S, 3, FALSE))</f>
        <v>20.873617990378111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" spans="1:26" x14ac:dyDescent="0.25">
      <c r="A12" s="67" t="s">
        <v>152</v>
      </c>
      <c r="B12" s="67" t="s">
        <v>412</v>
      </c>
      <c r="C12" s="2">
        <v>946</v>
      </c>
      <c r="D12">
        <f>RTD("tos.rtd", , "LAST", Main_S[[#This Row],[Symbol]])</f>
        <v>19.72</v>
      </c>
      <c r="E12">
        <v>0.38</v>
      </c>
      <c r="F12">
        <v>6.84</v>
      </c>
      <c r="G12">
        <v>1.07</v>
      </c>
      <c r="H12" s="1">
        <f>IF(ISNUMBER(Main_S[[#This Row],[Free CF]]),IF(Main_S[[#This Row],[Free CF]]&lt;&gt;0,Main_S[[#This Row],[Current Price]]/Main_S[[#This Row],[Free CF]],""),"")</f>
        <v>51.89473684210526</v>
      </c>
      <c r="I12" s="1">
        <f>IF(ISNUMBER(Main_S[[#This Row],[BVPS]]),IF(Main_S[[#This Row],[BVPS]]&lt;&gt;0,Main_S[[#This Row],[Current Price]]/Main_S[[#This Row],[BVPS]],""),"")</f>
        <v>2.8830409356725144</v>
      </c>
      <c r="J12">
        <v>19.54</v>
      </c>
      <c r="K12">
        <v>-5.2</v>
      </c>
      <c r="L12">
        <v>1.29</v>
      </c>
      <c r="M12" s="1">
        <f>IF(ISNUMBER(Main_S[[#This Row],[EPS]]),IF(Main_S[[#This Row],[EPS]]&lt;&gt;0,Main_S[[#This Row],[Current Price]]/Main_S[[#This Row],[EPS]],""),"")</f>
        <v>18.429906542056074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16.592155667608285</v>
      </c>
      <c r="P12" s="1">
        <f>(Main_S[[#This Row],[P/B]]-VLOOKUP(Main_S[[#This Row],[Industry]], Mean_PB_S, 2, FALSE))/(VLOOKUP(Main_S[[#This Row],[Industry]], Mean_PB_S, 3, FALSE))</f>
        <v>-0.13918332594244379</v>
      </c>
      <c r="Q12" s="1">
        <f>(Main_S[[#This Row],[ROE]]-VLOOKUP(Main_S[[#This Row],[Industry]], Mean_ROE_S, 2, FALSE))/(VLOOKUP(Main_S[[#This Row],[Industry]], Mean_ROE_S, 3, FALSE))</f>
        <v>1.8821421999080072</v>
      </c>
      <c r="R12" s="1">
        <f>(Main_S[[#This Row],[ROA]]-VLOOKUP(Main_S[[#This Row],[Industry]], Mean_ROA_S, 2, FALSE))/(VLOOKUP(Main_S[[#This Row],[Industry]], Mean_ROA_S, 3, FALSE))</f>
        <v>1.0739852462125301</v>
      </c>
      <c r="S12" s="1">
        <f>(Main_S[[#This Row],[A/E]]-VLOOKUP(Main_S[[#This Row],[Industry]], Mean_AE_S, 2, FALSE))/(VLOOKUP(Main_S[[#This Row],[Industry]], Mean_AE_S, 3, FALSE))</f>
        <v>-0.31342113756972606</v>
      </c>
      <c r="T12" s="1">
        <f>(Main_S[[#This Row],[P/E]]-VLOOKUP(Main_S[[#This Row],[Industry]], Mean_PE_S, 2, FALSE))/(VLOOKUP(Main_S[[#This Row],[Industry]], Mean_PE_S, 3, FALSE))</f>
        <v>7.3107974588874454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s="67" t="s">
        <v>152</v>
      </c>
      <c r="B13" s="67" t="s">
        <v>451</v>
      </c>
      <c r="C13" s="2">
        <v>1261</v>
      </c>
      <c r="D13">
        <f>RTD("tos.rtd", , "LAST", Main_S[[#This Row],[Symbol]])</f>
        <v>4.37</v>
      </c>
      <c r="E13">
        <v>0.08</v>
      </c>
      <c r="F13">
        <v>-0.19</v>
      </c>
      <c r="G13">
        <v>0.1</v>
      </c>
      <c r="H13" s="1">
        <f>IF(ISNUMBER(Main_S[[#This Row],[Free CF]]),IF(Main_S[[#This Row],[Free CF]]&lt;&gt;0,Main_S[[#This Row],[Current Price]]/Main_S[[#This Row],[Free CF]],""),"")</f>
        <v>54.625</v>
      </c>
      <c r="I13" s="1">
        <f>IF(ISNUMBER(Main_S[[#This Row],[BVPS]]),IF(Main_S[[#This Row],[BVPS]]&lt;&gt;0,Main_S[[#This Row],[Current Price]]/Main_S[[#This Row],[BVPS]],""),"")</f>
        <v>-23</v>
      </c>
      <c r="J13">
        <v>-20.87</v>
      </c>
      <c r="K13">
        <v>10.96</v>
      </c>
      <c r="L13">
        <v>-7</v>
      </c>
      <c r="M13" s="1">
        <f>IF(ISNUMBER(Main_S[[#This Row],[EPS]]),IF(Main_S[[#This Row],[EPS]]&lt;&gt;0,Main_S[[#This Row],[Current Price]]/Main_S[[#This Row],[EPS]],""),"")</f>
        <v>43.699999999999996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17.383824756146684</v>
      </c>
      <c r="P13" s="1">
        <f>(Main_S[[#This Row],[P/B]]-VLOOKUP(Main_S[[#This Row],[Industry]], Mean_PB_S, 2, FALSE))/(VLOOKUP(Main_S[[#This Row],[Industry]], Mean_PB_S, 3, FALSE))</f>
        <v>-10.136004620446052</v>
      </c>
      <c r="Q13" s="1">
        <f>(Main_S[[#This Row],[ROE]]-VLOOKUP(Main_S[[#This Row],[Industry]], Mean_ROE_S, 2, FALSE))/(VLOOKUP(Main_S[[#This Row],[Industry]], Mean_ROE_S, 3, FALSE))</f>
        <v>0.7248991454644379</v>
      </c>
      <c r="R13" s="1">
        <f>(Main_S[[#This Row],[ROA]]-VLOOKUP(Main_S[[#This Row],[Industry]], Mean_ROA_S, 2, FALSE))/(VLOOKUP(Main_S[[#This Row],[Industry]], Mean_ROA_S, 3, FALSE))</f>
        <v>2.0741191050821763</v>
      </c>
      <c r="S13" s="1">
        <f>(Main_S[[#This Row],[A/E]]-VLOOKUP(Main_S[[#This Row],[Industry]], Mean_AE_S, 2, FALSE))/(VLOOKUP(Main_S[[#This Row],[Industry]], Mean_AE_S, 3, FALSE))</f>
        <v>-19.034899363729568</v>
      </c>
      <c r="T13" s="1">
        <f>(Main_S[[#This Row],[P/E]]-VLOOKUP(Main_S[[#This Row],[Industry]], Mean_PE_S, 2, FALSE))/(VLOOKUP(Main_S[[#This Row],[Industry]], Mean_PE_S, 3, FALSE))</f>
        <v>15.26837811096461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s="67" t="s">
        <v>152</v>
      </c>
      <c r="B14" s="67" t="s">
        <v>574</v>
      </c>
      <c r="C14" s="2">
        <v>252</v>
      </c>
      <c r="D14">
        <f>RTD("tos.rtd", , "LAST", Main_S[[#This Row],[Symbol]])</f>
        <v>1.33</v>
      </c>
      <c r="E14">
        <v>0.04</v>
      </c>
      <c r="F14">
        <v>-0.03</v>
      </c>
      <c r="G14">
        <v>-0.23</v>
      </c>
      <c r="H14" s="1">
        <f>IF(ISNUMBER(Main_S[[#This Row],[Free CF]]),IF(Main_S[[#This Row],[Free CF]]&lt;&gt;0,Main_S[[#This Row],[Current Price]]/Main_S[[#This Row],[Free CF]],""),"")</f>
        <v>33.25</v>
      </c>
      <c r="I14" s="1">
        <f>IF(ISNUMBER(Main_S[[#This Row],[BVPS]]),IF(Main_S[[#This Row],[BVPS]]&lt;&gt;0,Main_S[[#This Row],[Current Price]]/Main_S[[#This Row],[BVPS]],""),"")</f>
        <v>-44.333333333333336</v>
      </c>
      <c r="J14">
        <v>-500.57</v>
      </c>
      <c r="K14">
        <v>-12.68</v>
      </c>
      <c r="L14">
        <v>-44.89</v>
      </c>
      <c r="M14" s="1">
        <f>IF(ISNUMBER(Main_S[[#This Row],[EPS]]),IF(Main_S[[#This Row],[EPS]]&lt;&gt;0,Main_S[[#This Row],[Current Price]]/Main_S[[#This Row],[EPS]],""),"")</f>
        <v>-5.7826086956521738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11.185914229252106</v>
      </c>
      <c r="P14" s="1">
        <f>(Main_S[[#This Row],[P/B]]-VLOOKUP(Main_S[[#This Row],[Industry]], Mean_PB_S, 2, FALSE))/(VLOOKUP(Main_S[[#This Row],[Industry]], Mean_PB_S, 3, FALSE))</f>
        <v>-18.375589817542565</v>
      </c>
      <c r="Q14" s="1">
        <f>(Main_S[[#This Row],[ROE]]-VLOOKUP(Main_S[[#This Row],[Industry]], Mean_ROE_S, 2, FALSE))/(VLOOKUP(Main_S[[#This Row],[Industry]], Mean_ROE_S, 3, FALSE))</f>
        <v>-13.012529540914681</v>
      </c>
      <c r="R14" s="1">
        <f>(Main_S[[#This Row],[ROA]]-VLOOKUP(Main_S[[#This Row],[Industry]], Mean_ROA_S, 2, FALSE))/(VLOOKUP(Main_S[[#This Row],[Industry]], Mean_ROA_S, 3, FALSE))</f>
        <v>0.61105199965653023</v>
      </c>
      <c r="S14" s="1">
        <f>(Main_S[[#This Row],[A/E]]-VLOOKUP(Main_S[[#This Row],[Industry]], Mean_AE_S, 2, FALSE))/(VLOOKUP(Main_S[[#This Row],[Industry]], Mean_AE_S, 3, FALSE))</f>
        <v>-104.60266896435641</v>
      </c>
      <c r="T14" s="1">
        <f>(Main_S[[#This Row],[P/E]]-VLOOKUP(Main_S[[#This Row],[Industry]], Mean_PE_S, 2, FALSE))/(VLOOKUP(Main_S[[#This Row],[Industry]], Mean_PE_S, 3, FALSE))</f>
        <v>-0.31375063051195745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7" t="s">
        <v>152</v>
      </c>
      <c r="B15" s="67" t="s">
        <v>428</v>
      </c>
      <c r="C15" s="2">
        <v>1869</v>
      </c>
      <c r="D15">
        <f>RTD("tos.rtd", , "LAST", Main_S[[#This Row],[Symbol]])</f>
        <v>6.03</v>
      </c>
      <c r="E15">
        <v>0.01</v>
      </c>
      <c r="F15">
        <v>0.63</v>
      </c>
      <c r="G15">
        <v>-0.1</v>
      </c>
      <c r="H15" s="1">
        <f>IF(ISNUMBER(Main_S[[#This Row],[Free CF]]),IF(Main_S[[#This Row],[Free CF]]&lt;&gt;0,Main_S[[#This Row],[Current Price]]/Main_S[[#This Row],[Free CF]],""),"")</f>
        <v>603</v>
      </c>
      <c r="I15" s="1">
        <f>IF(ISNUMBER(Main_S[[#This Row],[BVPS]]),IF(Main_S[[#This Row],[BVPS]]&lt;&gt;0,Main_S[[#This Row],[Current Price]]/Main_S[[#This Row],[BVPS]],""),"")</f>
        <v>9.5714285714285712</v>
      </c>
      <c r="J15">
        <v>-18.12</v>
      </c>
      <c r="K15">
        <v>3.95</v>
      </c>
      <c r="L15">
        <v>4.08</v>
      </c>
      <c r="M15" s="1">
        <f>IF(ISNUMBER(Main_S[[#This Row],[EPS]]),IF(Main_S[[#This Row],[EPS]]&lt;&gt;0,Main_S[[#This Row],[Current Price]]/Main_S[[#This Row],[EPS]],""),"")</f>
        <v>-60.3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176.39103809817303</v>
      </c>
      <c r="P15" s="1">
        <f>(Main_S[[#This Row],[P/B]]-VLOOKUP(Main_S[[#This Row],[Industry]], Mean_PB_S, 2, FALSE))/(VLOOKUP(Main_S[[#This Row],[Industry]], Mean_PB_S, 3, FALSE))</f>
        <v>2.4440763501209442</v>
      </c>
      <c r="Q15" s="1">
        <f>(Main_S[[#This Row],[ROE]]-VLOOKUP(Main_S[[#This Row],[Industry]], Mean_ROE_S, 2, FALSE))/(VLOOKUP(Main_S[[#This Row],[Industry]], Mean_ROE_S, 3, FALSE))</f>
        <v>0.80365238475470802</v>
      </c>
      <c r="R15" s="1">
        <f>(Main_S[[#This Row],[ROA]]-VLOOKUP(Main_S[[#This Row],[Industry]], Mean_ROA_S, 2, FALSE))/(VLOOKUP(Main_S[[#This Row],[Industry]], Mean_ROA_S, 3, FALSE))</f>
        <v>1.6402739101145885</v>
      </c>
      <c r="S15" s="1">
        <f>(Main_S[[#This Row],[A/E]]-VLOOKUP(Main_S[[#This Row],[Industry]], Mean_AE_S, 2, FALSE))/(VLOOKUP(Main_S[[#This Row],[Industry]], Mean_AE_S, 3, FALSE))</f>
        <v>5.9872934886046965</v>
      </c>
      <c r="T15" s="1">
        <f>(Main_S[[#This Row],[P/E]]-VLOOKUP(Main_S[[#This Row],[Industry]], Mean_PE_S, 2, FALSE))/(VLOOKUP(Main_S[[#This Row],[Industry]], Mean_PE_S, 3, FALSE))</f>
        <v>-17.481338038417647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" spans="1:26" x14ac:dyDescent="0.25">
      <c r="A16" s="67" t="s">
        <v>152</v>
      </c>
      <c r="B16" s="67" t="s">
        <v>437</v>
      </c>
      <c r="C16" s="2">
        <v>274</v>
      </c>
      <c r="D16">
        <f>RTD("tos.rtd", , "LAST", Main_S[[#This Row],[Symbol]])</f>
        <v>1.84</v>
      </c>
      <c r="E16">
        <v>-0.03</v>
      </c>
      <c r="F16">
        <v>7.0000000000000007E-2</v>
      </c>
      <c r="G16">
        <v>-0.03</v>
      </c>
      <c r="H16" s="1">
        <f>IF(ISNUMBER(Main_S[[#This Row],[Free CF]]),IF(Main_S[[#This Row],[Free CF]]&lt;&gt;0,Main_S[[#This Row],[Current Price]]/Main_S[[#This Row],[Free CF]],""),"")</f>
        <v>-61.333333333333336</v>
      </c>
      <c r="I16" s="1">
        <f>IF(ISNUMBER(Main_S[[#This Row],[BVPS]]),IF(Main_S[[#This Row],[BVPS]]&lt;&gt;0,Main_S[[#This Row],[Current Price]]/Main_S[[#This Row],[BVPS]],""),"")</f>
        <v>26.285714285714285</v>
      </c>
      <c r="J16">
        <v>-42.12</v>
      </c>
      <c r="K16">
        <v>-25.7</v>
      </c>
      <c r="L16">
        <v>1.07</v>
      </c>
      <c r="M16" s="1">
        <f>IF(ISNUMBER(Main_S[[#This Row],[EPS]]),IF(Main_S[[#This Row],[EPS]]&lt;&gt;0,Main_S[[#This Row],[Current Price]]/Main_S[[#This Row],[EPS]],""),"")</f>
        <v>-61.333333333333336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-16.23953780983306</v>
      </c>
      <c r="P16" s="1">
        <f>(Main_S[[#This Row],[P/B]]-VLOOKUP(Main_S[[#This Row],[Industry]], Mean_PB_S, 2, FALSE))/(VLOOKUP(Main_S[[#This Row],[Industry]], Mean_PB_S, 3, FALSE))</f>
        <v>8.899644216596112</v>
      </c>
      <c r="Q16" s="1">
        <f>(Main_S[[#This Row],[ROE]]-VLOOKUP(Main_S[[#This Row],[Industry]], Mean_ROE_S, 2, FALSE))/(VLOOKUP(Main_S[[#This Row],[Industry]], Mean_ROE_S, 3, FALSE))</f>
        <v>0.11635138731235063</v>
      </c>
      <c r="R16" s="1">
        <f>(Main_S[[#This Row],[ROA]]-VLOOKUP(Main_S[[#This Row],[Industry]], Mean_ROA_S, 2, FALSE))/(VLOOKUP(Main_S[[#This Row],[Industry]], Mean_ROA_S, 3, FALSE))</f>
        <v>-0.19474891881393983</v>
      </c>
      <c r="S16" s="1">
        <f>(Main_S[[#This Row],[A/E]]-VLOOKUP(Main_S[[#This Row],[Industry]], Mean_AE_S, 2, FALSE))/(VLOOKUP(Main_S[[#This Row],[Industry]], Mean_AE_S, 3, FALSE))</f>
        <v>-0.81025168156914285</v>
      </c>
      <c r="T16" s="1">
        <f>(Main_S[[#This Row],[P/E]]-VLOOKUP(Main_S[[#This Row],[Industry]], Mean_PE_S, 2, FALSE))/(VLOOKUP(Main_S[[#This Row],[Industry]], Mean_PE_S, 3, FALSE))</f>
        <v>-17.806735859132665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s="67" t="s">
        <v>152</v>
      </c>
      <c r="B17" s="67" t="s">
        <v>448</v>
      </c>
      <c r="C17" s="2">
        <v>1351</v>
      </c>
      <c r="D17">
        <f>RTD("tos.rtd", , "LAST", Main_S[[#This Row],[Symbol]])</f>
        <v>11.85</v>
      </c>
      <c r="E17">
        <v>-0.04</v>
      </c>
      <c r="F17">
        <v>0.4</v>
      </c>
      <c r="G17">
        <v>-0.09</v>
      </c>
      <c r="H17" s="1">
        <f>IF(ISNUMBER(Main_S[[#This Row],[Free CF]]),IF(Main_S[[#This Row],[Free CF]]&lt;&gt;0,Main_S[[#This Row],[Current Price]]/Main_S[[#This Row],[Free CF]],""),"")</f>
        <v>-296.25</v>
      </c>
      <c r="I17" s="1">
        <f>IF(ISNUMBER(Main_S[[#This Row],[BVPS]]),IF(Main_S[[#This Row],[BVPS]]&lt;&gt;0,Main_S[[#This Row],[Current Price]]/Main_S[[#This Row],[BVPS]],""),"")</f>
        <v>29.624999999999996</v>
      </c>
      <c r="J17">
        <v>-21.31</v>
      </c>
      <c r="K17">
        <v>-4.8499999999999996</v>
      </c>
      <c r="L17">
        <v>1.42</v>
      </c>
      <c r="M17" s="1">
        <f>IF(ISNUMBER(Main_S[[#This Row],[EPS]]),IF(Main_S[[#This Row],[EPS]]&lt;&gt;0,Main_S[[#This Row],[Current Price]]/Main_S[[#This Row],[EPS]],""),"")</f>
        <v>-131.66666666666666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-84.35614512100581</v>
      </c>
      <c r="P17" s="1">
        <f>(Main_S[[#This Row],[P/B]]-VLOOKUP(Main_S[[#This Row],[Industry]], Mean_PB_S, 2, FALSE))/(VLOOKUP(Main_S[[#This Row],[Industry]], Mean_PB_S, 3, FALSE))</f>
        <v>10.18937839504788</v>
      </c>
      <c r="Q17" s="1">
        <f>(Main_S[[#This Row],[ROE]]-VLOOKUP(Main_S[[#This Row],[Industry]], Mean_ROE_S, 2, FALSE))/(VLOOKUP(Main_S[[#This Row],[Industry]], Mean_ROE_S, 3, FALSE))</f>
        <v>0.71229862717799475</v>
      </c>
      <c r="R17" s="1">
        <f>(Main_S[[#This Row],[ROA]]-VLOOKUP(Main_S[[#This Row],[Industry]], Mean_ROA_S, 2, FALSE))/(VLOOKUP(Main_S[[#This Row],[Industry]], Mean_ROA_S, 3, FALSE))</f>
        <v>1.0956465612251769</v>
      </c>
      <c r="S17" s="1">
        <f>(Main_S[[#This Row],[A/E]]-VLOOKUP(Main_S[[#This Row],[Industry]], Mean_AE_S, 2, FALSE))/(VLOOKUP(Main_S[[#This Row],[Industry]], Mean_AE_S, 3, FALSE))</f>
        <v>-1.9839452479161818E-2</v>
      </c>
      <c r="T17" s="1">
        <f>(Main_S[[#This Row],[P/E]]-VLOOKUP(Main_S[[#This Row],[Industry]], Mean_PE_S, 2, FALSE))/(VLOOKUP(Main_S[[#This Row],[Industry]], Mean_PE_S, 3, FALSE))</f>
        <v>-39.954781075541824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" spans="1:26" x14ac:dyDescent="0.25">
      <c r="A18" s="67" t="s">
        <v>152</v>
      </c>
      <c r="B18" s="67" t="s">
        <v>458</v>
      </c>
      <c r="C18" s="2">
        <v>348</v>
      </c>
      <c r="D18">
        <f>RTD("tos.rtd", , "LAST", Main_S[[#This Row],[Symbol]])</f>
        <v>3.44</v>
      </c>
      <c r="E18">
        <v>-0.05</v>
      </c>
      <c r="F18">
        <v>1.91</v>
      </c>
      <c r="G18">
        <v>-0.16</v>
      </c>
      <c r="H18" s="1">
        <f>IF(ISNUMBER(Main_S[[#This Row],[Free CF]]),IF(Main_S[[#This Row],[Free CF]]&lt;&gt;0,Main_S[[#This Row],[Current Price]]/Main_S[[#This Row],[Free CF]],""),"")</f>
        <v>-68.8</v>
      </c>
      <c r="I18" s="1">
        <f>IF(ISNUMBER(Main_S[[#This Row],[BVPS]]),IF(Main_S[[#This Row],[BVPS]]&lt;&gt;0,Main_S[[#This Row],[Current Price]]/Main_S[[#This Row],[BVPS]],""),"")</f>
        <v>1.8010471204188483</v>
      </c>
      <c r="J18">
        <v>-4.92</v>
      </c>
      <c r="K18">
        <v>0.7</v>
      </c>
      <c r="L18">
        <v>1.92</v>
      </c>
      <c r="M18" s="1">
        <f>IF(ISNUMBER(Main_S[[#This Row],[EPS]]),IF(Main_S[[#This Row],[EPS]]&lt;&gt;0,Main_S[[#This Row],[Current Price]]/Main_S[[#This Row],[EPS]],""),"")</f>
        <v>-21.5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-18.404577900319428</v>
      </c>
      <c r="P18" s="1">
        <f>(Main_S[[#This Row],[P/B]]-VLOOKUP(Main_S[[#This Row],[Industry]], Mean_PB_S, 2, FALSE))/(VLOOKUP(Main_S[[#This Row],[Industry]], Mean_PB_S, 3, FALSE))</f>
        <v>-0.55708239891966649</v>
      </c>
      <c r="Q18" s="1">
        <f>(Main_S[[#This Row],[ROE]]-VLOOKUP(Main_S[[#This Row],[Industry]], Mean_ROE_S, 2, FALSE))/(VLOOKUP(Main_S[[#This Row],[Industry]], Mean_ROE_S, 3, FALSE))</f>
        <v>1.1816679333480045</v>
      </c>
      <c r="R18" s="1">
        <f>(Main_S[[#This Row],[ROA]]-VLOOKUP(Main_S[[#This Row],[Industry]], Mean_ROA_S, 2, FALSE))/(VLOOKUP(Main_S[[#This Row],[Industry]], Mean_ROA_S, 3, FALSE))</f>
        <v>1.4391331278542945</v>
      </c>
      <c r="S18" s="1">
        <f>(Main_S[[#This Row],[A/E]]-VLOOKUP(Main_S[[#This Row],[Industry]], Mean_AE_S, 2, FALSE))/(VLOOKUP(Main_S[[#This Row],[Industry]], Mean_AE_S, 3, FALSE))</f>
        <v>1.1093208747922401</v>
      </c>
      <c r="T18" s="1">
        <f>(Main_S[[#This Row],[P/E]]-VLOOKUP(Main_S[[#This Row],[Industry]], Mean_PE_S, 2, FALSE))/(VLOOKUP(Main_S[[#This Row],[Industry]], Mean_PE_S, 3, FALSE))</f>
        <v>-5.2631747057634986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" spans="1:26" x14ac:dyDescent="0.25">
      <c r="A19" s="67" t="s">
        <v>152</v>
      </c>
      <c r="B19" s="67" t="s">
        <v>432</v>
      </c>
      <c r="C19" s="2">
        <v>819</v>
      </c>
      <c r="D19">
        <f>RTD("tos.rtd", , "LAST", Main_S[[#This Row],[Symbol]])</f>
        <v>8.5</v>
      </c>
      <c r="E19">
        <v>-0.12</v>
      </c>
      <c r="F19">
        <v>0.78</v>
      </c>
      <c r="G19">
        <v>0.02</v>
      </c>
      <c r="H19" s="1">
        <f>IF(ISNUMBER(Main_S[[#This Row],[Free CF]]),IF(Main_S[[#This Row],[Free CF]]&lt;&gt;0,Main_S[[#This Row],[Current Price]]/Main_S[[#This Row],[Free CF]],""),"")</f>
        <v>-70.833333333333343</v>
      </c>
      <c r="I19" s="1">
        <f>IF(ISNUMBER(Main_S[[#This Row],[BVPS]]),IF(Main_S[[#This Row],[BVPS]]&lt;&gt;0,Main_S[[#This Row],[Current Price]]/Main_S[[#This Row],[BVPS]],""),"")</f>
        <v>10.897435897435898</v>
      </c>
      <c r="J19">
        <v>12.12</v>
      </c>
      <c r="K19">
        <v>5.18</v>
      </c>
      <c r="L19">
        <v>1.91</v>
      </c>
      <c r="M19" s="1">
        <f>IF(ISNUMBER(Main_S[[#This Row],[EPS]]),IF(Main_S[[#This Row],[EPS]]&lt;&gt;0,Main_S[[#This Row],[Current Price]]/Main_S[[#This Row],[EPS]],""),"")</f>
        <v>425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-18.994164710675093</v>
      </c>
      <c r="P19" s="1">
        <f>(Main_S[[#This Row],[P/B]]-VLOOKUP(Main_S[[#This Row],[Industry]], Mean_PB_S, 2, FALSE))/(VLOOKUP(Main_S[[#This Row],[Industry]], Mean_PB_S, 3, FALSE))</f>
        <v>2.9562208970558577</v>
      </c>
      <c r="Q19" s="1">
        <f>(Main_S[[#This Row],[ROE]]-VLOOKUP(Main_S[[#This Row],[Industry]], Mean_ROE_S, 2, FALSE))/(VLOOKUP(Main_S[[#This Row],[Industry]], Mean_ROE_S, 3, FALSE))</f>
        <v>1.6696516415320783</v>
      </c>
      <c r="R19" s="1">
        <f>(Main_S[[#This Row],[ROA]]-VLOOKUP(Main_S[[#This Row],[Industry]], Mean_ROA_S, 2, FALSE))/(VLOOKUP(Main_S[[#This Row],[Industry]], Mean_ROA_S, 3, FALSE))</f>
        <v>1.7163979600161765</v>
      </c>
      <c r="S19" s="1">
        <f>(Main_S[[#This Row],[A/E]]-VLOOKUP(Main_S[[#This Row],[Industry]], Mean_AE_S, 2, FALSE))/(VLOOKUP(Main_S[[#This Row],[Industry]], Mean_AE_S, 3, FALSE))</f>
        <v>1.0867376682468119</v>
      </c>
      <c r="T19" s="1">
        <f>(Main_S[[#This Row],[P/E]]-VLOOKUP(Main_S[[#This Row],[Industry]], Mean_PE_S, 2, FALSE))/(VLOOKUP(Main_S[[#This Row],[Industry]], Mean_PE_S, 3, FALSE))</f>
        <v>135.34017395480552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" spans="1:26" x14ac:dyDescent="0.25">
      <c r="A20" s="67" t="s">
        <v>152</v>
      </c>
      <c r="B20" s="67" t="s">
        <v>433</v>
      </c>
      <c r="C20" s="2">
        <v>287</v>
      </c>
      <c r="D20">
        <f>RTD("tos.rtd", , "LAST", Main_S[[#This Row],[Symbol]])</f>
        <v>2.12</v>
      </c>
      <c r="E20">
        <v>-0.15</v>
      </c>
      <c r="F20">
        <v>-0.19</v>
      </c>
      <c r="G20">
        <v>-0.06</v>
      </c>
      <c r="H20" s="1">
        <f>IF(ISNUMBER(Main_S[[#This Row],[Free CF]]),IF(Main_S[[#This Row],[Free CF]]&lt;&gt;0,Main_S[[#This Row],[Current Price]]/Main_S[[#This Row],[Free CF]],""),"")</f>
        <v>-14.133333333333335</v>
      </c>
      <c r="I20" s="1">
        <f>IF(ISNUMBER(Main_S[[#This Row],[BVPS]]),IF(Main_S[[#This Row],[BVPS]]&lt;&gt;0,Main_S[[#This Row],[Current Price]]/Main_S[[#This Row],[BVPS]],""),"")</f>
        <v>-11.157894736842106</v>
      </c>
      <c r="J20">
        <v>25.02</v>
      </c>
      <c r="K20">
        <v>-0.99</v>
      </c>
      <c r="L20">
        <v>-8.2899999999999991</v>
      </c>
      <c r="M20" s="1">
        <f>IF(ISNUMBER(Main_S[[#This Row],[EPS]]),IF(Main_S[[#This Row],[EPS]]&lt;&gt;0,Main_S[[#This Row],[Current Price]]/Main_S[[#This Row],[EPS]],""),"")</f>
        <v>-35.333333333333336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-2.5533915235442151</v>
      </c>
      <c r="P20" s="1">
        <f>(Main_S[[#This Row],[P/B]]-VLOOKUP(Main_S[[#This Row],[Industry]], Mean_PB_S, 2, FALSE))/(VLOOKUP(Main_S[[#This Row],[Industry]], Mean_PB_S, 3, FALSE))</f>
        <v>-5.5622217190972476</v>
      </c>
      <c r="Q20" s="1">
        <f>(Main_S[[#This Row],[ROE]]-VLOOKUP(Main_S[[#This Row],[Industry]], Mean_ROE_S, 2, FALSE))/(VLOOKUP(Main_S[[#This Row],[Industry]], Mean_ROE_S, 3, FALSE))</f>
        <v>2.0390759276573456</v>
      </c>
      <c r="R20" s="1">
        <f>(Main_S[[#This Row],[ROA]]-VLOOKUP(Main_S[[#This Row],[Industry]], Mean_ROA_S, 2, FALSE))/(VLOOKUP(Main_S[[#This Row],[Industry]], Mean_ROA_S, 3, FALSE))</f>
        <v>1.3345399210789417</v>
      </c>
      <c r="S20" s="1">
        <f>(Main_S[[#This Row],[A/E]]-VLOOKUP(Main_S[[#This Row],[Industry]], Mean_AE_S, 2, FALSE))/(VLOOKUP(Main_S[[#This Row],[Industry]], Mean_AE_S, 3, FALSE))</f>
        <v>-21.948133008089783</v>
      </c>
      <c r="T20" s="1">
        <f>(Main_S[[#This Row],[P/E]]-VLOOKUP(Main_S[[#This Row],[Industry]], Mean_PE_S, 2, FALSE))/(VLOOKUP(Main_S[[#This Row],[Industry]], Mean_PE_S, 3, FALSE))</f>
        <v>-9.6193068217871005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" spans="1:26" x14ac:dyDescent="0.25">
      <c r="A21" s="67" t="s">
        <v>152</v>
      </c>
      <c r="B21" s="67" t="s">
        <v>394</v>
      </c>
      <c r="C21" s="2">
        <v>796</v>
      </c>
      <c r="D21">
        <f>RTD("tos.rtd", , "LAST", Main_S[[#This Row],[Symbol]])</f>
        <v>3.83</v>
      </c>
      <c r="E21">
        <v>-0.16</v>
      </c>
      <c r="F21">
        <v>0.09</v>
      </c>
      <c r="G21">
        <v>-0.21</v>
      </c>
      <c r="H21" s="1">
        <f>IF(ISNUMBER(Main_S[[#This Row],[Free CF]]),IF(Main_S[[#This Row],[Free CF]]&lt;&gt;0,Main_S[[#This Row],[Current Price]]/Main_S[[#This Row],[Free CF]],""),"")</f>
        <v>-23.9375</v>
      </c>
      <c r="I21" s="1">
        <f>IF(ISNUMBER(Main_S[[#This Row],[BVPS]]),IF(Main_S[[#This Row],[BVPS]]&lt;&gt;0,Main_S[[#This Row],[Current Price]]/Main_S[[#This Row],[BVPS]],""),"")</f>
        <v>42.555555555555557</v>
      </c>
      <c r="J21">
        <v>3385.4</v>
      </c>
      <c r="K21">
        <v>-4.26</v>
      </c>
      <c r="L21">
        <v>12.62</v>
      </c>
      <c r="M21" s="1">
        <f>IF(ISNUMBER(Main_S[[#This Row],[EPS]]),IF(Main_S[[#This Row],[EPS]]&lt;&gt;0,Main_S[[#This Row],[Current Price]]/Main_S[[#This Row],[EPS]],""),"")</f>
        <v>-18.238095238095241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-5.3962148120009283</v>
      </c>
      <c r="P21" s="1">
        <f>(Main_S[[#This Row],[P/B]]-VLOOKUP(Main_S[[#This Row],[Industry]], Mean_PB_S, 2, FALSE))/(VLOOKUP(Main_S[[#This Row],[Industry]], Mean_PB_S, 3, FALSE))</f>
        <v>15.183554058131771</v>
      </c>
      <c r="Q21" s="1">
        <f>(Main_S[[#This Row],[ROE]]-VLOOKUP(Main_S[[#This Row],[Industry]], Mean_ROE_S, 2, FALSE))/(VLOOKUP(Main_S[[#This Row],[Industry]], Mean_ROE_S, 3, FALSE))</f>
        <v>98.272097835380237</v>
      </c>
      <c r="R21" s="1">
        <f>(Main_S[[#This Row],[ROA]]-VLOOKUP(Main_S[[#This Row],[Industry]], Mean_ROA_S, 2, FALSE))/(VLOOKUP(Main_S[[#This Row],[Industry]], Mean_ROA_S, 3, FALSE))</f>
        <v>1.1321613493893536</v>
      </c>
      <c r="S21" s="1">
        <f>(Main_S[[#This Row],[A/E]]-VLOOKUP(Main_S[[#This Row],[Industry]], Mean_AE_S, 2, FALSE))/(VLOOKUP(Main_S[[#This Row],[Industry]], Mean_AE_S, 3, FALSE))</f>
        <v>25.273351878400238</v>
      </c>
      <c r="T21" s="1">
        <f>(Main_S[[#This Row],[P/E]]-VLOOKUP(Main_S[[#This Row],[Industry]], Mean_PE_S, 2, FALSE))/(VLOOKUP(Main_S[[#This Row],[Industry]], Mean_PE_S, 3, FALSE))</f>
        <v>-4.2359972532760066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" spans="1:26" x14ac:dyDescent="0.25">
      <c r="A22" s="67" t="s">
        <v>152</v>
      </c>
      <c r="B22" s="67" t="s">
        <v>399</v>
      </c>
      <c r="C22" s="2">
        <v>878</v>
      </c>
      <c r="D22">
        <f>RTD("tos.rtd", , "LAST", Main_S[[#This Row],[Symbol]])</f>
        <v>3.76</v>
      </c>
      <c r="E22">
        <v>-0.21</v>
      </c>
      <c r="F22">
        <v>0.61</v>
      </c>
      <c r="G22">
        <v>-0.23</v>
      </c>
      <c r="H22" s="1">
        <f>IF(ISNUMBER(Main_S[[#This Row],[Free CF]]),IF(Main_S[[#This Row],[Free CF]]&lt;&gt;0,Main_S[[#This Row],[Current Price]]/Main_S[[#This Row],[Free CF]],""),"")</f>
        <v>-17.904761904761905</v>
      </c>
      <c r="I22" s="1">
        <f>IF(ISNUMBER(Main_S[[#This Row],[BVPS]]),IF(Main_S[[#This Row],[BVPS]]&lt;&gt;0,Main_S[[#This Row],[Current Price]]/Main_S[[#This Row],[BVPS]],""),"")</f>
        <v>6.1639344262295079</v>
      </c>
      <c r="J22">
        <v>-36.26</v>
      </c>
      <c r="K22">
        <v>-6.58</v>
      </c>
      <c r="L22">
        <v>2.82</v>
      </c>
      <c r="M22" s="1">
        <f>IF(ISNUMBER(Main_S[[#This Row],[EPS]]),IF(Main_S[[#This Row],[EPS]]&lt;&gt;0,Main_S[[#This Row],[Current Price]]/Main_S[[#This Row],[EPS]],""),"")</f>
        <v>-16.34782608695652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-3.6469576916980455</v>
      </c>
      <c r="P22" s="1">
        <f>(Main_S[[#This Row],[P/B]]-VLOOKUP(Main_S[[#This Row],[Industry]], Mean_PB_S, 2, FALSE))/(VLOOKUP(Main_S[[#This Row],[Industry]], Mean_PB_S, 3, FALSE))</f>
        <v>1.1279979914658549</v>
      </c>
      <c r="Q22" s="1">
        <f>(Main_S[[#This Row],[ROE]]-VLOOKUP(Main_S[[#This Row],[Industry]], Mean_ROE_S, 2, FALSE))/(VLOOKUP(Main_S[[#This Row],[Industry]], Mean_ROE_S, 3, FALSE))</f>
        <v>0.2841673808545262</v>
      </c>
      <c r="R22" s="1">
        <f>(Main_S[[#This Row],[ROA]]-VLOOKUP(Main_S[[#This Row],[Industry]], Mean_ROA_S, 2, FALSE))/(VLOOKUP(Main_S[[#This Row],[Industry]], Mean_ROA_S, 3, FALSE))</f>
        <v>0.98857777559123594</v>
      </c>
      <c r="S22" s="1">
        <f>(Main_S[[#This Row],[A/E]]-VLOOKUP(Main_S[[#This Row],[Industry]], Mean_AE_S, 2, FALSE))/(VLOOKUP(Main_S[[#This Row],[Industry]], Mean_AE_S, 3, FALSE))</f>
        <v>3.141809463880763</v>
      </c>
      <c r="T22" s="1">
        <f>(Main_S[[#This Row],[P/E]]-VLOOKUP(Main_S[[#This Row],[Industry]], Mean_PE_S, 2, FALSE))/(VLOOKUP(Main_S[[#This Row],[Industry]], Mean_PE_S, 3, FALSE))</f>
        <v>-3.6407493864901714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" spans="1:26" x14ac:dyDescent="0.25">
      <c r="A23" s="67" t="s">
        <v>152</v>
      </c>
      <c r="B23" s="67" t="s">
        <v>452</v>
      </c>
      <c r="C23" s="2">
        <v>342</v>
      </c>
      <c r="D23">
        <f>RTD("tos.rtd", , "LAST", Main_S[[#This Row],[Symbol]])</f>
        <v>2.65</v>
      </c>
      <c r="E23">
        <v>-0.22</v>
      </c>
      <c r="F23">
        <v>0.38</v>
      </c>
      <c r="G23">
        <v>-0.31</v>
      </c>
      <c r="H23" s="1">
        <f>IF(ISNUMBER(Main_S[[#This Row],[Free CF]]),IF(Main_S[[#This Row],[Free CF]]&lt;&gt;0,Main_S[[#This Row],[Current Price]]/Main_S[[#This Row],[Free CF]],""),"")</f>
        <v>-12.045454545454545</v>
      </c>
      <c r="I23" s="1">
        <f>IF(ISNUMBER(Main_S[[#This Row],[BVPS]]),IF(Main_S[[#This Row],[BVPS]]&lt;&gt;0,Main_S[[#This Row],[Current Price]]/Main_S[[#This Row],[BVPS]],""),"")</f>
        <v>6.973684210526315</v>
      </c>
      <c r="J23">
        <v>-91.7</v>
      </c>
      <c r="K23">
        <v>-47.59</v>
      </c>
      <c r="L23">
        <v>1.1399999999999999</v>
      </c>
      <c r="M23" s="1">
        <f>IF(ISNUMBER(Main_S[[#This Row],[EPS]]),IF(Main_S[[#This Row],[EPS]]&lt;&gt;0,Main_S[[#This Row],[Current Price]]/Main_S[[#This Row],[EPS]],""),"")</f>
        <v>-8.5483870967741939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-1.947988673566492</v>
      </c>
      <c r="P23" s="1">
        <f>(Main_S[[#This Row],[P/B]]-VLOOKUP(Main_S[[#This Row],[Industry]], Mean_PB_S, 2, FALSE))/(VLOOKUP(Main_S[[#This Row],[Industry]], Mean_PB_S, 3, FALSE))</f>
        <v>1.4407481009679204</v>
      </c>
      <c r="Q23" s="1">
        <f>(Main_S[[#This Row],[ROE]]-VLOOKUP(Main_S[[#This Row],[Industry]], Mean_ROE_S, 2, FALSE))/(VLOOKUP(Main_S[[#This Row],[Industry]], Mean_ROE_S, 3, FALSE))</f>
        <v>-1.3034979232373196</v>
      </c>
      <c r="R23" s="1">
        <f>(Main_S[[#This Row],[ROA]]-VLOOKUP(Main_S[[#This Row],[Industry]], Mean_ROA_S, 2, FALSE))/(VLOOKUP(Main_S[[#This Row],[Industry]], Mean_ROA_S, 3, FALSE))</f>
        <v>-1.549509449176351</v>
      </c>
      <c r="S23" s="1">
        <f>(Main_S[[#This Row],[A/E]]-VLOOKUP(Main_S[[#This Row],[Industry]], Mean_AE_S, 2, FALSE))/(VLOOKUP(Main_S[[#This Row],[Industry]], Mean_AE_S, 3, FALSE))</f>
        <v>-0.65216923575114694</v>
      </c>
      <c r="T23" s="1">
        <f>(Main_S[[#This Row],[P/E]]-VLOOKUP(Main_S[[#This Row],[Industry]], Mean_PE_S, 2, FALSE))/(VLOOKUP(Main_S[[#This Row],[Industry]], Mean_PE_S, 3, FALSE))</f>
        <v>-1.1846973379046351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7" t="s">
        <v>152</v>
      </c>
      <c r="B24" s="67" t="s">
        <v>477</v>
      </c>
      <c r="C24" s="2">
        <v>1417</v>
      </c>
      <c r="D24">
        <f>RTD("tos.rtd", , "LAST", Main_S[[#This Row],[Symbol]])</f>
        <v>14.53</v>
      </c>
      <c r="E24">
        <v>-0.28999999999999998</v>
      </c>
      <c r="F24">
        <v>2.33</v>
      </c>
      <c r="G24">
        <v>-0.16</v>
      </c>
      <c r="H24" s="1">
        <f>IF(ISNUMBER(Main_S[[#This Row],[Free CF]]),IF(Main_S[[#This Row],[Free CF]]&lt;&gt;0,Main_S[[#This Row],[Current Price]]/Main_S[[#This Row],[Free CF]],""),"")</f>
        <v>-50.103448275862071</v>
      </c>
      <c r="I24" s="1">
        <f>IF(ISNUMBER(Main_S[[#This Row],[BVPS]]),IF(Main_S[[#This Row],[BVPS]]&lt;&gt;0,Main_S[[#This Row],[Current Price]]/Main_S[[#This Row],[BVPS]],""),"")</f>
        <v>6.236051502145922</v>
      </c>
      <c r="J24">
        <v>-6.91</v>
      </c>
      <c r="K24">
        <v>-6.1</v>
      </c>
      <c r="L24">
        <v>1.43</v>
      </c>
      <c r="M24" s="1">
        <f>IF(ISNUMBER(Main_S[[#This Row],[EPS]]),IF(Main_S[[#This Row],[EPS]]&lt;&gt;0,Main_S[[#This Row],[Current Price]]/Main_S[[#This Row],[EPS]],""),"")</f>
        <v>-90.8125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-12.983312181130497</v>
      </c>
      <c r="P24" s="1">
        <f>(Main_S[[#This Row],[P/B]]-VLOOKUP(Main_S[[#This Row],[Industry]], Mean_PB_S, 2, FALSE))/(VLOOKUP(Main_S[[#This Row],[Industry]], Mean_PB_S, 3, FALSE))</f>
        <v>1.1558518098023598</v>
      </c>
      <c r="Q24" s="1">
        <f>(Main_S[[#This Row],[ROE]]-VLOOKUP(Main_S[[#This Row],[Industry]], Mean_ROE_S, 2, FALSE))/(VLOOKUP(Main_S[[#This Row],[Industry]], Mean_ROE_S, 3, FALSE))</f>
        <v>1.1246792256434091</v>
      </c>
      <c r="R24" s="1">
        <f>(Main_S[[#This Row],[ROA]]-VLOOKUP(Main_S[[#This Row],[Industry]], Mean_ROA_S, 2, FALSE))/(VLOOKUP(Main_S[[#This Row],[Industry]], Mean_ROA_S, 3, FALSE))</f>
        <v>1.0182847218942945</v>
      </c>
      <c r="S24" s="1">
        <f>(Main_S[[#This Row],[A/E]]-VLOOKUP(Main_S[[#This Row],[Industry]], Mean_AE_S, 2, FALSE))/(VLOOKUP(Main_S[[#This Row],[Industry]], Mean_AE_S, 3, FALSE))</f>
        <v>2.7437540662662387E-3</v>
      </c>
      <c r="T24" s="1">
        <f>(Main_S[[#This Row],[P/E]]-VLOOKUP(Main_S[[#This Row],[Industry]], Mean_PE_S, 2, FALSE))/(VLOOKUP(Main_S[[#This Row],[Industry]], Mean_PE_S, 3, FALSE))</f>
        <v>-27.089758365417904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" spans="1:26" x14ac:dyDescent="0.25">
      <c r="A25" s="67" t="s">
        <v>152</v>
      </c>
      <c r="B25" s="67" t="s">
        <v>429</v>
      </c>
      <c r="C25" s="2">
        <v>968</v>
      </c>
      <c r="D25">
        <f>RTD("tos.rtd", , "LAST", Main_S[[#This Row],[Symbol]])</f>
        <v>1.62</v>
      </c>
      <c r="E25">
        <v>-0.31</v>
      </c>
      <c r="F25">
        <v>0.42</v>
      </c>
      <c r="G25">
        <v>-0.21</v>
      </c>
      <c r="H25" s="1">
        <f>IF(ISNUMBER(Main_S[[#This Row],[Free CF]]),IF(Main_S[[#This Row],[Free CF]]&lt;&gt;0,Main_S[[#This Row],[Current Price]]/Main_S[[#This Row],[Free CF]],""),"")</f>
        <v>-5.2258064516129039</v>
      </c>
      <c r="I25" s="1">
        <f>IF(ISNUMBER(Main_S[[#This Row],[BVPS]]),IF(Main_S[[#This Row],[BVPS]]&lt;&gt;0,Main_S[[#This Row],[Current Price]]/Main_S[[#This Row],[BVPS]],""),"")</f>
        <v>3.8571428571428577</v>
      </c>
      <c r="J25">
        <v>-45.35</v>
      </c>
      <c r="K25">
        <v>-16.07</v>
      </c>
      <c r="L25">
        <v>2.1</v>
      </c>
      <c r="M25" s="1">
        <f>IF(ISNUMBER(Main_S[[#This Row],[EPS]]),IF(Main_S[[#This Row],[EPS]]&lt;&gt;0,Main_S[[#This Row],[Current Price]]/Main_S[[#This Row],[EPS]],""),"")</f>
        <v>-7.7142857142857153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2.9441441546380152E-2</v>
      </c>
      <c r="P25" s="1">
        <f>(Main_S[[#This Row],[P/B]]-VLOOKUP(Main_S[[#This Row],[Industry]], Mean_PB_S, 2, FALSE))/(VLOOKUP(Main_S[[#This Row],[Industry]], Mean_PB_S, 3, FALSE))</f>
        <v>0.23704460089866444</v>
      </c>
      <c r="Q25" s="1">
        <f>(Main_S[[#This Row],[ROE]]-VLOOKUP(Main_S[[#This Row],[Industry]], Mean_ROE_S, 2, FALSE))/(VLOOKUP(Main_S[[#This Row],[Industry]], Mean_ROE_S, 3, FALSE))</f>
        <v>2.3852128073233246E-2</v>
      </c>
      <c r="R25" s="1">
        <f>(Main_S[[#This Row],[ROA]]-VLOOKUP(Main_S[[#This Row],[Industry]], Mean_ROA_S, 2, FALSE))/(VLOOKUP(Main_S[[#This Row],[Industry]], Mean_ROA_S, 3, FALSE))</f>
        <v>0.40124669139117741</v>
      </c>
      <c r="S25" s="1">
        <f>(Main_S[[#This Row],[A/E]]-VLOOKUP(Main_S[[#This Row],[Industry]], Mean_AE_S, 2, FALSE))/(VLOOKUP(Main_S[[#This Row],[Industry]], Mean_AE_S, 3, FALSE))</f>
        <v>1.515818592609945</v>
      </c>
      <c r="T25" s="1">
        <f>(Main_S[[#This Row],[P/E]]-VLOOKUP(Main_S[[#This Row],[Industry]], Mean_PE_S, 2, FALSE))/(VLOOKUP(Main_S[[#This Row],[Industry]], Mean_PE_S, 3, FALSE))</f>
        <v>-0.92203788101708695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7" t="s">
        <v>152</v>
      </c>
      <c r="B26" s="67" t="s">
        <v>391</v>
      </c>
      <c r="C26" s="2">
        <v>644</v>
      </c>
      <c r="D26">
        <f>RTD("tos.rtd", , "LAST", Main_S[[#This Row],[Symbol]])</f>
        <v>3.51</v>
      </c>
      <c r="E26">
        <v>-0.31</v>
      </c>
      <c r="F26">
        <v>0.41</v>
      </c>
      <c r="G26">
        <v>-0.41</v>
      </c>
      <c r="H26" s="1">
        <f>IF(ISNUMBER(Main_S[[#This Row],[Free CF]]),IF(Main_S[[#This Row],[Free CF]]&lt;&gt;0,Main_S[[#This Row],[Current Price]]/Main_S[[#This Row],[Free CF]],""),"")</f>
        <v>-11.32258064516129</v>
      </c>
      <c r="I26" s="1">
        <f>IF(ISNUMBER(Main_S[[#This Row],[BVPS]]),IF(Main_S[[#This Row],[BVPS]]&lt;&gt;0,Main_S[[#This Row],[Current Price]]/Main_S[[#This Row],[BVPS]],""),"")</f>
        <v>8.5609756097560972</v>
      </c>
      <c r="J26">
        <v>-79.02</v>
      </c>
      <c r="K26">
        <v>-31.58</v>
      </c>
      <c r="L26">
        <v>1.48</v>
      </c>
      <c r="M26" s="1">
        <f>IF(ISNUMBER(Main_S[[#This Row],[EPS]]),IF(Main_S[[#This Row],[EPS]]&lt;&gt;0,Main_S[[#This Row],[Current Price]]/Main_S[[#This Row],[EPS]],""),"")</f>
        <v>-8.5609756097560972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-1.7383836323386601</v>
      </c>
      <c r="P26" s="1">
        <f>(Main_S[[#This Row],[P/B]]-VLOOKUP(Main_S[[#This Row],[Industry]], Mean_PB_S, 2, FALSE))/(VLOOKUP(Main_S[[#This Row],[Industry]], Mean_PB_S, 3, FALSE))</f>
        <v>2.053808540807248</v>
      </c>
      <c r="Q26" s="1">
        <f>(Main_S[[#This Row],[ROE]]-VLOOKUP(Main_S[[#This Row],[Industry]], Mean_ROE_S, 2, FALSE))/(VLOOKUP(Main_S[[#This Row],[Industry]], Mean_ROE_S, 3, FALSE))</f>
        <v>-0.9403738962552739</v>
      </c>
      <c r="R26" s="1">
        <f>(Main_S[[#This Row],[ROA]]-VLOOKUP(Main_S[[#This Row],[Industry]], Mean_ROA_S, 2, FALSE))/(VLOOKUP(Main_S[[#This Row],[Industry]], Mean_ROA_S, 3, FALSE))</f>
        <v>-0.55865901102641013</v>
      </c>
      <c r="S26" s="1">
        <f>(Main_S[[#This Row],[A/E]]-VLOOKUP(Main_S[[#This Row],[Industry]], Mean_AE_S, 2, FALSE))/(VLOOKUP(Main_S[[#This Row],[Industry]], Mean_AE_S, 3, FALSE))</f>
        <v>0.11565978679340652</v>
      </c>
      <c r="T26" s="1">
        <f>(Main_S[[#This Row],[P/E]]-VLOOKUP(Main_S[[#This Row],[Industry]], Mean_PE_S, 2, FALSE))/(VLOOKUP(Main_S[[#This Row],[Industry]], Mean_PE_S, 3, FALSE))</f>
        <v>-1.1886614747017519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7" t="s">
        <v>152</v>
      </c>
      <c r="B27" s="67" t="s">
        <v>583</v>
      </c>
      <c r="C27" s="2">
        <v>290</v>
      </c>
      <c r="D27">
        <f>RTD("tos.rtd", , "LAST", Main_S[[#This Row],[Symbol]])</f>
        <v>2.57</v>
      </c>
      <c r="E27">
        <v>-0.32</v>
      </c>
      <c r="F27">
        <v>0.8</v>
      </c>
      <c r="G27">
        <v>-0.4</v>
      </c>
      <c r="H27" s="1">
        <f>IF(ISNUMBER(Main_S[[#This Row],[Free CF]]),IF(Main_S[[#This Row],[Free CF]]&lt;&gt;0,Main_S[[#This Row],[Current Price]]/Main_S[[#This Row],[Free CF]],""),"")</f>
        <v>-8.03125</v>
      </c>
      <c r="I27" s="1">
        <f>IF(ISNUMBER(Main_S[[#This Row],[BVPS]]),IF(Main_S[[#This Row],[BVPS]]&lt;&gt;0,Main_S[[#This Row],[Current Price]]/Main_S[[#This Row],[BVPS]],""),"")</f>
        <v>3.2124999999999995</v>
      </c>
      <c r="J27">
        <v>-41.31</v>
      </c>
      <c r="K27">
        <v>-26.41</v>
      </c>
      <c r="L27">
        <v>1.19</v>
      </c>
      <c r="M27" s="1">
        <f>IF(ISNUMBER(Main_S[[#This Row],[EPS]]),IF(Main_S[[#This Row],[EPS]]&lt;&gt;0,Main_S[[#This Row],[Current Price]]/Main_S[[#This Row],[EPS]],""),"")</f>
        <v>-6.4249999999999989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-0.78402700763054889</v>
      </c>
      <c r="P27" s="1">
        <f>(Main_S[[#This Row],[P/B]]-VLOOKUP(Main_S[[#This Row],[Industry]], Mean_PB_S, 2, FALSE))/(VLOOKUP(Main_S[[#This Row],[Industry]], Mean_PB_S, 3, FALSE))</f>
        <v>-1.1936168310474407E-2</v>
      </c>
      <c r="Q27" s="1">
        <f>(Main_S[[#This Row],[ROE]]-VLOOKUP(Main_S[[#This Row],[Industry]], Mean_ROE_S, 2, FALSE))/(VLOOKUP(Main_S[[#This Row],[Industry]], Mean_ROE_S, 3, FALSE))</f>
        <v>0.13954779597603006</v>
      </c>
      <c r="R27" s="1">
        <f>(Main_S[[#This Row],[ROA]]-VLOOKUP(Main_S[[#This Row],[Industry]], Mean_ROA_S, 2, FALSE))/(VLOOKUP(Main_S[[#This Row],[Industry]], Mean_ROA_S, 3, FALSE))</f>
        <v>-0.23869044355388103</v>
      </c>
      <c r="S27" s="1">
        <f>(Main_S[[#This Row],[A/E]]-VLOOKUP(Main_S[[#This Row],[Industry]], Mean_AE_S, 2, FALSE))/(VLOOKUP(Main_S[[#This Row],[Industry]], Mean_AE_S, 3, FALSE))</f>
        <v>-0.53925320302400659</v>
      </c>
      <c r="T27" s="1">
        <f>(Main_S[[#This Row],[P/E]]-VLOOKUP(Main_S[[#This Row],[Industry]], Mean_PE_S, 2, FALSE))/(VLOOKUP(Main_S[[#This Row],[Industry]], Mean_PE_S, 3, FALSE))</f>
        <v>-0.5160403696871757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7" t="s">
        <v>152</v>
      </c>
      <c r="B28" s="67" t="s">
        <v>482</v>
      </c>
      <c r="C28" s="2">
        <v>582</v>
      </c>
      <c r="D28">
        <f>RTD("tos.rtd", , "LAST", Main_S[[#This Row],[Symbol]])</f>
        <v>2.8</v>
      </c>
      <c r="E28">
        <v>-0.32</v>
      </c>
      <c r="F28">
        <v>0.27</v>
      </c>
      <c r="G28">
        <v>-0.33</v>
      </c>
      <c r="H28" s="1">
        <f>IF(ISNUMBER(Main_S[[#This Row],[Free CF]]),IF(Main_S[[#This Row],[Free CF]]&lt;&gt;0,Main_S[[#This Row],[Current Price]]/Main_S[[#This Row],[Free CF]],""),"")</f>
        <v>-8.75</v>
      </c>
      <c r="I28" s="1">
        <f>IF(ISNUMBER(Main_S[[#This Row],[BVPS]]),IF(Main_S[[#This Row],[BVPS]]&lt;&gt;0,Main_S[[#This Row],[Current Price]]/Main_S[[#This Row],[BVPS]],""),"")</f>
        <v>10.370370370370368</v>
      </c>
      <c r="J28">
        <v>-159.34</v>
      </c>
      <c r="K28">
        <v>-35.909999999999997</v>
      </c>
      <c r="L28">
        <v>2.5099999999999998</v>
      </c>
      <c r="M28" s="1">
        <f>IF(ISNUMBER(Main_S[[#This Row],[EPS]]),IF(Main_S[[#This Row],[EPS]]&lt;&gt;0,Main_S[[#This Row],[Current Price]]/Main_S[[#This Row],[EPS]],""),"")</f>
        <v>-8.4848484848484844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-0.99243627973372905</v>
      </c>
      <c r="P28" s="1">
        <f>(Main_S[[#This Row],[P/B]]-VLOOKUP(Main_S[[#This Row],[Industry]], Mean_PB_S, 2, FALSE))/(VLOOKUP(Main_S[[#This Row],[Industry]], Mean_PB_S, 3, FALSE))</f>
        <v>2.7526520854288732</v>
      </c>
      <c r="Q28" s="1">
        <f>(Main_S[[#This Row],[ROE]]-VLOOKUP(Main_S[[#This Row],[Industry]], Mean_ROE_S, 2, FALSE))/(VLOOKUP(Main_S[[#This Row],[Industry]], Mean_ROE_S, 3, FALSE))</f>
        <v>-3.2405412343623641</v>
      </c>
      <c r="R28" s="1">
        <f>(Main_S[[#This Row],[ROA]]-VLOOKUP(Main_S[[#This Row],[Industry]], Mean_ROA_S, 2, FALSE))/(VLOOKUP(Main_S[[#This Row],[Industry]], Mean_ROA_S, 3, FALSE))</f>
        <v>-0.82664042246858627</v>
      </c>
      <c r="S28" s="1">
        <f>(Main_S[[#This Row],[A/E]]-VLOOKUP(Main_S[[#This Row],[Industry]], Mean_AE_S, 2, FALSE))/(VLOOKUP(Main_S[[#This Row],[Industry]], Mean_AE_S, 3, FALSE))</f>
        <v>2.4417300609724939</v>
      </c>
      <c r="T28" s="1">
        <f>(Main_S[[#This Row],[P/E]]-VLOOKUP(Main_S[[#This Row],[Industry]], Mean_PE_S, 2, FALSE))/(VLOOKUP(Main_S[[#This Row],[Industry]], Mean_PE_S, 3, FALSE))</f>
        <v>-1.164688958047974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7" t="s">
        <v>152</v>
      </c>
      <c r="B29" s="67" t="s">
        <v>406</v>
      </c>
      <c r="C29" s="2">
        <v>643</v>
      </c>
      <c r="D29">
        <f>RTD("tos.rtd", , "LAST", Main_S[[#This Row],[Symbol]])</f>
        <v>7.93</v>
      </c>
      <c r="E29">
        <v>-0.35</v>
      </c>
      <c r="F29">
        <v>1.17</v>
      </c>
      <c r="G29">
        <v>-0.56000000000000005</v>
      </c>
      <c r="H29" s="1">
        <f>IF(ISNUMBER(Main_S[[#This Row],[Free CF]]),IF(Main_S[[#This Row],[Free CF]]&lt;&gt;0,Main_S[[#This Row],[Current Price]]/Main_S[[#This Row],[Free CF]],""),"")</f>
        <v>-22.657142857142858</v>
      </c>
      <c r="I29" s="1">
        <f>IF(ISNUMBER(Main_S[[#This Row],[BVPS]]),IF(Main_S[[#This Row],[BVPS]]&lt;&gt;0,Main_S[[#This Row],[Current Price]]/Main_S[[#This Row],[BVPS]],""),"")</f>
        <v>6.7777777777777777</v>
      </c>
      <c r="J29">
        <v>-40.17</v>
      </c>
      <c r="K29">
        <v>-25.44</v>
      </c>
      <c r="L29">
        <v>1.17</v>
      </c>
      <c r="M29" s="1">
        <f>IF(ISNUMBER(Main_S[[#This Row],[EPS]]),IF(Main_S[[#This Row],[EPS]]&lt;&gt;0,Main_S[[#This Row],[Current Price]]/Main_S[[#This Row],[EPS]],""),"")</f>
        <v>-14.160714285714285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-5.024961524800978</v>
      </c>
      <c r="P29" s="1">
        <f>(Main_S[[#This Row],[P/B]]-VLOOKUP(Main_S[[#This Row],[Industry]], Mean_PB_S, 2, FALSE))/(VLOOKUP(Main_S[[#This Row],[Industry]], Mean_PB_S, 3, FALSE))</f>
        <v>1.3650830505011629</v>
      </c>
      <c r="Q29" s="1">
        <f>(Main_S[[#This Row],[ROE]]-VLOOKUP(Main_S[[#This Row],[Industry]], Mean_ROE_S, 2, FALSE))/(VLOOKUP(Main_S[[#This Row],[Industry]], Mean_ROE_S, 3, FALSE))</f>
        <v>0.17219459335454204</v>
      </c>
      <c r="R29" s="1">
        <f>(Main_S[[#This Row],[ROA]]-VLOOKUP(Main_S[[#This Row],[Industry]], Mean_ROA_S, 2, FALSE))/(VLOOKUP(Main_S[[#This Row],[Industry]], Mean_ROA_S, 3, FALSE))</f>
        <v>-0.17865765623311641</v>
      </c>
      <c r="S29" s="1">
        <f>(Main_S[[#This Row],[A/E]]-VLOOKUP(Main_S[[#This Row],[Industry]], Mean_AE_S, 2, FALSE))/(VLOOKUP(Main_S[[#This Row],[Industry]], Mean_AE_S, 3, FALSE))</f>
        <v>-0.58441961611486271</v>
      </c>
      <c r="T29" s="1">
        <f>(Main_S[[#This Row],[P/E]]-VLOOKUP(Main_S[[#This Row],[Industry]], Mean_PE_S, 2, FALSE))/(VLOOKUP(Main_S[[#This Row],[Industry]], Mean_PE_S, 3, FALSE))</f>
        <v>-2.9520254376666393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7" t="s">
        <v>152</v>
      </c>
      <c r="B30" s="67" t="s">
        <v>453</v>
      </c>
      <c r="C30" s="2">
        <v>386</v>
      </c>
      <c r="D30">
        <f>RTD("tos.rtd", , "LAST", Main_S[[#This Row],[Symbol]])</f>
        <v>5.19</v>
      </c>
      <c r="E30">
        <v>-0.39</v>
      </c>
      <c r="F30">
        <v>7.65</v>
      </c>
      <c r="G30">
        <v>-1.1200000000000001</v>
      </c>
      <c r="H30" s="1">
        <f>IF(ISNUMBER(Main_S[[#This Row],[Free CF]]),IF(Main_S[[#This Row],[Free CF]]&lt;&gt;0,Main_S[[#This Row],[Current Price]]/Main_S[[#This Row],[Free CF]],""),"")</f>
        <v>-13.307692307692308</v>
      </c>
      <c r="I30" s="1">
        <f>IF(ISNUMBER(Main_S[[#This Row],[BVPS]]),IF(Main_S[[#This Row],[BVPS]]&lt;&gt;0,Main_S[[#This Row],[Current Price]]/Main_S[[#This Row],[BVPS]],""),"")</f>
        <v>0.67843137254901964</v>
      </c>
      <c r="J30">
        <v>-13.84</v>
      </c>
      <c r="K30">
        <v>-5.26</v>
      </c>
      <c r="L30">
        <v>1.43</v>
      </c>
      <c r="M30" s="1">
        <f>IF(ISNUMBER(Main_S[[#This Row],[EPS]]),IF(Main_S[[#This Row],[EPS]]&lt;&gt;0,Main_S[[#This Row],[Current Price]]/Main_S[[#This Row],[EPS]],""),"")</f>
        <v>-4.6339285714285712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-2.3139880520000493</v>
      </c>
      <c r="P30" s="1">
        <f>(Main_S[[#This Row],[P/B]]-VLOOKUP(Main_S[[#This Row],[Industry]], Mean_PB_S, 2, FALSE))/(VLOOKUP(Main_S[[#This Row],[Industry]], Mean_PB_S, 3, FALSE))</f>
        <v>-0.99067090352165088</v>
      </c>
      <c r="Q30" s="1">
        <f>(Main_S[[#This Row],[ROE]]-VLOOKUP(Main_S[[#This Row],[Industry]], Mean_ROE_S, 2, FALSE))/(VLOOKUP(Main_S[[#This Row],[Industry]], Mean_ROE_S, 3, FALSE))</f>
        <v>0.92622106263192849</v>
      </c>
      <c r="R30" s="1">
        <f>(Main_S[[#This Row],[ROA]]-VLOOKUP(Main_S[[#This Row],[Industry]], Mean_ROA_S, 2, FALSE))/(VLOOKUP(Main_S[[#This Row],[Industry]], Mean_ROA_S, 3, FALSE))</f>
        <v>1.0702718779246476</v>
      </c>
      <c r="S30" s="1">
        <f>(Main_S[[#This Row],[A/E]]-VLOOKUP(Main_S[[#This Row],[Industry]], Mean_AE_S, 2, FALSE))/(VLOOKUP(Main_S[[#This Row],[Industry]], Mean_AE_S, 3, FALSE))</f>
        <v>2.7437540662662387E-3</v>
      </c>
      <c r="T30" s="1">
        <f>(Main_S[[#This Row],[P/E]]-VLOOKUP(Main_S[[#This Row],[Industry]], Mean_PE_S, 2, FALSE))/(VLOOKUP(Main_S[[#This Row],[Industry]], Mean_PE_S, 3, FALSE))</f>
        <v>4.7970023476120838E-2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7" t="s">
        <v>152</v>
      </c>
      <c r="B31" s="67" t="s">
        <v>584</v>
      </c>
      <c r="C31" s="2">
        <v>291</v>
      </c>
      <c r="D31">
        <f>RTD("tos.rtd", , "LAST", Main_S[[#This Row],[Symbol]])</f>
        <v>4.04</v>
      </c>
      <c r="E31">
        <v>-0.43</v>
      </c>
      <c r="F31">
        <v>0.72</v>
      </c>
      <c r="G31">
        <v>-0.99</v>
      </c>
      <c r="H31" s="1">
        <f>IF(ISNUMBER(Main_S[[#This Row],[Free CF]]),IF(Main_S[[#This Row],[Free CF]]&lt;&gt;0,Main_S[[#This Row],[Current Price]]/Main_S[[#This Row],[Free CF]],""),"")</f>
        <v>-9.395348837209303</v>
      </c>
      <c r="I31" s="1">
        <f>IF(ISNUMBER(Main_S[[#This Row],[BVPS]]),IF(Main_S[[#This Row],[BVPS]]&lt;&gt;0,Main_S[[#This Row],[Current Price]]/Main_S[[#This Row],[BVPS]],""),"")</f>
        <v>5.6111111111111116</v>
      </c>
      <c r="J31">
        <v>-100.13</v>
      </c>
      <c r="K31">
        <v>-39.21</v>
      </c>
      <c r="L31">
        <v>1.2</v>
      </c>
      <c r="M31" s="1">
        <f>IF(ISNUMBER(Main_S[[#This Row],[EPS]]),IF(Main_S[[#This Row],[EPS]]&lt;&gt;0,Main_S[[#This Row],[Current Price]]/Main_S[[#This Row],[EPS]],""),"")</f>
        <v>-4.0808080808080804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-1.1795620973551892</v>
      </c>
      <c r="P31" s="1">
        <f>(Main_S[[#This Row],[P/B]]-VLOOKUP(Main_S[[#This Row],[Industry]], Mean_PB_S, 2, FALSE))/(VLOOKUP(Main_S[[#This Row],[Industry]], Mean_PB_S, 3, FALSE))</f>
        <v>0.91448073503494753</v>
      </c>
      <c r="Q31" s="1">
        <f>(Main_S[[#This Row],[ROE]]-VLOOKUP(Main_S[[#This Row],[Industry]], Mean_ROE_S, 2, FALSE))/(VLOOKUP(Main_S[[#This Row],[Industry]], Mean_ROE_S, 3, FALSE))</f>
        <v>-1.5449123985889475</v>
      </c>
      <c r="R31" s="1">
        <f>(Main_S[[#This Row],[ROA]]-VLOOKUP(Main_S[[#This Row],[Industry]], Mean_ROA_S, 2, FALSE))/(VLOOKUP(Main_S[[#This Row],[Industry]], Mean_ROA_S, 3, FALSE))</f>
        <v>-1.0308756783021158</v>
      </c>
      <c r="S31" s="1">
        <f>(Main_S[[#This Row],[A/E]]-VLOOKUP(Main_S[[#This Row],[Industry]], Mean_AE_S, 2, FALSE))/(VLOOKUP(Main_S[[#This Row],[Industry]], Mean_AE_S, 3, FALSE))</f>
        <v>-0.51666999647857859</v>
      </c>
      <c r="T31" s="1">
        <f>(Main_S[[#This Row],[P/E]]-VLOOKUP(Main_S[[#This Row],[Industry]], Mean_PE_S, 2, FALSE))/(VLOOKUP(Main_S[[#This Row],[Industry]], Mean_PE_S, 3, FALSE))</f>
        <v>0.22214828370908357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7" t="s">
        <v>152</v>
      </c>
      <c r="B32" s="67" t="s">
        <v>487</v>
      </c>
      <c r="C32" s="2">
        <v>544</v>
      </c>
      <c r="D32">
        <f>RTD("tos.rtd", , "LAST", Main_S[[#This Row],[Symbol]])</f>
        <v>6.08</v>
      </c>
      <c r="E32">
        <v>-0.44</v>
      </c>
      <c r="F32">
        <v>1.23</v>
      </c>
      <c r="G32">
        <v>-0.57999999999999996</v>
      </c>
      <c r="H32" s="1">
        <f>IF(ISNUMBER(Main_S[[#This Row],[Free CF]]),IF(Main_S[[#This Row],[Free CF]]&lt;&gt;0,Main_S[[#This Row],[Current Price]]/Main_S[[#This Row],[Free CF]],""),"")</f>
        <v>-13.818181818181818</v>
      </c>
      <c r="I32" s="1">
        <f>IF(ISNUMBER(Main_S[[#This Row],[BVPS]]),IF(Main_S[[#This Row],[BVPS]]&lt;&gt;0,Main_S[[#This Row],[Current Price]]/Main_S[[#This Row],[BVPS]],""),"")</f>
        <v>4.9430894308943092</v>
      </c>
      <c r="J32">
        <v>-44.11</v>
      </c>
      <c r="K32">
        <v>-19.190000000000001</v>
      </c>
      <c r="L32">
        <v>2.75</v>
      </c>
      <c r="M32" s="1">
        <f>IF(ISNUMBER(Main_S[[#This Row],[EPS]]),IF(Main_S[[#This Row],[EPS]]&lt;&gt;0,Main_S[[#This Row],[Current Price]]/Main_S[[#This Row],[EPS]],""),"")</f>
        <v>-10.482758620689657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-2.4620099612834263</v>
      </c>
      <c r="P32" s="1">
        <f>(Main_S[[#This Row],[P/B]]-VLOOKUP(Main_S[[#This Row],[Industry]], Mean_PB_S, 2, FALSE))/(VLOOKUP(Main_S[[#This Row],[Industry]], Mean_PB_S, 3, FALSE))</f>
        <v>0.65647034998867071</v>
      </c>
      <c r="Q32" s="1">
        <f>(Main_S[[#This Row],[ROE]]-VLOOKUP(Main_S[[#This Row],[Industry]], Mean_ROE_S, 2, FALSE))/(VLOOKUP(Main_S[[#This Row],[Industry]], Mean_ROE_S, 3, FALSE))</f>
        <v>5.9362679607755105E-2</v>
      </c>
      <c r="R32" s="1">
        <f>(Main_S[[#This Row],[ROA]]-VLOOKUP(Main_S[[#This Row],[Industry]], Mean_ROA_S, 2, FALSE))/(VLOOKUP(Main_S[[#This Row],[Industry]], Mean_ROA_S, 3, FALSE))</f>
        <v>0.20815154042129511</v>
      </c>
      <c r="S32" s="1">
        <f>(Main_S[[#This Row],[A/E]]-VLOOKUP(Main_S[[#This Row],[Industry]], Mean_AE_S, 2, FALSE))/(VLOOKUP(Main_S[[#This Row],[Industry]], Mean_AE_S, 3, FALSE))</f>
        <v>2.9837270180627673</v>
      </c>
      <c r="T32" s="1">
        <f>(Main_S[[#This Row],[P/E]]-VLOOKUP(Main_S[[#This Row],[Industry]], Mean_PE_S, 2, FALSE))/(VLOOKUP(Main_S[[#This Row],[Industry]], Mean_PE_S, 3, FALSE))</f>
        <v>-1.7938330911323215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7" t="s">
        <v>152</v>
      </c>
      <c r="B33" s="67" t="s">
        <v>478</v>
      </c>
      <c r="C33" s="2">
        <v>394</v>
      </c>
      <c r="D33">
        <f>RTD("tos.rtd", , "LAST", Main_S[[#This Row],[Symbol]])</f>
        <v>2.38</v>
      </c>
      <c r="E33">
        <v>-0.46</v>
      </c>
      <c r="F33">
        <v>0.7</v>
      </c>
      <c r="G33">
        <v>-0.49</v>
      </c>
      <c r="H33" s="1">
        <f>IF(ISNUMBER(Main_S[[#This Row],[Free CF]]),IF(Main_S[[#This Row],[Free CF]]&lt;&gt;0,Main_S[[#This Row],[Current Price]]/Main_S[[#This Row],[Free CF]],""),"")</f>
        <v>-5.1739130434782608</v>
      </c>
      <c r="I33" s="1">
        <f>IF(ISNUMBER(Main_S[[#This Row],[BVPS]]),IF(Main_S[[#This Row],[BVPS]]&lt;&gt;0,Main_S[[#This Row],[Current Price]]/Main_S[[#This Row],[BVPS]],""),"")</f>
        <v>3.4</v>
      </c>
      <c r="J33">
        <v>-75.77</v>
      </c>
      <c r="K33">
        <v>-38.97</v>
      </c>
      <c r="L33">
        <v>1.28</v>
      </c>
      <c r="M33" s="1">
        <f>IF(ISNUMBER(Main_S[[#This Row],[EPS]]),IF(Main_S[[#This Row],[EPS]]&lt;&gt;0,Main_S[[#This Row],[Current Price]]/Main_S[[#This Row],[EPS]],""),"")</f>
        <v>-4.8571428571428568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4.4488491864702565E-2</v>
      </c>
      <c r="P33" s="1">
        <f>(Main_S[[#This Row],[P/B]]-VLOOKUP(Main_S[[#This Row],[Industry]], Mean_PB_S, 2, FALSE))/(VLOOKUP(Main_S[[#This Row],[Industry]], Mean_PB_S, 3, FALSE))</f>
        <v>6.0482060960881823E-2</v>
      </c>
      <c r="Q33" s="1">
        <f>(Main_S[[#This Row],[ROE]]-VLOOKUP(Main_S[[#This Row],[Industry]], Mean_ROE_S, 2, FALSE))/(VLOOKUP(Main_S[[#This Row],[Industry]], Mean_ROE_S, 3, FALSE))</f>
        <v>-0.84730188618495461</v>
      </c>
      <c r="R33" s="1">
        <f>(Main_S[[#This Row],[ROA]]-VLOOKUP(Main_S[[#This Row],[Industry]], Mean_ROA_S, 2, FALSE))/(VLOOKUP(Main_S[[#This Row],[Industry]], Mean_ROA_S, 3, FALSE))</f>
        <v>-1.0160222051505863</v>
      </c>
      <c r="S33" s="1">
        <f>(Main_S[[#This Row],[A/E]]-VLOOKUP(Main_S[[#This Row],[Industry]], Mean_AE_S, 2, FALSE))/(VLOOKUP(Main_S[[#This Row],[Industry]], Mean_AE_S, 3, FALSE))</f>
        <v>-0.33600434411515412</v>
      </c>
      <c r="T33" s="1">
        <f>(Main_S[[#This Row],[P/E]]-VLOOKUP(Main_S[[#This Row],[Industry]], Mean_PE_S, 2, FALSE))/(VLOOKUP(Main_S[[#This Row],[Industry]], Mean_PE_S, 3, FALSE))</f>
        <v>-2.232040438570574E-2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7" t="s">
        <v>152</v>
      </c>
      <c r="B34" s="67" t="s">
        <v>426</v>
      </c>
      <c r="C34" s="2">
        <v>397</v>
      </c>
      <c r="D34">
        <f>RTD("tos.rtd", , "LAST", Main_S[[#This Row],[Symbol]])</f>
        <v>1.63</v>
      </c>
      <c r="E34">
        <v>-0.49</v>
      </c>
      <c r="F34">
        <v>1.41</v>
      </c>
      <c r="G34">
        <v>-0.59</v>
      </c>
      <c r="H34" s="1">
        <f>IF(ISNUMBER(Main_S[[#This Row],[Free CF]]),IF(Main_S[[#This Row],[Free CF]]&lt;&gt;0,Main_S[[#This Row],[Current Price]]/Main_S[[#This Row],[Free CF]],""),"")</f>
        <v>-3.3265306122448979</v>
      </c>
      <c r="I34" s="1">
        <f>IF(ISNUMBER(Main_S[[#This Row],[BVPS]]),IF(Main_S[[#This Row],[BVPS]]&lt;&gt;0,Main_S[[#This Row],[Current Price]]/Main_S[[#This Row],[BVPS]],""),"")</f>
        <v>1.1560283687943262</v>
      </c>
      <c r="J34">
        <v>-45.82</v>
      </c>
      <c r="K34">
        <v>-22.16</v>
      </c>
      <c r="L34">
        <v>1.18</v>
      </c>
      <c r="M34" s="1">
        <f>IF(ISNUMBER(Main_S[[#This Row],[EPS]]),IF(Main_S[[#This Row],[EPS]]&lt;&gt;0,Main_S[[#This Row],[Current Price]]/Main_S[[#This Row],[EPS]],""),"")</f>
        <v>-2.7627118644067794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0.58015684357190045</v>
      </c>
      <c r="P34" s="1">
        <f>(Main_S[[#This Row],[P/B]]-VLOOKUP(Main_S[[#This Row],[Industry]], Mean_PB_S, 2, FALSE))/(VLOOKUP(Main_S[[#This Row],[Industry]], Mean_PB_S, 3, FALSE))</f>
        <v>-0.80620835006349856</v>
      </c>
      <c r="Q34" s="1">
        <f>(Main_S[[#This Row],[ROE]]-VLOOKUP(Main_S[[#This Row],[Industry]], Mean_ROE_S, 2, FALSE))/(VLOOKUP(Main_S[[#This Row],[Industry]], Mean_ROE_S, 3, FALSE))</f>
        <v>1.0392483539987112E-2</v>
      </c>
      <c r="R34" s="1">
        <f>(Main_S[[#This Row],[ROA]]-VLOOKUP(Main_S[[#This Row],[Industry]], Mean_ROA_S, 2, FALSE))/(VLOOKUP(Main_S[[#This Row],[Industry]], Mean_ROA_S, 3, FALSE))</f>
        <v>2.4339810171118824E-2</v>
      </c>
      <c r="S34" s="1">
        <f>(Main_S[[#This Row],[A/E]]-VLOOKUP(Main_S[[#This Row],[Industry]], Mean_AE_S, 2, FALSE))/(VLOOKUP(Main_S[[#This Row],[Industry]], Mean_AE_S, 3, FALSE))</f>
        <v>-0.5618364095694347</v>
      </c>
      <c r="T34" s="1">
        <f>(Main_S[[#This Row],[P/E]]-VLOOKUP(Main_S[[#This Row],[Industry]], Mean_PE_S, 2, FALSE))/(VLOOKUP(Main_S[[#This Row],[Industry]], Mean_PE_S, 3, FALSE))</f>
        <v>0.6372182543313657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7" t="s">
        <v>152</v>
      </c>
      <c r="B35" s="67" t="s">
        <v>462</v>
      </c>
      <c r="C35" s="2">
        <v>443</v>
      </c>
      <c r="D35">
        <f>RTD("tos.rtd", , "LAST", Main_S[[#This Row],[Symbol]])</f>
        <v>18.309999999999999</v>
      </c>
      <c r="E35">
        <v>-0.53</v>
      </c>
      <c r="F35">
        <v>1.73</v>
      </c>
      <c r="G35">
        <v>0.21</v>
      </c>
      <c r="H35" s="1">
        <f>IF(ISNUMBER(Main_S[[#This Row],[Free CF]]),IF(Main_S[[#This Row],[Free CF]]&lt;&gt;0,Main_S[[#This Row],[Current Price]]/Main_S[[#This Row],[Free CF]],""),"")</f>
        <v>-34.547169811320749</v>
      </c>
      <c r="I35" s="1">
        <f>IF(ISNUMBER(Main_S[[#This Row],[BVPS]]),IF(Main_S[[#This Row],[BVPS]]&lt;&gt;0,Main_S[[#This Row],[Current Price]]/Main_S[[#This Row],[BVPS]],""),"")</f>
        <v>10.583815028901734</v>
      </c>
      <c r="J35">
        <v>6.41</v>
      </c>
      <c r="K35">
        <v>-13.1</v>
      </c>
      <c r="L35">
        <v>1.45</v>
      </c>
      <c r="M35" s="1">
        <f>IF(ISNUMBER(Main_S[[#This Row],[EPS]]),IF(Main_S[[#This Row],[EPS]]&lt;&gt;0,Main_S[[#This Row],[Current Price]]/Main_S[[#This Row],[EPS]],""),"")</f>
        <v>87.19047619047619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-8.4726023774025876</v>
      </c>
      <c r="P35" s="1">
        <f>(Main_S[[#This Row],[P/B]]-VLOOKUP(Main_S[[#This Row],[Industry]], Mean_PB_S, 2, FALSE))/(VLOOKUP(Main_S[[#This Row],[Industry]], Mean_PB_S, 3, FALSE))</f>
        <v>2.8350909345929836</v>
      </c>
      <c r="Q35" s="1">
        <f>(Main_S[[#This Row],[ROE]]-VLOOKUP(Main_S[[#This Row],[Industry]], Mean_ROE_S, 2, FALSE))/(VLOOKUP(Main_S[[#This Row],[Industry]], Mean_ROE_S, 3, FALSE))</f>
        <v>1.5061312792239177</v>
      </c>
      <c r="R35" s="1">
        <f>(Main_S[[#This Row],[ROA]]-VLOOKUP(Main_S[[#This Row],[Industry]], Mean_ROA_S, 2, FALSE))/(VLOOKUP(Main_S[[#This Row],[Industry]], Mean_ROA_S, 3, FALSE))</f>
        <v>0.5850584216413538</v>
      </c>
      <c r="S35" s="1">
        <f>(Main_S[[#This Row],[A/E]]-VLOOKUP(Main_S[[#This Row],[Industry]], Mean_AE_S, 2, FALSE))/(VLOOKUP(Main_S[[#This Row],[Industry]], Mean_AE_S, 3, FALSE))</f>
        <v>4.7910167157122353E-2</v>
      </c>
      <c r="T35" s="1">
        <f>(Main_S[[#This Row],[P/E]]-VLOOKUP(Main_S[[#This Row],[Industry]], Mean_PE_S, 2, FALSE))/(VLOOKUP(Main_S[[#This Row],[Industry]], Mean_PE_S, 3, FALSE))</f>
        <v>28.963577634421942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6" spans="1:26" x14ac:dyDescent="0.25">
      <c r="A36" s="67" t="s">
        <v>152</v>
      </c>
      <c r="B36" s="67" t="s">
        <v>390</v>
      </c>
      <c r="C36" s="2">
        <v>338</v>
      </c>
      <c r="D36">
        <f>RTD("tos.rtd", , "LAST", Main_S[[#This Row],[Symbol]])</f>
        <v>2.97</v>
      </c>
      <c r="E36">
        <v>-0.66</v>
      </c>
      <c r="F36">
        <v>1.56</v>
      </c>
      <c r="G36">
        <v>-0.92</v>
      </c>
      <c r="H36" s="1">
        <f>IF(ISNUMBER(Main_S[[#This Row],[Free CF]]),IF(Main_S[[#This Row],[Free CF]]&lt;&gt;0,Main_S[[#This Row],[Current Price]]/Main_S[[#This Row],[Free CF]],""),"")</f>
        <v>-4.5</v>
      </c>
      <c r="I36" s="1">
        <f>IF(ISNUMBER(Main_S[[#This Row],[BVPS]]),IF(Main_S[[#This Row],[BVPS]]&lt;&gt;0,Main_S[[#This Row],[Current Price]]/Main_S[[#This Row],[BVPS]],""),"")</f>
        <v>1.903846153846154</v>
      </c>
      <c r="J36">
        <v>-48.98</v>
      </c>
      <c r="K36">
        <v>-27.52</v>
      </c>
      <c r="L36">
        <v>1.17</v>
      </c>
      <c r="M36" s="1">
        <f>IF(ISNUMBER(Main_S[[#This Row],[EPS]]),IF(Main_S[[#This Row],[EPS]]&lt;&gt;0,Main_S[[#This Row],[Current Price]]/Main_S[[#This Row],[EPS]],""),"")</f>
        <v>-3.2282608695652173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0.23989680748507566</v>
      </c>
      <c r="P36" s="1">
        <f>(Main_S[[#This Row],[P/B]]-VLOOKUP(Main_S[[#This Row],[Industry]], Mean_PB_S, 2, FALSE))/(VLOOKUP(Main_S[[#This Row],[Industry]], Mean_PB_S, 3, FALSE))</f>
        <v>-0.51737827107106693</v>
      </c>
      <c r="Q36" s="1">
        <f>(Main_S[[#This Row],[ROE]]-VLOOKUP(Main_S[[#This Row],[Industry]], Mean_ROE_S, 2, FALSE))/(VLOOKUP(Main_S[[#This Row],[Industry]], Mean_ROE_S, 3, FALSE))</f>
        <v>-8.0102147789923181E-2</v>
      </c>
      <c r="R36" s="1">
        <f>(Main_S[[#This Row],[ROA]]-VLOOKUP(Main_S[[#This Row],[Industry]], Mean_ROA_S, 2, FALSE))/(VLOOKUP(Main_S[[#This Row],[Industry]], Mean_ROA_S, 3, FALSE))</f>
        <v>-0.30738775687970449</v>
      </c>
      <c r="S36" s="1">
        <f>(Main_S[[#This Row],[A/E]]-VLOOKUP(Main_S[[#This Row],[Industry]], Mean_AE_S, 2, FALSE))/(VLOOKUP(Main_S[[#This Row],[Industry]], Mean_AE_S, 3, FALSE))</f>
        <v>-0.58441961611486271</v>
      </c>
      <c r="T36" s="1">
        <f>(Main_S[[#This Row],[P/E]]-VLOOKUP(Main_S[[#This Row],[Industry]], Mean_PE_S, 2, FALSE))/(VLOOKUP(Main_S[[#This Row],[Industry]], Mean_PE_S, 3, FALSE))</f>
        <v>0.49061635267207593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7" t="s">
        <v>152</v>
      </c>
      <c r="B37" s="67" t="s">
        <v>467</v>
      </c>
      <c r="C37" s="2">
        <v>549</v>
      </c>
      <c r="D37">
        <f>RTD("tos.rtd", , "LAST", Main_S[[#This Row],[Symbol]])</f>
        <v>8.3000000000000007</v>
      </c>
      <c r="E37">
        <v>-0.66</v>
      </c>
      <c r="F37">
        <v>1.04</v>
      </c>
      <c r="G37">
        <v>-0.72</v>
      </c>
      <c r="H37" s="1">
        <f>IF(ISNUMBER(Main_S[[#This Row],[Free CF]]),IF(Main_S[[#This Row],[Free CF]]&lt;&gt;0,Main_S[[#This Row],[Current Price]]/Main_S[[#This Row],[Free CF]],""),"")</f>
        <v>-12.575757575757576</v>
      </c>
      <c r="I37" s="1">
        <f>IF(ISNUMBER(Main_S[[#This Row],[BVPS]]),IF(Main_S[[#This Row],[BVPS]]&lt;&gt;0,Main_S[[#This Row],[Current Price]]/Main_S[[#This Row],[BVPS]],""),"")</f>
        <v>7.9807692307692308</v>
      </c>
      <c r="J37">
        <v>-53.82</v>
      </c>
      <c r="K37">
        <v>-34.229999999999997</v>
      </c>
      <c r="L37">
        <v>1.08</v>
      </c>
      <c r="M37" s="1">
        <f>IF(ISNUMBER(Main_S[[#This Row],[EPS]]),IF(Main_S[[#This Row],[EPS]]&lt;&gt;0,Main_S[[#This Row],[Current Price]]/Main_S[[#This Row],[EPS]],""),"")</f>
        <v>-11.527777777777779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-2.1017557254476262</v>
      </c>
      <c r="P37" s="1">
        <f>(Main_S[[#This Row],[P/B]]-VLOOKUP(Main_S[[#This Row],[Industry]], Mean_PB_S, 2, FALSE))/(VLOOKUP(Main_S[[#This Row],[Industry]], Mean_PB_S, 3, FALSE))</f>
        <v>1.8297151083903191</v>
      </c>
      <c r="Q37" s="1">
        <f>(Main_S[[#This Row],[ROE]]-VLOOKUP(Main_S[[#This Row],[Industry]], Mean_ROE_S, 2, FALSE))/(VLOOKUP(Main_S[[#This Row],[Industry]], Mean_ROE_S, 3, FALSE))</f>
        <v>-0.2187078489407987</v>
      </c>
      <c r="R37" s="1">
        <f>(Main_S[[#This Row],[ROA]]-VLOOKUP(Main_S[[#This Row],[Industry]], Mean_ROA_S, 2, FALSE))/(VLOOKUP(Main_S[[#This Row],[Industry]], Mean_ROA_S, 3, FALSE))</f>
        <v>-0.72266611040788054</v>
      </c>
      <c r="S37" s="1">
        <f>(Main_S[[#This Row],[A/E]]-VLOOKUP(Main_S[[#This Row],[Industry]], Mean_AE_S, 2, FALSE))/(VLOOKUP(Main_S[[#This Row],[Industry]], Mean_AE_S, 3, FALSE))</f>
        <v>-0.78766847502371473</v>
      </c>
      <c r="T37" s="1">
        <f>(Main_S[[#This Row],[P/E]]-VLOOKUP(Main_S[[#This Row],[Industry]], Mean_PE_S, 2, FALSE))/(VLOOKUP(Main_S[[#This Row],[Industry]], Mean_PE_S, 3, FALSE))</f>
        <v>-2.1229107907986937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7" t="s">
        <v>152</v>
      </c>
      <c r="B38" s="67" t="s">
        <v>585</v>
      </c>
      <c r="C38" s="2">
        <v>273</v>
      </c>
      <c r="D38">
        <f>RTD("tos.rtd", , "LAST", Main_S[[#This Row],[Symbol]])</f>
        <v>5.86</v>
      </c>
      <c r="E38">
        <v>-0.74</v>
      </c>
      <c r="F38">
        <v>1.52</v>
      </c>
      <c r="G38">
        <v>-1.08</v>
      </c>
      <c r="H38" s="1">
        <f>IF(ISNUMBER(Main_S[[#This Row],[Free CF]]),IF(Main_S[[#This Row],[Free CF]]&lt;&gt;0,Main_S[[#This Row],[Current Price]]/Main_S[[#This Row],[Free CF]],""),"")</f>
        <v>-7.9189189189189193</v>
      </c>
      <c r="I38" s="1">
        <f>IF(ISNUMBER(Main_S[[#This Row],[BVPS]]),IF(Main_S[[#This Row],[BVPS]]&lt;&gt;0,Main_S[[#This Row],[Current Price]]/Main_S[[#This Row],[BVPS]],""),"")</f>
        <v>3.8552631578947372</v>
      </c>
      <c r="J38">
        <v>-98.14</v>
      </c>
      <c r="K38">
        <v>-32.31</v>
      </c>
      <c r="L38">
        <v>1.28</v>
      </c>
      <c r="M38" s="1">
        <f>IF(ISNUMBER(Main_S[[#This Row],[EPS]]),IF(Main_S[[#This Row],[EPS]]&lt;&gt;0,Main_S[[#This Row],[Current Price]]/Main_S[[#This Row],[EPS]],""),"")</f>
        <v>-5.4259259259259256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-0.75145540576248437</v>
      </c>
      <c r="P38" s="1">
        <f>(Main_S[[#This Row],[P/B]]-VLOOKUP(Main_S[[#This Row],[Industry]], Mean_PB_S, 2, FALSE))/(VLOOKUP(Main_S[[#This Row],[Industry]], Mean_PB_S, 3, FALSE))</f>
        <v>0.23631860361273599</v>
      </c>
      <c r="Q38" s="1">
        <f>(Main_S[[#This Row],[ROE]]-VLOOKUP(Main_S[[#This Row],[Industry]], Mean_ROE_S, 2, FALSE))/(VLOOKUP(Main_S[[#This Row],[Industry]], Mean_ROE_S, 3, FALSE))</f>
        <v>-1.4879236908843521</v>
      </c>
      <c r="R38" s="1">
        <f>(Main_S[[#This Row],[ROA]]-VLOOKUP(Main_S[[#This Row],[Industry]], Mean_ROA_S, 2, FALSE))/(VLOOKUP(Main_S[[#This Row],[Industry]], Mean_ROA_S, 3, FALSE))</f>
        <v>-0.60383832519564562</v>
      </c>
      <c r="S38" s="1">
        <f>(Main_S[[#This Row],[A/E]]-VLOOKUP(Main_S[[#This Row],[Industry]], Mean_AE_S, 2, FALSE))/(VLOOKUP(Main_S[[#This Row],[Industry]], Mean_AE_S, 3, FALSE))</f>
        <v>-0.33600434411515412</v>
      </c>
      <c r="T38" s="1">
        <f>(Main_S[[#This Row],[P/E]]-VLOOKUP(Main_S[[#This Row],[Industry]], Mean_PE_S, 2, FALSE))/(VLOOKUP(Main_S[[#This Row],[Industry]], Mean_PE_S, 3, FALSE))</f>
        <v>-0.20143082797436027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7" t="s">
        <v>152</v>
      </c>
      <c r="B39" s="67" t="s">
        <v>402</v>
      </c>
      <c r="C39" s="2">
        <v>398</v>
      </c>
      <c r="D39">
        <f>RTD("tos.rtd", , "LAST", Main_S[[#This Row],[Symbol]])</f>
        <v>5.45</v>
      </c>
      <c r="E39">
        <v>-0.78</v>
      </c>
      <c r="F39">
        <v>0.84</v>
      </c>
      <c r="G39">
        <v>-0.8</v>
      </c>
      <c r="H39" s="1">
        <f>IF(ISNUMBER(Main_S[[#This Row],[Free CF]]),IF(Main_S[[#This Row],[Free CF]]&lt;&gt;0,Main_S[[#This Row],[Current Price]]/Main_S[[#This Row],[Free CF]],""),"")</f>
        <v>-6.9871794871794872</v>
      </c>
      <c r="I39" s="1">
        <f>IF(ISNUMBER(Main_S[[#This Row],[BVPS]]),IF(Main_S[[#This Row],[BVPS]]&lt;&gt;0,Main_S[[#This Row],[Current Price]]/Main_S[[#This Row],[BVPS]],""),"")</f>
        <v>6.4880952380952381</v>
      </c>
      <c r="J39">
        <v>-79.7</v>
      </c>
      <c r="K39">
        <v>-39.82</v>
      </c>
      <c r="L39">
        <v>1.3</v>
      </c>
      <c r="M39" s="1">
        <f>IF(ISNUMBER(Main_S[[#This Row],[EPS]]),IF(Main_S[[#This Row],[EPS]]&lt;&gt;0,Main_S[[#This Row],[Current Price]]/Main_S[[#This Row],[EPS]],""),"")</f>
        <v>-6.8125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-0.4812875633156728</v>
      </c>
      <c r="P39" s="1">
        <f>(Main_S[[#This Row],[P/B]]-VLOOKUP(Main_S[[#This Row],[Industry]], Mean_PB_S, 2, FALSE))/(VLOOKUP(Main_S[[#This Row],[Industry]], Mean_PB_S, 3, FALSE))</f>
        <v>1.2531988021030889</v>
      </c>
      <c r="Q39" s="1">
        <f>(Main_S[[#This Row],[ROE]]-VLOOKUP(Main_S[[#This Row],[Industry]], Mean_ROE_S, 2, FALSE))/(VLOOKUP(Main_S[[#This Row],[Industry]], Mean_ROE_S, 3, FALSE))</f>
        <v>-0.95984742451614091</v>
      </c>
      <c r="R39" s="1">
        <f>(Main_S[[#This Row],[ROA]]-VLOOKUP(Main_S[[#This Row],[Industry]], Mean_ROA_S, 2, FALSE))/(VLOOKUP(Main_S[[#This Row],[Industry]], Mean_ROA_S, 3, FALSE))</f>
        <v>-1.0686282558955864</v>
      </c>
      <c r="S39" s="1">
        <f>(Main_S[[#This Row],[A/E]]-VLOOKUP(Main_S[[#This Row],[Industry]], Mean_AE_S, 2, FALSE))/(VLOOKUP(Main_S[[#This Row],[Industry]], Mean_AE_S, 3, FALSE))</f>
        <v>-0.290837931024298</v>
      </c>
      <c r="T39" s="1">
        <f>(Main_S[[#This Row],[P/E]]-VLOOKUP(Main_S[[#This Row],[Industry]], Mean_PE_S, 2, FALSE))/(VLOOKUP(Main_S[[#This Row],[Industry]], Mean_PE_S, 3, FALSE))</f>
        <v>-0.63806455245530702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7" t="s">
        <v>152</v>
      </c>
      <c r="B40" s="67" t="s">
        <v>416</v>
      </c>
      <c r="C40" s="2">
        <v>371</v>
      </c>
      <c r="D40">
        <f>RTD("tos.rtd", , "LAST", Main_S[[#This Row],[Symbol]])</f>
        <v>4.26</v>
      </c>
      <c r="E40">
        <v>-0.78</v>
      </c>
      <c r="F40">
        <v>0.2</v>
      </c>
      <c r="G40">
        <v>-1.22</v>
      </c>
      <c r="H40" s="1">
        <f>IF(ISNUMBER(Main_S[[#This Row],[Free CF]]),IF(Main_S[[#This Row],[Free CF]]&lt;&gt;0,Main_S[[#This Row],[Current Price]]/Main_S[[#This Row],[Free CF]],""),"")</f>
        <v>-5.4615384615384608</v>
      </c>
      <c r="I40" s="1">
        <f>IF(ISNUMBER(Main_S[[#This Row],[BVPS]]),IF(Main_S[[#This Row],[BVPS]]&lt;&gt;0,Main_S[[#This Row],[Current Price]]/Main_S[[#This Row],[BVPS]],""),"")</f>
        <v>21.299999999999997</v>
      </c>
      <c r="J40">
        <v>-1869.5</v>
      </c>
      <c r="K40">
        <v>-152.72999999999999</v>
      </c>
      <c r="L40">
        <v>2.1</v>
      </c>
      <c r="M40" s="1">
        <f>IF(ISNUMBER(Main_S[[#This Row],[EPS]]),IF(Main_S[[#This Row],[EPS]]&lt;&gt;0,Main_S[[#This Row],[Current Price]]/Main_S[[#This Row],[EPS]],""),"")</f>
        <v>-3.4918032786885247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-3.8911583288409358E-2</v>
      </c>
      <c r="P40" s="1">
        <f>(Main_S[[#This Row],[P/B]]-VLOOKUP(Main_S[[#This Row],[Industry]], Mean_PB_S, 2, FALSE))/(VLOOKUP(Main_S[[#This Row],[Industry]], Mean_PB_S, 3, FALSE))</f>
        <v>6.9740090153996714</v>
      </c>
      <c r="Q40" s="1">
        <f>(Main_S[[#This Row],[ROE]]-VLOOKUP(Main_S[[#This Row],[Industry]], Mean_ROE_S, 2, FALSE))/(VLOOKUP(Main_S[[#This Row],[Industry]], Mean_ROE_S, 3, FALSE))</f>
        <v>-52.215319308779947</v>
      </c>
      <c r="R40" s="1">
        <f>(Main_S[[#This Row],[ROA]]-VLOOKUP(Main_S[[#This Row],[Industry]], Mean_ROA_S, 2, FALSE))/(VLOOKUP(Main_S[[#This Row],[Industry]], Mean_ROA_S, 3, FALSE))</f>
        <v>-8.0565684789755228</v>
      </c>
      <c r="S40" s="1">
        <f>(Main_S[[#This Row],[A/E]]-VLOOKUP(Main_S[[#This Row],[Industry]], Mean_AE_S, 2, FALSE))/(VLOOKUP(Main_S[[#This Row],[Industry]], Mean_AE_S, 3, FALSE))</f>
        <v>1.515818592609945</v>
      </c>
      <c r="T40" s="1">
        <f>(Main_S[[#This Row],[P/E]]-VLOOKUP(Main_S[[#This Row],[Industry]], Mean_PE_S, 2, FALSE))/(VLOOKUP(Main_S[[#This Row],[Industry]], Mean_PE_S, 3, FALSE))</f>
        <v>0.40762655370945394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7" t="s">
        <v>152</v>
      </c>
      <c r="B41" s="67" t="s">
        <v>586</v>
      </c>
      <c r="C41" s="2">
        <v>414</v>
      </c>
      <c r="D41">
        <f>RTD("tos.rtd", , "LAST", Main_S[[#This Row],[Symbol]])</f>
        <v>2.56</v>
      </c>
      <c r="E41">
        <v>-0.81</v>
      </c>
      <c r="F41">
        <v>0.23</v>
      </c>
      <c r="G41">
        <v>-0.65</v>
      </c>
      <c r="H41" s="1">
        <f>IF(ISNUMBER(Main_S[[#This Row],[Free CF]]),IF(Main_S[[#This Row],[Free CF]]&lt;&gt;0,Main_S[[#This Row],[Current Price]]/Main_S[[#This Row],[Free CF]],""),"")</f>
        <v>-3.1604938271604937</v>
      </c>
      <c r="I41" s="1">
        <f>IF(ISNUMBER(Main_S[[#This Row],[BVPS]]),IF(Main_S[[#This Row],[BVPS]]&lt;&gt;0,Main_S[[#This Row],[Current Price]]/Main_S[[#This Row],[BVPS]],""),"")</f>
        <v>11.130434782608695</v>
      </c>
      <c r="J41">
        <v>-249.75</v>
      </c>
      <c r="K41">
        <v>-42.82</v>
      </c>
      <c r="L41">
        <v>4.51</v>
      </c>
      <c r="M41" s="1">
        <f>IF(ISNUMBER(Main_S[[#This Row],[EPS]]),IF(Main_S[[#This Row],[EPS]]&lt;&gt;0,Main_S[[#This Row],[Current Price]]/Main_S[[#This Row],[EPS]],""),"")</f>
        <v>-3.9384615384615382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0.62830099038482967</v>
      </c>
      <c r="P41" s="1">
        <f>(Main_S[[#This Row],[P/B]]-VLOOKUP(Main_S[[#This Row],[Industry]], Mean_PB_S, 2, FALSE))/(VLOOKUP(Main_S[[#This Row],[Industry]], Mean_PB_S, 3, FALSE))</f>
        <v>3.0462121860500657</v>
      </c>
      <c r="Q41" s="1">
        <f>(Main_S[[#This Row],[ROE]]-VLOOKUP(Main_S[[#This Row],[Industry]], Mean_ROE_S, 2, FALSE))/(VLOOKUP(Main_S[[#This Row],[Industry]], Mean_ROE_S, 3, FALSE))</f>
        <v>-5.8296613668108446</v>
      </c>
      <c r="R41" s="1">
        <f>(Main_S[[#This Row],[ROA]]-VLOOKUP(Main_S[[#This Row],[Industry]], Mean_ROA_S, 2, FALSE))/(VLOOKUP(Main_S[[#This Row],[Industry]], Mean_ROA_S, 3, FALSE))</f>
        <v>-1.254296670289704</v>
      </c>
      <c r="S41" s="1">
        <f>(Main_S[[#This Row],[A/E]]-VLOOKUP(Main_S[[#This Row],[Industry]], Mean_AE_S, 2, FALSE))/(VLOOKUP(Main_S[[#This Row],[Industry]], Mean_AE_S, 3, FALSE))</f>
        <v>6.9583713700581011</v>
      </c>
      <c r="T41" s="1">
        <f>(Main_S[[#This Row],[P/E]]-VLOOKUP(Main_S[[#This Row],[Industry]], Mean_PE_S, 2, FALSE))/(VLOOKUP(Main_S[[#This Row],[Industry]], Mean_PE_S, 3, FALSE))</f>
        <v>0.26697336886961509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7" t="s">
        <v>152</v>
      </c>
      <c r="B42" s="67" t="s">
        <v>442</v>
      </c>
      <c r="C42" s="2">
        <v>1408</v>
      </c>
      <c r="D42">
        <f>RTD("tos.rtd", , "LAST", Main_S[[#This Row],[Symbol]])</f>
        <v>25.94</v>
      </c>
      <c r="E42">
        <v>-0.82</v>
      </c>
      <c r="F42">
        <v>17.11</v>
      </c>
      <c r="G42">
        <v>-1.37</v>
      </c>
      <c r="H42" s="1">
        <f>IF(ISNUMBER(Main_S[[#This Row],[Free CF]]),IF(Main_S[[#This Row],[Free CF]]&lt;&gt;0,Main_S[[#This Row],[Current Price]]/Main_S[[#This Row],[Free CF]],""),"")</f>
        <v>-31.634146341463417</v>
      </c>
      <c r="I42" s="1">
        <f>IF(ISNUMBER(Main_S[[#This Row],[BVPS]]),IF(Main_S[[#This Row],[BVPS]]&lt;&gt;0,Main_S[[#This Row],[Current Price]]/Main_S[[#This Row],[BVPS]],""),"")</f>
        <v>1.5160724722384571</v>
      </c>
      <c r="J42">
        <v>-9.32</v>
      </c>
      <c r="K42">
        <v>-8.16</v>
      </c>
      <c r="L42">
        <v>1.04</v>
      </c>
      <c r="M42" s="1">
        <f>IF(ISNUMBER(Main_S[[#This Row],[EPS]]),IF(Main_S[[#This Row],[EPS]]&lt;&gt;0,Main_S[[#This Row],[Current Price]]/Main_S[[#This Row],[EPS]],""),"")</f>
        <v>-18.934306569343065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-7.6279399760496185</v>
      </c>
      <c r="P42" s="1">
        <f>(Main_S[[#This Row],[P/B]]-VLOOKUP(Main_S[[#This Row],[Industry]], Mean_PB_S, 2, FALSE))/(VLOOKUP(Main_S[[#This Row],[Industry]], Mean_PB_S, 3, FALSE))</f>
        <v>-0.66714831576474165</v>
      </c>
      <c r="Q42" s="1">
        <f>(Main_S[[#This Row],[ROE]]-VLOOKUP(Main_S[[#This Row],[Industry]], Mean_ROE_S, 2, FALSE))/(VLOOKUP(Main_S[[#This Row],[Industry]], Mean_ROE_S, 3, FALSE))</f>
        <v>1.0556627504835723</v>
      </c>
      <c r="R42" s="1">
        <f>(Main_S[[#This Row],[ROA]]-VLOOKUP(Main_S[[#This Row],[Industry]], Mean_ROA_S, 2, FALSE))/(VLOOKUP(Main_S[[#This Row],[Industry]], Mean_ROA_S, 3, FALSE))</f>
        <v>0.89079241067700066</v>
      </c>
      <c r="S42" s="1">
        <f>(Main_S[[#This Row],[A/E]]-VLOOKUP(Main_S[[#This Row],[Industry]], Mean_AE_S, 2, FALSE))/(VLOOKUP(Main_S[[#This Row],[Industry]], Mean_AE_S, 3, FALSE))</f>
        <v>-0.87800130120542696</v>
      </c>
      <c r="T42" s="1">
        <f>(Main_S[[#This Row],[P/E]]-VLOOKUP(Main_S[[#This Row],[Industry]], Mean_PE_S, 2, FALSE))/(VLOOKUP(Main_S[[#This Row],[Industry]], Mean_PE_S, 3, FALSE))</f>
        <v>-4.4552349790293695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3" spans="1:26" x14ac:dyDescent="0.25">
      <c r="A43" s="67" t="s">
        <v>152</v>
      </c>
      <c r="B43" s="67" t="s">
        <v>400</v>
      </c>
      <c r="C43" s="2">
        <v>1554</v>
      </c>
      <c r="D43">
        <f>RTD("tos.rtd", , "LAST", Main_S[[#This Row],[Symbol]])</f>
        <v>14.21</v>
      </c>
      <c r="E43">
        <v>-0.94</v>
      </c>
      <c r="F43">
        <v>1.2</v>
      </c>
      <c r="G43">
        <v>-1.04</v>
      </c>
      <c r="H43" s="1">
        <f>IF(ISNUMBER(Main_S[[#This Row],[Free CF]]),IF(Main_S[[#This Row],[Free CF]]&lt;&gt;0,Main_S[[#This Row],[Current Price]]/Main_S[[#This Row],[Free CF]],""),"")</f>
        <v>-15.117021276595747</v>
      </c>
      <c r="I43" s="1">
        <f>IF(ISNUMBER(Main_S[[#This Row],[BVPS]]),IF(Main_S[[#This Row],[BVPS]]&lt;&gt;0,Main_S[[#This Row],[Current Price]]/Main_S[[#This Row],[BVPS]],""),"")</f>
        <v>11.841666666666669</v>
      </c>
      <c r="J43">
        <v>-70.58</v>
      </c>
      <c r="K43">
        <v>-18.43</v>
      </c>
      <c r="L43">
        <v>2.41</v>
      </c>
      <c r="M43" s="1">
        <f>IF(ISNUMBER(Main_S[[#This Row],[EPS]]),IF(Main_S[[#This Row],[EPS]]&lt;&gt;0,Main_S[[#This Row],[Current Price]]/Main_S[[#This Row],[EPS]],""),"")</f>
        <v>-13.663461538461538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-2.8386223941278592</v>
      </c>
      <c r="P43" s="1">
        <f>(Main_S[[#This Row],[P/B]]-VLOOKUP(Main_S[[#This Row],[Industry]], Mean_PB_S, 2, FALSE))/(VLOOKUP(Main_S[[#This Row],[Industry]], Mean_PB_S, 3, FALSE))</f>
        <v>3.3209116721557126</v>
      </c>
      <c r="Q43" s="1">
        <f>(Main_S[[#This Row],[ROE]]-VLOOKUP(Main_S[[#This Row],[Industry]], Mean_ROE_S, 2, FALSE))/(VLOOKUP(Main_S[[#This Row],[Industry]], Mean_ROE_S, 3, FALSE))</f>
        <v>-0.69867304548804487</v>
      </c>
      <c r="R43" s="1">
        <f>(Main_S[[#This Row],[ROA]]-VLOOKUP(Main_S[[#This Row],[Industry]], Mean_ROA_S, 2, FALSE))/(VLOOKUP(Main_S[[#This Row],[Industry]], Mean_ROA_S, 3, FALSE))</f>
        <v>0.25518753873447164</v>
      </c>
      <c r="S43" s="1">
        <f>(Main_S[[#This Row],[A/E]]-VLOOKUP(Main_S[[#This Row],[Industry]], Mean_AE_S, 2, FALSE))/(VLOOKUP(Main_S[[#This Row],[Industry]], Mean_AE_S, 3, FALSE))</f>
        <v>2.2158979955182145</v>
      </c>
      <c r="T43" s="1">
        <f>(Main_S[[#This Row],[P/E]]-VLOOKUP(Main_S[[#This Row],[Industry]], Mean_PE_S, 2, FALSE))/(VLOOKUP(Main_S[[#This Row],[Industry]], Mean_PE_S, 3, FALSE))</f>
        <v>-2.7954399922144471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7" t="s">
        <v>152</v>
      </c>
      <c r="B44" s="67" t="s">
        <v>474</v>
      </c>
      <c r="C44" s="2">
        <v>489</v>
      </c>
      <c r="D44">
        <f>RTD("tos.rtd", , "LAST", Main_S[[#This Row],[Symbol]])</f>
        <v>2.83</v>
      </c>
      <c r="E44">
        <v>-0.95</v>
      </c>
      <c r="F44">
        <v>0.93</v>
      </c>
      <c r="G44">
        <v>-0.88</v>
      </c>
      <c r="H44" s="1">
        <f>IF(ISNUMBER(Main_S[[#This Row],[Free CF]]),IF(Main_S[[#This Row],[Free CF]]&lt;&gt;0,Main_S[[#This Row],[Current Price]]/Main_S[[#This Row],[Free CF]],""),"")</f>
        <v>-2.978947368421053</v>
      </c>
      <c r="I44" s="1">
        <f>IF(ISNUMBER(Main_S[[#This Row],[BVPS]]),IF(Main_S[[#This Row],[BVPS]]&lt;&gt;0,Main_S[[#This Row],[Current Price]]/Main_S[[#This Row],[BVPS]],""),"")</f>
        <v>3.043010752688172</v>
      </c>
      <c r="J44">
        <v>-71.44</v>
      </c>
      <c r="K44">
        <v>-23.84</v>
      </c>
      <c r="L44">
        <v>2.13</v>
      </c>
      <c r="M44" s="1">
        <f>IF(ISNUMBER(Main_S[[#This Row],[EPS]]),IF(Main_S[[#This Row],[EPS]]&lt;&gt;0,Main_S[[#This Row],[Current Price]]/Main_S[[#This Row],[EPS]],""),"")</f>
        <v>-3.2159090909090908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0.68094233343706878</v>
      </c>
      <c r="P44" s="1">
        <f>(Main_S[[#This Row],[P/B]]-VLOOKUP(Main_S[[#This Row],[Industry]], Mean_PB_S, 2, FALSE))/(VLOOKUP(Main_S[[#This Row],[Industry]], Mean_PB_S, 3, FALSE))</f>
        <v>-7.7398094555047689E-2</v>
      </c>
      <c r="Q44" s="1">
        <f>(Main_S[[#This Row],[ROE]]-VLOOKUP(Main_S[[#This Row],[Industry]], Mean_ROE_S, 2, FALSE))/(VLOOKUP(Main_S[[#This Row],[Industry]], Mean_ROE_S, 3, FALSE))</f>
        <v>-0.72330133122972939</v>
      </c>
      <c r="R44" s="1">
        <f>(Main_S[[#This Row],[ROA]]-VLOOKUP(Main_S[[#This Row],[Industry]], Mean_ROA_S, 2, FALSE))/(VLOOKUP(Main_S[[#This Row],[Industry]], Mean_ROA_S, 3, FALSE))</f>
        <v>-7.9634501889586984E-2</v>
      </c>
      <c r="S44" s="1">
        <f>(Main_S[[#This Row],[A/E]]-VLOOKUP(Main_S[[#This Row],[Industry]], Mean_AE_S, 2, FALSE))/(VLOOKUP(Main_S[[#This Row],[Industry]], Mean_AE_S, 3, FALSE))</f>
        <v>1.5835682122462287</v>
      </c>
      <c r="T44" s="1">
        <f>(Main_S[[#This Row],[P/E]]-VLOOKUP(Main_S[[#This Row],[Industry]], Mean_PE_S, 2, FALSE))/(VLOOKUP(Main_S[[#This Row],[Industry]], Mean_PE_S, 3, FALSE))</f>
        <v>0.49450594156561573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7" t="s">
        <v>152</v>
      </c>
      <c r="B45" s="67" t="s">
        <v>587</v>
      </c>
      <c r="C45" s="2">
        <v>417</v>
      </c>
      <c r="D45">
        <f>RTD("tos.rtd", , "LAST", Main_S[[#This Row],[Symbol]])</f>
        <v>2.6349999999999998</v>
      </c>
      <c r="E45">
        <v>-0.95</v>
      </c>
      <c r="F45">
        <v>0.31</v>
      </c>
      <c r="G45">
        <v>0.49</v>
      </c>
      <c r="H45" s="1">
        <f>IF(ISNUMBER(Main_S[[#This Row],[Free CF]]),IF(Main_S[[#This Row],[Free CF]]&lt;&gt;0,Main_S[[#This Row],[Current Price]]/Main_S[[#This Row],[Free CF]],""),"")</f>
        <v>-2.7736842105263158</v>
      </c>
      <c r="I45" s="1">
        <f>IF(ISNUMBER(Main_S[[#This Row],[BVPS]]),IF(Main_S[[#This Row],[BVPS]]&lt;&gt;0,Main_S[[#This Row],[Current Price]]/Main_S[[#This Row],[BVPS]],""),"")</f>
        <v>8.5</v>
      </c>
      <c r="J45">
        <v>-1254.8</v>
      </c>
      <c r="K45">
        <v>15.87</v>
      </c>
      <c r="L45">
        <v>3.93</v>
      </c>
      <c r="M45" s="1">
        <f>IF(ISNUMBER(Main_S[[#This Row],[EPS]]),IF(Main_S[[#This Row],[EPS]]&lt;&gt;0,Main_S[[#This Row],[Current Price]]/Main_S[[#This Row],[EPS]],""),"")</f>
        <v>5.3775510204081627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0.74046058780429291</v>
      </c>
      <c r="P45" s="1">
        <f>(Main_S[[#This Row],[P/B]]-VLOOKUP(Main_S[[#This Row],[Industry]], Mean_PB_S, 2, FALSE))/(VLOOKUP(Main_S[[#This Row],[Industry]], Mean_PB_S, 3, FALSE))</f>
        <v>2.0302578971417664</v>
      </c>
      <c r="Q45" s="1">
        <f>(Main_S[[#This Row],[ROE]]-VLOOKUP(Main_S[[#This Row],[Industry]], Mean_ROE_S, 2, FALSE))/(VLOOKUP(Main_S[[#This Row],[Industry]], Mean_ROE_S, 3, FALSE))</f>
        <v>-34.611822511787565</v>
      </c>
      <c r="R45" s="1">
        <f>(Main_S[[#This Row],[ROA]]-VLOOKUP(Main_S[[#This Row],[Industry]], Mean_ROA_S, 2, FALSE))/(VLOOKUP(Main_S[[#This Row],[Industry]], Mean_ROA_S, 3, FALSE))</f>
        <v>2.377996409973882</v>
      </c>
      <c r="S45" s="1">
        <f>(Main_S[[#This Row],[A/E]]-VLOOKUP(Main_S[[#This Row],[Industry]], Mean_AE_S, 2, FALSE))/(VLOOKUP(Main_S[[#This Row],[Industry]], Mean_AE_S, 3, FALSE))</f>
        <v>5.6485453904232763</v>
      </c>
      <c r="T45" s="1">
        <f>(Main_S[[#This Row],[P/E]]-VLOOKUP(Main_S[[#This Row],[Industry]], Mean_PE_S, 2, FALSE))/(VLOOKUP(Main_S[[#This Row],[Industry]], Mean_PE_S, 3, FALSE))</f>
        <v>3.2005961279759902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6" spans="1:26" x14ac:dyDescent="0.25">
      <c r="A46" s="67" t="s">
        <v>152</v>
      </c>
      <c r="B46" s="67" t="s">
        <v>395</v>
      </c>
      <c r="C46" s="2">
        <v>256</v>
      </c>
      <c r="D46">
        <f>RTD("tos.rtd", , "LAST", Main_S[[#This Row],[Symbol]])</f>
        <v>1.41</v>
      </c>
      <c r="E46">
        <v>-0.96</v>
      </c>
      <c r="F46">
        <v>1.76</v>
      </c>
      <c r="G46">
        <v>-1.22</v>
      </c>
      <c r="H46" s="1">
        <f>IF(ISNUMBER(Main_S[[#This Row],[Free CF]]),IF(Main_S[[#This Row],[Free CF]]&lt;&gt;0,Main_S[[#This Row],[Current Price]]/Main_S[[#This Row],[Free CF]],""),"")</f>
        <v>-1.46875</v>
      </c>
      <c r="I46" s="1">
        <f>IF(ISNUMBER(Main_S[[#This Row],[BVPS]]),IF(Main_S[[#This Row],[BVPS]]&lt;&gt;0,Main_S[[#This Row],[Current Price]]/Main_S[[#This Row],[BVPS]],""),"")</f>
        <v>0.80113636363636354</v>
      </c>
      <c r="J46">
        <v>-59.6</v>
      </c>
      <c r="K46">
        <v>-28.92</v>
      </c>
      <c r="L46">
        <v>1.32</v>
      </c>
      <c r="M46" s="1">
        <f>IF(ISNUMBER(Main_S[[#This Row],[EPS]]),IF(Main_S[[#This Row],[EPS]]&lt;&gt;0,Main_S[[#This Row],[Current Price]]/Main_S[[#This Row],[EPS]],""),"")</f>
        <v>-1.1557377049180328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1.1188402593984879</v>
      </c>
      <c r="P46" s="1">
        <f>(Main_S[[#This Row],[P/B]]-VLOOKUP(Main_S[[#This Row],[Industry]], Mean_PB_S, 2, FALSE))/(VLOOKUP(Main_S[[#This Row],[Industry]], Mean_PB_S, 3, FALSE))</f>
        <v>-0.94327848657603519</v>
      </c>
      <c r="Q46" s="1">
        <f>(Main_S[[#This Row],[ROE]]-VLOOKUP(Main_S[[#This Row],[Industry]], Mean_ROE_S, 2, FALSE))/(VLOOKUP(Main_S[[#This Row],[Industry]], Mean_ROE_S, 3, FALSE))</f>
        <v>-0.38423283915816647</v>
      </c>
      <c r="R46" s="1">
        <f>(Main_S[[#This Row],[ROA]]-VLOOKUP(Main_S[[#This Row],[Industry]], Mean_ROA_S, 2, FALSE))/(VLOOKUP(Main_S[[#This Row],[Industry]], Mean_ROA_S, 3, FALSE))</f>
        <v>-0.3940330169302928</v>
      </c>
      <c r="S46" s="1">
        <f>(Main_S[[#This Row],[A/E]]-VLOOKUP(Main_S[[#This Row],[Industry]], Mean_AE_S, 2, FALSE))/(VLOOKUP(Main_S[[#This Row],[Industry]], Mean_AE_S, 3, FALSE))</f>
        <v>-0.24567151793344189</v>
      </c>
      <c r="T46" s="1">
        <f>(Main_S[[#This Row],[P/E]]-VLOOKUP(Main_S[[#This Row],[Industry]], Mean_PE_S, 2, FALSE))/(VLOOKUP(Main_S[[#This Row],[Industry]], Mean_PE_S, 3, FALSE))</f>
        <v>1.143256211856833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7" t="s">
        <v>152</v>
      </c>
      <c r="B47" s="67" t="s">
        <v>472</v>
      </c>
      <c r="C47" s="2">
        <v>352</v>
      </c>
      <c r="D47">
        <f>RTD("tos.rtd", , "LAST", Main_S[[#This Row],[Symbol]])</f>
        <v>4.3099999999999996</v>
      </c>
      <c r="E47">
        <v>-1</v>
      </c>
      <c r="F47">
        <v>1.36</v>
      </c>
      <c r="G47">
        <v>-1.1200000000000001</v>
      </c>
      <c r="H47" s="1">
        <f>IF(ISNUMBER(Main_S[[#This Row],[Free CF]]),IF(Main_S[[#This Row],[Free CF]]&lt;&gt;0,Main_S[[#This Row],[Current Price]]/Main_S[[#This Row],[Free CF]],""),"")</f>
        <v>-4.3099999999999996</v>
      </c>
      <c r="I47" s="1">
        <f>IF(ISNUMBER(Main_S[[#This Row],[BVPS]]),IF(Main_S[[#This Row],[BVPS]]&lt;&gt;0,Main_S[[#This Row],[Current Price]]/Main_S[[#This Row],[BVPS]],""),"")</f>
        <v>3.1691176470588229</v>
      </c>
      <c r="J47">
        <v>-95.16</v>
      </c>
      <c r="K47">
        <v>-52.85</v>
      </c>
      <c r="L47">
        <v>1.1499999999999999</v>
      </c>
      <c r="M47" s="1">
        <f>IF(ISNUMBER(Main_S[[#This Row],[EPS]]),IF(Main_S[[#This Row],[EPS]]&lt;&gt;0,Main_S[[#This Row],[Current Price]]/Main_S[[#This Row],[EPS]],""),"")</f>
        <v>-3.8482142857142851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0.29498934550191647</v>
      </c>
      <c r="P47" s="1">
        <f>(Main_S[[#This Row],[P/B]]-VLOOKUP(Main_S[[#This Row],[Industry]], Mean_PB_S, 2, FALSE))/(VLOOKUP(Main_S[[#This Row],[Industry]], Mean_PB_S, 3, FALSE))</f>
        <v>-2.8691758612474461E-2</v>
      </c>
      <c r="Q47" s="1">
        <f>(Main_S[[#This Row],[ROE]]-VLOOKUP(Main_S[[#This Row],[Industry]], Mean_ROE_S, 2, FALSE))/(VLOOKUP(Main_S[[#This Row],[Industry]], Mean_ROE_S, 3, FALSE))</f>
        <v>-1.4025838170352594</v>
      </c>
      <c r="R47" s="1">
        <f>(Main_S[[#This Row],[ROA]]-VLOOKUP(Main_S[[#This Row],[Industry]], Mean_ROA_S, 2, FALSE))/(VLOOKUP(Main_S[[#This Row],[Industry]], Mean_ROA_S, 3, FALSE))</f>
        <v>-1.8750480690807036</v>
      </c>
      <c r="S47" s="1">
        <f>(Main_S[[#This Row],[A/E]]-VLOOKUP(Main_S[[#This Row],[Industry]], Mean_AE_S, 2, FALSE))/(VLOOKUP(Main_S[[#This Row],[Industry]], Mean_AE_S, 3, FALSE))</f>
        <v>-0.62958602920571882</v>
      </c>
      <c r="T47" s="1">
        <f>(Main_S[[#This Row],[P/E]]-VLOOKUP(Main_S[[#This Row],[Industry]], Mean_PE_S, 2, FALSE))/(VLOOKUP(Main_S[[#This Row],[Industry]], Mean_PE_S, 3, FALSE))</f>
        <v>0.29539232954975064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s="67" t="s">
        <v>152</v>
      </c>
      <c r="B48" s="67" t="s">
        <v>491</v>
      </c>
      <c r="C48" s="2">
        <v>256</v>
      </c>
      <c r="D48">
        <f>RTD("tos.rtd", , "LAST", Main_S[[#This Row],[Symbol]])</f>
        <v>4.59</v>
      </c>
      <c r="E48">
        <v>-1.01</v>
      </c>
      <c r="F48">
        <v>8.68</v>
      </c>
      <c r="G48">
        <v>-0.76</v>
      </c>
      <c r="H48" s="1">
        <f>IF(ISNUMBER(Main_S[[#This Row],[Free CF]]),IF(Main_S[[#This Row],[Free CF]]&lt;&gt;0,Main_S[[#This Row],[Current Price]]/Main_S[[#This Row],[Free CF]],""),"")</f>
        <v>-4.5445544554455441</v>
      </c>
      <c r="I48" s="1">
        <f>IF(ISNUMBER(Main_S[[#This Row],[BVPS]]),IF(Main_S[[#This Row],[BVPS]]&lt;&gt;0,Main_S[[#This Row],[Current Price]]/Main_S[[#This Row],[BVPS]],""),"")</f>
        <v>0.52880184331797231</v>
      </c>
      <c r="J48">
        <v>-8.3800000000000008</v>
      </c>
      <c r="K48">
        <v>-7.05</v>
      </c>
      <c r="L48">
        <v>1.24</v>
      </c>
      <c r="M48" s="1">
        <f>IF(ISNUMBER(Main_S[[#This Row],[EPS]]),IF(Main_S[[#This Row],[EPS]]&lt;&gt;0,Main_S[[#This Row],[Current Price]]/Main_S[[#This Row],[EPS]],""),"")</f>
        <v>-6.0394736842105257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0.22697776521953208</v>
      </c>
      <c r="P48" s="1">
        <f>(Main_S[[#This Row],[P/B]]-VLOOKUP(Main_S[[#This Row],[Industry]], Mean_PB_S, 2, FALSE))/(VLOOKUP(Main_S[[#This Row],[Industry]], Mean_PB_S, 3, FALSE))</f>
        <v>-1.0484623998076192</v>
      </c>
      <c r="Q48" s="1">
        <f>(Main_S[[#This Row],[ROE]]-VLOOKUP(Main_S[[#This Row],[Industry]], Mean_ROE_S, 2, FALSE))/(VLOOKUP(Main_S[[#This Row],[Industry]], Mean_ROE_S, 3, FALSE))</f>
        <v>1.0825820395500647</v>
      </c>
      <c r="R48" s="1">
        <f>(Main_S[[#This Row],[ROA]]-VLOOKUP(Main_S[[#This Row],[Industry]], Mean_ROA_S, 2, FALSE))/(VLOOKUP(Main_S[[#This Row],[Industry]], Mean_ROA_S, 3, FALSE))</f>
        <v>0.95948972400282406</v>
      </c>
      <c r="S48" s="1">
        <f>(Main_S[[#This Row],[A/E]]-VLOOKUP(Main_S[[#This Row],[Industry]], Mean_AE_S, 2, FALSE))/(VLOOKUP(Main_S[[#This Row],[Industry]], Mean_AE_S, 3, FALSE))</f>
        <v>-0.42633717029686635</v>
      </c>
      <c r="T48" s="1">
        <f>(Main_S[[#This Row],[P/E]]-VLOOKUP(Main_S[[#This Row],[Industry]], Mean_PE_S, 2, FALSE))/(VLOOKUP(Main_S[[#This Row],[Industry]], Mean_PE_S, 3, FALSE))</f>
        <v>-0.39463770228119149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7" t="s">
        <v>152</v>
      </c>
      <c r="B49" s="67" t="s">
        <v>410</v>
      </c>
      <c r="C49" s="2">
        <v>393</v>
      </c>
      <c r="D49">
        <f>RTD("tos.rtd", , "LAST", Main_S[[#This Row],[Symbol]])</f>
        <v>16.170000000000002</v>
      </c>
      <c r="E49">
        <v>-1.03</v>
      </c>
      <c r="F49">
        <v>3.82</v>
      </c>
      <c r="G49">
        <v>-1.47</v>
      </c>
      <c r="H49" s="1">
        <f>IF(ISNUMBER(Main_S[[#This Row],[Free CF]]),IF(Main_S[[#This Row],[Free CF]]&lt;&gt;0,Main_S[[#This Row],[Current Price]]/Main_S[[#This Row],[Free CF]],""),"")</f>
        <v>-15.699029126213594</v>
      </c>
      <c r="I49" s="1">
        <f>IF(ISNUMBER(Main_S[[#This Row],[BVPS]]),IF(Main_S[[#This Row],[BVPS]]&lt;&gt;0,Main_S[[#This Row],[Current Price]]/Main_S[[#This Row],[BVPS]],""),"")</f>
        <v>4.2329842931937183</v>
      </c>
      <c r="J49">
        <v>-48.57</v>
      </c>
      <c r="K49">
        <v>-31.34</v>
      </c>
      <c r="L49">
        <v>1.08</v>
      </c>
      <c r="M49" s="1">
        <f>IF(ISNUMBER(Main_S[[#This Row],[EPS]]),IF(Main_S[[#This Row],[EPS]]&lt;&gt;0,Main_S[[#This Row],[Current Price]]/Main_S[[#This Row],[EPS]],""),"")</f>
        <v>-11.000000000000002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-3.0073818129761265</v>
      </c>
      <c r="P49" s="1">
        <f>(Main_S[[#This Row],[P/B]]-VLOOKUP(Main_S[[#This Row],[Industry]], Mean_PB_S, 2, FALSE))/(VLOOKUP(Main_S[[#This Row],[Industry]], Mean_PB_S, 3, FALSE))</f>
        <v>0.3822060477552347</v>
      </c>
      <c r="Q49" s="1">
        <f>(Main_S[[#This Row],[ROE]]-VLOOKUP(Main_S[[#This Row],[Industry]], Mean_ROE_S, 2, FALSE))/(VLOOKUP(Main_S[[#This Row],[Industry]], Mean_ROE_S, 3, FALSE))</f>
        <v>-6.8360755750283012E-2</v>
      </c>
      <c r="R49" s="1">
        <f>(Main_S[[#This Row],[ROA]]-VLOOKUP(Main_S[[#This Row],[Industry]], Mean_ROA_S, 2, FALSE))/(VLOOKUP(Main_S[[#This Row],[Industry]], Mean_ROA_S, 3, FALSE))</f>
        <v>-0.54380553787488084</v>
      </c>
      <c r="S49" s="1">
        <f>(Main_S[[#This Row],[A/E]]-VLOOKUP(Main_S[[#This Row],[Industry]], Mean_AE_S, 2, FALSE))/(VLOOKUP(Main_S[[#This Row],[Industry]], Mean_AE_S, 3, FALSE))</f>
        <v>-0.78766847502371473</v>
      </c>
      <c r="T49" s="1">
        <f>(Main_S[[#This Row],[P/E]]-VLOOKUP(Main_S[[#This Row],[Industry]], Mean_PE_S, 2, FALSE))/(VLOOKUP(Main_S[[#This Row],[Industry]], Mean_PE_S, 3, FALSE))</f>
        <v>-1.956712979143175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7" t="s">
        <v>152</v>
      </c>
      <c r="B50" s="67" t="s">
        <v>497</v>
      </c>
      <c r="C50" s="2">
        <v>796</v>
      </c>
      <c r="D50">
        <f>RTD("tos.rtd", , "LAST", Main_S[[#This Row],[Symbol]])</f>
        <v>12.45</v>
      </c>
      <c r="E50">
        <v>-1.04</v>
      </c>
      <c r="F50">
        <v>4.67</v>
      </c>
      <c r="G50">
        <v>-1.5</v>
      </c>
      <c r="H50" s="1">
        <f>IF(ISNUMBER(Main_S[[#This Row],[Free CF]]),IF(Main_S[[#This Row],[Free CF]]&lt;&gt;0,Main_S[[#This Row],[Current Price]]/Main_S[[#This Row],[Free CF]],""),"")</f>
        <v>-11.971153846153845</v>
      </c>
      <c r="I50" s="1">
        <f>IF(ISNUMBER(Main_S[[#This Row],[BVPS]]),IF(Main_S[[#This Row],[BVPS]]&lt;&gt;0,Main_S[[#This Row],[Current Price]]/Main_S[[#This Row],[BVPS]],""),"")</f>
        <v>2.6659528907922909</v>
      </c>
      <c r="J50">
        <v>-29.8</v>
      </c>
      <c r="K50">
        <v>-13.89</v>
      </c>
      <c r="L50">
        <v>1.31</v>
      </c>
      <c r="M50" s="1">
        <f>IF(ISNUMBER(Main_S[[#This Row],[EPS]]),IF(Main_S[[#This Row],[EPS]]&lt;&gt;0,Main_S[[#This Row],[Current Price]]/Main_S[[#This Row],[EPS]],""),"")</f>
        <v>-8.2999999999999989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-1.9264443888249041</v>
      </c>
      <c r="P50" s="1">
        <f>(Main_S[[#This Row],[P/B]]-VLOOKUP(Main_S[[#This Row],[Industry]], Mean_PB_S, 2, FALSE))/(VLOOKUP(Main_S[[#This Row],[Industry]], Mean_PB_S, 3, FALSE))</f>
        <v>-0.22302936224221154</v>
      </c>
      <c r="Q50" s="1">
        <f>(Main_S[[#This Row],[ROE]]-VLOOKUP(Main_S[[#This Row],[Industry]], Mean_ROE_S, 2, FALSE))/(VLOOKUP(Main_S[[#This Row],[Industry]], Mean_ROE_S, 3, FALSE))</f>
        <v>0.46916589933276071</v>
      </c>
      <c r="R50" s="1">
        <f>(Main_S[[#This Row],[ROA]]-VLOOKUP(Main_S[[#This Row],[Industry]], Mean_ROA_S, 2, FALSE))/(VLOOKUP(Main_S[[#This Row],[Industry]], Mean_ROA_S, 3, FALSE))</f>
        <v>0.53616573918423616</v>
      </c>
      <c r="S50" s="1">
        <f>(Main_S[[#This Row],[A/E]]-VLOOKUP(Main_S[[#This Row],[Industry]], Mean_AE_S, 2, FALSE))/(VLOOKUP(Main_S[[#This Row],[Industry]], Mean_AE_S, 3, FALSE))</f>
        <v>-0.26825472447886994</v>
      </c>
      <c r="T50" s="1">
        <f>(Main_S[[#This Row],[P/E]]-VLOOKUP(Main_S[[#This Row],[Industry]], Mean_PE_S, 2, FALSE))/(VLOOKUP(Main_S[[#This Row],[Industry]], Mean_PE_S, 3, FALSE))</f>
        <v>-1.1064799637265192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7" t="s">
        <v>152</v>
      </c>
      <c r="B51" s="67" t="s">
        <v>404</v>
      </c>
      <c r="C51" s="2">
        <v>466</v>
      </c>
      <c r="D51">
        <f>RTD("tos.rtd", , "LAST", Main_S[[#This Row],[Symbol]])</f>
        <v>2.35</v>
      </c>
      <c r="E51">
        <v>-1.07</v>
      </c>
      <c r="F51">
        <v>1.39</v>
      </c>
      <c r="G51">
        <v>-0.89</v>
      </c>
      <c r="H51" s="1">
        <f>IF(ISNUMBER(Main_S[[#This Row],[Free CF]]),IF(Main_S[[#This Row],[Free CF]]&lt;&gt;0,Main_S[[#This Row],[Current Price]]/Main_S[[#This Row],[Free CF]],""),"")</f>
        <v>-2.1962616822429908</v>
      </c>
      <c r="I51" s="1">
        <f>IF(ISNUMBER(Main_S[[#This Row],[BVPS]]),IF(Main_S[[#This Row],[BVPS]]&lt;&gt;0,Main_S[[#This Row],[Current Price]]/Main_S[[#This Row],[BVPS]],""),"")</f>
        <v>1.6906474820143886</v>
      </c>
      <c r="J51">
        <v>-49.97</v>
      </c>
      <c r="K51">
        <v>-20.28</v>
      </c>
      <c r="L51">
        <v>2.0099999999999998</v>
      </c>
      <c r="M51" s="1">
        <f>IF(ISNUMBER(Main_S[[#This Row],[EPS]]),IF(Main_S[[#This Row],[EPS]]&lt;&gt;0,Main_S[[#This Row],[Current Price]]/Main_S[[#This Row],[EPS]],""),"")</f>
        <v>-2.6404494382022472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0.90789044354760529</v>
      </c>
      <c r="P51" s="1">
        <f>(Main_S[[#This Row],[P/B]]-VLOOKUP(Main_S[[#This Row],[Industry]], Mean_PB_S, 2, FALSE))/(VLOOKUP(Main_S[[#This Row],[Industry]], Mean_PB_S, 3, FALSE))</f>
        <v>-0.59972211265539432</v>
      </c>
      <c r="Q51" s="1">
        <f>(Main_S[[#This Row],[ROE]]-VLOOKUP(Main_S[[#This Row],[Industry]], Mean_ROE_S, 2, FALSE))/(VLOOKUP(Main_S[[#This Row],[Industry]], Mean_ROE_S, 3, FALSE))</f>
        <v>-0.10845331393442048</v>
      </c>
      <c r="R51" s="1">
        <f>(Main_S[[#This Row],[ROA]]-VLOOKUP(Main_S[[#This Row],[Industry]], Mean_ROA_S, 2, FALSE))/(VLOOKUP(Main_S[[#This Row],[Industry]], Mean_ROA_S, 3, FALSE))</f>
        <v>0.14069201652476576</v>
      </c>
      <c r="S51" s="1">
        <f>(Main_S[[#This Row],[A/E]]-VLOOKUP(Main_S[[#This Row],[Industry]], Mean_AE_S, 2, FALSE))/(VLOOKUP(Main_S[[#This Row],[Industry]], Mean_AE_S, 3, FALSE))</f>
        <v>1.312569733701092</v>
      </c>
      <c r="T51" s="1">
        <f>(Main_S[[#This Row],[P/E]]-VLOOKUP(Main_S[[#This Row],[Industry]], Mean_PE_S, 2, FALSE))/(VLOOKUP(Main_S[[#This Row],[Industry]], Mean_PE_S, 3, FALSE))</f>
        <v>0.67571882888841595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7" t="s">
        <v>152</v>
      </c>
      <c r="B52" s="67" t="s">
        <v>484</v>
      </c>
      <c r="C52" s="2">
        <v>1756</v>
      </c>
      <c r="D52">
        <f>RTD("tos.rtd", , "LAST", Main_S[[#This Row],[Symbol]])</f>
        <v>33.36</v>
      </c>
      <c r="E52">
        <v>-1.1100000000000001</v>
      </c>
      <c r="F52">
        <v>7.35</v>
      </c>
      <c r="G52">
        <v>-3.25</v>
      </c>
      <c r="H52" s="1">
        <f>IF(ISNUMBER(Main_S[[#This Row],[Free CF]]),IF(Main_S[[#This Row],[Free CF]]&lt;&gt;0,Main_S[[#This Row],[Current Price]]/Main_S[[#This Row],[Free CF]],""),"")</f>
        <v>-30.054054054054053</v>
      </c>
      <c r="I52" s="1">
        <f>IF(ISNUMBER(Main_S[[#This Row],[BVPS]]),IF(Main_S[[#This Row],[BVPS]]&lt;&gt;0,Main_S[[#This Row],[Current Price]]/Main_S[[#This Row],[BVPS]],""),"")</f>
        <v>4.5387755102040819</v>
      </c>
      <c r="J52">
        <v>-38.22</v>
      </c>
      <c r="K52">
        <v>-15.04</v>
      </c>
      <c r="L52">
        <v>1.35</v>
      </c>
      <c r="M52" s="1">
        <f>IF(ISNUMBER(Main_S[[#This Row],[EPS]]),IF(Main_S[[#This Row],[EPS]]&lt;&gt;0,Main_S[[#This Row],[Current Price]]/Main_S[[#This Row],[EPS]],""),"")</f>
        <v>-10.264615384615384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-7.1697752686063696</v>
      </c>
      <c r="P52" s="1">
        <f>(Main_S[[#This Row],[P/B]]-VLOOKUP(Main_S[[#This Row],[Industry]], Mean_PB_S, 2, FALSE))/(VLOOKUP(Main_S[[#This Row],[Industry]], Mean_PB_S, 3, FALSE))</f>
        <v>0.50031195955589347</v>
      </c>
      <c r="Q52" s="1">
        <f>(Main_S[[#This Row],[ROE]]-VLOOKUP(Main_S[[#This Row],[Industry]], Mean_ROE_S, 2, FALSE))/(VLOOKUP(Main_S[[#This Row],[Industry]], Mean_ROE_S, 3, FALSE))</f>
        <v>0.22803779939673369</v>
      </c>
      <c r="R52" s="1">
        <f>(Main_S[[#This Row],[ROA]]-VLOOKUP(Main_S[[#This Row],[Industry]], Mean_ROA_S, 2, FALSE))/(VLOOKUP(Main_S[[#This Row],[Industry]], Mean_ROA_S, 3, FALSE))</f>
        <v>0.46499284699982452</v>
      </c>
      <c r="S52" s="1">
        <f>(Main_S[[#This Row],[A/E]]-VLOOKUP(Main_S[[#This Row],[Industry]], Mean_AE_S, 2, FALSE))/(VLOOKUP(Main_S[[#This Row],[Industry]], Mean_AE_S, 3, FALSE))</f>
        <v>-0.17792189829715771</v>
      </c>
      <c r="T52" s="1">
        <f>(Main_S[[#This Row],[P/E]]-VLOOKUP(Main_S[[#This Row],[Industry]], Mean_PE_S, 2, FALSE))/(VLOOKUP(Main_S[[#This Row],[Industry]], Mean_PE_S, 3, FALSE))</f>
        <v>-1.7251395424655898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7" t="s">
        <v>152</v>
      </c>
      <c r="B53" s="67" t="s">
        <v>396</v>
      </c>
      <c r="C53" s="2">
        <v>440</v>
      </c>
      <c r="D53">
        <f>RTD("tos.rtd", , "LAST", Main_S[[#This Row],[Symbol]])</f>
        <v>5.95</v>
      </c>
      <c r="E53">
        <v>-1.1100000000000001</v>
      </c>
      <c r="F53">
        <v>1.83</v>
      </c>
      <c r="G53">
        <v>-1.25</v>
      </c>
      <c r="H53" s="1">
        <f>IF(ISNUMBER(Main_S[[#This Row],[Free CF]]),IF(Main_S[[#This Row],[Free CF]]&lt;&gt;0,Main_S[[#This Row],[Current Price]]/Main_S[[#This Row],[Free CF]],""),"")</f>
        <v>-5.3603603603603602</v>
      </c>
      <c r="I53" s="1">
        <f>IF(ISNUMBER(Main_S[[#This Row],[BVPS]]),IF(Main_S[[#This Row],[BVPS]]&lt;&gt;0,Main_S[[#This Row],[Current Price]]/Main_S[[#This Row],[BVPS]],""),"")</f>
        <v>3.2513661202185791</v>
      </c>
      <c r="J53">
        <v>-57.28</v>
      </c>
      <c r="K53">
        <v>-35.51</v>
      </c>
      <c r="L53">
        <v>1.1100000000000001</v>
      </c>
      <c r="M53" s="1">
        <f>IF(ISNUMBER(Main_S[[#This Row],[EPS]]),IF(Main_S[[#This Row],[EPS]]&lt;&gt;0,Main_S[[#This Row],[Current Price]]/Main_S[[#This Row],[EPS]],""),"")</f>
        <v>-4.76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-9.573907574586947E-3</v>
      </c>
      <c r="P53" s="1">
        <f>(Main_S[[#This Row],[P/B]]-VLOOKUP(Main_S[[#This Row],[Industry]], Mean_PB_S, 2, FALSE))/(VLOOKUP(Main_S[[#This Row],[Industry]], Mean_PB_S, 3, FALSE))</f>
        <v>3.0751149155372449E-3</v>
      </c>
      <c r="Q53" s="1">
        <f>(Main_S[[#This Row],[ROE]]-VLOOKUP(Main_S[[#This Row],[Industry]], Mean_ROE_S, 2, FALSE))/(VLOOKUP(Main_S[[#This Row],[Industry]], Mean_ROE_S, 3, FALSE))</f>
        <v>-0.31779374273873862</v>
      </c>
      <c r="R53" s="1">
        <f>(Main_S[[#This Row],[ROA]]-VLOOKUP(Main_S[[#This Row],[Industry]], Mean_ROA_S, 2, FALSE))/(VLOOKUP(Main_S[[#This Row],[Industry]], Mean_ROA_S, 3, FALSE))</f>
        <v>-0.80188463388270403</v>
      </c>
      <c r="S53" s="1">
        <f>(Main_S[[#This Row],[A/E]]-VLOOKUP(Main_S[[#This Row],[Industry]], Mean_AE_S, 2, FALSE))/(VLOOKUP(Main_S[[#This Row],[Industry]], Mean_AE_S, 3, FALSE))</f>
        <v>-0.71991885538743061</v>
      </c>
      <c r="T53" s="1">
        <f>(Main_S[[#This Row],[P/E]]-VLOOKUP(Main_S[[#This Row],[Industry]], Mean_PE_S, 2, FALSE))/(VLOOKUP(Main_S[[#This Row],[Industry]], Mean_PE_S, 3, FALSE))</f>
        <v>8.2699898197611515E-3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7" t="s">
        <v>152</v>
      </c>
      <c r="B54" s="67" t="s">
        <v>440</v>
      </c>
      <c r="C54" s="2">
        <v>584</v>
      </c>
      <c r="D54">
        <f>RTD("tos.rtd", , "LAST", Main_S[[#This Row],[Symbol]])</f>
        <v>2.21</v>
      </c>
      <c r="E54">
        <v>-1.1399999999999999</v>
      </c>
      <c r="F54">
        <v>2.2999999999999998</v>
      </c>
      <c r="G54">
        <v>-1.23</v>
      </c>
      <c r="H54" s="1">
        <f>IF(ISNUMBER(Main_S[[#This Row],[Free CF]]),IF(Main_S[[#This Row],[Free CF]]&lt;&gt;0,Main_S[[#This Row],[Current Price]]/Main_S[[#This Row],[Free CF]],""),"")</f>
        <v>-1.9385964912280702</v>
      </c>
      <c r="I54" s="1">
        <f>IF(ISNUMBER(Main_S[[#This Row],[BVPS]]),IF(Main_S[[#This Row],[BVPS]]&lt;&gt;0,Main_S[[#This Row],[Current Price]]/Main_S[[#This Row],[BVPS]],""),"")</f>
        <v>0.96086956521739131</v>
      </c>
      <c r="J54">
        <v>-51.85</v>
      </c>
      <c r="K54">
        <v>-27.14</v>
      </c>
      <c r="L54">
        <v>1.26</v>
      </c>
      <c r="M54" s="1">
        <f>IF(ISNUMBER(Main_S[[#This Row],[EPS]]),IF(Main_S[[#This Row],[EPS]]&lt;&gt;0,Main_S[[#This Row],[Current Price]]/Main_S[[#This Row],[EPS]],""),"")</f>
        <v>-1.7967479674796747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0.98260322950342649</v>
      </c>
      <c r="P54" s="1">
        <f>(Main_S[[#This Row],[P/B]]-VLOOKUP(Main_S[[#This Row],[Industry]], Mean_PB_S, 2, FALSE))/(VLOOKUP(Main_S[[#This Row],[Industry]], Mean_PB_S, 3, FALSE))</f>
        <v>-0.88158464329954123</v>
      </c>
      <c r="Q54" s="1">
        <f>(Main_S[[#This Row],[ROE]]-VLOOKUP(Main_S[[#This Row],[Industry]], Mean_ROE_S, 2, FALSE))/(VLOOKUP(Main_S[[#This Row],[Industry]], Mean_ROE_S, 3, FALSE))</f>
        <v>-0.16229189206740521</v>
      </c>
      <c r="R54" s="1">
        <f>(Main_S[[#This Row],[ROA]]-VLOOKUP(Main_S[[#This Row],[Industry]], Mean_ROA_S, 2, FALSE))/(VLOOKUP(Main_S[[#This Row],[Industry]], Mean_ROA_S, 3, FALSE))</f>
        <v>-0.28386975772311629</v>
      </c>
      <c r="S54" s="1">
        <f>(Main_S[[#This Row],[A/E]]-VLOOKUP(Main_S[[#This Row],[Industry]], Mean_AE_S, 2, FALSE))/(VLOOKUP(Main_S[[#This Row],[Industry]], Mean_AE_S, 3, FALSE))</f>
        <v>-0.38117075720601024</v>
      </c>
      <c r="T54" s="1">
        <f>(Main_S[[#This Row],[P/E]]-VLOOKUP(Main_S[[#This Row],[Industry]], Mean_PE_S, 2, FALSE))/(VLOOKUP(Main_S[[#This Row],[Industry]], Mean_PE_S, 3, FALSE))</f>
        <v>0.94140136428246013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7" t="s">
        <v>152</v>
      </c>
      <c r="B55" s="67" t="s">
        <v>415</v>
      </c>
      <c r="C55" s="2">
        <v>1953</v>
      </c>
      <c r="D55">
        <f>RTD("tos.rtd", , "LAST", Main_S[[#This Row],[Symbol]])</f>
        <v>27</v>
      </c>
      <c r="E55">
        <v>-1.18</v>
      </c>
      <c r="F55">
        <v>9.25</v>
      </c>
      <c r="G55">
        <v>-1.51</v>
      </c>
      <c r="H55" s="1">
        <f>IF(ISNUMBER(Main_S[[#This Row],[Free CF]]),IF(Main_S[[#This Row],[Free CF]]&lt;&gt;0,Main_S[[#This Row],[Current Price]]/Main_S[[#This Row],[Free CF]],""),"")</f>
        <v>-22.881355932203391</v>
      </c>
      <c r="I55" s="1">
        <f>IF(ISNUMBER(Main_S[[#This Row],[BVPS]]),IF(Main_S[[#This Row],[BVPS]]&lt;&gt;0,Main_S[[#This Row],[Current Price]]/Main_S[[#This Row],[BVPS]],""),"")</f>
        <v>2.9189189189189189</v>
      </c>
      <c r="J55">
        <v>-16.579999999999998</v>
      </c>
      <c r="K55">
        <v>-12.85</v>
      </c>
      <c r="L55">
        <v>1.03</v>
      </c>
      <c r="M55" s="1">
        <f>IF(ISNUMBER(Main_S[[#This Row],[EPS]]),IF(Main_S[[#This Row],[EPS]]&lt;&gt;0,Main_S[[#This Row],[Current Price]]/Main_S[[#This Row],[EPS]],""),"")</f>
        <v>-17.880794701986755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-5.0899745109148995</v>
      </c>
      <c r="P55" s="1">
        <f>(Main_S[[#This Row],[P/B]]-VLOOKUP(Main_S[[#This Row],[Industry]], Mean_PB_S, 2, FALSE))/(VLOOKUP(Main_S[[#This Row],[Industry]], Mean_PB_S, 3, FALSE))</f>
        <v>-0.12532615252093984</v>
      </c>
      <c r="Q55" s="1">
        <f>(Main_S[[#This Row],[ROE]]-VLOOKUP(Main_S[[#This Row],[Industry]], Mean_ROE_S, 2, FALSE))/(VLOOKUP(Main_S[[#This Row],[Industry]], Mean_ROE_S, 3, FALSE))</f>
        <v>0.84775419875725933</v>
      </c>
      <c r="R55" s="1">
        <f>(Main_S[[#This Row],[ROA]]-VLOOKUP(Main_S[[#This Row],[Industry]], Mean_ROA_S, 2, FALSE))/(VLOOKUP(Main_S[[#This Row],[Industry]], Mean_ROA_S, 3, FALSE))</f>
        <v>0.60053078950753025</v>
      </c>
      <c r="S55" s="1">
        <f>(Main_S[[#This Row],[A/E]]-VLOOKUP(Main_S[[#This Row],[Industry]], Mean_AE_S, 2, FALSE))/(VLOOKUP(Main_S[[#This Row],[Industry]], Mean_AE_S, 3, FALSE))</f>
        <v>-0.90058450775085508</v>
      </c>
      <c r="T55" s="1">
        <f>(Main_S[[#This Row],[P/E]]-VLOOKUP(Main_S[[#This Row],[Industry]], Mean_PE_S, 2, FALSE))/(VLOOKUP(Main_S[[#This Row],[Industry]], Mean_PE_S, 3, FALSE))</f>
        <v>-4.1234829154147086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s="67" t="s">
        <v>152</v>
      </c>
      <c r="B56" s="67" t="s">
        <v>411</v>
      </c>
      <c r="C56" s="2">
        <v>452</v>
      </c>
      <c r="D56">
        <f>RTD("tos.rtd", , "LAST", Main_S[[#This Row],[Symbol]])</f>
        <v>13.38</v>
      </c>
      <c r="E56">
        <v>-1.22</v>
      </c>
      <c r="F56">
        <v>2.79</v>
      </c>
      <c r="G56">
        <v>-1.42</v>
      </c>
      <c r="H56" s="1">
        <f>IF(ISNUMBER(Main_S[[#This Row],[Free CF]]),IF(Main_S[[#This Row],[Free CF]]&lt;&gt;0,Main_S[[#This Row],[Current Price]]/Main_S[[#This Row],[Free CF]],""),"")</f>
        <v>-10.967213114754099</v>
      </c>
      <c r="I56" s="1">
        <f>IF(ISNUMBER(Main_S[[#This Row],[BVPS]]),IF(Main_S[[#This Row],[BVPS]]&lt;&gt;0,Main_S[[#This Row],[Current Price]]/Main_S[[#This Row],[BVPS]],""),"")</f>
        <v>4.795698924731183</v>
      </c>
      <c r="J56">
        <v>-75.39</v>
      </c>
      <c r="K56">
        <v>-35.24</v>
      </c>
      <c r="L56">
        <v>1.2</v>
      </c>
      <c r="M56" s="1">
        <f>IF(ISNUMBER(Main_S[[#This Row],[EPS]]),IF(Main_S[[#This Row],[EPS]]&lt;&gt;0,Main_S[[#This Row],[Current Price]]/Main_S[[#This Row],[EPS]],""),"")</f>
        <v>-9.422535211267606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-1.6353410050812445</v>
      </c>
      <c r="P56" s="1">
        <f>(Main_S[[#This Row],[P/B]]-VLOOKUP(Main_S[[#This Row],[Industry]], Mean_PB_S, 2, FALSE))/(VLOOKUP(Main_S[[#This Row],[Industry]], Mean_PB_S, 3, FALSE))</f>
        <v>0.59954363282737744</v>
      </c>
      <c r="Q56" s="1">
        <f>(Main_S[[#This Row],[ROE]]-VLOOKUP(Main_S[[#This Row],[Industry]], Mean_ROE_S, 2, FALSE))/(VLOOKUP(Main_S[[#This Row],[Industry]], Mean_ROE_S, 3, FALSE))</f>
        <v>-0.83641962039211748</v>
      </c>
      <c r="R56" s="1">
        <f>(Main_S[[#This Row],[ROA]]-VLOOKUP(Main_S[[#This Row],[Industry]], Mean_ROA_S, 2, FALSE))/(VLOOKUP(Main_S[[#This Row],[Industry]], Mean_ROA_S, 3, FALSE))</f>
        <v>-0.78517447658723372</v>
      </c>
      <c r="S56" s="1">
        <f>(Main_S[[#This Row],[A/E]]-VLOOKUP(Main_S[[#This Row],[Industry]], Mean_AE_S, 2, FALSE))/(VLOOKUP(Main_S[[#This Row],[Industry]], Mean_AE_S, 3, FALSE))</f>
        <v>-0.51666999647857859</v>
      </c>
      <c r="T56" s="1">
        <f>(Main_S[[#This Row],[P/E]]-VLOOKUP(Main_S[[#This Row],[Industry]], Mean_PE_S, 2, FALSE))/(VLOOKUP(Main_S[[#This Row],[Industry]], Mean_PE_S, 3, FALSE))</f>
        <v>-1.4599675554255671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s="67" t="s">
        <v>152</v>
      </c>
      <c r="B57" s="67" t="s">
        <v>419</v>
      </c>
      <c r="C57" s="2">
        <v>1805</v>
      </c>
      <c r="D57">
        <f>RTD("tos.rtd", , "LAST", Main_S[[#This Row],[Symbol]])</f>
        <v>11.94</v>
      </c>
      <c r="E57">
        <v>-1.24</v>
      </c>
      <c r="F57">
        <v>2.9</v>
      </c>
      <c r="G57">
        <v>-1.82</v>
      </c>
      <c r="H57" s="1">
        <f>IF(ISNUMBER(Main_S[[#This Row],[Free CF]]),IF(Main_S[[#This Row],[Free CF]]&lt;&gt;0,Main_S[[#This Row],[Current Price]]/Main_S[[#This Row],[Free CF]],""),"")</f>
        <v>-9.629032258064516</v>
      </c>
      <c r="I57" s="1">
        <f>IF(ISNUMBER(Main_S[[#This Row],[BVPS]]),IF(Main_S[[#This Row],[BVPS]]&lt;&gt;0,Main_S[[#This Row],[Current Price]]/Main_S[[#This Row],[BVPS]],""),"")</f>
        <v>4.1172413793103448</v>
      </c>
      <c r="J57">
        <v>-74.44</v>
      </c>
      <c r="K57">
        <v>-28.58</v>
      </c>
      <c r="L57">
        <v>1.37</v>
      </c>
      <c r="M57" s="1">
        <f>IF(ISNUMBER(Main_S[[#This Row],[EPS]]),IF(Main_S[[#This Row],[EPS]]&lt;&gt;0,Main_S[[#This Row],[Current Price]]/Main_S[[#This Row],[EPS]],""),"")</f>
        <v>-6.5604395604395602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-1.2473211118150378</v>
      </c>
      <c r="P57" s="1">
        <f>(Main_S[[#This Row],[P/B]]-VLOOKUP(Main_S[[#This Row],[Industry]], Mean_PB_S, 2, FALSE))/(VLOOKUP(Main_S[[#This Row],[Industry]], Mean_PB_S, 3, FALSE))</f>
        <v>0.33750259775981628</v>
      </c>
      <c r="Q57" s="1">
        <f>(Main_S[[#This Row],[ROE]]-VLOOKUP(Main_S[[#This Row],[Industry]], Mean_ROE_S, 2, FALSE))/(VLOOKUP(Main_S[[#This Row],[Industry]], Mean_ROE_S, 3, FALSE))</f>
        <v>-0.8092139559100241</v>
      </c>
      <c r="R57" s="1">
        <f>(Main_S[[#This Row],[ROA]]-VLOOKUP(Main_S[[#This Row],[Industry]], Mean_ROA_S, 2, FALSE))/(VLOOKUP(Main_S[[#This Row],[Industry]], Mean_ROA_S, 3, FALSE))</f>
        <v>-0.37299059663229256</v>
      </c>
      <c r="S57" s="1">
        <f>(Main_S[[#This Row],[A/E]]-VLOOKUP(Main_S[[#This Row],[Industry]], Mean_AE_S, 2, FALSE))/(VLOOKUP(Main_S[[#This Row],[Industry]], Mean_AE_S, 3, FALSE))</f>
        <v>-0.13275548520630159</v>
      </c>
      <c r="T57" s="1">
        <f>(Main_S[[#This Row],[P/E]]-VLOOKUP(Main_S[[#This Row],[Industry]], Mean_PE_S, 2, FALSE))/(VLOOKUP(Main_S[[#This Row],[Industry]], Mean_PE_S, 3, FALSE))</f>
        <v>-0.5586904385313366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7" t="s">
        <v>152</v>
      </c>
      <c r="B58" s="67" t="s">
        <v>485</v>
      </c>
      <c r="C58" s="2">
        <v>484</v>
      </c>
      <c r="D58">
        <f>RTD("tos.rtd", , "LAST", Main_S[[#This Row],[Symbol]])</f>
        <v>10.26</v>
      </c>
      <c r="E58">
        <v>-1.25</v>
      </c>
      <c r="F58">
        <v>6.09</v>
      </c>
      <c r="G58">
        <v>-1.63</v>
      </c>
      <c r="H58" s="1">
        <f>IF(ISNUMBER(Main_S[[#This Row],[Free CF]]),IF(Main_S[[#This Row],[Free CF]]&lt;&gt;0,Main_S[[#This Row],[Current Price]]/Main_S[[#This Row],[Free CF]],""),"")</f>
        <v>-8.2080000000000002</v>
      </c>
      <c r="I58" s="1">
        <f>IF(ISNUMBER(Main_S[[#This Row],[BVPS]]),IF(Main_S[[#This Row],[BVPS]]&lt;&gt;0,Main_S[[#This Row],[Current Price]]/Main_S[[#This Row],[BVPS]],""),"")</f>
        <v>1.6847290640394088</v>
      </c>
      <c r="J58">
        <v>-27.04</v>
      </c>
      <c r="K58">
        <v>-19</v>
      </c>
      <c r="L58">
        <v>1.06</v>
      </c>
      <c r="M58" s="1">
        <f>IF(ISNUMBER(Main_S[[#This Row],[EPS]]),IF(Main_S[[#This Row],[EPS]]&lt;&gt;0,Main_S[[#This Row],[Current Price]]/Main_S[[#This Row],[EPS]],""),"")</f>
        <v>-6.294478527607362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-0.83527756602253089</v>
      </c>
      <c r="P58" s="1">
        <f>(Main_S[[#This Row],[P/B]]-VLOOKUP(Main_S[[#This Row],[Industry]], Mean_PB_S, 2, FALSE))/(VLOOKUP(Main_S[[#This Row],[Industry]], Mean_PB_S, 3, FALSE))</f>
        <v>-0.60200798652118526</v>
      </c>
      <c r="Q58" s="1">
        <f>(Main_S[[#This Row],[ROE]]-VLOOKUP(Main_S[[#This Row],[Industry]], Mean_ROE_S, 2, FALSE))/(VLOOKUP(Main_S[[#This Row],[Industry]], Mean_ROE_S, 3, FALSE))</f>
        <v>0.54820551403863182</v>
      </c>
      <c r="R58" s="1">
        <f>(Main_S[[#This Row],[ROA]]-VLOOKUP(Main_S[[#This Row],[Industry]], Mean_ROA_S, 2, FALSE))/(VLOOKUP(Main_S[[#This Row],[Industry]], Mean_ROA_S, 3, FALSE))</f>
        <v>0.21991053999958929</v>
      </c>
      <c r="S58" s="1">
        <f>(Main_S[[#This Row],[A/E]]-VLOOKUP(Main_S[[#This Row],[Industry]], Mean_AE_S, 2, FALSE))/(VLOOKUP(Main_S[[#This Row],[Industry]], Mean_AE_S, 3, FALSE))</f>
        <v>-0.83283488811457085</v>
      </c>
      <c r="T58" s="1">
        <f>(Main_S[[#This Row],[P/E]]-VLOOKUP(Main_S[[#This Row],[Industry]], Mean_PE_S, 2, FALSE))/(VLOOKUP(Main_S[[#This Row],[Industry]], Mean_PE_S, 3, FALSE))</f>
        <v>-0.47493901226161522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7" t="s">
        <v>152</v>
      </c>
      <c r="B59" s="67" t="s">
        <v>588</v>
      </c>
      <c r="C59" s="2">
        <v>368</v>
      </c>
      <c r="D59">
        <f>RTD("tos.rtd", , "LAST", Main_S[[#This Row],[Symbol]])</f>
        <v>7.88</v>
      </c>
      <c r="E59">
        <v>-1.27</v>
      </c>
      <c r="F59">
        <v>1.4</v>
      </c>
      <c r="G59">
        <v>-2.0499999999999998</v>
      </c>
      <c r="H59" s="1">
        <f>IF(ISNUMBER(Main_S[[#This Row],[Free CF]]),IF(Main_S[[#This Row],[Free CF]]&lt;&gt;0,Main_S[[#This Row],[Current Price]]/Main_S[[#This Row],[Free CF]],""),"")</f>
        <v>-6.2047244094488185</v>
      </c>
      <c r="I59" s="1">
        <f>IF(ISNUMBER(Main_S[[#This Row],[BVPS]]),IF(Main_S[[#This Row],[BVPS]]&lt;&gt;0,Main_S[[#This Row],[Current Price]]/Main_S[[#This Row],[BVPS]],""),"")</f>
        <v>5.628571428571429</v>
      </c>
      <c r="J59">
        <v>-102.7</v>
      </c>
      <c r="K59">
        <v>-49.38</v>
      </c>
      <c r="L59">
        <v>1.65</v>
      </c>
      <c r="M59" s="1">
        <f>IF(ISNUMBER(Main_S[[#This Row],[EPS]]),IF(Main_S[[#This Row],[EPS]]&lt;&gt;0,Main_S[[#This Row],[Current Price]]/Main_S[[#This Row],[EPS]],""),"")</f>
        <v>-3.8439024390243905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-0.25440632059805757</v>
      </c>
      <c r="P59" s="1">
        <f>(Main_S[[#This Row],[P/B]]-VLOOKUP(Main_S[[#This Row],[Industry]], Mean_PB_S, 2, FALSE))/(VLOOKUP(Main_S[[#This Row],[Industry]], Mean_PB_S, 3, FALSE))</f>
        <v>0.92122444315757113</v>
      </c>
      <c r="Q59" s="1">
        <f>(Main_S[[#This Row],[ROE]]-VLOOKUP(Main_S[[#This Row],[Industry]], Mean_ROE_S, 2, FALSE))/(VLOOKUP(Main_S[[#This Row],[Industry]], Mean_ROE_S, 3, FALSE))</f>
        <v>-1.6185108803984001</v>
      </c>
      <c r="R59" s="1">
        <f>(Main_S[[#This Row],[ROA]]-VLOOKUP(Main_S[[#This Row],[Industry]], Mean_ROA_S, 2, FALSE))/(VLOOKUP(Main_S[[#This Row],[Industry]], Mean_ROA_S, 3, FALSE))</f>
        <v>-1.6602916030981745</v>
      </c>
      <c r="S59" s="1">
        <f>(Main_S[[#This Row],[A/E]]-VLOOKUP(Main_S[[#This Row],[Industry]], Mean_AE_S, 2, FALSE))/(VLOOKUP(Main_S[[#This Row],[Industry]], Mean_AE_S, 3, FALSE))</f>
        <v>0.49957429806568299</v>
      </c>
      <c r="T59" s="1">
        <f>(Main_S[[#This Row],[P/E]]-VLOOKUP(Main_S[[#This Row],[Industry]], Mean_PE_S, 2, FALSE))/(VLOOKUP(Main_S[[#This Row],[Industry]], Mean_PE_S, 3, FALSE))</f>
        <v>0.29675013488795932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7" t="s">
        <v>152</v>
      </c>
      <c r="B60" s="67" t="s">
        <v>471</v>
      </c>
      <c r="C60" s="2">
        <v>1699</v>
      </c>
      <c r="D60">
        <f>RTD("tos.rtd", , "LAST", Main_S[[#This Row],[Symbol]])</f>
        <v>5.37</v>
      </c>
      <c r="E60">
        <v>-1.27</v>
      </c>
      <c r="F60">
        <v>2.2999999999999998</v>
      </c>
      <c r="G60">
        <v>-1.82</v>
      </c>
      <c r="H60" s="1">
        <f>IF(ISNUMBER(Main_S[[#This Row],[Free CF]]),IF(Main_S[[#This Row],[Free CF]]&lt;&gt;0,Main_S[[#This Row],[Current Price]]/Main_S[[#This Row],[Free CF]],""),"")</f>
        <v>-4.228346456692913</v>
      </c>
      <c r="I60" s="1">
        <f>IF(ISNUMBER(Main_S[[#This Row],[BVPS]]),IF(Main_S[[#This Row],[BVPS]]&lt;&gt;0,Main_S[[#This Row],[Current Price]]/Main_S[[#This Row],[BVPS]],""),"")</f>
        <v>2.3347826086956522</v>
      </c>
      <c r="J60">
        <v>-86.1</v>
      </c>
      <c r="K60">
        <v>-38.51</v>
      </c>
      <c r="L60">
        <v>1.4</v>
      </c>
      <c r="M60" s="1">
        <f>IF(ISNUMBER(Main_S[[#This Row],[EPS]]),IF(Main_S[[#This Row],[EPS]]&lt;&gt;0,Main_S[[#This Row],[Current Price]]/Main_S[[#This Row],[EPS]],""),"")</f>
        <v>-2.9505494505494507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0.31866566623273446</v>
      </c>
      <c r="P60" s="1">
        <f>(Main_S[[#This Row],[P/B]]-VLOOKUP(Main_S[[#This Row],[Industry]], Mean_PB_S, 2, FALSE))/(VLOOKUP(Main_S[[#This Row],[Industry]], Mean_PB_S, 3, FALSE))</f>
        <v>-0.35093744446479308</v>
      </c>
      <c r="Q60" s="1">
        <f>(Main_S[[#This Row],[ROE]]-VLOOKUP(Main_S[[#This Row],[Industry]], Mean_ROE_S, 2, FALSE))/(VLOOKUP(Main_S[[#This Row],[Industry]], Mean_ROE_S, 3, FALSE))</f>
        <v>-1.1431276905007692</v>
      </c>
      <c r="R60" s="1">
        <f>(Main_S[[#This Row],[ROA]]-VLOOKUP(Main_S[[#This Row],[Industry]], Mean_ROA_S, 2, FALSE))/(VLOOKUP(Main_S[[#This Row],[Industry]], Mean_ROA_S, 3, FALSE))</f>
        <v>-0.98755304827682155</v>
      </c>
      <c r="S60" s="1">
        <f>(Main_S[[#This Row],[A/E]]-VLOOKUP(Main_S[[#This Row],[Industry]], Mean_AE_S, 2, FALSE))/(VLOOKUP(Main_S[[#This Row],[Industry]], Mean_AE_S, 3, FALSE))</f>
        <v>-6.5005865570017932E-2</v>
      </c>
      <c r="T60" s="1">
        <f>(Main_S[[#This Row],[P/E]]-VLOOKUP(Main_S[[#This Row],[Industry]], Mean_PE_S, 2, FALSE))/(VLOOKUP(Main_S[[#This Row],[Industry]], Mean_PE_S, 3, FALSE))</f>
        <v>0.57806798867408082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7" t="s">
        <v>152</v>
      </c>
      <c r="B61" s="67" t="s">
        <v>589</v>
      </c>
      <c r="C61" s="2">
        <v>306</v>
      </c>
      <c r="D61">
        <f>RTD("tos.rtd", , "LAST", Main_S[[#This Row],[Symbol]])</f>
        <v>3.57</v>
      </c>
      <c r="E61">
        <v>-1.32</v>
      </c>
      <c r="F61">
        <v>-2.4</v>
      </c>
      <c r="G61">
        <v>-1.45</v>
      </c>
      <c r="H61" s="1">
        <f>IF(ISNUMBER(Main_S[[#This Row],[Free CF]]),IF(Main_S[[#This Row],[Free CF]]&lt;&gt;0,Main_S[[#This Row],[Current Price]]/Main_S[[#This Row],[Free CF]],""),"")</f>
        <v>-2.7045454545454541</v>
      </c>
      <c r="I61" s="1">
        <f>IF(ISNUMBER(Main_S[[#This Row],[BVPS]]),IF(Main_S[[#This Row],[BVPS]]&lt;&gt;0,Main_S[[#This Row],[Current Price]]/Main_S[[#This Row],[BVPS]],""),"")</f>
        <v>-1.4875</v>
      </c>
      <c r="J61">
        <v>69.260000000000005</v>
      </c>
      <c r="K61">
        <v>-27.02</v>
      </c>
      <c r="L61">
        <v>-1.1399999999999999</v>
      </c>
      <c r="M61" s="1">
        <f>IF(ISNUMBER(Main_S[[#This Row],[EPS]]),IF(Main_S[[#This Row],[EPS]]&lt;&gt;0,Main_S[[#This Row],[Current Price]]/Main_S[[#This Row],[EPS]],""),"")</f>
        <v>-2.4620689655172412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0.76050811171120181</v>
      </c>
      <c r="P61" s="1">
        <f>(Main_S[[#This Row],[P/B]]-VLOOKUP(Main_S[[#This Row],[Industry]], Mean_PB_S, 2, FALSE))/(VLOOKUP(Main_S[[#This Row],[Industry]], Mean_PB_S, 3, FALSE))</f>
        <v>-1.8272197820457992</v>
      </c>
      <c r="Q61" s="1">
        <f>(Main_S[[#This Row],[ROE]]-VLOOKUP(Main_S[[#This Row],[Industry]], Mean_ROE_S, 2, FALSE))/(VLOOKUP(Main_S[[#This Row],[Industry]], Mean_ROE_S, 3, FALSE))</f>
        <v>3.3060007662760915</v>
      </c>
      <c r="R61" s="1">
        <f>(Main_S[[#This Row],[ROA]]-VLOOKUP(Main_S[[#This Row],[Industry]], Mean_ROA_S, 2, FALSE))/(VLOOKUP(Main_S[[#This Row],[Industry]], Mean_ROA_S, 3, FALSE))</f>
        <v>-0.27644302114735153</v>
      </c>
      <c r="S61" s="1">
        <f>(Main_S[[#This Row],[A/E]]-VLOOKUP(Main_S[[#This Row],[Industry]], Mean_AE_S, 2, FALSE))/(VLOOKUP(Main_S[[#This Row],[Industry]], Mean_AE_S, 3, FALSE))</f>
        <v>-5.8011403281087386</v>
      </c>
      <c r="T61" s="1">
        <f>(Main_S[[#This Row],[P/E]]-VLOOKUP(Main_S[[#This Row],[Industry]], Mean_PE_S, 2, FALSE))/(VLOOKUP(Main_S[[#This Row],[Industry]], Mean_PE_S, 3, FALSE))</f>
        <v>0.73189103895597929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s="67" t="s">
        <v>152</v>
      </c>
      <c r="B62" s="67" t="s">
        <v>389</v>
      </c>
      <c r="C62" s="2">
        <v>319</v>
      </c>
      <c r="D62">
        <f>RTD("tos.rtd", , "LAST", Main_S[[#This Row],[Symbol]])</f>
        <v>6.54</v>
      </c>
      <c r="E62">
        <v>-1.35</v>
      </c>
      <c r="F62">
        <v>0.85</v>
      </c>
      <c r="G62">
        <v>-0.95</v>
      </c>
      <c r="H62" s="1">
        <f>IF(ISNUMBER(Main_S[[#This Row],[Free CF]]),IF(Main_S[[#This Row],[Free CF]]&lt;&gt;0,Main_S[[#This Row],[Current Price]]/Main_S[[#This Row],[Free CF]],""),"")</f>
        <v>-4.8444444444444441</v>
      </c>
      <c r="I62" s="1">
        <f>IF(ISNUMBER(Main_S[[#This Row],[BVPS]]),IF(Main_S[[#This Row],[BVPS]]&lt;&gt;0,Main_S[[#This Row],[Current Price]]/Main_S[[#This Row],[BVPS]],""),"")</f>
        <v>7.6941176470588237</v>
      </c>
      <c r="J62">
        <v>-271.77999999999997</v>
      </c>
      <c r="K62">
        <v>-49.95</v>
      </c>
      <c r="L62">
        <v>2.4</v>
      </c>
      <c r="M62" s="1">
        <f>IF(ISNUMBER(Main_S[[#This Row],[EPS]]),IF(Main_S[[#This Row],[EPS]]&lt;&gt;0,Main_S[[#This Row],[Current Price]]/Main_S[[#This Row],[EPS]],""),"")</f>
        <v>-6.8842105263157896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0.14002144616799614</v>
      </c>
      <c r="P62" s="1">
        <f>(Main_S[[#This Row],[P/B]]-VLOOKUP(Main_S[[#This Row],[Industry]], Mean_PB_S, 2, FALSE))/(VLOOKUP(Main_S[[#This Row],[Industry]], Mean_PB_S, 3, FALSE))</f>
        <v>1.7190015078029186</v>
      </c>
      <c r="Q62" s="1">
        <f>(Main_S[[#This Row],[ROE]]-VLOOKUP(Main_S[[#This Row],[Industry]], Mean_ROE_S, 2, FALSE))/(VLOOKUP(Main_S[[#This Row],[Industry]], Mean_ROE_S, 3, FALSE))</f>
        <v>-6.460546407379808</v>
      </c>
      <c r="R62" s="1">
        <f>(Main_S[[#This Row],[ROA]]-VLOOKUP(Main_S[[#This Row],[Industry]], Mean_ROA_S, 2, FALSE))/(VLOOKUP(Main_S[[#This Row],[Industry]], Mean_ROA_S, 3, FALSE))</f>
        <v>-1.6955686018330567</v>
      </c>
      <c r="S62" s="1">
        <f>(Main_S[[#This Row],[A/E]]-VLOOKUP(Main_S[[#This Row],[Industry]], Mean_AE_S, 2, FALSE))/(VLOOKUP(Main_S[[#This Row],[Industry]], Mean_AE_S, 3, FALSE))</f>
        <v>2.1933147889727858</v>
      </c>
      <c r="T62" s="1">
        <f>(Main_S[[#This Row],[P/E]]-VLOOKUP(Main_S[[#This Row],[Industry]], Mean_PE_S, 2, FALSE))/(VLOOKUP(Main_S[[#This Row],[Industry]], Mean_PE_S, 3, FALSE))</f>
        <v>-0.66064627727996972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7" t="s">
        <v>152</v>
      </c>
      <c r="B63" s="67" t="s">
        <v>481</v>
      </c>
      <c r="C63" s="2">
        <v>288</v>
      </c>
      <c r="D63">
        <f>RTD("tos.rtd", , "LAST", Main_S[[#This Row],[Symbol]])</f>
        <v>8.11</v>
      </c>
      <c r="E63">
        <v>-1.48</v>
      </c>
      <c r="F63">
        <v>11.84</v>
      </c>
      <c r="G63">
        <v>0.61</v>
      </c>
      <c r="H63" s="1">
        <f>IF(ISNUMBER(Main_S[[#This Row],[Free CF]]),IF(Main_S[[#This Row],[Free CF]]&lt;&gt;0,Main_S[[#This Row],[Current Price]]/Main_S[[#This Row],[Free CF]],""),"")</f>
        <v>-5.4797297297297298</v>
      </c>
      <c r="I63" s="1">
        <f>IF(ISNUMBER(Main_S[[#This Row],[BVPS]]),IF(Main_S[[#This Row],[BVPS]]&lt;&gt;0,Main_S[[#This Row],[Current Price]]/Main_S[[#This Row],[BVPS]],""),"")</f>
        <v>0.68496621621621623</v>
      </c>
      <c r="J63">
        <v>7.22</v>
      </c>
      <c r="K63">
        <v>0.51</v>
      </c>
      <c r="L63">
        <v>1.17</v>
      </c>
      <c r="M63" s="1">
        <f>IF(ISNUMBER(Main_S[[#This Row],[EPS]]),IF(Main_S[[#This Row],[EPS]]&lt;&gt;0,Main_S[[#This Row],[Current Price]]/Main_S[[#This Row],[EPS]],""),"")</f>
        <v>13.295081967213115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-4.4186336627367429E-2</v>
      </c>
      <c r="P63" s="1">
        <f>(Main_S[[#This Row],[P/B]]-VLOOKUP(Main_S[[#This Row],[Industry]], Mean_PB_S, 2, FALSE))/(VLOOKUP(Main_S[[#This Row],[Industry]], Mean_PB_S, 3, FALSE))</f>
        <v>-0.98814694721795227</v>
      </c>
      <c r="Q63" s="1">
        <f>(Main_S[[#This Row],[ROE]]-VLOOKUP(Main_S[[#This Row],[Industry]], Mean_ROE_S, 2, FALSE))/(VLOOKUP(Main_S[[#This Row],[Industry]], Mean_ROE_S, 3, FALSE))</f>
        <v>1.529327687887597</v>
      </c>
      <c r="R63" s="1">
        <f>(Main_S[[#This Row],[ROA]]-VLOOKUP(Main_S[[#This Row],[Industry]], Mean_ROA_S, 2, FALSE))/(VLOOKUP(Main_S[[#This Row],[Industry]], Mean_ROA_S, 3, FALSE))</f>
        <v>1.4273741282760004</v>
      </c>
      <c r="S63" s="1">
        <f>(Main_S[[#This Row],[A/E]]-VLOOKUP(Main_S[[#This Row],[Industry]], Mean_AE_S, 2, FALSE))/(VLOOKUP(Main_S[[#This Row],[Industry]], Mean_AE_S, 3, FALSE))</f>
        <v>-0.58441961611486271</v>
      </c>
      <c r="T63" s="1">
        <f>(Main_S[[#This Row],[P/E]]-VLOOKUP(Main_S[[#This Row],[Industry]], Mean_PE_S, 2, FALSE))/(VLOOKUP(Main_S[[#This Row],[Industry]], Mean_PE_S, 3, FALSE))</f>
        <v>5.6938354655895669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4" spans="1:26" x14ac:dyDescent="0.25">
      <c r="A64" s="67" t="s">
        <v>152</v>
      </c>
      <c r="B64" s="67" t="s">
        <v>449</v>
      </c>
      <c r="C64" s="2">
        <v>411</v>
      </c>
      <c r="D64">
        <f>RTD("tos.rtd", , "LAST", Main_S[[#This Row],[Symbol]])</f>
        <v>6.32</v>
      </c>
      <c r="E64">
        <v>-1.49</v>
      </c>
      <c r="F64">
        <v>0.42</v>
      </c>
      <c r="G64">
        <v>-2.27</v>
      </c>
      <c r="H64" s="1">
        <f>IF(ISNUMBER(Main_S[[#This Row],[Free CF]]),IF(Main_S[[#This Row],[Free CF]]&lt;&gt;0,Main_S[[#This Row],[Current Price]]/Main_S[[#This Row],[Free CF]],""),"")</f>
        <v>-4.2416107382550337</v>
      </c>
      <c r="I64" s="1">
        <f>IF(ISNUMBER(Main_S[[#This Row],[BVPS]]),IF(Main_S[[#This Row],[BVPS]]&lt;&gt;0,Main_S[[#This Row],[Current Price]]/Main_S[[#This Row],[BVPS]],""),"")</f>
        <v>15.047619047619049</v>
      </c>
      <c r="J64">
        <v>-216.14</v>
      </c>
      <c r="K64">
        <v>-37.28</v>
      </c>
      <c r="L64">
        <v>6.77</v>
      </c>
      <c r="M64" s="1">
        <f>IF(ISNUMBER(Main_S[[#This Row],[EPS]]),IF(Main_S[[#This Row],[EPS]]&lt;&gt;0,Main_S[[#This Row],[Current Price]]/Main_S[[#This Row],[EPS]],""),"")</f>
        <v>-2.7841409691629959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0.31481954551574909</v>
      </c>
      <c r="P64" s="1">
        <f>(Main_S[[#This Row],[P/B]]-VLOOKUP(Main_S[[#This Row],[Industry]], Mean_PB_S, 2, FALSE))/(VLOOKUP(Main_S[[#This Row],[Industry]], Mean_PB_S, 3, FALSE))</f>
        <v>4.5591484431256299</v>
      </c>
      <c r="Q64" s="1">
        <f>(Main_S[[#This Row],[ROE]]-VLOOKUP(Main_S[[#This Row],[Industry]], Mean_ROE_S, 2, FALSE))/(VLOOKUP(Main_S[[#This Row],[Industry]], Mean_ROE_S, 3, FALSE))</f>
        <v>-4.8671535949759424</v>
      </c>
      <c r="R64" s="1">
        <f>(Main_S[[#This Row],[ROA]]-VLOOKUP(Main_S[[#This Row],[Industry]], Mean_ROA_S, 2, FALSE))/(VLOOKUP(Main_S[[#This Row],[Industry]], Mean_ROA_S, 3, FALSE))</f>
        <v>-0.91142899837523361</v>
      </c>
      <c r="S64" s="1">
        <f>(Main_S[[#This Row],[A/E]]-VLOOKUP(Main_S[[#This Row],[Industry]], Mean_AE_S, 2, FALSE))/(VLOOKUP(Main_S[[#This Row],[Industry]], Mean_AE_S, 3, FALSE))</f>
        <v>12.062176049324837</v>
      </c>
      <c r="T64" s="1">
        <f>(Main_S[[#This Row],[P/E]]-VLOOKUP(Main_S[[#This Row],[Industry]], Mean_PE_S, 2, FALSE))/(VLOOKUP(Main_S[[#This Row],[Industry]], Mean_PE_S, 3, FALSE))</f>
        <v>0.63047020531115927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7" t="s">
        <v>152</v>
      </c>
      <c r="B65" s="67" t="s">
        <v>591</v>
      </c>
      <c r="C65" s="2">
        <v>276</v>
      </c>
      <c r="D65">
        <f>RTD("tos.rtd", , "LAST", Main_S[[#This Row],[Symbol]])</f>
        <v>5.31</v>
      </c>
      <c r="E65">
        <v>-1.51</v>
      </c>
      <c r="F65">
        <v>2.39</v>
      </c>
      <c r="G65">
        <v>-1.52</v>
      </c>
      <c r="H65" s="1">
        <f>IF(ISNUMBER(Main_S[[#This Row],[Free CF]]),IF(Main_S[[#This Row],[Free CF]]&lt;&gt;0,Main_S[[#This Row],[Current Price]]/Main_S[[#This Row],[Free CF]],""),"")</f>
        <v>-3.516556291390728</v>
      </c>
      <c r="I65" s="1">
        <f>IF(ISNUMBER(Main_S[[#This Row],[BVPS]]),IF(Main_S[[#This Row],[BVPS]]&lt;&gt;0,Main_S[[#This Row],[Current Price]]/Main_S[[#This Row],[BVPS]],""),"")</f>
        <v>2.2217573221757321</v>
      </c>
      <c r="J65">
        <v>-53.14</v>
      </c>
      <c r="K65">
        <v>-20.96</v>
      </c>
      <c r="L65">
        <v>1.64</v>
      </c>
      <c r="M65" s="1">
        <f>IF(ISNUMBER(Main_S[[#This Row],[EPS]]),IF(Main_S[[#This Row],[EPS]]&lt;&gt;0,Main_S[[#This Row],[Current Price]]/Main_S[[#This Row],[EPS]],""),"")</f>
        <v>-3.4934210526315788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0.52505685961128146</v>
      </c>
      <c r="P65" s="1">
        <f>(Main_S[[#This Row],[P/B]]-VLOOKUP(Main_S[[#This Row],[Industry]], Mean_PB_S, 2, FALSE))/(VLOOKUP(Main_S[[#This Row],[Industry]], Mean_PB_S, 3, FALSE))</f>
        <v>-0.39459126373231462</v>
      </c>
      <c r="Q65" s="1">
        <f>(Main_S[[#This Row],[ROE]]-VLOOKUP(Main_S[[#This Row],[Industry]], Mean_ROE_S, 2, FALSE))/(VLOOKUP(Main_S[[#This Row],[Industry]], Mean_ROE_S, 3, FALSE))</f>
        <v>-0.19923432067993191</v>
      </c>
      <c r="R65" s="1">
        <f>(Main_S[[#This Row],[ROA]]-VLOOKUP(Main_S[[#This Row],[Industry]], Mean_ROA_S, 2, FALSE))/(VLOOKUP(Main_S[[#This Row],[Industry]], Mean_ROA_S, 3, FALSE))</f>
        <v>9.8607175928765792E-2</v>
      </c>
      <c r="S65" s="1">
        <f>(Main_S[[#This Row],[A/E]]-VLOOKUP(Main_S[[#This Row],[Industry]], Mean_AE_S, 2, FALSE))/(VLOOKUP(Main_S[[#This Row],[Industry]], Mean_AE_S, 3, FALSE))</f>
        <v>0.47699109152025493</v>
      </c>
      <c r="T65" s="1">
        <f>(Main_S[[#This Row],[P/E]]-VLOOKUP(Main_S[[#This Row],[Industry]], Mean_PE_S, 2, FALSE))/(VLOOKUP(Main_S[[#This Row],[Industry]], Mean_PE_S, 3, FALSE))</f>
        <v>0.40711711488802232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7" t="s">
        <v>152</v>
      </c>
      <c r="B66" s="67" t="s">
        <v>592</v>
      </c>
      <c r="C66" s="2">
        <v>256</v>
      </c>
      <c r="D66">
        <f>RTD("tos.rtd", , "LAST", Main_S[[#This Row],[Symbol]])</f>
        <v>3.98</v>
      </c>
      <c r="E66">
        <v>-1.52</v>
      </c>
      <c r="F66">
        <v>0.49</v>
      </c>
      <c r="G66">
        <v>-1.68</v>
      </c>
      <c r="H66" s="1">
        <f>IF(ISNUMBER(Main_S[[#This Row],[Free CF]]),IF(Main_S[[#This Row],[Free CF]]&lt;&gt;0,Main_S[[#This Row],[Current Price]]/Main_S[[#This Row],[Free CF]],""),"")</f>
        <v>-2.6184210526315788</v>
      </c>
      <c r="I66" s="1">
        <f>IF(ISNUMBER(Main_S[[#This Row],[BVPS]]),IF(Main_S[[#This Row],[BVPS]]&lt;&gt;0,Main_S[[#This Row],[Current Price]]/Main_S[[#This Row],[BVPS]],""),"")</f>
        <v>8.1224489795918373</v>
      </c>
      <c r="J66">
        <v>-141.69</v>
      </c>
      <c r="K66">
        <v>-48.45</v>
      </c>
      <c r="L66">
        <v>2.99</v>
      </c>
      <c r="M66" s="1">
        <f>IF(ISNUMBER(Main_S[[#This Row],[EPS]]),IF(Main_S[[#This Row],[EPS]]&lt;&gt;0,Main_S[[#This Row],[Current Price]]/Main_S[[#This Row],[EPS]],""),"")</f>
        <v>-2.3690476190476191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0.78548080585129576</v>
      </c>
      <c r="P66" s="1">
        <f>(Main_S[[#This Row],[P/B]]-VLOOKUP(Main_S[[#This Row],[Industry]], Mean_PB_S, 2, FALSE))/(VLOOKUP(Main_S[[#This Row],[Industry]], Mean_PB_S, 3, FALSE))</f>
        <v>1.8844361565681518</v>
      </c>
      <c r="Q66" s="1">
        <f>(Main_S[[#This Row],[ROE]]-VLOOKUP(Main_S[[#This Row],[Industry]], Mean_ROE_S, 2, FALSE))/(VLOOKUP(Main_S[[#This Row],[Industry]], Mean_ROE_S, 3, FALSE))</f>
        <v>-2.7350886258266298</v>
      </c>
      <c r="R66" s="1">
        <f>(Main_S[[#This Row],[ROA]]-VLOOKUP(Main_S[[#This Row],[Industry]], Mean_ROA_S, 2, FALSE))/(VLOOKUP(Main_S[[#This Row],[Industry]], Mean_ROA_S, 3, FALSE))</f>
        <v>-1.602734394635998</v>
      </c>
      <c r="S66" s="1">
        <f>(Main_S[[#This Row],[A/E]]-VLOOKUP(Main_S[[#This Row],[Industry]], Mean_AE_S, 2, FALSE))/(VLOOKUP(Main_S[[#This Row],[Industry]], Mean_AE_S, 3, FALSE))</f>
        <v>3.5257239751530407</v>
      </c>
      <c r="T66" s="1">
        <f>(Main_S[[#This Row],[P/E]]-VLOOKUP(Main_S[[#This Row],[Industry]], Mean_PE_S, 2, FALSE))/(VLOOKUP(Main_S[[#This Row],[Industry]], Mean_PE_S, 3, FALSE))</f>
        <v>0.76118356484745486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7" t="s">
        <v>152</v>
      </c>
      <c r="B67" s="67" t="s">
        <v>495</v>
      </c>
      <c r="C67" s="2">
        <v>296</v>
      </c>
      <c r="D67">
        <f>RTD("tos.rtd", , "LAST", Main_S[[#This Row],[Symbol]])</f>
        <v>25.28</v>
      </c>
      <c r="E67">
        <v>-1.57</v>
      </c>
      <c r="F67">
        <v>7.08</v>
      </c>
      <c r="G67">
        <v>-0.73</v>
      </c>
      <c r="H67" s="1">
        <f>IF(ISNUMBER(Main_S[[#This Row],[Free CF]]),IF(Main_S[[#This Row],[Free CF]]&lt;&gt;0,Main_S[[#This Row],[Current Price]]/Main_S[[#This Row],[Free CF]],""),"")</f>
        <v>-16.101910828025478</v>
      </c>
      <c r="I67" s="1">
        <f>IF(ISNUMBER(Main_S[[#This Row],[BVPS]]),IF(Main_S[[#This Row],[BVPS]]&lt;&gt;0,Main_S[[#This Row],[Current Price]]/Main_S[[#This Row],[BVPS]],""),"")</f>
        <v>3.5706214689265536</v>
      </c>
      <c r="J67">
        <v>-3.42</v>
      </c>
      <c r="K67">
        <v>-6.78</v>
      </c>
      <c r="L67">
        <v>2.52</v>
      </c>
      <c r="M67" s="1">
        <f>IF(ISNUMBER(Main_S[[#This Row],[EPS]]),IF(Main_S[[#This Row],[EPS]]&lt;&gt;0,Main_S[[#This Row],[Current Price]]/Main_S[[#This Row],[EPS]],""),"")</f>
        <v>-34.630136986301373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-3.1242016838885518</v>
      </c>
      <c r="P67" s="1">
        <f>(Main_S[[#This Row],[P/B]]-VLOOKUP(Main_S[[#This Row],[Industry]], Mean_PB_S, 2, FALSE))/(VLOOKUP(Main_S[[#This Row],[Industry]], Mean_PB_S, 3, FALSE))</f>
        <v>0.12638128578935501</v>
      </c>
      <c r="Q67" s="1">
        <f>(Main_S[[#This Row],[ROE]]-VLOOKUP(Main_S[[#This Row],[Industry]], Mean_ROE_S, 2, FALSE))/(VLOOKUP(Main_S[[#This Row],[Industry]], Mean_ROE_S, 3, FALSE))</f>
        <v>1.224624245688152</v>
      </c>
      <c r="R67" s="1">
        <f>(Main_S[[#This Row],[ROA]]-VLOOKUP(Main_S[[#This Row],[Industry]], Mean_ROA_S, 2, FALSE))/(VLOOKUP(Main_S[[#This Row],[Industry]], Mean_ROA_S, 3, FALSE))</f>
        <v>0.9761998812982946</v>
      </c>
      <c r="S67" s="1">
        <f>(Main_S[[#This Row],[A/E]]-VLOOKUP(Main_S[[#This Row],[Industry]], Mean_AE_S, 2, FALSE))/(VLOOKUP(Main_S[[#This Row],[Industry]], Mean_AE_S, 3, FALSE))</f>
        <v>2.4643132675179227</v>
      </c>
      <c r="T67" s="1">
        <f>(Main_S[[#This Row],[P/E]]-VLOOKUP(Main_S[[#This Row],[Industry]], Mean_PE_S, 2, FALSE))/(VLOOKUP(Main_S[[#This Row],[Industry]], Mean_PE_S, 3, FALSE))</f>
        <v>-9.3978695067622997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s="67" t="s">
        <v>152</v>
      </c>
      <c r="B68" s="67" t="s">
        <v>593</v>
      </c>
      <c r="C68" s="2">
        <v>363</v>
      </c>
      <c r="D68">
        <f>RTD("tos.rtd", , "LAST", Main_S[[#This Row],[Symbol]])</f>
        <v>6.29</v>
      </c>
      <c r="E68">
        <v>-1.61</v>
      </c>
      <c r="F68">
        <v>2.5499999999999998</v>
      </c>
      <c r="G68">
        <v>-1.9</v>
      </c>
      <c r="H68" s="1">
        <f>IF(ISNUMBER(Main_S[[#This Row],[Free CF]]),IF(Main_S[[#This Row],[Free CF]]&lt;&gt;0,Main_S[[#This Row],[Current Price]]/Main_S[[#This Row],[Free CF]],""),"")</f>
        <v>-3.9068322981366457</v>
      </c>
      <c r="I68" s="1">
        <f>IF(ISNUMBER(Main_S[[#This Row],[BVPS]]),IF(Main_S[[#This Row],[BVPS]]&lt;&gt;0,Main_S[[#This Row],[Current Price]]/Main_S[[#This Row],[BVPS]],""),"")</f>
        <v>2.4666666666666668</v>
      </c>
      <c r="J68">
        <v>-56.24</v>
      </c>
      <c r="K68">
        <v>-32.92</v>
      </c>
      <c r="L68">
        <v>1.21</v>
      </c>
      <c r="M68" s="1">
        <f>IF(ISNUMBER(Main_S[[#This Row],[EPS]]),IF(Main_S[[#This Row],[EPS]]&lt;&gt;0,Main_S[[#This Row],[Current Price]]/Main_S[[#This Row],[EPS]],""),"")</f>
        <v>-3.310526315789474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0.41189214519701706</v>
      </c>
      <c r="P68" s="1">
        <f>(Main_S[[#This Row],[P/B]]-VLOOKUP(Main_S[[#This Row],[Industry]], Mean_PB_S, 2, FALSE))/(VLOOKUP(Main_S[[#This Row],[Industry]], Mean_PB_S, 3, FALSE))</f>
        <v>-0.29999979141209049</v>
      </c>
      <c r="Q68" s="1">
        <f>(Main_S[[#This Row],[ROE]]-VLOOKUP(Main_S[[#This Row],[Industry]], Mean_ROE_S, 2, FALSE))/(VLOOKUP(Main_S[[#This Row],[Industry]], Mean_ROE_S, 3, FALSE))</f>
        <v>-0.28801069951623648</v>
      </c>
      <c r="R68" s="1">
        <f>(Main_S[[#This Row],[ROA]]-VLOOKUP(Main_S[[#This Row],[Industry]], Mean_ROA_S, 2, FALSE))/(VLOOKUP(Main_S[[#This Row],[Industry]], Mean_ROA_S, 3, FALSE))</f>
        <v>-0.64159090278911612</v>
      </c>
      <c r="S68" s="1">
        <f>(Main_S[[#This Row],[A/E]]-VLOOKUP(Main_S[[#This Row],[Industry]], Mean_AE_S, 2, FALSE))/(VLOOKUP(Main_S[[#This Row],[Industry]], Mean_AE_S, 3, FALSE))</f>
        <v>-0.49408678993315053</v>
      </c>
      <c r="T68" s="1">
        <f>(Main_S[[#This Row],[P/E]]-VLOOKUP(Main_S[[#This Row],[Industry]], Mean_PE_S, 2, FALSE))/(VLOOKUP(Main_S[[#This Row],[Industry]], Mean_PE_S, 3, FALSE))</f>
        <v>0.46471087178028092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7" t="s">
        <v>152</v>
      </c>
      <c r="B69" s="67" t="s">
        <v>459</v>
      </c>
      <c r="C69" s="2">
        <v>581</v>
      </c>
      <c r="D69">
        <f>RTD("tos.rtd", , "LAST", Main_S[[#This Row],[Symbol]])</f>
        <v>9.86</v>
      </c>
      <c r="E69">
        <v>-1.65</v>
      </c>
      <c r="F69">
        <v>3.09</v>
      </c>
      <c r="G69">
        <v>-1.88</v>
      </c>
      <c r="H69" s="1">
        <f>IF(ISNUMBER(Main_S[[#This Row],[Free CF]]),IF(Main_S[[#This Row],[Free CF]]&lt;&gt;0,Main_S[[#This Row],[Current Price]]/Main_S[[#This Row],[Free CF]],""),"")</f>
        <v>-5.9757575757575756</v>
      </c>
      <c r="I69" s="1">
        <f>IF(ISNUMBER(Main_S[[#This Row],[BVPS]]),IF(Main_S[[#This Row],[BVPS]]&lt;&gt;0,Main_S[[#This Row],[Current Price]]/Main_S[[#This Row],[BVPS]],""),"")</f>
        <v>3.1909385113268609</v>
      </c>
      <c r="J69">
        <v>-48.45</v>
      </c>
      <c r="K69">
        <v>-30.87</v>
      </c>
      <c r="L69">
        <v>1.1100000000000001</v>
      </c>
      <c r="M69" s="1">
        <f>IF(ISNUMBER(Main_S[[#This Row],[EPS]]),IF(Main_S[[#This Row],[EPS]]&lt;&gt;0,Main_S[[#This Row],[Current Price]]/Main_S[[#This Row],[EPS]],""),"")</f>
        <v>-5.2446808510638299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-0.18801493117842369</v>
      </c>
      <c r="P69" s="1">
        <f>(Main_S[[#This Row],[P/B]]-VLOOKUP(Main_S[[#This Row],[Industry]], Mean_PB_S, 2, FALSE))/(VLOOKUP(Main_S[[#This Row],[Industry]], Mean_PB_S, 3, FALSE))</f>
        <v>-2.0263874071344248E-2</v>
      </c>
      <c r="Q69" s="1">
        <f>(Main_S[[#This Row],[ROE]]-VLOOKUP(Main_S[[#This Row],[Industry]], Mean_ROE_S, 2, FALSE))/(VLOOKUP(Main_S[[#This Row],[Industry]], Mean_ROE_S, 3, FALSE))</f>
        <v>-6.4924250763071303E-2</v>
      </c>
      <c r="R69" s="1">
        <f>(Main_S[[#This Row],[ROA]]-VLOOKUP(Main_S[[#This Row],[Industry]], Mean_ROA_S, 2, FALSE))/(VLOOKUP(Main_S[[#This Row],[Industry]], Mean_ROA_S, 3, FALSE))</f>
        <v>-0.51471748628646918</v>
      </c>
      <c r="S69" s="1">
        <f>(Main_S[[#This Row],[A/E]]-VLOOKUP(Main_S[[#This Row],[Industry]], Mean_AE_S, 2, FALSE))/(VLOOKUP(Main_S[[#This Row],[Industry]], Mean_AE_S, 3, FALSE))</f>
        <v>-0.71991885538743061</v>
      </c>
      <c r="T69" s="1">
        <f>(Main_S[[#This Row],[P/E]]-VLOOKUP(Main_S[[#This Row],[Industry]], Mean_PE_S, 2, FALSE))/(VLOOKUP(Main_S[[#This Row],[Industry]], Mean_PE_S, 3, FALSE))</f>
        <v>-0.14435655148198359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7" t="s">
        <v>152</v>
      </c>
      <c r="B70" s="67" t="s">
        <v>439</v>
      </c>
      <c r="C70" s="2">
        <v>655</v>
      </c>
      <c r="D70">
        <f>RTD("tos.rtd", , "LAST", Main_S[[#This Row],[Symbol]])</f>
        <v>6</v>
      </c>
      <c r="E70">
        <v>-1.65</v>
      </c>
      <c r="F70">
        <v>4.78</v>
      </c>
      <c r="G70">
        <v>-0.22</v>
      </c>
      <c r="H70" s="1">
        <f>IF(ISNUMBER(Main_S[[#This Row],[Free CF]]),IF(Main_S[[#This Row],[Free CF]]&lt;&gt;0,Main_S[[#This Row],[Current Price]]/Main_S[[#This Row],[Free CF]],""),"")</f>
        <v>-3.6363636363636367</v>
      </c>
      <c r="I70" s="1">
        <f>IF(ISNUMBER(Main_S[[#This Row],[BVPS]]),IF(Main_S[[#This Row],[BVPS]]&lt;&gt;0,Main_S[[#This Row],[Current Price]]/Main_S[[#This Row],[BVPS]],""),"")</f>
        <v>1.2552301255230125</v>
      </c>
      <c r="J70">
        <v>-4.78</v>
      </c>
      <c r="K70">
        <v>-5.84</v>
      </c>
      <c r="L70">
        <v>1.2</v>
      </c>
      <c r="M70" s="1">
        <f>IF(ISNUMBER(Main_S[[#This Row],[EPS]]),IF(Main_S[[#This Row],[EPS]]&lt;&gt;0,Main_S[[#This Row],[Current Price]]/Main_S[[#This Row],[EPS]],""),"")</f>
        <v>-27.272727272727273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0.49031743483435136</v>
      </c>
      <c r="P70" s="1">
        <f>(Main_S[[#This Row],[P/B]]-VLOOKUP(Main_S[[#This Row],[Industry]], Mean_PB_S, 2, FALSE))/(VLOOKUP(Main_S[[#This Row],[Industry]], Mean_PB_S, 3, FALSE))</f>
        <v>-0.76789360039470234</v>
      </c>
      <c r="Q70" s="1">
        <f>(Main_S[[#This Row],[ROE]]-VLOOKUP(Main_S[[#This Row],[Industry]], Mean_ROE_S, 2, FALSE))/(VLOOKUP(Main_S[[#This Row],[Industry]], Mean_ROE_S, 3, FALSE))</f>
        <v>1.1856771891664184</v>
      </c>
      <c r="R70" s="1">
        <f>(Main_S[[#This Row],[ROA]]-VLOOKUP(Main_S[[#This Row],[Industry]], Mean_ROA_S, 2, FALSE))/(VLOOKUP(Main_S[[#This Row],[Industry]], Mean_ROA_S, 3, FALSE))</f>
        <v>1.0343759844751181</v>
      </c>
      <c r="S70" s="1">
        <f>(Main_S[[#This Row],[A/E]]-VLOOKUP(Main_S[[#This Row],[Industry]], Mean_AE_S, 2, FALSE))/(VLOOKUP(Main_S[[#This Row],[Industry]], Mean_AE_S, 3, FALSE))</f>
        <v>-0.51666999647857859</v>
      </c>
      <c r="T70" s="1">
        <f>(Main_S[[#This Row],[P/E]]-VLOOKUP(Main_S[[#This Row],[Industry]], Mean_PE_S, 2, FALSE))/(VLOOKUP(Main_S[[#This Row],[Industry]], Mean_PE_S, 3, FALSE))</f>
        <v>-7.0810129710482652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1" spans="1:26" x14ac:dyDescent="0.25">
      <c r="A71" s="67" t="s">
        <v>152</v>
      </c>
      <c r="B71" s="67" t="s">
        <v>594</v>
      </c>
      <c r="C71" s="2">
        <v>269</v>
      </c>
      <c r="D71">
        <f>RTD("tos.rtd", , "LAST", Main_S[[#This Row],[Symbol]])</f>
        <v>5.79</v>
      </c>
      <c r="E71">
        <v>-1.67</v>
      </c>
      <c r="F71">
        <v>3.44</v>
      </c>
      <c r="G71">
        <v>-1.88</v>
      </c>
      <c r="H71" s="1">
        <f>IF(ISNUMBER(Main_S[[#This Row],[Free CF]]),IF(Main_S[[#This Row],[Free CF]]&lt;&gt;0,Main_S[[#This Row],[Current Price]]/Main_S[[#This Row],[Free CF]],""),"")</f>
        <v>-3.4670658682634734</v>
      </c>
      <c r="I71" s="1">
        <f>IF(ISNUMBER(Main_S[[#This Row],[BVPS]]),IF(Main_S[[#This Row],[BVPS]]&lt;&gt;0,Main_S[[#This Row],[Current Price]]/Main_S[[#This Row],[BVPS]],""),"")</f>
        <v>1.683139534883721</v>
      </c>
      <c r="J71">
        <v>-32.89</v>
      </c>
      <c r="K71">
        <v>-22.56</v>
      </c>
      <c r="L71">
        <v>1.6</v>
      </c>
      <c r="M71" s="1">
        <f>IF(ISNUMBER(Main_S[[#This Row],[EPS]]),IF(Main_S[[#This Row],[EPS]]&lt;&gt;0,Main_S[[#This Row],[Current Price]]/Main_S[[#This Row],[EPS]],""),"")</f>
        <v>-3.0797872340425534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0.5394071386513225</v>
      </c>
      <c r="P71" s="1">
        <f>(Main_S[[#This Row],[P/B]]-VLOOKUP(Main_S[[#This Row],[Industry]], Mean_PB_S, 2, FALSE))/(VLOOKUP(Main_S[[#This Row],[Industry]], Mean_PB_S, 3, FALSE))</f>
        <v>-0.60262191125094577</v>
      </c>
      <c r="Q71" s="1">
        <f>(Main_S[[#This Row],[ROE]]-VLOOKUP(Main_S[[#This Row],[Industry]], Mean_ROE_S, 2, FALSE))/(VLOOKUP(Main_S[[#This Row],[Industry]], Mean_ROE_S, 3, FALSE))</f>
        <v>0.38067589591205719</v>
      </c>
      <c r="R71" s="1">
        <f>(Main_S[[#This Row],[ROA]]-VLOOKUP(Main_S[[#This Row],[Industry]], Mean_ROA_S, 2, FALSE))/(VLOOKUP(Main_S[[#This Row],[Industry]], Mean_ROA_S, 3, FALSE))</f>
        <v>-4.1597841476342592E-4</v>
      </c>
      <c r="S71" s="1">
        <f>(Main_S[[#This Row],[A/E]]-VLOOKUP(Main_S[[#This Row],[Industry]], Mean_AE_S, 2, FALSE))/(VLOOKUP(Main_S[[#This Row],[Industry]], Mean_AE_S, 3, FALSE))</f>
        <v>0.38665826533854319</v>
      </c>
      <c r="T71" s="1">
        <f>(Main_S[[#This Row],[P/E]]-VLOOKUP(Main_S[[#This Row],[Industry]], Mean_PE_S, 2, FALSE))/(VLOOKUP(Main_S[[#This Row],[Industry]], Mean_PE_S, 3, FALSE))</f>
        <v>0.53737086631663444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7" t="s">
        <v>152</v>
      </c>
      <c r="B72" s="67" t="s">
        <v>420</v>
      </c>
      <c r="C72" s="2">
        <v>619</v>
      </c>
      <c r="D72">
        <f>RTD("tos.rtd", , "LAST", Main_S[[#This Row],[Symbol]])</f>
        <v>6.9</v>
      </c>
      <c r="E72">
        <v>-1.68</v>
      </c>
      <c r="F72">
        <v>0.97</v>
      </c>
      <c r="G72">
        <v>-2.04</v>
      </c>
      <c r="H72" s="1">
        <f>IF(ISNUMBER(Main_S[[#This Row],[Free CF]]),IF(Main_S[[#This Row],[Free CF]]&lt;&gt;0,Main_S[[#This Row],[Current Price]]/Main_S[[#This Row],[Free CF]],""),"")</f>
        <v>-4.1071428571428577</v>
      </c>
      <c r="I72" s="1">
        <f>IF(ISNUMBER(Main_S[[#This Row],[BVPS]]),IF(Main_S[[#This Row],[BVPS]]&lt;&gt;0,Main_S[[#This Row],[Current Price]]/Main_S[[#This Row],[BVPS]],""),"")</f>
        <v>7.1134020618556706</v>
      </c>
      <c r="J72">
        <v>-84.04</v>
      </c>
      <c r="K72">
        <v>-47.45</v>
      </c>
      <c r="L72">
        <v>2.56</v>
      </c>
      <c r="M72" s="1">
        <f>IF(ISNUMBER(Main_S[[#This Row],[EPS]]),IF(Main_S[[#This Row],[EPS]]&lt;&gt;0,Main_S[[#This Row],[Current Price]]/Main_S[[#This Row],[EPS]],""),"")</f>
        <v>-3.3823529411764706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0.35380995000109949</v>
      </c>
      <c r="P72" s="1">
        <f>(Main_S[[#This Row],[P/B]]-VLOOKUP(Main_S[[#This Row],[Industry]], Mean_PB_S, 2, FALSE))/(VLOOKUP(Main_S[[#This Row],[Industry]], Mean_PB_S, 3, FALSE))</f>
        <v>1.4947114043858964</v>
      </c>
      <c r="Q72" s="1">
        <f>(Main_S[[#This Row],[ROE]]-VLOOKUP(Main_S[[#This Row],[Industry]], Mean_ROE_S, 2, FALSE))/(VLOOKUP(Main_S[[#This Row],[Industry]], Mean_ROE_S, 3, FALSE))</f>
        <v>-1.0841343548869673</v>
      </c>
      <c r="R72" s="1">
        <f>(Main_S[[#This Row],[ROA]]-VLOOKUP(Main_S[[#This Row],[Industry]], Mean_ROA_S, 2, FALSE))/(VLOOKUP(Main_S[[#This Row],[Industry]], Mean_ROA_S, 3, FALSE))</f>
        <v>-1.5408449231712922</v>
      </c>
      <c r="S72" s="1">
        <f>(Main_S[[#This Row],[A/E]]-VLOOKUP(Main_S[[#This Row],[Industry]], Mean_AE_S, 2, FALSE))/(VLOOKUP(Main_S[[#This Row],[Industry]], Mean_AE_S, 3, FALSE))</f>
        <v>2.5546460936996347</v>
      </c>
      <c r="T72" s="1">
        <f>(Main_S[[#This Row],[P/E]]-VLOOKUP(Main_S[[#This Row],[Industry]], Mean_PE_S, 2, FALSE))/(VLOOKUP(Main_S[[#This Row],[Industry]], Mean_PE_S, 3, FALSE))</f>
        <v>0.44209258722843331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7" t="s">
        <v>152</v>
      </c>
      <c r="B73" s="67" t="s">
        <v>421</v>
      </c>
      <c r="C73" s="2">
        <v>647</v>
      </c>
      <c r="D73">
        <f>RTD("tos.rtd", , "LAST", Main_S[[#This Row],[Symbol]])</f>
        <v>7.08</v>
      </c>
      <c r="E73">
        <v>-1.7</v>
      </c>
      <c r="F73">
        <v>4.7300000000000004</v>
      </c>
      <c r="G73">
        <v>-0.71</v>
      </c>
      <c r="H73" s="1">
        <f>IF(ISNUMBER(Main_S[[#This Row],[Free CF]]),IF(Main_S[[#This Row],[Free CF]]&lt;&gt;0,Main_S[[#This Row],[Current Price]]/Main_S[[#This Row],[Free CF]],""),"")</f>
        <v>-4.1647058823529415</v>
      </c>
      <c r="I73" s="1">
        <f>IF(ISNUMBER(Main_S[[#This Row],[BVPS]]),IF(Main_S[[#This Row],[BVPS]]&lt;&gt;0,Main_S[[#This Row],[Current Price]]/Main_S[[#This Row],[BVPS]],""),"")</f>
        <v>1.496828752642706</v>
      </c>
      <c r="J73">
        <v>-17.8</v>
      </c>
      <c r="K73">
        <v>-27.81</v>
      </c>
      <c r="L73">
        <v>1.1100000000000001</v>
      </c>
      <c r="M73" s="1">
        <f>IF(ISNUMBER(Main_S[[#This Row],[EPS]]),IF(Main_S[[#This Row],[EPS]]&lt;&gt;0,Main_S[[#This Row],[Current Price]]/Main_S[[#This Row],[EPS]],""),"")</f>
        <v>-9.9718309859154939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0.33711893339714738</v>
      </c>
      <c r="P73" s="1">
        <f>(Main_S[[#This Row],[P/B]]-VLOOKUP(Main_S[[#This Row],[Industry]], Mean_PB_S, 2, FALSE))/(VLOOKUP(Main_S[[#This Row],[Industry]], Mean_PB_S, 3, FALSE))</f>
        <v>-0.6745808282859086</v>
      </c>
      <c r="Q73" s="1">
        <f>(Main_S[[#This Row],[ROE]]-VLOOKUP(Main_S[[#This Row],[Industry]], Mean_ROE_S, 2, FALSE))/(VLOOKUP(Main_S[[#This Row],[Industry]], Mean_ROE_S, 3, FALSE))</f>
        <v>0.81281639805393946</v>
      </c>
      <c r="R73" s="1">
        <f>(Main_S[[#This Row],[ROA]]-VLOOKUP(Main_S[[#This Row],[Industry]], Mean_ROA_S, 2, FALSE))/(VLOOKUP(Main_S[[#This Row],[Industry]], Mean_ROA_S, 3, FALSE))</f>
        <v>-0.32533570360446912</v>
      </c>
      <c r="S73" s="1">
        <f>(Main_S[[#This Row],[A/E]]-VLOOKUP(Main_S[[#This Row],[Industry]], Mean_AE_S, 2, FALSE))/(VLOOKUP(Main_S[[#This Row],[Industry]], Mean_AE_S, 3, FALSE))</f>
        <v>-0.71991885538743061</v>
      </c>
      <c r="T73" s="1">
        <f>(Main_S[[#This Row],[P/E]]-VLOOKUP(Main_S[[#This Row],[Industry]], Mean_PE_S, 2, FALSE))/(VLOOKUP(Main_S[[#This Row],[Industry]], Mean_PE_S, 3, FALSE))</f>
        <v>-1.6329414083272342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7" t="s">
        <v>152</v>
      </c>
      <c r="B74" s="67" t="s">
        <v>489</v>
      </c>
      <c r="C74" s="2">
        <v>397</v>
      </c>
      <c r="D74">
        <f>RTD("tos.rtd", , "LAST", Main_S[[#This Row],[Symbol]])</f>
        <v>6.1</v>
      </c>
      <c r="E74">
        <v>-1.71</v>
      </c>
      <c r="F74">
        <v>5.33</v>
      </c>
      <c r="G74">
        <v>-2.1</v>
      </c>
      <c r="H74" s="1">
        <f>IF(ISNUMBER(Main_S[[#This Row],[Free CF]]),IF(Main_S[[#This Row],[Free CF]]&lt;&gt;0,Main_S[[#This Row],[Current Price]]/Main_S[[#This Row],[Free CF]],""),"")</f>
        <v>-3.5672514619883038</v>
      </c>
      <c r="I74" s="1">
        <f>IF(ISNUMBER(Main_S[[#This Row],[BVPS]]),IF(Main_S[[#This Row],[BVPS]]&lt;&gt;0,Main_S[[#This Row],[Current Price]]/Main_S[[#This Row],[BVPS]],""),"")</f>
        <v>1.1444652908067541</v>
      </c>
      <c r="J74">
        <v>-34.26</v>
      </c>
      <c r="K74">
        <v>-19.350000000000001</v>
      </c>
      <c r="L74">
        <v>1.3</v>
      </c>
      <c r="M74" s="1">
        <f>IF(ISNUMBER(Main_S[[#This Row],[EPS]]),IF(Main_S[[#This Row],[EPS]]&lt;&gt;0,Main_S[[#This Row],[Current Price]]/Main_S[[#This Row],[EPS]],""),"")</f>
        <v>-2.9047619047619047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0.51035725111961217</v>
      </c>
      <c r="P74" s="1">
        <f>(Main_S[[#This Row],[P/B]]-VLOOKUP(Main_S[[#This Row],[Industry]], Mean_PB_S, 2, FALSE))/(VLOOKUP(Main_S[[#This Row],[Industry]], Mean_PB_S, 3, FALSE))</f>
        <v>-0.81067436410502691</v>
      </c>
      <c r="Q74" s="1">
        <f>(Main_S[[#This Row],[ROE]]-VLOOKUP(Main_S[[#This Row],[Industry]], Mean_ROE_S, 2, FALSE))/(VLOOKUP(Main_S[[#This Row],[Industry]], Mean_ROE_S, 3, FALSE))</f>
        <v>0.34144246397472267</v>
      </c>
      <c r="R74" s="1">
        <f>(Main_S[[#This Row],[ROA]]-VLOOKUP(Main_S[[#This Row],[Industry]], Mean_ROA_S, 2, FALSE))/(VLOOKUP(Main_S[[#This Row],[Industry]], Mean_ROA_S, 3, FALSE))</f>
        <v>0.19824922498694217</v>
      </c>
      <c r="S74" s="1">
        <f>(Main_S[[#This Row],[A/E]]-VLOOKUP(Main_S[[#This Row],[Industry]], Mean_AE_S, 2, FALSE))/(VLOOKUP(Main_S[[#This Row],[Industry]], Mean_AE_S, 3, FALSE))</f>
        <v>-0.290837931024298</v>
      </c>
      <c r="T74" s="1">
        <f>(Main_S[[#This Row],[P/E]]-VLOOKUP(Main_S[[#This Row],[Industry]], Mean_PE_S, 2, FALSE))/(VLOOKUP(Main_S[[#This Row],[Industry]], Mean_PE_S, 3, FALSE))</f>
        <v>0.59248653797907103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7" t="s">
        <v>152</v>
      </c>
      <c r="B75" s="67" t="s">
        <v>468</v>
      </c>
      <c r="C75" s="2">
        <v>444</v>
      </c>
      <c r="D75">
        <f>RTD("tos.rtd", , "LAST", Main_S[[#This Row],[Symbol]])</f>
        <v>9.5299999999999994</v>
      </c>
      <c r="E75">
        <v>-1.71</v>
      </c>
      <c r="F75">
        <v>5.47</v>
      </c>
      <c r="G75">
        <v>-3.1</v>
      </c>
      <c r="H75" s="1">
        <f>IF(ISNUMBER(Main_S[[#This Row],[Free CF]]),IF(Main_S[[#This Row],[Free CF]]&lt;&gt;0,Main_S[[#This Row],[Current Price]]/Main_S[[#This Row],[Free CF]],""),"")</f>
        <v>-5.5730994152046778</v>
      </c>
      <c r="I75" s="1">
        <f>IF(ISNUMBER(Main_S[[#This Row],[BVPS]]),IF(Main_S[[#This Row],[BVPS]]&lt;&gt;0,Main_S[[#This Row],[Current Price]]/Main_S[[#This Row],[BVPS]],""),"")</f>
        <v>1.7422303473491774</v>
      </c>
      <c r="J75">
        <v>-47.44</v>
      </c>
      <c r="K75">
        <v>-17.559999999999999</v>
      </c>
      <c r="L75">
        <v>1.79</v>
      </c>
      <c r="M75" s="1">
        <f>IF(ISNUMBER(Main_S[[#This Row],[EPS]]),IF(Main_S[[#This Row],[EPS]]&lt;&gt;0,Main_S[[#This Row],[Current Price]]/Main_S[[#This Row],[EPS]],""),"")</f>
        <v>-3.0741935483870964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-7.1259878451835998E-2</v>
      </c>
      <c r="P75" s="1">
        <f>(Main_S[[#This Row],[P/B]]-VLOOKUP(Main_S[[#This Row],[Industry]], Mean_PB_S, 2, FALSE))/(VLOOKUP(Main_S[[#This Row],[Industry]], Mean_PB_S, 3, FALSE))</f>
        <v>-0.57979923389119048</v>
      </c>
      <c r="Q75" s="1">
        <f>(Main_S[[#This Row],[ROE]]-VLOOKUP(Main_S[[#This Row],[Industry]], Mean_ROE_S, 2, FALSE))/(VLOOKUP(Main_S[[#This Row],[Industry]], Mean_ROE_S, 3, FALSE))</f>
        <v>-3.6000333787371941E-2</v>
      </c>
      <c r="R75" s="1">
        <f>(Main_S[[#This Row],[ROA]]-VLOOKUP(Main_S[[#This Row],[Industry]], Mean_ROA_S, 2, FALSE))/(VLOOKUP(Main_S[[#This Row],[Industry]], Mean_ROA_S, 3, FALSE))</f>
        <v>0.30903137890876581</v>
      </c>
      <c r="S75" s="1">
        <f>(Main_S[[#This Row],[A/E]]-VLOOKUP(Main_S[[#This Row],[Industry]], Mean_AE_S, 2, FALSE))/(VLOOKUP(Main_S[[#This Row],[Industry]], Mean_AE_S, 3, FALSE))</f>
        <v>0.8157391897016758</v>
      </c>
      <c r="T75" s="1">
        <f>(Main_S[[#This Row],[P/E]]-VLOOKUP(Main_S[[#This Row],[Industry]], Mean_PE_S, 2, FALSE))/(VLOOKUP(Main_S[[#This Row],[Industry]], Mean_PE_S, 3, FALSE))</f>
        <v>0.53913232417668333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7" t="s">
        <v>152</v>
      </c>
      <c r="B76" s="67" t="s">
        <v>470</v>
      </c>
      <c r="C76" s="2">
        <v>514</v>
      </c>
      <c r="D76">
        <f>RTD("tos.rtd", , "LAST", Main_S[[#This Row],[Symbol]])</f>
        <v>3.36</v>
      </c>
      <c r="E76">
        <v>-1.79</v>
      </c>
      <c r="F76">
        <v>4.2300000000000004</v>
      </c>
      <c r="G76">
        <v>-2.19</v>
      </c>
      <c r="H76" s="1">
        <f>IF(ISNUMBER(Main_S[[#This Row],[Free CF]]),IF(Main_S[[#This Row],[Free CF]]&lt;&gt;0,Main_S[[#This Row],[Current Price]]/Main_S[[#This Row],[Free CF]],""),"")</f>
        <v>-1.8770949720670389</v>
      </c>
      <c r="I76" s="1">
        <f>IF(ISNUMBER(Main_S[[#This Row],[BVPS]]),IF(Main_S[[#This Row],[BVPS]]&lt;&gt;0,Main_S[[#This Row],[Current Price]]/Main_S[[#This Row],[BVPS]],""),"")</f>
        <v>0.7943262411347517</v>
      </c>
      <c r="J76">
        <v>-45.46</v>
      </c>
      <c r="K76">
        <v>-28.82</v>
      </c>
      <c r="L76">
        <v>1.1100000000000001</v>
      </c>
      <c r="M76" s="1">
        <f>IF(ISNUMBER(Main_S[[#This Row],[EPS]]),IF(Main_S[[#This Row],[EPS]]&lt;&gt;0,Main_S[[#This Row],[Current Price]]/Main_S[[#This Row],[EPS]],""),"")</f>
        <v>-1.5342465753424657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1.0004362546743348</v>
      </c>
      <c r="P76" s="1">
        <f>(Main_S[[#This Row],[P/B]]-VLOOKUP(Main_S[[#This Row],[Industry]], Mean_PB_S, 2, FALSE))/(VLOOKUP(Main_S[[#This Row],[Industry]], Mean_PB_S, 3, FALSE))</f>
        <v>-0.94590876397703649</v>
      </c>
      <c r="Q76" s="1">
        <f>(Main_S[[#This Row],[ROE]]-VLOOKUP(Main_S[[#This Row],[Industry]], Mean_ROE_S, 2, FALSE))/(VLOOKUP(Main_S[[#This Row],[Industry]], Mean_ROE_S, 3, FALSE))</f>
        <v>2.0701998501622458E-2</v>
      </c>
      <c r="R76" s="1">
        <f>(Main_S[[#This Row],[ROA]]-VLOOKUP(Main_S[[#This Row],[Industry]], Mean_ROA_S, 2, FALSE))/(VLOOKUP(Main_S[[#This Row],[Industry]], Mean_ROA_S, 3, FALSE))</f>
        <v>-0.38784406978382213</v>
      </c>
      <c r="S76" s="1">
        <f>(Main_S[[#This Row],[A/E]]-VLOOKUP(Main_S[[#This Row],[Industry]], Mean_AE_S, 2, FALSE))/(VLOOKUP(Main_S[[#This Row],[Industry]], Mean_AE_S, 3, FALSE))</f>
        <v>-0.71991885538743061</v>
      </c>
      <c r="T76" s="1">
        <f>(Main_S[[#This Row],[P/E]]-VLOOKUP(Main_S[[#This Row],[Industry]], Mean_PE_S, 2, FALSE))/(VLOOKUP(Main_S[[#This Row],[Industry]], Mean_PE_S, 3, FALSE))</f>
        <v>1.0240633458335302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7" t="s">
        <v>152</v>
      </c>
      <c r="B77" s="67" t="s">
        <v>457</v>
      </c>
      <c r="C77" s="2">
        <v>361</v>
      </c>
      <c r="D77">
        <f>RTD("tos.rtd", , "LAST", Main_S[[#This Row],[Symbol]])</f>
        <v>4.38</v>
      </c>
      <c r="E77">
        <v>-1.89</v>
      </c>
      <c r="F77">
        <v>5.61</v>
      </c>
      <c r="G77">
        <v>-1.95</v>
      </c>
      <c r="H77" s="1">
        <f>IF(ISNUMBER(Main_S[[#This Row],[Free CF]]),IF(Main_S[[#This Row],[Free CF]]&lt;&gt;0,Main_S[[#This Row],[Current Price]]/Main_S[[#This Row],[Free CF]],""),"")</f>
        <v>-2.3174603174603177</v>
      </c>
      <c r="I77" s="1">
        <f>IF(ISNUMBER(Main_S[[#This Row],[BVPS]]),IF(Main_S[[#This Row],[BVPS]]&lt;&gt;0,Main_S[[#This Row],[Current Price]]/Main_S[[#This Row],[BVPS]],""),"")</f>
        <v>0.78074866310160418</v>
      </c>
      <c r="J77">
        <v>-41.59</v>
      </c>
      <c r="K77">
        <v>-27.44</v>
      </c>
      <c r="L77">
        <v>1.07</v>
      </c>
      <c r="M77" s="1">
        <f>IF(ISNUMBER(Main_S[[#This Row],[EPS]]),IF(Main_S[[#This Row],[EPS]]&lt;&gt;0,Main_S[[#This Row],[Current Price]]/Main_S[[#This Row],[EPS]],""),"")</f>
        <v>-2.2461538461538462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0.87274759924076428</v>
      </c>
      <c r="P77" s="1">
        <f>(Main_S[[#This Row],[P/B]]-VLOOKUP(Main_S[[#This Row],[Industry]], Mean_PB_S, 2, FALSE))/(VLOOKUP(Main_S[[#This Row],[Industry]], Mean_PB_S, 3, FALSE))</f>
        <v>-0.9511528394914589</v>
      </c>
      <c r="Q77" s="1">
        <f>(Main_S[[#This Row],[ROE]]-VLOOKUP(Main_S[[#This Row],[Industry]], Mean_ROE_S, 2, FALSE))/(VLOOKUP(Main_S[[#This Row],[Industry]], Mean_ROE_S, 3, FALSE))</f>
        <v>0.13152928433920252</v>
      </c>
      <c r="R77" s="1">
        <f>(Main_S[[#This Row],[ROA]]-VLOOKUP(Main_S[[#This Row],[Industry]], Mean_ROA_S, 2, FALSE))/(VLOOKUP(Main_S[[#This Row],[Industry]], Mean_ROA_S, 3, FALSE))</f>
        <v>-0.30243659916252813</v>
      </c>
      <c r="S77" s="1">
        <f>(Main_S[[#This Row],[A/E]]-VLOOKUP(Main_S[[#This Row],[Industry]], Mean_AE_S, 2, FALSE))/(VLOOKUP(Main_S[[#This Row],[Industry]], Mean_AE_S, 3, FALSE))</f>
        <v>-0.81025168156914285</v>
      </c>
      <c r="T77" s="1">
        <f>(Main_S[[#This Row],[P/E]]-VLOOKUP(Main_S[[#This Row],[Industry]], Mean_PE_S, 2, FALSE))/(VLOOKUP(Main_S[[#This Row],[Industry]], Mean_PE_S, 3, FALSE))</f>
        <v>0.79988295118204822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7" t="s">
        <v>152</v>
      </c>
      <c r="B78" s="67" t="s">
        <v>418</v>
      </c>
      <c r="C78" s="2">
        <v>389</v>
      </c>
      <c r="D78">
        <f>RTD("tos.rtd", , "LAST", Main_S[[#This Row],[Symbol]])</f>
        <v>4.67</v>
      </c>
      <c r="E78">
        <v>-1.95</v>
      </c>
      <c r="F78">
        <v>2.11</v>
      </c>
      <c r="G78">
        <v>-1.94</v>
      </c>
      <c r="H78" s="1">
        <f>IF(ISNUMBER(Main_S[[#This Row],[Free CF]]),IF(Main_S[[#This Row],[Free CF]]&lt;&gt;0,Main_S[[#This Row],[Current Price]]/Main_S[[#This Row],[Free CF]],""),"")</f>
        <v>-2.3948717948717948</v>
      </c>
      <c r="I78" s="1">
        <f>IF(ISNUMBER(Main_S[[#This Row],[BVPS]]),IF(Main_S[[#This Row],[BVPS]]&lt;&gt;0,Main_S[[#This Row],[Current Price]]/Main_S[[#This Row],[BVPS]],""),"")</f>
        <v>2.2132701421800949</v>
      </c>
      <c r="J78">
        <v>-60.62</v>
      </c>
      <c r="K78">
        <v>-32.4</v>
      </c>
      <c r="L78">
        <v>1.63</v>
      </c>
      <c r="M78" s="1">
        <f>IF(ISNUMBER(Main_S[[#This Row],[EPS]]),IF(Main_S[[#This Row],[EPS]]&lt;&gt;0,Main_S[[#This Row],[Current Price]]/Main_S[[#This Row],[EPS]],""),"")</f>
        <v>-2.4072164948453607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0.85030131101849271</v>
      </c>
      <c r="P78" s="1">
        <f>(Main_S[[#This Row],[P/B]]-VLOOKUP(Main_S[[#This Row],[Industry]], Mean_PB_S, 2, FALSE))/(VLOOKUP(Main_S[[#This Row],[Industry]], Mean_PB_S, 3, FALSE))</f>
        <v>-0.39786927198186833</v>
      </c>
      <c r="Q78" s="1">
        <f>(Main_S[[#This Row],[ROE]]-VLOOKUP(Main_S[[#This Row],[Industry]], Mean_ROE_S, 2, FALSE))/(VLOOKUP(Main_S[[#This Row],[Industry]], Mean_ROE_S, 3, FALSE))</f>
        <v>-0.41344313154946655</v>
      </c>
      <c r="R78" s="1">
        <f>(Main_S[[#This Row],[ROA]]-VLOOKUP(Main_S[[#This Row],[Industry]], Mean_ROA_S, 2, FALSE))/(VLOOKUP(Main_S[[#This Row],[Industry]], Mean_ROA_S, 3, FALSE))</f>
        <v>-0.60940837762746891</v>
      </c>
      <c r="S78" s="1">
        <f>(Main_S[[#This Row],[A/E]]-VLOOKUP(Main_S[[#This Row],[Industry]], Mean_AE_S, 2, FALSE))/(VLOOKUP(Main_S[[#This Row],[Industry]], Mean_AE_S, 3, FALSE))</f>
        <v>0.45440788497482687</v>
      </c>
      <c r="T78" s="1">
        <f>(Main_S[[#This Row],[P/E]]-VLOOKUP(Main_S[[#This Row],[Industry]], Mean_PE_S, 2, FALSE))/(VLOOKUP(Main_S[[#This Row],[Industry]], Mean_PE_S, 3, FALSE))</f>
        <v>0.7491641432309446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7" t="s">
        <v>152</v>
      </c>
      <c r="B79" s="67" t="s">
        <v>464</v>
      </c>
      <c r="C79" s="2">
        <v>270</v>
      </c>
      <c r="D79">
        <f>RTD("tos.rtd", , "LAST", Main_S[[#This Row],[Symbol]])</f>
        <v>3.02</v>
      </c>
      <c r="E79">
        <v>-2.15</v>
      </c>
      <c r="F79">
        <v>3.86</v>
      </c>
      <c r="G79">
        <v>-2.61</v>
      </c>
      <c r="H79" s="1">
        <f>IF(ISNUMBER(Main_S[[#This Row],[Free CF]]),IF(Main_S[[#This Row],[Free CF]]&lt;&gt;0,Main_S[[#This Row],[Current Price]]/Main_S[[#This Row],[Free CF]],""),"")</f>
        <v>-1.4046511627906977</v>
      </c>
      <c r="I79" s="1">
        <f>IF(ISNUMBER(Main_S[[#This Row],[BVPS]]),IF(Main_S[[#This Row],[BVPS]]&lt;&gt;0,Main_S[[#This Row],[Current Price]]/Main_S[[#This Row],[BVPS]],""),"")</f>
        <v>0.78238341968911918</v>
      </c>
      <c r="J79">
        <v>-60.45</v>
      </c>
      <c r="K79">
        <v>-34.799999999999997</v>
      </c>
      <c r="L79">
        <v>1.1399999999999999</v>
      </c>
      <c r="M79" s="1">
        <f>IF(ISNUMBER(Main_S[[#This Row],[EPS]]),IF(Main_S[[#This Row],[EPS]]&lt;&gt;0,Main_S[[#This Row],[Current Price]]/Main_S[[#This Row],[EPS]],""),"")</f>
        <v>-1.157088122605364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1.1374264047973761</v>
      </c>
      <c r="P79" s="1">
        <f>(Main_S[[#This Row],[P/B]]-VLOOKUP(Main_S[[#This Row],[Industry]], Mean_PB_S, 2, FALSE))/(VLOOKUP(Main_S[[#This Row],[Industry]], Mean_PB_S, 3, FALSE))</f>
        <v>-0.95052144654555204</v>
      </c>
      <c r="Q79" s="1">
        <f>(Main_S[[#This Row],[ROE]]-VLOOKUP(Main_S[[#This Row],[Industry]], Mean_ROE_S, 2, FALSE))/(VLOOKUP(Main_S[[#This Row],[Industry]], Mean_ROE_S, 3, FALSE))</f>
        <v>-0.40857474948425004</v>
      </c>
      <c r="R79" s="1">
        <f>(Main_S[[#This Row],[ROA]]-VLOOKUP(Main_S[[#This Row],[Industry]], Mean_ROA_S, 2, FALSE))/(VLOOKUP(Main_S[[#This Row],[Industry]], Mean_ROA_S, 3, FALSE))</f>
        <v>-0.75794310914276286</v>
      </c>
      <c r="S79" s="1">
        <f>(Main_S[[#This Row],[A/E]]-VLOOKUP(Main_S[[#This Row],[Industry]], Mean_AE_S, 2, FALSE))/(VLOOKUP(Main_S[[#This Row],[Industry]], Mean_AE_S, 3, FALSE))</f>
        <v>-0.65216923575114694</v>
      </c>
      <c r="T79" s="1">
        <f>(Main_S[[#This Row],[P/E]]-VLOOKUP(Main_S[[#This Row],[Industry]], Mean_PE_S, 2, FALSE))/(VLOOKUP(Main_S[[#This Row],[Industry]], Mean_PE_S, 3, FALSE))</f>
        <v>1.1428309638189176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7" t="s">
        <v>152</v>
      </c>
      <c r="B80" s="67" t="s">
        <v>255</v>
      </c>
      <c r="C80" s="2">
        <v>1923</v>
      </c>
      <c r="D80">
        <f>RTD("tos.rtd", , "LAST", Main_S[[#This Row],[Symbol]])</f>
        <v>14.645</v>
      </c>
      <c r="E80">
        <v>-2.2599999999999998</v>
      </c>
      <c r="F80">
        <v>7.73</v>
      </c>
      <c r="G80">
        <v>-2.67</v>
      </c>
      <c r="H80" s="1">
        <f>IF(ISNUMBER(Main_S[[#This Row],[Free CF]]),IF(Main_S[[#This Row],[Free CF]]&lt;&gt;0,Main_S[[#This Row],[Current Price]]/Main_S[[#This Row],[Free CF]],""),"")</f>
        <v>-6.480088495575222</v>
      </c>
      <c r="I80" s="1">
        <f>IF(ISNUMBER(Main_S[[#This Row],[BVPS]]),IF(Main_S[[#This Row],[BVPS]]&lt;&gt;0,Main_S[[#This Row],[Current Price]]/Main_S[[#This Row],[BVPS]],""),"")</f>
        <v>1.8945666235446312</v>
      </c>
      <c r="J80">
        <v>-35.21</v>
      </c>
      <c r="K80">
        <v>-22.58</v>
      </c>
      <c r="L80">
        <v>1.1299999999999999</v>
      </c>
      <c r="M80" s="1">
        <f>IF(ISNUMBER(Main_S[[#This Row],[EPS]]),IF(Main_S[[#This Row],[EPS]]&lt;&gt;0,Main_S[[#This Row],[Current Price]]/Main_S[[#This Row],[EPS]],""),"")</f>
        <v>-5.4850187265917603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-0.3342510910369601</v>
      </c>
      <c r="P80" s="1">
        <f>(Main_S[[#This Row],[P/B]]-VLOOKUP(Main_S[[#This Row],[Industry]], Mean_PB_S, 2, FALSE))/(VLOOKUP(Main_S[[#This Row],[Industry]], Mean_PB_S, 3, FALSE))</f>
        <v>-0.52096230921989983</v>
      </c>
      <c r="Q80" s="1">
        <f>(Main_S[[#This Row],[ROE]]-VLOOKUP(Main_S[[#This Row],[Industry]], Mean_ROE_S, 2, FALSE))/(VLOOKUP(Main_S[[#This Row],[Industry]], Mean_ROE_S, 3, FALSE))</f>
        <v>0.31423679949262928</v>
      </c>
      <c r="R80" s="1">
        <f>(Main_S[[#This Row],[ROA]]-VLOOKUP(Main_S[[#This Row],[Industry]], Mean_ROA_S, 2, FALSE))/(VLOOKUP(Main_S[[#This Row],[Industry]], Mean_ROA_S, 3, FALSE))</f>
        <v>-1.6537678440575164E-3</v>
      </c>
      <c r="S80" s="1">
        <f>(Main_S[[#This Row],[A/E]]-VLOOKUP(Main_S[[#This Row],[Industry]], Mean_AE_S, 2, FALSE))/(VLOOKUP(Main_S[[#This Row],[Industry]], Mean_AE_S, 3, FALSE))</f>
        <v>-0.67475244229657494</v>
      </c>
      <c r="T80" s="1">
        <f>(Main_S[[#This Row],[P/E]]-VLOOKUP(Main_S[[#This Row],[Industry]], Mean_PE_S, 2, FALSE))/(VLOOKUP(Main_S[[#This Row],[Industry]], Mean_PE_S, 3, FALSE))</f>
        <v>-0.22003921690011133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7" t="s">
        <v>152</v>
      </c>
      <c r="B81" s="67" t="s">
        <v>596</v>
      </c>
      <c r="C81" s="2">
        <v>384</v>
      </c>
      <c r="D81">
        <f>RTD("tos.rtd", , "LAST", Main_S[[#This Row],[Symbol]])</f>
        <v>10.039999999999999</v>
      </c>
      <c r="E81">
        <v>-2.37</v>
      </c>
      <c r="F81">
        <v>14.72</v>
      </c>
      <c r="G81">
        <v>-3.09</v>
      </c>
      <c r="H81" s="1">
        <f>IF(ISNUMBER(Main_S[[#This Row],[Free CF]]),IF(Main_S[[#This Row],[Free CF]]&lt;&gt;0,Main_S[[#This Row],[Current Price]]/Main_S[[#This Row],[Free CF]],""),"")</f>
        <v>-4.2362869198312234</v>
      </c>
      <c r="I81" s="1">
        <f>IF(ISNUMBER(Main_S[[#This Row],[BVPS]]),IF(Main_S[[#This Row],[BVPS]]&lt;&gt;0,Main_S[[#This Row],[Current Price]]/Main_S[[#This Row],[BVPS]],""),"")</f>
        <v>0.68206521739130421</v>
      </c>
      <c r="J81">
        <v>-23.68</v>
      </c>
      <c r="K81">
        <v>-14.54</v>
      </c>
      <c r="L81">
        <v>1.17</v>
      </c>
      <c r="M81" s="1">
        <f>IF(ISNUMBER(Main_S[[#This Row],[EPS]]),IF(Main_S[[#This Row],[EPS]]&lt;&gt;0,Main_S[[#This Row],[Current Price]]/Main_S[[#This Row],[EPS]],""),"")</f>
        <v>-3.2491909385113269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0.31636324377316238</v>
      </c>
      <c r="P81" s="1">
        <f>(Main_S[[#This Row],[P/B]]-VLOOKUP(Main_S[[#This Row],[Industry]], Mean_PB_S, 2, FALSE))/(VLOOKUP(Main_S[[#This Row],[Industry]], Mean_PB_S, 3, FALSE))</f>
        <v>-0.9892674016073838</v>
      </c>
      <c r="Q81" s="1">
        <f>(Main_S[[#This Row],[ROE]]-VLOOKUP(Main_S[[#This Row],[Industry]], Mean_ROE_S, 2, FALSE))/(VLOOKUP(Main_S[[#This Row],[Industry]], Mean_ROE_S, 3, FALSE))</f>
        <v>0.64442765368056187</v>
      </c>
      <c r="R81" s="1">
        <f>(Main_S[[#This Row],[ROA]]-VLOOKUP(Main_S[[#This Row],[Industry]], Mean_ROA_S, 2, FALSE))/(VLOOKUP(Main_S[[#This Row],[Industry]], Mean_ROA_S, 3, FALSE))</f>
        <v>0.49593758273217742</v>
      </c>
      <c r="S81" s="1">
        <f>(Main_S[[#This Row],[A/E]]-VLOOKUP(Main_S[[#This Row],[Industry]], Mean_AE_S, 2, FALSE))/(VLOOKUP(Main_S[[#This Row],[Industry]], Mean_AE_S, 3, FALSE))</f>
        <v>-0.58441961611486271</v>
      </c>
      <c r="T81" s="1">
        <f>(Main_S[[#This Row],[P/E]]-VLOOKUP(Main_S[[#This Row],[Industry]], Mean_PE_S, 2, FALSE))/(VLOOKUP(Main_S[[#This Row],[Industry]], Mean_PE_S, 3, FALSE))</f>
        <v>0.48402545058580582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7" t="s">
        <v>152</v>
      </c>
      <c r="B82" s="67" t="s">
        <v>413</v>
      </c>
      <c r="C82" s="2">
        <v>403</v>
      </c>
      <c r="D82">
        <f>RTD("tos.rtd", , "LAST", Main_S[[#This Row],[Symbol]])</f>
        <v>12.91</v>
      </c>
      <c r="E82">
        <v>-2.4500000000000002</v>
      </c>
      <c r="F82">
        <v>2.29</v>
      </c>
      <c r="G82">
        <v>-3.04</v>
      </c>
      <c r="H82" s="1">
        <f>IF(ISNUMBER(Main_S[[#This Row],[Free CF]]),IF(Main_S[[#This Row],[Free CF]]&lt;&gt;0,Main_S[[#This Row],[Current Price]]/Main_S[[#This Row],[Free CF]],""),"")</f>
        <v>-5.2693877551020405</v>
      </c>
      <c r="I82" s="1">
        <f>IF(ISNUMBER(Main_S[[#This Row],[BVPS]]),IF(Main_S[[#This Row],[BVPS]]&lt;&gt;0,Main_S[[#This Row],[Current Price]]/Main_S[[#This Row],[BVPS]],""),"")</f>
        <v>5.6375545851528388</v>
      </c>
      <c r="J82">
        <v>-115.39</v>
      </c>
      <c r="K82">
        <v>-39.04</v>
      </c>
      <c r="L82">
        <v>2.52</v>
      </c>
      <c r="M82" s="1">
        <f>IF(ISNUMBER(Main_S[[#This Row],[EPS]]),IF(Main_S[[#This Row],[EPS]]&lt;&gt;0,Main_S[[#This Row],[Current Price]]/Main_S[[#This Row],[EPS]],""),"")</f>
        <v>-4.2467105263157894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1.6804575129018423E-2</v>
      </c>
      <c r="P82" s="1">
        <f>(Main_S[[#This Row],[P/B]]-VLOOKUP(Main_S[[#This Row],[Industry]], Mean_PB_S, 2, FALSE))/(VLOOKUP(Main_S[[#This Row],[Industry]], Mean_PB_S, 3, FALSE))</f>
        <v>0.92469401271966722</v>
      </c>
      <c r="Q82" s="1">
        <f>(Main_S[[#This Row],[ROE]]-VLOOKUP(Main_S[[#This Row],[Industry]], Mean_ROE_S, 2, FALSE))/(VLOOKUP(Main_S[[#This Row],[Industry]], Mean_ROE_S, 3, FALSE))</f>
        <v>-1.9819212827960464</v>
      </c>
      <c r="R82" s="1">
        <f>(Main_S[[#This Row],[ROA]]-VLOOKUP(Main_S[[#This Row],[Industry]], Mean_ROA_S, 2, FALSE))/(VLOOKUP(Main_S[[#This Row],[Industry]], Mean_ROA_S, 3, FALSE))</f>
        <v>-1.0203544681531158</v>
      </c>
      <c r="S82" s="1">
        <f>(Main_S[[#This Row],[A/E]]-VLOOKUP(Main_S[[#This Row],[Industry]], Mean_AE_S, 2, FALSE))/(VLOOKUP(Main_S[[#This Row],[Industry]], Mean_AE_S, 3, FALSE))</f>
        <v>2.4643132675179227</v>
      </c>
      <c r="T82" s="1">
        <f>(Main_S[[#This Row],[P/E]]-VLOOKUP(Main_S[[#This Row],[Industry]], Mean_PE_S, 2, FALSE))/(VLOOKUP(Main_S[[#This Row],[Industry]], Mean_PE_S, 3, FALSE))</f>
        <v>0.1699054183353737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s="67" t="s">
        <v>152</v>
      </c>
      <c r="B83" s="67" t="s">
        <v>466</v>
      </c>
      <c r="C83" s="2">
        <v>692</v>
      </c>
      <c r="D83">
        <f>RTD("tos.rtd", , "LAST", Main_S[[#This Row],[Symbol]])</f>
        <v>10.18</v>
      </c>
      <c r="E83">
        <v>-2.4700000000000002</v>
      </c>
      <c r="F83">
        <v>5.39</v>
      </c>
      <c r="G83">
        <v>-3.07</v>
      </c>
      <c r="H83" s="1">
        <f>IF(ISNUMBER(Main_S[[#This Row],[Free CF]]),IF(Main_S[[#This Row],[Free CF]]&lt;&gt;0,Main_S[[#This Row],[Current Price]]/Main_S[[#This Row],[Free CF]],""),"")</f>
        <v>-4.1214574898785417</v>
      </c>
      <c r="I83" s="1">
        <f>IF(ISNUMBER(Main_S[[#This Row],[BVPS]]),IF(Main_S[[#This Row],[BVPS]]&lt;&gt;0,Main_S[[#This Row],[Current Price]]/Main_S[[#This Row],[BVPS]],""),"")</f>
        <v>1.888682745825603</v>
      </c>
      <c r="J83">
        <v>-62.58</v>
      </c>
      <c r="K83">
        <v>-31.26</v>
      </c>
      <c r="L83">
        <v>1.33</v>
      </c>
      <c r="M83" s="1">
        <f>IF(ISNUMBER(Main_S[[#This Row],[EPS]]),IF(Main_S[[#This Row],[EPS]]&lt;&gt;0,Main_S[[#This Row],[Current Price]]/Main_S[[#This Row],[EPS]],""),"")</f>
        <v>-3.3159609120521174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0.34965926869484798</v>
      </c>
      <c r="P83" s="1">
        <f>(Main_S[[#This Row],[P/B]]-VLOOKUP(Main_S[[#This Row],[Industry]], Mean_PB_S, 2, FALSE))/(VLOOKUP(Main_S[[#This Row],[Industry]], Mean_PB_S, 3, FALSE))</f>
        <v>-0.52323484258342623</v>
      </c>
      <c r="Q83" s="1">
        <f>(Main_S[[#This Row],[ROE]]-VLOOKUP(Main_S[[#This Row],[Industry]], Mean_ROE_S, 2, FALSE))/(VLOOKUP(Main_S[[#This Row],[Industry]], Mean_ROE_S, 3, FALSE))</f>
        <v>-0.46957271300725911</v>
      </c>
      <c r="R83" s="1">
        <f>(Main_S[[#This Row],[ROA]]-VLOOKUP(Main_S[[#This Row],[Industry]], Mean_ROA_S, 2, FALSE))/(VLOOKUP(Main_S[[#This Row],[Industry]], Mean_ROA_S, 3, FALSE))</f>
        <v>-0.53885438015770448</v>
      </c>
      <c r="S83" s="1">
        <f>(Main_S[[#This Row],[A/E]]-VLOOKUP(Main_S[[#This Row],[Industry]], Mean_AE_S, 2, FALSE))/(VLOOKUP(Main_S[[#This Row],[Industry]], Mean_AE_S, 3, FALSE))</f>
        <v>-0.22308831138801383</v>
      </c>
      <c r="T83" s="1">
        <f>(Main_S[[#This Row],[P/E]]-VLOOKUP(Main_S[[#This Row],[Industry]], Mean_PE_S, 2, FALSE))/(VLOOKUP(Main_S[[#This Row],[Industry]], Mean_PE_S, 3, FALSE))</f>
        <v>0.4629995113477034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7" t="s">
        <v>152</v>
      </c>
      <c r="B84" s="67" t="s">
        <v>494</v>
      </c>
      <c r="C84" s="2">
        <v>569</v>
      </c>
      <c r="D84">
        <f>RTD("tos.rtd", , "LAST", Main_S[[#This Row],[Symbol]])</f>
        <v>9.5500000000000007</v>
      </c>
      <c r="E84">
        <v>-2.52</v>
      </c>
      <c r="F84">
        <v>9</v>
      </c>
      <c r="G84">
        <v>-3.05</v>
      </c>
      <c r="H84" s="1">
        <f>IF(ISNUMBER(Main_S[[#This Row],[Free CF]]),IF(Main_S[[#This Row],[Free CF]]&lt;&gt;0,Main_S[[#This Row],[Current Price]]/Main_S[[#This Row],[Free CF]],""),"")</f>
        <v>-3.78968253968254</v>
      </c>
      <c r="I84" s="1">
        <f>IF(ISNUMBER(Main_S[[#This Row],[BVPS]]),IF(Main_S[[#This Row],[BVPS]]&lt;&gt;0,Main_S[[#This Row],[Current Price]]/Main_S[[#This Row],[BVPS]],""),"")</f>
        <v>1.0611111111111111</v>
      </c>
      <c r="J84">
        <v>-34.049999999999997</v>
      </c>
      <c r="K84">
        <v>-11.42</v>
      </c>
      <c r="L84">
        <v>1.41</v>
      </c>
      <c r="M84" s="1">
        <f>IF(ISNUMBER(Main_S[[#This Row],[EPS]]),IF(Main_S[[#This Row],[EPS]]&lt;&gt;0,Main_S[[#This Row],[Current Price]]/Main_S[[#This Row],[EPS]],""),"")</f>
        <v>-3.1311475409836071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0.44586097425647242</v>
      </c>
      <c r="P84" s="1">
        <f>(Main_S[[#This Row],[P/B]]-VLOOKUP(Main_S[[#This Row],[Industry]], Mean_PB_S, 2, FALSE))/(VLOOKUP(Main_S[[#This Row],[Industry]], Mean_PB_S, 3, FALSE))</f>
        <v>-0.84286829528329299</v>
      </c>
      <c r="Q84" s="1">
        <f>(Main_S[[#This Row],[ROE]]-VLOOKUP(Main_S[[#This Row],[Industry]], Mean_ROE_S, 2, FALSE))/(VLOOKUP(Main_S[[#This Row],[Industry]], Mean_ROE_S, 3, FALSE))</f>
        <v>0.34745634770234335</v>
      </c>
      <c r="R84" s="1">
        <f>(Main_S[[#This Row],[ROA]]-VLOOKUP(Main_S[[#This Row],[Industry]], Mean_ROA_S, 2, FALSE))/(VLOOKUP(Main_S[[#This Row],[Industry]], Mean_ROA_S, 3, FALSE))</f>
        <v>0.68903273370205964</v>
      </c>
      <c r="S84" s="1">
        <f>(Main_S[[#This Row],[A/E]]-VLOOKUP(Main_S[[#This Row],[Industry]], Mean_AE_S, 2, FALSE))/(VLOOKUP(Main_S[[#This Row],[Industry]], Mean_AE_S, 3, FALSE))</f>
        <v>-4.2422659024589873E-2</v>
      </c>
      <c r="T84" s="1">
        <f>(Main_S[[#This Row],[P/E]]-VLOOKUP(Main_S[[#This Row],[Industry]], Mean_PE_S, 2, FALSE))/(VLOOKUP(Main_S[[#This Row],[Industry]], Mean_PE_S, 3, FALSE))</f>
        <v>0.52119744830062809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7" t="s">
        <v>152</v>
      </c>
      <c r="B85" s="67" t="s">
        <v>422</v>
      </c>
      <c r="C85" s="2">
        <v>559</v>
      </c>
      <c r="D85">
        <f>RTD("tos.rtd", , "LAST", Main_S[[#This Row],[Symbol]])</f>
        <v>18.190000000000001</v>
      </c>
      <c r="E85">
        <v>-2.54</v>
      </c>
      <c r="F85">
        <v>10.23</v>
      </c>
      <c r="G85">
        <v>-2.81</v>
      </c>
      <c r="H85" s="1">
        <f>IF(ISNUMBER(Main_S[[#This Row],[Free CF]]),IF(Main_S[[#This Row],[Free CF]]&lt;&gt;0,Main_S[[#This Row],[Current Price]]/Main_S[[#This Row],[Free CF]],""),"")</f>
        <v>-7.1614173228346463</v>
      </c>
      <c r="I85" s="1">
        <f>IF(ISNUMBER(Main_S[[#This Row],[BVPS]]),IF(Main_S[[#This Row],[BVPS]]&lt;&gt;0,Main_S[[#This Row],[Current Price]]/Main_S[[#This Row],[BVPS]],""),"")</f>
        <v>1.7781036168132942</v>
      </c>
      <c r="J85">
        <v>-28.73</v>
      </c>
      <c r="K85">
        <v>-20.04</v>
      </c>
      <c r="L85">
        <v>1.06</v>
      </c>
      <c r="M85" s="1">
        <f>IF(ISNUMBER(Main_S[[#This Row],[EPS]]),IF(Main_S[[#This Row],[EPS]]&lt;&gt;0,Main_S[[#This Row],[Current Price]]/Main_S[[#This Row],[EPS]],""),"")</f>
        <v>-6.4733096085409256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-0.5318096927093775</v>
      </c>
      <c r="P85" s="1">
        <f>(Main_S[[#This Row],[P/B]]-VLOOKUP(Main_S[[#This Row],[Industry]], Mean_PB_S, 2, FALSE))/(VLOOKUP(Main_S[[#This Row],[Industry]], Mean_PB_S, 3, FALSE))</f>
        <v>-0.56594388107644089</v>
      </c>
      <c r="Q85" s="1">
        <f>(Main_S[[#This Row],[ROE]]-VLOOKUP(Main_S[[#This Row],[Industry]], Mean_ROE_S, 2, FALSE))/(VLOOKUP(Main_S[[#This Row],[Industry]], Mean_ROE_S, 3, FALSE))</f>
        <v>0.4998080688020658</v>
      </c>
      <c r="R85" s="1">
        <f>(Main_S[[#This Row],[ROA]]-VLOOKUP(Main_S[[#This Row],[Industry]], Mean_ROA_S, 2, FALSE))/(VLOOKUP(Main_S[[#This Row],[Industry]], Mean_ROA_S, 3, FALSE))</f>
        <v>0.15554548967629528</v>
      </c>
      <c r="S85" s="1">
        <f>(Main_S[[#This Row],[A/E]]-VLOOKUP(Main_S[[#This Row],[Industry]], Mean_AE_S, 2, FALSE))/(VLOOKUP(Main_S[[#This Row],[Industry]], Mean_AE_S, 3, FALSE))</f>
        <v>-0.83283488811457085</v>
      </c>
      <c r="T85" s="1">
        <f>(Main_S[[#This Row],[P/E]]-VLOOKUP(Main_S[[#This Row],[Industry]], Mean_PE_S, 2, FALSE))/(VLOOKUP(Main_S[[#This Row],[Industry]], Mean_PE_S, 3, FALSE))</f>
        <v>-0.53125311936989805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s="67" t="s">
        <v>152</v>
      </c>
      <c r="B86" s="67" t="s">
        <v>392</v>
      </c>
      <c r="C86" s="2">
        <v>382</v>
      </c>
      <c r="D86">
        <f>RTD("tos.rtd", , "LAST", Main_S[[#This Row],[Symbol]])</f>
        <v>7.8</v>
      </c>
      <c r="E86">
        <v>-2.54</v>
      </c>
      <c r="F86">
        <v>0.66</v>
      </c>
      <c r="G86">
        <v>-2.9</v>
      </c>
      <c r="H86" s="1">
        <f>IF(ISNUMBER(Main_S[[#This Row],[Free CF]]),IF(Main_S[[#This Row],[Free CF]]&lt;&gt;0,Main_S[[#This Row],[Current Price]]/Main_S[[#This Row],[Free CF]],""),"")</f>
        <v>-3.0708661417322833</v>
      </c>
      <c r="I86" s="1">
        <f>IF(ISNUMBER(Main_S[[#This Row],[BVPS]]),IF(Main_S[[#This Row],[BVPS]]&lt;&gt;0,Main_S[[#This Row],[Current Price]]/Main_S[[#This Row],[BVPS]],""),"")</f>
        <v>11.818181818181817</v>
      </c>
      <c r="J86">
        <v>-148.97999999999999</v>
      </c>
      <c r="K86">
        <v>-40.619999999999997</v>
      </c>
      <c r="L86">
        <v>5.0599999999999996</v>
      </c>
      <c r="M86" s="1">
        <f>IF(ISNUMBER(Main_S[[#This Row],[EPS]]),IF(Main_S[[#This Row],[EPS]]&lt;&gt;0,Main_S[[#This Row],[Current Price]]/Main_S[[#This Row],[EPS]],""),"")</f>
        <v>-2.6896551724137931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0.65428949915754087</v>
      </c>
      <c r="P86" s="1">
        <f>(Main_S[[#This Row],[P/B]]-VLOOKUP(Main_S[[#This Row],[Industry]], Mean_PB_S, 2, FALSE))/(VLOOKUP(Main_S[[#This Row],[Industry]], Mean_PB_S, 3, FALSE))</f>
        <v>3.3118411060651578</v>
      </c>
      <c r="Q86" s="1">
        <f>(Main_S[[#This Row],[ROE]]-VLOOKUP(Main_S[[#This Row],[Industry]], Mean_ROE_S, 2, FALSE))/(VLOOKUP(Main_S[[#This Row],[Industry]], Mean_ROE_S, 3, FALSE))</f>
        <v>-2.9438563037997461</v>
      </c>
      <c r="R86" s="1">
        <f>(Main_S[[#This Row],[ROA]]-VLOOKUP(Main_S[[#This Row],[Industry]], Mean_ROA_S, 2, FALSE))/(VLOOKUP(Main_S[[#This Row],[Industry]], Mean_ROA_S, 3, FALSE))</f>
        <v>-1.1181398330673509</v>
      </c>
      <c r="S86" s="1">
        <f>(Main_S[[#This Row],[A/E]]-VLOOKUP(Main_S[[#This Row],[Industry]], Mean_AE_S, 2, FALSE))/(VLOOKUP(Main_S[[#This Row],[Industry]], Mean_AE_S, 3, FALSE))</f>
        <v>8.2004477300566432</v>
      </c>
      <c r="T86" s="1">
        <f>(Main_S[[#This Row],[P/E]]-VLOOKUP(Main_S[[#This Row],[Industry]], Mean_PE_S, 2, FALSE))/(VLOOKUP(Main_S[[#This Row],[Industry]], Mean_PE_S, 3, FALSE))</f>
        <v>0.6602238882312037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7" t="s">
        <v>152</v>
      </c>
      <c r="B87" s="67" t="s">
        <v>414</v>
      </c>
      <c r="C87" s="2">
        <v>510</v>
      </c>
      <c r="D87">
        <f>RTD("tos.rtd", , "LAST", Main_S[[#This Row],[Symbol]])</f>
        <v>8.76</v>
      </c>
      <c r="E87">
        <v>-2.6</v>
      </c>
      <c r="F87">
        <v>9.4</v>
      </c>
      <c r="G87">
        <v>-3.1</v>
      </c>
      <c r="H87" s="1">
        <f>IF(ISNUMBER(Main_S[[#This Row],[Free CF]]),IF(Main_S[[#This Row],[Free CF]]&lt;&gt;0,Main_S[[#This Row],[Current Price]]/Main_S[[#This Row],[Free CF]],""),"")</f>
        <v>-3.3692307692307693</v>
      </c>
      <c r="I87" s="1">
        <f>IF(ISNUMBER(Main_S[[#This Row],[BVPS]]),IF(Main_S[[#This Row],[BVPS]]&lt;&gt;0,Main_S[[#This Row],[Current Price]]/Main_S[[#This Row],[BVPS]],""),"")</f>
        <v>0.93191489361702118</v>
      </c>
      <c r="J87">
        <v>-36.57</v>
      </c>
      <c r="K87">
        <v>-25.38</v>
      </c>
      <c r="L87">
        <v>1.05</v>
      </c>
      <c r="M87" s="1">
        <f>IF(ISNUMBER(Main_S[[#This Row],[EPS]]),IF(Main_S[[#This Row],[EPS]]&lt;&gt;0,Main_S[[#This Row],[Current Price]]/Main_S[[#This Row],[EPS]],""),"")</f>
        <v>-2.8258064516129031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0.56777547503469428</v>
      </c>
      <c r="P87" s="1">
        <f>(Main_S[[#This Row],[P/B]]-VLOOKUP(Main_S[[#This Row],[Industry]], Mean_PB_S, 2, FALSE))/(VLOOKUP(Main_S[[#This Row],[Industry]], Mean_PB_S, 3, FALSE))</f>
        <v>-0.89276782221384754</v>
      </c>
      <c r="Q87" s="1">
        <f>(Main_S[[#This Row],[ROE]]-VLOOKUP(Main_S[[#This Row],[Industry]], Mean_ROE_S, 2, FALSE))/(VLOOKUP(Main_S[[#This Row],[Industry]], Mean_ROE_S, 3, FALSE))</f>
        <v>0.2752897429708957</v>
      </c>
      <c r="R87" s="1">
        <f>(Main_S[[#This Row],[ROA]]-VLOOKUP(Main_S[[#This Row],[Industry]], Mean_ROA_S, 2, FALSE))/(VLOOKUP(Main_S[[#This Row],[Industry]], Mean_ROA_S, 3, FALSE))</f>
        <v>-0.17494428794523392</v>
      </c>
      <c r="S87" s="1">
        <f>(Main_S[[#This Row],[A/E]]-VLOOKUP(Main_S[[#This Row],[Industry]], Mean_AE_S, 2, FALSE))/(VLOOKUP(Main_S[[#This Row],[Industry]], Mean_AE_S, 3, FALSE))</f>
        <v>-0.85541809465999896</v>
      </c>
      <c r="T87" s="1">
        <f>(Main_S[[#This Row],[P/E]]-VLOOKUP(Main_S[[#This Row],[Industry]], Mean_PE_S, 2, FALSE))/(VLOOKUP(Main_S[[#This Row],[Industry]], Mean_PE_S, 3, FALSE))</f>
        <v>0.61734969835479847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7" t="s">
        <v>152</v>
      </c>
      <c r="B88" s="67" t="s">
        <v>417</v>
      </c>
      <c r="C88" s="2">
        <v>1313</v>
      </c>
      <c r="D88">
        <f>RTD("tos.rtd", , "LAST", Main_S[[#This Row],[Symbol]])</f>
        <v>20.71</v>
      </c>
      <c r="E88">
        <v>-2.62</v>
      </c>
      <c r="F88">
        <v>10.59</v>
      </c>
      <c r="G88">
        <v>-2.7</v>
      </c>
      <c r="H88" s="1">
        <f>IF(ISNUMBER(Main_S[[#This Row],[Free CF]]),IF(Main_S[[#This Row],[Free CF]]&lt;&gt;0,Main_S[[#This Row],[Current Price]]/Main_S[[#This Row],[Free CF]],""),"")</f>
        <v>-7.9045801526717554</v>
      </c>
      <c r="I88" s="1">
        <f>IF(ISNUMBER(Main_S[[#This Row],[BVPS]]),IF(Main_S[[#This Row],[BVPS]]&lt;&gt;0,Main_S[[#This Row],[Current Price]]/Main_S[[#This Row],[BVPS]],""),"")</f>
        <v>1.9556185080264401</v>
      </c>
      <c r="J88">
        <v>-23.2</v>
      </c>
      <c r="K88">
        <v>-16.88</v>
      </c>
      <c r="L88">
        <v>1.05</v>
      </c>
      <c r="M88" s="1">
        <f>IF(ISNUMBER(Main_S[[#This Row],[EPS]]),IF(Main_S[[#This Row],[EPS]]&lt;&gt;0,Main_S[[#This Row],[Current Price]]/Main_S[[#This Row],[EPS]],""),"")</f>
        <v>-7.6703703703703701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-0.74729772668571348</v>
      </c>
      <c r="P88" s="1">
        <f>(Main_S[[#This Row],[P/B]]-VLOOKUP(Main_S[[#This Row],[Industry]], Mean_PB_S, 2, FALSE))/(VLOOKUP(Main_S[[#This Row],[Industry]], Mean_PB_S, 3, FALSE))</f>
        <v>-0.49738220592468929</v>
      </c>
      <c r="Q88" s="1">
        <f>(Main_S[[#This Row],[ROE]]-VLOOKUP(Main_S[[#This Row],[Industry]], Mean_ROE_S, 2, FALSE))/(VLOOKUP(Main_S[[#This Row],[Industry]], Mean_ROE_S, 3, FALSE))</f>
        <v>0.65817367362940904</v>
      </c>
      <c r="R88" s="1">
        <f>(Main_S[[#This Row],[ROA]]-VLOOKUP(Main_S[[#This Row],[Industry]], Mean_ROA_S, 2, FALSE))/(VLOOKUP(Main_S[[#This Row],[Industry]], Mean_ROA_S, 3, FALSE))</f>
        <v>0.35111621950476574</v>
      </c>
      <c r="S88" s="1">
        <f>(Main_S[[#This Row],[A/E]]-VLOOKUP(Main_S[[#This Row],[Industry]], Mean_AE_S, 2, FALSE))/(VLOOKUP(Main_S[[#This Row],[Industry]], Mean_AE_S, 3, FALSE))</f>
        <v>-0.85541809465999896</v>
      </c>
      <c r="T88" s="1">
        <f>(Main_S[[#This Row],[P/E]]-VLOOKUP(Main_S[[#This Row],[Industry]], Mean_PE_S, 2, FALSE))/(VLOOKUP(Main_S[[#This Row],[Industry]], Mean_PE_S, 3, FALSE))</f>
        <v>-0.90820889017256712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7" t="s">
        <v>152</v>
      </c>
      <c r="B89" s="67" t="s">
        <v>488</v>
      </c>
      <c r="C89" s="2">
        <v>1209</v>
      </c>
      <c r="D89">
        <f>RTD("tos.rtd", , "LAST", Main_S[[#This Row],[Symbol]])</f>
        <v>22.19</v>
      </c>
      <c r="E89">
        <v>-2.67</v>
      </c>
      <c r="F89">
        <v>8.39</v>
      </c>
      <c r="G89">
        <v>-3</v>
      </c>
      <c r="H89" s="1">
        <f>IF(ISNUMBER(Main_S[[#This Row],[Free CF]]),IF(Main_S[[#This Row],[Free CF]]&lt;&gt;0,Main_S[[#This Row],[Current Price]]/Main_S[[#This Row],[Free CF]],""),"")</f>
        <v>-8.3108614232209739</v>
      </c>
      <c r="I89" s="1">
        <f>IF(ISNUMBER(Main_S[[#This Row],[BVPS]]),IF(Main_S[[#This Row],[BVPS]]&lt;&gt;0,Main_S[[#This Row],[Current Price]]/Main_S[[#This Row],[BVPS]],""),"")</f>
        <v>2.6448152562574494</v>
      </c>
      <c r="J89">
        <v>-39.49</v>
      </c>
      <c r="K89">
        <v>-23.46</v>
      </c>
      <c r="L89">
        <v>1.1399999999999999</v>
      </c>
      <c r="M89" s="1">
        <f>IF(ISNUMBER(Main_S[[#This Row],[EPS]]),IF(Main_S[[#This Row],[EPS]]&lt;&gt;0,Main_S[[#This Row],[Current Price]]/Main_S[[#This Row],[EPS]],""),"")</f>
        <v>-7.3966666666666674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-0.86510333901867742</v>
      </c>
      <c r="P89" s="1">
        <f>(Main_S[[#This Row],[P/B]]-VLOOKUP(Main_S[[#This Row],[Industry]], Mean_PB_S, 2, FALSE))/(VLOOKUP(Main_S[[#This Row],[Industry]], Mean_PB_S, 3, FALSE))</f>
        <v>-0.23119336258353573</v>
      </c>
      <c r="Q89" s="1">
        <f>(Main_S[[#This Row],[ROE]]-VLOOKUP(Main_S[[#This Row],[Industry]], Mean_ROE_S, 2, FALSE))/(VLOOKUP(Main_S[[#This Row],[Industry]], Mean_ROE_S, 3, FALSE))</f>
        <v>0.19166812161540883</v>
      </c>
      <c r="R89" s="1">
        <f>(Main_S[[#This Row],[ROA]]-VLOOKUP(Main_S[[#This Row],[Industry]], Mean_ROA_S, 2, FALSE))/(VLOOKUP(Main_S[[#This Row],[Industry]], Mean_ROA_S, 3, FALSE))</f>
        <v>-5.611650273299882E-2</v>
      </c>
      <c r="S89" s="1">
        <f>(Main_S[[#This Row],[A/E]]-VLOOKUP(Main_S[[#This Row],[Industry]], Mean_AE_S, 2, FALSE))/(VLOOKUP(Main_S[[#This Row],[Industry]], Mean_AE_S, 3, FALSE))</f>
        <v>-0.65216923575114694</v>
      </c>
      <c r="T89" s="1">
        <f>(Main_S[[#This Row],[P/E]]-VLOOKUP(Main_S[[#This Row],[Industry]], Mean_PE_S, 2, FALSE))/(VLOOKUP(Main_S[[#This Row],[Industry]], Mean_PE_S, 3, FALSE))</f>
        <v>-0.82201928819823167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s="67" t="s">
        <v>152</v>
      </c>
      <c r="B90" s="67" t="s">
        <v>493</v>
      </c>
      <c r="C90" s="2">
        <v>413</v>
      </c>
      <c r="D90">
        <f>RTD("tos.rtd", , "LAST", Main_S[[#This Row],[Symbol]])</f>
        <v>6.11</v>
      </c>
      <c r="E90">
        <v>-2.71</v>
      </c>
      <c r="F90">
        <v>-0.63</v>
      </c>
      <c r="G90">
        <v>-3.5</v>
      </c>
      <c r="H90" s="1">
        <f>IF(ISNUMBER(Main_S[[#This Row],[Free CF]]),IF(Main_S[[#This Row],[Free CF]]&lt;&gt;0,Main_S[[#This Row],[Current Price]]/Main_S[[#This Row],[Free CF]],""),"")</f>
        <v>-2.2546125461254616</v>
      </c>
      <c r="I90" s="1">
        <f>IF(ISNUMBER(Main_S[[#This Row],[BVPS]]),IF(Main_S[[#This Row],[BVPS]]&lt;&gt;0,Main_S[[#This Row],[Current Price]]/Main_S[[#This Row],[BVPS]],""),"")</f>
        <v>-9.6984126984126995</v>
      </c>
      <c r="J90">
        <v>-2159.5</v>
      </c>
      <c r="K90">
        <v>-64.19</v>
      </c>
      <c r="L90">
        <v>-4.0599999999999996</v>
      </c>
      <c r="M90" s="1">
        <f>IF(ISNUMBER(Main_S[[#This Row],[EPS]]),IF(Main_S[[#This Row],[EPS]]&lt;&gt;0,Main_S[[#This Row],[Current Price]]/Main_S[[#This Row],[EPS]],""),"")</f>
        <v>-1.7457142857142858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0.89097098466991831</v>
      </c>
      <c r="P90" s="1">
        <f>(Main_S[[#This Row],[P/B]]-VLOOKUP(Main_S[[#This Row],[Industry]], Mean_PB_S, 2, FALSE))/(VLOOKUP(Main_S[[#This Row],[Industry]], Mean_PB_S, 3, FALSE))</f>
        <v>-4.9985251597564115</v>
      </c>
      <c r="Q90" s="1">
        <f>(Main_S[[#This Row],[ROE]]-VLOOKUP(Main_S[[#This Row],[Industry]], Mean_ROE_S, 2, FALSE))/(VLOOKUP(Main_S[[#This Row],[Industry]], Mean_ROE_S, 3, FALSE))</f>
        <v>-60.52020636120843</v>
      </c>
      <c r="R90" s="1">
        <f>(Main_S[[#This Row],[ROA]]-VLOOKUP(Main_S[[#This Row],[Industry]], Mean_ROA_S, 2, FALSE))/(VLOOKUP(Main_S[[#This Row],[Industry]], Mean_ROA_S, 3, FALSE))</f>
        <v>-2.5768746754904677</v>
      </c>
      <c r="S90" s="1">
        <f>(Main_S[[#This Row],[A/E]]-VLOOKUP(Main_S[[#This Row],[Industry]], Mean_AE_S, 2, FALSE))/(VLOOKUP(Main_S[[#This Row],[Industry]], Mean_AE_S, 3, FALSE))</f>
        <v>-12.395436639373726</v>
      </c>
      <c r="T90" s="1">
        <f>(Main_S[[#This Row],[P/E]]-VLOOKUP(Main_S[[#This Row],[Industry]], Mean_PE_S, 2, FALSE))/(VLOOKUP(Main_S[[#This Row],[Industry]], Mean_PE_S, 3, FALSE))</f>
        <v>0.95747192766586786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7" t="s">
        <v>152</v>
      </c>
      <c r="B91" s="67" t="s">
        <v>443</v>
      </c>
      <c r="C91" s="2">
        <v>587</v>
      </c>
      <c r="D91">
        <f>RTD("tos.rtd", , "LAST", Main_S[[#This Row],[Symbol]])</f>
        <v>14.76</v>
      </c>
      <c r="E91">
        <v>-2.71</v>
      </c>
      <c r="F91">
        <v>2.93</v>
      </c>
      <c r="G91">
        <v>-3.72</v>
      </c>
      <c r="H91" s="1">
        <f>IF(ISNUMBER(Main_S[[#This Row],[Free CF]]),IF(Main_S[[#This Row],[Free CF]]&lt;&gt;0,Main_S[[#This Row],[Current Price]]/Main_S[[#This Row],[Free CF]],""),"")</f>
        <v>-5.4464944649446494</v>
      </c>
      <c r="I91" s="1">
        <f>IF(ISNUMBER(Main_S[[#This Row],[BVPS]]),IF(Main_S[[#This Row],[BVPS]]&lt;&gt;0,Main_S[[#This Row],[Current Price]]/Main_S[[#This Row],[BVPS]],""),"")</f>
        <v>5.0375426621160404</v>
      </c>
      <c r="J91">
        <v>-150.5</v>
      </c>
      <c r="K91">
        <v>-58.15</v>
      </c>
      <c r="L91">
        <v>1.9</v>
      </c>
      <c r="M91" s="1">
        <f>IF(ISNUMBER(Main_S[[#This Row],[EPS]]),IF(Main_S[[#This Row],[EPS]]&lt;&gt;0,Main_S[[#This Row],[Current Price]]/Main_S[[#This Row],[EPS]],""),"")</f>
        <v>-3.9677419354838706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-3.4549415108042117E-2</v>
      </c>
      <c r="P91" s="1">
        <f>(Main_S[[#This Row],[P/B]]-VLOOKUP(Main_S[[#This Row],[Industry]], Mean_PB_S, 2, FALSE))/(VLOOKUP(Main_S[[#This Row],[Industry]], Mean_PB_S, 3, FALSE))</f>
        <v>0.69295107401019473</v>
      </c>
      <c r="Q91" s="1">
        <f>(Main_S[[#This Row],[ROE]]-VLOOKUP(Main_S[[#This Row],[Industry]], Mean_ROE_S, 2, FALSE))/(VLOOKUP(Main_S[[#This Row],[Industry]], Mean_ROE_S, 3, FALSE))</f>
        <v>-2.9873853669710955</v>
      </c>
      <c r="R91" s="1">
        <f>(Main_S[[#This Row],[ROA]]-VLOOKUP(Main_S[[#This Row],[Industry]], Mean_ROA_S, 2, FALSE))/(VLOOKUP(Main_S[[#This Row],[Industry]], Mean_ROA_S, 3, FALSE))</f>
        <v>-2.2030622678436442</v>
      </c>
      <c r="S91" s="1">
        <f>(Main_S[[#This Row],[A/E]]-VLOOKUP(Main_S[[#This Row],[Industry]], Mean_AE_S, 2, FALSE))/(VLOOKUP(Main_S[[#This Row],[Industry]], Mean_AE_S, 3, FALSE))</f>
        <v>1.0641544617013838</v>
      </c>
      <c r="T91" s="1">
        <f>(Main_S[[#This Row],[P/E]]-VLOOKUP(Main_S[[#This Row],[Industry]], Mean_PE_S, 2, FALSE))/(VLOOKUP(Main_S[[#This Row],[Industry]], Mean_PE_S, 3, FALSE))</f>
        <v>0.25775293914632086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7" t="s">
        <v>152</v>
      </c>
      <c r="B92" s="67" t="s">
        <v>455</v>
      </c>
      <c r="C92" s="2">
        <v>810</v>
      </c>
      <c r="D92">
        <f>RTD("tos.rtd", , "LAST", Main_S[[#This Row],[Symbol]])</f>
        <v>12.54</v>
      </c>
      <c r="E92">
        <v>-2.71</v>
      </c>
      <c r="F92">
        <v>6.31</v>
      </c>
      <c r="G92">
        <v>-2.81</v>
      </c>
      <c r="H92" s="1">
        <f>IF(ISNUMBER(Main_S[[#This Row],[Free CF]]),IF(Main_S[[#This Row],[Free CF]]&lt;&gt;0,Main_S[[#This Row],[Current Price]]/Main_S[[#This Row],[Free CF]],""),"")</f>
        <v>-4.6273062730627306</v>
      </c>
      <c r="I92" s="1">
        <f>IF(ISNUMBER(Main_S[[#This Row],[BVPS]]),IF(Main_S[[#This Row],[BVPS]]&lt;&gt;0,Main_S[[#This Row],[Current Price]]/Main_S[[#This Row],[BVPS]],""),"")</f>
        <v>1.9873217115689381</v>
      </c>
      <c r="J92">
        <v>-64.16</v>
      </c>
      <c r="K92">
        <v>-31.08</v>
      </c>
      <c r="L92">
        <v>1.28</v>
      </c>
      <c r="M92" s="1">
        <f>IF(ISNUMBER(Main_S[[#This Row],[EPS]]),IF(Main_S[[#This Row],[EPS]]&lt;&gt;0,Main_S[[#This Row],[Current Price]]/Main_S[[#This Row],[EPS]],""),"")</f>
        <v>-4.462633451957295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0.20298298807196627</v>
      </c>
      <c r="P92" s="1">
        <f>(Main_S[[#This Row],[P/B]]-VLOOKUP(Main_S[[#This Row],[Industry]], Mean_PB_S, 2, FALSE))/(VLOOKUP(Main_S[[#This Row],[Industry]], Mean_PB_S, 3, FALSE))</f>
        <v>-0.48513745998987812</v>
      </c>
      <c r="Q92" s="1">
        <f>(Main_S[[#This Row],[ROE]]-VLOOKUP(Main_S[[#This Row],[Industry]], Mean_ROE_S, 2, FALSE))/(VLOOKUP(Main_S[[#This Row],[Industry]], Mean_ROE_S, 3, FALSE))</f>
        <v>-0.51482002867221421</v>
      </c>
      <c r="R92" s="1">
        <f>(Main_S[[#This Row],[ROA]]-VLOOKUP(Main_S[[#This Row],[Industry]], Mean_ROA_S, 2, FALSE))/(VLOOKUP(Main_S[[#This Row],[Industry]], Mean_ROA_S, 3, FALSE))</f>
        <v>-0.52771427529405723</v>
      </c>
      <c r="S92" s="1">
        <f>(Main_S[[#This Row],[A/E]]-VLOOKUP(Main_S[[#This Row],[Industry]], Mean_AE_S, 2, FALSE))/(VLOOKUP(Main_S[[#This Row],[Industry]], Mean_AE_S, 3, FALSE))</f>
        <v>-0.33600434411515412</v>
      </c>
      <c r="T92" s="1">
        <f>(Main_S[[#This Row],[P/E]]-VLOOKUP(Main_S[[#This Row],[Industry]], Mean_PE_S, 2, FALSE))/(VLOOKUP(Main_S[[#This Row],[Industry]], Mean_PE_S, 3, FALSE))</f>
        <v>0.10191104790360947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s="67" t="s">
        <v>152</v>
      </c>
      <c r="B93" s="67" t="s">
        <v>438</v>
      </c>
      <c r="C93" s="2">
        <v>762</v>
      </c>
      <c r="D93">
        <f>RTD("tos.rtd", , "LAST", Main_S[[#This Row],[Symbol]])</f>
        <v>9.27</v>
      </c>
      <c r="E93">
        <v>-2.73</v>
      </c>
      <c r="F93">
        <v>3.53</v>
      </c>
      <c r="G93">
        <v>-3.13</v>
      </c>
      <c r="H93" s="1">
        <f>IF(ISNUMBER(Main_S[[#This Row],[Free CF]]),IF(Main_S[[#This Row],[Free CF]]&lt;&gt;0,Main_S[[#This Row],[Current Price]]/Main_S[[#This Row],[Free CF]],""),"")</f>
        <v>-3.3956043956043955</v>
      </c>
      <c r="I93" s="1">
        <f>IF(ISNUMBER(Main_S[[#This Row],[BVPS]]),IF(Main_S[[#This Row],[BVPS]]&lt;&gt;0,Main_S[[#This Row],[Current Price]]/Main_S[[#This Row],[BVPS]],""),"")</f>
        <v>2.6260623229461757</v>
      </c>
      <c r="J93">
        <v>-69.209999999999994</v>
      </c>
      <c r="K93">
        <v>-33.54</v>
      </c>
      <c r="L93">
        <v>1.1200000000000001</v>
      </c>
      <c r="M93" s="1">
        <f>IF(ISNUMBER(Main_S[[#This Row],[EPS]]),IF(Main_S[[#This Row],[EPS]]&lt;&gt;0,Main_S[[#This Row],[Current Price]]/Main_S[[#This Row],[EPS]],""),"")</f>
        <v>-2.9616613418530351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0.56012815917347869</v>
      </c>
      <c r="P93" s="1">
        <f>(Main_S[[#This Row],[P/B]]-VLOOKUP(Main_S[[#This Row],[Industry]], Mean_PB_S, 2, FALSE))/(VLOOKUP(Main_S[[#This Row],[Industry]], Mean_PB_S, 3, FALSE))</f>
        <v>-0.23843631844511584</v>
      </c>
      <c r="Q93" s="1">
        <f>(Main_S[[#This Row],[ROE]]-VLOOKUP(Main_S[[#This Row],[Industry]], Mean_ROE_S, 2, FALSE))/(VLOOKUP(Main_S[[#This Row],[Industry]], Mean_ROE_S, 3, FALSE))</f>
        <v>-0.65943961355071024</v>
      </c>
      <c r="R93" s="1">
        <f>(Main_S[[#This Row],[ROA]]-VLOOKUP(Main_S[[#This Row],[Industry]], Mean_ROA_S, 2, FALSE))/(VLOOKUP(Main_S[[#This Row],[Industry]], Mean_ROA_S, 3, FALSE))</f>
        <v>-0.67996237509723367</v>
      </c>
      <c r="S93" s="1">
        <f>(Main_S[[#This Row],[A/E]]-VLOOKUP(Main_S[[#This Row],[Industry]], Mean_AE_S, 2, FALSE))/(VLOOKUP(Main_S[[#This Row],[Industry]], Mean_AE_S, 3, FALSE))</f>
        <v>-0.6973356488420025</v>
      </c>
      <c r="T93" s="1">
        <f>(Main_S[[#This Row],[P/E]]-VLOOKUP(Main_S[[#This Row],[Industry]], Mean_PE_S, 2, FALSE))/(VLOOKUP(Main_S[[#This Row],[Industry]], Mean_PE_S, 3, FALSE))</f>
        <v>0.57456884169258882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s="67" t="s">
        <v>152</v>
      </c>
      <c r="B94" s="67" t="s">
        <v>407</v>
      </c>
      <c r="C94" s="2">
        <v>504</v>
      </c>
      <c r="D94">
        <f>RTD("tos.rtd", , "LAST", Main_S[[#This Row],[Symbol]])</f>
        <v>11.48</v>
      </c>
      <c r="E94">
        <v>-2.92</v>
      </c>
      <c r="F94">
        <v>8.42</v>
      </c>
      <c r="G94">
        <v>-3.05</v>
      </c>
      <c r="H94" s="1">
        <f>IF(ISNUMBER(Main_S[[#This Row],[Free CF]]),IF(Main_S[[#This Row],[Free CF]]&lt;&gt;0,Main_S[[#This Row],[Current Price]]/Main_S[[#This Row],[Free CF]],""),"")</f>
        <v>-3.9315068493150687</v>
      </c>
      <c r="I94" s="1">
        <f>IF(ISNUMBER(Main_S[[#This Row],[BVPS]]),IF(Main_S[[#This Row],[BVPS]]&lt;&gt;0,Main_S[[#This Row],[Current Price]]/Main_S[[#This Row],[BVPS]],""),"")</f>
        <v>1.3634204275534443</v>
      </c>
      <c r="J94">
        <v>-27.26</v>
      </c>
      <c r="K94">
        <v>-13.84</v>
      </c>
      <c r="L94">
        <v>1.04</v>
      </c>
      <c r="M94" s="1">
        <f>IF(ISNUMBER(Main_S[[#This Row],[EPS]]),IF(Main_S[[#This Row],[EPS]]&lt;&gt;0,Main_S[[#This Row],[Current Price]]/Main_S[[#This Row],[EPS]],""),"")</f>
        <v>-3.7639344262295085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0.40473749441361839</v>
      </c>
      <c r="P94" s="1">
        <f>(Main_S[[#This Row],[P/B]]-VLOOKUP(Main_S[[#This Row],[Industry]], Mean_PB_S, 2, FALSE))/(VLOOKUP(Main_S[[#This Row],[Industry]], Mean_PB_S, 3, FALSE))</f>
        <v>-0.72610719987535799</v>
      </c>
      <c r="Q94" s="1">
        <f>(Main_S[[#This Row],[ROE]]-VLOOKUP(Main_S[[#This Row],[Industry]], Mean_ROE_S, 2, FALSE))/(VLOOKUP(Main_S[[#This Row],[Industry]], Mean_ROE_S, 3, FALSE))</f>
        <v>0.54190525489541019</v>
      </c>
      <c r="R94" s="1">
        <f>(Main_S[[#This Row],[ROA]]-VLOOKUP(Main_S[[#This Row],[Industry]], Mean_ROA_S, 2, FALSE))/(VLOOKUP(Main_S[[#This Row],[Industry]], Mean_ROA_S, 3, FALSE))</f>
        <v>0.53926021275747149</v>
      </c>
      <c r="S94" s="1">
        <f>(Main_S[[#This Row],[A/E]]-VLOOKUP(Main_S[[#This Row],[Industry]], Mean_AE_S, 2, FALSE))/(VLOOKUP(Main_S[[#This Row],[Industry]], Mean_AE_S, 3, FALSE))</f>
        <v>-0.87800130120542696</v>
      </c>
      <c r="T94" s="1">
        <f>(Main_S[[#This Row],[P/E]]-VLOOKUP(Main_S[[#This Row],[Industry]], Mean_PE_S, 2, FALSE))/(VLOOKUP(Main_S[[#This Row],[Industry]], Mean_PE_S, 3, FALSE))</f>
        <v>0.32193215142702236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7" t="s">
        <v>152</v>
      </c>
      <c r="B95" s="67" t="s">
        <v>490</v>
      </c>
      <c r="C95" s="2">
        <v>683</v>
      </c>
      <c r="D95">
        <f>RTD("tos.rtd", , "LAST", Main_S[[#This Row],[Symbol]])</f>
        <v>5.43</v>
      </c>
      <c r="E95">
        <v>-3.09</v>
      </c>
      <c r="F95">
        <v>7.56</v>
      </c>
      <c r="G95">
        <v>-4.22</v>
      </c>
      <c r="H95" s="1">
        <f>IF(ISNUMBER(Main_S[[#This Row],[Free CF]]),IF(Main_S[[#This Row],[Free CF]]&lt;&gt;0,Main_S[[#This Row],[Current Price]]/Main_S[[#This Row],[Free CF]],""),"")</f>
        <v>-1.7572815533980581</v>
      </c>
      <c r="I95" s="1">
        <f>IF(ISNUMBER(Main_S[[#This Row],[BVPS]]),IF(Main_S[[#This Row],[BVPS]]&lt;&gt;0,Main_S[[#This Row],[Current Price]]/Main_S[[#This Row],[BVPS]],""),"")</f>
        <v>0.71825396825396826</v>
      </c>
      <c r="J95">
        <v>-44.59</v>
      </c>
      <c r="K95">
        <v>-23.52</v>
      </c>
      <c r="L95">
        <v>1.25</v>
      </c>
      <c r="M95" s="1">
        <f>IF(ISNUMBER(Main_S[[#This Row],[EPS]]),IF(Main_S[[#This Row],[EPS]]&lt;&gt;0,Main_S[[#This Row],[Current Price]]/Main_S[[#This Row],[EPS]],""),"")</f>
        <v>-1.2867298578199051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1.0351774405845899</v>
      </c>
      <c r="P95" s="1">
        <f>(Main_S[[#This Row],[P/B]]-VLOOKUP(Main_S[[#This Row],[Industry]], Mean_PB_S, 2, FALSE))/(VLOOKUP(Main_S[[#This Row],[Industry]], Mean_PB_S, 3, FALSE))</f>
        <v>-0.97529020023662971</v>
      </c>
      <c r="Q95" s="1">
        <f>(Main_S[[#This Row],[ROE]]-VLOOKUP(Main_S[[#This Row],[Industry]], Mean_ROE_S, 2, FALSE))/(VLOOKUP(Main_S[[#This Row],[Industry]], Mean_ROE_S, 3, FALSE))</f>
        <v>4.5616659658907842E-2</v>
      </c>
      <c r="R95" s="1">
        <f>(Main_S[[#This Row],[ROA]]-VLOOKUP(Main_S[[#This Row],[Industry]], Mean_ROA_S, 2, FALSE))/(VLOOKUP(Main_S[[#This Row],[Industry]], Mean_ROA_S, 3, FALSE))</f>
        <v>-5.9829871020881088E-2</v>
      </c>
      <c r="S95" s="1">
        <f>(Main_S[[#This Row],[A/E]]-VLOOKUP(Main_S[[#This Row],[Industry]], Mean_AE_S, 2, FALSE))/(VLOOKUP(Main_S[[#This Row],[Industry]], Mean_AE_S, 3, FALSE))</f>
        <v>-0.40375396375143829</v>
      </c>
      <c r="T95" s="1">
        <f>(Main_S[[#This Row],[P/E]]-VLOOKUP(Main_S[[#This Row],[Industry]], Mean_PE_S, 2, FALSE))/(VLOOKUP(Main_S[[#This Row],[Industry]], Mean_PE_S, 3, FALSE))</f>
        <v>1.1020066366132484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7" t="s">
        <v>152</v>
      </c>
      <c r="B96" s="67" t="s">
        <v>447</v>
      </c>
      <c r="C96" s="2">
        <v>1930</v>
      </c>
      <c r="D96">
        <f>RTD("tos.rtd", , "LAST", Main_S[[#This Row],[Symbol]])</f>
        <v>47.16</v>
      </c>
      <c r="E96">
        <v>-3.1</v>
      </c>
      <c r="F96">
        <v>12.07</v>
      </c>
      <c r="G96">
        <v>-3.11</v>
      </c>
      <c r="H96" s="1">
        <f>IF(ISNUMBER(Main_S[[#This Row],[Free CF]]),IF(Main_S[[#This Row],[Free CF]]&lt;&gt;0,Main_S[[#This Row],[Current Price]]/Main_S[[#This Row],[Free CF]],""),"")</f>
        <v>-15.21290322580645</v>
      </c>
      <c r="I96" s="1">
        <f>IF(ISNUMBER(Main_S[[#This Row],[BVPS]]),IF(Main_S[[#This Row],[BVPS]]&lt;&gt;0,Main_S[[#This Row],[Current Price]]/Main_S[[#This Row],[BVPS]],""),"")</f>
        <v>3.9072079536039763</v>
      </c>
      <c r="J96">
        <v>-32.17</v>
      </c>
      <c r="K96">
        <v>-19.47</v>
      </c>
      <c r="L96">
        <v>1.17</v>
      </c>
      <c r="M96" s="1">
        <f>IF(ISNUMBER(Main_S[[#This Row],[EPS]]),IF(Main_S[[#This Row],[EPS]]&lt;&gt;0,Main_S[[#This Row],[Current Price]]/Main_S[[#This Row],[EPS]],""),"")</f>
        <v>-15.163987138263666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-2.8664243937700666</v>
      </c>
      <c r="P96" s="1">
        <f>(Main_S[[#This Row],[P/B]]-VLOOKUP(Main_S[[#This Row],[Industry]], Mean_PB_S, 2, FALSE))/(VLOOKUP(Main_S[[#This Row],[Industry]], Mean_PB_S, 3, FALSE))</f>
        <v>0.25638127094673829</v>
      </c>
      <c r="Q96" s="1">
        <f>(Main_S[[#This Row],[ROE]]-VLOOKUP(Main_S[[#This Row],[Industry]], Mean_ROE_S, 2, FALSE))/(VLOOKUP(Main_S[[#This Row],[Industry]], Mean_ROE_S, 3, FALSE))</f>
        <v>0.40129492583532789</v>
      </c>
      <c r="R96" s="1">
        <f>(Main_S[[#This Row],[ROA]]-VLOOKUP(Main_S[[#This Row],[Industry]], Mean_ROA_S, 2, FALSE))/(VLOOKUP(Main_S[[#This Row],[Industry]], Mean_ROA_S, 3, FALSE))</f>
        <v>0.19082248841117763</v>
      </c>
      <c r="S96" s="1">
        <f>(Main_S[[#This Row],[A/E]]-VLOOKUP(Main_S[[#This Row],[Industry]], Mean_AE_S, 2, FALSE))/(VLOOKUP(Main_S[[#This Row],[Industry]], Mean_AE_S, 3, FALSE))</f>
        <v>-0.58441961611486271</v>
      </c>
      <c r="T96" s="1">
        <f>(Main_S[[#This Row],[P/E]]-VLOOKUP(Main_S[[#This Row],[Industry]], Mean_PE_S, 2, FALSE))/(VLOOKUP(Main_S[[#This Row],[Industry]], Mean_PE_S, 3, FALSE))</f>
        <v>-3.267957179410613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7" t="s">
        <v>152</v>
      </c>
      <c r="B97" s="67" t="s">
        <v>435</v>
      </c>
      <c r="C97" s="2">
        <v>1742</v>
      </c>
      <c r="D97">
        <f>RTD("tos.rtd", , "LAST", Main_S[[#This Row],[Symbol]])</f>
        <v>21.71</v>
      </c>
      <c r="E97">
        <v>-3.15</v>
      </c>
      <c r="F97">
        <v>11.7</v>
      </c>
      <c r="G97">
        <v>-3.61</v>
      </c>
      <c r="H97" s="1">
        <f>IF(ISNUMBER(Main_S[[#This Row],[Free CF]]),IF(Main_S[[#This Row],[Free CF]]&lt;&gt;0,Main_S[[#This Row],[Current Price]]/Main_S[[#This Row],[Free CF]],""),"")</f>
        <v>-6.8920634920634924</v>
      </c>
      <c r="I97" s="1">
        <f>IF(ISNUMBER(Main_S[[#This Row],[BVPS]]),IF(Main_S[[#This Row],[BVPS]]&lt;&gt;0,Main_S[[#This Row],[Current Price]]/Main_S[[#This Row],[BVPS]],""),"")</f>
        <v>1.8555555555555558</v>
      </c>
      <c r="J97">
        <v>-31.34</v>
      </c>
      <c r="K97">
        <v>-21.84</v>
      </c>
      <c r="L97">
        <v>1.07</v>
      </c>
      <c r="M97" s="1">
        <f>IF(ISNUMBER(Main_S[[#This Row],[EPS]]),IF(Main_S[[#This Row],[EPS]]&lt;&gt;0,Main_S[[#This Row],[Current Price]]/Main_S[[#This Row],[EPS]],""),"")</f>
        <v>-6.0138504155124659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-0.45370766027915926</v>
      </c>
      <c r="P97" s="1">
        <f>(Main_S[[#This Row],[P/B]]-VLOOKUP(Main_S[[#This Row],[Industry]], Mean_PB_S, 2, FALSE))/(VLOOKUP(Main_S[[#This Row],[Industry]], Mean_PB_S, 3, FALSE))</f>
        <v>-0.53602957570391752</v>
      </c>
      <c r="Q97" s="1">
        <f>(Main_S[[#This Row],[ROE]]-VLOOKUP(Main_S[[#This Row],[Industry]], Mean_ROE_S, 2, FALSE))/(VLOOKUP(Main_S[[#This Row],[Industry]], Mean_ROE_S, 3, FALSE))</f>
        <v>0.42506408533020945</v>
      </c>
      <c r="R97" s="1">
        <f>(Main_S[[#This Row],[ROA]]-VLOOKUP(Main_S[[#This Row],[Industry]], Mean_ROA_S, 2, FALSE))/(VLOOKUP(Main_S[[#This Row],[Industry]], Mean_ROA_S, 3, FALSE))</f>
        <v>4.4144441039824713E-2</v>
      </c>
      <c r="S97" s="1">
        <f>(Main_S[[#This Row],[A/E]]-VLOOKUP(Main_S[[#This Row],[Industry]], Mean_AE_S, 2, FALSE))/(VLOOKUP(Main_S[[#This Row],[Industry]], Mean_AE_S, 3, FALSE))</f>
        <v>-0.81025168156914285</v>
      </c>
      <c r="T97" s="1">
        <f>(Main_S[[#This Row],[P/E]]-VLOOKUP(Main_S[[#This Row],[Industry]], Mean_PE_S, 2, FALSE))/(VLOOKUP(Main_S[[#This Row],[Industry]], Mean_PE_S, 3, FALSE))</f>
        <v>-0.38656890635156838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7" t="s">
        <v>152</v>
      </c>
      <c r="B98" s="67" t="s">
        <v>486</v>
      </c>
      <c r="C98" s="2">
        <v>497</v>
      </c>
      <c r="D98">
        <f>RTD("tos.rtd", , "LAST", Main_S[[#This Row],[Symbol]])</f>
        <v>11.29</v>
      </c>
      <c r="E98">
        <v>-3.16</v>
      </c>
      <c r="F98">
        <v>8.31</v>
      </c>
      <c r="G98">
        <v>-3.4</v>
      </c>
      <c r="H98" s="1">
        <f>IF(ISNUMBER(Main_S[[#This Row],[Free CF]]),IF(Main_S[[#This Row],[Free CF]]&lt;&gt;0,Main_S[[#This Row],[Current Price]]/Main_S[[#This Row],[Free CF]],""),"")</f>
        <v>-3.5727848101265818</v>
      </c>
      <c r="I98" s="1">
        <f>IF(ISNUMBER(Main_S[[#This Row],[BVPS]]),IF(Main_S[[#This Row],[BVPS]]&lt;&gt;0,Main_S[[#This Row],[Current Price]]/Main_S[[#This Row],[BVPS]],""),"")</f>
        <v>1.3586040914560769</v>
      </c>
      <c r="J98">
        <v>-28.62</v>
      </c>
      <c r="K98">
        <v>-16.91</v>
      </c>
      <c r="L98">
        <v>1.02</v>
      </c>
      <c r="M98" s="1">
        <f>IF(ISNUMBER(Main_S[[#This Row],[EPS]]),IF(Main_S[[#This Row],[EPS]]&lt;&gt;0,Main_S[[#This Row],[Current Price]]/Main_S[[#This Row],[EPS]],""),"")</f>
        <v>-3.3205882352941174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0.50875279747398849</v>
      </c>
      <c r="P98" s="1">
        <f>(Main_S[[#This Row],[P/B]]-VLOOKUP(Main_S[[#This Row],[Industry]], Mean_PB_S, 2, FALSE))/(VLOOKUP(Main_S[[#This Row],[Industry]], Mean_PB_S, 3, FALSE))</f>
        <v>-0.72796741604467563</v>
      </c>
      <c r="Q98" s="1">
        <f>(Main_S[[#This Row],[ROE]]-VLOOKUP(Main_S[[#This Row],[Industry]], Mean_ROE_S, 2, FALSE))/(VLOOKUP(Main_S[[#This Row],[Industry]], Mean_ROE_S, 3, FALSE))</f>
        <v>0.50295819837367661</v>
      </c>
      <c r="R98" s="1">
        <f>(Main_S[[#This Row],[ROA]]-VLOOKUP(Main_S[[#This Row],[Industry]], Mean_ROA_S, 2, FALSE))/(VLOOKUP(Main_S[[#This Row],[Industry]], Mean_ROA_S, 3, FALSE))</f>
        <v>0.34925953536082449</v>
      </c>
      <c r="S98" s="1">
        <f>(Main_S[[#This Row],[A/E]]-VLOOKUP(Main_S[[#This Row],[Industry]], Mean_AE_S, 2, FALSE))/(VLOOKUP(Main_S[[#This Row],[Industry]], Mean_AE_S, 3, FALSE))</f>
        <v>-0.92316771429628308</v>
      </c>
      <c r="T98" s="1">
        <f>(Main_S[[#This Row],[P/E]]-VLOOKUP(Main_S[[#This Row],[Industry]], Mean_PE_S, 2, FALSE))/(VLOOKUP(Main_S[[#This Row],[Industry]], Mean_PE_S, 3, FALSE))</f>
        <v>0.46154236209090588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7" t="s">
        <v>152</v>
      </c>
      <c r="B99" s="67" t="s">
        <v>460</v>
      </c>
      <c r="C99" s="2">
        <v>410</v>
      </c>
      <c r="D99">
        <f>RTD("tos.rtd", , "LAST", Main_S[[#This Row],[Symbol]])</f>
        <v>12.54</v>
      </c>
      <c r="E99">
        <v>-3.18</v>
      </c>
      <c r="F99">
        <v>9.66</v>
      </c>
      <c r="G99">
        <v>-3.04</v>
      </c>
      <c r="H99" s="1">
        <f>IF(ISNUMBER(Main_S[[#This Row],[Free CF]]),IF(Main_S[[#This Row],[Free CF]]&lt;&gt;0,Main_S[[#This Row],[Current Price]]/Main_S[[#This Row],[Free CF]],""),"")</f>
        <v>-3.9433962264150937</v>
      </c>
      <c r="I99" s="1">
        <f>IF(ISNUMBER(Main_S[[#This Row],[BVPS]]),IF(Main_S[[#This Row],[BVPS]]&lt;&gt;0,Main_S[[#This Row],[Current Price]]/Main_S[[#This Row],[BVPS]],""),"")</f>
        <v>1.2981366459627328</v>
      </c>
      <c r="L99">
        <v>1.04</v>
      </c>
      <c r="M99" s="1">
        <f>IF(ISNUMBER(Main_S[[#This Row],[EPS]]),IF(Main_S[[#This Row],[EPS]]&lt;&gt;0,Main_S[[#This Row],[Current Price]]/Main_S[[#This Row],[EPS]],""),"")</f>
        <v>-4.125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0.40129004199319901</v>
      </c>
      <c r="P99" s="1">
        <f>(Main_S[[#This Row],[P/B]]-VLOOKUP(Main_S[[#This Row],[Industry]], Mean_PB_S, 2, FALSE))/(VLOOKUP(Main_S[[#This Row],[Industry]], Mean_PB_S, 3, FALSE))</f>
        <v>-0.75132179114435671</v>
      </c>
      <c r="Q99" s="1">
        <f>(Main_S[[#This Row],[ROE]]-VLOOKUP(Main_S[[#This Row],[Industry]], Mean_ROE_S, 2, FALSE))/(VLOOKUP(Main_S[[#This Row],[Industry]], Mean_ROE_S, 3, FALSE))</f>
        <v>1.3225646378236879</v>
      </c>
      <c r="R99" s="1">
        <f>(Main_S[[#This Row],[ROA]]-VLOOKUP(Main_S[[#This Row],[Industry]], Mean_ROA_S, 2, FALSE))/(VLOOKUP(Main_S[[#This Row],[Industry]], Mean_ROA_S, 3, FALSE))</f>
        <v>1.3958104978290002</v>
      </c>
      <c r="S99" s="1">
        <f>(Main_S[[#This Row],[A/E]]-VLOOKUP(Main_S[[#This Row],[Industry]], Mean_AE_S, 2, FALSE))/(VLOOKUP(Main_S[[#This Row],[Industry]], Mean_AE_S, 3, FALSE))</f>
        <v>-0.87800130120542696</v>
      </c>
      <c r="T99" s="1">
        <f>(Main_S[[#This Row],[P/E]]-VLOOKUP(Main_S[[#This Row],[Industry]], Mean_PE_S, 2, FALSE))/(VLOOKUP(Main_S[[#This Row],[Industry]], Mean_PE_S, 3, FALSE))</f>
        <v>0.20823219900108547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7" t="s">
        <v>152</v>
      </c>
      <c r="B100" s="67" t="s">
        <v>424</v>
      </c>
      <c r="C100" s="2">
        <v>1359</v>
      </c>
      <c r="D100">
        <f>RTD("tos.rtd", , "LAST", Main_S[[#This Row],[Symbol]])</f>
        <v>14.4</v>
      </c>
      <c r="E100">
        <v>-3.19</v>
      </c>
      <c r="F100">
        <v>5.89</v>
      </c>
      <c r="G100">
        <v>-3.62</v>
      </c>
      <c r="H100" s="1">
        <f>IF(ISNUMBER(Main_S[[#This Row],[Free CF]]),IF(Main_S[[#This Row],[Free CF]]&lt;&gt;0,Main_S[[#This Row],[Current Price]]/Main_S[[#This Row],[Free CF]],""),"")</f>
        <v>-4.5141065830721008</v>
      </c>
      <c r="I100" s="1">
        <f>IF(ISNUMBER(Main_S[[#This Row],[BVPS]]),IF(Main_S[[#This Row],[BVPS]]&lt;&gt;0,Main_S[[#This Row],[Current Price]]/Main_S[[#This Row],[BVPS]],""),"")</f>
        <v>2.4448217317487266</v>
      </c>
      <c r="J100">
        <v>-64.010000000000005</v>
      </c>
      <c r="K100">
        <v>-39.92</v>
      </c>
      <c r="L100">
        <v>1.08</v>
      </c>
      <c r="M100" s="1">
        <f>IF(ISNUMBER(Main_S[[#This Row],[EPS]]),IF(Main_S[[#This Row],[EPS]]&lt;&gt;0,Main_S[[#This Row],[Current Price]]/Main_S[[#This Row],[EPS]],""),"")</f>
        <v>-3.9779005524861879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0.23580645241040496</v>
      </c>
      <c r="P100" s="1">
        <f>(Main_S[[#This Row],[P/B]]-VLOOKUP(Main_S[[#This Row],[Industry]], Mean_PB_S, 2, FALSE))/(VLOOKUP(Main_S[[#This Row],[Industry]], Mean_PB_S, 3, FALSE))</f>
        <v>-0.3084369727737184</v>
      </c>
      <c r="Q100" s="1">
        <f>(Main_S[[#This Row],[ROE]]-VLOOKUP(Main_S[[#This Row],[Industry]], Mean_ROE_S, 2, FALSE))/(VLOOKUP(Main_S[[#This Row],[Industry]], Mean_ROE_S, 3, FALSE))</f>
        <v>-0.51052439743819977</v>
      </c>
      <c r="R100" s="1">
        <f>(Main_S[[#This Row],[ROA]]-VLOOKUP(Main_S[[#This Row],[Industry]], Mean_ROA_S, 2, FALSE))/(VLOOKUP(Main_S[[#This Row],[Industry]], Mean_ROA_S, 3, FALSE))</f>
        <v>-1.0748172030420571</v>
      </c>
      <c r="S100" s="1">
        <f>(Main_S[[#This Row],[A/E]]-VLOOKUP(Main_S[[#This Row],[Industry]], Mean_AE_S, 2, FALSE))/(VLOOKUP(Main_S[[#This Row],[Industry]], Mean_AE_S, 3, FALSE))</f>
        <v>-0.78766847502371473</v>
      </c>
      <c r="T100" s="1">
        <f>(Main_S[[#This Row],[P/E]]-VLOOKUP(Main_S[[#This Row],[Industry]], Mean_PE_S, 2, FALSE))/(VLOOKUP(Main_S[[#This Row],[Industry]], Mean_PE_S, 3, FALSE))</f>
        <v>0.25455397930693452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7" t="s">
        <v>152</v>
      </c>
      <c r="B101" s="67" t="s">
        <v>479</v>
      </c>
      <c r="C101" s="2">
        <v>922</v>
      </c>
      <c r="D101">
        <f>RTD("tos.rtd", , "LAST", Main_S[[#This Row],[Symbol]])</f>
        <v>17.16</v>
      </c>
      <c r="E101">
        <v>-3.21</v>
      </c>
      <c r="F101">
        <v>5.42</v>
      </c>
      <c r="G101">
        <v>-3.01</v>
      </c>
      <c r="H101" s="1">
        <f>IF(ISNUMBER(Main_S[[#This Row],[Free CF]]),IF(Main_S[[#This Row],[Free CF]]&lt;&gt;0,Main_S[[#This Row],[Current Price]]/Main_S[[#This Row],[Free CF]],""),"")</f>
        <v>-5.3457943925233646</v>
      </c>
      <c r="I101" s="1">
        <f>IF(ISNUMBER(Main_S[[#This Row],[BVPS]]),IF(Main_S[[#This Row],[BVPS]]&lt;&gt;0,Main_S[[#This Row],[Current Price]]/Main_S[[#This Row],[BVPS]],""),"")</f>
        <v>3.1660516605166054</v>
      </c>
      <c r="J101">
        <v>-65.819999999999993</v>
      </c>
      <c r="K101">
        <v>-25.34</v>
      </c>
      <c r="L101">
        <v>1.74</v>
      </c>
      <c r="M101" s="1">
        <f>IF(ISNUMBER(Main_S[[#This Row],[EPS]]),IF(Main_S[[#This Row],[EPS]]&lt;&gt;0,Main_S[[#This Row],[Current Price]]/Main_S[[#This Row],[EPS]],""),"")</f>
        <v>-5.7009966777408643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-5.3503489597882181E-3</v>
      </c>
      <c r="P101" s="1">
        <f>(Main_S[[#This Row],[P/B]]-VLOOKUP(Main_S[[#This Row],[Industry]], Mean_PB_S, 2, FALSE))/(VLOOKUP(Main_S[[#This Row],[Industry]], Mean_PB_S, 3, FALSE))</f>
        <v>-2.9875936299712885E-2</v>
      </c>
      <c r="Q101" s="1">
        <f>(Main_S[[#This Row],[ROE]]-VLOOKUP(Main_S[[#This Row],[Industry]], Mean_ROE_S, 2, FALSE))/(VLOOKUP(Main_S[[#This Row],[Industry]], Mean_ROE_S, 3, FALSE))</f>
        <v>-0.56235834766197723</v>
      </c>
      <c r="R101" s="1">
        <f>(Main_S[[#This Row],[ROA]]-VLOOKUP(Main_S[[#This Row],[Industry]], Mean_ROA_S, 2, FALSE))/(VLOOKUP(Main_S[[#This Row],[Industry]], Mean_ROA_S, 3, FALSE))</f>
        <v>-0.17246870908664574</v>
      </c>
      <c r="S101" s="1">
        <f>(Main_S[[#This Row],[A/E]]-VLOOKUP(Main_S[[#This Row],[Industry]], Mean_AE_S, 2, FALSE))/(VLOOKUP(Main_S[[#This Row],[Industry]], Mean_AE_S, 3, FALSE))</f>
        <v>0.70282315697453557</v>
      </c>
      <c r="T101" s="1">
        <f>(Main_S[[#This Row],[P/E]]-VLOOKUP(Main_S[[#This Row],[Industry]], Mean_PE_S, 2, FALSE))/(VLOOKUP(Main_S[[#This Row],[Industry]], Mean_PE_S, 3, FALSE))</f>
        <v>-0.28805091492567197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7" t="s">
        <v>152</v>
      </c>
      <c r="B102" s="67" t="s">
        <v>465</v>
      </c>
      <c r="C102" s="2">
        <v>946</v>
      </c>
      <c r="D102">
        <f>RTD("tos.rtd", , "LAST", Main_S[[#This Row],[Symbol]])</f>
        <v>9.85</v>
      </c>
      <c r="E102">
        <v>-3.25</v>
      </c>
      <c r="F102">
        <v>5.01</v>
      </c>
      <c r="G102">
        <v>-4.2</v>
      </c>
      <c r="H102" s="1">
        <f>IF(ISNUMBER(Main_S[[#This Row],[Free CF]]),IF(Main_S[[#This Row],[Free CF]]&lt;&gt;0,Main_S[[#This Row],[Current Price]]/Main_S[[#This Row],[Free CF]],""),"")</f>
        <v>-3.0307692307692307</v>
      </c>
      <c r="I102" s="1">
        <f>IF(ISNUMBER(Main_S[[#This Row],[BVPS]]),IF(Main_S[[#This Row],[BVPS]]&lt;&gt;0,Main_S[[#This Row],[Current Price]]/Main_S[[#This Row],[BVPS]],""),"")</f>
        <v>1.9660678642714571</v>
      </c>
      <c r="J102">
        <v>-63.17</v>
      </c>
      <c r="K102">
        <v>-22.25</v>
      </c>
      <c r="L102">
        <v>2.1800000000000002</v>
      </c>
      <c r="M102" s="1">
        <f>IF(ISNUMBER(Main_S[[#This Row],[EPS]]),IF(Main_S[[#This Row],[EPS]]&lt;&gt;0,Main_S[[#This Row],[Current Price]]/Main_S[[#This Row],[EPS]],""),"")</f>
        <v>-2.3452380952380949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0.66591602858696108</v>
      </c>
      <c r="P102" s="1">
        <f>(Main_S[[#This Row],[P/B]]-VLOOKUP(Main_S[[#This Row],[Industry]], Mean_PB_S, 2, FALSE))/(VLOOKUP(Main_S[[#This Row],[Industry]], Mean_PB_S, 3, FALSE))</f>
        <v>-0.49334634525114412</v>
      </c>
      <c r="Q102" s="1">
        <f>(Main_S[[#This Row],[ROE]]-VLOOKUP(Main_S[[#This Row],[Industry]], Mean_ROE_S, 2, FALSE))/(VLOOKUP(Main_S[[#This Row],[Industry]], Mean_ROE_S, 3, FALSE))</f>
        <v>-0.48646886252771715</v>
      </c>
      <c r="R102" s="1">
        <f>(Main_S[[#This Row],[ROA]]-VLOOKUP(Main_S[[#This Row],[Industry]], Mean_ROA_S, 2, FALSE))/(VLOOKUP(Main_S[[#This Row],[Industry]], Mean_ROA_S, 3, FALSE))</f>
        <v>1.8769757739295307E-2</v>
      </c>
      <c r="S102" s="1">
        <f>(Main_S[[#This Row],[A/E]]-VLOOKUP(Main_S[[#This Row],[Industry]], Mean_AE_S, 2, FALSE))/(VLOOKUP(Main_S[[#This Row],[Industry]], Mean_AE_S, 3, FALSE))</f>
        <v>1.6964842449733695</v>
      </c>
      <c r="T102" s="1">
        <f>(Main_S[[#This Row],[P/E]]-VLOOKUP(Main_S[[#This Row],[Industry]], Mean_PE_S, 2, FALSE))/(VLOOKUP(Main_S[[#This Row],[Industry]], Mean_PE_S, 3, FALSE))</f>
        <v>0.76868121048604987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7" t="s">
        <v>152</v>
      </c>
      <c r="B103" s="67" t="s">
        <v>483</v>
      </c>
      <c r="C103" s="2">
        <v>1334</v>
      </c>
      <c r="D103">
        <f>RTD("tos.rtd", , "LAST", Main_S[[#This Row],[Symbol]])</f>
        <v>14.91</v>
      </c>
      <c r="E103">
        <v>-3.27</v>
      </c>
      <c r="F103">
        <v>0.37</v>
      </c>
      <c r="G103">
        <v>-2.77</v>
      </c>
      <c r="H103" s="1">
        <f>IF(ISNUMBER(Main_S[[#This Row],[Free CF]]),IF(Main_S[[#This Row],[Free CF]]&lt;&gt;0,Main_S[[#This Row],[Current Price]]/Main_S[[#This Row],[Free CF]],""),"")</f>
        <v>-4.5596330275229358</v>
      </c>
      <c r="I103" s="1">
        <f>IF(ISNUMBER(Main_S[[#This Row],[BVPS]]),IF(Main_S[[#This Row],[BVPS]]&lt;&gt;0,Main_S[[#This Row],[Current Price]]/Main_S[[#This Row],[BVPS]],""),"")</f>
        <v>40.297297297297298</v>
      </c>
      <c r="J103">
        <v>-422.66</v>
      </c>
      <c r="K103">
        <v>-23.21</v>
      </c>
      <c r="L103">
        <v>16.72</v>
      </c>
      <c r="M103" s="1">
        <f>IF(ISNUMBER(Main_S[[#This Row],[EPS]]),IF(Main_S[[#This Row],[EPS]]&lt;&gt;0,Main_S[[#This Row],[Current Price]]/Main_S[[#This Row],[EPS]],""),"")</f>
        <v>-5.3826714801444044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0.22260557150683016</v>
      </c>
      <c r="P103" s="1">
        <f>(Main_S[[#This Row],[P/B]]-VLOOKUP(Main_S[[#This Row],[Industry]], Mean_PB_S, 2, FALSE))/(VLOOKUP(Main_S[[#This Row],[Industry]], Mean_PB_S, 3, FALSE))</f>
        <v>14.311345715195879</v>
      </c>
      <c r="Q103" s="1">
        <f>(Main_S[[#This Row],[ROE]]-VLOOKUP(Main_S[[#This Row],[Industry]], Mean_ROE_S, 2, FALSE))/(VLOOKUP(Main_S[[#This Row],[Industry]], Mean_ROE_S, 3, FALSE))</f>
        <v>-10.781378677967428</v>
      </c>
      <c r="R103" s="1">
        <f>(Main_S[[#This Row],[ROA]]-VLOOKUP(Main_S[[#This Row],[Industry]], Mean_ROA_S, 2, FALSE))/(VLOOKUP(Main_S[[#This Row],[Industry]], Mean_ROA_S, 3, FALSE))</f>
        <v>-4.0644134866822355E-2</v>
      </c>
      <c r="S103" s="1">
        <f>(Main_S[[#This Row],[A/E]]-VLOOKUP(Main_S[[#This Row],[Industry]], Mean_AE_S, 2, FALSE))/(VLOOKUP(Main_S[[#This Row],[Industry]], Mean_AE_S, 3, FALSE))</f>
        <v>34.532466562025732</v>
      </c>
      <c r="T103" s="1">
        <f>(Main_S[[#This Row],[P/E]]-VLOOKUP(Main_S[[#This Row],[Industry]], Mean_PE_S, 2, FALSE))/(VLOOKUP(Main_S[[#This Row],[Industry]], Mean_PE_S, 3, FALSE))</f>
        <v>-0.18780995469028658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7" t="s">
        <v>152</v>
      </c>
      <c r="B104" s="67" t="s">
        <v>398</v>
      </c>
      <c r="C104" s="2">
        <v>340</v>
      </c>
      <c r="D104">
        <f>RTD("tos.rtd", , "LAST", Main_S[[#This Row],[Symbol]])</f>
        <v>12.54</v>
      </c>
      <c r="E104">
        <v>-3.32</v>
      </c>
      <c r="F104">
        <v>8.6199999999999992</v>
      </c>
      <c r="G104">
        <v>-2.52</v>
      </c>
      <c r="H104" s="1">
        <f>IF(ISNUMBER(Main_S[[#This Row],[Free CF]]),IF(Main_S[[#This Row],[Free CF]]&lt;&gt;0,Main_S[[#This Row],[Current Price]]/Main_S[[#This Row],[Free CF]],""),"")</f>
        <v>-3.7771084337349397</v>
      </c>
      <c r="I104" s="1">
        <f>IF(ISNUMBER(Main_S[[#This Row],[BVPS]]),IF(Main_S[[#This Row],[BVPS]]&lt;&gt;0,Main_S[[#This Row],[Current Price]]/Main_S[[#This Row],[BVPS]],""),"")</f>
        <v>1.4547563805104409</v>
      </c>
      <c r="J104">
        <v>-27.4</v>
      </c>
      <c r="K104">
        <v>-13.67</v>
      </c>
      <c r="L104">
        <v>1.42</v>
      </c>
      <c r="M104" s="1">
        <f>IF(ISNUMBER(Main_S[[#This Row],[EPS]]),IF(Main_S[[#This Row],[EPS]]&lt;&gt;0,Main_S[[#This Row],[Current Price]]/Main_S[[#This Row],[EPS]],""),"")</f>
        <v>-4.9761904761904754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0.44950697115092481</v>
      </c>
      <c r="P104" s="1">
        <f>(Main_S[[#This Row],[P/B]]-VLOOKUP(Main_S[[#This Row],[Industry]], Mean_PB_S, 2, FALSE))/(VLOOKUP(Main_S[[#This Row],[Industry]], Mean_PB_S, 3, FALSE))</f>
        <v>-0.69083046397158421</v>
      </c>
      <c r="Q104" s="1">
        <f>(Main_S[[#This Row],[ROE]]-VLOOKUP(Main_S[[#This Row],[Industry]], Mean_ROE_S, 2, FALSE))/(VLOOKUP(Main_S[[#This Row],[Industry]], Mean_ROE_S, 3, FALSE))</f>
        <v>0.53789599907699648</v>
      </c>
      <c r="R104" s="1">
        <f>(Main_S[[#This Row],[ROA]]-VLOOKUP(Main_S[[#This Row],[Industry]], Mean_ROA_S, 2, FALSE))/(VLOOKUP(Main_S[[#This Row],[Industry]], Mean_ROA_S, 3, FALSE))</f>
        <v>0.54978142290647147</v>
      </c>
      <c r="S104" s="1">
        <f>(Main_S[[#This Row],[A/E]]-VLOOKUP(Main_S[[#This Row],[Industry]], Mean_AE_S, 2, FALSE))/(VLOOKUP(Main_S[[#This Row],[Industry]], Mean_AE_S, 3, FALSE))</f>
        <v>-1.9839452479161818E-2</v>
      </c>
      <c r="T104" s="1">
        <f>(Main_S[[#This Row],[P/E]]-VLOOKUP(Main_S[[#This Row],[Industry]], Mean_PE_S, 2, FALSE))/(VLOOKUP(Main_S[[#This Row],[Industry]], Mean_PE_S, 3, FALSE))</f>
        <v>-5.9808632578679806E-2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7" t="s">
        <v>152</v>
      </c>
      <c r="B105" s="67" t="s">
        <v>476</v>
      </c>
      <c r="C105" s="2">
        <v>907</v>
      </c>
      <c r="D105">
        <f>RTD("tos.rtd", , "LAST", Main_S[[#This Row],[Symbol]])</f>
        <v>11.09</v>
      </c>
      <c r="E105">
        <v>-3.34</v>
      </c>
      <c r="F105">
        <v>2.5</v>
      </c>
      <c r="G105">
        <v>-3.86</v>
      </c>
      <c r="H105" s="1">
        <f>IF(ISNUMBER(Main_S[[#This Row],[Free CF]]),IF(Main_S[[#This Row],[Free CF]]&lt;&gt;0,Main_S[[#This Row],[Current Price]]/Main_S[[#This Row],[Free CF]],""),"")</f>
        <v>-3.3203592814371259</v>
      </c>
      <c r="I105" s="1">
        <f>IF(ISNUMBER(Main_S[[#This Row],[BVPS]]),IF(Main_S[[#This Row],[BVPS]]&lt;&gt;0,Main_S[[#This Row],[Current Price]]/Main_S[[#This Row],[BVPS]],""),"")</f>
        <v>4.4359999999999999</v>
      </c>
      <c r="J105">
        <v>-93.7</v>
      </c>
      <c r="K105">
        <v>-36.29</v>
      </c>
      <c r="L105">
        <v>2.98</v>
      </c>
      <c r="M105" s="1">
        <f>IF(ISNUMBER(Main_S[[#This Row],[EPS]]),IF(Main_S[[#This Row],[EPS]]&lt;&gt;0,Main_S[[#This Row],[Current Price]]/Main_S[[#This Row],[EPS]],""),"")</f>
        <v>-2.8730569948186528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0.5819462871358041</v>
      </c>
      <c r="P105" s="1">
        <f>(Main_S[[#This Row],[P/B]]-VLOOKUP(Main_S[[#This Row],[Industry]], Mean_PB_S, 2, FALSE))/(VLOOKUP(Main_S[[#This Row],[Industry]], Mean_PB_S, 3, FALSE))</f>
        <v>0.46061691709488117</v>
      </c>
      <c r="Q105" s="1">
        <f>(Main_S[[#This Row],[ROE]]-VLOOKUP(Main_S[[#This Row],[Industry]], Mean_ROE_S, 2, FALSE))/(VLOOKUP(Main_S[[#This Row],[Industry]], Mean_ROE_S, 3, FALSE))</f>
        <v>-1.3607730063575161</v>
      </c>
      <c r="R105" s="1">
        <f>(Main_S[[#This Row],[ROA]]-VLOOKUP(Main_S[[#This Row],[Industry]], Mean_ROA_S, 2, FALSE))/(VLOOKUP(Main_S[[#This Row],[Industry]], Mean_ROA_S, 3, FALSE))</f>
        <v>-0.85015842162517474</v>
      </c>
      <c r="S105" s="1">
        <f>(Main_S[[#This Row],[A/E]]-VLOOKUP(Main_S[[#This Row],[Industry]], Mean_AE_S, 2, FALSE))/(VLOOKUP(Main_S[[#This Row],[Industry]], Mean_AE_S, 3, FALSE))</f>
        <v>3.5031407686076119</v>
      </c>
      <c r="T105" s="1">
        <f>(Main_S[[#This Row],[P/E]]-VLOOKUP(Main_S[[#This Row],[Industry]], Mean_PE_S, 2, FALSE))/(VLOOKUP(Main_S[[#This Row],[Industry]], Mean_PE_S, 3, FALSE))</f>
        <v>0.60247044952890971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7" t="s">
        <v>152</v>
      </c>
      <c r="B106" s="67" t="s">
        <v>463</v>
      </c>
      <c r="C106" s="2">
        <v>792</v>
      </c>
      <c r="D106">
        <f>RTD("tos.rtd", , "LAST", Main_S[[#This Row],[Symbol]])</f>
        <v>16.899999999999999</v>
      </c>
      <c r="E106">
        <v>-3.36</v>
      </c>
      <c r="F106">
        <v>0.62</v>
      </c>
      <c r="G106">
        <v>-4.37</v>
      </c>
      <c r="H106" s="1">
        <f>IF(ISNUMBER(Main_S[[#This Row],[Free CF]]),IF(Main_S[[#This Row],[Free CF]]&lt;&gt;0,Main_S[[#This Row],[Current Price]]/Main_S[[#This Row],[Free CF]],""),"")</f>
        <v>-5.0297619047619042</v>
      </c>
      <c r="I106" s="1">
        <f>IF(ISNUMBER(Main_S[[#This Row],[BVPS]]),IF(Main_S[[#This Row],[BVPS]]&lt;&gt;0,Main_S[[#This Row],[Current Price]]/Main_S[[#This Row],[BVPS]],""),"")</f>
        <v>27.258064516129028</v>
      </c>
      <c r="J106">
        <v>-241.16</v>
      </c>
      <c r="K106">
        <v>-15.64</v>
      </c>
      <c r="L106">
        <v>17.97</v>
      </c>
      <c r="M106" s="1">
        <f>IF(ISNUMBER(Main_S[[#This Row],[EPS]]),IF(Main_S[[#This Row],[EPS]]&lt;&gt;0,Main_S[[#This Row],[Current Price]]/Main_S[[#This Row],[EPS]],""),"")</f>
        <v>-3.8672768878718533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8.6286660758922287E-2</v>
      </c>
      <c r="P106" s="1">
        <f>(Main_S[[#This Row],[P/B]]-VLOOKUP(Main_S[[#This Row],[Industry]], Mean_PB_S, 2, FALSE))/(VLOOKUP(Main_S[[#This Row],[Industry]], Mean_PB_S, 3, FALSE))</f>
        <v>9.2751955868266762</v>
      </c>
      <c r="Q106" s="1">
        <f>(Main_S[[#This Row],[ROE]]-VLOOKUP(Main_S[[#This Row],[Industry]], Mean_ROE_S, 2, FALSE))/(VLOOKUP(Main_S[[#This Row],[Industry]], Mean_ROE_S, 3, FALSE))</f>
        <v>-5.5836648848096004</v>
      </c>
      <c r="R106" s="1">
        <f>(Main_S[[#This Row],[ROA]]-VLOOKUP(Main_S[[#This Row],[Industry]], Mean_ROA_S, 2, FALSE))/(VLOOKUP(Main_S[[#This Row],[Industry]], Mean_ROA_S, 3, FALSE))</f>
        <v>0.42785916412100089</v>
      </c>
      <c r="S106" s="1">
        <f>(Main_S[[#This Row],[A/E]]-VLOOKUP(Main_S[[#This Row],[Industry]], Mean_AE_S, 2, FALSE))/(VLOOKUP(Main_S[[#This Row],[Industry]], Mean_AE_S, 3, FALSE))</f>
        <v>37.355367380204235</v>
      </c>
      <c r="T106" s="1">
        <f>(Main_S[[#This Row],[P/E]]-VLOOKUP(Main_S[[#This Row],[Industry]], Mean_PE_S, 2, FALSE))/(VLOOKUP(Main_S[[#This Row],[Industry]], Mean_PE_S, 3, FALSE))</f>
        <v>0.28938949484081833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7" t="s">
        <v>152</v>
      </c>
      <c r="B107" s="67" t="s">
        <v>427</v>
      </c>
      <c r="C107" s="2">
        <v>1436</v>
      </c>
      <c r="D107">
        <f>RTD("tos.rtd", , "LAST", Main_S[[#This Row],[Symbol]])</f>
        <v>10.57</v>
      </c>
      <c r="E107">
        <v>-3.41</v>
      </c>
      <c r="F107">
        <v>4.1500000000000004</v>
      </c>
      <c r="G107">
        <v>-3.3</v>
      </c>
      <c r="H107" s="1">
        <f>IF(ISNUMBER(Main_S[[#This Row],[Free CF]]),IF(Main_S[[#This Row],[Free CF]]&lt;&gt;0,Main_S[[#This Row],[Current Price]]/Main_S[[#This Row],[Free CF]],""),"")</f>
        <v>-3.0997067448680351</v>
      </c>
      <c r="I107" s="1">
        <f>IF(ISNUMBER(Main_S[[#This Row],[BVPS]]),IF(Main_S[[#This Row],[BVPS]]&lt;&gt;0,Main_S[[#This Row],[Current Price]]/Main_S[[#This Row],[BVPS]],""),"")</f>
        <v>2.5469879518072287</v>
      </c>
      <c r="J107">
        <v>-69.3</v>
      </c>
      <c r="K107">
        <v>-39.93</v>
      </c>
      <c r="L107">
        <v>1.1299999999999999</v>
      </c>
      <c r="M107" s="1">
        <f>IF(ISNUMBER(Main_S[[#This Row],[EPS]]),IF(Main_S[[#This Row],[EPS]]&lt;&gt;0,Main_S[[#This Row],[Current Price]]/Main_S[[#This Row],[EPS]],""),"")</f>
        <v>-3.2030303030303031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0.64592685692235652</v>
      </c>
      <c r="P107" s="1">
        <f>(Main_S[[#This Row],[P/B]]-VLOOKUP(Main_S[[#This Row],[Industry]], Mean_PB_S, 2, FALSE))/(VLOOKUP(Main_S[[#This Row],[Industry]], Mean_PB_S, 3, FALSE))</f>
        <v>-0.26897725678446821</v>
      </c>
      <c r="Q107" s="1">
        <f>(Main_S[[#This Row],[ROE]]-VLOOKUP(Main_S[[#This Row],[Industry]], Mean_ROE_S, 2, FALSE))/(VLOOKUP(Main_S[[#This Row],[Industry]], Mean_ROE_S, 3, FALSE))</f>
        <v>-0.66201699229111921</v>
      </c>
      <c r="R107" s="1">
        <f>(Main_S[[#This Row],[ROA]]-VLOOKUP(Main_S[[#This Row],[Industry]], Mean_ROA_S, 2, FALSE))/(VLOOKUP(Main_S[[#This Row],[Industry]], Mean_ROA_S, 3, FALSE))</f>
        <v>-1.0754360977567039</v>
      </c>
      <c r="S107" s="1">
        <f>(Main_S[[#This Row],[A/E]]-VLOOKUP(Main_S[[#This Row],[Industry]], Mean_AE_S, 2, FALSE))/(VLOOKUP(Main_S[[#This Row],[Industry]], Mean_AE_S, 3, FALSE))</f>
        <v>-0.67475244229657494</v>
      </c>
      <c r="T107" s="1">
        <f>(Main_S[[#This Row],[P/E]]-VLOOKUP(Main_S[[#This Row],[Industry]], Mean_PE_S, 2, FALSE))/(VLOOKUP(Main_S[[#This Row],[Industry]], Mean_PE_S, 3, FALSE))</f>
        <v>0.49856148625194652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7" t="s">
        <v>152</v>
      </c>
      <c r="B108" s="67" t="s">
        <v>441</v>
      </c>
      <c r="C108" s="2">
        <v>1617</v>
      </c>
      <c r="D108">
        <f>RTD("tos.rtd", , "LAST", Main_S[[#This Row],[Symbol]])</f>
        <v>51.42</v>
      </c>
      <c r="E108">
        <v>-3.46</v>
      </c>
      <c r="F108">
        <v>19.100000000000001</v>
      </c>
      <c r="G108">
        <v>-3.92</v>
      </c>
      <c r="H108" s="1">
        <f>IF(ISNUMBER(Main_S[[#This Row],[Free CF]]),IF(Main_S[[#This Row],[Free CF]]&lt;&gt;0,Main_S[[#This Row],[Current Price]]/Main_S[[#This Row],[Free CF]],""),"")</f>
        <v>-14.861271676300579</v>
      </c>
      <c r="I108" s="1">
        <f>IF(ISNUMBER(Main_S[[#This Row],[BVPS]]),IF(Main_S[[#This Row],[BVPS]]&lt;&gt;0,Main_S[[#This Row],[Current Price]]/Main_S[[#This Row],[BVPS]],""),"")</f>
        <v>2.6921465968586387</v>
      </c>
      <c r="J108">
        <v>-23.34</v>
      </c>
      <c r="K108">
        <v>-16.239999999999998</v>
      </c>
      <c r="L108">
        <v>1.07</v>
      </c>
      <c r="M108" s="1">
        <f>IF(ISNUMBER(Main_S[[#This Row],[EPS]]),IF(Main_S[[#This Row],[EPS]]&lt;&gt;0,Main_S[[#This Row],[Current Price]]/Main_S[[#This Row],[EPS]],""),"")</f>
        <v>-13.11734693877551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-2.7644650542486309</v>
      </c>
      <c r="P108" s="1">
        <f>(Main_S[[#This Row],[P/B]]-VLOOKUP(Main_S[[#This Row],[Industry]], Mean_PB_S, 2, FALSE))/(VLOOKUP(Main_S[[#This Row],[Industry]], Mean_PB_S, 3, FALSE))</f>
        <v>-0.21291255258152206</v>
      </c>
      <c r="Q108" s="1">
        <f>(Main_S[[#This Row],[ROE]]-VLOOKUP(Main_S[[#This Row],[Industry]], Mean_ROE_S, 2, FALSE))/(VLOOKUP(Main_S[[#This Row],[Industry]], Mean_ROE_S, 3, FALSE))</f>
        <v>0.65416441781099521</v>
      </c>
      <c r="R108" s="1">
        <f>(Main_S[[#This Row],[ROA]]-VLOOKUP(Main_S[[#This Row],[Industry]], Mean_ROA_S, 2, FALSE))/(VLOOKUP(Main_S[[#This Row],[Industry]], Mean_ROA_S, 3, FALSE))</f>
        <v>0.39072548124217754</v>
      </c>
      <c r="S108" s="1">
        <f>(Main_S[[#This Row],[A/E]]-VLOOKUP(Main_S[[#This Row],[Industry]], Mean_AE_S, 2, FALSE))/(VLOOKUP(Main_S[[#This Row],[Industry]], Mean_AE_S, 3, FALSE))</f>
        <v>-0.81025168156914285</v>
      </c>
      <c r="T108" s="1">
        <f>(Main_S[[#This Row],[P/E]]-VLOOKUP(Main_S[[#This Row],[Industry]], Mean_PE_S, 2, FALSE))/(VLOOKUP(Main_S[[#This Row],[Industry]], Mean_PE_S, 3, FALSE))</f>
        <v>-2.6234678948610726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7" t="s">
        <v>152</v>
      </c>
      <c r="B109" s="67" t="s">
        <v>405</v>
      </c>
      <c r="C109" s="2">
        <v>727</v>
      </c>
      <c r="D109">
        <f>RTD("tos.rtd", , "LAST", Main_S[[#This Row],[Symbol]])</f>
        <v>23.6</v>
      </c>
      <c r="E109">
        <v>-3.55</v>
      </c>
      <c r="F109">
        <v>5.95</v>
      </c>
      <c r="G109">
        <v>-3.78</v>
      </c>
      <c r="H109" s="1">
        <f>IF(ISNUMBER(Main_S[[#This Row],[Free CF]]),IF(Main_S[[#This Row],[Free CF]]&lt;&gt;0,Main_S[[#This Row],[Current Price]]/Main_S[[#This Row],[Free CF]],""),"")</f>
        <v>-6.6478873239436629</v>
      </c>
      <c r="I109" s="1">
        <f>IF(ISNUMBER(Main_S[[#This Row],[BVPS]]),IF(Main_S[[#This Row],[BVPS]]&lt;&gt;0,Main_S[[#This Row],[Current Price]]/Main_S[[#This Row],[BVPS]],""),"")</f>
        <v>3.9663865546218489</v>
      </c>
      <c r="J109">
        <v>-49</v>
      </c>
      <c r="K109">
        <v>-23.1</v>
      </c>
      <c r="L109">
        <v>1.06</v>
      </c>
      <c r="M109" s="1">
        <f>IF(ISNUMBER(Main_S[[#This Row],[EPS]]),IF(Main_S[[#This Row],[EPS]]&lt;&gt;0,Main_S[[#This Row],[Current Price]]/Main_S[[#This Row],[EPS]],""),"")</f>
        <v>-6.2433862433862437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-0.38290616120048454</v>
      </c>
      <c r="P109" s="1">
        <f>(Main_S[[#This Row],[P/B]]-VLOOKUP(Main_S[[#This Row],[Industry]], Mean_PB_S, 2, FALSE))/(VLOOKUP(Main_S[[#This Row],[Industry]], Mean_PB_S, 3, FALSE))</f>
        <v>0.27923785492791375</v>
      </c>
      <c r="Q109" s="1">
        <f>(Main_S[[#This Row],[ROE]]-VLOOKUP(Main_S[[#This Row],[Industry]], Mean_ROE_S, 2, FALSE))/(VLOOKUP(Main_S[[#This Row],[Industry]], Mean_ROE_S, 3, FALSE))</f>
        <v>-8.0674898621125243E-2</v>
      </c>
      <c r="R109" s="1">
        <f>(Main_S[[#This Row],[ROA]]-VLOOKUP(Main_S[[#This Row],[Industry]], Mean_ROA_S, 2, FALSE))/(VLOOKUP(Main_S[[#This Row],[Industry]], Mean_ROA_S, 3, FALSE))</f>
        <v>-3.3836293005704753E-2</v>
      </c>
      <c r="S109" s="1">
        <f>(Main_S[[#This Row],[A/E]]-VLOOKUP(Main_S[[#This Row],[Industry]], Mean_AE_S, 2, FALSE))/(VLOOKUP(Main_S[[#This Row],[Industry]], Mean_AE_S, 3, FALSE))</f>
        <v>-0.83283488811457085</v>
      </c>
      <c r="T109" s="1">
        <f>(Main_S[[#This Row],[P/E]]-VLOOKUP(Main_S[[#This Row],[Industry]], Mean_PE_S, 2, FALSE))/(VLOOKUP(Main_S[[#This Row],[Industry]], Mean_PE_S, 3, FALSE))</f>
        <v>-0.45884999489944994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7" t="s">
        <v>152</v>
      </c>
      <c r="B110" s="67" t="s">
        <v>597</v>
      </c>
      <c r="C110" s="2">
        <v>267</v>
      </c>
      <c r="D110">
        <f>RTD("tos.rtd", , "LAST", Main_S[[#This Row],[Symbol]])</f>
        <v>26.63</v>
      </c>
      <c r="E110">
        <v>-3.64</v>
      </c>
      <c r="F110">
        <v>5.04</v>
      </c>
      <c r="G110">
        <v>-5.05</v>
      </c>
      <c r="H110" s="1">
        <f>IF(ISNUMBER(Main_S[[#This Row],[Free CF]]),IF(Main_S[[#This Row],[Free CF]]&lt;&gt;0,Main_S[[#This Row],[Current Price]]/Main_S[[#This Row],[Free CF]],""),"")</f>
        <v>-7.3159340659340657</v>
      </c>
      <c r="I110" s="1">
        <f>IF(ISNUMBER(Main_S[[#This Row],[BVPS]]),IF(Main_S[[#This Row],[BVPS]]&lt;&gt;0,Main_S[[#This Row],[Current Price]]/Main_S[[#This Row],[BVPS]],""),"")</f>
        <v>5.2837301587301582</v>
      </c>
      <c r="J110">
        <v>-89.3</v>
      </c>
      <c r="K110">
        <v>-18.399999999999999</v>
      </c>
      <c r="L110">
        <v>1.43</v>
      </c>
      <c r="M110" s="1">
        <f>IF(ISNUMBER(Main_S[[#This Row],[EPS]]),IF(Main_S[[#This Row],[EPS]]&lt;&gt;0,Main_S[[#This Row],[Current Price]]/Main_S[[#This Row],[EPS]],""),"")</f>
        <v>-5.2732673267326735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-0.576613479780131</v>
      </c>
      <c r="P110" s="1">
        <f>(Main_S[[#This Row],[P/B]]-VLOOKUP(Main_S[[#This Row],[Industry]], Mean_PB_S, 2, FALSE))/(VLOOKUP(Main_S[[#This Row],[Industry]], Mean_PB_S, 3, FALSE))</f>
        <v>0.788036207735754</v>
      </c>
      <c r="Q110" s="1">
        <f>(Main_S[[#This Row],[ROE]]-VLOOKUP(Main_S[[#This Row],[Industry]], Mean_ROE_S, 2, FALSE))/(VLOOKUP(Main_S[[#This Row],[Industry]], Mean_ROE_S, 3, FALSE))</f>
        <v>-1.2347678234930837</v>
      </c>
      <c r="R110" s="1">
        <f>(Main_S[[#This Row],[ROA]]-VLOOKUP(Main_S[[#This Row],[Industry]], Mean_ROA_S, 2, FALSE))/(VLOOKUP(Main_S[[#This Row],[Industry]], Mean_ROA_S, 3, FALSE))</f>
        <v>0.25704422287841289</v>
      </c>
      <c r="S110" s="1">
        <f>(Main_S[[#This Row],[A/E]]-VLOOKUP(Main_S[[#This Row],[Industry]], Mean_AE_S, 2, FALSE))/(VLOOKUP(Main_S[[#This Row],[Industry]], Mean_AE_S, 3, FALSE))</f>
        <v>2.7437540662662387E-3</v>
      </c>
      <c r="T110" s="1">
        <f>(Main_S[[#This Row],[P/E]]-VLOOKUP(Main_S[[#This Row],[Industry]], Mean_PE_S, 2, FALSE))/(VLOOKUP(Main_S[[#This Row],[Industry]], Mean_PE_S, 3, FALSE))</f>
        <v>-0.15335846459607833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s="67" t="s">
        <v>152</v>
      </c>
      <c r="B111" s="67" t="s">
        <v>397</v>
      </c>
      <c r="C111" s="2">
        <v>653</v>
      </c>
      <c r="D111">
        <f>RTD("tos.rtd", , "LAST", Main_S[[#This Row],[Symbol]])</f>
        <v>23.19</v>
      </c>
      <c r="E111">
        <v>-3.72</v>
      </c>
      <c r="F111">
        <v>1.1200000000000001</v>
      </c>
      <c r="G111">
        <v>-4.79</v>
      </c>
      <c r="H111" s="1">
        <f>IF(ISNUMBER(Main_S[[#This Row],[Free CF]]),IF(Main_S[[#This Row],[Free CF]]&lt;&gt;0,Main_S[[#This Row],[Current Price]]/Main_S[[#This Row],[Free CF]],""),"")</f>
        <v>-6.2338709677419359</v>
      </c>
      <c r="I111" s="1">
        <f>IF(ISNUMBER(Main_S[[#This Row],[BVPS]]),IF(Main_S[[#This Row],[BVPS]]&lt;&gt;0,Main_S[[#This Row],[Current Price]]/Main_S[[#This Row],[BVPS]],""),"")</f>
        <v>20.705357142857142</v>
      </c>
      <c r="J111">
        <v>-343.83</v>
      </c>
      <c r="K111">
        <v>-15.14</v>
      </c>
      <c r="L111">
        <v>12.41</v>
      </c>
      <c r="M111" s="1">
        <f>IF(ISNUMBER(Main_S[[#This Row],[EPS]]),IF(Main_S[[#This Row],[EPS]]&lt;&gt;0,Main_S[[#This Row],[Current Price]]/Main_S[[#This Row],[EPS]],""),"")</f>
        <v>-4.84133611691023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-0.2628576778129188</v>
      </c>
      <c r="P111" s="1">
        <f>(Main_S[[#This Row],[P/B]]-VLOOKUP(Main_S[[#This Row],[Industry]], Mean_PB_S, 2, FALSE))/(VLOOKUP(Main_S[[#This Row],[Industry]], Mean_PB_S, 3, FALSE))</f>
        <v>6.744339773996229</v>
      </c>
      <c r="Q111" s="1">
        <f>(Main_S[[#This Row],[ROE]]-VLOOKUP(Main_S[[#This Row],[Industry]], Mean_ROE_S, 2, FALSE))/(VLOOKUP(Main_S[[#This Row],[Industry]], Mean_ROE_S, 3, FALSE))</f>
        <v>-8.5238812767848842</v>
      </c>
      <c r="R111" s="1">
        <f>(Main_S[[#This Row],[ROA]]-VLOOKUP(Main_S[[#This Row],[Industry]], Mean_ROA_S, 2, FALSE))/(VLOOKUP(Main_S[[#This Row],[Industry]], Mean_ROA_S, 3, FALSE))</f>
        <v>0.45880389985335385</v>
      </c>
      <c r="S111" s="1">
        <f>(Main_S[[#This Row],[A/E]]-VLOOKUP(Main_S[[#This Row],[Industry]], Mean_AE_S, 2, FALSE))/(VLOOKUP(Main_S[[#This Row],[Industry]], Mean_AE_S, 3, FALSE))</f>
        <v>24.799104540946253</v>
      </c>
      <c r="T111" s="1">
        <f>(Main_S[[#This Row],[P/E]]-VLOOKUP(Main_S[[#This Row],[Industry]], Mean_PE_S, 2, FALSE))/(VLOOKUP(Main_S[[#This Row],[Industry]], Mean_PE_S, 3, FALSE))</f>
        <v>-1.7342844233152414E-2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7" t="s">
        <v>152</v>
      </c>
      <c r="B112" s="67" t="s">
        <v>456</v>
      </c>
      <c r="C112" s="2">
        <v>712</v>
      </c>
      <c r="D112">
        <f>RTD("tos.rtd", , "LAST", Main_S[[#This Row],[Symbol]])</f>
        <v>8.2799999999999994</v>
      </c>
      <c r="E112">
        <v>-3.78</v>
      </c>
      <c r="F112">
        <v>7.53</v>
      </c>
      <c r="G112">
        <v>-5.21</v>
      </c>
      <c r="H112" s="1">
        <f>IF(ISNUMBER(Main_S[[#This Row],[Free CF]]),IF(Main_S[[#This Row],[Free CF]]&lt;&gt;0,Main_S[[#This Row],[Current Price]]/Main_S[[#This Row],[Free CF]],""),"")</f>
        <v>-2.1904761904761902</v>
      </c>
      <c r="I112" s="1">
        <f>IF(ISNUMBER(Main_S[[#This Row],[BVPS]]),IF(Main_S[[#This Row],[BVPS]]&lt;&gt;0,Main_S[[#This Row],[Current Price]]/Main_S[[#This Row],[BVPS]],""),"")</f>
        <v>1.0996015936254979</v>
      </c>
      <c r="J112">
        <v>-57.92</v>
      </c>
      <c r="K112">
        <v>-30.12</v>
      </c>
      <c r="L112">
        <v>1.26</v>
      </c>
      <c r="M112" s="1">
        <f>IF(ISNUMBER(Main_S[[#This Row],[EPS]]),IF(Main_S[[#This Row],[EPS]]&lt;&gt;0,Main_S[[#This Row],[Current Price]]/Main_S[[#This Row],[EPS]],""),"")</f>
        <v>-1.5892514395393473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0.90956800894291356</v>
      </c>
      <c r="P112" s="1">
        <f>(Main_S[[#This Row],[P/B]]-VLOOKUP(Main_S[[#This Row],[Industry]], Mean_PB_S, 2, FALSE))/(VLOOKUP(Main_S[[#This Row],[Industry]], Mean_PB_S, 3, FALSE))</f>
        <v>-0.82800209481666898</v>
      </c>
      <c r="Q112" s="1">
        <f>(Main_S[[#This Row],[ROE]]-VLOOKUP(Main_S[[#This Row],[Industry]], Mean_ROE_S, 2, FALSE))/(VLOOKUP(Main_S[[#This Row],[Industry]], Mean_ROE_S, 3, FALSE))</f>
        <v>-0.33612176933720145</v>
      </c>
      <c r="R112" s="1">
        <f>(Main_S[[#This Row],[ROA]]-VLOOKUP(Main_S[[#This Row],[Industry]], Mean_ROA_S, 2, FALSE))/(VLOOKUP(Main_S[[#This Row],[Industry]], Mean_ROA_S, 3, FALSE))</f>
        <v>-0.46830038268793978</v>
      </c>
      <c r="S112" s="1">
        <f>(Main_S[[#This Row],[A/E]]-VLOOKUP(Main_S[[#This Row],[Industry]], Mean_AE_S, 2, FALSE))/(VLOOKUP(Main_S[[#This Row],[Industry]], Mean_AE_S, 3, FALSE))</f>
        <v>-0.38117075720601024</v>
      </c>
      <c r="T112" s="1">
        <f>(Main_S[[#This Row],[P/E]]-VLOOKUP(Main_S[[#This Row],[Industry]], Mean_PE_S, 2, FALSE))/(VLOOKUP(Main_S[[#This Row],[Industry]], Mean_PE_S, 3, FALSE))</f>
        <v>1.0067422526673457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7" t="s">
        <v>152</v>
      </c>
      <c r="B113" s="67" t="s">
        <v>450</v>
      </c>
      <c r="C113" s="2">
        <v>1015</v>
      </c>
      <c r="D113">
        <f>RTD("tos.rtd", , "LAST", Main_S[[#This Row],[Symbol]])</f>
        <v>16.190000000000001</v>
      </c>
      <c r="E113">
        <v>-3.81</v>
      </c>
      <c r="F113">
        <v>5.26</v>
      </c>
      <c r="G113">
        <v>-3.73</v>
      </c>
      <c r="H113" s="1">
        <f>IF(ISNUMBER(Main_S[[#This Row],[Free CF]]),IF(Main_S[[#This Row],[Free CF]]&lt;&gt;0,Main_S[[#This Row],[Current Price]]/Main_S[[#This Row],[Free CF]],""),"")</f>
        <v>-4.2493438320209975</v>
      </c>
      <c r="I113" s="1">
        <f>IF(ISNUMBER(Main_S[[#This Row],[BVPS]]),IF(Main_S[[#This Row],[BVPS]]&lt;&gt;0,Main_S[[#This Row],[Current Price]]/Main_S[[#This Row],[BVPS]],""),"")</f>
        <v>3.077946768060837</v>
      </c>
      <c r="J113">
        <v>-56.31</v>
      </c>
      <c r="K113">
        <v>-35.869999999999997</v>
      </c>
      <c r="L113">
        <v>1.04</v>
      </c>
      <c r="M113" s="1">
        <f>IF(ISNUMBER(Main_S[[#This Row],[EPS]]),IF(Main_S[[#This Row],[EPS]]&lt;&gt;0,Main_S[[#This Row],[Current Price]]/Main_S[[#This Row],[EPS]],""),"")</f>
        <v>-4.3404825737265416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0.31257725203001668</v>
      </c>
      <c r="P113" s="1">
        <f>(Main_S[[#This Row],[P/B]]-VLOOKUP(Main_S[[#This Row],[Industry]], Mean_PB_S, 2, FALSE))/(VLOOKUP(Main_S[[#This Row],[Industry]], Mean_PB_S, 3, FALSE))</f>
        <v>-6.390473790925956E-2</v>
      </c>
      <c r="Q113" s="1">
        <f>(Main_S[[#This Row],[ROE]]-VLOOKUP(Main_S[[#This Row],[Industry]], Mean_ROE_S, 2, FALSE))/(VLOOKUP(Main_S[[#This Row],[Industry]], Mean_ROE_S, 3, FALSE))</f>
        <v>-0.29001532742544334</v>
      </c>
      <c r="R113" s="1">
        <f>(Main_S[[#This Row],[ROA]]-VLOOKUP(Main_S[[#This Row],[Industry]], Mean_ROA_S, 2, FALSE))/(VLOOKUP(Main_S[[#This Row],[Industry]], Mean_ROA_S, 3, FALSE))</f>
        <v>-0.82416484360999809</v>
      </c>
      <c r="S113" s="1">
        <f>(Main_S[[#This Row],[A/E]]-VLOOKUP(Main_S[[#This Row],[Industry]], Mean_AE_S, 2, FALSE))/(VLOOKUP(Main_S[[#This Row],[Industry]], Mean_AE_S, 3, FALSE))</f>
        <v>-0.87800130120542696</v>
      </c>
      <c r="T113" s="1">
        <f>(Main_S[[#This Row],[P/E]]-VLOOKUP(Main_S[[#This Row],[Industry]], Mean_PE_S, 2, FALSE))/(VLOOKUP(Main_S[[#This Row],[Industry]], Mean_PE_S, 3, FALSE))</f>
        <v>0.14037649587913764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7" t="s">
        <v>152</v>
      </c>
      <c r="B114" s="67" t="s">
        <v>492</v>
      </c>
      <c r="C114" s="2">
        <v>1136</v>
      </c>
      <c r="D114">
        <f>RTD("tos.rtd", , "LAST", Main_S[[#This Row],[Symbol]])</f>
        <v>14.86</v>
      </c>
      <c r="E114">
        <v>-3.84</v>
      </c>
      <c r="F114">
        <v>5.09</v>
      </c>
      <c r="G114">
        <v>-3.33</v>
      </c>
      <c r="H114" s="1">
        <f>IF(ISNUMBER(Main_S[[#This Row],[Free CF]]),IF(Main_S[[#This Row],[Free CF]]&lt;&gt;0,Main_S[[#This Row],[Current Price]]/Main_S[[#This Row],[Free CF]],""),"")</f>
        <v>-3.8697916666666665</v>
      </c>
      <c r="I114" s="1">
        <f>IF(ISNUMBER(Main_S[[#This Row],[BVPS]]),IF(Main_S[[#This Row],[BVPS]]&lt;&gt;0,Main_S[[#This Row],[Current Price]]/Main_S[[#This Row],[BVPS]],""),"")</f>
        <v>2.9194499017681728</v>
      </c>
      <c r="J114">
        <v>-51.95</v>
      </c>
      <c r="K114">
        <v>-32.619999999999997</v>
      </c>
      <c r="L114">
        <v>1.59</v>
      </c>
      <c r="M114" s="1">
        <f>IF(ISNUMBER(Main_S[[#This Row],[EPS]]),IF(Main_S[[#This Row],[EPS]]&lt;&gt;0,Main_S[[#This Row],[Current Price]]/Main_S[[#This Row],[EPS]],""),"")</f>
        <v>-4.4624624624624625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0.42263247360453082</v>
      </c>
      <c r="P114" s="1">
        <f>(Main_S[[#This Row],[P/B]]-VLOOKUP(Main_S[[#This Row],[Industry]], Mean_PB_S, 2, FALSE))/(VLOOKUP(Main_S[[#This Row],[Industry]], Mean_PB_S, 3, FALSE))</f>
        <v>-0.12512107071978557</v>
      </c>
      <c r="Q114" s="1">
        <f>(Main_S[[#This Row],[ROE]]-VLOOKUP(Main_S[[#This Row],[Industry]], Mean_ROE_S, 2, FALSE))/(VLOOKUP(Main_S[[#This Row],[Industry]], Mean_ROE_S, 3, FALSE))</f>
        <v>-0.16515564622341508</v>
      </c>
      <c r="R114" s="1">
        <f>(Main_S[[#This Row],[ROA]]-VLOOKUP(Main_S[[#This Row],[Industry]], Mean_ROA_S, 2, FALSE))/(VLOOKUP(Main_S[[#This Row],[Industry]], Mean_ROA_S, 3, FALSE))</f>
        <v>-0.62302406134970412</v>
      </c>
      <c r="S114" s="1">
        <f>(Main_S[[#This Row],[A/E]]-VLOOKUP(Main_S[[#This Row],[Industry]], Mean_AE_S, 2, FALSE))/(VLOOKUP(Main_S[[#This Row],[Industry]], Mean_AE_S, 3, FALSE))</f>
        <v>0.36407505879311514</v>
      </c>
      <c r="T114" s="1">
        <f>(Main_S[[#This Row],[P/E]]-VLOOKUP(Main_S[[#This Row],[Industry]], Mean_PE_S, 2, FALSE))/(VLOOKUP(Main_S[[#This Row],[Industry]], Mean_PE_S, 3, FALSE))</f>
        <v>0.10196489268649689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7" t="s">
        <v>152</v>
      </c>
      <c r="B115" s="67" t="s">
        <v>408</v>
      </c>
      <c r="C115" s="2">
        <v>1592</v>
      </c>
      <c r="D115">
        <f>RTD("tos.rtd", , "LAST", Main_S[[#This Row],[Symbol]])</f>
        <v>18.170000000000002</v>
      </c>
      <c r="E115">
        <v>-4.3</v>
      </c>
      <c r="F115">
        <v>11.52</v>
      </c>
      <c r="G115">
        <v>-4.62</v>
      </c>
      <c r="H115" s="1">
        <f>IF(ISNUMBER(Main_S[[#This Row],[Free CF]]),IF(Main_S[[#This Row],[Free CF]]&lt;&gt;0,Main_S[[#This Row],[Current Price]]/Main_S[[#This Row],[Free CF]],""),"")</f>
        <v>-4.2255813953488381</v>
      </c>
      <c r="I115" s="1">
        <f>IF(ISNUMBER(Main_S[[#This Row],[BVPS]]),IF(Main_S[[#This Row],[BVPS]]&lt;&gt;0,Main_S[[#This Row],[Current Price]]/Main_S[[#This Row],[BVPS]],""),"")</f>
        <v>1.5772569444444446</v>
      </c>
      <c r="J115">
        <v>-38.04</v>
      </c>
      <c r="K115">
        <v>-19.05</v>
      </c>
      <c r="L115">
        <v>1.31</v>
      </c>
      <c r="M115" s="1">
        <f>IF(ISNUMBER(Main_S[[#This Row],[EPS]]),IF(Main_S[[#This Row],[EPS]]&lt;&gt;0,Main_S[[#This Row],[Current Price]]/Main_S[[#This Row],[EPS]],""),"")</f>
        <v>-3.9329004329004333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0.31946742542861517</v>
      </c>
      <c r="P115" s="1">
        <f>(Main_S[[#This Row],[P/B]]-VLOOKUP(Main_S[[#This Row],[Industry]], Mean_PB_S, 2, FALSE))/(VLOOKUP(Main_S[[#This Row],[Industry]], Mean_PB_S, 3, FALSE))</f>
        <v>-0.64351700303908776</v>
      </c>
      <c r="Q115" s="1">
        <f>(Main_S[[#This Row],[ROE]]-VLOOKUP(Main_S[[#This Row],[Industry]], Mean_ROE_S, 2, FALSE))/(VLOOKUP(Main_S[[#This Row],[Industry]], Mean_ROE_S, 3, FALSE))</f>
        <v>0.23319255687755136</v>
      </c>
      <c r="R115" s="1">
        <f>(Main_S[[#This Row],[ROA]]-VLOOKUP(Main_S[[#This Row],[Industry]], Mean_ROA_S, 2, FALSE))/(VLOOKUP(Main_S[[#This Row],[Industry]], Mean_ROA_S, 3, FALSE))</f>
        <v>0.21681606642635395</v>
      </c>
      <c r="S115" s="1">
        <f>(Main_S[[#This Row],[A/E]]-VLOOKUP(Main_S[[#This Row],[Industry]], Mean_AE_S, 2, FALSE))/(VLOOKUP(Main_S[[#This Row],[Industry]], Mean_AE_S, 3, FALSE))</f>
        <v>-0.26825472447886994</v>
      </c>
      <c r="T115" s="1">
        <f>(Main_S[[#This Row],[P/E]]-VLOOKUP(Main_S[[#This Row],[Industry]], Mean_PE_S, 2, FALSE))/(VLOOKUP(Main_S[[#This Row],[Industry]], Mean_PE_S, 3, FALSE))</f>
        <v>0.2687245672215664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s="67" t="s">
        <v>152</v>
      </c>
      <c r="B116" s="67" t="s">
        <v>480</v>
      </c>
      <c r="C116" s="2">
        <v>402</v>
      </c>
      <c r="D116">
        <f>RTD("tos.rtd", , "LAST", Main_S[[#This Row],[Symbol]])</f>
        <v>24.48</v>
      </c>
      <c r="E116">
        <v>-5.07</v>
      </c>
      <c r="F116">
        <v>16.12</v>
      </c>
      <c r="G116">
        <v>-4.72</v>
      </c>
      <c r="H116" s="1">
        <f>IF(ISNUMBER(Main_S[[#This Row],[Free CF]]),IF(Main_S[[#This Row],[Free CF]]&lt;&gt;0,Main_S[[#This Row],[Current Price]]/Main_S[[#This Row],[Free CF]],""),"")</f>
        <v>-4.8284023668639051</v>
      </c>
      <c r="I116" s="1">
        <f>IF(ISNUMBER(Main_S[[#This Row],[BVPS]]),IF(Main_S[[#This Row],[BVPS]]&lt;&gt;0,Main_S[[#This Row],[Current Price]]/Main_S[[#This Row],[BVPS]],""),"")</f>
        <v>1.5186104218362282</v>
      </c>
      <c r="J116">
        <v>-41.6</v>
      </c>
      <c r="K116">
        <v>-22.89</v>
      </c>
      <c r="L116">
        <v>1.05</v>
      </c>
      <c r="M116" s="1">
        <f>IF(ISNUMBER(Main_S[[#This Row],[EPS]]),IF(Main_S[[#This Row],[EPS]]&lt;&gt;0,Main_S[[#This Row],[Current Price]]/Main_S[[#This Row],[EPS]],""),"")</f>
        <v>-5.1864406779661021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0.14467301863628537</v>
      </c>
      <c r="P116" s="1">
        <f>(Main_S[[#This Row],[P/B]]-VLOOKUP(Main_S[[#This Row],[Industry]], Mean_PB_S, 2, FALSE))/(VLOOKUP(Main_S[[#This Row],[Industry]], Mean_PB_S, 3, FALSE))</f>
        <v>-0.6661680820802055</v>
      </c>
      <c r="Q116" s="1">
        <f>(Main_S[[#This Row],[ROE]]-VLOOKUP(Main_S[[#This Row],[Industry]], Mean_ROE_S, 2, FALSE))/(VLOOKUP(Main_S[[#This Row],[Industry]], Mean_ROE_S, 3, FALSE))</f>
        <v>0.1312429089236016</v>
      </c>
      <c r="R116" s="1">
        <f>(Main_S[[#This Row],[ROA]]-VLOOKUP(Main_S[[#This Row],[Industry]], Mean_ROA_S, 2, FALSE))/(VLOOKUP(Main_S[[#This Row],[Industry]], Mean_ROA_S, 3, FALSE))</f>
        <v>-2.083950399811647E-2</v>
      </c>
      <c r="S116" s="1">
        <f>(Main_S[[#This Row],[A/E]]-VLOOKUP(Main_S[[#This Row],[Industry]], Mean_AE_S, 2, FALSE))/(VLOOKUP(Main_S[[#This Row],[Industry]], Mean_AE_S, 3, FALSE))</f>
        <v>-0.85541809465999896</v>
      </c>
      <c r="T116" s="1">
        <f>(Main_S[[#This Row],[P/E]]-VLOOKUP(Main_S[[#This Row],[Industry]], Mean_PE_S, 2, FALSE))/(VLOOKUP(Main_S[[#This Row],[Industry]], Mean_PE_S, 3, FALSE))</f>
        <v>-0.12601665592966174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7" t="s">
        <v>152</v>
      </c>
      <c r="B117" s="67" t="s">
        <v>473</v>
      </c>
      <c r="C117" s="2">
        <v>405</v>
      </c>
      <c r="D117">
        <f>RTD("tos.rtd", , "LAST", Main_S[[#This Row],[Symbol]])</f>
        <v>6.81</v>
      </c>
      <c r="E117">
        <v>-5.08</v>
      </c>
      <c r="F117">
        <v>6.55</v>
      </c>
      <c r="G117">
        <v>-5.79</v>
      </c>
      <c r="H117" s="1">
        <f>IF(ISNUMBER(Main_S[[#This Row],[Free CF]]),IF(Main_S[[#This Row],[Free CF]]&lt;&gt;0,Main_S[[#This Row],[Current Price]]/Main_S[[#This Row],[Free CF]],""),"")</f>
        <v>-1.340551181102362</v>
      </c>
      <c r="I117" s="1">
        <f>IF(ISNUMBER(Main_S[[#This Row],[BVPS]]),IF(Main_S[[#This Row],[BVPS]]&lt;&gt;0,Main_S[[#This Row],[Current Price]]/Main_S[[#This Row],[BVPS]],""),"")</f>
        <v>1.0396946564885496</v>
      </c>
      <c r="J117">
        <v>-63.53</v>
      </c>
      <c r="K117">
        <v>-36.35</v>
      </c>
      <c r="L117">
        <v>1.1499999999999999</v>
      </c>
      <c r="M117" s="1">
        <f>IF(ISNUMBER(Main_S[[#This Row],[EPS]]),IF(Main_S[[#This Row],[EPS]]&lt;&gt;0,Main_S[[#This Row],[Current Price]]/Main_S[[#This Row],[EPS]],""),"")</f>
        <v>-1.1761658031088082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1.1560128820502362</v>
      </c>
      <c r="P117" s="1">
        <f>(Main_S[[#This Row],[P/B]]-VLOOKUP(Main_S[[#This Row],[Industry]], Mean_PB_S, 2, FALSE))/(VLOOKUP(Main_S[[#This Row],[Industry]], Mean_PB_S, 3, FALSE))</f>
        <v>-0.851139984462153</v>
      </c>
      <c r="Q117" s="1">
        <f>(Main_S[[#This Row],[ROE]]-VLOOKUP(Main_S[[#This Row],[Industry]], Mean_ROE_S, 2, FALSE))/(VLOOKUP(Main_S[[#This Row],[Industry]], Mean_ROE_S, 3, FALSE))</f>
        <v>-0.4967783774893525</v>
      </c>
      <c r="R117" s="1">
        <f>(Main_S[[#This Row],[ROA]]-VLOOKUP(Main_S[[#This Row],[Industry]], Mean_ROA_S, 2, FALSE))/(VLOOKUP(Main_S[[#This Row],[Industry]], Mean_ROA_S, 3, FALSE))</f>
        <v>-0.85387178991305723</v>
      </c>
      <c r="S117" s="1">
        <f>(Main_S[[#This Row],[A/E]]-VLOOKUP(Main_S[[#This Row],[Industry]], Mean_AE_S, 2, FALSE))/(VLOOKUP(Main_S[[#This Row],[Industry]], Mean_AE_S, 3, FALSE))</f>
        <v>-0.62958602920571882</v>
      </c>
      <c r="T117" s="1">
        <f>(Main_S[[#This Row],[P/E]]-VLOOKUP(Main_S[[#This Row],[Industry]], Mean_PE_S, 2, FALSE))/(VLOOKUP(Main_S[[#This Row],[Industry]], Mean_PE_S, 3, FALSE))</f>
        <v>1.1368233809220292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7" t="s">
        <v>152</v>
      </c>
      <c r="B118" s="67" t="s">
        <v>430</v>
      </c>
      <c r="C118" s="2">
        <v>1895</v>
      </c>
      <c r="D118">
        <f>RTD("tos.rtd", , "LAST", Main_S[[#This Row],[Symbol]])</f>
        <v>28.09</v>
      </c>
      <c r="E118">
        <v>-5.21</v>
      </c>
      <c r="F118">
        <v>45.16</v>
      </c>
      <c r="G118">
        <v>-2.95</v>
      </c>
      <c r="H118" s="1">
        <f>IF(ISNUMBER(Main_S[[#This Row],[Free CF]]),IF(Main_S[[#This Row],[Free CF]]&lt;&gt;0,Main_S[[#This Row],[Current Price]]/Main_S[[#This Row],[Free CF]],""),"")</f>
        <v>-5.3915547024952017</v>
      </c>
      <c r="I118" s="1">
        <f>IF(ISNUMBER(Main_S[[#This Row],[BVPS]]),IF(Main_S[[#This Row],[BVPS]]&lt;&gt;0,Main_S[[#This Row],[Current Price]]/Main_S[[#This Row],[BVPS]],""),"")</f>
        <v>0.62201062887511072</v>
      </c>
      <c r="J118">
        <v>-6.36</v>
      </c>
      <c r="K118">
        <v>-4.66</v>
      </c>
      <c r="L118">
        <v>1.46</v>
      </c>
      <c r="M118" s="1">
        <f>IF(ISNUMBER(Main_S[[#This Row],[EPS]]),IF(Main_S[[#This Row],[EPS]]&lt;&gt;0,Main_S[[#This Row],[Current Price]]/Main_S[[#This Row],[EPS]],""),"")</f>
        <v>-9.5220338983050841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-1.8619041679713743E-2</v>
      </c>
      <c r="P118" s="1">
        <f>(Main_S[[#This Row],[P/B]]-VLOOKUP(Main_S[[#This Row],[Industry]], Mean_PB_S, 2, FALSE))/(VLOOKUP(Main_S[[#This Row],[Industry]], Mean_PB_S, 3, FALSE))</f>
        <v>-1.0124623187271846</v>
      </c>
      <c r="Q118" s="1">
        <f>(Main_S[[#This Row],[ROE]]-VLOOKUP(Main_S[[#This Row],[Industry]], Mean_ROE_S, 2, FALSE))/(VLOOKUP(Main_S[[#This Row],[Industry]], Mean_ROE_S, 3, FALSE))</f>
        <v>1.1404298735014631</v>
      </c>
      <c r="R118" s="1">
        <f>(Main_S[[#This Row],[ROA]]-VLOOKUP(Main_S[[#This Row],[Industry]], Mean_ROA_S, 2, FALSE))/(VLOOKUP(Main_S[[#This Row],[Industry]], Mean_ROA_S, 3, FALSE))</f>
        <v>1.1074055608034712</v>
      </c>
      <c r="S118" s="1">
        <f>(Main_S[[#This Row],[A/E]]-VLOOKUP(Main_S[[#This Row],[Industry]], Mean_AE_S, 2, FALSE))/(VLOOKUP(Main_S[[#This Row],[Industry]], Mean_AE_S, 3, FALSE))</f>
        <v>7.0493373702550405E-2</v>
      </c>
      <c r="T118" s="1">
        <f>(Main_S[[#This Row],[P/E]]-VLOOKUP(Main_S[[#This Row],[Industry]], Mean_PE_S, 2, FALSE))/(VLOOKUP(Main_S[[#This Row],[Industry]], Mean_PE_S, 3, FALSE))</f>
        <v>-1.4912998030958906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7" t="s">
        <v>152</v>
      </c>
      <c r="B119" s="67" t="s">
        <v>475</v>
      </c>
      <c r="C119" s="2">
        <v>604</v>
      </c>
      <c r="D119">
        <f>RTD("tos.rtd", , "LAST", Main_S[[#This Row],[Symbol]])</f>
        <v>16.46</v>
      </c>
      <c r="E119">
        <v>-5.75</v>
      </c>
      <c r="F119">
        <v>7.98</v>
      </c>
      <c r="G119">
        <v>-6.81</v>
      </c>
      <c r="H119" s="1">
        <f>IF(ISNUMBER(Main_S[[#This Row],[Free CF]]),IF(Main_S[[#This Row],[Free CF]]&lt;&gt;0,Main_S[[#This Row],[Current Price]]/Main_S[[#This Row],[Free CF]],""),"")</f>
        <v>-2.8626086956521739</v>
      </c>
      <c r="I119" s="1">
        <f>IF(ISNUMBER(Main_S[[#This Row],[BVPS]]),IF(Main_S[[#This Row],[BVPS]]&lt;&gt;0,Main_S[[#This Row],[Current Price]]/Main_S[[#This Row],[BVPS]],""),"")</f>
        <v>2.06265664160401</v>
      </c>
      <c r="J119">
        <v>-61.44</v>
      </c>
      <c r="K119">
        <v>-37.1</v>
      </c>
      <c r="L119">
        <v>1.05</v>
      </c>
      <c r="M119" s="1">
        <f>IF(ISNUMBER(Main_S[[#This Row],[EPS]]),IF(Main_S[[#This Row],[EPS]]&lt;&gt;0,Main_S[[#This Row],[Current Price]]/Main_S[[#This Row],[EPS]],""),"")</f>
        <v>-2.4170337738619678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0.71467597950205963</v>
      </c>
      <c r="P119" s="1">
        <f>(Main_S[[#This Row],[P/B]]-VLOOKUP(Main_S[[#This Row],[Industry]], Mean_PB_S, 2, FALSE))/(VLOOKUP(Main_S[[#This Row],[Industry]], Mean_PB_S, 3, FALSE))</f>
        <v>-0.45604080806763064</v>
      </c>
      <c r="Q119" s="1">
        <f>(Main_S[[#This Row],[ROE]]-VLOOKUP(Main_S[[#This Row],[Industry]], Mean_ROE_S, 2, FALSE))/(VLOOKUP(Main_S[[#This Row],[Industry]], Mean_ROE_S, 3, FALSE))</f>
        <v>-0.43692591562874711</v>
      </c>
      <c r="R119" s="1">
        <f>(Main_S[[#This Row],[ROA]]-VLOOKUP(Main_S[[#This Row],[Industry]], Mean_ROA_S, 2, FALSE))/(VLOOKUP(Main_S[[#This Row],[Industry]], Mean_ROA_S, 3, FALSE))</f>
        <v>-0.90028889351158659</v>
      </c>
      <c r="S119" s="1">
        <f>(Main_S[[#This Row],[A/E]]-VLOOKUP(Main_S[[#This Row],[Industry]], Mean_AE_S, 2, FALSE))/(VLOOKUP(Main_S[[#This Row],[Industry]], Mean_AE_S, 3, FALSE))</f>
        <v>-0.85541809465999896</v>
      </c>
      <c r="T119" s="1">
        <f>(Main_S[[#This Row],[P/E]]-VLOOKUP(Main_S[[#This Row],[Industry]], Mean_PE_S, 2, FALSE))/(VLOOKUP(Main_S[[#This Row],[Industry]], Mean_PE_S, 3, FALSE))</f>
        <v>0.74607267110447184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s="67" t="s">
        <v>152</v>
      </c>
      <c r="B120" s="67" t="s">
        <v>496</v>
      </c>
      <c r="C120" s="2">
        <v>398</v>
      </c>
      <c r="D120">
        <f>RTD("tos.rtd", , "LAST", Main_S[[#This Row],[Symbol]])</f>
        <v>11.92</v>
      </c>
      <c r="E120">
        <v>-5.92</v>
      </c>
      <c r="F120">
        <v>6.8</v>
      </c>
      <c r="G120">
        <v>-7</v>
      </c>
      <c r="H120" s="1">
        <f>IF(ISNUMBER(Main_S[[#This Row],[Free CF]]),IF(Main_S[[#This Row],[Free CF]]&lt;&gt;0,Main_S[[#This Row],[Current Price]]/Main_S[[#This Row],[Free CF]],""),"")</f>
        <v>-2.0135135135135136</v>
      </c>
      <c r="I120" s="1">
        <f>IF(ISNUMBER(Main_S[[#This Row],[BVPS]]),IF(Main_S[[#This Row],[BVPS]]&lt;&gt;0,Main_S[[#This Row],[Current Price]]/Main_S[[#This Row],[BVPS]],""),"")</f>
        <v>1.7529411764705882</v>
      </c>
      <c r="J120">
        <v>-115.47</v>
      </c>
      <c r="K120">
        <v>-56.7</v>
      </c>
      <c r="L120">
        <v>1.17</v>
      </c>
      <c r="M120" s="1">
        <f>IF(ISNUMBER(Main_S[[#This Row],[EPS]]),IF(Main_S[[#This Row],[EPS]]&lt;&gt;0,Main_S[[#This Row],[Current Price]]/Main_S[[#This Row],[EPS]],""),"")</f>
        <v>-1.7028571428571428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0.96088023530148281</v>
      </c>
      <c r="P120" s="1">
        <f>(Main_S[[#This Row],[P/B]]-VLOOKUP(Main_S[[#This Row],[Industry]], Mean_PB_S, 2, FALSE))/(VLOOKUP(Main_S[[#This Row],[Industry]], Mean_PB_S, 3, FALSE))</f>
        <v>-0.57566238440318707</v>
      </c>
      <c r="Q120" s="1">
        <f>(Main_S[[#This Row],[ROE]]-VLOOKUP(Main_S[[#This Row],[Industry]], Mean_ROE_S, 2, FALSE))/(VLOOKUP(Main_S[[#This Row],[Industry]], Mean_ROE_S, 3, FALSE))</f>
        <v>-1.9842122861208544</v>
      </c>
      <c r="R120" s="1">
        <f>(Main_S[[#This Row],[ROA]]-VLOOKUP(Main_S[[#This Row],[Industry]], Mean_ROA_S, 2, FALSE))/(VLOOKUP(Main_S[[#This Row],[Industry]], Mean_ROA_S, 3, FALSE))</f>
        <v>-2.1133225342198214</v>
      </c>
      <c r="S120" s="1">
        <f>(Main_S[[#This Row],[A/E]]-VLOOKUP(Main_S[[#This Row],[Industry]], Mean_AE_S, 2, FALSE))/(VLOOKUP(Main_S[[#This Row],[Industry]], Mean_AE_S, 3, FALSE))</f>
        <v>-0.58441961611486271</v>
      </c>
      <c r="T120" s="1">
        <f>(Main_S[[#This Row],[P/E]]-VLOOKUP(Main_S[[#This Row],[Industry]], Mean_PE_S, 2, FALSE))/(VLOOKUP(Main_S[[#This Row],[Industry]], Mean_PE_S, 3, FALSE))</f>
        <v>0.97096768981533854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s="67" t="s">
        <v>152</v>
      </c>
      <c r="B121" s="67" t="s">
        <v>409</v>
      </c>
      <c r="C121" s="2">
        <v>1512</v>
      </c>
      <c r="D121">
        <f>RTD("tos.rtd", , "LAST", Main_S[[#This Row],[Symbol]])</f>
        <v>17.07</v>
      </c>
      <c r="E121">
        <v>-6.74</v>
      </c>
      <c r="F121">
        <v>2.54</v>
      </c>
      <c r="G121">
        <v>-9.23</v>
      </c>
      <c r="H121" s="1">
        <f>IF(ISNUMBER(Main_S[[#This Row],[Free CF]]),IF(Main_S[[#This Row],[Free CF]]&lt;&gt;0,Main_S[[#This Row],[Current Price]]/Main_S[[#This Row],[Free CF]],""),"")</f>
        <v>-2.5326409495548963</v>
      </c>
      <c r="I121" s="1">
        <f>IF(ISNUMBER(Main_S[[#This Row],[BVPS]]),IF(Main_S[[#This Row],[BVPS]]&lt;&gt;0,Main_S[[#This Row],[Current Price]]/Main_S[[#This Row],[BVPS]],""),"")</f>
        <v>6.7204724409448815</v>
      </c>
      <c r="J121">
        <v>-316.82</v>
      </c>
      <c r="K121">
        <v>-129.99</v>
      </c>
      <c r="L121">
        <v>1.77</v>
      </c>
      <c r="M121" s="1">
        <f>IF(ISNUMBER(Main_S[[#This Row],[EPS]]),IF(Main_S[[#This Row],[EPS]]&lt;&gt;0,Main_S[[#This Row],[Current Price]]/Main_S[[#This Row],[EPS]],""),"")</f>
        <v>-1.8494041170097508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0.81035366685045707</v>
      </c>
      <c r="P121" s="1">
        <f>(Main_S[[#This Row],[P/B]]-VLOOKUP(Main_S[[#This Row],[Industry]], Mean_PB_S, 2, FALSE))/(VLOOKUP(Main_S[[#This Row],[Industry]], Mean_PB_S, 3, FALSE))</f>
        <v>1.3429499783878989</v>
      </c>
      <c r="Q121" s="1">
        <f>(Main_S[[#This Row],[ROE]]-VLOOKUP(Main_S[[#This Row],[Industry]], Mean_ROE_S, 2, FALSE))/(VLOOKUP(Main_S[[#This Row],[Industry]], Mean_ROE_S, 3, FALSE))</f>
        <v>-7.7503812792466311</v>
      </c>
      <c r="R121" s="1">
        <f>(Main_S[[#This Row],[ROA]]-VLOOKUP(Main_S[[#This Row],[Industry]], Mean_ROA_S, 2, FALSE))/(VLOOKUP(Main_S[[#This Row],[Industry]], Mean_ROA_S, 3, FALSE))</f>
        <v>-6.6492018978681129</v>
      </c>
      <c r="S121" s="1">
        <f>(Main_S[[#This Row],[A/E]]-VLOOKUP(Main_S[[#This Row],[Industry]], Mean_AE_S, 2, FALSE))/(VLOOKUP(Main_S[[#This Row],[Industry]], Mean_AE_S, 3, FALSE))</f>
        <v>0.77057277661081969</v>
      </c>
      <c r="T121" s="1">
        <f>(Main_S[[#This Row],[P/E]]-VLOOKUP(Main_S[[#This Row],[Industry]], Mean_PE_S, 2, FALSE))/(VLOOKUP(Main_S[[#This Row],[Industry]], Mean_PE_S, 3, FALSE))</f>
        <v>0.92481988398794646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7" t="s">
        <v>152</v>
      </c>
      <c r="B122" s="67" t="s">
        <v>393</v>
      </c>
      <c r="C122" s="2">
        <v>1858</v>
      </c>
      <c r="D122">
        <f>RTD("tos.rtd", , "LAST", Main_S[[#This Row],[Symbol]])</f>
        <v>33.659999999999997</v>
      </c>
      <c r="E122">
        <v>-7.07</v>
      </c>
      <c r="F122">
        <v>25.33</v>
      </c>
      <c r="G122">
        <v>11.45</v>
      </c>
      <c r="H122" s="1">
        <f>IF(ISNUMBER(Main_S[[#This Row],[Free CF]]),IF(Main_S[[#This Row],[Free CF]]&lt;&gt;0,Main_S[[#This Row],[Current Price]]/Main_S[[#This Row],[Free CF]],""),"")</f>
        <v>-4.7609618104667604</v>
      </c>
      <c r="I122" s="1">
        <f>IF(ISNUMBER(Main_S[[#This Row],[BVPS]]),IF(Main_S[[#This Row],[BVPS]]&lt;&gt;0,Main_S[[#This Row],[Current Price]]/Main_S[[#This Row],[BVPS]],""),"")</f>
        <v>1.3288590604026844</v>
      </c>
      <c r="J122">
        <v>60.26</v>
      </c>
      <c r="K122">
        <v>-22.88</v>
      </c>
      <c r="L122">
        <v>1.06</v>
      </c>
      <c r="M122" s="1">
        <f>IF(ISNUMBER(Main_S[[#This Row],[EPS]]),IF(Main_S[[#This Row],[EPS]]&lt;&gt;0,Main_S[[#This Row],[Current Price]]/Main_S[[#This Row],[EPS]],""),"")</f>
        <v>2.9397379912663752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0.16422813135832004</v>
      </c>
      <c r="P122" s="1">
        <f>(Main_S[[#This Row],[P/B]]-VLOOKUP(Main_S[[#This Row],[Industry]], Mean_PB_S, 2, FALSE))/(VLOOKUP(Main_S[[#This Row],[Industry]], Mean_PB_S, 3, FALSE))</f>
        <v>-0.73945585593005259</v>
      </c>
      <c r="Q122" s="1">
        <f>(Main_S[[#This Row],[ROE]]-VLOOKUP(Main_S[[#This Row],[Industry]], Mean_ROE_S, 2, FALSE))/(VLOOKUP(Main_S[[#This Row],[Industry]], Mean_ROE_S, 3, FALSE))</f>
        <v>3.0482628922352069</v>
      </c>
      <c r="R122" s="1">
        <f>(Main_S[[#This Row],[ROA]]-VLOOKUP(Main_S[[#This Row],[Industry]], Mean_ROA_S, 2, FALSE))/(VLOOKUP(Main_S[[#This Row],[Industry]], Mean_ROA_S, 3, FALSE))</f>
        <v>-2.0220609283469314E-2</v>
      </c>
      <c r="S122" s="1">
        <f>(Main_S[[#This Row],[A/E]]-VLOOKUP(Main_S[[#This Row],[Industry]], Mean_AE_S, 2, FALSE))/(VLOOKUP(Main_S[[#This Row],[Industry]], Mean_AE_S, 3, FALSE))</f>
        <v>-0.83283488811457085</v>
      </c>
      <c r="T122" s="1">
        <f>(Main_S[[#This Row],[P/E]]-VLOOKUP(Main_S[[#This Row],[Industry]], Mean_PE_S, 2, FALSE))/(VLOOKUP(Main_S[[#This Row],[Industry]], Mean_PE_S, 3, FALSE))</f>
        <v>2.4329260824984966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7" t="s">
        <v>152</v>
      </c>
      <c r="B123" s="67" t="s">
        <v>461</v>
      </c>
      <c r="C123" s="2">
        <v>785</v>
      </c>
      <c r="D123">
        <f>RTD("tos.rtd", , "LAST", Main_S[[#This Row],[Symbol]])</f>
        <v>44.51</v>
      </c>
      <c r="E123">
        <v>-8.32</v>
      </c>
      <c r="F123">
        <v>21.59</v>
      </c>
      <c r="G123">
        <v>-10.79</v>
      </c>
      <c r="H123" s="1">
        <f>IF(ISNUMBER(Main_S[[#This Row],[Free CF]]),IF(Main_S[[#This Row],[Free CF]]&lt;&gt;0,Main_S[[#This Row],[Current Price]]/Main_S[[#This Row],[Free CF]],""),"")</f>
        <v>-5.349759615384615</v>
      </c>
      <c r="I123" s="1">
        <f>IF(ISNUMBER(Main_S[[#This Row],[BVPS]]),IF(Main_S[[#This Row],[BVPS]]&lt;&gt;0,Main_S[[#This Row],[Current Price]]/Main_S[[#This Row],[BVPS]],""),"")</f>
        <v>2.0616025937934226</v>
      </c>
      <c r="J123">
        <v>-63.56</v>
      </c>
      <c r="K123">
        <v>-39.94</v>
      </c>
      <c r="L123">
        <v>1.0900000000000001</v>
      </c>
      <c r="M123" s="1">
        <f>IF(ISNUMBER(Main_S[[#This Row],[EPS]]),IF(Main_S[[#This Row],[EPS]]&lt;&gt;0,Main_S[[#This Row],[Current Price]]/Main_S[[#This Row],[EPS]],""),"")</f>
        <v>-4.1251158480074146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-6.5001078609917976E-3</v>
      </c>
      <c r="P123" s="1">
        <f>(Main_S[[#This Row],[P/B]]-VLOOKUP(Main_S[[#This Row],[Industry]], Mean_PB_S, 2, FALSE))/(VLOOKUP(Main_S[[#This Row],[Industry]], Mean_PB_S, 3, FALSE))</f>
        <v>-0.45644791353968445</v>
      </c>
      <c r="Q123" s="1">
        <f>(Main_S[[#This Row],[ROE]]-VLOOKUP(Main_S[[#This Row],[Industry]], Mean_ROE_S, 2, FALSE))/(VLOOKUP(Main_S[[#This Row],[Industry]], Mean_ROE_S, 3, FALSE))</f>
        <v>-0.49763750373615551</v>
      </c>
      <c r="R123" s="1">
        <f>(Main_S[[#This Row],[ROA]]-VLOOKUP(Main_S[[#This Row],[Industry]], Mean_ROA_S, 2, FALSE))/(VLOOKUP(Main_S[[#This Row],[Industry]], Mean_ROA_S, 3, FALSE))</f>
        <v>-1.0760549924713509</v>
      </c>
      <c r="S123" s="1">
        <f>(Main_S[[#This Row],[A/E]]-VLOOKUP(Main_S[[#This Row],[Industry]], Mean_AE_S, 2, FALSE))/(VLOOKUP(Main_S[[#This Row],[Industry]], Mean_AE_S, 3, FALSE))</f>
        <v>-0.76508526847828673</v>
      </c>
      <c r="T123" s="1">
        <f>(Main_S[[#This Row],[P/E]]-VLOOKUP(Main_S[[#This Row],[Industry]], Mean_PE_S, 2, FALSE))/(VLOOKUP(Main_S[[#This Row],[Industry]], Mean_PE_S, 3, FALSE))</f>
        <v>0.20819571833416911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s="67" t="s">
        <v>152</v>
      </c>
      <c r="B124" s="67" t="s">
        <v>431</v>
      </c>
      <c r="C124" s="2">
        <v>1382</v>
      </c>
      <c r="D124">
        <f>RTD("tos.rtd", , "LAST", Main_S[[#This Row],[Symbol]])</f>
        <v>40.03</v>
      </c>
      <c r="E124">
        <v>-14.29</v>
      </c>
      <c r="F124">
        <v>68.38</v>
      </c>
      <c r="G124">
        <v>-58.52</v>
      </c>
      <c r="H124" s="1">
        <f>IF(ISNUMBER(Main_S[[#This Row],[Free CF]]),IF(Main_S[[#This Row],[Free CF]]&lt;&gt;0,Main_S[[#This Row],[Current Price]]/Main_S[[#This Row],[Free CF]],""),"")</f>
        <v>-2.8012596221133661</v>
      </c>
      <c r="I124" s="1">
        <f>IF(ISNUMBER(Main_S[[#This Row],[BVPS]]),IF(Main_S[[#This Row],[BVPS]]&lt;&gt;0,Main_S[[#This Row],[Current Price]]/Main_S[[#This Row],[BVPS]],""),"")</f>
        <v>0.58540508920737067</v>
      </c>
      <c r="J124">
        <v>-62.22</v>
      </c>
      <c r="K124">
        <v>-11.98</v>
      </c>
      <c r="L124">
        <v>1.18</v>
      </c>
      <c r="M124" s="1">
        <f>IF(ISNUMBER(Main_S[[#This Row],[EPS]]),IF(Main_S[[#This Row],[EPS]]&lt;&gt;0,Main_S[[#This Row],[Current Price]]/Main_S[[#This Row],[EPS]],""),"")</f>
        <v>-0.68403964456596034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0.73246480142961079</v>
      </c>
      <c r="P124" s="1">
        <f>(Main_S[[#This Row],[P/B]]-VLOOKUP(Main_S[[#This Row],[Industry]], Mean_PB_S, 2, FALSE))/(VLOOKUP(Main_S[[#This Row],[Industry]], Mean_PB_S, 3, FALSE))</f>
        <v>-1.0266004966699052</v>
      </c>
      <c r="Q124" s="1">
        <f>(Main_S[[#This Row],[ROE]]-VLOOKUP(Main_S[[#This Row],[Industry]], Mean_ROE_S, 2, FALSE))/(VLOOKUP(Main_S[[#This Row],[Industry]], Mean_ROE_S, 3, FALSE))</f>
        <v>-0.45926319804562377</v>
      </c>
      <c r="R124" s="1">
        <f>(Main_S[[#This Row],[ROA]]-VLOOKUP(Main_S[[#This Row],[Industry]], Mean_ROA_S, 2, FALSE))/(VLOOKUP(Main_S[[#This Row],[Industry]], Mean_ROA_S, 3, FALSE))</f>
        <v>0.65437462968182425</v>
      </c>
      <c r="S124" s="1">
        <f>(Main_S[[#This Row],[A/E]]-VLOOKUP(Main_S[[#This Row],[Industry]], Mean_AE_S, 2, FALSE))/(VLOOKUP(Main_S[[#This Row],[Industry]], Mean_AE_S, 3, FALSE))</f>
        <v>-0.5618364095694347</v>
      </c>
      <c r="T124" s="1">
        <f>(Main_S[[#This Row],[P/E]]-VLOOKUP(Main_S[[#This Row],[Industry]], Mean_PE_S, 2, FALSE))/(VLOOKUP(Main_S[[#This Row],[Industry]], Mean_PE_S, 3, FALSE))</f>
        <v>1.2917944578639922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7" t="s">
        <v>152</v>
      </c>
      <c r="B125" s="67" t="s">
        <v>598</v>
      </c>
      <c r="C125" s="2">
        <v>281</v>
      </c>
      <c r="D125">
        <f>RTD("tos.rtd", , "LAST", Main_S[[#This Row],[Symbol]])</f>
        <v>25.38</v>
      </c>
      <c r="E125">
        <v>-21.91</v>
      </c>
      <c r="F125">
        <v>11.6</v>
      </c>
      <c r="G125">
        <v>-21.19</v>
      </c>
      <c r="H125" s="1">
        <f>IF(ISNUMBER(Main_S[[#This Row],[Free CF]]),IF(Main_S[[#This Row],[Free CF]]&lt;&gt;0,Main_S[[#This Row],[Current Price]]/Main_S[[#This Row],[Free CF]],""),"")</f>
        <v>-1.1583751711547239</v>
      </c>
      <c r="I125" s="1">
        <f>IF(ISNUMBER(Main_S[[#This Row],[BVPS]]),IF(Main_S[[#This Row],[BVPS]]&lt;&gt;0,Main_S[[#This Row],[Current Price]]/Main_S[[#This Row],[BVPS]],""),"")</f>
        <v>2.1879310344827587</v>
      </c>
      <c r="J125">
        <v>-299.58</v>
      </c>
      <c r="K125">
        <v>-55.2</v>
      </c>
      <c r="L125">
        <v>1.35</v>
      </c>
      <c r="M125" s="1">
        <f>IF(ISNUMBER(Main_S[[#This Row],[EPS]]),IF(Main_S[[#This Row],[EPS]]&lt;&gt;0,Main_S[[#This Row],[Current Price]]/Main_S[[#This Row],[EPS]],""),"")</f>
        <v>-1.1977347805568663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1.2088367702281131</v>
      </c>
      <c r="P125" s="1">
        <f>(Main_S[[#This Row],[P/B]]-VLOOKUP(Main_S[[#This Row],[Industry]], Mean_PB_S, 2, FALSE))/(VLOOKUP(Main_S[[#This Row],[Industry]], Mean_PB_S, 3, FALSE))</f>
        <v>-0.40765600963924048</v>
      </c>
      <c r="Q125" s="1">
        <f>(Main_S[[#This Row],[ROE]]-VLOOKUP(Main_S[[#This Row],[Industry]], Mean_ROE_S, 2, FALSE))/(VLOOKUP(Main_S[[#This Row],[Industry]], Mean_ROE_S, 3, FALSE))</f>
        <v>-7.2566700627505387</v>
      </c>
      <c r="R125" s="1">
        <f>(Main_S[[#This Row],[ROA]]-VLOOKUP(Main_S[[#This Row],[Industry]], Mean_ROA_S, 2, FALSE))/(VLOOKUP(Main_S[[#This Row],[Industry]], Mean_ROA_S, 3, FALSE))</f>
        <v>-2.0204883270227625</v>
      </c>
      <c r="S125" s="1">
        <f>(Main_S[[#This Row],[A/E]]-VLOOKUP(Main_S[[#This Row],[Industry]], Mean_AE_S, 2, FALSE))/(VLOOKUP(Main_S[[#This Row],[Industry]], Mean_AE_S, 3, FALSE))</f>
        <v>-0.17792189829715771</v>
      </c>
      <c r="T125" s="1">
        <f>(Main_S[[#This Row],[P/E]]-VLOOKUP(Main_S[[#This Row],[Industry]], Mean_PE_S, 2, FALSE))/(VLOOKUP(Main_S[[#This Row],[Industry]], Mean_PE_S, 3, FALSE))</f>
        <v>1.1300312858349488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7" t="s">
        <v>152</v>
      </c>
      <c r="B126" s="67" t="s">
        <v>600</v>
      </c>
      <c r="C126" s="2">
        <v>291</v>
      </c>
      <c r="D126">
        <f>RTD("tos.rtd", , "LAST", Main_S[[#This Row],[Symbol]])</f>
        <v>39.200000000000003</v>
      </c>
      <c r="E126">
        <v>-27.11</v>
      </c>
      <c r="F126">
        <v>26.23</v>
      </c>
      <c r="G126">
        <v>-59.67</v>
      </c>
      <c r="H126" s="1">
        <f>IF(ISNUMBER(Main_S[[#This Row],[Free CF]]),IF(Main_S[[#This Row],[Free CF]]&lt;&gt;0,Main_S[[#This Row],[Current Price]]/Main_S[[#This Row],[Free CF]],""),"")</f>
        <v>-1.4459609000368869</v>
      </c>
      <c r="I126" s="1">
        <f>IF(ISNUMBER(Main_S[[#This Row],[BVPS]]),IF(Main_S[[#This Row],[BVPS]]&lt;&gt;0,Main_S[[#This Row],[Current Price]]/Main_S[[#This Row],[BVPS]],""),"")</f>
        <v>1.4944719786504004</v>
      </c>
      <c r="J126">
        <v>-91.44</v>
      </c>
      <c r="K126">
        <v>-27.59</v>
      </c>
      <c r="L126">
        <v>1.07</v>
      </c>
      <c r="M126" s="1">
        <f>IF(ISNUMBER(Main_S[[#This Row],[EPS]]),IF(Main_S[[#This Row],[EPS]]&lt;&gt;0,Main_S[[#This Row],[Current Price]]/Main_S[[#This Row],[EPS]],""),"")</f>
        <v>-0.65694653929948055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1.125448203377895</v>
      </c>
      <c r="P126" s="1">
        <f>(Main_S[[#This Row],[P/B]]-VLOOKUP(Main_S[[#This Row],[Industry]], Mean_PB_S, 2, FALSE))/(VLOOKUP(Main_S[[#This Row],[Industry]], Mean_PB_S, 3, FALSE))</f>
        <v>-0.67549108641559152</v>
      </c>
      <c r="Q126" s="1">
        <f>(Main_S[[#This Row],[ROE]]-VLOOKUP(Main_S[[#This Row],[Industry]], Mean_ROE_S, 2, FALSE))/(VLOOKUP(Main_S[[#This Row],[Industry]], Mean_ROE_S, 3, FALSE))</f>
        <v>-1.2960521624316939</v>
      </c>
      <c r="R126" s="1">
        <f>(Main_S[[#This Row],[ROA]]-VLOOKUP(Main_S[[#This Row],[Industry]], Mean_ROA_S, 2, FALSE))/(VLOOKUP(Main_S[[#This Row],[Industry]], Mean_ROA_S, 3, FALSE))</f>
        <v>-0.31172001988223391</v>
      </c>
      <c r="S126" s="1">
        <f>(Main_S[[#This Row],[A/E]]-VLOOKUP(Main_S[[#This Row],[Industry]], Mean_AE_S, 2, FALSE))/(VLOOKUP(Main_S[[#This Row],[Industry]], Mean_AE_S, 3, FALSE))</f>
        <v>-0.81025168156914285</v>
      </c>
      <c r="T126" s="1">
        <f>(Main_S[[#This Row],[P/E]]-VLOOKUP(Main_S[[#This Row],[Industry]], Mean_PE_S, 2, FALSE))/(VLOOKUP(Main_S[[#This Row],[Industry]], Mean_PE_S, 3, FALSE))</f>
        <v>1.3003261069705552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s="67" t="s">
        <v>105</v>
      </c>
      <c r="B127" s="67" t="s">
        <v>344</v>
      </c>
      <c r="C127" s="2">
        <v>1805</v>
      </c>
      <c r="D127">
        <f>RTD("tos.rtd", , "LAST", Main_S[[#This Row],[Symbol]])</f>
        <v>238.19</v>
      </c>
      <c r="E127">
        <v>7.69</v>
      </c>
      <c r="F127">
        <v>46.8</v>
      </c>
      <c r="G127">
        <v>8.15</v>
      </c>
      <c r="H127" s="1">
        <f>IF(ISNUMBER(Main_S[[#This Row],[Free CF]]),IF(Main_S[[#This Row],[Free CF]]&lt;&gt;0,Main_S[[#This Row],[Current Price]]/Main_S[[#This Row],[Free CF]],""),"")</f>
        <v>30.973992197659296</v>
      </c>
      <c r="I127" s="1">
        <f>IF(ISNUMBER(Main_S[[#This Row],[BVPS]]),IF(Main_S[[#This Row],[BVPS]]&lt;&gt;0,Main_S[[#This Row],[Current Price]]/Main_S[[#This Row],[BVPS]],""),"")</f>
        <v>5.0895299145299147</v>
      </c>
      <c r="J127">
        <v>19.36</v>
      </c>
      <c r="K127">
        <v>10.92</v>
      </c>
      <c r="L127">
        <v>1.78</v>
      </c>
      <c r="M127" s="1">
        <f>IF(ISNUMBER(Main_S[[#This Row],[EPS]]),IF(Main_S[[#This Row],[EPS]]&lt;&gt;0,Main_S[[#This Row],[Current Price]]/Main_S[[#This Row],[EPS]],""),"")</f>
        <v>29.225766871165643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1.4118704685851506</v>
      </c>
      <c r="P127" s="1">
        <f>(Main_S[[#This Row],[P/B]]-VLOOKUP(Main_S[[#This Row],[Industry]], Mean_PB_S, 2, FALSE))/(VLOOKUP(Main_S[[#This Row],[Industry]], Mean_PB_S, 3, FALSE))</f>
        <v>0.60292627410514898</v>
      </c>
      <c r="Q127" s="1">
        <f>(Main_S[[#This Row],[ROE]]-VLOOKUP(Main_S[[#This Row],[Industry]], Mean_ROE_S, 2, FALSE))/(VLOOKUP(Main_S[[#This Row],[Industry]], Mean_ROE_S, 3, FALSE))</f>
        <v>1.2539329782509678</v>
      </c>
      <c r="R127" s="1">
        <f>(Main_S[[#This Row],[ROA]]-VLOOKUP(Main_S[[#This Row],[Industry]], Mean_ROA_S, 2, FALSE))/(VLOOKUP(Main_S[[#This Row],[Industry]], Mean_ROA_S, 3, FALSE))</f>
        <v>1.4562408043817034</v>
      </c>
      <c r="S127" s="1">
        <f>(Main_S[[#This Row],[A/E]]-VLOOKUP(Main_S[[#This Row],[Industry]], Mean_AE_S, 2, FALSE))/(VLOOKUP(Main_S[[#This Row],[Industry]], Mean_AE_S, 3, FALSE))</f>
        <v>0.31998280394290168</v>
      </c>
      <c r="T127" s="1">
        <f>(Main_S[[#This Row],[P/E]]-VLOOKUP(Main_S[[#This Row],[Industry]], Mean_PE_S, 2, FALSE))/(VLOOKUP(Main_S[[#This Row],[Industry]], Mean_PE_S, 3, FALSE))</f>
        <v>3.6728919731377889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8" spans="1:26" x14ac:dyDescent="0.25">
      <c r="A128" s="67" t="s">
        <v>105</v>
      </c>
      <c r="B128" s="67" t="s">
        <v>317</v>
      </c>
      <c r="C128" s="2">
        <v>1756</v>
      </c>
      <c r="D128">
        <f>RTD("tos.rtd", , "LAST", Main_S[[#This Row],[Symbol]])</f>
        <v>59.04</v>
      </c>
      <c r="E128">
        <v>5.33</v>
      </c>
      <c r="F128">
        <v>31.61</v>
      </c>
      <c r="G128">
        <v>3.81</v>
      </c>
      <c r="H128" s="1">
        <f>IF(ISNUMBER(Main_S[[#This Row],[Free CF]]),IF(Main_S[[#This Row],[Free CF]]&lt;&gt;0,Main_S[[#This Row],[Current Price]]/Main_S[[#This Row],[Free CF]],""),"")</f>
        <v>11.076923076923077</v>
      </c>
      <c r="I128" s="1">
        <f>IF(ISNUMBER(Main_S[[#This Row],[BVPS]]),IF(Main_S[[#This Row],[BVPS]]&lt;&gt;0,Main_S[[#This Row],[Current Price]]/Main_S[[#This Row],[BVPS]],""),"")</f>
        <v>1.8677633660234103</v>
      </c>
      <c r="J128">
        <v>12.96</v>
      </c>
      <c r="K128">
        <v>4.1399999999999997</v>
      </c>
      <c r="L128">
        <v>2.35</v>
      </c>
      <c r="M128" s="1">
        <f>IF(ISNUMBER(Main_S[[#This Row],[EPS]]),IF(Main_S[[#This Row],[EPS]]&lt;&gt;0,Main_S[[#This Row],[Current Price]]/Main_S[[#This Row],[EPS]],""),"")</f>
        <v>15.496062992125983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0.70009585689104847</v>
      </c>
      <c r="P128" s="1">
        <f>(Main_S[[#This Row],[P/B]]-VLOOKUP(Main_S[[#This Row],[Industry]], Mean_PB_S, 2, FALSE))/(VLOOKUP(Main_S[[#This Row],[Industry]], Mean_PB_S, 3, FALSE))</f>
        <v>-0.57749586715346268</v>
      </c>
      <c r="Q128" s="1">
        <f>(Main_S[[#This Row],[ROE]]-VLOOKUP(Main_S[[#This Row],[Industry]], Mean_ROE_S, 2, FALSE))/(VLOOKUP(Main_S[[#This Row],[Industry]], Mean_ROE_S, 3, FALSE))</f>
        <v>1.095873334745268</v>
      </c>
      <c r="R128" s="1">
        <f>(Main_S[[#This Row],[ROA]]-VLOOKUP(Main_S[[#This Row],[Industry]], Mean_ROA_S, 2, FALSE))/(VLOOKUP(Main_S[[#This Row],[Industry]], Mean_ROA_S, 3, FALSE))</f>
        <v>0.91792313788591895</v>
      </c>
      <c r="S128" s="1">
        <f>(Main_S[[#This Row],[A/E]]-VLOOKUP(Main_S[[#This Row],[Industry]], Mean_AE_S, 2, FALSE))/(VLOOKUP(Main_S[[#This Row],[Industry]], Mean_AE_S, 3, FALSE))</f>
        <v>1.5724476846121165</v>
      </c>
      <c r="T128" s="1">
        <f>(Main_S[[#This Row],[P/E]]-VLOOKUP(Main_S[[#This Row],[Industry]], Mean_PE_S, 2, FALSE))/(VLOOKUP(Main_S[[#This Row],[Industry]], Mean_PE_S, 3, FALSE))</f>
        <v>2.3526046402469394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7" t="s">
        <v>105</v>
      </c>
      <c r="B129" s="67" t="s">
        <v>336</v>
      </c>
      <c r="C129" s="2">
        <v>581</v>
      </c>
      <c r="D129">
        <f>RTD("tos.rtd", , "LAST", Main_S[[#This Row],[Symbol]])</f>
        <v>12.64</v>
      </c>
      <c r="E129">
        <v>2.48</v>
      </c>
      <c r="F129">
        <v>18.149999999999999</v>
      </c>
      <c r="G129">
        <v>-8.27</v>
      </c>
      <c r="H129" s="1">
        <f>IF(ISNUMBER(Main_S[[#This Row],[Free CF]]),IF(Main_S[[#This Row],[Free CF]]&lt;&gt;0,Main_S[[#This Row],[Current Price]]/Main_S[[#This Row],[Free CF]],""),"")</f>
        <v>5.096774193548387</v>
      </c>
      <c r="I129" s="1">
        <f>IF(ISNUMBER(Main_S[[#This Row],[BVPS]]),IF(Main_S[[#This Row],[BVPS]]&lt;&gt;0,Main_S[[#This Row],[Current Price]]/Main_S[[#This Row],[BVPS]],""),"")</f>
        <v>0.69641873278236921</v>
      </c>
      <c r="J129">
        <v>-36.78</v>
      </c>
      <c r="K129">
        <v>2.2599999999999998</v>
      </c>
      <c r="L129">
        <v>1.32</v>
      </c>
      <c r="M129" s="1">
        <f>IF(ISNUMBER(Main_S[[#This Row],[EPS]]),IF(Main_S[[#This Row],[EPS]]&lt;&gt;0,Main_S[[#This Row],[Current Price]]/Main_S[[#This Row],[EPS]],""),"")</f>
        <v>-1.5284159613059252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0.48616896527157344</v>
      </c>
      <c r="P129" s="1">
        <f>(Main_S[[#This Row],[P/B]]-VLOOKUP(Main_S[[#This Row],[Industry]], Mean_PB_S, 2, FALSE))/(VLOOKUP(Main_S[[#This Row],[Industry]], Mean_PB_S, 3, FALSE))</f>
        <v>-1.0066644984942825</v>
      </c>
      <c r="Q129" s="1">
        <f>(Main_S[[#This Row],[ROE]]-VLOOKUP(Main_S[[#This Row],[Industry]], Mean_ROE_S, 2, FALSE))/(VLOOKUP(Main_S[[#This Row],[Industry]], Mean_ROE_S, 3, FALSE))</f>
        <v>-0.13254645712559121</v>
      </c>
      <c r="R129" s="1">
        <f>(Main_S[[#This Row],[ROA]]-VLOOKUP(Main_S[[#This Row],[Industry]], Mean_ROA_S, 2, FALSE))/(VLOOKUP(Main_S[[#This Row],[Industry]], Mean_ROA_S, 3, FALSE))</f>
        <v>0.76865511236791362</v>
      </c>
      <c r="S129" s="1">
        <f>(Main_S[[#This Row],[A/E]]-VLOOKUP(Main_S[[#This Row],[Industry]], Mean_AE_S, 2, FALSE))/(VLOOKUP(Main_S[[#This Row],[Industry]], Mean_AE_S, 3, FALSE))</f>
        <v>-0.69077832782523629</v>
      </c>
      <c r="T129" s="1">
        <f>(Main_S[[#This Row],[P/E]]-VLOOKUP(Main_S[[#This Row],[Industry]], Mean_PE_S, 2, FALSE))/(VLOOKUP(Main_S[[#This Row],[Industry]], Mean_PE_S, 3, FALSE))</f>
        <v>0.71548237531610981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7" t="s">
        <v>105</v>
      </c>
      <c r="B130" s="67" t="s">
        <v>325</v>
      </c>
      <c r="C130" s="2">
        <v>1423</v>
      </c>
      <c r="D130">
        <f>RTD("tos.rtd", , "LAST", Main_S[[#This Row],[Symbol]])</f>
        <v>31.68</v>
      </c>
      <c r="E130">
        <v>2.3199999999999998</v>
      </c>
      <c r="F130">
        <v>26.84</v>
      </c>
      <c r="G130">
        <v>0.45</v>
      </c>
      <c r="H130" s="1">
        <f>IF(ISNUMBER(Main_S[[#This Row],[Free CF]]),IF(Main_S[[#This Row],[Free CF]]&lt;&gt;0,Main_S[[#This Row],[Current Price]]/Main_S[[#This Row],[Free CF]],""),"")</f>
        <v>13.655172413793105</v>
      </c>
      <c r="I130" s="1">
        <f>IF(ISNUMBER(Main_S[[#This Row],[BVPS]]),IF(Main_S[[#This Row],[BVPS]]&lt;&gt;0,Main_S[[#This Row],[Current Price]]/Main_S[[#This Row],[BVPS]],""),"")</f>
        <v>1.180327868852459</v>
      </c>
      <c r="J130">
        <v>1.73</v>
      </c>
      <c r="K130">
        <v>0.35</v>
      </c>
      <c r="L130">
        <v>1.71</v>
      </c>
      <c r="M130" s="1">
        <f>IF(ISNUMBER(Main_S[[#This Row],[EPS]]),IF(Main_S[[#This Row],[EPS]]&lt;&gt;0,Main_S[[#This Row],[Current Price]]/Main_S[[#This Row],[EPS]],""),"")</f>
        <v>70.399999999999991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0.79232715032756318</v>
      </c>
      <c r="P130" s="1">
        <f>(Main_S[[#This Row],[P/B]]-VLOOKUP(Main_S[[#This Row],[Industry]], Mean_PB_S, 2, FALSE))/(VLOOKUP(Main_S[[#This Row],[Industry]], Mean_PB_S, 3, FALSE))</f>
        <v>-0.82936516597769883</v>
      </c>
      <c r="Q130" s="1">
        <f>(Main_S[[#This Row],[ROE]]-VLOOKUP(Main_S[[#This Row],[Industry]], Mean_ROE_S, 2, FALSE))/(VLOOKUP(Main_S[[#This Row],[Industry]], Mean_ROE_S, 3, FALSE))</f>
        <v>0.81852805403136075</v>
      </c>
      <c r="R130" s="1">
        <f>(Main_S[[#This Row],[ROA]]-VLOOKUP(Main_S[[#This Row],[Industry]], Mean_ROA_S, 2, FALSE))/(VLOOKUP(Main_S[[#This Row],[Industry]], Mean_ROA_S, 3, FALSE))</f>
        <v>0.61700515027249347</v>
      </c>
      <c r="S130" s="1">
        <f>(Main_S[[#This Row],[A/E]]-VLOOKUP(Main_S[[#This Row],[Industry]], Mean_AE_S, 2, FALSE))/(VLOOKUP(Main_S[[#This Row],[Industry]], Mean_AE_S, 3, FALSE))</f>
        <v>0.16617132736948922</v>
      </c>
      <c r="T130" s="1">
        <f>(Main_S[[#This Row],[P/E]]-VLOOKUP(Main_S[[#This Row],[Industry]], Mean_PE_S, 2, FALSE))/(VLOOKUP(Main_S[[#This Row],[Industry]], Mean_PE_S, 3, FALSE))</f>
        <v>7.6323232121819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1" spans="1:26" x14ac:dyDescent="0.25">
      <c r="A131" s="67" t="s">
        <v>105</v>
      </c>
      <c r="B131" s="67" t="s">
        <v>321</v>
      </c>
      <c r="C131" s="2">
        <v>1857</v>
      </c>
      <c r="D131">
        <f>RTD("tos.rtd", , "LAST", Main_S[[#This Row],[Symbol]])</f>
        <v>83.32</v>
      </c>
      <c r="E131">
        <v>1.83</v>
      </c>
      <c r="F131">
        <v>15.38</v>
      </c>
      <c r="G131">
        <v>1.97</v>
      </c>
      <c r="H131" s="1">
        <f>IF(ISNUMBER(Main_S[[#This Row],[Free CF]]),IF(Main_S[[#This Row],[Free CF]]&lt;&gt;0,Main_S[[#This Row],[Current Price]]/Main_S[[#This Row],[Free CF]],""),"")</f>
        <v>45.530054644808736</v>
      </c>
      <c r="I131" s="1">
        <f>IF(ISNUMBER(Main_S[[#This Row],[BVPS]]),IF(Main_S[[#This Row],[BVPS]]&lt;&gt;0,Main_S[[#This Row],[Current Price]]/Main_S[[#This Row],[BVPS]],""),"")</f>
        <v>5.4174252275682697</v>
      </c>
      <c r="J131">
        <v>13.77</v>
      </c>
      <c r="K131">
        <v>7.28</v>
      </c>
      <c r="L131">
        <v>1.6</v>
      </c>
      <c r="M131" s="1">
        <f>IF(ISNUMBER(Main_S[[#This Row],[EPS]]),IF(Main_S[[#This Row],[EPS]]&lt;&gt;0,Main_S[[#This Row],[Current Price]]/Main_S[[#This Row],[EPS]],""),"")</f>
        <v>42.294416243654823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1.9325821187908234</v>
      </c>
      <c r="P131" s="1">
        <f>(Main_S[[#This Row],[P/B]]-VLOOKUP(Main_S[[#This Row],[Industry]], Mean_PB_S, 2, FALSE))/(VLOOKUP(Main_S[[#This Row],[Industry]], Mean_PB_S, 3, FALSE))</f>
        <v>0.72306374579900046</v>
      </c>
      <c r="Q131" s="1">
        <f>(Main_S[[#This Row],[ROE]]-VLOOKUP(Main_S[[#This Row],[Industry]], Mean_ROE_S, 2, FALSE))/(VLOOKUP(Main_S[[#This Row],[Industry]], Mean_ROE_S, 3, FALSE))</f>
        <v>1.1158777583764581</v>
      </c>
      <c r="R131" s="1">
        <f>(Main_S[[#This Row],[ROA]]-VLOOKUP(Main_S[[#This Row],[Industry]], Mean_ROA_S, 2, FALSE))/(VLOOKUP(Main_S[[#This Row],[Industry]], Mean_ROA_S, 3, FALSE))</f>
        <v>1.1672324996553531</v>
      </c>
      <c r="S131" s="1">
        <f>(Main_S[[#This Row],[A/E]]-VLOOKUP(Main_S[[#This Row],[Industry]], Mean_AE_S, 2, FALSE))/(VLOOKUP(Main_S[[#This Row],[Industry]], Mean_AE_S, 3, FALSE))</f>
        <v>-7.5532421531586985E-2</v>
      </c>
      <c r="T131" s="1">
        <f>(Main_S[[#This Row],[P/E]]-VLOOKUP(Main_S[[#This Row],[Industry]], Mean_PE_S, 2, FALSE))/(VLOOKUP(Main_S[[#This Row],[Industry]], Mean_PE_S, 3, FALSE))</f>
        <v>4.929610426536529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2" spans="1:26" x14ac:dyDescent="0.25">
      <c r="A132" s="67" t="s">
        <v>105</v>
      </c>
      <c r="B132" s="67" t="s">
        <v>319</v>
      </c>
      <c r="C132" s="2">
        <v>893</v>
      </c>
      <c r="D132">
        <f>RTD("tos.rtd", , "LAST", Main_S[[#This Row],[Symbol]])</f>
        <v>14.56</v>
      </c>
      <c r="E132">
        <v>1.62</v>
      </c>
      <c r="F132">
        <v>9.01</v>
      </c>
      <c r="G132">
        <v>2.29</v>
      </c>
      <c r="H132" s="1">
        <f>IF(ISNUMBER(Main_S[[#This Row],[Free CF]]),IF(Main_S[[#This Row],[Free CF]]&lt;&gt;0,Main_S[[#This Row],[Current Price]]/Main_S[[#This Row],[Free CF]],""),"")</f>
        <v>8.9876543209876534</v>
      </c>
      <c r="I132" s="1">
        <f>IF(ISNUMBER(Main_S[[#This Row],[BVPS]]),IF(Main_S[[#This Row],[BVPS]]&lt;&gt;0,Main_S[[#This Row],[Current Price]]/Main_S[[#This Row],[BVPS]],""),"")</f>
        <v>1.6159822419533851</v>
      </c>
      <c r="J132">
        <v>24.5</v>
      </c>
      <c r="K132">
        <v>8.6199999999999992</v>
      </c>
      <c r="L132">
        <v>1.1399999999999999</v>
      </c>
      <c r="M132" s="1">
        <f>IF(ISNUMBER(Main_S[[#This Row],[EPS]]),IF(Main_S[[#This Row],[EPS]]&lt;&gt;0,Main_S[[#This Row],[Current Price]]/Main_S[[#This Row],[EPS]],""),"")</f>
        <v>6.3580786026200871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0.62535678610344425</v>
      </c>
      <c r="P132" s="1">
        <f>(Main_S[[#This Row],[P/B]]-VLOOKUP(Main_S[[#This Row],[Industry]], Mean_PB_S, 2, FALSE))/(VLOOKUP(Main_S[[#This Row],[Industry]], Mean_PB_S, 3, FALSE))</f>
        <v>-0.66974588251879519</v>
      </c>
      <c r="Q132" s="1">
        <f>(Main_S[[#This Row],[ROE]]-VLOOKUP(Main_S[[#This Row],[Industry]], Mean_ROE_S, 2, FALSE))/(VLOOKUP(Main_S[[#This Row],[Industry]], Mean_ROE_S, 3, FALSE))</f>
        <v>1.3808746294414829</v>
      </c>
      <c r="R132" s="1">
        <f>(Main_S[[#This Row],[ROA]]-VLOOKUP(Main_S[[#This Row],[Industry]], Mean_ROA_S, 2, FALSE))/(VLOOKUP(Main_S[[#This Row],[Industry]], Mean_ROA_S, 3, FALSE))</f>
        <v>1.2736256667798886</v>
      </c>
      <c r="S132" s="1">
        <f>(Main_S[[#This Row],[A/E]]-VLOOKUP(Main_S[[#This Row],[Industry]], Mean_AE_S, 2, FALSE))/(VLOOKUP(Main_S[[#This Row],[Industry]], Mean_AE_S, 3, FALSE))</f>
        <v>-1.0862935532997255</v>
      </c>
      <c r="T132" s="1">
        <f>(Main_S[[#This Row],[P/E]]-VLOOKUP(Main_S[[#This Row],[Industry]], Mean_PE_S, 2, FALSE))/(VLOOKUP(Main_S[[#This Row],[Industry]], Mean_PE_S, 3, FALSE))</f>
        <v>1.4738700991445983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7" t="s">
        <v>105</v>
      </c>
      <c r="B133" s="67" t="s">
        <v>320</v>
      </c>
      <c r="C133" s="2">
        <v>736</v>
      </c>
      <c r="D133">
        <f>RTD("tos.rtd", , "LAST", Main_S[[#This Row],[Symbol]])</f>
        <v>60.8</v>
      </c>
      <c r="E133">
        <v>1.0900000000000001</v>
      </c>
      <c r="F133">
        <v>7.08</v>
      </c>
      <c r="G133">
        <v>1.55</v>
      </c>
      <c r="H133" s="1">
        <f>IF(ISNUMBER(Main_S[[#This Row],[Free CF]]),IF(Main_S[[#This Row],[Free CF]]&lt;&gt;0,Main_S[[#This Row],[Current Price]]/Main_S[[#This Row],[Free CF]],""),"")</f>
        <v>55.77981651376146</v>
      </c>
      <c r="I133" s="1">
        <f>IF(ISNUMBER(Main_S[[#This Row],[BVPS]]),IF(Main_S[[#This Row],[BVPS]]&lt;&gt;0,Main_S[[#This Row],[Current Price]]/Main_S[[#This Row],[BVPS]],""),"")</f>
        <v>8.5875706214689256</v>
      </c>
      <c r="J133">
        <v>23.81</v>
      </c>
      <c r="K133">
        <v>14.92</v>
      </c>
      <c r="L133">
        <v>1.1299999999999999</v>
      </c>
      <c r="M133" s="1">
        <f>IF(ISNUMBER(Main_S[[#This Row],[EPS]]),IF(Main_S[[#This Row],[EPS]]&lt;&gt;0,Main_S[[#This Row],[Current Price]]/Main_S[[#This Row],[EPS]],""),"")</f>
        <v>39.225806451612897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2.2992451800669</v>
      </c>
      <c r="P133" s="1">
        <f>(Main_S[[#This Row],[P/B]]-VLOOKUP(Main_S[[#This Row],[Industry]], Mean_PB_S, 2, FALSE))/(VLOOKUP(Main_S[[#This Row],[Industry]], Mean_PB_S, 3, FALSE))</f>
        <v>1.8845724267132169</v>
      </c>
      <c r="Q133" s="1">
        <f>(Main_S[[#This Row],[ROE]]-VLOOKUP(Main_S[[#This Row],[Industry]], Mean_ROE_S, 2, FALSE))/(VLOOKUP(Main_S[[#This Row],[Industry]], Mean_ROE_S, 3, FALSE))</f>
        <v>1.3638338241260246</v>
      </c>
      <c r="R133" s="1">
        <f>(Main_S[[#This Row],[ROA]]-VLOOKUP(Main_S[[#This Row],[Industry]], Mean_ROA_S, 2, FALSE))/(VLOOKUP(Main_S[[#This Row],[Industry]], Mean_ROA_S, 3, FALSE))</f>
        <v>1.7738323480370335</v>
      </c>
      <c r="S133" s="1">
        <f>(Main_S[[#This Row],[A/E]]-VLOOKUP(Main_S[[#This Row],[Industry]], Mean_AE_S, 2, FALSE))/(VLOOKUP(Main_S[[#This Row],[Industry]], Mean_AE_S, 3, FALSE))</f>
        <v>-1.1082666213816417</v>
      </c>
      <c r="T133" s="1">
        <f>(Main_S[[#This Row],[P/E]]-VLOOKUP(Main_S[[#This Row],[Industry]], Mean_PE_S, 2, FALSE))/(VLOOKUP(Main_S[[#This Row],[Industry]], Mean_PE_S, 3, FALSE))</f>
        <v>4.6345241906124688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4" spans="1:26" x14ac:dyDescent="0.25">
      <c r="A134" s="67" t="s">
        <v>105</v>
      </c>
      <c r="B134" s="67" t="s">
        <v>335</v>
      </c>
      <c r="C134" s="2">
        <v>318</v>
      </c>
      <c r="D134">
        <f>RTD("tos.rtd", , "LAST", Main_S[[#This Row],[Symbol]])</f>
        <v>8.52</v>
      </c>
      <c r="E134">
        <v>0.93</v>
      </c>
      <c r="F134">
        <v>13.24</v>
      </c>
      <c r="G134">
        <v>-1.02</v>
      </c>
      <c r="H134" s="1">
        <f>IF(ISNUMBER(Main_S[[#This Row],[Free CF]]),IF(Main_S[[#This Row],[Free CF]]&lt;&gt;0,Main_S[[#This Row],[Current Price]]/Main_S[[#This Row],[Free CF]],""),"")</f>
        <v>9.1612903225806441</v>
      </c>
      <c r="I134" s="1">
        <f>IF(ISNUMBER(Main_S[[#This Row],[BVPS]]),IF(Main_S[[#This Row],[BVPS]]&lt;&gt;0,Main_S[[#This Row],[Current Price]]/Main_S[[#This Row],[BVPS]],""),"")</f>
        <v>0.64350453172205435</v>
      </c>
      <c r="J134">
        <v>-7.17</v>
      </c>
      <c r="K134">
        <v>2.56</v>
      </c>
      <c r="L134">
        <v>2.4700000000000002</v>
      </c>
      <c r="M134" s="1">
        <f>IF(ISNUMBER(Main_S[[#This Row],[EPS]]),IF(Main_S[[#This Row],[EPS]]&lt;&gt;0,Main_S[[#This Row],[Current Price]]/Main_S[[#This Row],[EPS]],""),"")</f>
        <v>-8.352941176470587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0.63156823849676014</v>
      </c>
      <c r="P134" s="1">
        <f>(Main_S[[#This Row],[P/B]]-VLOOKUP(Main_S[[#This Row],[Industry]], Mean_PB_S, 2, FALSE))/(VLOOKUP(Main_S[[#This Row],[Industry]], Mean_PB_S, 3, FALSE))</f>
        <v>-1.0260517177661319</v>
      </c>
      <c r="Q134" s="1">
        <f>(Main_S[[#This Row],[ROE]]-VLOOKUP(Main_S[[#This Row],[Industry]], Mean_ROE_S, 2, FALSE))/(VLOOKUP(Main_S[[#This Row],[Industry]], Mean_ROE_S, 3, FALSE))</f>
        <v>0.5987263622812472</v>
      </c>
      <c r="R134" s="1">
        <f>(Main_S[[#This Row],[ROA]]-VLOOKUP(Main_S[[#This Row],[Industry]], Mean_ROA_S, 2, FALSE))/(VLOOKUP(Main_S[[#This Row],[Industry]], Mean_ROA_S, 3, FALSE))</f>
        <v>0.79247447814206351</v>
      </c>
      <c r="S134" s="1">
        <f>(Main_S[[#This Row],[A/E]]-VLOOKUP(Main_S[[#This Row],[Industry]], Mean_AE_S, 2, FALSE))/(VLOOKUP(Main_S[[#This Row],[Industry]], Mean_AE_S, 3, FALSE))</f>
        <v>1.8361245015951091</v>
      </c>
      <c r="T134" s="1">
        <f>(Main_S[[#This Row],[P/E]]-VLOOKUP(Main_S[[#This Row],[Industry]], Mean_PE_S, 2, FALSE))/(VLOOKUP(Main_S[[#This Row],[Industry]], Mean_PE_S, 3, FALSE))</f>
        <v>5.9216641258170603E-2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s="67" t="s">
        <v>105</v>
      </c>
      <c r="B135" s="67" t="s">
        <v>338</v>
      </c>
      <c r="C135" s="2">
        <v>615</v>
      </c>
      <c r="D135">
        <f>RTD("tos.rtd", , "LAST", Main_S[[#This Row],[Symbol]])</f>
        <v>9.91</v>
      </c>
      <c r="E135">
        <v>0.69</v>
      </c>
      <c r="F135">
        <v>-12.62</v>
      </c>
      <c r="G135">
        <v>0.89</v>
      </c>
      <c r="H135" s="1">
        <f>IF(ISNUMBER(Main_S[[#This Row],[Free CF]]),IF(Main_S[[#This Row],[Free CF]]&lt;&gt;0,Main_S[[#This Row],[Current Price]]/Main_S[[#This Row],[Free CF]],""),"")</f>
        <v>14.362318840579711</v>
      </c>
      <c r="I135" s="1">
        <f>IF(ISNUMBER(Main_S[[#This Row],[BVPS]]),IF(Main_S[[#This Row],[BVPS]]&lt;&gt;0,Main_S[[#This Row],[Current Price]]/Main_S[[#This Row],[BVPS]],""),"")</f>
        <v>-0.78526148969889076</v>
      </c>
      <c r="J135">
        <v>-7.01</v>
      </c>
      <c r="K135">
        <v>2.5299999999999998</v>
      </c>
      <c r="L135">
        <v>-1.52</v>
      </c>
      <c r="M135" s="1">
        <f>IF(ISNUMBER(Main_S[[#This Row],[EPS]]),IF(Main_S[[#This Row],[EPS]]&lt;&gt;0,Main_S[[#This Row],[Current Price]]/Main_S[[#This Row],[EPS]],""),"")</f>
        <v>11.134831460674157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0.81762378423292326</v>
      </c>
      <c r="P135" s="1">
        <f>(Main_S[[#This Row],[P/B]]-VLOOKUP(Main_S[[#This Row],[Industry]], Mean_PB_S, 2, FALSE))/(VLOOKUP(Main_S[[#This Row],[Industry]], Mean_PB_S, 3, FALSE))</f>
        <v>-1.5495368992561076</v>
      </c>
      <c r="Q135" s="1">
        <f>(Main_S[[#This Row],[ROE]]-VLOOKUP(Main_S[[#This Row],[Industry]], Mean_ROE_S, 2, FALSE))/(VLOOKUP(Main_S[[#This Row],[Industry]], Mean_ROE_S, 3, FALSE))</f>
        <v>0.60267785336888979</v>
      </c>
      <c r="R135" s="1">
        <f>(Main_S[[#This Row],[ROA]]-VLOOKUP(Main_S[[#This Row],[Industry]], Mean_ROA_S, 2, FALSE))/(VLOOKUP(Main_S[[#This Row],[Industry]], Mean_ROA_S, 3, FALSE))</f>
        <v>0.79009254156464837</v>
      </c>
      <c r="S135" s="1">
        <f>(Main_S[[#This Row],[A/E]]-VLOOKUP(Main_S[[#This Row],[Industry]], Mean_AE_S, 2, FALSE))/(VLOOKUP(Main_S[[#This Row],[Industry]], Mean_AE_S, 3, FALSE))</f>
        <v>-6.9311296630893935</v>
      </c>
      <c r="T135" s="1">
        <f>(Main_S[[#This Row],[P/E]]-VLOOKUP(Main_S[[#This Row],[Industry]], Mean_PE_S, 2, FALSE))/(VLOOKUP(Main_S[[#This Row],[Industry]], Mean_PE_S, 3, FALSE))</f>
        <v>1.9332162253539913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7" t="s">
        <v>105</v>
      </c>
      <c r="B136" s="67" t="s">
        <v>337</v>
      </c>
      <c r="C136" s="2">
        <v>430</v>
      </c>
      <c r="D136">
        <f>RTD("tos.rtd", , "LAST", Main_S[[#This Row],[Symbol]])</f>
        <v>6.72</v>
      </c>
      <c r="E136">
        <v>0.37</v>
      </c>
      <c r="F136">
        <v>2.2400000000000002</v>
      </c>
      <c r="G136">
        <v>-0.48</v>
      </c>
      <c r="H136" s="1">
        <f>IF(ISNUMBER(Main_S[[#This Row],[Free CF]]),IF(Main_S[[#This Row],[Free CF]]&lt;&gt;0,Main_S[[#This Row],[Current Price]]/Main_S[[#This Row],[Free CF]],""),"")</f>
        <v>18.162162162162161</v>
      </c>
      <c r="I136" s="1">
        <f>IF(ISNUMBER(Main_S[[#This Row],[BVPS]]),IF(Main_S[[#This Row],[BVPS]]&lt;&gt;0,Main_S[[#This Row],[Current Price]]/Main_S[[#This Row],[BVPS]],""),"")</f>
        <v>2.9999999999999996</v>
      </c>
      <c r="J136">
        <v>-20.239999999999998</v>
      </c>
      <c r="K136">
        <v>3.33</v>
      </c>
      <c r="L136">
        <v>4.67</v>
      </c>
      <c r="M136" s="1">
        <f>IF(ISNUMBER(Main_S[[#This Row],[EPS]]),IF(Main_S[[#This Row],[EPS]]&lt;&gt;0,Main_S[[#This Row],[Current Price]]/Main_S[[#This Row],[EPS]],""),"")</f>
        <v>-14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0.95355496024211128</v>
      </c>
      <c r="P136" s="1">
        <f>(Main_S[[#This Row],[P/B]]-VLOOKUP(Main_S[[#This Row],[Industry]], Mean_PB_S, 2, FALSE))/(VLOOKUP(Main_S[[#This Row],[Industry]], Mean_PB_S, 3, FALSE))</f>
        <v>-0.16265600468433067</v>
      </c>
      <c r="Q136" s="1">
        <f>(Main_S[[#This Row],[ROE]]-VLOOKUP(Main_S[[#This Row],[Industry]], Mean_ROE_S, 2, FALSE))/(VLOOKUP(Main_S[[#This Row],[Industry]], Mean_ROE_S, 3, FALSE))</f>
        <v>0.27593893405945136</v>
      </c>
      <c r="R136" s="1">
        <f>(Main_S[[#This Row],[ROA]]-VLOOKUP(Main_S[[#This Row],[Industry]], Mean_ROA_S, 2, FALSE))/(VLOOKUP(Main_S[[#This Row],[Industry]], Mean_ROA_S, 3, FALSE))</f>
        <v>0.85361085029571449</v>
      </c>
      <c r="S136" s="1">
        <f>(Main_S[[#This Row],[A/E]]-VLOOKUP(Main_S[[#This Row],[Industry]], Mean_AE_S, 2, FALSE))/(VLOOKUP(Main_S[[#This Row],[Industry]], Mean_AE_S, 3, FALSE))</f>
        <v>6.6701994796166391</v>
      </c>
      <c r="T136" s="1">
        <f>(Main_S[[#This Row],[P/E]]-VLOOKUP(Main_S[[#This Row],[Industry]], Mean_PE_S, 2, FALSE))/(VLOOKUP(Main_S[[#This Row],[Industry]], Mean_PE_S, 3, FALSE))</f>
        <v>-0.48382057924427802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7" t="s">
        <v>105</v>
      </c>
      <c r="B137" s="67" t="s">
        <v>570</v>
      </c>
      <c r="C137" s="2">
        <v>255</v>
      </c>
      <c r="D137">
        <f>RTD("tos.rtd", , "LAST", Main_S[[#This Row],[Symbol]])</f>
        <v>9.39</v>
      </c>
      <c r="E137">
        <v>0.21</v>
      </c>
      <c r="F137">
        <v>14.16</v>
      </c>
      <c r="G137">
        <v>-0.91</v>
      </c>
      <c r="H137" s="1">
        <f>IF(ISNUMBER(Main_S[[#This Row],[Free CF]]),IF(Main_S[[#This Row],[Free CF]]&lt;&gt;0,Main_S[[#This Row],[Current Price]]/Main_S[[#This Row],[Free CF]],""),"")</f>
        <v>44.714285714285715</v>
      </c>
      <c r="I137" s="1">
        <f>IF(ISNUMBER(Main_S[[#This Row],[BVPS]]),IF(Main_S[[#This Row],[BVPS]]&lt;&gt;0,Main_S[[#This Row],[Current Price]]/Main_S[[#This Row],[BVPS]],""),"")</f>
        <v>0.66313559322033899</v>
      </c>
      <c r="J137">
        <v>-6.37</v>
      </c>
      <c r="K137">
        <v>0.04</v>
      </c>
      <c r="L137">
        <v>1.89</v>
      </c>
      <c r="M137" s="1">
        <f>IF(ISNUMBER(Main_S[[#This Row],[EPS]]),IF(Main_S[[#This Row],[EPS]]&lt;&gt;0,Main_S[[#This Row],[Current Price]]/Main_S[[#This Row],[EPS]],""),"")</f>
        <v>-10.318681318681319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1.9033997497578887</v>
      </c>
      <c r="P137" s="1">
        <f>(Main_S[[#This Row],[P/B]]-VLOOKUP(Main_S[[#This Row],[Industry]], Mean_PB_S, 2, FALSE))/(VLOOKUP(Main_S[[#This Row],[Industry]], Mean_PB_S, 3, FALSE))</f>
        <v>-1.0188590986548165</v>
      </c>
      <c r="Q137" s="1">
        <f>(Main_S[[#This Row],[ROE]]-VLOOKUP(Main_S[[#This Row],[Industry]], Mean_ROE_S, 2, FALSE))/(VLOOKUP(Main_S[[#This Row],[Industry]], Mean_ROE_S, 3, FALSE))</f>
        <v>0.61848381771945971</v>
      </c>
      <c r="R137" s="1">
        <f>(Main_S[[#This Row],[ROA]]-VLOOKUP(Main_S[[#This Row],[Industry]], Mean_ROA_S, 2, FALSE))/(VLOOKUP(Main_S[[#This Row],[Industry]], Mean_ROA_S, 3, FALSE))</f>
        <v>0.59239180563920546</v>
      </c>
      <c r="S137" s="1">
        <f>(Main_S[[#This Row],[A/E]]-VLOOKUP(Main_S[[#This Row],[Industry]], Mean_AE_S, 2, FALSE))/(VLOOKUP(Main_S[[#This Row],[Industry]], Mean_AE_S, 3, FALSE))</f>
        <v>0.56168655284397795</v>
      </c>
      <c r="T137" s="1">
        <f>(Main_S[[#This Row],[P/E]]-VLOOKUP(Main_S[[#This Row],[Industry]], Mean_PE_S, 2, FALSE))/(VLOOKUP(Main_S[[#This Row],[Industry]], Mean_PE_S, 3, FALSE))</f>
        <v>-0.12981451574136552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7" t="s">
        <v>105</v>
      </c>
      <c r="B138" s="67" t="s">
        <v>312</v>
      </c>
      <c r="C138" s="2">
        <v>496</v>
      </c>
      <c r="D138">
        <f>RTD("tos.rtd", , "LAST", Main_S[[#This Row],[Symbol]])</f>
        <v>10.41</v>
      </c>
      <c r="E138">
        <v>0</v>
      </c>
      <c r="F138">
        <v>2.3199999999999998</v>
      </c>
      <c r="G138">
        <v>-0.16</v>
      </c>
      <c r="H138" s="1" t="str">
        <f>IF(ISNUMBER(Main_S[[#This Row],[Free CF]]),IF(Main_S[[#This Row],[Free CF]]&lt;&gt;0,Main_S[[#This Row],[Current Price]]/Main_S[[#This Row],[Free CF]],""),"")</f>
        <v/>
      </c>
      <c r="I138" s="1">
        <f>IF(ISNUMBER(Main_S[[#This Row],[BVPS]]),IF(Main_S[[#This Row],[BVPS]]&lt;&gt;0,Main_S[[#This Row],[Current Price]]/Main_S[[#This Row],[BVPS]],""),"")</f>
        <v>4.487068965517242</v>
      </c>
      <c r="J138">
        <v>-7.22</v>
      </c>
      <c r="K138">
        <v>-0.13</v>
      </c>
      <c r="L138">
        <v>1.86</v>
      </c>
      <c r="M138" s="1">
        <f>IF(ISNUMBER(Main_S[[#This Row],[EPS]]),IF(Main_S[[#This Row],[EPS]]&lt;&gt;0,Main_S[[#This Row],[Current Price]]/Main_S[[#This Row],[EPS]],""),"")</f>
        <v>-65.0625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 t="e">
        <f>(Main_S[[#This Row],[P/FCF]]-VLOOKUP(Main_S[[#This Row],[Industry]], Mean_PFCF_S, 2, FALSE))/(VLOOKUP(Main_S[[#This Row],[Industry]], Mean_PFCF_S, 3, FALSE))</f>
        <v>#VALUE!</v>
      </c>
      <c r="P138" s="1">
        <f>(Main_S[[#This Row],[P/B]]-VLOOKUP(Main_S[[#This Row],[Industry]], Mean_PB_S, 2, FALSE))/(VLOOKUP(Main_S[[#This Row],[Industry]], Mean_PB_S, 3, FALSE))</f>
        <v>0.3821907761256626</v>
      </c>
      <c r="Q138" s="1">
        <f>(Main_S[[#This Row],[ROE]]-VLOOKUP(Main_S[[#This Row],[Industry]], Mean_ROE_S, 2, FALSE))/(VLOOKUP(Main_S[[#This Row],[Industry]], Mean_ROE_S, 3, FALSE))</f>
        <v>0.59749152131635896</v>
      </c>
      <c r="R138" s="1">
        <f>(Main_S[[#This Row],[ROA]]-VLOOKUP(Main_S[[#This Row],[Industry]], Mean_ROA_S, 2, FALSE))/(VLOOKUP(Main_S[[#This Row],[Industry]], Mean_ROA_S, 3, FALSE))</f>
        <v>0.57889416503385394</v>
      </c>
      <c r="S138" s="1">
        <f>(Main_S[[#This Row],[A/E]]-VLOOKUP(Main_S[[#This Row],[Industry]], Mean_AE_S, 2, FALSE))/(VLOOKUP(Main_S[[#This Row],[Industry]], Mean_AE_S, 3, FALSE))</f>
        <v>0.49576734859823018</v>
      </c>
      <c r="T138" s="1">
        <f>(Main_S[[#This Row],[P/E]]-VLOOKUP(Main_S[[#This Row],[Industry]], Mean_PE_S, 2, FALSE))/(VLOOKUP(Main_S[[#This Row],[Industry]], Mean_PE_S, 3, FALSE))</f>
        <v>-5.3941356544776813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9" spans="1:26" x14ac:dyDescent="0.25">
      <c r="A139" s="67" t="s">
        <v>105</v>
      </c>
      <c r="B139" s="67" t="s">
        <v>311</v>
      </c>
      <c r="C139" s="2">
        <v>1711</v>
      </c>
      <c r="D139">
        <f>RTD("tos.rtd", , "LAST", Main_S[[#This Row],[Symbol]])</f>
        <v>34.18</v>
      </c>
      <c r="E139">
        <v>-0.01</v>
      </c>
      <c r="F139">
        <v>9.19</v>
      </c>
      <c r="G139">
        <v>-0.81</v>
      </c>
      <c r="H139" s="1">
        <f>IF(ISNUMBER(Main_S[[#This Row],[Free CF]]),IF(Main_S[[#This Row],[Free CF]]&lt;&gt;0,Main_S[[#This Row],[Current Price]]/Main_S[[#This Row],[Free CF]],""),"")</f>
        <v>-3418</v>
      </c>
      <c r="I139" s="1">
        <f>IF(ISNUMBER(Main_S[[#This Row],[BVPS]]),IF(Main_S[[#This Row],[BVPS]]&lt;&gt;0,Main_S[[#This Row],[Current Price]]/Main_S[[#This Row],[BVPS]],""),"")</f>
        <v>3.7192600652883572</v>
      </c>
      <c r="J139">
        <v>-8.3800000000000008</v>
      </c>
      <c r="K139">
        <v>-3.7</v>
      </c>
      <c r="L139">
        <v>1.3</v>
      </c>
      <c r="M139" s="1">
        <f>IF(ISNUMBER(Main_S[[#This Row],[EPS]]),IF(Main_S[[#This Row],[EPS]]&lt;&gt;0,Main_S[[#This Row],[Current Price]]/Main_S[[#This Row],[EPS]],""),"")</f>
        <v>-42.197530864197525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-121.96771418999757</v>
      </c>
      <c r="P139" s="1">
        <f>(Main_S[[#This Row],[P/B]]-VLOOKUP(Main_S[[#This Row],[Industry]], Mean_PB_S, 2, FALSE))/(VLOOKUP(Main_S[[#This Row],[Industry]], Mean_PB_S, 3, FALSE))</f>
        <v>0.10087348871830959</v>
      </c>
      <c r="Q139" s="1">
        <f>(Main_S[[#This Row],[ROE]]-VLOOKUP(Main_S[[#This Row],[Industry]], Mean_ROE_S, 2, FALSE))/(VLOOKUP(Main_S[[#This Row],[Industry]], Mean_ROE_S, 3, FALSE))</f>
        <v>0.56884321093095092</v>
      </c>
      <c r="R139" s="1">
        <f>(Main_S[[#This Row],[ROA]]-VLOOKUP(Main_S[[#This Row],[Industry]], Mean_ROA_S, 2, FALSE))/(VLOOKUP(Main_S[[#This Row],[Industry]], Mean_ROA_S, 3, FALSE))</f>
        <v>0.29544371232147171</v>
      </c>
      <c r="S139" s="1">
        <f>(Main_S[[#This Row],[A/E]]-VLOOKUP(Main_S[[#This Row],[Industry]], Mean_AE_S, 2, FALSE))/(VLOOKUP(Main_S[[#This Row],[Industry]], Mean_AE_S, 3, FALSE))</f>
        <v>-0.73472446398906843</v>
      </c>
      <c r="T139" s="1">
        <f>(Main_S[[#This Row],[P/E]]-VLOOKUP(Main_S[[#This Row],[Industry]], Mean_PE_S, 2, FALSE))/(VLOOKUP(Main_S[[#This Row],[Industry]], Mean_PE_S, 3, FALSE))</f>
        <v>-3.1953752600144769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0" spans="1:26" x14ac:dyDescent="0.25">
      <c r="A140" s="67" t="s">
        <v>105</v>
      </c>
      <c r="B140" s="67" t="s">
        <v>334</v>
      </c>
      <c r="C140" s="2">
        <v>1320</v>
      </c>
      <c r="D140">
        <f>RTD("tos.rtd", , "LAST", Main_S[[#This Row],[Symbol]])</f>
        <v>20.23</v>
      </c>
      <c r="E140">
        <v>-0.06</v>
      </c>
      <c r="F140">
        <v>2.33</v>
      </c>
      <c r="G140">
        <v>-2.8</v>
      </c>
      <c r="H140" s="1">
        <f>IF(ISNUMBER(Main_S[[#This Row],[Free CF]]),IF(Main_S[[#This Row],[Free CF]]&lt;&gt;0,Main_S[[#This Row],[Current Price]]/Main_S[[#This Row],[Free CF]],""),"")</f>
        <v>-337.16666666666669</v>
      </c>
      <c r="I140" s="1">
        <f>IF(ISNUMBER(Main_S[[#This Row],[BVPS]]),IF(Main_S[[#This Row],[BVPS]]&lt;&gt;0,Main_S[[#This Row],[Current Price]]/Main_S[[#This Row],[BVPS]],""),"")</f>
        <v>8.6824034334763951</v>
      </c>
      <c r="J140">
        <v>-92.31</v>
      </c>
      <c r="K140">
        <v>-6.17</v>
      </c>
      <c r="L140">
        <v>5.94</v>
      </c>
      <c r="M140" s="1">
        <f>IF(ISNUMBER(Main_S[[#This Row],[EPS]]),IF(Main_S[[#This Row],[EPS]]&lt;&gt;0,Main_S[[#This Row],[Current Price]]/Main_S[[#This Row],[EPS]],""),"")</f>
        <v>-7.2250000000000005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-11.757565337358864</v>
      </c>
      <c r="P140" s="1">
        <f>(Main_S[[#This Row],[P/B]]-VLOOKUP(Main_S[[#This Row],[Industry]], Mean_PB_S, 2, FALSE))/(VLOOKUP(Main_S[[#This Row],[Industry]], Mean_PB_S, 3, FALSE))</f>
        <v>1.9193181940821546</v>
      </c>
      <c r="Q140" s="1">
        <f>(Main_S[[#This Row],[ROE]]-VLOOKUP(Main_S[[#This Row],[Industry]], Mean_ROE_S, 2, FALSE))/(VLOOKUP(Main_S[[#This Row],[Industry]], Mean_ROE_S, 3, FALSE))</f>
        <v>-1.5039608327305132</v>
      </c>
      <c r="R140" s="1">
        <f>(Main_S[[#This Row],[ROA]]-VLOOKUP(Main_S[[#This Row],[Industry]], Mean_ROA_S, 2, FALSE))/(VLOOKUP(Main_S[[#This Row],[Industry]], Mean_ROA_S, 3, FALSE))</f>
        <v>9.9330934114305353E-2</v>
      </c>
      <c r="S140" s="1">
        <f>(Main_S[[#This Row],[A/E]]-VLOOKUP(Main_S[[#This Row],[Industry]], Mean_AE_S, 2, FALSE))/(VLOOKUP(Main_S[[#This Row],[Industry]], Mean_AE_S, 3, FALSE))</f>
        <v>9.4607791260199772</v>
      </c>
      <c r="T140" s="1">
        <f>(Main_S[[#This Row],[P/E]]-VLOOKUP(Main_S[[#This Row],[Industry]], Mean_PE_S, 2, FALSE))/(VLOOKUP(Main_S[[#This Row],[Industry]], Mean_PE_S, 3, FALSE))</f>
        <v>0.16768266941582094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s="67" t="s">
        <v>105</v>
      </c>
      <c r="B141" s="67" t="s">
        <v>331</v>
      </c>
      <c r="C141" s="2">
        <v>1226</v>
      </c>
      <c r="D141">
        <f>RTD("tos.rtd", , "LAST", Main_S[[#This Row],[Symbol]])</f>
        <v>4.58</v>
      </c>
      <c r="E141">
        <v>-0.08</v>
      </c>
      <c r="F141">
        <v>0.21</v>
      </c>
      <c r="G141">
        <v>-0.09</v>
      </c>
      <c r="H141" s="1">
        <f>IF(ISNUMBER(Main_S[[#This Row],[Free CF]]),IF(Main_S[[#This Row],[Free CF]]&lt;&gt;0,Main_S[[#This Row],[Current Price]]/Main_S[[#This Row],[Free CF]],""),"")</f>
        <v>-57.25</v>
      </c>
      <c r="I141" s="1">
        <f>IF(ISNUMBER(Main_S[[#This Row],[BVPS]]),IF(Main_S[[#This Row],[BVPS]]&lt;&gt;0,Main_S[[#This Row],[Current Price]]/Main_S[[#This Row],[BVPS]],""),"")</f>
        <v>21.80952380952381</v>
      </c>
      <c r="J141">
        <v>-55.43</v>
      </c>
      <c r="K141">
        <v>-19.93</v>
      </c>
      <c r="L141">
        <v>1.56</v>
      </c>
      <c r="M141" s="1">
        <f>IF(ISNUMBER(Main_S[[#This Row],[EPS]]),IF(Main_S[[#This Row],[EPS]]&lt;&gt;0,Main_S[[#This Row],[Current Price]]/Main_S[[#This Row],[EPS]],""),"")</f>
        <v>-50.888888888888893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-1.7441520293790582</v>
      </c>
      <c r="P141" s="1">
        <f>(Main_S[[#This Row],[P/B]]-VLOOKUP(Main_S[[#This Row],[Industry]], Mean_PB_S, 2, FALSE))/(VLOOKUP(Main_S[[#This Row],[Industry]], Mean_PB_S, 3, FALSE))</f>
        <v>6.7289601434768498</v>
      </c>
      <c r="Q141" s="1">
        <f>(Main_S[[#This Row],[ROE]]-VLOOKUP(Main_S[[#This Row],[Industry]], Mean_ROE_S, 2, FALSE))/(VLOOKUP(Main_S[[#This Row],[Industry]], Mean_ROE_S, 3, FALSE))</f>
        <v>-0.59314213702891905</v>
      </c>
      <c r="R141" s="1">
        <f>(Main_S[[#This Row],[ROA]]-VLOOKUP(Main_S[[#This Row],[Industry]], Mean_ROA_S, 2, FALSE))/(VLOOKUP(Main_S[[#This Row],[Industry]], Mean_ROA_S, 3, FALSE))</f>
        <v>-0.99318397606003039</v>
      </c>
      <c r="S141" s="1">
        <f>(Main_S[[#This Row],[A/E]]-VLOOKUP(Main_S[[#This Row],[Industry]], Mean_AE_S, 2, FALSE))/(VLOOKUP(Main_S[[#This Row],[Industry]], Mean_AE_S, 3, FALSE))</f>
        <v>-0.16342469385925126</v>
      </c>
      <c r="T141" s="1">
        <f>(Main_S[[#This Row],[P/E]]-VLOOKUP(Main_S[[#This Row],[Industry]], Mean_PE_S, 2, FALSE))/(VLOOKUP(Main_S[[#This Row],[Industry]], Mean_PE_S, 3, FALSE))</f>
        <v>-4.031160940952403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2" spans="1:26" x14ac:dyDescent="0.25">
      <c r="A142" s="67" t="s">
        <v>105</v>
      </c>
      <c r="B142" s="67" t="s">
        <v>328</v>
      </c>
      <c r="C142" s="2">
        <v>395</v>
      </c>
      <c r="D142">
        <f>RTD("tos.rtd", , "LAST", Main_S[[#This Row],[Symbol]])</f>
        <v>0.53</v>
      </c>
      <c r="E142">
        <v>-0.09</v>
      </c>
      <c r="F142">
        <v>0.05</v>
      </c>
      <c r="G142">
        <v>-0.11</v>
      </c>
      <c r="H142" s="1">
        <f>IF(ISNUMBER(Main_S[[#This Row],[Free CF]]),IF(Main_S[[#This Row],[Free CF]]&lt;&gt;0,Main_S[[#This Row],[Current Price]]/Main_S[[#This Row],[Free CF]],""),"")</f>
        <v>-5.8888888888888893</v>
      </c>
      <c r="I142" s="1">
        <f>IF(ISNUMBER(Main_S[[#This Row],[BVPS]]),IF(Main_S[[#This Row],[BVPS]]&lt;&gt;0,Main_S[[#This Row],[Current Price]]/Main_S[[#This Row],[BVPS]],""),"")</f>
        <v>10.6</v>
      </c>
      <c r="J142">
        <v>-161.19</v>
      </c>
      <c r="K142">
        <v>-41</v>
      </c>
      <c r="L142">
        <v>2.48</v>
      </c>
      <c r="M142" s="1">
        <f>IF(ISNUMBER(Main_S[[#This Row],[EPS]]),IF(Main_S[[#This Row],[EPS]]&lt;&gt;0,Main_S[[#This Row],[Current Price]]/Main_S[[#This Row],[EPS]],""),"")</f>
        <v>-4.8181818181818183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9.3180629790799871E-2</v>
      </c>
      <c r="P142" s="1">
        <f>(Main_S[[#This Row],[P/B]]-VLOOKUP(Main_S[[#This Row],[Industry]], Mean_PB_S, 2, FALSE))/(VLOOKUP(Main_S[[#This Row],[Industry]], Mean_PB_S, 3, FALSE))</f>
        <v>2.6219058617625666</v>
      </c>
      <c r="Q142" s="1">
        <f>(Main_S[[#This Row],[ROE]]-VLOOKUP(Main_S[[#This Row],[Industry]], Mean_ROE_S, 2, FALSE))/(VLOOKUP(Main_S[[#This Row],[Industry]], Mean_ROE_S, 3, FALSE))</f>
        <v>-3.2050777459606055</v>
      </c>
      <c r="R142" s="1">
        <f>(Main_S[[#This Row],[ROA]]-VLOOKUP(Main_S[[#This Row],[Industry]], Mean_ROA_S, 2, FALSE))/(VLOOKUP(Main_S[[#This Row],[Industry]], Mean_ROA_S, 3, FALSE))</f>
        <v>-2.6660974322644826</v>
      </c>
      <c r="S142" s="1">
        <f>(Main_S[[#This Row],[A/E]]-VLOOKUP(Main_S[[#This Row],[Industry]], Mean_AE_S, 2, FALSE))/(VLOOKUP(Main_S[[#This Row],[Industry]], Mean_AE_S, 3, FALSE))</f>
        <v>1.8580975696770248</v>
      </c>
      <c r="T142" s="1">
        <f>(Main_S[[#This Row],[P/E]]-VLOOKUP(Main_S[[#This Row],[Industry]], Mean_PE_S, 2, FALSE))/(VLOOKUP(Main_S[[#This Row],[Industry]], Mean_PE_S, 3, FALSE))</f>
        <v>0.39912914386434328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s="67" t="s">
        <v>105</v>
      </c>
      <c r="B143" s="67" t="s">
        <v>324</v>
      </c>
      <c r="C143" s="2">
        <v>441</v>
      </c>
      <c r="D143">
        <f>RTD("tos.rtd", , "LAST", Main_S[[#This Row],[Symbol]])</f>
        <v>11.05</v>
      </c>
      <c r="E143">
        <v>-0.12</v>
      </c>
      <c r="F143">
        <v>11.72</v>
      </c>
      <c r="G143">
        <v>-3.72</v>
      </c>
      <c r="H143" s="1">
        <f>IF(ISNUMBER(Main_S[[#This Row],[Free CF]]),IF(Main_S[[#This Row],[Free CF]]&lt;&gt;0,Main_S[[#This Row],[Current Price]]/Main_S[[#This Row],[Free CF]],""),"")</f>
        <v>-92.083333333333343</v>
      </c>
      <c r="I143" s="1">
        <f>IF(ISNUMBER(Main_S[[#This Row],[BVPS]]),IF(Main_S[[#This Row],[BVPS]]&lt;&gt;0,Main_S[[#This Row],[Current Price]]/Main_S[[#This Row],[BVPS]],""),"")</f>
        <v>0.94283276450511944</v>
      </c>
      <c r="J143">
        <v>-27.82</v>
      </c>
      <c r="K143">
        <v>-5</v>
      </c>
      <c r="L143">
        <v>1.8</v>
      </c>
      <c r="M143" s="1">
        <f>IF(ISNUMBER(Main_S[[#This Row],[EPS]]),IF(Main_S[[#This Row],[EPS]]&lt;&gt;0,Main_S[[#This Row],[Current Price]]/Main_S[[#This Row],[EPS]],""),"")</f>
        <v>-2.970430107526882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-2.9902391870853875</v>
      </c>
      <c r="P143" s="1">
        <f>(Main_S[[#This Row],[P/B]]-VLOOKUP(Main_S[[#This Row],[Industry]], Mean_PB_S, 2, FALSE))/(VLOOKUP(Main_S[[#This Row],[Industry]], Mean_PB_S, 3, FALSE))</f>
        <v>-0.91638093058736059</v>
      </c>
      <c r="Q143" s="1">
        <f>(Main_S[[#This Row],[ROE]]-VLOOKUP(Main_S[[#This Row],[Industry]], Mean_ROE_S, 2, FALSE))/(VLOOKUP(Main_S[[#This Row],[Industry]], Mean_ROE_S, 3, FALSE))</f>
        <v>8.8737043782388295E-2</v>
      </c>
      <c r="R143" s="1">
        <f>(Main_S[[#This Row],[ROA]]-VLOOKUP(Main_S[[#This Row],[Industry]], Mean_ROA_S, 2, FALSE))/(VLOOKUP(Main_S[[#This Row],[Industry]], Mean_ROA_S, 3, FALSE))</f>
        <v>0.19222646063348942</v>
      </c>
      <c r="S143" s="1">
        <f>(Main_S[[#This Row],[A/E]]-VLOOKUP(Main_S[[#This Row],[Industry]], Mean_AE_S, 2, FALSE))/(VLOOKUP(Main_S[[#This Row],[Industry]], Mean_AE_S, 3, FALSE))</f>
        <v>0.36392894010673382</v>
      </c>
      <c r="T143" s="1">
        <f>(Main_S[[#This Row],[P/E]]-VLOOKUP(Main_S[[#This Row],[Industry]], Mean_PE_S, 2, FALSE))/(VLOOKUP(Main_S[[#This Row],[Industry]], Mean_PE_S, 3, FALSE))</f>
        <v>0.57681419806492573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s="67" t="s">
        <v>105</v>
      </c>
      <c r="B144" s="67" t="s">
        <v>314</v>
      </c>
      <c r="C144" s="2">
        <v>593</v>
      </c>
      <c r="D144">
        <f>RTD("tos.rtd", , "LAST", Main_S[[#This Row],[Symbol]])</f>
        <v>2.48</v>
      </c>
      <c r="E144">
        <v>-0.16</v>
      </c>
      <c r="F144">
        <v>0.97</v>
      </c>
      <c r="G144">
        <v>-0.3</v>
      </c>
      <c r="H144" s="1">
        <f>IF(ISNUMBER(Main_S[[#This Row],[Free CF]]),IF(Main_S[[#This Row],[Free CF]]&lt;&gt;0,Main_S[[#This Row],[Current Price]]/Main_S[[#This Row],[Free CF]],""),"")</f>
        <v>-15.5</v>
      </c>
      <c r="I144" s="1">
        <f>IF(ISNUMBER(Main_S[[#This Row],[BVPS]]),IF(Main_S[[#This Row],[BVPS]]&lt;&gt;0,Main_S[[#This Row],[Current Price]]/Main_S[[#This Row],[BVPS]],""),"")</f>
        <v>2.5567010309278353</v>
      </c>
      <c r="J144">
        <v>-29.16</v>
      </c>
      <c r="K144">
        <v>-13.86</v>
      </c>
      <c r="L144">
        <v>1.33</v>
      </c>
      <c r="M144" s="1">
        <f>IF(ISNUMBER(Main_S[[#This Row],[EPS]]),IF(Main_S[[#This Row],[EPS]]&lt;&gt;0,Main_S[[#This Row],[Current Price]]/Main_S[[#This Row],[EPS]],""),"")</f>
        <v>-8.2666666666666675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-0.25063608198463055</v>
      </c>
      <c r="P144" s="1">
        <f>(Main_S[[#This Row],[P/B]]-VLOOKUP(Main_S[[#This Row],[Industry]], Mean_PB_S, 2, FALSE))/(VLOOKUP(Main_S[[#This Row],[Industry]], Mean_PB_S, 3, FALSE))</f>
        <v>-0.32507618951506367</v>
      </c>
      <c r="Q144" s="1">
        <f>(Main_S[[#This Row],[ROE]]-VLOOKUP(Main_S[[#This Row],[Industry]], Mean_ROE_S, 2, FALSE))/(VLOOKUP(Main_S[[#This Row],[Industry]], Mean_ROE_S, 3, FALSE))</f>
        <v>5.5643305923382444E-2</v>
      </c>
      <c r="R144" s="1">
        <f>(Main_S[[#This Row],[ROA]]-VLOOKUP(Main_S[[#This Row],[Industry]], Mean_ROA_S, 2, FALSE))/(VLOOKUP(Main_S[[#This Row],[Industry]], Mean_ROA_S, 3, FALSE))</f>
        <v>-0.51123880856306692</v>
      </c>
      <c r="S144" s="1">
        <f>(Main_S[[#This Row],[A/E]]-VLOOKUP(Main_S[[#This Row],[Industry]], Mean_AE_S, 2, FALSE))/(VLOOKUP(Main_S[[#This Row],[Industry]], Mean_AE_S, 3, FALSE))</f>
        <v>-0.66880525974332028</v>
      </c>
      <c r="T144" s="1">
        <f>(Main_S[[#This Row],[P/E]]-VLOOKUP(Main_S[[#This Row],[Industry]], Mean_PE_S, 2, FALSE))/(VLOOKUP(Main_S[[#This Row],[Industry]], Mean_PE_S, 3, FALSE))</f>
        <v>6.751304323806892E-2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7" t="s">
        <v>105</v>
      </c>
      <c r="B145" s="67" t="s">
        <v>341</v>
      </c>
      <c r="C145" s="2">
        <v>1272</v>
      </c>
      <c r="D145">
        <f>RTD("tos.rtd", , "LAST", Main_S[[#This Row],[Symbol]])</f>
        <v>5.52</v>
      </c>
      <c r="E145">
        <v>-0.2</v>
      </c>
      <c r="F145">
        <v>12.26</v>
      </c>
      <c r="G145">
        <v>-2.2400000000000002</v>
      </c>
      <c r="H145" s="1">
        <f>IF(ISNUMBER(Main_S[[#This Row],[Free CF]]),IF(Main_S[[#This Row],[Free CF]]&lt;&gt;0,Main_S[[#This Row],[Current Price]]/Main_S[[#This Row],[Free CF]],""),"")</f>
        <v>-27.599999999999998</v>
      </c>
      <c r="I145" s="1">
        <f>IF(ISNUMBER(Main_S[[#This Row],[BVPS]]),IF(Main_S[[#This Row],[BVPS]]&lt;&gt;0,Main_S[[#This Row],[Current Price]]/Main_S[[#This Row],[BVPS]],""),"")</f>
        <v>0.45024469820554647</v>
      </c>
      <c r="J145">
        <v>-16.71</v>
      </c>
      <c r="K145">
        <v>0.59</v>
      </c>
      <c r="L145">
        <v>1.52</v>
      </c>
      <c r="M145" s="1">
        <f>IF(ISNUMBER(Main_S[[#This Row],[EPS]]),IF(Main_S[[#This Row],[EPS]]&lt;&gt;0,Main_S[[#This Row],[Current Price]]/Main_S[[#This Row],[EPS]],""),"")</f>
        <v>-2.464285714285714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-0.68348741045103933</v>
      </c>
      <c r="P145" s="1">
        <f>(Main_S[[#This Row],[P/B]]-VLOOKUP(Main_S[[#This Row],[Industry]], Mean_PB_S, 2, FALSE))/(VLOOKUP(Main_S[[#This Row],[Industry]], Mean_PB_S, 3, FALSE))</f>
        <v>-1.0968601339142825</v>
      </c>
      <c r="Q145" s="1">
        <f>(Main_S[[#This Row],[ROE]]-VLOOKUP(Main_S[[#This Row],[Industry]], Mean_ROE_S, 2, FALSE))/(VLOOKUP(Main_S[[#This Row],[Industry]], Mean_ROE_S, 3, FALSE))</f>
        <v>0.36311870618056374</v>
      </c>
      <c r="R145" s="1">
        <f>(Main_S[[#This Row],[ROA]]-VLOOKUP(Main_S[[#This Row],[Industry]], Mean_ROA_S, 2, FALSE))/(VLOOKUP(Main_S[[#This Row],[Industry]], Mean_ROA_S, 3, FALSE))</f>
        <v>0.6360606428918133</v>
      </c>
      <c r="S145" s="1">
        <f>(Main_S[[#This Row],[A/E]]-VLOOKUP(Main_S[[#This Row],[Industry]], Mean_AE_S, 2, FALSE))/(VLOOKUP(Main_S[[#This Row],[Industry]], Mean_AE_S, 3, FALSE))</f>
        <v>-0.25131696618691551</v>
      </c>
      <c r="T145" s="1">
        <f>(Main_S[[#This Row],[P/E]]-VLOOKUP(Main_S[[#This Row],[Industry]], Mean_PE_S, 2, FALSE))/(VLOOKUP(Main_S[[#This Row],[Industry]], Mean_PE_S, 3, FALSE))</f>
        <v>0.62548648094134141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s="67" t="s">
        <v>105</v>
      </c>
      <c r="B146" s="67" t="s">
        <v>582</v>
      </c>
      <c r="C146" s="2">
        <v>253</v>
      </c>
      <c r="D146">
        <f>RTD("tos.rtd", , "LAST", Main_S[[#This Row],[Symbol]])</f>
        <v>3.125</v>
      </c>
      <c r="E146">
        <v>-0.31</v>
      </c>
      <c r="F146">
        <v>0.8</v>
      </c>
      <c r="G146">
        <v>-0.46</v>
      </c>
      <c r="H146" s="1">
        <f>IF(ISNUMBER(Main_S[[#This Row],[Free CF]]),IF(Main_S[[#This Row],[Free CF]]&lt;&gt;0,Main_S[[#This Row],[Current Price]]/Main_S[[#This Row],[Free CF]],""),"")</f>
        <v>-10.080645161290322</v>
      </c>
      <c r="I146" s="1">
        <f>IF(ISNUMBER(Main_S[[#This Row],[BVPS]]),IF(Main_S[[#This Row],[BVPS]]&lt;&gt;0,Main_S[[#This Row],[Current Price]]/Main_S[[#This Row],[BVPS]],""),"")</f>
        <v>3.90625</v>
      </c>
      <c r="J146">
        <v>-47.95</v>
      </c>
      <c r="K146">
        <v>-25.17</v>
      </c>
      <c r="L146">
        <v>1.44</v>
      </c>
      <c r="M146" s="1">
        <f>IF(ISNUMBER(Main_S[[#This Row],[EPS]]),IF(Main_S[[#This Row],[EPS]]&lt;&gt;0,Main_S[[#This Row],[Current Price]]/Main_S[[#This Row],[EPS]],""),"")</f>
        <v>-6.7934782608695645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-5.6770384351048274E-2</v>
      </c>
      <c r="P146" s="1">
        <f>(Main_S[[#This Row],[P/B]]-VLOOKUP(Main_S[[#This Row],[Industry]], Mean_PB_S, 2, FALSE))/(VLOOKUP(Main_S[[#This Row],[Industry]], Mean_PB_S, 3, FALSE))</f>
        <v>0.16938467840349847</v>
      </c>
      <c r="Q146" s="1">
        <f>(Main_S[[#This Row],[ROE]]-VLOOKUP(Main_S[[#This Row],[Industry]], Mean_ROE_S, 2, FALSE))/(VLOOKUP(Main_S[[#This Row],[Industry]], Mean_ROE_S, 3, FALSE))</f>
        <v>-0.40840992868163262</v>
      </c>
      <c r="R146" s="1">
        <f>(Main_S[[#This Row],[ROA]]-VLOOKUP(Main_S[[#This Row],[Industry]], Mean_ROA_S, 2, FALSE))/(VLOOKUP(Main_S[[#This Row],[Industry]], Mean_ROA_S, 3, FALSE))</f>
        <v>-1.4092288982485131</v>
      </c>
      <c r="S146" s="1">
        <f>(Main_S[[#This Row],[A/E]]-VLOOKUP(Main_S[[#This Row],[Industry]], Mean_AE_S, 2, FALSE))/(VLOOKUP(Main_S[[#This Row],[Industry]], Mean_AE_S, 3, FALSE))</f>
        <v>-0.42710151084224401</v>
      </c>
      <c r="T146" s="1">
        <f>(Main_S[[#This Row],[P/E]]-VLOOKUP(Main_S[[#This Row],[Industry]], Mean_PE_S, 2, FALSE))/(VLOOKUP(Main_S[[#This Row],[Industry]], Mean_PE_S, 3, FALSE))</f>
        <v>0.20917902586023937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s="67" t="s">
        <v>105</v>
      </c>
      <c r="B147" s="67" t="s">
        <v>318</v>
      </c>
      <c r="C147" s="2">
        <v>984</v>
      </c>
      <c r="D147">
        <f>RTD("tos.rtd", , "LAST", Main_S[[#This Row],[Symbol]])</f>
        <v>13.88</v>
      </c>
      <c r="E147">
        <v>-0.33</v>
      </c>
      <c r="F147">
        <v>19.61</v>
      </c>
      <c r="G147">
        <v>-0.38</v>
      </c>
      <c r="H147" s="1">
        <f>IF(ISNUMBER(Main_S[[#This Row],[Free CF]]),IF(Main_S[[#This Row],[Free CF]]&lt;&gt;0,Main_S[[#This Row],[Current Price]]/Main_S[[#This Row],[Free CF]],""),"")</f>
        <v>-42.060606060606062</v>
      </c>
      <c r="I147" s="1">
        <f>IF(ISNUMBER(Main_S[[#This Row],[BVPS]]),IF(Main_S[[#This Row],[BVPS]]&lt;&gt;0,Main_S[[#This Row],[Current Price]]/Main_S[[#This Row],[BVPS]],""),"")</f>
        <v>0.70780214176440592</v>
      </c>
      <c r="J147">
        <v>-1.85</v>
      </c>
      <c r="K147">
        <v>2.66</v>
      </c>
      <c r="L147">
        <v>2.66</v>
      </c>
      <c r="M147" s="1">
        <f>IF(ISNUMBER(Main_S[[#This Row],[EPS]]),IF(Main_S[[#This Row],[EPS]]&lt;&gt;0,Main_S[[#This Row],[Current Price]]/Main_S[[#This Row],[EPS]],""),"")</f>
        <v>-36.526315789473685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-1.2007843148942412</v>
      </c>
      <c r="P147" s="1">
        <f>(Main_S[[#This Row],[P/B]]-VLOOKUP(Main_S[[#This Row],[Industry]], Mean_PB_S, 2, FALSE))/(VLOOKUP(Main_S[[#This Row],[Industry]], Mean_PB_S, 3, FALSE))</f>
        <v>-1.002493734473026</v>
      </c>
      <c r="Q147" s="1">
        <f>(Main_S[[#This Row],[ROE]]-VLOOKUP(Main_S[[#This Row],[Industry]], Mean_ROE_S, 2, FALSE))/(VLOOKUP(Main_S[[#This Row],[Industry]], Mean_ROE_S, 3, FALSE))</f>
        <v>0.73011344094536001</v>
      </c>
      <c r="R147" s="1">
        <f>(Main_S[[#This Row],[ROA]]-VLOOKUP(Main_S[[#This Row],[Industry]], Mean_ROA_S, 2, FALSE))/(VLOOKUP(Main_S[[#This Row],[Industry]], Mean_ROA_S, 3, FALSE))</f>
        <v>0.80041426673344673</v>
      </c>
      <c r="S147" s="1">
        <f>(Main_S[[#This Row],[A/E]]-VLOOKUP(Main_S[[#This Row],[Industry]], Mean_AE_S, 2, FALSE))/(VLOOKUP(Main_S[[#This Row],[Industry]], Mean_AE_S, 3, FALSE))</f>
        <v>2.2536127951515139</v>
      </c>
      <c r="T147" s="1">
        <f>(Main_S[[#This Row],[P/E]]-VLOOKUP(Main_S[[#This Row],[Industry]], Mean_PE_S, 2, FALSE))/(VLOOKUP(Main_S[[#This Row],[Industry]], Mean_PE_S, 3, FALSE))</f>
        <v>-2.6500151057661068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7" t="s">
        <v>105</v>
      </c>
      <c r="B148" s="67" t="s">
        <v>309</v>
      </c>
      <c r="C148" s="2">
        <v>1391</v>
      </c>
      <c r="D148">
        <f>RTD("tos.rtd", , "LAST", Main_S[[#This Row],[Symbol]])</f>
        <v>29.19</v>
      </c>
      <c r="E148">
        <v>-0.42</v>
      </c>
      <c r="F148">
        <v>6.89</v>
      </c>
      <c r="G148">
        <v>-0.53</v>
      </c>
      <c r="H148" s="1">
        <f>IF(ISNUMBER(Main_S[[#This Row],[Free CF]]),IF(Main_S[[#This Row],[Free CF]]&lt;&gt;0,Main_S[[#This Row],[Current Price]]/Main_S[[#This Row],[Free CF]],""),"")</f>
        <v>-69.5</v>
      </c>
      <c r="I148" s="1">
        <f>IF(ISNUMBER(Main_S[[#This Row],[BVPS]]),IF(Main_S[[#This Row],[BVPS]]&lt;&gt;0,Main_S[[#This Row],[Current Price]]/Main_S[[#This Row],[BVPS]],""),"")</f>
        <v>4.2365747460087091</v>
      </c>
      <c r="J148">
        <v>-7.26</v>
      </c>
      <c r="K148">
        <v>1.54</v>
      </c>
      <c r="L148">
        <v>2.69</v>
      </c>
      <c r="M148" s="1">
        <f>IF(ISNUMBER(Main_S[[#This Row],[EPS]]),IF(Main_S[[#This Row],[EPS]]&lt;&gt;0,Main_S[[#This Row],[Current Price]]/Main_S[[#This Row],[EPS]],""),"")</f>
        <v>-55.075471698113205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-2.1823692834049679</v>
      </c>
      <c r="P148" s="1">
        <f>(Main_S[[#This Row],[P/B]]-VLOOKUP(Main_S[[#This Row],[Industry]], Mean_PB_S, 2, FALSE))/(VLOOKUP(Main_S[[#This Row],[Industry]], Mean_PB_S, 3, FALSE))</f>
        <v>0.29041226936134168</v>
      </c>
      <c r="Q148" s="1">
        <f>(Main_S[[#This Row],[ROE]]-VLOOKUP(Main_S[[#This Row],[Industry]], Mean_ROE_S, 2, FALSE))/(VLOOKUP(Main_S[[#This Row],[Industry]], Mean_ROE_S, 3, FALSE))</f>
        <v>0.59650364854444837</v>
      </c>
      <c r="R148" s="1">
        <f>(Main_S[[#This Row],[ROA]]-VLOOKUP(Main_S[[#This Row],[Industry]], Mean_ROA_S, 2, FALSE))/(VLOOKUP(Main_S[[#This Row],[Industry]], Mean_ROA_S, 3, FALSE))</f>
        <v>0.71148863450995414</v>
      </c>
      <c r="S148" s="1">
        <f>(Main_S[[#This Row],[A/E]]-VLOOKUP(Main_S[[#This Row],[Industry]], Mean_AE_S, 2, FALSE))/(VLOOKUP(Main_S[[#This Row],[Industry]], Mean_AE_S, 3, FALSE))</f>
        <v>2.3195319993972618</v>
      </c>
      <c r="T148" s="1">
        <f>(Main_S[[#This Row],[P/E]]-VLOOKUP(Main_S[[#This Row],[Industry]], Mean_PE_S, 2, FALSE))/(VLOOKUP(Main_S[[#This Row],[Industry]], Mean_PE_S, 3, FALSE))</f>
        <v>-4.4337546385161168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9" spans="1:26" x14ac:dyDescent="0.25">
      <c r="A149" s="67" t="s">
        <v>105</v>
      </c>
      <c r="B149" s="67" t="s">
        <v>316</v>
      </c>
      <c r="C149" s="2">
        <v>334</v>
      </c>
      <c r="D149">
        <f>RTD("tos.rtd", , "LAST", Main_S[[#This Row],[Symbol]])</f>
        <v>13.31</v>
      </c>
      <c r="E149">
        <v>-0.43</v>
      </c>
      <c r="F149">
        <v>0.71</v>
      </c>
      <c r="G149">
        <v>-0.75</v>
      </c>
      <c r="H149" s="1">
        <f>IF(ISNUMBER(Main_S[[#This Row],[Free CF]]),IF(Main_S[[#This Row],[Free CF]]&lt;&gt;0,Main_S[[#This Row],[Current Price]]/Main_S[[#This Row],[Free CF]],""),"")</f>
        <v>-30.953488372093023</v>
      </c>
      <c r="I149" s="1">
        <f>IF(ISNUMBER(Main_S[[#This Row],[BVPS]]),IF(Main_S[[#This Row],[BVPS]]&lt;&gt;0,Main_S[[#This Row],[Current Price]]/Main_S[[#This Row],[BVPS]],""),"")</f>
        <v>18.74647887323944</v>
      </c>
      <c r="J149">
        <v>-76.209999999999994</v>
      </c>
      <c r="K149">
        <v>-32.39</v>
      </c>
      <c r="L149">
        <v>1.5</v>
      </c>
      <c r="M149" s="1">
        <f>IF(ISNUMBER(Main_S[[#This Row],[EPS]]),IF(Main_S[[#This Row],[EPS]]&lt;&gt;0,Main_S[[#This Row],[Current Price]]/Main_S[[#This Row],[EPS]],""),"")</f>
        <v>-17.746666666666666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-0.8034512035797271</v>
      </c>
      <c r="P149" s="1">
        <f>(Main_S[[#This Row],[P/B]]-VLOOKUP(Main_S[[#This Row],[Industry]], Mean_PB_S, 2, FALSE))/(VLOOKUP(Main_S[[#This Row],[Industry]], Mean_PB_S, 3, FALSE))</f>
        <v>5.6066919691622807</v>
      </c>
      <c r="Q149" s="1">
        <f>(Main_S[[#This Row],[ROE]]-VLOOKUP(Main_S[[#This Row],[Industry]], Mean_ROE_S, 2, FALSE))/(VLOOKUP(Main_S[[#This Row],[Industry]], Mean_ROE_S, 3, FALSE))</f>
        <v>-1.1063420420364873</v>
      </c>
      <c r="R149" s="1">
        <f>(Main_S[[#This Row],[ROA]]-VLOOKUP(Main_S[[#This Row],[Industry]], Mean_ROA_S, 2, FALSE))/(VLOOKUP(Main_S[[#This Row],[Industry]], Mean_ROA_S, 3, FALSE))</f>
        <v>-1.982481634546384</v>
      </c>
      <c r="S149" s="1">
        <f>(Main_S[[#This Row],[A/E]]-VLOOKUP(Main_S[[#This Row],[Industry]], Mean_AE_S, 2, FALSE))/(VLOOKUP(Main_S[[#This Row],[Industry]], Mean_AE_S, 3, FALSE))</f>
        <v>-0.29526310235074765</v>
      </c>
      <c r="T149" s="1">
        <f>(Main_S[[#This Row],[P/E]]-VLOOKUP(Main_S[[#This Row],[Industry]], Mean_PE_S, 2, FALSE))/(VLOOKUP(Main_S[[#This Row],[Industry]], Mean_PE_S, 3, FALSE))</f>
        <v>-0.84411069068041644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s="67" t="s">
        <v>105</v>
      </c>
      <c r="B150" s="67" t="s">
        <v>329</v>
      </c>
      <c r="C150" s="2">
        <v>805</v>
      </c>
      <c r="D150">
        <f>RTD("tos.rtd", , "LAST", Main_S[[#This Row],[Symbol]])</f>
        <v>18.86</v>
      </c>
      <c r="E150">
        <v>-0.48</v>
      </c>
      <c r="F150">
        <v>3.94</v>
      </c>
      <c r="G150">
        <v>-0.63</v>
      </c>
      <c r="H150" s="1">
        <f>IF(ISNUMBER(Main_S[[#This Row],[Free CF]]),IF(Main_S[[#This Row],[Free CF]]&lt;&gt;0,Main_S[[#This Row],[Current Price]]/Main_S[[#This Row],[Free CF]],""),"")</f>
        <v>-39.291666666666664</v>
      </c>
      <c r="I150" s="1">
        <f>IF(ISNUMBER(Main_S[[#This Row],[BVPS]]),IF(Main_S[[#This Row],[BVPS]]&lt;&gt;0,Main_S[[#This Row],[Current Price]]/Main_S[[#This Row],[BVPS]],""),"")</f>
        <v>4.7868020304568528</v>
      </c>
      <c r="J150">
        <v>-15.96</v>
      </c>
      <c r="K150">
        <v>-8.5</v>
      </c>
      <c r="L150">
        <v>1.36</v>
      </c>
      <c r="M150" s="1">
        <f>IF(ISNUMBER(Main_S[[#This Row],[EPS]]),IF(Main_S[[#This Row],[EPS]]&lt;&gt;0,Main_S[[#This Row],[Current Price]]/Main_S[[#This Row],[EPS]],""),"")</f>
        <v>-29.936507936507937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-1.1017314971165848</v>
      </c>
      <c r="P150" s="1">
        <f>(Main_S[[#This Row],[P/B]]-VLOOKUP(Main_S[[#This Row],[Industry]], Mean_PB_S, 2, FALSE))/(VLOOKUP(Main_S[[#This Row],[Industry]], Mean_PB_S, 3, FALSE))</f>
        <v>0.492009889644622</v>
      </c>
      <c r="Q150" s="1">
        <f>(Main_S[[#This Row],[ROE]]-VLOOKUP(Main_S[[#This Row],[Industry]], Mean_ROE_S, 2, FALSE))/(VLOOKUP(Main_S[[#This Row],[Industry]], Mean_ROE_S, 3, FALSE))</f>
        <v>0.38164132065388789</v>
      </c>
      <c r="R150" s="1">
        <f>(Main_S[[#This Row],[ROA]]-VLOOKUP(Main_S[[#This Row],[Industry]], Mean_ROA_S, 2, FALSE))/(VLOOKUP(Main_S[[#This Row],[Industry]], Mean_ROA_S, 3, FALSE))</f>
        <v>-8.5666140064924484E-2</v>
      </c>
      <c r="S150" s="1">
        <f>(Main_S[[#This Row],[A/E]]-VLOOKUP(Main_S[[#This Row],[Industry]], Mean_AE_S, 2, FALSE))/(VLOOKUP(Main_S[[#This Row],[Industry]], Mean_AE_S, 3, FALSE))</f>
        <v>-0.60288605549757202</v>
      </c>
      <c r="T150" s="1">
        <f>(Main_S[[#This Row],[P/E]]-VLOOKUP(Main_S[[#This Row],[Industry]], Mean_PE_S, 2, FALSE))/(VLOOKUP(Main_S[[#This Row],[Industry]], Mean_PE_S, 3, FALSE))</f>
        <v>-2.0163204601199052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7" t="s">
        <v>105</v>
      </c>
      <c r="B151" s="67" t="s">
        <v>342</v>
      </c>
      <c r="C151" s="2">
        <v>621</v>
      </c>
      <c r="D151">
        <f>RTD("tos.rtd", , "LAST", Main_S[[#This Row],[Symbol]])</f>
        <v>15.3</v>
      </c>
      <c r="E151">
        <v>-0.52</v>
      </c>
      <c r="F151">
        <v>6.88</v>
      </c>
      <c r="G151">
        <v>-0.67</v>
      </c>
      <c r="H151" s="1">
        <f>IF(ISNUMBER(Main_S[[#This Row],[Free CF]]),IF(Main_S[[#This Row],[Free CF]]&lt;&gt;0,Main_S[[#This Row],[Current Price]]/Main_S[[#This Row],[Free CF]],""),"")</f>
        <v>-29.423076923076923</v>
      </c>
      <c r="I151" s="1">
        <f>IF(ISNUMBER(Main_S[[#This Row],[BVPS]]),IF(Main_S[[#This Row],[BVPS]]&lt;&gt;0,Main_S[[#This Row],[Current Price]]/Main_S[[#This Row],[BVPS]],""),"")</f>
        <v>2.2238372093023258</v>
      </c>
      <c r="J151">
        <v>-11.98</v>
      </c>
      <c r="K151">
        <v>-9.2899999999999991</v>
      </c>
      <c r="L151">
        <v>1.1200000000000001</v>
      </c>
      <c r="M151" s="1">
        <f>IF(ISNUMBER(Main_S[[#This Row],[EPS]]),IF(Main_S[[#This Row],[EPS]]&lt;&gt;0,Main_S[[#This Row],[Current Price]]/Main_S[[#This Row],[EPS]],""),"")</f>
        <v>-22.835820895522389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-0.74870404417420466</v>
      </c>
      <c r="P151" s="1">
        <f>(Main_S[[#This Row],[P/B]]-VLOOKUP(Main_S[[#This Row],[Industry]], Mean_PB_S, 2, FALSE))/(VLOOKUP(Main_S[[#This Row],[Industry]], Mean_PB_S, 3, FALSE))</f>
        <v>-0.44703407167534998</v>
      </c>
      <c r="Q151" s="1">
        <f>(Main_S[[#This Row],[ROE]]-VLOOKUP(Main_S[[#This Row],[Industry]], Mean_ROE_S, 2, FALSE))/(VLOOKUP(Main_S[[#This Row],[Industry]], Mean_ROE_S, 3, FALSE))</f>
        <v>0.47993466145899488</v>
      </c>
      <c r="R151" s="1">
        <f>(Main_S[[#This Row],[ROA]]-VLOOKUP(Main_S[[#This Row],[Industry]], Mean_ROA_S, 2, FALSE))/(VLOOKUP(Main_S[[#This Row],[Industry]], Mean_ROA_S, 3, FALSE))</f>
        <v>-0.14839046993685212</v>
      </c>
      <c r="S151" s="1">
        <f>(Main_S[[#This Row],[A/E]]-VLOOKUP(Main_S[[#This Row],[Industry]], Mean_AE_S, 2, FALSE))/(VLOOKUP(Main_S[[#This Row],[Industry]], Mean_AE_S, 3, FALSE))</f>
        <v>-1.1302396894635571</v>
      </c>
      <c r="T151" s="1">
        <f>(Main_S[[#This Row],[P/E]]-VLOOKUP(Main_S[[#This Row],[Industry]], Mean_PE_S, 2, FALSE))/(VLOOKUP(Main_S[[#This Row],[Industry]], Mean_PE_S, 3, FALSE))</f>
        <v>-1.3334982202792038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s="67" t="s">
        <v>105</v>
      </c>
      <c r="B152" s="67" t="s">
        <v>330</v>
      </c>
      <c r="C152" s="2">
        <v>415</v>
      </c>
      <c r="D152">
        <f>RTD("tos.rtd", , "LAST", Main_S[[#This Row],[Symbol]])</f>
        <v>29.16</v>
      </c>
      <c r="E152">
        <v>-0.52</v>
      </c>
      <c r="F152">
        <v>7.71</v>
      </c>
      <c r="G152">
        <v>-1.4</v>
      </c>
      <c r="H152" s="1">
        <f>IF(ISNUMBER(Main_S[[#This Row],[Free CF]]),IF(Main_S[[#This Row],[Free CF]]&lt;&gt;0,Main_S[[#This Row],[Current Price]]/Main_S[[#This Row],[Free CF]],""),"")</f>
        <v>-56.076923076923073</v>
      </c>
      <c r="I152" s="1">
        <f>IF(ISNUMBER(Main_S[[#This Row],[BVPS]]),IF(Main_S[[#This Row],[BVPS]]&lt;&gt;0,Main_S[[#This Row],[Current Price]]/Main_S[[#This Row],[BVPS]],""),"")</f>
        <v>3.782101167315175</v>
      </c>
      <c r="J152">
        <v>-16.96</v>
      </c>
      <c r="K152">
        <v>-1.44</v>
      </c>
      <c r="L152">
        <v>1.48</v>
      </c>
      <c r="M152" s="1">
        <f>IF(ISNUMBER(Main_S[[#This Row],[EPS]]),IF(Main_S[[#This Row],[EPS]]&lt;&gt;0,Main_S[[#This Row],[Current Price]]/Main_S[[#This Row],[EPS]],""),"")</f>
        <v>-20.828571428571429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-1.7021877397470635</v>
      </c>
      <c r="P152" s="1">
        <f>(Main_S[[#This Row],[P/B]]-VLOOKUP(Main_S[[#This Row],[Industry]], Mean_PB_S, 2, FALSE))/(VLOOKUP(Main_S[[#This Row],[Industry]], Mean_PB_S, 3, FALSE))</f>
        <v>0.1238978224484906</v>
      </c>
      <c r="Q152" s="1">
        <f>(Main_S[[#This Row],[ROE]]-VLOOKUP(Main_S[[#This Row],[Industry]], Mean_ROE_S, 2, FALSE))/(VLOOKUP(Main_S[[#This Row],[Industry]], Mean_ROE_S, 3, FALSE))</f>
        <v>0.35694450135612232</v>
      </c>
      <c r="R152" s="1">
        <f>(Main_S[[#This Row],[ROA]]-VLOOKUP(Main_S[[#This Row],[Industry]], Mean_ROA_S, 2, FALSE))/(VLOOKUP(Main_S[[#This Row],[Industry]], Mean_ROA_S, 3, FALSE))</f>
        <v>0.4748829344867333</v>
      </c>
      <c r="S152" s="1">
        <f>(Main_S[[#This Row],[A/E]]-VLOOKUP(Main_S[[#This Row],[Industry]], Mean_AE_S, 2, FALSE))/(VLOOKUP(Main_S[[#This Row],[Industry]], Mean_AE_S, 3, FALSE))</f>
        <v>-0.33920923851457979</v>
      </c>
      <c r="T152" s="1">
        <f>(Main_S[[#This Row],[P/E]]-VLOOKUP(Main_S[[#This Row],[Industry]], Mean_PE_S, 2, FALSE))/(VLOOKUP(Main_S[[#This Row],[Industry]], Mean_PE_S, 3, FALSE))</f>
        <v>-1.140475408679233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7" t="s">
        <v>105</v>
      </c>
      <c r="B153" s="67" t="s">
        <v>310</v>
      </c>
      <c r="C153" s="2">
        <v>1817</v>
      </c>
      <c r="D153">
        <f>RTD("tos.rtd", , "LAST", Main_S[[#This Row],[Symbol]])</f>
        <v>11.92</v>
      </c>
      <c r="E153">
        <v>-0.56999999999999995</v>
      </c>
      <c r="F153">
        <v>-0.57999999999999996</v>
      </c>
      <c r="G153">
        <v>-1.1499999999999999</v>
      </c>
      <c r="H153" s="1">
        <f>IF(ISNUMBER(Main_S[[#This Row],[Free CF]]),IF(Main_S[[#This Row],[Free CF]]&lt;&gt;0,Main_S[[#This Row],[Current Price]]/Main_S[[#This Row],[Free CF]],""),"")</f>
        <v>-20.912280701754387</v>
      </c>
      <c r="I153" s="1">
        <f>IF(ISNUMBER(Main_S[[#This Row],[BVPS]]),IF(Main_S[[#This Row],[BVPS]]&lt;&gt;0,Main_S[[#This Row],[Current Price]]/Main_S[[#This Row],[BVPS]],""),"")</f>
        <v>-20.551724137931036</v>
      </c>
      <c r="J153">
        <v>28033</v>
      </c>
      <c r="K153">
        <v>-9.33</v>
      </c>
      <c r="L153">
        <v>-9.14</v>
      </c>
      <c r="M153" s="1">
        <f>IF(ISNUMBER(Main_S[[#This Row],[EPS]]),IF(Main_S[[#This Row],[EPS]]&lt;&gt;0,Main_S[[#This Row],[Current Price]]/Main_S[[#This Row],[EPS]],""),"")</f>
        <v>-10.365217391304348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-0.44424871766954743</v>
      </c>
      <c r="P153" s="1">
        <f>(Main_S[[#This Row],[P/B]]-VLOOKUP(Main_S[[#This Row],[Industry]], Mean_PB_S, 2, FALSE))/(VLOOKUP(Main_S[[#This Row],[Industry]], Mean_PB_S, 3, FALSE))</f>
        <v>-8.7917655998895512</v>
      </c>
      <c r="Q153" s="1">
        <f>(Main_S[[#This Row],[ROE]]-VLOOKUP(Main_S[[#This Row],[Industry]], Mean_ROE_S, 2, FALSE))/(VLOOKUP(Main_S[[#This Row],[Industry]], Mean_ROE_S, 3, FALSE))</f>
        <v>693.10173793090837</v>
      </c>
      <c r="R153" s="1">
        <f>(Main_S[[#This Row],[ROA]]-VLOOKUP(Main_S[[#This Row],[Industry]], Mean_ROA_S, 2, FALSE))/(VLOOKUP(Main_S[[#This Row],[Industry]], Mean_ROA_S, 3, FALSE))</f>
        <v>-0.1515663853734055</v>
      </c>
      <c r="S153" s="1">
        <f>(Main_S[[#This Row],[A/E]]-VLOOKUP(Main_S[[#This Row],[Industry]], Mean_AE_S, 2, FALSE))/(VLOOKUP(Main_S[[#This Row],[Industry]], Mean_AE_S, 3, FALSE))</f>
        <v>-23.67460754150942</v>
      </c>
      <c r="T153" s="1">
        <f>(Main_S[[#This Row],[P/E]]-VLOOKUP(Main_S[[#This Row],[Industry]], Mean_PE_S, 2, FALSE))/(VLOOKUP(Main_S[[#This Row],[Industry]], Mean_PE_S, 3, FALSE))</f>
        <v>-0.13428955669985787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s="67" t="s">
        <v>105</v>
      </c>
      <c r="B154" s="67" t="s">
        <v>333</v>
      </c>
      <c r="C154" s="2">
        <v>361</v>
      </c>
      <c r="D154">
        <f>RTD("tos.rtd", , "LAST", Main_S[[#This Row],[Symbol]])</f>
        <v>5.9</v>
      </c>
      <c r="E154">
        <v>-0.59</v>
      </c>
      <c r="F154">
        <v>1.67</v>
      </c>
      <c r="G154">
        <v>-0.85</v>
      </c>
      <c r="H154" s="1">
        <f>IF(ISNUMBER(Main_S[[#This Row],[Free CF]]),IF(Main_S[[#This Row],[Free CF]]&lt;&gt;0,Main_S[[#This Row],[Current Price]]/Main_S[[#This Row],[Free CF]],""),"")</f>
        <v>-10.000000000000002</v>
      </c>
      <c r="I154" s="1">
        <f>IF(ISNUMBER(Main_S[[#This Row],[BVPS]]),IF(Main_S[[#This Row],[BVPS]]&lt;&gt;0,Main_S[[#This Row],[Current Price]]/Main_S[[#This Row],[BVPS]],""),"")</f>
        <v>3.5329341317365275</v>
      </c>
      <c r="J154">
        <v>-45.73</v>
      </c>
      <c r="K154">
        <v>-14.56</v>
      </c>
      <c r="L154">
        <v>1.95</v>
      </c>
      <c r="M154" s="1">
        <f>IF(ISNUMBER(Main_S[[#This Row],[EPS]]),IF(Main_S[[#This Row],[EPS]]&lt;&gt;0,Main_S[[#This Row],[Current Price]]/Main_S[[#This Row],[EPS]],""),"")</f>
        <v>-6.9411764705882355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-5.3885478136262904E-2</v>
      </c>
      <c r="P154" s="1">
        <f>(Main_S[[#This Row],[P/B]]-VLOOKUP(Main_S[[#This Row],[Industry]], Mean_PB_S, 2, FALSE))/(VLOOKUP(Main_S[[#This Row],[Industry]], Mean_PB_S, 3, FALSE))</f>
        <v>3.2605582231659144E-2</v>
      </c>
      <c r="Q154" s="1">
        <f>(Main_S[[#This Row],[ROE]]-VLOOKUP(Main_S[[#This Row],[Industry]], Mean_ROE_S, 2, FALSE))/(VLOOKUP(Main_S[[#This Row],[Industry]], Mean_ROE_S, 3, FALSE))</f>
        <v>-0.35358298984059294</v>
      </c>
      <c r="R154" s="1">
        <f>(Main_S[[#This Row],[ROA]]-VLOOKUP(Main_S[[#This Row],[Industry]], Mean_ROA_S, 2, FALSE))/(VLOOKUP(Main_S[[#This Row],[Industry]], Mean_ROA_S, 3, FALSE))</f>
        <v>-0.5668173287027497</v>
      </c>
      <c r="S154" s="1">
        <f>(Main_S[[#This Row],[A/E]]-VLOOKUP(Main_S[[#This Row],[Industry]], Mean_AE_S, 2, FALSE))/(VLOOKUP(Main_S[[#This Row],[Industry]], Mean_AE_S, 3, FALSE))</f>
        <v>0.69352496133547425</v>
      </c>
      <c r="T154" s="1">
        <f>(Main_S[[#This Row],[P/E]]-VLOOKUP(Main_S[[#This Row],[Industry]], Mean_PE_S, 2, FALSE))/(VLOOKUP(Main_S[[#This Row],[Industry]], Mean_PE_S, 3, FALSE))</f>
        <v>0.1949759463837826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s="67" t="s">
        <v>105</v>
      </c>
      <c r="B155" s="67" t="s">
        <v>322</v>
      </c>
      <c r="C155" s="2">
        <v>434</v>
      </c>
      <c r="D155">
        <f>RTD("tos.rtd", , "LAST", Main_S[[#This Row],[Symbol]])</f>
        <v>12.93</v>
      </c>
      <c r="E155">
        <v>-0.61</v>
      </c>
      <c r="F155">
        <v>0.74</v>
      </c>
      <c r="G155">
        <v>-0.83</v>
      </c>
      <c r="H155" s="1">
        <f>IF(ISNUMBER(Main_S[[#This Row],[Free CF]]),IF(Main_S[[#This Row],[Free CF]]&lt;&gt;0,Main_S[[#This Row],[Current Price]]/Main_S[[#This Row],[Free CF]],""),"")</f>
        <v>-21.196721311475411</v>
      </c>
      <c r="I155" s="1">
        <f>IF(ISNUMBER(Main_S[[#This Row],[BVPS]]),IF(Main_S[[#This Row],[BVPS]]&lt;&gt;0,Main_S[[#This Row],[Current Price]]/Main_S[[#This Row],[BVPS]],""),"")</f>
        <v>17.472972972972972</v>
      </c>
      <c r="J155">
        <v>-128.49</v>
      </c>
      <c r="K155">
        <v>-11.52</v>
      </c>
      <c r="L155">
        <v>4.54</v>
      </c>
      <c r="M155" s="1">
        <f>IF(ISNUMBER(Main_S[[#This Row],[EPS]]),IF(Main_S[[#This Row],[EPS]]&lt;&gt;0,Main_S[[#This Row],[Current Price]]/Main_S[[#This Row],[EPS]],""),"")</f>
        <v>-15.578313253012048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-0.4544239652552946</v>
      </c>
      <c r="P155" s="1">
        <f>(Main_S[[#This Row],[P/B]]-VLOOKUP(Main_S[[#This Row],[Industry]], Mean_PB_S, 2, FALSE))/(VLOOKUP(Main_S[[#This Row],[Industry]], Mean_PB_S, 3, FALSE))</f>
        <v>5.1400924998758164</v>
      </c>
      <c r="Q155" s="1">
        <f>(Main_S[[#This Row],[ROE]]-VLOOKUP(Main_S[[#This Row],[Industry]], Mean_ROE_S, 2, FALSE))/(VLOOKUP(Main_S[[#This Row],[Industry]], Mean_ROE_S, 3, FALSE))</f>
        <v>-2.3974917549236716</v>
      </c>
      <c r="R155" s="1">
        <f>(Main_S[[#This Row],[ROA]]-VLOOKUP(Main_S[[#This Row],[Industry]], Mean_ROA_S, 2, FALSE))/(VLOOKUP(Main_S[[#This Row],[Industry]], Mean_ROA_S, 3, FALSE))</f>
        <v>-0.32544775552469873</v>
      </c>
      <c r="S155" s="1">
        <f>(Main_S[[#This Row],[A/E]]-VLOOKUP(Main_S[[#This Row],[Industry]], Mean_AE_S, 2, FALSE))/(VLOOKUP(Main_S[[#This Row],[Industry]], Mean_AE_S, 3, FALSE))</f>
        <v>6.3845495945517303</v>
      </c>
      <c r="T155" s="1">
        <f>(Main_S[[#This Row],[P/E]]-VLOOKUP(Main_S[[#This Row],[Industry]], Mean_PE_S, 2, FALSE))/(VLOOKUP(Main_S[[#This Row],[Industry]], Mean_PE_S, 3, FALSE))</f>
        <v>-0.63559566584806226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s="67" t="s">
        <v>105</v>
      </c>
      <c r="B156" s="67" t="s">
        <v>343</v>
      </c>
      <c r="C156" s="2">
        <v>882</v>
      </c>
      <c r="D156">
        <f>RTD("tos.rtd", , "LAST", Main_S[[#This Row],[Symbol]])</f>
        <v>17.170000000000002</v>
      </c>
      <c r="E156">
        <v>-0.64</v>
      </c>
      <c r="F156">
        <v>7.07</v>
      </c>
      <c r="G156">
        <v>-1.44</v>
      </c>
      <c r="H156" s="1">
        <f>IF(ISNUMBER(Main_S[[#This Row],[Free CF]]),IF(Main_S[[#This Row],[Free CF]]&lt;&gt;0,Main_S[[#This Row],[Current Price]]/Main_S[[#This Row],[Free CF]],""),"")</f>
        <v>-26.828125000000004</v>
      </c>
      <c r="I156" s="1">
        <f>IF(ISNUMBER(Main_S[[#This Row],[BVPS]]),IF(Main_S[[#This Row],[BVPS]]&lt;&gt;0,Main_S[[#This Row],[Current Price]]/Main_S[[#This Row],[BVPS]],""),"")</f>
        <v>2.4285714285714288</v>
      </c>
      <c r="J156">
        <v>-19.14</v>
      </c>
      <c r="K156">
        <v>-5.9</v>
      </c>
      <c r="L156">
        <v>1.31</v>
      </c>
      <c r="M156" s="1">
        <f>IF(ISNUMBER(Main_S[[#This Row],[EPS]]),IF(Main_S[[#This Row],[EPS]]&lt;&gt;0,Main_S[[#This Row],[Current Price]]/Main_S[[#This Row],[EPS]],""),"")</f>
        <v>-11.923611111111112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-0.65587525184277429</v>
      </c>
      <c r="P156" s="1">
        <f>(Main_S[[#This Row],[P/B]]-VLOOKUP(Main_S[[#This Row],[Industry]], Mean_PB_S, 2, FALSE))/(VLOOKUP(Main_S[[#This Row],[Industry]], Mean_PB_S, 3, FALSE))</f>
        <v>-0.37202155855251817</v>
      </c>
      <c r="Q156" s="1">
        <f>(Main_S[[#This Row],[ROE]]-VLOOKUP(Main_S[[#This Row],[Industry]], Mean_ROE_S, 2, FALSE))/(VLOOKUP(Main_S[[#This Row],[Industry]], Mean_ROE_S, 3, FALSE))</f>
        <v>0.30310543528699341</v>
      </c>
      <c r="R156" s="1">
        <f>(Main_S[[#This Row],[ROA]]-VLOOKUP(Main_S[[#This Row],[Industry]], Mean_ROA_S, 2, FALSE))/(VLOOKUP(Main_S[[#This Row],[Industry]], Mean_ROA_S, 3, FALSE))</f>
        <v>0.1207683633110401</v>
      </c>
      <c r="S156" s="1">
        <f>(Main_S[[#This Row],[A/E]]-VLOOKUP(Main_S[[#This Row],[Industry]], Mean_AE_S, 2, FALSE))/(VLOOKUP(Main_S[[#This Row],[Industry]], Mean_AE_S, 3, FALSE))</f>
        <v>-0.71275139590715242</v>
      </c>
      <c r="T156" s="1">
        <f>(Main_S[[#This Row],[P/E]]-VLOOKUP(Main_S[[#This Row],[Industry]], Mean_PE_S, 2, FALSE))/(VLOOKUP(Main_S[[#This Row],[Industry]], Mean_PE_S, 3, FALSE))</f>
        <v>-0.28414912439662582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s="67" t="s">
        <v>105</v>
      </c>
      <c r="B157" s="67" t="s">
        <v>326</v>
      </c>
      <c r="C157" s="2">
        <v>1164</v>
      </c>
      <c r="D157">
        <f>RTD("tos.rtd", , "LAST", Main_S[[#This Row],[Symbol]])</f>
        <v>17.29</v>
      </c>
      <c r="E157">
        <v>-0.66</v>
      </c>
      <c r="F157">
        <v>1.76</v>
      </c>
      <c r="G157">
        <v>-0.99</v>
      </c>
      <c r="H157" s="1">
        <f>IF(ISNUMBER(Main_S[[#This Row],[Free CF]]),IF(Main_S[[#This Row],[Free CF]]&lt;&gt;0,Main_S[[#This Row],[Current Price]]/Main_S[[#This Row],[Free CF]],""),"")</f>
        <v>-26.196969696969695</v>
      </c>
      <c r="I157" s="1">
        <f>IF(ISNUMBER(Main_S[[#This Row],[BVPS]]),IF(Main_S[[#This Row],[BVPS]]&lt;&gt;0,Main_S[[#This Row],[Current Price]]/Main_S[[#This Row],[BVPS]],""),"")</f>
        <v>9.8238636363636367</v>
      </c>
      <c r="J157">
        <v>-77.86</v>
      </c>
      <c r="K157">
        <v>-43.61</v>
      </c>
      <c r="L157">
        <v>1.1299999999999999</v>
      </c>
      <c r="M157" s="1">
        <f>IF(ISNUMBER(Main_S[[#This Row],[EPS]]),IF(Main_S[[#This Row],[EPS]]&lt;&gt;0,Main_S[[#This Row],[Current Price]]/Main_S[[#This Row],[EPS]],""),"")</f>
        <v>-17.464646464646464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-0.63329703602580856</v>
      </c>
      <c r="P157" s="1">
        <f>(Main_S[[#This Row],[P/B]]-VLOOKUP(Main_S[[#This Row],[Industry]], Mean_PB_S, 2, FALSE))/(VLOOKUP(Main_S[[#This Row],[Industry]], Mean_PB_S, 3, FALSE))</f>
        <v>2.3375374773751219</v>
      </c>
      <c r="Q157" s="1">
        <f>(Main_S[[#This Row],[ROE]]-VLOOKUP(Main_S[[#This Row],[Industry]], Mean_ROE_S, 2, FALSE))/(VLOOKUP(Main_S[[#This Row],[Industry]], Mean_ROE_S, 3, FALSE))</f>
        <v>-1.1470917938778007</v>
      </c>
      <c r="R157" s="1">
        <f>(Main_S[[#This Row],[ROA]]-VLOOKUP(Main_S[[#This Row],[Industry]], Mean_ROA_S, 2, FALSE))/(VLOOKUP(Main_S[[#This Row],[Industry]], Mean_ROA_S, 3, FALSE))</f>
        <v>-2.8733259144995853</v>
      </c>
      <c r="S157" s="1">
        <f>(Main_S[[#This Row],[A/E]]-VLOOKUP(Main_S[[#This Row],[Industry]], Mean_AE_S, 2, FALSE))/(VLOOKUP(Main_S[[#This Row],[Industry]], Mean_AE_S, 3, FALSE))</f>
        <v>-1.1082666213816417</v>
      </c>
      <c r="T157" s="1">
        <f>(Main_S[[#This Row],[P/E]]-VLOOKUP(Main_S[[#This Row],[Industry]], Mean_PE_S, 2, FALSE))/(VLOOKUP(Main_S[[#This Row],[Industry]], Mean_PE_S, 3, FALSE))</f>
        <v>-0.81699082679791613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s="67" t="s">
        <v>105</v>
      </c>
      <c r="B158" s="67" t="s">
        <v>308</v>
      </c>
      <c r="C158" s="2">
        <v>414</v>
      </c>
      <c r="D158">
        <f>RTD("tos.rtd", , "LAST", Main_S[[#This Row],[Symbol]])</f>
        <v>11.12</v>
      </c>
      <c r="E158">
        <v>-0.69</v>
      </c>
      <c r="F158">
        <v>4.54</v>
      </c>
      <c r="G158">
        <v>-1.02</v>
      </c>
      <c r="H158" s="1">
        <f>IF(ISNUMBER(Main_S[[#This Row],[Free CF]]),IF(Main_S[[#This Row],[Free CF]]&lt;&gt;0,Main_S[[#This Row],[Current Price]]/Main_S[[#This Row],[Free CF]],""),"")</f>
        <v>-16.115942028985508</v>
      </c>
      <c r="I158" s="1">
        <f>IF(ISNUMBER(Main_S[[#This Row],[BVPS]]),IF(Main_S[[#This Row],[BVPS]]&lt;&gt;0,Main_S[[#This Row],[Current Price]]/Main_S[[#This Row],[BVPS]],""),"")</f>
        <v>2.4493392070484581</v>
      </c>
      <c r="J158">
        <v>-20.46</v>
      </c>
      <c r="K158">
        <v>-6.55</v>
      </c>
      <c r="L158">
        <v>1.54</v>
      </c>
      <c r="M158" s="1">
        <f>IF(ISNUMBER(Main_S[[#This Row],[EPS]]),IF(Main_S[[#This Row],[EPS]]&lt;&gt;0,Main_S[[#This Row],[Current Price]]/Main_S[[#This Row],[EPS]],""),"")</f>
        <v>-10.901960784313724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-0.27267007582799191</v>
      </c>
      <c r="P158" s="1">
        <f>(Main_S[[#This Row],[P/B]]-VLOOKUP(Main_S[[#This Row],[Industry]], Mean_PB_S, 2, FALSE))/(VLOOKUP(Main_S[[#This Row],[Industry]], Mean_PB_S, 3, FALSE))</f>
        <v>-0.36441245802647182</v>
      </c>
      <c r="Q158" s="1">
        <f>(Main_S[[#This Row],[ROE]]-VLOOKUP(Main_S[[#This Row],[Industry]], Mean_ROE_S, 2, FALSE))/(VLOOKUP(Main_S[[#This Row],[Industry]], Mean_ROE_S, 3, FALSE))</f>
        <v>0.27050563381394288</v>
      </c>
      <c r="R158" s="1">
        <f>(Main_S[[#This Row],[ROA]]-VLOOKUP(Main_S[[#This Row],[Industry]], Mean_ROA_S, 2, FALSE))/(VLOOKUP(Main_S[[#This Row],[Industry]], Mean_ROA_S, 3, FALSE))</f>
        <v>6.9159737467048996E-2</v>
      </c>
      <c r="S158" s="1">
        <f>(Main_S[[#This Row],[A/E]]-VLOOKUP(Main_S[[#This Row],[Industry]], Mean_AE_S, 2, FALSE))/(VLOOKUP(Main_S[[#This Row],[Industry]], Mean_AE_S, 3, FALSE))</f>
        <v>-0.20737083002308337</v>
      </c>
      <c r="T158" s="1">
        <f>(Main_S[[#This Row],[P/E]]-VLOOKUP(Main_S[[#This Row],[Industry]], Mean_PE_S, 2, FALSE))/(VLOOKUP(Main_S[[#This Row],[Industry]], Mean_PE_S, 3, FALSE))</f>
        <v>-0.18590432632974016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s="67" t="s">
        <v>105</v>
      </c>
      <c r="B159" s="67" t="s">
        <v>332</v>
      </c>
      <c r="C159" s="2">
        <v>257</v>
      </c>
      <c r="D159">
        <f>RTD("tos.rtd", , "LAST", Main_S[[#This Row],[Symbol]])</f>
        <v>3.72</v>
      </c>
      <c r="E159">
        <v>-0.94</v>
      </c>
      <c r="F159">
        <v>0.54</v>
      </c>
      <c r="G159">
        <v>-1.22</v>
      </c>
      <c r="H159" s="1">
        <f>IF(ISNUMBER(Main_S[[#This Row],[Free CF]]),IF(Main_S[[#This Row],[Free CF]]&lt;&gt;0,Main_S[[#This Row],[Current Price]]/Main_S[[#This Row],[Free CF]],""),"")</f>
        <v>-3.9574468085106389</v>
      </c>
      <c r="I159" s="1">
        <f>IF(ISNUMBER(Main_S[[#This Row],[BVPS]]),IF(Main_S[[#This Row],[BVPS]]&lt;&gt;0,Main_S[[#This Row],[Current Price]]/Main_S[[#This Row],[BVPS]],""),"")</f>
        <v>6.8888888888888884</v>
      </c>
      <c r="J159">
        <v>-144.5</v>
      </c>
      <c r="K159">
        <v>-19.38</v>
      </c>
      <c r="L159">
        <v>4.01</v>
      </c>
      <c r="M159" s="1">
        <f>IF(ISNUMBER(Main_S[[#This Row],[EPS]]),IF(Main_S[[#This Row],[EPS]]&lt;&gt;0,Main_S[[#This Row],[Current Price]]/Main_S[[#This Row],[EPS]],""),"")</f>
        <v>-3.0491803278688527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0.16227379262944866</v>
      </c>
      <c r="P159" s="1">
        <f>(Main_S[[#This Row],[P/B]]-VLOOKUP(Main_S[[#This Row],[Industry]], Mean_PB_S, 2, FALSE))/(VLOOKUP(Main_S[[#This Row],[Industry]], Mean_PB_S, 3, FALSE))</f>
        <v>1.2621929035852804</v>
      </c>
      <c r="Q159" s="1">
        <f>(Main_S[[#This Row],[ROE]]-VLOOKUP(Main_S[[#This Row],[Industry]], Mean_ROE_S, 2, FALSE))/(VLOOKUP(Main_S[[#This Row],[Industry]], Mean_ROE_S, 3, FALSE))</f>
        <v>-2.7928878318808978</v>
      </c>
      <c r="R159" s="1">
        <f>(Main_S[[#This Row],[ROA]]-VLOOKUP(Main_S[[#This Row],[Industry]], Mean_ROA_S, 2, FALSE))/(VLOOKUP(Main_S[[#This Row],[Industry]], Mean_ROA_S, 3, FALSE))</f>
        <v>-0.94951513880742244</v>
      </c>
      <c r="S159" s="1">
        <f>(Main_S[[#This Row],[A/E]]-VLOOKUP(Main_S[[#This Row],[Industry]], Mean_AE_S, 2, FALSE))/(VLOOKUP(Main_S[[#This Row],[Industry]], Mean_AE_S, 3, FALSE))</f>
        <v>5.2199769862101792</v>
      </c>
      <c r="T159" s="1">
        <f>(Main_S[[#This Row],[P/E]]-VLOOKUP(Main_S[[#This Row],[Industry]], Mean_PE_S, 2, FALSE))/(VLOOKUP(Main_S[[#This Row],[Industry]], Mean_PE_S, 3, FALSE))</f>
        <v>0.56924135313717772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7" t="s">
        <v>105</v>
      </c>
      <c r="B160" s="67" t="s">
        <v>340</v>
      </c>
      <c r="C160" s="2">
        <v>494</v>
      </c>
      <c r="D160">
        <f>RTD("tos.rtd", , "LAST", Main_S[[#This Row],[Symbol]])</f>
        <v>21.54</v>
      </c>
      <c r="E160">
        <v>-1.58</v>
      </c>
      <c r="F160">
        <v>13.98</v>
      </c>
      <c r="G160">
        <v>-1.76</v>
      </c>
      <c r="H160" s="1">
        <f>IF(ISNUMBER(Main_S[[#This Row],[Free CF]]),IF(Main_S[[#This Row],[Free CF]]&lt;&gt;0,Main_S[[#This Row],[Current Price]]/Main_S[[#This Row],[Free CF]],""),"")</f>
        <v>-13.632911392405061</v>
      </c>
      <c r="I160" s="1">
        <f>IF(ISNUMBER(Main_S[[#This Row],[BVPS]]),IF(Main_S[[#This Row],[BVPS]]&lt;&gt;0,Main_S[[#This Row],[Current Price]]/Main_S[[#This Row],[BVPS]],""),"")</f>
        <v>1.540772532188841</v>
      </c>
      <c r="J160">
        <v>-11.34</v>
      </c>
      <c r="K160">
        <v>-4.2300000000000004</v>
      </c>
      <c r="L160">
        <v>1.35</v>
      </c>
      <c r="M160" s="1">
        <f>IF(ISNUMBER(Main_S[[#This Row],[EPS]]),IF(Main_S[[#This Row],[EPS]]&lt;&gt;0,Main_S[[#This Row],[Current Price]]/Main_S[[#This Row],[EPS]],""),"")</f>
        <v>-12.238636363636363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-0.18384502544231923</v>
      </c>
      <c r="P160" s="1">
        <f>(Main_S[[#This Row],[P/B]]-VLOOKUP(Main_S[[#This Row],[Industry]], Mean_PB_S, 2, FALSE))/(VLOOKUP(Main_S[[#This Row],[Industry]], Mean_PB_S, 3, FALSE))</f>
        <v>-0.6973019469657542</v>
      </c>
      <c r="Q160" s="1">
        <f>(Main_S[[#This Row],[ROE]]-VLOOKUP(Main_S[[#This Row],[Industry]], Mean_ROE_S, 2, FALSE))/(VLOOKUP(Main_S[[#This Row],[Industry]], Mean_ROE_S, 3, FALSE))</f>
        <v>0.49574062580956485</v>
      </c>
      <c r="R160" s="1">
        <f>(Main_S[[#This Row],[ROA]]-VLOOKUP(Main_S[[#This Row],[Industry]], Mean_ROA_S, 2, FALSE))/(VLOOKUP(Main_S[[#This Row],[Industry]], Mean_ROA_S, 3, FALSE))</f>
        <v>0.25336283278714045</v>
      </c>
      <c r="S160" s="1">
        <f>(Main_S[[#This Row],[A/E]]-VLOOKUP(Main_S[[#This Row],[Industry]], Mean_AE_S, 2, FALSE))/(VLOOKUP(Main_S[[#This Row],[Industry]], Mean_AE_S, 3, FALSE))</f>
        <v>-0.62485912357948814</v>
      </c>
      <c r="T160" s="1">
        <f>(Main_S[[#This Row],[P/E]]-VLOOKUP(Main_S[[#This Row],[Industry]], Mean_PE_S, 2, FALSE))/(VLOOKUP(Main_S[[#This Row],[Industry]], Mean_PE_S, 3, FALSE))</f>
        <v>-0.31444284770735187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s="67" t="s">
        <v>105</v>
      </c>
      <c r="B161" s="67" t="s">
        <v>595</v>
      </c>
      <c r="C161" s="2">
        <v>286</v>
      </c>
      <c r="D161">
        <f>RTD("tos.rtd", , "LAST", Main_S[[#This Row],[Symbol]])</f>
        <v>7.7450000000000001</v>
      </c>
      <c r="E161">
        <v>-1.86</v>
      </c>
      <c r="F161">
        <v>2.68</v>
      </c>
      <c r="G161">
        <v>-2.16</v>
      </c>
      <c r="H161" s="1">
        <f>IF(ISNUMBER(Main_S[[#This Row],[Free CF]]),IF(Main_S[[#This Row],[Free CF]]&lt;&gt;0,Main_S[[#This Row],[Current Price]]/Main_S[[#This Row],[Free CF]],""),"")</f>
        <v>-4.163978494623656</v>
      </c>
      <c r="I161" s="1">
        <f>IF(ISNUMBER(Main_S[[#This Row],[BVPS]]),IF(Main_S[[#This Row],[BVPS]]&lt;&gt;0,Main_S[[#This Row],[Current Price]]/Main_S[[#This Row],[BVPS]],""),"")</f>
        <v>2.8899253731343282</v>
      </c>
      <c r="J161">
        <v>-77.44</v>
      </c>
      <c r="K161">
        <v>-33.76</v>
      </c>
      <c r="L161">
        <v>1.46</v>
      </c>
      <c r="M161" s="1">
        <f>IF(ISNUMBER(Main_S[[#This Row],[EPS]]),IF(Main_S[[#This Row],[EPS]]&lt;&gt;0,Main_S[[#This Row],[Current Price]]/Main_S[[#This Row],[EPS]],""),"")</f>
        <v>-3.5856481481481479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0.15488556827371092</v>
      </c>
      <c r="P161" s="1">
        <f>(Main_S[[#This Row],[P/B]]-VLOOKUP(Main_S[[#This Row],[Industry]], Mean_PB_S, 2, FALSE))/(VLOOKUP(Main_S[[#This Row],[Industry]], Mean_PB_S, 3, FALSE))</f>
        <v>-0.2029862163203201</v>
      </c>
      <c r="Q161" s="1">
        <f>(Main_S[[#This Row],[ROE]]-VLOOKUP(Main_S[[#This Row],[Industry]], Mean_ROE_S, 2, FALSE))/(VLOOKUP(Main_S[[#This Row],[Industry]], Mean_ROE_S, 3, FALSE))</f>
        <v>-1.136719129772739</v>
      </c>
      <c r="R161" s="1">
        <f>(Main_S[[#This Row],[ROA]]-VLOOKUP(Main_S[[#This Row],[Industry]], Mean_ROA_S, 2, FALSE))/(VLOOKUP(Main_S[[#This Row],[Industry]], Mean_ROA_S, 3, FALSE))</f>
        <v>-2.0912567382483345</v>
      </c>
      <c r="S161" s="1">
        <f>(Main_S[[#This Row],[A/E]]-VLOOKUP(Main_S[[#This Row],[Industry]], Mean_AE_S, 2, FALSE))/(VLOOKUP(Main_S[[#This Row],[Industry]], Mean_AE_S, 3, FALSE))</f>
        <v>-0.38315537467841188</v>
      </c>
      <c r="T161" s="1">
        <f>(Main_S[[#This Row],[P/E]]-VLOOKUP(Main_S[[#This Row],[Industry]], Mean_PE_S, 2, FALSE))/(VLOOKUP(Main_S[[#This Row],[Industry]], Mean_PE_S, 3, FALSE))</f>
        <v>0.5176530833639581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s="67" t="s">
        <v>105</v>
      </c>
      <c r="B162" s="67" t="s">
        <v>315</v>
      </c>
      <c r="C162" s="2">
        <v>608</v>
      </c>
      <c r="D162">
        <f>RTD("tos.rtd", , "LAST", Main_S[[#This Row],[Symbol]])</f>
        <v>17.809999999999999</v>
      </c>
      <c r="E162">
        <v>-1.98</v>
      </c>
      <c r="F162">
        <v>5.04</v>
      </c>
      <c r="G162">
        <v>-2.29</v>
      </c>
      <c r="H162" s="1">
        <f>IF(ISNUMBER(Main_S[[#This Row],[Free CF]]),IF(Main_S[[#This Row],[Free CF]]&lt;&gt;0,Main_S[[#This Row],[Current Price]]/Main_S[[#This Row],[Free CF]],""),"")</f>
        <v>-8.9949494949494948</v>
      </c>
      <c r="I162" s="1">
        <f>IF(ISNUMBER(Main_S[[#This Row],[BVPS]]),IF(Main_S[[#This Row],[BVPS]]&lt;&gt;0,Main_S[[#This Row],[Current Price]]/Main_S[[#This Row],[BVPS]],""),"")</f>
        <v>3.5337301587301586</v>
      </c>
      <c r="J162">
        <v>-41.39</v>
      </c>
      <c r="K162">
        <v>-21.31</v>
      </c>
      <c r="L162">
        <v>1.18</v>
      </c>
      <c r="M162" s="1">
        <f>IF(ISNUMBER(Main_S[[#This Row],[EPS]]),IF(Main_S[[#This Row],[EPS]]&lt;&gt;0,Main_S[[#This Row],[Current Price]]/Main_S[[#This Row],[EPS]],""),"")</f>
        <v>-7.7772925764192129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-1.7931970178663961E-2</v>
      </c>
      <c r="P162" s="1">
        <f>(Main_S[[#This Row],[P/B]]-VLOOKUP(Main_S[[#This Row],[Industry]], Mean_PB_S, 2, FALSE))/(VLOOKUP(Main_S[[#This Row],[Industry]], Mean_PB_S, 3, FALSE))</f>
        <v>3.289723833838646E-2</v>
      </c>
      <c r="Q162" s="1">
        <f>(Main_S[[#This Row],[ROE]]-VLOOKUP(Main_S[[#This Row],[Industry]], Mean_ROE_S, 2, FALSE))/(VLOOKUP(Main_S[[#This Row],[Industry]], Mean_ROE_S, 3, FALSE))</f>
        <v>-0.24639879408829046</v>
      </c>
      <c r="R162" s="1">
        <f>(Main_S[[#This Row],[ROA]]-VLOOKUP(Main_S[[#This Row],[Industry]], Mean_ROA_S, 2, FALSE))/(VLOOKUP(Main_S[[#This Row],[Industry]], Mean_ROA_S, 3, FALSE))</f>
        <v>-1.1027530586211192</v>
      </c>
      <c r="S162" s="1">
        <f>(Main_S[[#This Row],[A/E]]-VLOOKUP(Main_S[[#This Row],[Industry]], Mean_AE_S, 2, FALSE))/(VLOOKUP(Main_S[[#This Row],[Industry]], Mean_AE_S, 3, FALSE))</f>
        <v>-0.99840128097206127</v>
      </c>
      <c r="T162" s="1">
        <f>(Main_S[[#This Row],[P/E]]-VLOOKUP(Main_S[[#This Row],[Industry]], Mean_PE_S, 2, FALSE))/(VLOOKUP(Main_S[[#This Row],[Industry]], Mean_PE_S, 3, FALSE))</f>
        <v>0.11457264613198732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s="67" t="s">
        <v>105</v>
      </c>
      <c r="B163" s="67" t="s">
        <v>339</v>
      </c>
      <c r="C163" s="2">
        <v>995</v>
      </c>
      <c r="D163">
        <f>RTD("tos.rtd", , "LAST", Main_S[[#This Row],[Symbol]])</f>
        <v>38.49</v>
      </c>
      <c r="E163">
        <v>-2.73</v>
      </c>
      <c r="F163">
        <v>1.33</v>
      </c>
      <c r="G163">
        <v>-3.12</v>
      </c>
      <c r="H163" s="1">
        <f>IF(ISNUMBER(Main_S[[#This Row],[Free CF]]),IF(Main_S[[#This Row],[Free CF]]&lt;&gt;0,Main_S[[#This Row],[Current Price]]/Main_S[[#This Row],[Free CF]],""),"")</f>
        <v>-14.0989010989011</v>
      </c>
      <c r="I163" s="1">
        <f>IF(ISNUMBER(Main_S[[#This Row],[BVPS]]),IF(Main_S[[#This Row],[BVPS]]&lt;&gt;0,Main_S[[#This Row],[Current Price]]/Main_S[[#This Row],[BVPS]],""),"")</f>
        <v>28.939849624060152</v>
      </c>
      <c r="J163">
        <v>-186.68</v>
      </c>
      <c r="K163">
        <v>-11.43</v>
      </c>
      <c r="L163">
        <v>8.65</v>
      </c>
      <c r="M163" s="1">
        <f>IF(ISNUMBER(Main_S[[#This Row],[EPS]]),IF(Main_S[[#This Row],[EPS]]&lt;&gt;0,Main_S[[#This Row],[Current Price]]/Main_S[[#This Row],[EPS]],""),"")</f>
        <v>-12.336538461538462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-0.20051479928599547</v>
      </c>
      <c r="P163" s="1">
        <f>(Main_S[[#This Row],[P/B]]-VLOOKUP(Main_S[[#This Row],[Industry]], Mean_PB_S, 2, FALSE))/(VLOOKUP(Main_S[[#This Row],[Industry]], Mean_PB_S, 3, FALSE))</f>
        <v>9.3414382169636667</v>
      </c>
      <c r="Q163" s="1">
        <f>(Main_S[[#This Row],[ROE]]-VLOOKUP(Main_S[[#This Row],[Industry]], Mean_ROE_S, 2, FALSE))/(VLOOKUP(Main_S[[#This Row],[Industry]], Mean_ROE_S, 3, FALSE))</f>
        <v>-3.8345996698606499</v>
      </c>
      <c r="R163" s="1">
        <f>(Main_S[[#This Row],[ROA]]-VLOOKUP(Main_S[[#This Row],[Industry]], Mean_ROA_S, 2, FALSE))/(VLOOKUP(Main_S[[#This Row],[Industry]], Mean_ROA_S, 3, FALSE))</f>
        <v>-0.3183019457924538</v>
      </c>
      <c r="S163" s="1">
        <f>(Main_S[[#This Row],[A/E]]-VLOOKUP(Main_S[[#This Row],[Industry]], Mean_AE_S, 2, FALSE))/(VLOOKUP(Main_S[[#This Row],[Industry]], Mean_AE_S, 3, FALSE))</f>
        <v>15.415480576219226</v>
      </c>
      <c r="T163" s="1">
        <f>(Main_S[[#This Row],[P/E]]-VLOOKUP(Main_S[[#This Row],[Industry]], Mean_PE_S, 2, FALSE))/(VLOOKUP(Main_S[[#This Row],[Industry]], Mean_PE_S, 3, FALSE))</f>
        <v>-0.32385739159426791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s="67" t="s">
        <v>105</v>
      </c>
      <c r="B164" s="67" t="s">
        <v>313</v>
      </c>
      <c r="C164" s="2">
        <v>747</v>
      </c>
      <c r="D164">
        <f>RTD("tos.rtd", , "LAST", Main_S[[#This Row],[Symbol]])</f>
        <v>19.41</v>
      </c>
      <c r="E164">
        <v>-4.74</v>
      </c>
      <c r="F164">
        <v>7.24</v>
      </c>
      <c r="G164">
        <v>-5.66</v>
      </c>
      <c r="H164" s="1">
        <f>IF(ISNUMBER(Main_S[[#This Row],[Free CF]]),IF(Main_S[[#This Row],[Free CF]]&lt;&gt;0,Main_S[[#This Row],[Current Price]]/Main_S[[#This Row],[Free CF]],""),"")</f>
        <v>-4.0949367088607591</v>
      </c>
      <c r="I164" s="1">
        <f>IF(ISNUMBER(Main_S[[#This Row],[BVPS]]),IF(Main_S[[#This Row],[BVPS]]&lt;&gt;0,Main_S[[#This Row],[Current Price]]/Main_S[[#This Row],[BVPS]],""),"")</f>
        <v>2.680939226519337</v>
      </c>
      <c r="J164">
        <v>-81.349999999999994</v>
      </c>
      <c r="K164">
        <v>-21.78</v>
      </c>
      <c r="L164">
        <v>1.08</v>
      </c>
      <c r="M164" s="1">
        <f>IF(ISNUMBER(Main_S[[#This Row],[EPS]]),IF(Main_S[[#This Row],[EPS]]&lt;&gt;0,Main_S[[#This Row],[Current Price]]/Main_S[[#This Row],[EPS]],""),"")</f>
        <v>-3.4293286219081272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0.15735538882636901</v>
      </c>
      <c r="P164" s="1">
        <f>(Main_S[[#This Row],[P/B]]-VLOOKUP(Main_S[[#This Row],[Industry]], Mean_PB_S, 2, FALSE))/(VLOOKUP(Main_S[[#This Row],[Industry]], Mean_PB_S, 3, FALSE))</f>
        <v>-0.27955659190976545</v>
      </c>
      <c r="Q164" s="1">
        <f>(Main_S[[#This Row],[ROE]]-VLOOKUP(Main_S[[#This Row],[Industry]], Mean_ROE_S, 2, FALSE))/(VLOOKUP(Main_S[[#This Row],[Industry]], Mean_ROE_S, 3, FALSE))</f>
        <v>-1.2332836932270024</v>
      </c>
      <c r="R164" s="1">
        <f>(Main_S[[#This Row],[ROA]]-VLOOKUP(Main_S[[#This Row],[Industry]], Mean_ROA_S, 2, FALSE))/(VLOOKUP(Main_S[[#This Row],[Industry]], Mean_ROA_S, 3, FALSE))</f>
        <v>-1.1400700650006208</v>
      </c>
      <c r="S164" s="1">
        <f>(Main_S[[#This Row],[A/E]]-VLOOKUP(Main_S[[#This Row],[Industry]], Mean_AE_S, 2, FALSE))/(VLOOKUP(Main_S[[#This Row],[Industry]], Mean_AE_S, 3, FALSE))</f>
        <v>-1.2181319617912214</v>
      </c>
      <c r="T164" s="1">
        <f>(Main_S[[#This Row],[P/E]]-VLOOKUP(Main_S[[#This Row],[Industry]], Mean_PE_S, 2, FALSE))/(VLOOKUP(Main_S[[#This Row],[Industry]], Mean_PE_S, 3, FALSE))</f>
        <v>0.5326852131313945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s="67" t="s">
        <v>105</v>
      </c>
      <c r="B165" s="67" t="s">
        <v>599</v>
      </c>
      <c r="C165" s="2">
        <v>311</v>
      </c>
      <c r="D165">
        <f>RTD("tos.rtd", , "LAST", Main_S[[#This Row],[Symbol]])</f>
        <v>21.24</v>
      </c>
      <c r="E165">
        <v>-22.11</v>
      </c>
      <c r="F165">
        <v>9.3699999999999992</v>
      </c>
      <c r="G165">
        <v>-26.02</v>
      </c>
      <c r="H165" s="1">
        <f>IF(ISNUMBER(Main_S[[#This Row],[Free CF]]),IF(Main_S[[#This Row],[Free CF]]&lt;&gt;0,Main_S[[#This Row],[Current Price]]/Main_S[[#This Row],[Free CF]],""),"")</f>
        <v>-0.96065128900949792</v>
      </c>
      <c r="I165" s="1">
        <f>IF(ISNUMBER(Main_S[[#This Row],[BVPS]]),IF(Main_S[[#This Row],[BVPS]]&lt;&gt;0,Main_S[[#This Row],[Current Price]]/Main_S[[#This Row],[BVPS]],""),"")</f>
        <v>2.2668089647812169</v>
      </c>
      <c r="J165">
        <v>-86.53</v>
      </c>
      <c r="K165">
        <v>-17.41</v>
      </c>
      <c r="L165">
        <v>1.81</v>
      </c>
      <c r="M165" s="1">
        <f>IF(ISNUMBER(Main_S[[#This Row],[EPS]]),IF(Main_S[[#This Row],[EPS]]&lt;&gt;0,Main_S[[#This Row],[Current Price]]/Main_S[[#This Row],[EPS]],""),"")</f>
        <v>-0.81629515757109916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0.26947767046070908</v>
      </c>
      <c r="P165" s="1">
        <f>(Main_S[[#This Row],[P/B]]-VLOOKUP(Main_S[[#This Row],[Industry]], Mean_PB_S, 2, FALSE))/(VLOOKUP(Main_S[[#This Row],[Industry]], Mean_PB_S, 3, FALSE))</f>
        <v>-0.43128966224892884</v>
      </c>
      <c r="Q165" s="1">
        <f>(Main_S[[#This Row],[ROE]]-VLOOKUP(Main_S[[#This Row],[Industry]], Mean_ROE_S, 2, FALSE))/(VLOOKUP(Main_S[[#This Row],[Industry]], Mean_ROE_S, 3, FALSE))</f>
        <v>-1.3612132171894282</v>
      </c>
      <c r="R165" s="1">
        <f>(Main_S[[#This Row],[ROA]]-VLOOKUP(Main_S[[#This Row],[Industry]], Mean_ROA_S, 2, FALSE))/(VLOOKUP(Main_S[[#This Row],[Industry]], Mean_ROA_S, 3, FALSE))</f>
        <v>-0.79310130355717245</v>
      </c>
      <c r="S165" s="1">
        <f>(Main_S[[#This Row],[A/E]]-VLOOKUP(Main_S[[#This Row],[Industry]], Mean_AE_S, 2, FALSE))/(VLOOKUP(Main_S[[#This Row],[Industry]], Mean_AE_S, 3, FALSE))</f>
        <v>0.38590200818864989</v>
      </c>
      <c r="T165" s="1">
        <f>(Main_S[[#This Row],[P/E]]-VLOOKUP(Main_S[[#This Row],[Industry]], Mean_PE_S, 2, FALSE))/(VLOOKUP(Main_S[[#This Row],[Industry]], Mean_PE_S, 3, FALSE))</f>
        <v>0.78396193503148692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s="67" t="s">
        <v>129</v>
      </c>
      <c r="B166" s="67" t="s">
        <v>362</v>
      </c>
      <c r="C166" s="2">
        <v>934</v>
      </c>
      <c r="D166">
        <f>RTD("tos.rtd", , "LAST", Main_S[[#This Row],[Symbol]])</f>
        <v>117.66</v>
      </c>
      <c r="E166">
        <v>13.21</v>
      </c>
      <c r="F166">
        <v>35.65</v>
      </c>
      <c r="G166">
        <v>12.01</v>
      </c>
      <c r="H166" s="1">
        <f>IF(ISNUMBER(Main_S[[#This Row],[Free CF]]),IF(Main_S[[#This Row],[Free CF]]&lt;&gt;0,Main_S[[#This Row],[Current Price]]/Main_S[[#This Row],[Free CF]],""),"")</f>
        <v>8.9068887206661618</v>
      </c>
      <c r="I166" s="1">
        <f>IF(ISNUMBER(Main_S[[#This Row],[BVPS]]),IF(Main_S[[#This Row],[BVPS]]&lt;&gt;0,Main_S[[#This Row],[Current Price]]/Main_S[[#This Row],[BVPS]],""),"")</f>
        <v>3.3004207573632538</v>
      </c>
      <c r="J166">
        <v>78.92</v>
      </c>
      <c r="K166">
        <v>22.34</v>
      </c>
      <c r="L166">
        <v>3.87</v>
      </c>
      <c r="M166" s="1">
        <f>IF(ISNUMBER(Main_S[[#This Row],[EPS]]),IF(Main_S[[#This Row],[EPS]]&lt;&gt;0,Main_S[[#This Row],[Current Price]]/Main_S[[#This Row],[EPS]],""),"")</f>
        <v>9.7968359700249792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0.28954716384079637</v>
      </c>
      <c r="P166" s="1">
        <f>(Main_S[[#This Row],[P/B]]-VLOOKUP(Main_S[[#This Row],[Industry]], Mean_PB_S, 2, FALSE))/(VLOOKUP(Main_S[[#This Row],[Industry]], Mean_PB_S, 3, FALSE))</f>
        <v>1.3117262428577725</v>
      </c>
      <c r="Q166" s="1">
        <f>(Main_S[[#This Row],[ROE]]-VLOOKUP(Main_S[[#This Row],[Industry]], Mean_ROE_S, 2, FALSE))/(VLOOKUP(Main_S[[#This Row],[Industry]], Mean_ROE_S, 3, FALSE))</f>
        <v>4.3635685773756174</v>
      </c>
      <c r="R166" s="1">
        <f>(Main_S[[#This Row],[ROA]]-VLOOKUP(Main_S[[#This Row],[Industry]], Mean_ROA_S, 2, FALSE))/(VLOOKUP(Main_S[[#This Row],[Industry]], Mean_ROA_S, 3, FALSE))</f>
        <v>4.8000641759009541</v>
      </c>
      <c r="S166" s="1">
        <f>(Main_S[[#This Row],[A/E]]-VLOOKUP(Main_S[[#This Row],[Industry]], Mean_AE_S, 2, FALSE))/(VLOOKUP(Main_S[[#This Row],[Industry]], Mean_AE_S, 3, FALSE))</f>
        <v>0.99569611226735</v>
      </c>
      <c r="T166" s="1">
        <f>(Main_S[[#This Row],[P/E]]-VLOOKUP(Main_S[[#This Row],[Industry]], Mean_PE_S, 2, FALSE))/(VLOOKUP(Main_S[[#This Row],[Industry]], Mean_PE_S, 3, FALSE))</f>
        <v>0.38809907998886756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7" spans="1:26" x14ac:dyDescent="0.25">
      <c r="A167" s="67" t="s">
        <v>129</v>
      </c>
      <c r="B167" s="67" t="s">
        <v>372</v>
      </c>
      <c r="C167" s="2">
        <v>1611</v>
      </c>
      <c r="D167">
        <f>RTD("tos.rtd", , "LAST", Main_S[[#This Row],[Symbol]])</f>
        <v>104.46</v>
      </c>
      <c r="E167">
        <v>7.08</v>
      </c>
      <c r="F167">
        <v>64.98</v>
      </c>
      <c r="G167">
        <v>6.91</v>
      </c>
      <c r="H167" s="1">
        <f>IF(ISNUMBER(Main_S[[#This Row],[Free CF]]),IF(Main_S[[#This Row],[Free CF]]&lt;&gt;0,Main_S[[#This Row],[Current Price]]/Main_S[[#This Row],[Free CF]],""),"")</f>
        <v>14.754237288135592</v>
      </c>
      <c r="I167" s="1">
        <f>IF(ISNUMBER(Main_S[[#This Row],[BVPS]]),IF(Main_S[[#This Row],[BVPS]]&lt;&gt;0,Main_S[[#This Row],[Current Price]]/Main_S[[#This Row],[BVPS]],""),"")</f>
        <v>1.6075715604801475</v>
      </c>
      <c r="J167">
        <v>11.18</v>
      </c>
      <c r="K167">
        <v>4.16</v>
      </c>
      <c r="L167">
        <v>1.54</v>
      </c>
      <c r="M167" s="1">
        <f>IF(ISNUMBER(Main_S[[#This Row],[EPS]]),IF(Main_S[[#This Row],[EPS]]&lt;&gt;0,Main_S[[#This Row],[Current Price]]/Main_S[[#This Row],[EPS]],""),"")</f>
        <v>15.117221418234442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0.59348380521052402</v>
      </c>
      <c r="P167" s="1">
        <f>(Main_S[[#This Row],[P/B]]-VLOOKUP(Main_S[[#This Row],[Industry]], Mean_PB_S, 2, FALSE))/(VLOOKUP(Main_S[[#This Row],[Industry]], Mean_PB_S, 3, FALSE))</f>
        <v>-0.20202504714219885</v>
      </c>
      <c r="Q167" s="1">
        <f>(Main_S[[#This Row],[ROE]]-VLOOKUP(Main_S[[#This Row],[Industry]], Mean_ROE_S, 2, FALSE))/(VLOOKUP(Main_S[[#This Row],[Industry]], Mean_ROE_S, 3, FALSE))</f>
        <v>0.83786534057727569</v>
      </c>
      <c r="R167" s="1">
        <f>(Main_S[[#This Row],[ROA]]-VLOOKUP(Main_S[[#This Row],[Industry]], Mean_ROA_S, 2, FALSE))/(VLOOKUP(Main_S[[#This Row],[Industry]], Mean_ROA_S, 3, FALSE))</f>
        <v>0.62344835931085674</v>
      </c>
      <c r="S167" s="1">
        <f>(Main_S[[#This Row],[A/E]]-VLOOKUP(Main_S[[#This Row],[Industry]], Mean_AE_S, 2, FALSE))/(VLOOKUP(Main_S[[#This Row],[Industry]], Mean_AE_S, 3, FALSE))</f>
        <v>-0.68964105301422995</v>
      </c>
      <c r="T167" s="1">
        <f>(Main_S[[#This Row],[P/E]]-VLOOKUP(Main_S[[#This Row],[Industry]], Mean_PE_S, 2, FALSE))/(VLOOKUP(Main_S[[#This Row],[Industry]], Mean_PE_S, 3, FALSE))</f>
        <v>0.65111590739033898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s="67" t="s">
        <v>129</v>
      </c>
      <c r="B168" s="67" t="s">
        <v>349</v>
      </c>
      <c r="C168" s="2">
        <v>806</v>
      </c>
      <c r="D168">
        <f>RTD("tos.rtd", , "LAST", Main_S[[#This Row],[Symbol]])</f>
        <v>21.37</v>
      </c>
      <c r="E168">
        <v>6.77</v>
      </c>
      <c r="F168">
        <v>18.72</v>
      </c>
      <c r="G168">
        <v>-4.33</v>
      </c>
      <c r="H168" s="1">
        <f>IF(ISNUMBER(Main_S[[#This Row],[Free CF]]),IF(Main_S[[#This Row],[Free CF]]&lt;&gt;0,Main_S[[#This Row],[Current Price]]/Main_S[[#This Row],[Free CF]],""),"")</f>
        <v>3.1565731166912854</v>
      </c>
      <c r="I168" s="1">
        <f>IF(ISNUMBER(Main_S[[#This Row],[BVPS]]),IF(Main_S[[#This Row],[BVPS]]&lt;&gt;0,Main_S[[#This Row],[Current Price]]/Main_S[[#This Row],[BVPS]],""),"")</f>
        <v>1.1415598290598292</v>
      </c>
      <c r="J168">
        <v>-21.08</v>
      </c>
      <c r="K168">
        <v>2.19</v>
      </c>
      <c r="L168">
        <v>3.35</v>
      </c>
      <c r="M168" s="1">
        <f>IF(ISNUMBER(Main_S[[#This Row],[EPS]]),IF(Main_S[[#This Row],[EPS]]&lt;&gt;0,Main_S[[#This Row],[Current Price]]/Main_S[[#This Row],[EPS]],""),"")</f>
        <v>-4.9353348729792152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>
        <f>(Main_S[[#This Row],[P/FCF]]-VLOOKUP(Main_S[[#This Row],[Industry]], Mean_PFCF_S, 2, FALSE))/(VLOOKUP(Main_S[[#This Row],[Industry]], Mean_PFCF_S, 3, FALSE))</f>
        <v>-9.3458457552487405E-3</v>
      </c>
      <c r="P168" s="1">
        <f>(Main_S[[#This Row],[P/B]]-VLOOKUP(Main_S[[#This Row],[Industry]], Mean_PB_S, 2, FALSE))/(VLOOKUP(Main_S[[#This Row],[Industry]], Mean_PB_S, 3, FALSE))</f>
        <v>-0.61873426193313552</v>
      </c>
      <c r="Q168" s="1">
        <f>(Main_S[[#This Row],[ROE]]-VLOOKUP(Main_S[[#This Row],[Industry]], Mean_ROE_S, 2, FALSE))/(VLOOKUP(Main_S[[#This Row],[Industry]], Mean_ROE_S, 3, FALSE))</f>
        <v>-0.84118967003852718</v>
      </c>
      <c r="R168" s="1">
        <f>(Main_S[[#This Row],[ROA]]-VLOOKUP(Main_S[[#This Row],[Industry]], Mean_ROA_S, 2, FALSE))/(VLOOKUP(Main_S[[#This Row],[Industry]], Mean_ROA_S, 3, FALSE))</f>
        <v>0.17086677742513115</v>
      </c>
      <c r="S168" s="1">
        <f>(Main_S[[#This Row],[A/E]]-VLOOKUP(Main_S[[#This Row],[Industry]], Mean_AE_S, 2, FALSE))/(VLOOKUP(Main_S[[#This Row],[Industry]], Mean_AE_S, 3, FALSE))</f>
        <v>0.61956936293412179</v>
      </c>
      <c r="T168" s="1">
        <f>(Main_S[[#This Row],[P/E]]-VLOOKUP(Main_S[[#This Row],[Industry]], Mean_PE_S, 2, FALSE))/(VLOOKUP(Main_S[[#This Row],[Industry]], Mean_PE_S, 3, FALSE))</f>
        <v>-0.34019567864886679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9" spans="1:26" x14ac:dyDescent="0.25">
      <c r="A169" s="67" t="s">
        <v>129</v>
      </c>
      <c r="B169" s="67" t="s">
        <v>376</v>
      </c>
      <c r="C169" s="2">
        <v>1139</v>
      </c>
      <c r="D169">
        <f>RTD("tos.rtd", , "LAST", Main_S[[#This Row],[Symbol]])</f>
        <v>78.58</v>
      </c>
      <c r="E169">
        <v>3.71</v>
      </c>
      <c r="F169">
        <v>32.729999999999997</v>
      </c>
      <c r="G169">
        <v>2.17</v>
      </c>
      <c r="H169" s="1">
        <f>IF(ISNUMBER(Main_S[[#This Row],[Free CF]]),IF(Main_S[[#This Row],[Free CF]]&lt;&gt;0,Main_S[[#This Row],[Current Price]]/Main_S[[#This Row],[Free CF]],""),"")</f>
        <v>21.180592991913745</v>
      </c>
      <c r="I169" s="1">
        <f>IF(ISNUMBER(Main_S[[#This Row],[BVPS]]),IF(Main_S[[#This Row],[BVPS]]&lt;&gt;0,Main_S[[#This Row],[Current Price]]/Main_S[[#This Row],[BVPS]],""),"")</f>
        <v>2.4008554842652003</v>
      </c>
      <c r="J169">
        <v>6.63</v>
      </c>
      <c r="K169">
        <v>4.0199999999999996</v>
      </c>
      <c r="L169">
        <v>2.37</v>
      </c>
      <c r="M169" s="1">
        <f>IF(ISNUMBER(Main_S[[#This Row],[EPS]]),IF(Main_S[[#This Row],[EPS]]&lt;&gt;0,Main_S[[#This Row],[Current Price]]/Main_S[[#This Row],[EPS]],""),"")</f>
        <v>36.211981566820278</v>
      </c>
      <c r="N1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9" s="1">
        <f>(Main_S[[#This Row],[P/FCF]]-VLOOKUP(Main_S[[#This Row],[Industry]], Mean_PFCF_S, 2, FALSE))/(VLOOKUP(Main_S[[#This Row],[Industry]], Mean_PFCF_S, 3, FALSE))</f>
        <v>0.92751639217135506</v>
      </c>
      <c r="P169" s="1">
        <f>(Main_S[[#This Row],[P/B]]-VLOOKUP(Main_S[[#This Row],[Industry]], Mean_PB_S, 2, FALSE))/(VLOOKUP(Main_S[[#This Row],[Industry]], Mean_PB_S, 3, FALSE))</f>
        <v>0.50733203273051131</v>
      </c>
      <c r="Q169" s="1">
        <f>(Main_S[[#This Row],[ROE]]-VLOOKUP(Main_S[[#This Row],[Industry]], Mean_ROE_S, 2, FALSE))/(VLOOKUP(Main_S[[#This Row],[Industry]], Mean_ROE_S, 3, FALSE))</f>
        <v>0.60104884031993211</v>
      </c>
      <c r="R169" s="1">
        <f>(Main_S[[#This Row],[ROA]]-VLOOKUP(Main_S[[#This Row],[Industry]], Mean_ROA_S, 2, FALSE))/(VLOOKUP(Main_S[[#This Row],[Industry]], Mean_ROA_S, 3, FALSE))</f>
        <v>0.59128520120730255</v>
      </c>
      <c r="S169" s="1">
        <f>(Main_S[[#This Row],[A/E]]-VLOOKUP(Main_S[[#This Row],[Industry]], Mean_AE_S, 2, FALSE))/(VLOOKUP(Main_S[[#This Row],[Industry]], Mean_AE_S, 3, FALSE))</f>
        <v>-8.9284895424654259E-2</v>
      </c>
      <c r="T169" s="1">
        <f>(Main_S[[#This Row],[P/E]]-VLOOKUP(Main_S[[#This Row],[Industry]], Mean_PE_S, 2, FALSE))/(VLOOKUP(Main_S[[#This Row],[Industry]], Mean_PE_S, 3, FALSE))</f>
        <v>1.6939495409841741</v>
      </c>
      <c r="U1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0" spans="1:26" x14ac:dyDescent="0.25">
      <c r="A170" s="67" t="s">
        <v>129</v>
      </c>
      <c r="B170" s="67" t="s">
        <v>352</v>
      </c>
      <c r="C170" s="2">
        <v>428</v>
      </c>
      <c r="D170">
        <f>RTD("tos.rtd", , "LAST", Main_S[[#This Row],[Symbol]])</f>
        <v>13.1</v>
      </c>
      <c r="E170">
        <v>3.39</v>
      </c>
      <c r="F170">
        <v>12.88</v>
      </c>
      <c r="G170">
        <v>-0.55000000000000004</v>
      </c>
      <c r="H170" s="1">
        <f>IF(ISNUMBER(Main_S[[#This Row],[Free CF]]),IF(Main_S[[#This Row],[Free CF]]&lt;&gt;0,Main_S[[#This Row],[Current Price]]/Main_S[[#This Row],[Free CF]],""),"")</f>
        <v>3.8643067846607666</v>
      </c>
      <c r="I170" s="1">
        <f>IF(ISNUMBER(Main_S[[#This Row],[BVPS]]),IF(Main_S[[#This Row],[BVPS]]&lt;&gt;0,Main_S[[#This Row],[Current Price]]/Main_S[[#This Row],[BVPS]],""),"")</f>
        <v>1.0170807453416149</v>
      </c>
      <c r="J170">
        <v>-4</v>
      </c>
      <c r="K170">
        <v>-0.76</v>
      </c>
      <c r="L170">
        <v>1.38</v>
      </c>
      <c r="M170" s="1">
        <f>IF(ISNUMBER(Main_S[[#This Row],[EPS]]),IF(Main_S[[#This Row],[EPS]]&lt;&gt;0,Main_S[[#This Row],[Current Price]]/Main_S[[#This Row],[EPS]],""),"")</f>
        <v>-23.818181818181817</v>
      </c>
      <c r="N1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0" s="1">
        <f>(Main_S[[#This Row],[P/FCF]]-VLOOKUP(Main_S[[#This Row],[Industry]], Mean_PFCF_S, 2, FALSE))/(VLOOKUP(Main_S[[#This Row],[Industry]], Mean_PFCF_S, 3, FALSE))</f>
        <v>2.7441117009998909E-2</v>
      </c>
      <c r="P170" s="1">
        <f>(Main_S[[#This Row],[P/B]]-VLOOKUP(Main_S[[#This Row],[Industry]], Mean_PB_S, 2, FALSE))/(VLOOKUP(Main_S[[#This Row],[Industry]], Mean_PB_S, 3, FALSE))</f>
        <v>-0.73004386582661973</v>
      </c>
      <c r="Q170" s="1">
        <f>(Main_S[[#This Row],[ROE]]-VLOOKUP(Main_S[[#This Row],[Industry]], Mean_ROE_S, 2, FALSE))/(VLOOKUP(Main_S[[#This Row],[Industry]], Mean_ROE_S, 3, FALSE))</f>
        <v>4.7783038619808559E-2</v>
      </c>
      <c r="R170" s="1">
        <f>(Main_S[[#This Row],[ROA]]-VLOOKUP(Main_S[[#This Row],[Industry]], Mean_ROA_S, 2, FALSE))/(VLOOKUP(Main_S[[#This Row],[Industry]], Mean_ROA_S, 3, FALSE))</f>
        <v>-0.50685691118547305</v>
      </c>
      <c r="S170" s="1">
        <f>(Main_S[[#This Row],[A/E]]-VLOOKUP(Main_S[[#This Row],[Industry]], Mean_AE_S, 2, FALSE))/(VLOOKUP(Main_S[[#This Row],[Industry]], Mean_AE_S, 3, FALSE))</f>
        <v>-0.80537236050137717</v>
      </c>
      <c r="T170" s="1">
        <f>(Main_S[[#This Row],[P/E]]-VLOOKUP(Main_S[[#This Row],[Industry]], Mean_PE_S, 2, FALSE))/(VLOOKUP(Main_S[[#This Row],[Industry]], Mean_PE_S, 3, FALSE))</f>
        <v>-1.2736818976795194</v>
      </c>
      <c r="U1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1" spans="1:26" x14ac:dyDescent="0.25">
      <c r="A171" s="67" t="s">
        <v>129</v>
      </c>
      <c r="B171" s="67" t="s">
        <v>227</v>
      </c>
      <c r="C171" s="2">
        <v>1892</v>
      </c>
      <c r="D171">
        <f>RTD("tos.rtd", , "LAST", Main_S[[#This Row],[Symbol]])</f>
        <v>23.08</v>
      </c>
      <c r="E171">
        <v>3.36</v>
      </c>
      <c r="F171">
        <v>18.5</v>
      </c>
      <c r="G171">
        <v>1.0900000000000001</v>
      </c>
      <c r="H171" s="1">
        <f>IF(ISNUMBER(Main_S[[#This Row],[Free CF]]),IF(Main_S[[#This Row],[Free CF]]&lt;&gt;0,Main_S[[#This Row],[Current Price]]/Main_S[[#This Row],[Free CF]],""),"")</f>
        <v>6.8690476190476186</v>
      </c>
      <c r="I171" s="1">
        <f>IF(ISNUMBER(Main_S[[#This Row],[BVPS]]),IF(Main_S[[#This Row],[BVPS]]&lt;&gt;0,Main_S[[#This Row],[Current Price]]/Main_S[[#This Row],[BVPS]],""),"")</f>
        <v>1.2475675675675675</v>
      </c>
      <c r="J171">
        <v>6.85</v>
      </c>
      <c r="K171">
        <v>4.05</v>
      </c>
      <c r="L171">
        <v>2.02</v>
      </c>
      <c r="M171" s="1">
        <f>IF(ISNUMBER(Main_S[[#This Row],[EPS]]),IF(Main_S[[#This Row],[EPS]]&lt;&gt;0,Main_S[[#This Row],[Current Price]]/Main_S[[#This Row],[EPS]],""),"")</f>
        <v>21.174311926605501</v>
      </c>
      <c r="N1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1" s="1">
        <f>(Main_S[[#This Row],[P/FCF]]-VLOOKUP(Main_S[[#This Row],[Industry]], Mean_PFCF_S, 2, FALSE))/(VLOOKUP(Main_S[[#This Row],[Industry]], Mean_PFCF_S, 3, FALSE))</f>
        <v>0.18362315864006415</v>
      </c>
      <c r="P171" s="1">
        <f>(Main_S[[#This Row],[P/B]]-VLOOKUP(Main_S[[#This Row],[Industry]], Mean_PB_S, 2, FALSE))/(VLOOKUP(Main_S[[#This Row],[Industry]], Mean_PB_S, 3, FALSE))</f>
        <v>-0.52394179535576613</v>
      </c>
      <c r="Q171" s="1">
        <f>(Main_S[[#This Row],[ROE]]-VLOOKUP(Main_S[[#This Row],[Industry]], Mean_ROE_S, 2, FALSE))/(VLOOKUP(Main_S[[#This Row],[Industry]], Mean_ROE_S, 3, FALSE))</f>
        <v>0.61249930846424316</v>
      </c>
      <c r="R171" s="1">
        <f>(Main_S[[#This Row],[ROA]]-VLOOKUP(Main_S[[#This Row],[Industry]], Mean_ROA_S, 2, FALSE))/(VLOOKUP(Main_S[[#This Row],[Industry]], Mean_ROA_S, 3, FALSE))</f>
        <v>0.59817730651520706</v>
      </c>
      <c r="S171" s="1">
        <f>(Main_S[[#This Row],[A/E]]-VLOOKUP(Main_S[[#This Row],[Industry]], Mean_AE_S, 2, FALSE))/(VLOOKUP(Main_S[[#This Row],[Industry]], Mean_AE_S, 3, FALSE))</f>
        <v>-0.34244713055278864</v>
      </c>
      <c r="T171" s="1">
        <f>(Main_S[[#This Row],[P/E]]-VLOOKUP(Main_S[[#This Row],[Industry]], Mean_PE_S, 2, FALSE))/(VLOOKUP(Main_S[[#This Row],[Industry]], Mean_PE_S, 3, FALSE))</f>
        <v>0.95055224415640416</v>
      </c>
      <c r="U1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2" spans="1:26" x14ac:dyDescent="0.25">
      <c r="A172" s="67" t="s">
        <v>129</v>
      </c>
      <c r="B172" s="67" t="s">
        <v>374</v>
      </c>
      <c r="C172" s="2">
        <v>1965</v>
      </c>
      <c r="D172">
        <f>RTD("tos.rtd", , "LAST", Main_S[[#This Row],[Symbol]])</f>
        <v>15.49</v>
      </c>
      <c r="E172">
        <v>2.87</v>
      </c>
      <c r="F172">
        <v>13.4</v>
      </c>
      <c r="G172">
        <v>0.49</v>
      </c>
      <c r="H172" s="1">
        <f>IF(ISNUMBER(Main_S[[#This Row],[Free CF]]),IF(Main_S[[#This Row],[Free CF]]&lt;&gt;0,Main_S[[#This Row],[Current Price]]/Main_S[[#This Row],[Free CF]],""),"")</f>
        <v>5.3972125435540068</v>
      </c>
      <c r="I172" s="1">
        <f>IF(ISNUMBER(Main_S[[#This Row],[BVPS]]),IF(Main_S[[#This Row],[BVPS]]&lt;&gt;0,Main_S[[#This Row],[Current Price]]/Main_S[[#This Row],[BVPS]],""),"")</f>
        <v>1.1559701492537313</v>
      </c>
      <c r="J172">
        <v>7.72</v>
      </c>
      <c r="K172">
        <v>2.42</v>
      </c>
      <c r="L172">
        <v>3.31</v>
      </c>
      <c r="M172" s="1">
        <f>IF(ISNUMBER(Main_S[[#This Row],[EPS]]),IF(Main_S[[#This Row],[EPS]]&lt;&gt;0,Main_S[[#This Row],[Current Price]]/Main_S[[#This Row],[EPS]],""),"")</f>
        <v>31.612244897959183</v>
      </c>
      <c r="N1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2" s="1">
        <f>(Main_S[[#This Row],[P/FCF]]-VLOOKUP(Main_S[[#This Row],[Industry]], Mean_PFCF_S, 2, FALSE))/(VLOOKUP(Main_S[[#This Row],[Industry]], Mean_PFCF_S, 3, FALSE))</f>
        <v>0.10711932030478832</v>
      </c>
      <c r="P172" s="1">
        <f>(Main_S[[#This Row],[P/B]]-VLOOKUP(Main_S[[#This Row],[Industry]], Mean_PB_S, 2, FALSE))/(VLOOKUP(Main_S[[#This Row],[Industry]], Mean_PB_S, 3, FALSE))</f>
        <v>-0.6058485064724628</v>
      </c>
      <c r="Q172" s="1">
        <f>(Main_S[[#This Row],[ROE]]-VLOOKUP(Main_S[[#This Row],[Industry]], Mean_ROE_S, 2, FALSE))/(VLOOKUP(Main_S[[#This Row],[Industry]], Mean_ROE_S, 3, FALSE))</f>
        <v>0.65778070521674625</v>
      </c>
      <c r="R172" s="1">
        <f>(Main_S[[#This Row],[ROA]]-VLOOKUP(Main_S[[#This Row],[Industry]], Mean_ROA_S, 2, FALSE))/(VLOOKUP(Main_S[[#This Row],[Industry]], Mean_ROA_S, 3, FALSE))</f>
        <v>0.22370625145239859</v>
      </c>
      <c r="S172" s="1">
        <f>(Main_S[[#This Row],[A/E]]-VLOOKUP(Main_S[[#This Row],[Industry]], Mean_AE_S, 2, FALSE))/(VLOOKUP(Main_S[[#This Row],[Industry]], Mean_AE_S, 3, FALSE))</f>
        <v>0.59063653606233502</v>
      </c>
      <c r="T172" s="1">
        <f>(Main_S[[#This Row],[P/E]]-VLOOKUP(Main_S[[#This Row],[Industry]], Mean_PE_S, 2, FALSE))/(VLOOKUP(Main_S[[#This Row],[Industry]], Mean_PE_S, 3, FALSE))</f>
        <v>1.4665584699231085</v>
      </c>
      <c r="U1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3" spans="1:26" x14ac:dyDescent="0.25">
      <c r="A173" s="67" t="s">
        <v>129</v>
      </c>
      <c r="B173" s="67" t="s">
        <v>358</v>
      </c>
      <c r="C173" s="2">
        <v>1216</v>
      </c>
      <c r="D173">
        <f>RTD("tos.rtd", , "LAST", Main_S[[#This Row],[Symbol]])</f>
        <v>14.13</v>
      </c>
      <c r="E173">
        <v>2.3199999999999998</v>
      </c>
      <c r="F173">
        <v>9.3800000000000008</v>
      </c>
      <c r="G173">
        <v>-0.99</v>
      </c>
      <c r="H173" s="1">
        <f>IF(ISNUMBER(Main_S[[#This Row],[Free CF]]),IF(Main_S[[#This Row],[Free CF]]&lt;&gt;0,Main_S[[#This Row],[Current Price]]/Main_S[[#This Row],[Free CF]],""),"")</f>
        <v>6.0905172413793114</v>
      </c>
      <c r="I173" s="1">
        <f>IF(ISNUMBER(Main_S[[#This Row],[BVPS]]),IF(Main_S[[#This Row],[BVPS]]&lt;&gt;0,Main_S[[#This Row],[Current Price]]/Main_S[[#This Row],[BVPS]],""),"")</f>
        <v>1.5063965884861408</v>
      </c>
      <c r="J173">
        <v>-10.01</v>
      </c>
      <c r="K173">
        <v>5.95</v>
      </c>
      <c r="L173">
        <v>2.5299999999999998</v>
      </c>
      <c r="M173" s="1">
        <f>IF(ISNUMBER(Main_S[[#This Row],[EPS]]),IF(Main_S[[#This Row],[EPS]]&lt;&gt;0,Main_S[[#This Row],[Current Price]]/Main_S[[#This Row],[EPS]],""),"")</f>
        <v>-14.272727272727273</v>
      </c>
      <c r="N1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3" s="1">
        <f>(Main_S[[#This Row],[P/FCF]]-VLOOKUP(Main_S[[#This Row],[Industry]], Mean_PFCF_S, 2, FALSE))/(VLOOKUP(Main_S[[#This Row],[Industry]], Mean_PFCF_S, 3, FALSE))</f>
        <v>0.14315628626833291</v>
      </c>
      <c r="P173" s="1">
        <f>(Main_S[[#This Row],[P/B]]-VLOOKUP(Main_S[[#This Row],[Industry]], Mean_PB_S, 2, FALSE))/(VLOOKUP(Main_S[[#This Row],[Industry]], Mean_PB_S, 3, FALSE))</f>
        <v>-0.29249603809261965</v>
      </c>
      <c r="Q173" s="1">
        <f>(Main_S[[#This Row],[ROE]]-VLOOKUP(Main_S[[#This Row],[Industry]], Mean_ROE_S, 2, FALSE))/(VLOOKUP(Main_S[[#This Row],[Industry]], Mean_ROE_S, 3, FALSE))</f>
        <v>-0.2650229320497815</v>
      </c>
      <c r="R173" s="1">
        <f>(Main_S[[#This Row],[ROA]]-VLOOKUP(Main_S[[#This Row],[Industry]], Mean_ROA_S, 2, FALSE))/(VLOOKUP(Main_S[[#This Row],[Industry]], Mean_ROA_S, 3, FALSE))</f>
        <v>1.0346773093491557</v>
      </c>
      <c r="S173" s="1">
        <f>(Main_S[[#This Row],[A/E]]-VLOOKUP(Main_S[[#This Row],[Industry]], Mean_AE_S, 2, FALSE))/(VLOOKUP(Main_S[[#This Row],[Industry]], Mean_AE_S, 3, FALSE))</f>
        <v>2.6446412062492642E-2</v>
      </c>
      <c r="T173" s="1">
        <f>(Main_S[[#This Row],[P/E]]-VLOOKUP(Main_S[[#This Row],[Industry]], Mean_PE_S, 2, FALSE))/(VLOOKUP(Main_S[[#This Row],[Industry]], Mean_PE_S, 3, FALSE))</f>
        <v>-0.80179594221827777</v>
      </c>
      <c r="U1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4" spans="1:26" x14ac:dyDescent="0.25">
      <c r="A174" s="67" t="s">
        <v>129</v>
      </c>
      <c r="B174" s="67" t="s">
        <v>237</v>
      </c>
      <c r="C174" s="2">
        <v>1843</v>
      </c>
      <c r="D174">
        <f>RTD("tos.rtd", , "LAST", Main_S[[#This Row],[Symbol]])</f>
        <v>21.97</v>
      </c>
      <c r="E174">
        <v>2.21</v>
      </c>
      <c r="F174">
        <v>5.49</v>
      </c>
      <c r="G174">
        <v>0.56999999999999995</v>
      </c>
      <c r="H174" s="1">
        <f>IF(ISNUMBER(Main_S[[#This Row],[Free CF]]),IF(Main_S[[#This Row],[Free CF]]&lt;&gt;0,Main_S[[#This Row],[Current Price]]/Main_S[[#This Row],[Free CF]],""),"")</f>
        <v>9.9411764705882355</v>
      </c>
      <c r="I174" s="1">
        <f>IF(ISNUMBER(Main_S[[#This Row],[BVPS]]),IF(Main_S[[#This Row],[BVPS]]&lt;&gt;0,Main_S[[#This Row],[Current Price]]/Main_S[[#This Row],[BVPS]],""),"")</f>
        <v>4.0018214936247718</v>
      </c>
      <c r="J174">
        <v>10.11</v>
      </c>
      <c r="K174">
        <v>5.99</v>
      </c>
      <c r="L174">
        <v>1.56</v>
      </c>
      <c r="M174" s="1">
        <f>IF(ISNUMBER(Main_S[[#This Row],[EPS]]),IF(Main_S[[#This Row],[EPS]]&lt;&gt;0,Main_S[[#This Row],[Current Price]]/Main_S[[#This Row],[EPS]],""),"")</f>
        <v>38.543859649122808</v>
      </c>
      <c r="N1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4" s="1">
        <f>(Main_S[[#This Row],[P/FCF]]-VLOOKUP(Main_S[[#This Row],[Industry]], Mean_PFCF_S, 2, FALSE))/(VLOOKUP(Main_S[[#This Row],[Industry]], Mean_PFCF_S, 3, FALSE))</f>
        <v>0.3433079310148342</v>
      </c>
      <c r="P174" s="1">
        <f>(Main_S[[#This Row],[P/B]]-VLOOKUP(Main_S[[#This Row],[Industry]], Mean_PB_S, 2, FALSE))/(VLOOKUP(Main_S[[#This Row],[Industry]], Mean_PB_S, 3, FALSE))</f>
        <v>1.9389210758515811</v>
      </c>
      <c r="Q174" s="1">
        <f>(Main_S[[#This Row],[ROE]]-VLOOKUP(Main_S[[#This Row],[Industry]], Mean_ROE_S, 2, FALSE))/(VLOOKUP(Main_S[[#This Row],[Industry]], Mean_ROE_S, 3, FALSE))</f>
        <v>0.78217442732994436</v>
      </c>
      <c r="R174" s="1">
        <f>(Main_S[[#This Row],[ROA]]-VLOOKUP(Main_S[[#This Row],[Industry]], Mean_ROA_S, 2, FALSE))/(VLOOKUP(Main_S[[#This Row],[Industry]], Mean_ROA_S, 3, FALSE))</f>
        <v>1.0438667830930282</v>
      </c>
      <c r="S174" s="1">
        <f>(Main_S[[#This Row],[A/E]]-VLOOKUP(Main_S[[#This Row],[Industry]], Mean_AE_S, 2, FALSE))/(VLOOKUP(Main_S[[#This Row],[Industry]], Mean_AE_S, 3, FALSE))</f>
        <v>-0.67517463957833657</v>
      </c>
      <c r="T174" s="1">
        <f>(Main_S[[#This Row],[P/E]]-VLOOKUP(Main_S[[#This Row],[Industry]], Mean_PE_S, 2, FALSE))/(VLOOKUP(Main_S[[#This Row],[Industry]], Mean_PE_S, 3, FALSE))</f>
        <v>1.8092274998960887</v>
      </c>
      <c r="U1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5" spans="1:26" x14ac:dyDescent="0.25">
      <c r="A175" s="67" t="s">
        <v>129</v>
      </c>
      <c r="B175" s="67" t="s">
        <v>345</v>
      </c>
      <c r="C175" s="2">
        <v>1212</v>
      </c>
      <c r="D175">
        <f>RTD("tos.rtd", , "LAST", Main_S[[#This Row],[Symbol]])</f>
        <v>8.82</v>
      </c>
      <c r="E175">
        <v>2.0499999999999998</v>
      </c>
      <c r="F175">
        <v>11.88</v>
      </c>
      <c r="G175">
        <v>0.57999999999999996</v>
      </c>
      <c r="H175" s="1">
        <f>IF(ISNUMBER(Main_S[[#This Row],[Free CF]]),IF(Main_S[[#This Row],[Free CF]]&lt;&gt;0,Main_S[[#This Row],[Current Price]]/Main_S[[#This Row],[Free CF]],""),"")</f>
        <v>4.3024390243902442</v>
      </c>
      <c r="I175" s="1">
        <f>IF(ISNUMBER(Main_S[[#This Row],[BVPS]]),IF(Main_S[[#This Row],[BVPS]]&lt;&gt;0,Main_S[[#This Row],[Current Price]]/Main_S[[#This Row],[BVPS]],""),"")</f>
        <v>0.74242424242424243</v>
      </c>
      <c r="J175">
        <v>5.9</v>
      </c>
      <c r="K175">
        <v>3.82</v>
      </c>
      <c r="L175">
        <v>2.83</v>
      </c>
      <c r="M175" s="1">
        <f>IF(ISNUMBER(Main_S[[#This Row],[EPS]]),IF(Main_S[[#This Row],[EPS]]&lt;&gt;0,Main_S[[#This Row],[Current Price]]/Main_S[[#This Row],[EPS]],""),"")</f>
        <v>15.206896551724139</v>
      </c>
      <c r="N1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5" s="1">
        <f>(Main_S[[#This Row],[P/FCF]]-VLOOKUP(Main_S[[#This Row],[Industry]], Mean_PFCF_S, 2, FALSE))/(VLOOKUP(Main_S[[#This Row],[Industry]], Mean_PFCF_S, 3, FALSE))</f>
        <v>5.0214591155188039E-2</v>
      </c>
      <c r="P175" s="1">
        <f>(Main_S[[#This Row],[P/B]]-VLOOKUP(Main_S[[#This Row],[Industry]], Mean_PB_S, 2, FALSE))/(VLOOKUP(Main_S[[#This Row],[Industry]], Mean_PB_S, 3, FALSE))</f>
        <v>-0.97564260927261515</v>
      </c>
      <c r="Q175" s="1">
        <f>(Main_S[[#This Row],[ROE]]-VLOOKUP(Main_S[[#This Row],[Industry]], Mean_ROE_S, 2, FALSE))/(VLOOKUP(Main_S[[#This Row],[Industry]], Mean_ROE_S, 3, FALSE))</f>
        <v>0.56305410511380893</v>
      </c>
      <c r="R175" s="1">
        <f>(Main_S[[#This Row],[ROA]]-VLOOKUP(Main_S[[#This Row],[Industry]], Mean_ROA_S, 2, FALSE))/(VLOOKUP(Main_S[[#This Row],[Industry]], Mean_ROA_S, 3, FALSE))</f>
        <v>0.54533783248793954</v>
      </c>
      <c r="S175" s="1">
        <f>(Main_S[[#This Row],[A/E]]-VLOOKUP(Main_S[[#This Row],[Industry]], Mean_AE_S, 2, FALSE))/(VLOOKUP(Main_S[[#This Row],[Industry]], Mean_AE_S, 3, FALSE))</f>
        <v>0.24344261360089367</v>
      </c>
      <c r="T175" s="1">
        <f>(Main_S[[#This Row],[P/E]]-VLOOKUP(Main_S[[#This Row],[Industry]], Mean_PE_S, 2, FALSE))/(VLOOKUP(Main_S[[#This Row],[Industry]], Mean_PE_S, 3, FALSE))</f>
        <v>0.6555490578334523</v>
      </c>
      <c r="U1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6" spans="1:26" x14ac:dyDescent="0.25">
      <c r="A176" s="67" t="s">
        <v>129</v>
      </c>
      <c r="B176" s="67" t="s">
        <v>369</v>
      </c>
      <c r="C176" s="2">
        <v>474</v>
      </c>
      <c r="D176">
        <f>RTD("tos.rtd", , "LAST", Main_S[[#This Row],[Symbol]])</f>
        <v>6.36</v>
      </c>
      <c r="E176">
        <v>1.68</v>
      </c>
      <c r="F176">
        <v>5.57</v>
      </c>
      <c r="G176">
        <v>0.57999999999999996</v>
      </c>
      <c r="H176" s="1">
        <f>IF(ISNUMBER(Main_S[[#This Row],[Free CF]]),IF(Main_S[[#This Row],[Free CF]]&lt;&gt;0,Main_S[[#This Row],[Current Price]]/Main_S[[#This Row],[Free CF]],""),"")</f>
        <v>3.785714285714286</v>
      </c>
      <c r="I176" s="1">
        <f>IF(ISNUMBER(Main_S[[#This Row],[BVPS]]),IF(Main_S[[#This Row],[BVPS]]&lt;&gt;0,Main_S[[#This Row],[Current Price]]/Main_S[[#This Row],[BVPS]],""),"")</f>
        <v>1.1418312387791743</v>
      </c>
      <c r="J176">
        <v>9.81</v>
      </c>
      <c r="K176">
        <v>6.19</v>
      </c>
      <c r="L176">
        <v>4.66</v>
      </c>
      <c r="M176" s="1">
        <f>IF(ISNUMBER(Main_S[[#This Row],[EPS]]),IF(Main_S[[#This Row],[EPS]]&lt;&gt;0,Main_S[[#This Row],[Current Price]]/Main_S[[#This Row],[EPS]],""),"")</f>
        <v>10.965517241379311</v>
      </c>
      <c r="N1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6" s="1">
        <f>(Main_S[[#This Row],[P/FCF]]-VLOOKUP(Main_S[[#This Row],[Industry]], Mean_PFCF_S, 2, FALSE))/(VLOOKUP(Main_S[[#This Row],[Industry]], Mean_PFCF_S, 3, FALSE))</f>
        <v>2.3355993660325768E-2</v>
      </c>
      <c r="P176" s="1">
        <f>(Main_S[[#This Row],[P/B]]-VLOOKUP(Main_S[[#This Row],[Industry]], Mean_PB_S, 2, FALSE))/(VLOOKUP(Main_S[[#This Row],[Industry]], Mean_PB_S, 3, FALSE))</f>
        <v>-0.6184915664741818</v>
      </c>
      <c r="Q176" s="1">
        <f>(Main_S[[#This Row],[ROE]]-VLOOKUP(Main_S[[#This Row],[Industry]], Mean_ROE_S, 2, FALSE))/(VLOOKUP(Main_S[[#This Row],[Industry]], Mean_ROE_S, 3, FALSE))</f>
        <v>0.76656015258770194</v>
      </c>
      <c r="R176" s="1">
        <f>(Main_S[[#This Row],[ROA]]-VLOOKUP(Main_S[[#This Row],[Industry]], Mean_ROA_S, 2, FALSE))/(VLOOKUP(Main_S[[#This Row],[Industry]], Mean_ROA_S, 3, FALSE))</f>
        <v>1.0898141518123914</v>
      </c>
      <c r="S176" s="1">
        <f>(Main_S[[#This Row],[A/E]]-VLOOKUP(Main_S[[#This Row],[Industry]], Mean_AE_S, 2, FALSE))/(VLOOKUP(Main_S[[#This Row],[Industry]], Mean_AE_S, 3, FALSE))</f>
        <v>1.5671194429851389</v>
      </c>
      <c r="T176" s="1">
        <f>(Main_S[[#This Row],[P/E]]-VLOOKUP(Main_S[[#This Row],[Industry]], Mean_PE_S, 2, FALSE))/(VLOOKUP(Main_S[[#This Row],[Industry]], Mean_PE_S, 3, FALSE))</f>
        <v>0.44587362343638826</v>
      </c>
      <c r="U1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7" spans="1:26" x14ac:dyDescent="0.25">
      <c r="A177" s="67" t="s">
        <v>129</v>
      </c>
      <c r="B177" s="67" t="s">
        <v>353</v>
      </c>
      <c r="C177" s="2">
        <v>461</v>
      </c>
      <c r="D177">
        <f>RTD("tos.rtd", , "LAST", Main_S[[#This Row],[Symbol]])</f>
        <v>18.170000000000002</v>
      </c>
      <c r="E177">
        <v>1.49</v>
      </c>
      <c r="F177">
        <v>15.26</v>
      </c>
      <c r="G177">
        <v>-0.18</v>
      </c>
      <c r="H177" s="1">
        <f>IF(ISNUMBER(Main_S[[#This Row],[Free CF]]),IF(Main_S[[#This Row],[Free CF]]&lt;&gt;0,Main_S[[#This Row],[Current Price]]/Main_S[[#This Row],[Free CF]],""),"")</f>
        <v>12.194630872483224</v>
      </c>
      <c r="I177" s="1">
        <f>IF(ISNUMBER(Main_S[[#This Row],[BVPS]]),IF(Main_S[[#This Row],[BVPS]]&lt;&gt;0,Main_S[[#This Row],[Current Price]]/Main_S[[#This Row],[BVPS]],""),"")</f>
        <v>1.1906946264744431</v>
      </c>
      <c r="J177">
        <v>-1.2</v>
      </c>
      <c r="K177">
        <v>-1.79</v>
      </c>
      <c r="L177">
        <v>1.1399999999999999</v>
      </c>
      <c r="M177" s="1">
        <f>IF(ISNUMBER(Main_S[[#This Row],[EPS]]),IF(Main_S[[#This Row],[EPS]]&lt;&gt;0,Main_S[[#This Row],[Current Price]]/Main_S[[#This Row],[EPS]],""),"")</f>
        <v>-100.94444444444446</v>
      </c>
      <c r="N1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7" s="1">
        <f>(Main_S[[#This Row],[P/FCF]]-VLOOKUP(Main_S[[#This Row],[Industry]], Mean_PFCF_S, 2, FALSE))/(VLOOKUP(Main_S[[#This Row],[Industry]], Mean_PFCF_S, 3, FALSE))</f>
        <v>0.46043920076710076</v>
      </c>
      <c r="P177" s="1">
        <f>(Main_S[[#This Row],[P/B]]-VLOOKUP(Main_S[[#This Row],[Industry]], Mean_PB_S, 2, FALSE))/(VLOOKUP(Main_S[[#This Row],[Industry]], Mean_PB_S, 3, FALSE))</f>
        <v>-0.57479776534076066</v>
      </c>
      <c r="Q177" s="1">
        <f>(Main_S[[#This Row],[ROE]]-VLOOKUP(Main_S[[#This Row],[Industry]], Mean_ROE_S, 2, FALSE))/(VLOOKUP(Main_S[[#This Row],[Industry]], Mean_ROE_S, 3, FALSE))</f>
        <v>0.19351626954740458</v>
      </c>
      <c r="R177" s="1">
        <f>(Main_S[[#This Row],[ROA]]-VLOOKUP(Main_S[[#This Row],[Industry]], Mean_ROA_S, 2, FALSE))/(VLOOKUP(Main_S[[#This Row],[Industry]], Mean_ROA_S, 3, FALSE))</f>
        <v>-0.74348586009019257</v>
      </c>
      <c r="S177" s="1">
        <f>(Main_S[[#This Row],[A/E]]-VLOOKUP(Main_S[[#This Row],[Industry]], Mean_AE_S, 2, FALSE))/(VLOOKUP(Main_S[[#This Row],[Industry]], Mean_AE_S, 3, FALSE))</f>
        <v>-0.97896932173209783</v>
      </c>
      <c r="T177" s="1">
        <f>(Main_S[[#This Row],[P/E]]-VLOOKUP(Main_S[[#This Row],[Industry]], Mean_PE_S, 2, FALSE))/(VLOOKUP(Main_S[[#This Row],[Industry]], Mean_PE_S, 3, FALSE))</f>
        <v>-5.0864704827846117</v>
      </c>
      <c r="U1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8" spans="1:26" x14ac:dyDescent="0.25">
      <c r="A178" s="67" t="s">
        <v>129</v>
      </c>
      <c r="B178" s="67" t="s">
        <v>350</v>
      </c>
      <c r="C178" s="2">
        <v>1144</v>
      </c>
      <c r="D178">
        <f>RTD("tos.rtd", , "LAST", Main_S[[#This Row],[Symbol]])</f>
        <v>25.28</v>
      </c>
      <c r="E178">
        <v>1.0900000000000001</v>
      </c>
      <c r="F178">
        <v>15.2</v>
      </c>
      <c r="G178">
        <v>0.73</v>
      </c>
      <c r="H178" s="1">
        <f>IF(ISNUMBER(Main_S[[#This Row],[Free CF]]),IF(Main_S[[#This Row],[Free CF]]&lt;&gt;0,Main_S[[#This Row],[Current Price]]/Main_S[[#This Row],[Free CF]],""),"")</f>
        <v>23.192660550458715</v>
      </c>
      <c r="I178" s="1">
        <f>IF(ISNUMBER(Main_S[[#This Row],[BVPS]]),IF(Main_S[[#This Row],[BVPS]]&lt;&gt;0,Main_S[[#This Row],[Current Price]]/Main_S[[#This Row],[BVPS]],""),"")</f>
        <v>1.6631578947368422</v>
      </c>
      <c r="J178">
        <v>8.1</v>
      </c>
      <c r="K178">
        <v>3.9</v>
      </c>
      <c r="L178">
        <v>1.79</v>
      </c>
      <c r="M178" s="1">
        <f>IF(ISNUMBER(Main_S[[#This Row],[EPS]]),IF(Main_S[[#This Row],[EPS]]&lt;&gt;0,Main_S[[#This Row],[Current Price]]/Main_S[[#This Row],[EPS]],""),"")</f>
        <v>34.630136986301373</v>
      </c>
      <c r="N1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8" s="1">
        <f>(Main_S[[#This Row],[P/FCF]]-VLOOKUP(Main_S[[#This Row],[Industry]], Mean_PFCF_S, 2, FALSE))/(VLOOKUP(Main_S[[#This Row],[Industry]], Mean_PFCF_S, 3, FALSE))</f>
        <v>1.0321007262326651</v>
      </c>
      <c r="P178" s="1">
        <f>(Main_S[[#This Row],[P/B]]-VLOOKUP(Main_S[[#This Row],[Industry]], Mean_PB_S, 2, FALSE))/(VLOOKUP(Main_S[[#This Row],[Industry]], Mean_PB_S, 3, FALSE))</f>
        <v>-0.1523195651994671</v>
      </c>
      <c r="Q178" s="1">
        <f>(Main_S[[#This Row],[ROE]]-VLOOKUP(Main_S[[#This Row],[Industry]], Mean_ROE_S, 2, FALSE))/(VLOOKUP(Main_S[[#This Row],[Industry]], Mean_ROE_S, 3, FALSE))</f>
        <v>0.67755878655692003</v>
      </c>
      <c r="R178" s="1">
        <f>(Main_S[[#This Row],[ROA]]-VLOOKUP(Main_S[[#This Row],[Industry]], Mean_ROA_S, 2, FALSE))/(VLOOKUP(Main_S[[#This Row],[Industry]], Mean_ROA_S, 3, FALSE))</f>
        <v>0.56371677997568481</v>
      </c>
      <c r="S178" s="1">
        <f>(Main_S[[#This Row],[A/E]]-VLOOKUP(Main_S[[#This Row],[Industry]], Mean_AE_S, 2, FALSE))/(VLOOKUP(Main_S[[#This Row],[Industry]], Mean_AE_S, 3, FALSE))</f>
        <v>-0.5088108850655626</v>
      </c>
      <c r="T178" s="1">
        <f>(Main_S[[#This Row],[P/E]]-VLOOKUP(Main_S[[#This Row],[Industry]], Mean_PE_S, 2, FALSE))/(VLOOKUP(Main_S[[#This Row],[Industry]], Mean_PE_S, 3, FALSE))</f>
        <v>1.6157499918988136</v>
      </c>
      <c r="U1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9" spans="1:26" x14ac:dyDescent="0.25">
      <c r="A179" s="67" t="s">
        <v>129</v>
      </c>
      <c r="B179" s="67" t="s">
        <v>354</v>
      </c>
      <c r="C179" s="2">
        <v>532</v>
      </c>
      <c r="D179">
        <f>RTD("tos.rtd", , "LAST", Main_S[[#This Row],[Symbol]])</f>
        <v>10.78</v>
      </c>
      <c r="E179">
        <v>0.98</v>
      </c>
      <c r="F179">
        <v>10.74</v>
      </c>
      <c r="G179">
        <v>-2.76</v>
      </c>
      <c r="H179" s="1">
        <f>IF(ISNUMBER(Main_S[[#This Row],[Free CF]]),IF(Main_S[[#This Row],[Free CF]]&lt;&gt;0,Main_S[[#This Row],[Current Price]]/Main_S[[#This Row],[Free CF]],""),"")</f>
        <v>11</v>
      </c>
      <c r="I179" s="1">
        <f>IF(ISNUMBER(Main_S[[#This Row],[BVPS]]),IF(Main_S[[#This Row],[BVPS]]&lt;&gt;0,Main_S[[#This Row],[Current Price]]/Main_S[[#This Row],[BVPS]],""),"")</f>
        <v>1.0037243947858472</v>
      </c>
      <c r="J179">
        <v>-21.36</v>
      </c>
      <c r="K179">
        <v>2.31</v>
      </c>
      <c r="L179">
        <v>2.2799999999999998</v>
      </c>
      <c r="M179" s="1">
        <f>IF(ISNUMBER(Main_S[[#This Row],[EPS]]),IF(Main_S[[#This Row],[EPS]]&lt;&gt;0,Main_S[[#This Row],[Current Price]]/Main_S[[#This Row],[EPS]],""),"")</f>
        <v>-3.9057971014492754</v>
      </c>
      <c r="N1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9" s="1">
        <f>(Main_S[[#This Row],[P/FCF]]-VLOOKUP(Main_S[[#This Row],[Industry]], Mean_PFCF_S, 2, FALSE))/(VLOOKUP(Main_S[[#This Row],[Industry]], Mean_PFCF_S, 3, FALSE))</f>
        <v>0.39834403218434694</v>
      </c>
      <c r="P179" s="1">
        <f>(Main_S[[#This Row],[P/B]]-VLOOKUP(Main_S[[#This Row],[Industry]], Mean_PB_S, 2, FALSE))/(VLOOKUP(Main_S[[#This Row],[Industry]], Mean_PB_S, 3, FALSE))</f>
        <v>-0.74198715818881666</v>
      </c>
      <c r="Q179" s="1">
        <f>(Main_S[[#This Row],[ROE]]-VLOOKUP(Main_S[[#This Row],[Industry]], Mean_ROE_S, 2, FALSE))/(VLOOKUP(Main_S[[#This Row],[Industry]], Mean_ROE_S, 3, FALSE))</f>
        <v>-0.8557629931312869</v>
      </c>
      <c r="R179" s="1">
        <f>(Main_S[[#This Row],[ROA]]-VLOOKUP(Main_S[[#This Row],[Industry]], Mean_ROA_S, 2, FALSE))/(VLOOKUP(Main_S[[#This Row],[Industry]], Mean_ROA_S, 3, FALSE))</f>
        <v>0.19843519865674897</v>
      </c>
      <c r="S179" s="1">
        <f>(Main_S[[#This Row],[A/E]]-VLOOKUP(Main_S[[#This Row],[Industry]], Mean_AE_S, 2, FALSE))/(VLOOKUP(Main_S[[#This Row],[Industry]], Mean_AE_S, 3, FALSE))</f>
        <v>-0.15438375588617473</v>
      </c>
      <c r="T179" s="1">
        <f>(Main_S[[#This Row],[P/E]]-VLOOKUP(Main_S[[#This Row],[Industry]], Mean_PE_S, 2, FALSE))/(VLOOKUP(Main_S[[#This Row],[Industry]], Mean_PE_S, 3, FALSE))</f>
        <v>-0.28929978755343555</v>
      </c>
      <c r="U1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0" spans="1:26" x14ac:dyDescent="0.25">
      <c r="A180" s="67" t="s">
        <v>129</v>
      </c>
      <c r="B180" s="67" t="s">
        <v>371</v>
      </c>
      <c r="C180" s="2">
        <v>544</v>
      </c>
      <c r="D180">
        <f>RTD("tos.rtd", , "LAST", Main_S[[#This Row],[Symbol]])</f>
        <v>3.44</v>
      </c>
      <c r="E180">
        <v>0.7</v>
      </c>
      <c r="F180">
        <v>-14.38</v>
      </c>
      <c r="G180">
        <v>-3.68</v>
      </c>
      <c r="H180" s="1">
        <f>IF(ISNUMBER(Main_S[[#This Row],[Free CF]]),IF(Main_S[[#This Row],[Free CF]]&lt;&gt;0,Main_S[[#This Row],[Current Price]]/Main_S[[#This Row],[Free CF]],""),"")</f>
        <v>4.9142857142857146</v>
      </c>
      <c r="I180" s="1">
        <f>IF(ISNUMBER(Main_S[[#This Row],[BVPS]]),IF(Main_S[[#This Row],[BVPS]]&lt;&gt;0,Main_S[[#This Row],[Current Price]]/Main_S[[#This Row],[BVPS]],""),"")</f>
        <v>-0.23922114047287898</v>
      </c>
      <c r="J180">
        <v>30</v>
      </c>
      <c r="K180">
        <v>3.78</v>
      </c>
      <c r="L180">
        <v>-7.22</v>
      </c>
      <c r="M180" s="1">
        <f>IF(ISNUMBER(Main_S[[#This Row],[EPS]]),IF(Main_S[[#This Row],[EPS]]&lt;&gt;0,Main_S[[#This Row],[Current Price]]/Main_S[[#This Row],[EPS]],""),"")</f>
        <v>-0.93478260869565211</v>
      </c>
      <c r="N1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0" s="1">
        <f>(Main_S[[#This Row],[P/FCF]]-VLOOKUP(Main_S[[#This Row],[Industry]], Mean_PFCF_S, 2, FALSE))/(VLOOKUP(Main_S[[#This Row],[Industry]], Mean_PFCF_S, 3, FALSE))</f>
        <v>8.2017488795766702E-2</v>
      </c>
      <c r="P180" s="1">
        <f>(Main_S[[#This Row],[P/B]]-VLOOKUP(Main_S[[#This Row],[Industry]], Mean_PB_S, 2, FALSE))/(VLOOKUP(Main_S[[#This Row],[Industry]], Mean_PB_S, 3, FALSE))</f>
        <v>-1.8534331221068434</v>
      </c>
      <c r="Q180" s="1">
        <f>(Main_S[[#This Row],[ROE]]-VLOOKUP(Main_S[[#This Row],[Industry]], Mean_ROE_S, 2, FALSE))/(VLOOKUP(Main_S[[#This Row],[Industry]], Mean_ROE_S, 3, FALSE))</f>
        <v>1.8174008427406179</v>
      </c>
      <c r="R180" s="1">
        <f>(Main_S[[#This Row],[ROA]]-VLOOKUP(Main_S[[#This Row],[Industry]], Mean_ROA_S, 2, FALSE))/(VLOOKUP(Main_S[[#This Row],[Industry]], Mean_ROA_S, 3, FALSE))</f>
        <v>0.53614835874406697</v>
      </c>
      <c r="S180" s="1">
        <f>(Main_S[[#This Row],[A/E]]-VLOOKUP(Main_S[[#This Row],[Industry]], Mean_AE_S, 2, FALSE))/(VLOOKUP(Main_S[[#This Row],[Industry]], Mean_AE_S, 3, FALSE))</f>
        <v>-7.0259301379355348</v>
      </c>
      <c r="T180" s="1">
        <f>(Main_S[[#This Row],[P/E]]-VLOOKUP(Main_S[[#This Row],[Industry]], Mean_PE_S, 2, FALSE))/(VLOOKUP(Main_S[[#This Row],[Industry]], Mean_PE_S, 3, FALSE))</f>
        <v>-0.14242569099510566</v>
      </c>
      <c r="U1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1" spans="1:26" x14ac:dyDescent="0.25">
      <c r="A181" s="67" t="s">
        <v>129</v>
      </c>
      <c r="B181" s="67" t="s">
        <v>361</v>
      </c>
      <c r="C181" s="2">
        <v>308</v>
      </c>
      <c r="D181">
        <f>RTD("tos.rtd", , "LAST", Main_S[[#This Row],[Symbol]])</f>
        <v>15.62</v>
      </c>
      <c r="E181">
        <v>0.64</v>
      </c>
      <c r="F181">
        <v>1.3</v>
      </c>
      <c r="G181">
        <v>1.02</v>
      </c>
      <c r="H181" s="1">
        <f>IF(ISNUMBER(Main_S[[#This Row],[Free CF]]),IF(Main_S[[#This Row],[Free CF]]&lt;&gt;0,Main_S[[#This Row],[Current Price]]/Main_S[[#This Row],[Free CF]],""),"")</f>
        <v>24.40625</v>
      </c>
      <c r="I181" s="1">
        <f>IF(ISNUMBER(Main_S[[#This Row],[BVPS]]),IF(Main_S[[#This Row],[BVPS]]&lt;&gt;0,Main_S[[#This Row],[Current Price]]/Main_S[[#This Row],[BVPS]],""),"")</f>
        <v>12.015384615384614</v>
      </c>
      <c r="J181">
        <v>72.69</v>
      </c>
      <c r="K181">
        <v>17.13</v>
      </c>
      <c r="L181">
        <v>4.5599999999999996</v>
      </c>
      <c r="M181" s="1">
        <f>IF(ISNUMBER(Main_S[[#This Row],[EPS]]),IF(Main_S[[#This Row],[EPS]]&lt;&gt;0,Main_S[[#This Row],[Current Price]]/Main_S[[#This Row],[EPS]],""),"")</f>
        <v>15.313725490196077</v>
      </c>
      <c r="N1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1" s="1">
        <f>(Main_S[[#This Row],[P/FCF]]-VLOOKUP(Main_S[[#This Row],[Industry]], Mean_PFCF_S, 2, FALSE))/(VLOOKUP(Main_S[[#This Row],[Industry]], Mean_PFCF_S, 3, FALSE))</f>
        <v>1.0951813339712499</v>
      </c>
      <c r="P181" s="1">
        <f>(Main_S[[#This Row],[P/B]]-VLOOKUP(Main_S[[#This Row],[Industry]], Mean_PB_S, 2, FALSE))/(VLOOKUP(Main_S[[#This Row],[Industry]], Mean_PB_S, 3, FALSE))</f>
        <v>9.1046754356581445</v>
      </c>
      <c r="Q181" s="1">
        <f>(Main_S[[#This Row],[ROE]]-VLOOKUP(Main_S[[#This Row],[Industry]], Mean_ROE_S, 2, FALSE))/(VLOOKUP(Main_S[[#This Row],[Industry]], Mean_ROE_S, 3, FALSE))</f>
        <v>4.0393121385617157</v>
      </c>
      <c r="R181" s="1">
        <f>(Main_S[[#This Row],[ROA]]-VLOOKUP(Main_S[[#This Row],[Industry]], Mean_ROA_S, 2, FALSE))/(VLOOKUP(Main_S[[#This Row],[Industry]], Mean_ROA_S, 3, FALSE))</f>
        <v>3.6031352207615472</v>
      </c>
      <c r="S181" s="1">
        <f>(Main_S[[#This Row],[A/E]]-VLOOKUP(Main_S[[#This Row],[Industry]], Mean_AE_S, 2, FALSE))/(VLOOKUP(Main_S[[#This Row],[Industry]], Mean_AE_S, 3, FALSE))</f>
        <v>1.4947873758056716</v>
      </c>
      <c r="T181" s="1">
        <f>(Main_S[[#This Row],[P/E]]-VLOOKUP(Main_S[[#This Row],[Industry]], Mean_PE_S, 2, FALSE))/(VLOOKUP(Main_S[[#This Row],[Industry]], Mean_PE_S, 3, FALSE))</f>
        <v>0.66083021814506326</v>
      </c>
      <c r="U1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2" spans="1:26" x14ac:dyDescent="0.25">
      <c r="A182" s="67" t="s">
        <v>129</v>
      </c>
      <c r="B182" s="67" t="s">
        <v>566</v>
      </c>
      <c r="C182" s="2">
        <v>881</v>
      </c>
      <c r="D182">
        <f>RTD("tos.rtd", , "LAST", Main_S[[#This Row],[Symbol]])</f>
        <v>10.427</v>
      </c>
      <c r="E182">
        <v>0.62</v>
      </c>
      <c r="F182">
        <v>1.04</v>
      </c>
      <c r="G182">
        <v>0.62</v>
      </c>
      <c r="H182" s="1">
        <f>IF(ISNUMBER(Main_S[[#This Row],[Free CF]]),IF(Main_S[[#This Row],[Free CF]]&lt;&gt;0,Main_S[[#This Row],[Current Price]]/Main_S[[#This Row],[Free CF]],""),"")</f>
        <v>16.81774193548387</v>
      </c>
      <c r="I182" s="1">
        <f>IF(ISNUMBER(Main_S[[#This Row],[BVPS]]),IF(Main_S[[#This Row],[BVPS]]&lt;&gt;0,Main_S[[#This Row],[Current Price]]/Main_S[[#This Row],[BVPS]],""),"")</f>
        <v>10.025961538461537</v>
      </c>
      <c r="J182">
        <v>71.599999999999994</v>
      </c>
      <c r="K182">
        <v>10.07</v>
      </c>
      <c r="L182">
        <v>5.7</v>
      </c>
      <c r="M182" s="1">
        <f>IF(ISNUMBER(Main_S[[#This Row],[EPS]]),IF(Main_S[[#This Row],[EPS]]&lt;&gt;0,Main_S[[#This Row],[Current Price]]/Main_S[[#This Row],[EPS]],""),"")</f>
        <v>16.81774193548387</v>
      </c>
      <c r="N1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2" s="1">
        <f>(Main_S[[#This Row],[P/FCF]]-VLOOKUP(Main_S[[#This Row],[Industry]], Mean_PFCF_S, 2, FALSE))/(VLOOKUP(Main_S[[#This Row],[Industry]], Mean_PFCF_S, 3, FALSE))</f>
        <v>0.70074176404934241</v>
      </c>
      <c r="P182" s="1">
        <f>(Main_S[[#This Row],[P/B]]-VLOOKUP(Main_S[[#This Row],[Industry]], Mean_PB_S, 2, FALSE))/(VLOOKUP(Main_S[[#This Row],[Industry]], Mean_PB_S, 3, FALSE))</f>
        <v>7.325726811886569</v>
      </c>
      <c r="Q182" s="1">
        <f>(Main_S[[#This Row],[ROE]]-VLOOKUP(Main_S[[#This Row],[Industry]], Mean_ROE_S, 2, FALSE))/(VLOOKUP(Main_S[[#This Row],[Industry]], Mean_ROE_S, 3, FALSE))</f>
        <v>3.9825802736649019</v>
      </c>
      <c r="R182" s="1">
        <f>(Main_S[[#This Row],[ROA]]-VLOOKUP(Main_S[[#This Row],[Industry]], Mean_ROA_S, 2, FALSE))/(VLOOKUP(Main_S[[#This Row],[Industry]], Mean_ROA_S, 3, FALSE))</f>
        <v>1.9811931049680336</v>
      </c>
      <c r="S182" s="1">
        <f>(Main_S[[#This Row],[A/E]]-VLOOKUP(Main_S[[#This Row],[Industry]], Mean_AE_S, 2, FALSE))/(VLOOKUP(Main_S[[#This Row],[Industry]], Mean_AE_S, 3, FALSE))</f>
        <v>2.3193729416515954</v>
      </c>
      <c r="T182" s="1">
        <f>(Main_S[[#This Row],[P/E]]-VLOOKUP(Main_S[[#This Row],[Industry]], Mean_PE_S, 2, FALSE))/(VLOOKUP(Main_S[[#This Row],[Industry]], Mean_PE_S, 3, FALSE))</f>
        <v>0.73518228110177331</v>
      </c>
      <c r="U1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3" spans="1:26" x14ac:dyDescent="0.25">
      <c r="A183" s="67" t="s">
        <v>129</v>
      </c>
      <c r="B183" s="67" t="s">
        <v>567</v>
      </c>
      <c r="C183" s="2">
        <v>1267</v>
      </c>
      <c r="D183">
        <f>RTD("tos.rtd", , "LAST", Main_S[[#This Row],[Symbol]])</f>
        <v>6.35</v>
      </c>
      <c r="E183">
        <v>0.54</v>
      </c>
      <c r="F183">
        <v>6.25</v>
      </c>
      <c r="G183">
        <v>-0.21</v>
      </c>
      <c r="H183" s="1">
        <f>IF(ISNUMBER(Main_S[[#This Row],[Free CF]]),IF(Main_S[[#This Row],[Free CF]]&lt;&gt;0,Main_S[[#This Row],[Current Price]]/Main_S[[#This Row],[Free CF]],""),"")</f>
        <v>11.759259259259258</v>
      </c>
      <c r="I183" s="1">
        <f>IF(ISNUMBER(Main_S[[#This Row],[BVPS]]),IF(Main_S[[#This Row],[BVPS]]&lt;&gt;0,Main_S[[#This Row],[Current Price]]/Main_S[[#This Row],[BVPS]],""),"")</f>
        <v>1.016</v>
      </c>
      <c r="J183">
        <v>-3.31</v>
      </c>
      <c r="K183">
        <v>1.28</v>
      </c>
      <c r="L183">
        <v>1.93</v>
      </c>
      <c r="M183" s="1">
        <f>IF(ISNUMBER(Main_S[[#This Row],[EPS]]),IF(Main_S[[#This Row],[EPS]]&lt;&gt;0,Main_S[[#This Row],[Current Price]]/Main_S[[#This Row],[EPS]],""),"")</f>
        <v>-30.238095238095237</v>
      </c>
      <c r="N1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3" s="1">
        <f>(Main_S[[#This Row],[P/FCF]]-VLOOKUP(Main_S[[#This Row],[Industry]], Mean_PFCF_S, 2, FALSE))/(VLOOKUP(Main_S[[#This Row],[Industry]], Mean_PFCF_S, 3, FALSE))</f>
        <v>0.43780921995713529</v>
      </c>
      <c r="P183" s="1">
        <f>(Main_S[[#This Row],[P/B]]-VLOOKUP(Main_S[[#This Row],[Industry]], Mean_PB_S, 2, FALSE))/(VLOOKUP(Main_S[[#This Row],[Industry]], Mean_PB_S, 3, FALSE))</f>
        <v>-0.73101027184674439</v>
      </c>
      <c r="Q183" s="1">
        <f>(Main_S[[#This Row],[ROE]]-VLOOKUP(Main_S[[#This Row],[Industry]], Mean_ROE_S, 2, FALSE))/(VLOOKUP(Main_S[[#This Row],[Industry]], Mean_ROE_S, 3, FALSE))</f>
        <v>8.3695870526966157E-2</v>
      </c>
      <c r="R183" s="1">
        <f>(Main_S[[#This Row],[ROA]]-VLOOKUP(Main_S[[#This Row],[Industry]], Mean_ROA_S, 2, FALSE))/(VLOOKUP(Main_S[[#This Row],[Industry]], Mean_ROA_S, 3, FALSE))</f>
        <v>-3.8193750247970497E-2</v>
      </c>
      <c r="S183" s="1">
        <f>(Main_S[[#This Row],[A/E]]-VLOOKUP(Main_S[[#This Row],[Industry]], Mean_AE_S, 2, FALSE))/(VLOOKUP(Main_S[[#This Row],[Industry]], Mean_AE_S, 3, FALSE))</f>
        <v>-0.40754599101430894</v>
      </c>
      <c r="T183" s="1">
        <f>(Main_S[[#This Row],[P/E]]-VLOOKUP(Main_S[[#This Row],[Industry]], Mean_PE_S, 2, FALSE))/(VLOOKUP(Main_S[[#This Row],[Industry]], Mean_PE_S, 3, FALSE))</f>
        <v>-1.5910546287221594</v>
      </c>
      <c r="U1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4" spans="1:26" x14ac:dyDescent="0.25">
      <c r="A184" s="67" t="s">
        <v>129</v>
      </c>
      <c r="B184" s="67" t="s">
        <v>373</v>
      </c>
      <c r="C184" s="2">
        <v>1539</v>
      </c>
      <c r="D184">
        <f>RTD("tos.rtd", , "LAST", Main_S[[#This Row],[Symbol]])</f>
        <v>10.41</v>
      </c>
      <c r="E184">
        <v>0.33</v>
      </c>
      <c r="F184">
        <v>3.75</v>
      </c>
      <c r="G184">
        <v>0.68</v>
      </c>
      <c r="H184" s="1">
        <f>IF(ISNUMBER(Main_S[[#This Row],[Free CF]]),IF(Main_S[[#This Row],[Free CF]]&lt;&gt;0,Main_S[[#This Row],[Current Price]]/Main_S[[#This Row],[Free CF]],""),"")</f>
        <v>31.545454545454543</v>
      </c>
      <c r="I184" s="1">
        <f>IF(ISNUMBER(Main_S[[#This Row],[BVPS]]),IF(Main_S[[#This Row],[BVPS]]&lt;&gt;0,Main_S[[#This Row],[Current Price]]/Main_S[[#This Row],[BVPS]],""),"")</f>
        <v>2.7760000000000002</v>
      </c>
      <c r="J184">
        <v>132.51</v>
      </c>
      <c r="K184">
        <v>5.16</v>
      </c>
      <c r="L184">
        <v>6.81</v>
      </c>
      <c r="M184" s="1">
        <f>IF(ISNUMBER(Main_S[[#This Row],[EPS]]),IF(Main_S[[#This Row],[EPS]]&lt;&gt;0,Main_S[[#This Row],[Current Price]]/Main_S[[#This Row],[EPS]],""),"")</f>
        <v>15.308823529411764</v>
      </c>
      <c r="N1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4" s="1">
        <f>(Main_S[[#This Row],[P/FCF]]-VLOOKUP(Main_S[[#This Row],[Industry]], Mean_PFCF_S, 2, FALSE))/(VLOOKUP(Main_S[[#This Row],[Industry]], Mean_PFCF_S, 3, FALSE))</f>
        <v>1.4662667629584267</v>
      </c>
      <c r="P184" s="1">
        <f>(Main_S[[#This Row],[P/B]]-VLOOKUP(Main_S[[#This Row],[Industry]], Mean_PB_S, 2, FALSE))/(VLOOKUP(Main_S[[#This Row],[Industry]], Mean_PB_S, 3, FALSE))</f>
        <v>0.84278748598384712</v>
      </c>
      <c r="Q184" s="1">
        <f>(Main_S[[#This Row],[ROE]]-VLOOKUP(Main_S[[#This Row],[Industry]], Mean_ROE_S, 2, FALSE))/(VLOOKUP(Main_S[[#This Row],[Industry]], Mean_ROE_S, 3, FALSE))</f>
        <v>7.152798522164856</v>
      </c>
      <c r="R184" s="1">
        <f>(Main_S[[#This Row],[ROA]]-VLOOKUP(Main_S[[#This Row],[Industry]], Mean_ROA_S, 2, FALSE))/(VLOOKUP(Main_S[[#This Row],[Industry]], Mean_ROA_S, 3, FALSE))</f>
        <v>0.85318520290767175</v>
      </c>
      <c r="S184" s="1">
        <f>(Main_S[[#This Row],[A/E]]-VLOOKUP(Main_S[[#This Row],[Industry]], Mean_AE_S, 2, FALSE))/(VLOOKUP(Main_S[[#This Row],[Industry]], Mean_AE_S, 3, FALSE))</f>
        <v>3.1222588873436781</v>
      </c>
      <c r="T184" s="1">
        <f>(Main_S[[#This Row],[P/E]]-VLOOKUP(Main_S[[#This Row],[Industry]], Mean_PE_S, 2, FALSE))/(VLOOKUP(Main_S[[#This Row],[Industry]], Mean_PE_S, 3, FALSE))</f>
        <v>0.66058788642190391</v>
      </c>
      <c r="U1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5" spans="1:26" x14ac:dyDescent="0.25">
      <c r="A185" s="67" t="s">
        <v>129</v>
      </c>
      <c r="B185" s="67" t="s">
        <v>364</v>
      </c>
      <c r="C185" s="2">
        <v>990</v>
      </c>
      <c r="D185">
        <f>RTD("tos.rtd", , "LAST", Main_S[[#This Row],[Symbol]])</f>
        <v>28.83</v>
      </c>
      <c r="E185">
        <v>0.27</v>
      </c>
      <c r="F185">
        <v>8.81</v>
      </c>
      <c r="G185">
        <v>0.76</v>
      </c>
      <c r="H185" s="1">
        <f>IF(ISNUMBER(Main_S[[#This Row],[Free CF]]),IF(Main_S[[#This Row],[Free CF]]&lt;&gt;0,Main_S[[#This Row],[Current Price]]/Main_S[[#This Row],[Free CF]],""),"")</f>
        <v>106.77777777777777</v>
      </c>
      <c r="I185" s="1">
        <f>IF(ISNUMBER(Main_S[[#This Row],[BVPS]]),IF(Main_S[[#This Row],[BVPS]]&lt;&gt;0,Main_S[[#This Row],[Current Price]]/Main_S[[#This Row],[BVPS]],""),"")</f>
        <v>3.2724177071509644</v>
      </c>
      <c r="J185">
        <v>11.41</v>
      </c>
      <c r="K185">
        <v>4</v>
      </c>
      <c r="L185">
        <v>2.4500000000000002</v>
      </c>
      <c r="M185" s="1">
        <f>IF(ISNUMBER(Main_S[[#This Row],[EPS]]),IF(Main_S[[#This Row],[EPS]]&lt;&gt;0,Main_S[[#This Row],[Current Price]]/Main_S[[#This Row],[EPS]],""),"")</f>
        <v>37.934210526315788</v>
      </c>
      <c r="N1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5" s="1">
        <f>(Main_S[[#This Row],[P/FCF]]-VLOOKUP(Main_S[[#This Row],[Industry]], Mean_PFCF_S, 2, FALSE))/(VLOOKUP(Main_S[[#This Row],[Industry]], Mean_PFCF_S, 3, FALSE))</f>
        <v>5.3767330848882926</v>
      </c>
      <c r="P185" s="1">
        <f>(Main_S[[#This Row],[P/B]]-VLOOKUP(Main_S[[#This Row],[Industry]], Mean_PB_S, 2, FALSE))/(VLOOKUP(Main_S[[#This Row],[Industry]], Mean_PB_S, 3, FALSE))</f>
        <v>1.2866858237461143</v>
      </c>
      <c r="Q185" s="1">
        <f>(Main_S[[#This Row],[ROE]]-VLOOKUP(Main_S[[#This Row],[Industry]], Mean_ROE_S, 2, FALSE))/(VLOOKUP(Main_S[[#This Row],[Industry]], Mean_ROE_S, 3, FALSE))</f>
        <v>0.8498362845463282</v>
      </c>
      <c r="R185" s="1">
        <f>(Main_S[[#This Row],[ROA]]-VLOOKUP(Main_S[[#This Row],[Industry]], Mean_ROA_S, 2, FALSE))/(VLOOKUP(Main_S[[#This Row],[Industry]], Mean_ROA_S, 3, FALSE))</f>
        <v>0.58669046433536631</v>
      </c>
      <c r="S185" s="1">
        <f>(Main_S[[#This Row],[A/E]]-VLOOKUP(Main_S[[#This Row],[Industry]], Mean_AE_S, 2, FALSE))/(VLOOKUP(Main_S[[#This Row],[Industry]], Mean_AE_S, 3, FALSE))</f>
        <v>-3.1419241681080644E-2</v>
      </c>
      <c r="T185" s="1">
        <f>(Main_S[[#This Row],[P/E]]-VLOOKUP(Main_S[[#This Row],[Industry]], Mean_PE_S, 2, FALSE))/(VLOOKUP(Main_S[[#This Row],[Industry]], Mean_PE_S, 3, FALSE))</f>
        <v>1.7790890861157944</v>
      </c>
      <c r="U1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6" spans="1:26" x14ac:dyDescent="0.25">
      <c r="A186" s="67" t="s">
        <v>129</v>
      </c>
      <c r="B186" s="67" t="s">
        <v>365</v>
      </c>
      <c r="C186" s="2">
        <v>532</v>
      </c>
      <c r="D186">
        <f>RTD("tos.rtd", , "LAST", Main_S[[#This Row],[Symbol]])</f>
        <v>4.8899999999999997</v>
      </c>
      <c r="E186">
        <v>0.16</v>
      </c>
      <c r="F186">
        <v>2.19</v>
      </c>
      <c r="G186">
        <v>0.5</v>
      </c>
      <c r="H186" s="1">
        <f>IF(ISNUMBER(Main_S[[#This Row],[Free CF]]),IF(Main_S[[#This Row],[Free CF]]&lt;&gt;0,Main_S[[#This Row],[Current Price]]/Main_S[[#This Row],[Free CF]],""),"")</f>
        <v>30.562499999999996</v>
      </c>
      <c r="I186" s="1">
        <f>IF(ISNUMBER(Main_S[[#This Row],[BVPS]]),IF(Main_S[[#This Row],[BVPS]]&lt;&gt;0,Main_S[[#This Row],[Current Price]]/Main_S[[#This Row],[BVPS]],""),"")</f>
        <v>2.2328767123287672</v>
      </c>
      <c r="J186">
        <v>26.19</v>
      </c>
      <c r="K186">
        <v>19.98</v>
      </c>
      <c r="L186">
        <v>1.26</v>
      </c>
      <c r="M186" s="1">
        <f>IF(ISNUMBER(Main_S[[#This Row],[EPS]]),IF(Main_S[[#This Row],[EPS]]&lt;&gt;0,Main_S[[#This Row],[Current Price]]/Main_S[[#This Row],[EPS]],""),"")</f>
        <v>9.7799999999999994</v>
      </c>
      <c r="N1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6" s="1">
        <f>(Main_S[[#This Row],[P/FCF]]-VLOOKUP(Main_S[[#This Row],[Industry]], Mean_PFCF_S, 2, FALSE))/(VLOOKUP(Main_S[[#This Row],[Industry]], Mean_PFCF_S, 3, FALSE))</f>
        <v>1.4151742208057951</v>
      </c>
      <c r="P186" s="1">
        <f>(Main_S[[#This Row],[P/B]]-VLOOKUP(Main_S[[#This Row],[Industry]], Mean_PB_S, 2, FALSE))/(VLOOKUP(Main_S[[#This Row],[Industry]], Mean_PB_S, 3, FALSE))</f>
        <v>0.35712486532329835</v>
      </c>
      <c r="Q186" s="1">
        <f>(Main_S[[#This Row],[ROE]]-VLOOKUP(Main_S[[#This Row],[Industry]], Mean_ROE_S, 2, FALSE))/(VLOOKUP(Main_S[[#This Row],[Industry]], Mean_ROE_S, 3, FALSE))</f>
        <v>1.6190995535141388</v>
      </c>
      <c r="R186" s="1">
        <f>(Main_S[[#This Row],[ROA]]-VLOOKUP(Main_S[[#This Row],[Industry]], Mean_ROA_S, 2, FALSE))/(VLOOKUP(Main_S[[#This Row],[Industry]], Mean_ROA_S, 3, FALSE))</f>
        <v>4.2578852250124708</v>
      </c>
      <c r="S186" s="1">
        <f>(Main_S[[#This Row],[A/E]]-VLOOKUP(Main_S[[#This Row],[Industry]], Mean_AE_S, 2, FALSE))/(VLOOKUP(Main_S[[#This Row],[Industry]], Mean_AE_S, 3, FALSE))</f>
        <v>-0.89217084111673739</v>
      </c>
      <c r="T186" s="1">
        <f>(Main_S[[#This Row],[P/E]]-VLOOKUP(Main_S[[#This Row],[Industry]], Mean_PE_S, 2, FALSE))/(VLOOKUP(Main_S[[#This Row],[Industry]], Mean_PE_S, 3, FALSE))</f>
        <v>0.38726678250491614</v>
      </c>
      <c r="U1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7" spans="1:26" x14ac:dyDescent="0.25">
      <c r="A187" s="67" t="s">
        <v>129</v>
      </c>
      <c r="B187" s="67" t="s">
        <v>351</v>
      </c>
      <c r="C187" s="2">
        <v>1040</v>
      </c>
      <c r="D187">
        <f>RTD("tos.rtd", , "LAST", Main_S[[#This Row],[Symbol]])</f>
        <v>5.47</v>
      </c>
      <c r="E187">
        <v>0.15</v>
      </c>
      <c r="F187">
        <v>-0.51</v>
      </c>
      <c r="G187">
        <v>0.03</v>
      </c>
      <c r="H187" s="1">
        <f>IF(ISNUMBER(Main_S[[#This Row],[Free CF]]),IF(Main_S[[#This Row],[Free CF]]&lt;&gt;0,Main_S[[#This Row],[Current Price]]/Main_S[[#This Row],[Free CF]],""),"")</f>
        <v>36.466666666666669</v>
      </c>
      <c r="I187" s="1">
        <f>IF(ISNUMBER(Main_S[[#This Row],[BVPS]]),IF(Main_S[[#This Row],[BVPS]]&lt;&gt;0,Main_S[[#This Row],[Current Price]]/Main_S[[#This Row],[BVPS]],""),"")</f>
        <v>-10.725490196078431</v>
      </c>
      <c r="J187">
        <v>-4.67</v>
      </c>
      <c r="K187">
        <v>6.69</v>
      </c>
      <c r="L187">
        <v>-16.829999999999998</v>
      </c>
      <c r="M187" s="1">
        <f>IF(ISNUMBER(Main_S[[#This Row],[EPS]]),IF(Main_S[[#This Row],[EPS]]&lt;&gt;0,Main_S[[#This Row],[Current Price]]/Main_S[[#This Row],[EPS]],""),"")</f>
        <v>182.33333333333334</v>
      </c>
      <c r="N1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7" s="1">
        <f>(Main_S[[#This Row],[P/FCF]]-VLOOKUP(Main_S[[#This Row],[Industry]], Mean_PFCF_S, 2, FALSE))/(VLOOKUP(Main_S[[#This Row],[Industry]], Mean_PFCF_S, 3, FALSE))</f>
        <v>1.7220641840169972</v>
      </c>
      <c r="P187" s="1">
        <f>(Main_S[[#This Row],[P/B]]-VLOOKUP(Main_S[[#This Row],[Industry]], Mean_PB_S, 2, FALSE))/(VLOOKUP(Main_S[[#This Row],[Industry]], Mean_PB_S, 3, FALSE))</f>
        <v>-11.230289217402484</v>
      </c>
      <c r="Q187" s="1">
        <f>(Main_S[[#This Row],[ROE]]-VLOOKUP(Main_S[[#This Row],[Industry]], Mean_ROE_S, 2, FALSE))/(VLOOKUP(Main_S[[#This Row],[Industry]], Mean_ROE_S, 3, FALSE))</f>
        <v>1.2911158362133796E-2</v>
      </c>
      <c r="R187" s="1">
        <f>(Main_S[[#This Row],[ROA]]-VLOOKUP(Main_S[[#This Row],[Industry]], Mean_ROA_S, 2, FALSE))/(VLOOKUP(Main_S[[#This Row],[Industry]], Mean_ROA_S, 3, FALSE))</f>
        <v>1.2046825736107989</v>
      </c>
      <c r="S187" s="1">
        <f>(Main_S[[#This Row],[A/E]]-VLOOKUP(Main_S[[#This Row],[Industry]], Mean_AE_S, 2, FALSE))/(VLOOKUP(Main_S[[#This Row],[Industry]], Mean_AE_S, 3, FALSE))</f>
        <v>-13.977041793882305</v>
      </c>
      <c r="T187" s="1">
        <f>(Main_S[[#This Row],[P/E]]-VLOOKUP(Main_S[[#This Row],[Industry]], Mean_PE_S, 2, FALSE))/(VLOOKUP(Main_S[[#This Row],[Industry]], Mean_PE_S, 3, FALSE))</f>
        <v>8.917556689631045</v>
      </c>
      <c r="U1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8" spans="1:26" x14ac:dyDescent="0.25">
      <c r="A188" s="67" t="s">
        <v>129</v>
      </c>
      <c r="B188" s="67" t="s">
        <v>357</v>
      </c>
      <c r="C188" s="2">
        <v>552</v>
      </c>
      <c r="D188">
        <f>RTD("tos.rtd", , "LAST", Main_S[[#This Row],[Symbol]])</f>
        <v>3.85</v>
      </c>
      <c r="E188">
        <v>0.12</v>
      </c>
      <c r="F188">
        <v>1.76</v>
      </c>
      <c r="G188">
        <v>-0.24</v>
      </c>
      <c r="H188" s="1">
        <f>IF(ISNUMBER(Main_S[[#This Row],[Free CF]]),IF(Main_S[[#This Row],[Free CF]]&lt;&gt;0,Main_S[[#This Row],[Current Price]]/Main_S[[#This Row],[Free CF]],""),"")</f>
        <v>32.083333333333336</v>
      </c>
      <c r="I188" s="1">
        <f>IF(ISNUMBER(Main_S[[#This Row],[BVPS]]),IF(Main_S[[#This Row],[BVPS]]&lt;&gt;0,Main_S[[#This Row],[Current Price]]/Main_S[[#This Row],[BVPS]],""),"")</f>
        <v>2.1875</v>
      </c>
      <c r="J188">
        <v>-11.52</v>
      </c>
      <c r="K188">
        <v>-2.82</v>
      </c>
      <c r="L188">
        <v>2.2599999999999998</v>
      </c>
      <c r="M188" s="1">
        <f>IF(ISNUMBER(Main_S[[#This Row],[EPS]]),IF(Main_S[[#This Row],[EPS]]&lt;&gt;0,Main_S[[#This Row],[Current Price]]/Main_S[[#This Row],[EPS]],""),"")</f>
        <v>-16.041666666666668</v>
      </c>
      <c r="N1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8" s="1">
        <f>(Main_S[[#This Row],[P/FCF]]-VLOOKUP(Main_S[[#This Row],[Industry]], Mean_PFCF_S, 2, FALSE))/(VLOOKUP(Main_S[[#This Row],[Industry]], Mean_PFCF_S, 3, FALSE))</f>
        <v>1.4942249170458015</v>
      </c>
      <c r="P188" s="1">
        <f>(Main_S[[#This Row],[P/B]]-VLOOKUP(Main_S[[#This Row],[Industry]], Mean_PB_S, 2, FALSE))/(VLOOKUP(Main_S[[#This Row],[Industry]], Mean_PB_S, 3, FALSE))</f>
        <v>0.31654886070924293</v>
      </c>
      <c r="Q188" s="1">
        <f>(Main_S[[#This Row],[ROE]]-VLOOKUP(Main_S[[#This Row],[Industry]], Mean_ROE_S, 2, FALSE))/(VLOOKUP(Main_S[[#This Row],[Industry]], Mean_ROE_S, 3, FALSE))</f>
        <v>-0.34361478158573511</v>
      </c>
      <c r="R188" s="1">
        <f>(Main_S[[#This Row],[ROA]]-VLOOKUP(Main_S[[#This Row],[Industry]], Mean_ROA_S, 2, FALSE))/(VLOOKUP(Main_S[[#This Row],[Industry]], Mean_ROA_S, 3, FALSE))</f>
        <v>-0.98011480899491188</v>
      </c>
      <c r="S188" s="1">
        <f>(Main_S[[#This Row],[A/E]]-VLOOKUP(Main_S[[#This Row],[Industry]], Mean_AE_S, 2, FALSE))/(VLOOKUP(Main_S[[#This Row],[Industry]], Mean_AE_S, 3, FALSE))</f>
        <v>-0.16885016932206812</v>
      </c>
      <c r="T188" s="1">
        <f>(Main_S[[#This Row],[P/E]]-VLOOKUP(Main_S[[#This Row],[Industry]], Mean_PE_S, 2, FALSE))/(VLOOKUP(Main_S[[#This Row],[Industry]], Mean_PE_S, 3, FALSE))</f>
        <v>-0.88924464904383338</v>
      </c>
      <c r="U1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9" spans="1:26" x14ac:dyDescent="0.25">
      <c r="A189" s="67" t="s">
        <v>129</v>
      </c>
      <c r="B189" s="67" t="s">
        <v>366</v>
      </c>
      <c r="C189" s="2">
        <v>534</v>
      </c>
      <c r="D189">
        <f>RTD("tos.rtd", , "LAST", Main_S[[#This Row],[Symbol]])</f>
        <v>3.28</v>
      </c>
      <c r="E189">
        <v>0.04</v>
      </c>
      <c r="F189">
        <v>0.68</v>
      </c>
      <c r="G189">
        <v>0.02</v>
      </c>
      <c r="H189" s="1">
        <f>IF(ISNUMBER(Main_S[[#This Row],[Free CF]]),IF(Main_S[[#This Row],[Free CF]]&lt;&gt;0,Main_S[[#This Row],[Current Price]]/Main_S[[#This Row],[Free CF]],""),"")</f>
        <v>82</v>
      </c>
      <c r="I189" s="1">
        <f>IF(ISNUMBER(Main_S[[#This Row],[BVPS]]),IF(Main_S[[#This Row],[BVPS]]&lt;&gt;0,Main_S[[#This Row],[Current Price]]/Main_S[[#This Row],[BVPS]],""),"")</f>
        <v>4.8235294117647056</v>
      </c>
      <c r="J189">
        <v>2.52</v>
      </c>
      <c r="K189">
        <v>-1.24</v>
      </c>
      <c r="L189">
        <v>1.18</v>
      </c>
      <c r="M189" s="1">
        <f>IF(ISNUMBER(Main_S[[#This Row],[EPS]]),IF(Main_S[[#This Row],[EPS]]&lt;&gt;0,Main_S[[#This Row],[Current Price]]/Main_S[[#This Row],[EPS]],""),"")</f>
        <v>164</v>
      </c>
      <c r="N1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9" s="1">
        <f>(Main_S[[#This Row],[P/FCF]]-VLOOKUP(Main_S[[#This Row],[Industry]], Mean_PFCF_S, 2, FALSE))/(VLOOKUP(Main_S[[#This Row],[Industry]], Mean_PFCF_S, 3, FALSE))</f>
        <v>4.0888203717177829</v>
      </c>
      <c r="P189" s="1">
        <f>(Main_S[[#This Row],[P/B]]-VLOOKUP(Main_S[[#This Row],[Industry]], Mean_PB_S, 2, FALSE))/(VLOOKUP(Main_S[[#This Row],[Industry]], Mean_PB_S, 3, FALSE))</f>
        <v>2.6736949844653712</v>
      </c>
      <c r="Q189" s="1">
        <f>(Main_S[[#This Row],[ROE]]-VLOOKUP(Main_S[[#This Row],[Industry]], Mean_ROE_S, 2, FALSE))/(VLOOKUP(Main_S[[#This Row],[Industry]], Mean_ROE_S, 3, FALSE))</f>
        <v>0.38713327635121075</v>
      </c>
      <c r="R189" s="1">
        <f>(Main_S[[#This Row],[ROA]]-VLOOKUP(Main_S[[#This Row],[Industry]], Mean_ROA_S, 2, FALSE))/(VLOOKUP(Main_S[[#This Row],[Industry]], Mean_ROA_S, 3, FALSE))</f>
        <v>-0.61713059611194432</v>
      </c>
      <c r="S189" s="1">
        <f>(Main_S[[#This Row],[A/E]]-VLOOKUP(Main_S[[#This Row],[Industry]], Mean_AE_S, 2, FALSE))/(VLOOKUP(Main_S[[#This Row],[Industry]], Mean_AE_S, 3, FALSE))</f>
        <v>-0.95003649486031105</v>
      </c>
      <c r="T189" s="1">
        <f>(Main_S[[#This Row],[P/E]]-VLOOKUP(Main_S[[#This Row],[Industry]], Mean_PE_S, 2, FALSE))/(VLOOKUP(Main_S[[#This Row],[Industry]], Mean_PE_S, 3, FALSE))</f>
        <v>8.0112360450150089</v>
      </c>
      <c r="U1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0" spans="1:26" x14ac:dyDescent="0.25">
      <c r="A190" s="67" t="s">
        <v>129</v>
      </c>
      <c r="B190" s="67" t="s">
        <v>576</v>
      </c>
      <c r="C190" s="2">
        <v>739</v>
      </c>
      <c r="D190">
        <f>RTD("tos.rtd", , "LAST", Main_S[[#This Row],[Symbol]])</f>
        <v>2.9304999999999999</v>
      </c>
      <c r="E190">
        <v>0</v>
      </c>
      <c r="F190">
        <v>2.29</v>
      </c>
      <c r="G190">
        <v>-0.08</v>
      </c>
      <c r="H190" s="1" t="str">
        <f>IF(ISNUMBER(Main_S[[#This Row],[Free CF]]),IF(Main_S[[#This Row],[Free CF]]&lt;&gt;0,Main_S[[#This Row],[Current Price]]/Main_S[[#This Row],[Free CF]],""),"")</f>
        <v/>
      </c>
      <c r="I190" s="1">
        <f>IF(ISNUMBER(Main_S[[#This Row],[BVPS]]),IF(Main_S[[#This Row],[BVPS]]&lt;&gt;0,Main_S[[#This Row],[Current Price]]/Main_S[[#This Row],[BVPS]],""),"")</f>
        <v>1.2796943231441047</v>
      </c>
      <c r="J190">
        <v>-2.95</v>
      </c>
      <c r="K190">
        <v>-0.15</v>
      </c>
      <c r="L190">
        <v>2.17</v>
      </c>
      <c r="M190" s="1">
        <f>IF(ISNUMBER(Main_S[[#This Row],[EPS]]),IF(Main_S[[#This Row],[EPS]]&lt;&gt;0,Main_S[[#This Row],[Current Price]]/Main_S[[#This Row],[EPS]],""),"")</f>
        <v>-36.631249999999994</v>
      </c>
      <c r="N1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0" s="1" t="e">
        <f>(Main_S[[#This Row],[P/FCF]]-VLOOKUP(Main_S[[#This Row],[Industry]], Mean_PFCF_S, 2, FALSE))/(VLOOKUP(Main_S[[#This Row],[Industry]], Mean_PFCF_S, 3, FALSE))</f>
        <v>#VALUE!</v>
      </c>
      <c r="P190" s="1">
        <f>(Main_S[[#This Row],[P/B]]-VLOOKUP(Main_S[[#This Row],[Industry]], Mean_PB_S, 2, FALSE))/(VLOOKUP(Main_S[[#This Row],[Industry]], Mean_PB_S, 3, FALSE))</f>
        <v>-0.49521394541671743</v>
      </c>
      <c r="Q190" s="1">
        <f>(Main_S[[#This Row],[ROE]]-VLOOKUP(Main_S[[#This Row],[Industry]], Mean_ROE_S, 2, FALSE))/(VLOOKUP(Main_S[[#This Row],[Industry]], Mean_ROE_S, 3, FALSE))</f>
        <v>0.10243300021765707</v>
      </c>
      <c r="R190" s="1">
        <f>(Main_S[[#This Row],[ROA]]-VLOOKUP(Main_S[[#This Row],[Industry]], Mean_ROA_S, 2, FALSE))/(VLOOKUP(Main_S[[#This Row],[Industry]], Mean_ROA_S, 3, FALSE))</f>
        <v>-0.36671743659141592</v>
      </c>
      <c r="S190" s="1">
        <f>(Main_S[[#This Row],[A/E]]-VLOOKUP(Main_S[[#This Row],[Industry]], Mean_AE_S, 2, FALSE))/(VLOOKUP(Main_S[[#This Row],[Industry]], Mean_AE_S, 3, FALSE))</f>
        <v>-0.23394902978358828</v>
      </c>
      <c r="T190" s="1">
        <f>(Main_S[[#This Row],[P/E]]-VLOOKUP(Main_S[[#This Row],[Industry]], Mean_PE_S, 2, FALSE))/(VLOOKUP(Main_S[[#This Row],[Industry]], Mean_PE_S, 3, FALSE))</f>
        <v>-1.9071045275370468</v>
      </c>
      <c r="U1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1" spans="1:26" x14ac:dyDescent="0.25">
      <c r="A191" s="67" t="s">
        <v>129</v>
      </c>
      <c r="B191" s="67" t="s">
        <v>346</v>
      </c>
      <c r="C191" s="2">
        <v>578</v>
      </c>
      <c r="D191">
        <f>RTD("tos.rtd", , "LAST", Main_S[[#This Row],[Symbol]])</f>
        <v>1.36</v>
      </c>
      <c r="E191">
        <v>-0.03</v>
      </c>
      <c r="F191">
        <v>0.84</v>
      </c>
      <c r="G191">
        <v>-0.05</v>
      </c>
      <c r="H191" s="1">
        <f>IF(ISNUMBER(Main_S[[#This Row],[Free CF]]),IF(Main_S[[#This Row],[Free CF]]&lt;&gt;0,Main_S[[#This Row],[Current Price]]/Main_S[[#This Row],[Free CF]],""),"")</f>
        <v>-45.333333333333336</v>
      </c>
      <c r="I191" s="1">
        <f>IF(ISNUMBER(Main_S[[#This Row],[BVPS]]),IF(Main_S[[#This Row],[BVPS]]&lt;&gt;0,Main_S[[#This Row],[Current Price]]/Main_S[[#This Row],[BVPS]],""),"")</f>
        <v>1.6190476190476193</v>
      </c>
      <c r="J191">
        <v>-6.41</v>
      </c>
      <c r="K191">
        <v>-3.73</v>
      </c>
      <c r="L191">
        <v>1.06</v>
      </c>
      <c r="M191" s="1">
        <f>IF(ISNUMBER(Main_S[[#This Row],[EPS]]),IF(Main_S[[#This Row],[EPS]]&lt;&gt;0,Main_S[[#This Row],[Current Price]]/Main_S[[#This Row],[EPS]],""),"")</f>
        <v>-27.2</v>
      </c>
      <c r="N1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1" s="1">
        <f>(Main_S[[#This Row],[P/FCF]]-VLOOKUP(Main_S[[#This Row],[Industry]], Mean_PFCF_S, 2, FALSE))/(VLOOKUP(Main_S[[#This Row],[Industry]], Mean_PFCF_S, 3, FALSE))</f>
        <v>-2.5297803874454687</v>
      </c>
      <c r="P191" s="1">
        <f>(Main_S[[#This Row],[P/B]]-VLOOKUP(Main_S[[#This Row],[Industry]], Mean_PB_S, 2, FALSE))/(VLOOKUP(Main_S[[#This Row],[Industry]], Mean_PB_S, 3, FALSE))</f>
        <v>-0.19176311802730131</v>
      </c>
      <c r="Q191" s="1">
        <f>(Main_S[[#This Row],[ROE]]-VLOOKUP(Main_S[[#This Row],[Industry]], Mean_ROE_S, 2, FALSE))/(VLOOKUP(Main_S[[#This Row],[Industry]], Mean_ROE_S, 3, FALSE))</f>
        <v>-7.7651635142872336E-2</v>
      </c>
      <c r="R191" s="1">
        <f>(Main_S[[#This Row],[ROA]]-VLOOKUP(Main_S[[#This Row],[Industry]], Mean_ROA_S, 2, FALSE))/(VLOOKUP(Main_S[[#This Row],[Industry]], Mean_ROA_S, 3, FALSE))</f>
        <v>-1.1891753366680136</v>
      </c>
      <c r="S191" s="1">
        <f>(Main_S[[#This Row],[A/E]]-VLOOKUP(Main_S[[#This Row],[Industry]], Mean_AE_S, 2, FALSE))/(VLOOKUP(Main_S[[#This Row],[Industry]], Mean_AE_S, 3, FALSE))</f>
        <v>-1.0368349754756714</v>
      </c>
      <c r="T191" s="1">
        <f>(Main_S[[#This Row],[P/E]]-VLOOKUP(Main_S[[#This Row],[Industry]], Mean_PE_S, 2, FALSE))/(VLOOKUP(Main_S[[#This Row],[Industry]], Mean_PE_S, 3, FALSE))</f>
        <v>-1.4408643504715024</v>
      </c>
      <c r="U1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2" spans="1:26" x14ac:dyDescent="0.25">
      <c r="A192" s="67" t="s">
        <v>129</v>
      </c>
      <c r="B192" s="67" t="s">
        <v>578</v>
      </c>
      <c r="C192" s="2">
        <v>259</v>
      </c>
      <c r="D192">
        <f>RTD("tos.rtd", , "LAST", Main_S[[#This Row],[Symbol]])</f>
        <v>5.05</v>
      </c>
      <c r="E192">
        <v>-0.09</v>
      </c>
      <c r="F192">
        <v>1.32</v>
      </c>
      <c r="G192">
        <v>-0.3</v>
      </c>
      <c r="H192" s="1">
        <f>IF(ISNUMBER(Main_S[[#This Row],[Free CF]]),IF(Main_S[[#This Row],[Free CF]]&lt;&gt;0,Main_S[[#This Row],[Current Price]]/Main_S[[#This Row],[Free CF]],""),"")</f>
        <v>-56.111111111111114</v>
      </c>
      <c r="I192" s="1">
        <f>IF(ISNUMBER(Main_S[[#This Row],[BVPS]]),IF(Main_S[[#This Row],[BVPS]]&lt;&gt;0,Main_S[[#This Row],[Current Price]]/Main_S[[#This Row],[BVPS]],""),"")</f>
        <v>3.8257575757575752</v>
      </c>
      <c r="J192">
        <v>-21.3</v>
      </c>
      <c r="K192">
        <v>-4.4400000000000004</v>
      </c>
      <c r="L192">
        <v>2.63</v>
      </c>
      <c r="M192" s="1">
        <f>IF(ISNUMBER(Main_S[[#This Row],[EPS]]),IF(Main_S[[#This Row],[EPS]]&lt;&gt;0,Main_S[[#This Row],[Current Price]]/Main_S[[#This Row],[EPS]],""),"")</f>
        <v>-16.833333333333332</v>
      </c>
      <c r="N1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2" s="1">
        <f>(Main_S[[#This Row],[P/FCF]]-VLOOKUP(Main_S[[#This Row],[Industry]], Mean_PFCF_S, 2, FALSE))/(VLOOKUP(Main_S[[#This Row],[Industry]], Mean_PFCF_S, 3, FALSE))</f>
        <v>-3.0899935407079777</v>
      </c>
      <c r="P192" s="1">
        <f>(Main_S[[#This Row],[P/B]]-VLOOKUP(Main_S[[#This Row],[Industry]], Mean_PB_S, 2, FALSE))/(VLOOKUP(Main_S[[#This Row],[Industry]], Mean_PB_S, 3, FALSE))</f>
        <v>1.7814841445025678</v>
      </c>
      <c r="Q192" s="1">
        <f>(Main_S[[#This Row],[ROE]]-VLOOKUP(Main_S[[#This Row],[Industry]], Mean_ROE_S, 2, FALSE))/(VLOOKUP(Main_S[[#This Row],[Industry]], Mean_ROE_S, 3, FALSE))</f>
        <v>-0.85264013818283846</v>
      </c>
      <c r="R192" s="1">
        <f>(Main_S[[#This Row],[ROA]]-VLOOKUP(Main_S[[#This Row],[Industry]], Mean_ROA_S, 2, FALSE))/(VLOOKUP(Main_S[[#This Row],[Industry]], Mean_ROA_S, 3, FALSE))</f>
        <v>-1.3522884956217525</v>
      </c>
      <c r="S192" s="1">
        <f>(Main_S[[#This Row],[A/E]]-VLOOKUP(Main_S[[#This Row],[Industry]], Mean_AE_S, 2, FALSE))/(VLOOKUP(Main_S[[#This Row],[Industry]], Mean_AE_S, 3, FALSE))</f>
        <v>9.8778479241959649E-2</v>
      </c>
      <c r="T192" s="1">
        <f>(Main_S[[#This Row],[P/E]]-VLOOKUP(Main_S[[#This Row],[Industry]], Mean_PE_S, 2, FALSE))/(VLOOKUP(Main_S[[#This Row],[Industry]], Mean_PE_S, 3, FALSE))</f>
        <v>-0.92838122233407117</v>
      </c>
      <c r="U1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3" spans="1:26" x14ac:dyDescent="0.25">
      <c r="A193" s="67" t="s">
        <v>129</v>
      </c>
      <c r="B193" s="67" t="s">
        <v>356</v>
      </c>
      <c r="C193" s="2">
        <v>289</v>
      </c>
      <c r="D193">
        <f>RTD("tos.rtd", , "LAST", Main_S[[#This Row],[Symbol]])</f>
        <v>0.98802000000000001</v>
      </c>
      <c r="E193">
        <v>-0.11</v>
      </c>
      <c r="F193">
        <v>0.28999999999999998</v>
      </c>
      <c r="G193">
        <v>-0.16</v>
      </c>
      <c r="H193" s="1">
        <f>IF(ISNUMBER(Main_S[[#This Row],[Free CF]]),IF(Main_S[[#This Row],[Free CF]]&lt;&gt;0,Main_S[[#This Row],[Current Price]]/Main_S[[#This Row],[Free CF]],""),"")</f>
        <v>-8.9819999999999993</v>
      </c>
      <c r="I193" s="1">
        <f>IF(ISNUMBER(Main_S[[#This Row],[BVPS]]),IF(Main_S[[#This Row],[BVPS]]&lt;&gt;0,Main_S[[#This Row],[Current Price]]/Main_S[[#This Row],[BVPS]],""),"")</f>
        <v>3.4069655172413795</v>
      </c>
      <c r="J193">
        <v>-52.64</v>
      </c>
      <c r="K193">
        <v>-17.02</v>
      </c>
      <c r="L193">
        <v>2.37</v>
      </c>
      <c r="M193" s="1">
        <f>IF(ISNUMBER(Main_S[[#This Row],[EPS]]),IF(Main_S[[#This Row],[EPS]]&lt;&gt;0,Main_S[[#This Row],[Current Price]]/Main_S[[#This Row],[EPS]],""),"")</f>
        <v>-6.1751249999999995</v>
      </c>
      <c r="N1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3" s="1">
        <f>(Main_S[[#This Row],[P/FCF]]-VLOOKUP(Main_S[[#This Row],[Industry]], Mean_PFCF_S, 2, FALSE))/(VLOOKUP(Main_S[[#This Row],[Industry]], Mean_PFCF_S, 3, FALSE))</f>
        <v>-0.64029115396434477</v>
      </c>
      <c r="P193" s="1">
        <f>(Main_S[[#This Row],[P/B]]-VLOOKUP(Main_S[[#This Row],[Industry]], Mean_PB_S, 2, FALSE))/(VLOOKUP(Main_S[[#This Row],[Industry]], Mean_PB_S, 3, FALSE))</f>
        <v>1.4069989157014049</v>
      </c>
      <c r="Q193" s="1">
        <f>(Main_S[[#This Row],[ROE]]-VLOOKUP(Main_S[[#This Row],[Industry]], Mean_ROE_S, 2, FALSE))/(VLOOKUP(Main_S[[#This Row],[Industry]], Mean_ROE_S, 3, FALSE))</f>
        <v>-2.4838113729224314</v>
      </c>
      <c r="R193" s="1">
        <f>(Main_S[[#This Row],[ROA]]-VLOOKUP(Main_S[[#This Row],[Industry]], Mean_ROA_S, 2, FALSE))/(VLOOKUP(Main_S[[#This Row],[Industry]], Mean_ROA_S, 3, FALSE))</f>
        <v>-4.242377988069685</v>
      </c>
      <c r="S193" s="1">
        <f>(Main_S[[#This Row],[A/E]]-VLOOKUP(Main_S[[#This Row],[Industry]], Mean_AE_S, 2, FALSE))/(VLOOKUP(Main_S[[#This Row],[Industry]], Mean_AE_S, 3, FALSE))</f>
        <v>-8.9284895424654259E-2</v>
      </c>
      <c r="T193" s="1">
        <f>(Main_S[[#This Row],[P/E]]-VLOOKUP(Main_S[[#This Row],[Industry]], Mean_PE_S, 2, FALSE))/(VLOOKUP(Main_S[[#This Row],[Industry]], Mean_PE_S, 3, FALSE))</f>
        <v>-0.40148553612759807</v>
      </c>
      <c r="U1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4" spans="1:26" x14ac:dyDescent="0.25">
      <c r="A194" s="67" t="s">
        <v>129</v>
      </c>
      <c r="B194" s="67" t="s">
        <v>367</v>
      </c>
      <c r="C194" s="2">
        <v>263</v>
      </c>
      <c r="D194">
        <f>RTD("tos.rtd", , "LAST", Main_S[[#This Row],[Symbol]])</f>
        <v>6.87</v>
      </c>
      <c r="E194">
        <v>-0.17</v>
      </c>
      <c r="F194">
        <v>3.41</v>
      </c>
      <c r="G194">
        <v>0.3</v>
      </c>
      <c r="H194" s="1">
        <f>IF(ISNUMBER(Main_S[[#This Row],[Free CF]]),IF(Main_S[[#This Row],[Free CF]]&lt;&gt;0,Main_S[[#This Row],[Current Price]]/Main_S[[#This Row],[Free CF]],""),"")</f>
        <v>-40.411764705882348</v>
      </c>
      <c r="I194" s="1">
        <f>IF(ISNUMBER(Main_S[[#This Row],[BVPS]]),IF(Main_S[[#This Row],[BVPS]]&lt;&gt;0,Main_S[[#This Row],[Current Price]]/Main_S[[#This Row],[BVPS]],""),"")</f>
        <v>2.0146627565982405</v>
      </c>
      <c r="J194">
        <v>9.89</v>
      </c>
      <c r="K194">
        <v>6.11</v>
      </c>
      <c r="L194">
        <v>1.32</v>
      </c>
      <c r="M194" s="1">
        <f>IF(ISNUMBER(Main_S[[#This Row],[EPS]]),IF(Main_S[[#This Row],[EPS]]&lt;&gt;0,Main_S[[#This Row],[Current Price]]/Main_S[[#This Row],[EPS]],""),"")</f>
        <v>22.900000000000002</v>
      </c>
      <c r="N1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4" s="1">
        <f>(Main_S[[#This Row],[P/FCF]]-VLOOKUP(Main_S[[#This Row],[Industry]], Mean_PFCF_S, 2, FALSE))/(VLOOKUP(Main_S[[#This Row],[Industry]], Mean_PFCF_S, 3, FALSE))</f>
        <v>-2.2739644357131037</v>
      </c>
      <c r="P194" s="1">
        <f>(Main_S[[#This Row],[P/B]]-VLOOKUP(Main_S[[#This Row],[Industry]], Mean_PB_S, 2, FALSE))/(VLOOKUP(Main_S[[#This Row],[Industry]], Mean_PB_S, 3, FALSE))</f>
        <v>0.16199723222327173</v>
      </c>
      <c r="Q194" s="1">
        <f>(Main_S[[#This Row],[ROE]]-VLOOKUP(Main_S[[#This Row],[Industry]], Mean_ROE_S, 2, FALSE))/(VLOOKUP(Main_S[[#This Row],[Industry]], Mean_ROE_S, 3, FALSE))</f>
        <v>0.7707239591856333</v>
      </c>
      <c r="R194" s="1">
        <f>(Main_S[[#This Row],[ROA]]-VLOOKUP(Main_S[[#This Row],[Industry]], Mean_ROA_S, 2, FALSE))/(VLOOKUP(Main_S[[#This Row],[Industry]], Mean_ROA_S, 3, FALSE))</f>
        <v>1.071435204324646</v>
      </c>
      <c r="S194" s="1">
        <f>(Main_S[[#This Row],[A/E]]-VLOOKUP(Main_S[[#This Row],[Industry]], Mean_AE_S, 2, FALSE))/(VLOOKUP(Main_S[[#This Row],[Industry]], Mean_AE_S, 3, FALSE))</f>
        <v>-0.84877160080905723</v>
      </c>
      <c r="T194" s="1">
        <f>(Main_S[[#This Row],[P/E]]-VLOOKUP(Main_S[[#This Row],[Industry]], Mean_PE_S, 2, FALSE))/(VLOOKUP(Main_S[[#This Row],[Industry]], Mean_PE_S, 3, FALSE))</f>
        <v>1.035862792906501</v>
      </c>
      <c r="U1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5" spans="1:26" x14ac:dyDescent="0.25">
      <c r="A195" s="67" t="s">
        <v>129</v>
      </c>
      <c r="B195" s="67" t="s">
        <v>348</v>
      </c>
      <c r="C195" s="2">
        <v>919</v>
      </c>
      <c r="D195">
        <f>RTD("tos.rtd", , "LAST", Main_S[[#This Row],[Symbol]])</f>
        <v>2.2799999999999998</v>
      </c>
      <c r="E195">
        <v>-0.19</v>
      </c>
      <c r="F195">
        <v>1.21</v>
      </c>
      <c r="G195">
        <v>-0.62</v>
      </c>
      <c r="H195" s="1">
        <f>IF(ISNUMBER(Main_S[[#This Row],[Free CF]]),IF(Main_S[[#This Row],[Free CF]]&lt;&gt;0,Main_S[[#This Row],[Current Price]]/Main_S[[#This Row],[Free CF]],""),"")</f>
        <v>-11.999999999999998</v>
      </c>
      <c r="I195" s="1">
        <f>IF(ISNUMBER(Main_S[[#This Row],[BVPS]]),IF(Main_S[[#This Row],[BVPS]]&lt;&gt;0,Main_S[[#This Row],[Current Price]]/Main_S[[#This Row],[BVPS]],""),"")</f>
        <v>1.884297520661157</v>
      </c>
      <c r="J195">
        <v>-42.97</v>
      </c>
      <c r="K195">
        <v>-8.85</v>
      </c>
      <c r="L195">
        <v>3.86</v>
      </c>
      <c r="M195" s="1">
        <f>IF(ISNUMBER(Main_S[[#This Row],[EPS]]),IF(Main_S[[#This Row],[EPS]]&lt;&gt;0,Main_S[[#This Row],[Current Price]]/Main_S[[#This Row],[EPS]],""),"")</f>
        <v>-3.6774193548387095</v>
      </c>
      <c r="N1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5" s="1">
        <f>(Main_S[[#This Row],[P/FCF]]-VLOOKUP(Main_S[[#This Row],[Industry]], Mean_PFCF_S, 2, FALSE))/(VLOOKUP(Main_S[[#This Row],[Industry]], Mean_PFCF_S, 3, FALSE))</f>
        <v>-0.79716238766451253</v>
      </c>
      <c r="P195" s="1">
        <f>(Main_S[[#This Row],[P/B]]-VLOOKUP(Main_S[[#This Row],[Industry]], Mean_PB_S, 2, FALSE))/(VLOOKUP(Main_S[[#This Row],[Industry]], Mean_PB_S, 3, FALSE))</f>
        <v>4.5424211759159214E-2</v>
      </c>
      <c r="Q195" s="1">
        <f>(Main_S[[#This Row],[ROE]]-VLOOKUP(Main_S[[#This Row],[Industry]], Mean_ROE_S, 2, FALSE))/(VLOOKUP(Main_S[[#This Row],[Industry]], Mean_ROE_S, 3, FALSE))</f>
        <v>-1.9805112503974833</v>
      </c>
      <c r="R195" s="1">
        <f>(Main_S[[#This Row],[ROA]]-VLOOKUP(Main_S[[#This Row],[Industry]], Mean_ROA_S, 2, FALSE))/(VLOOKUP(Main_S[[#This Row],[Industry]], Mean_ROA_S, 3, FALSE))</f>
        <v>-2.3654279758837067</v>
      </c>
      <c r="S195" s="1">
        <f>(Main_S[[#This Row],[A/E]]-VLOOKUP(Main_S[[#This Row],[Industry]], Mean_AE_S, 2, FALSE))/(VLOOKUP(Main_S[[#This Row],[Industry]], Mean_AE_S, 3, FALSE))</f>
        <v>0.98846290554940308</v>
      </c>
      <c r="T195" s="1">
        <f>(Main_S[[#This Row],[P/E]]-VLOOKUP(Main_S[[#This Row],[Industry]], Mean_PE_S, 2, FALSE))/(VLOOKUP(Main_S[[#This Row],[Industry]], Mean_PE_S, 3, FALSE))</f>
        <v>-0.27800978028848766</v>
      </c>
      <c r="U1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6" spans="1:26" x14ac:dyDescent="0.25">
      <c r="A196" s="67" t="s">
        <v>129</v>
      </c>
      <c r="B196" s="67" t="s">
        <v>581</v>
      </c>
      <c r="C196" s="2">
        <v>285</v>
      </c>
      <c r="D196">
        <f>RTD("tos.rtd", , "LAST", Main_S[[#This Row],[Symbol]])</f>
        <v>2.6</v>
      </c>
      <c r="E196">
        <v>-0.25</v>
      </c>
      <c r="F196">
        <v>0.06</v>
      </c>
      <c r="G196">
        <v>-0.7</v>
      </c>
      <c r="H196" s="1">
        <f>IF(ISNUMBER(Main_S[[#This Row],[Free CF]]),IF(Main_S[[#This Row],[Free CF]]&lt;&gt;0,Main_S[[#This Row],[Current Price]]/Main_S[[#This Row],[Free CF]],""),"")</f>
        <v>-10.4</v>
      </c>
      <c r="I196" s="1">
        <f>IF(ISNUMBER(Main_S[[#This Row],[BVPS]]),IF(Main_S[[#This Row],[BVPS]]&lt;&gt;0,Main_S[[#This Row],[Current Price]]/Main_S[[#This Row],[BVPS]],""),"")</f>
        <v>43.333333333333336</v>
      </c>
      <c r="J196">
        <v>-277.62</v>
      </c>
      <c r="K196">
        <v>-17.66</v>
      </c>
      <c r="L196">
        <v>32.35</v>
      </c>
      <c r="M196" s="1">
        <f>IF(ISNUMBER(Main_S[[#This Row],[EPS]]),IF(Main_S[[#This Row],[EPS]]&lt;&gt;0,Main_S[[#This Row],[Current Price]]/Main_S[[#This Row],[EPS]],""),"")</f>
        <v>-3.7142857142857149</v>
      </c>
      <c r="N1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6" s="1">
        <f>(Main_S[[#This Row],[P/FCF]]-VLOOKUP(Main_S[[#This Row],[Industry]], Mean_PFCF_S, 2, FALSE))/(VLOOKUP(Main_S[[#This Row],[Industry]], Mean_PFCF_S, 3, FALSE))</f>
        <v>-0.71399672367502676</v>
      </c>
      <c r="P196" s="1">
        <f>(Main_S[[#This Row],[P/B]]-VLOOKUP(Main_S[[#This Row],[Industry]], Mean_PB_S, 2, FALSE))/(VLOOKUP(Main_S[[#This Row],[Industry]], Mean_PB_S, 3, FALSE))</f>
        <v>37.109287635749702</v>
      </c>
      <c r="Q196" s="1">
        <f>(Main_S[[#This Row],[ROE]]-VLOOKUP(Main_S[[#This Row],[Industry]], Mean_ROE_S, 2, FALSE))/(VLOOKUP(Main_S[[#This Row],[Industry]], Mean_ROE_S, 3, FALSE))</f>
        <v>-14.193476477954773</v>
      </c>
      <c r="R196" s="1">
        <f>(Main_S[[#This Row],[ROA]]-VLOOKUP(Main_S[[#This Row],[Industry]], Mean_ROA_S, 2, FALSE))/(VLOOKUP(Main_S[[#This Row],[Industry]], Mean_ROA_S, 3, FALSE))</f>
        <v>-4.3894095679716463</v>
      </c>
      <c r="S196" s="1">
        <f>(Main_S[[#This Row],[A/E]]-VLOOKUP(Main_S[[#This Row],[Industry]], Mean_AE_S, 2, FALSE))/(VLOOKUP(Main_S[[#This Row],[Industry]], Mean_AE_S, 3, FALSE))</f>
        <v>21.595868844979538</v>
      </c>
      <c r="T196" s="1">
        <f>(Main_S[[#This Row],[P/E]]-VLOOKUP(Main_S[[#This Row],[Industry]], Mean_PE_S, 2, FALSE))/(VLOOKUP(Main_S[[#This Row],[Industry]], Mean_PE_S, 3, FALSE))</f>
        <v>-0.27983229352441436</v>
      </c>
      <c r="U1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7" spans="1:26" x14ac:dyDescent="0.25">
      <c r="A197" s="67" t="s">
        <v>129</v>
      </c>
      <c r="B197" s="67" t="s">
        <v>359</v>
      </c>
      <c r="C197" s="2">
        <v>937</v>
      </c>
      <c r="D197">
        <f>RTD("tos.rtd", , "LAST", Main_S[[#This Row],[Symbol]])</f>
        <v>7.56</v>
      </c>
      <c r="E197">
        <v>-0.25</v>
      </c>
      <c r="F197">
        <v>6.92</v>
      </c>
      <c r="G197">
        <v>-0.61</v>
      </c>
      <c r="H197" s="1">
        <f>IF(ISNUMBER(Main_S[[#This Row],[Free CF]]),IF(Main_S[[#This Row],[Free CF]]&lt;&gt;0,Main_S[[#This Row],[Current Price]]/Main_S[[#This Row],[Free CF]],""),"")</f>
        <v>-30.24</v>
      </c>
      <c r="I197" s="1">
        <f>IF(ISNUMBER(Main_S[[#This Row],[BVPS]]),IF(Main_S[[#This Row],[BVPS]]&lt;&gt;0,Main_S[[#This Row],[Current Price]]/Main_S[[#This Row],[BVPS]],""),"")</f>
        <v>1.0924855491329479</v>
      </c>
      <c r="J197">
        <v>-8.57</v>
      </c>
      <c r="K197">
        <v>-2.75</v>
      </c>
      <c r="L197">
        <v>1.8</v>
      </c>
      <c r="M197" s="1">
        <f>IF(ISNUMBER(Main_S[[#This Row],[EPS]]),IF(Main_S[[#This Row],[EPS]]&lt;&gt;0,Main_S[[#This Row],[Current Price]]/Main_S[[#This Row],[EPS]],""),"")</f>
        <v>-12.39344262295082</v>
      </c>
      <c r="N1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7" s="1">
        <f>(Main_S[[#This Row],[P/FCF]]-VLOOKUP(Main_S[[#This Row],[Industry]], Mean_PFCF_S, 2, FALSE))/(VLOOKUP(Main_S[[#This Row],[Industry]], Mean_PFCF_S, 3, FALSE))</f>
        <v>-1.7452509571446515</v>
      </c>
      <c r="P197" s="1">
        <f>(Main_S[[#This Row],[P/B]]-VLOOKUP(Main_S[[#This Row],[Industry]], Mean_PB_S, 2, FALSE))/(VLOOKUP(Main_S[[#This Row],[Industry]], Mean_PB_S, 3, FALSE))</f>
        <v>-0.66261664358999717</v>
      </c>
      <c r="Q197" s="1">
        <f>(Main_S[[#This Row],[ROE]]-VLOOKUP(Main_S[[#This Row],[Industry]], Mean_ROE_S, 2, FALSE))/(VLOOKUP(Main_S[[#This Row],[Industry]], Mean_ROE_S, 3, FALSE))</f>
        <v>-0.19007441328701785</v>
      </c>
      <c r="R197" s="1">
        <f>(Main_S[[#This Row],[ROA]]-VLOOKUP(Main_S[[#This Row],[Industry]], Mean_ROA_S, 2, FALSE))/(VLOOKUP(Main_S[[#This Row],[Industry]], Mean_ROA_S, 3, FALSE))</f>
        <v>-0.96403322994313501</v>
      </c>
      <c r="S197" s="1">
        <f>(Main_S[[#This Row],[A/E]]-VLOOKUP(Main_S[[#This Row],[Industry]], Mean_AE_S, 2, FALSE))/(VLOOKUP(Main_S[[#This Row],[Industry]], Mean_AE_S, 3, FALSE))</f>
        <v>-0.50157767834761591</v>
      </c>
      <c r="T197" s="1">
        <f>(Main_S[[#This Row],[P/E]]-VLOOKUP(Main_S[[#This Row],[Industry]], Mean_PE_S, 2, FALSE))/(VLOOKUP(Main_S[[#This Row],[Industry]], Mean_PE_S, 3, FALSE))</f>
        <v>-0.70889224357087322</v>
      </c>
      <c r="U1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8" spans="1:26" x14ac:dyDescent="0.25">
      <c r="A198" s="67" t="s">
        <v>129</v>
      </c>
      <c r="B198" s="67" t="s">
        <v>363</v>
      </c>
      <c r="C198" s="2">
        <v>1079</v>
      </c>
      <c r="D198">
        <f>RTD("tos.rtd", , "LAST", Main_S[[#This Row],[Symbol]])</f>
        <v>1.38</v>
      </c>
      <c r="E198">
        <v>-0.3</v>
      </c>
      <c r="F198">
        <v>1.95</v>
      </c>
      <c r="G198">
        <v>-0.06</v>
      </c>
      <c r="H198" s="1">
        <f>IF(ISNUMBER(Main_S[[#This Row],[Free CF]]),IF(Main_S[[#This Row],[Free CF]]&lt;&gt;0,Main_S[[#This Row],[Current Price]]/Main_S[[#This Row],[Free CF]],""),"")</f>
        <v>-4.5999999999999996</v>
      </c>
      <c r="I198" s="1">
        <f>IF(ISNUMBER(Main_S[[#This Row],[BVPS]]),IF(Main_S[[#This Row],[BVPS]]&lt;&gt;0,Main_S[[#This Row],[Current Price]]/Main_S[[#This Row],[BVPS]],""),"")</f>
        <v>0.70769230769230762</v>
      </c>
      <c r="J198">
        <v>-3.04</v>
      </c>
      <c r="K198">
        <v>-8.1999999999999993</v>
      </c>
      <c r="L198">
        <v>1.62</v>
      </c>
      <c r="M198" s="1">
        <f>IF(ISNUMBER(Main_S[[#This Row],[EPS]]),IF(Main_S[[#This Row],[EPS]]&lt;&gt;0,Main_S[[#This Row],[Current Price]]/Main_S[[#This Row],[EPS]],""),"")</f>
        <v>-23</v>
      </c>
      <c r="N1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8" s="1">
        <f>(Main_S[[#This Row],[P/FCF]]-VLOOKUP(Main_S[[#This Row],[Industry]], Mean_PFCF_S, 2, FALSE))/(VLOOKUP(Main_S[[#This Row],[Industry]], Mean_PFCF_S, 3, FALSE))</f>
        <v>-0.41252119171314039</v>
      </c>
      <c r="P198" s="1">
        <f>(Main_S[[#This Row],[P/B]]-VLOOKUP(Main_S[[#This Row],[Industry]], Mean_PB_S, 2, FALSE))/(VLOOKUP(Main_S[[#This Row],[Industry]], Mean_PB_S, 3, FALSE))</f>
        <v>-1.00670001893525</v>
      </c>
      <c r="Q198" s="1">
        <f>(Main_S[[#This Row],[ROE]]-VLOOKUP(Main_S[[#This Row],[Industry]], Mean_ROE_S, 2, FALSE))/(VLOOKUP(Main_S[[#This Row],[Industry]], Mean_ROE_S, 3, FALSE))</f>
        <v>9.7748717794984341E-2</v>
      </c>
      <c r="R198" s="1">
        <f>(Main_S[[#This Row],[ROA]]-VLOOKUP(Main_S[[#This Row],[Industry]], Mean_ROA_S, 2, FALSE))/(VLOOKUP(Main_S[[#This Row],[Industry]], Mean_ROA_S, 3, FALSE))</f>
        <v>-2.2160990275457766</v>
      </c>
      <c r="S198" s="1">
        <f>(Main_S[[#This Row],[A/E]]-VLOOKUP(Main_S[[#This Row],[Industry]], Mean_AE_S, 2, FALSE))/(VLOOKUP(Main_S[[#This Row],[Industry]], Mean_AE_S, 3, FALSE))</f>
        <v>-0.6317753992706564</v>
      </c>
      <c r="T198" s="1">
        <f>(Main_S[[#This Row],[P/E]]-VLOOKUP(Main_S[[#This Row],[Industry]], Mean_PE_S, 2, FALSE))/(VLOOKUP(Main_S[[#This Row],[Industry]], Mean_PE_S, 3, FALSE))</f>
        <v>-1.2332345300685559</v>
      </c>
      <c r="U1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9" spans="1:26" x14ac:dyDescent="0.25">
      <c r="A199" s="67" t="s">
        <v>129</v>
      </c>
      <c r="B199" s="67" t="s">
        <v>360</v>
      </c>
      <c r="C199" s="2">
        <v>327</v>
      </c>
      <c r="D199">
        <f>RTD("tos.rtd", , "LAST", Main_S[[#This Row],[Symbol]])</f>
        <v>5.52</v>
      </c>
      <c r="E199">
        <v>-0.68</v>
      </c>
      <c r="F199">
        <v>2.78</v>
      </c>
      <c r="G199">
        <v>-0.91</v>
      </c>
      <c r="H199" s="1">
        <f>IF(ISNUMBER(Main_S[[#This Row],[Free CF]]),IF(Main_S[[#This Row],[Free CF]]&lt;&gt;0,Main_S[[#This Row],[Current Price]]/Main_S[[#This Row],[Free CF]],""),"")</f>
        <v>-8.117647058823529</v>
      </c>
      <c r="I199" s="1">
        <f>IF(ISNUMBER(Main_S[[#This Row],[BVPS]]),IF(Main_S[[#This Row],[BVPS]]&lt;&gt;0,Main_S[[#This Row],[Current Price]]/Main_S[[#This Row],[BVPS]],""),"")</f>
        <v>1.985611510791367</v>
      </c>
      <c r="J199">
        <v>-30.11</v>
      </c>
      <c r="K199">
        <v>-17.89</v>
      </c>
      <c r="L199">
        <v>1.1100000000000001</v>
      </c>
      <c r="M199" s="1">
        <f>IF(ISNUMBER(Main_S[[#This Row],[EPS]]),IF(Main_S[[#This Row],[EPS]]&lt;&gt;0,Main_S[[#This Row],[Current Price]]/Main_S[[#This Row],[EPS]],""),"")</f>
        <v>-6.0659340659340657</v>
      </c>
      <c r="N1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9" s="1">
        <f>(Main_S[[#This Row],[P/FCF]]-VLOOKUP(Main_S[[#This Row],[Industry]], Mean_PFCF_S, 2, FALSE))/(VLOOKUP(Main_S[[#This Row],[Industry]], Mean_PFCF_S, 3, FALSE))</f>
        <v>-0.59536335004296592</v>
      </c>
      <c r="P199" s="1">
        <f>(Main_S[[#This Row],[P/B]]-VLOOKUP(Main_S[[#This Row],[Industry]], Mean_PB_S, 2, FALSE))/(VLOOKUP(Main_S[[#This Row],[Industry]], Mean_PB_S, 3, FALSE))</f>
        <v>0.13601951318177011</v>
      </c>
      <c r="Q199" s="1">
        <f>(Main_S[[#This Row],[ROE]]-VLOOKUP(Main_S[[#This Row],[Industry]], Mean_ROE_S, 2, FALSE))/(VLOOKUP(Main_S[[#This Row],[Industry]], Mean_ROE_S, 3, FALSE))</f>
        <v>-1.3111793397800244</v>
      </c>
      <c r="R199" s="1">
        <f>(Main_S[[#This Row],[ROA]]-VLOOKUP(Main_S[[#This Row],[Industry]], Mean_ROA_S, 2, FALSE))/(VLOOKUP(Main_S[[#This Row],[Industry]], Mean_ROA_S, 3, FALSE))</f>
        <v>-4.442249041998914</v>
      </c>
      <c r="S199" s="1">
        <f>(Main_S[[#This Row],[A/E]]-VLOOKUP(Main_S[[#This Row],[Industry]], Mean_AE_S, 2, FALSE))/(VLOOKUP(Main_S[[#This Row],[Industry]], Mean_AE_S, 3, FALSE))</f>
        <v>-1.0006689418859378</v>
      </c>
      <c r="T199" s="1">
        <f>(Main_S[[#This Row],[P/E]]-VLOOKUP(Main_S[[#This Row],[Industry]], Mean_PE_S, 2, FALSE))/(VLOOKUP(Main_S[[#This Row],[Industry]], Mean_PE_S, 3, FALSE))</f>
        <v>-0.39608760897766004</v>
      </c>
      <c r="U1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0" spans="1:26" x14ac:dyDescent="0.25">
      <c r="A200" s="67" t="s">
        <v>129</v>
      </c>
      <c r="B200" s="67" t="s">
        <v>347</v>
      </c>
      <c r="C200" s="2">
        <v>506</v>
      </c>
      <c r="D200">
        <f>RTD("tos.rtd", , "LAST", Main_S[[#This Row],[Symbol]])</f>
        <v>7.93</v>
      </c>
      <c r="E200">
        <v>-0.83</v>
      </c>
      <c r="F200">
        <v>7.39</v>
      </c>
      <c r="G200">
        <v>-4.75</v>
      </c>
      <c r="H200" s="1">
        <f>IF(ISNUMBER(Main_S[[#This Row],[Free CF]]),IF(Main_S[[#This Row],[Free CF]]&lt;&gt;0,Main_S[[#This Row],[Current Price]]/Main_S[[#This Row],[Free CF]],""),"")</f>
        <v>-9.5542168674698793</v>
      </c>
      <c r="I200" s="1">
        <f>IF(ISNUMBER(Main_S[[#This Row],[BVPS]]),IF(Main_S[[#This Row],[BVPS]]&lt;&gt;0,Main_S[[#This Row],[Current Price]]/Main_S[[#This Row],[BVPS]],""),"")</f>
        <v>1.0730717185385656</v>
      </c>
      <c r="J200">
        <v>-49.91</v>
      </c>
      <c r="K200">
        <v>3.14</v>
      </c>
      <c r="L200">
        <v>8.51</v>
      </c>
      <c r="M200" s="1">
        <f>IF(ISNUMBER(Main_S[[#This Row],[EPS]]),IF(Main_S[[#This Row],[EPS]]&lt;&gt;0,Main_S[[#This Row],[Current Price]]/Main_S[[#This Row],[EPS]],""),"")</f>
        <v>-1.6694736842105262</v>
      </c>
      <c r="N2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0" s="1">
        <f>(Main_S[[#This Row],[P/FCF]]-VLOOKUP(Main_S[[#This Row],[Industry]], Mean_PFCF_S, 2, FALSE))/(VLOOKUP(Main_S[[#This Row],[Industry]], Mean_PFCF_S, 3, FALSE))</f>
        <v>-0.6700341512950424</v>
      </c>
      <c r="P200" s="1">
        <f>(Main_S[[#This Row],[P/B]]-VLOOKUP(Main_S[[#This Row],[Industry]], Mean_PB_S, 2, FALSE))/(VLOOKUP(Main_S[[#This Row],[Industry]], Mean_PB_S, 3, FALSE))</f>
        <v>-0.67997655441973681</v>
      </c>
      <c r="Q200" s="1">
        <f>(Main_S[[#This Row],[ROE]]-VLOOKUP(Main_S[[#This Row],[Industry]], Mean_ROE_S, 2, FALSE))/(VLOOKUP(Main_S[[#This Row],[Industry]], Mean_ROE_S, 3, FALSE))</f>
        <v>-2.3417214727680249</v>
      </c>
      <c r="R200" s="1">
        <f>(Main_S[[#This Row],[ROA]]-VLOOKUP(Main_S[[#This Row],[Industry]], Mean_ROA_S, 2, FALSE))/(VLOOKUP(Main_S[[#This Row],[Industry]], Mean_ROA_S, 3, FALSE))</f>
        <v>0.38911677884210544</v>
      </c>
      <c r="S200" s="1">
        <f>(Main_S[[#This Row],[A/E]]-VLOOKUP(Main_S[[#This Row],[Industry]], Mean_AE_S, 2, FALSE))/(VLOOKUP(Main_S[[#This Row],[Industry]], Mean_AE_S, 3, FALSE))</f>
        <v>4.3519040293946158</v>
      </c>
      <c r="T200" s="1">
        <f>(Main_S[[#This Row],[P/E]]-VLOOKUP(Main_S[[#This Row],[Industry]], Mean_PE_S, 2, FALSE))/(VLOOKUP(Main_S[[#This Row],[Industry]], Mean_PE_S, 3, FALSE))</f>
        <v>-0.17874563767624874</v>
      </c>
      <c r="U2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1" spans="1:26" x14ac:dyDescent="0.25">
      <c r="A201" s="67" t="s">
        <v>129</v>
      </c>
      <c r="B201" s="67" t="s">
        <v>355</v>
      </c>
      <c r="C201" s="2">
        <v>631</v>
      </c>
      <c r="D201">
        <f>RTD("tos.rtd", , "LAST", Main_S[[#This Row],[Symbol]])</f>
        <v>21.81</v>
      </c>
      <c r="E201">
        <v>-1.04</v>
      </c>
      <c r="F201">
        <v>36.81</v>
      </c>
      <c r="G201">
        <v>-1.34</v>
      </c>
      <c r="H201" s="1">
        <f>IF(ISNUMBER(Main_S[[#This Row],[Free CF]]),IF(Main_S[[#This Row],[Free CF]]&lt;&gt;0,Main_S[[#This Row],[Current Price]]/Main_S[[#This Row],[Free CF]],""),"")</f>
        <v>-20.971153846153843</v>
      </c>
      <c r="I201" s="1">
        <f>IF(ISNUMBER(Main_S[[#This Row],[BVPS]]),IF(Main_S[[#This Row],[BVPS]]&lt;&gt;0,Main_S[[#This Row],[Current Price]]/Main_S[[#This Row],[BVPS]],""),"")</f>
        <v>0.59250203748981245</v>
      </c>
      <c r="J201">
        <v>-3.72</v>
      </c>
      <c r="K201">
        <v>-3.69</v>
      </c>
      <c r="L201">
        <v>1.07</v>
      </c>
      <c r="M201" s="1">
        <f>IF(ISNUMBER(Main_S[[#This Row],[EPS]]),IF(Main_S[[#This Row],[EPS]]&lt;&gt;0,Main_S[[#This Row],[Current Price]]/Main_S[[#This Row],[EPS]],""),"")</f>
        <v>-16.276119402985074</v>
      </c>
      <c r="N2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1" s="1">
        <f>(Main_S[[#This Row],[P/FCF]]-VLOOKUP(Main_S[[#This Row],[Industry]], Mean_PFCF_S, 2, FALSE))/(VLOOKUP(Main_S[[#This Row],[Industry]], Mean_PFCF_S, 3, FALSE))</f>
        <v>-1.2634698666440216</v>
      </c>
      <c r="P201" s="1">
        <f>(Main_S[[#This Row],[P/B]]-VLOOKUP(Main_S[[#This Row],[Industry]], Mean_PB_S, 2, FALSE))/(VLOOKUP(Main_S[[#This Row],[Industry]], Mean_PB_S, 3, FALSE))</f>
        <v>-1.1097035353946745</v>
      </c>
      <c r="Q201" s="1">
        <f>(Main_S[[#This Row],[ROE]]-VLOOKUP(Main_S[[#This Row],[Industry]], Mean_ROE_S, 2, FALSE))/(VLOOKUP(Main_S[[#This Row],[Industry]], Mean_ROE_S, 3, FALSE))</f>
        <v>6.2356361712568156E-2</v>
      </c>
      <c r="R201" s="1">
        <f>(Main_S[[#This Row],[ROA]]-VLOOKUP(Main_S[[#This Row],[Industry]], Mean_ROA_S, 2, FALSE))/(VLOOKUP(Main_S[[#This Row],[Industry]], Mean_ROA_S, 3, FALSE))</f>
        <v>-1.1799858629241411</v>
      </c>
      <c r="S201" s="1">
        <f>(Main_S[[#This Row],[A/E]]-VLOOKUP(Main_S[[#This Row],[Industry]], Mean_AE_S, 2, FALSE))/(VLOOKUP(Main_S[[#This Row],[Industry]], Mean_AE_S, 3, FALSE))</f>
        <v>-1.0296017687577246</v>
      </c>
      <c r="T201" s="1">
        <f>(Main_S[[#This Row],[P/E]]-VLOOKUP(Main_S[[#This Row],[Industry]], Mean_PE_S, 2, FALSE))/(VLOOKUP(Main_S[[#This Row],[Industry]], Mean_PE_S, 3, FALSE))</f>
        <v>-0.90083497750449282</v>
      </c>
      <c r="U2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2" spans="1:26" x14ac:dyDescent="0.25">
      <c r="A202" s="67" t="s">
        <v>129</v>
      </c>
      <c r="B202" s="67" t="s">
        <v>375</v>
      </c>
      <c r="C202" s="2">
        <v>460</v>
      </c>
      <c r="D202">
        <f>RTD("tos.rtd", , "LAST", Main_S[[#This Row],[Symbol]])</f>
        <v>25.01</v>
      </c>
      <c r="E202">
        <v>-1.6</v>
      </c>
      <c r="F202">
        <v>3.28</v>
      </c>
      <c r="G202">
        <v>-2.75</v>
      </c>
      <c r="H202" s="1">
        <f>IF(ISNUMBER(Main_S[[#This Row],[Free CF]]),IF(Main_S[[#This Row],[Free CF]]&lt;&gt;0,Main_S[[#This Row],[Current Price]]/Main_S[[#This Row],[Free CF]],""),"")</f>
        <v>-15.63125</v>
      </c>
      <c r="I202" s="1">
        <f>IF(ISNUMBER(Main_S[[#This Row],[BVPS]]),IF(Main_S[[#This Row],[BVPS]]&lt;&gt;0,Main_S[[#This Row],[Current Price]]/Main_S[[#This Row],[BVPS]],""),"")</f>
        <v>7.6250000000000009</v>
      </c>
      <c r="J202">
        <v>-69.63</v>
      </c>
      <c r="K202">
        <v>-1.33</v>
      </c>
      <c r="L202">
        <v>14.03</v>
      </c>
      <c r="M202" s="1">
        <f>IF(ISNUMBER(Main_S[[#This Row],[EPS]]),IF(Main_S[[#This Row],[EPS]]&lt;&gt;0,Main_S[[#This Row],[Current Price]]/Main_S[[#This Row],[EPS]],""),"")</f>
        <v>-9.0945454545454556</v>
      </c>
      <c r="N2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2" s="1">
        <f>(Main_S[[#This Row],[P/FCF]]-VLOOKUP(Main_S[[#This Row],[Industry]], Mean_PFCF_S, 2, FALSE))/(VLOOKUP(Main_S[[#This Row],[Industry]], Mean_PFCF_S, 3, FALSE))</f>
        <v>-0.98590946101565047</v>
      </c>
      <c r="P202" s="1">
        <f>(Main_S[[#This Row],[P/B]]-VLOOKUP(Main_S[[#This Row],[Industry]], Mean_PB_S, 2, FALSE))/(VLOOKUP(Main_S[[#This Row],[Industry]], Mean_PB_S, 3, FALSE))</f>
        <v>5.178779149461425</v>
      </c>
      <c r="Q202" s="1">
        <f>(Main_S[[#This Row],[ROE]]-VLOOKUP(Main_S[[#This Row],[Industry]], Mean_ROE_S, 2, FALSE))/(VLOOKUP(Main_S[[#This Row],[Industry]], Mean_ROE_S, 3, FALSE))</f>
        <v>-3.3680997991580939</v>
      </c>
      <c r="R202" s="1">
        <f>(Main_S[[#This Row],[ROA]]-VLOOKUP(Main_S[[#This Row],[Industry]], Mean_ROA_S, 2, FALSE))/(VLOOKUP(Main_S[[#This Row],[Industry]], Mean_ROA_S, 3, FALSE))</f>
        <v>-0.63780691203565765</v>
      </c>
      <c r="S202" s="1">
        <f>(Main_S[[#This Row],[A/E]]-VLOOKUP(Main_S[[#This Row],[Industry]], Mean_AE_S, 2, FALSE))/(VLOOKUP(Main_S[[#This Row],[Industry]], Mean_AE_S, 3, FALSE))</f>
        <v>8.3446341377011901</v>
      </c>
      <c r="T202" s="1">
        <f>(Main_S[[#This Row],[P/E]]-VLOOKUP(Main_S[[#This Row],[Industry]], Mean_PE_S, 2, FALSE))/(VLOOKUP(Main_S[[#This Row],[Industry]], Mean_PE_S, 3, FALSE))</f>
        <v>-0.54580904676044595</v>
      </c>
      <c r="U2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3" spans="1:26" x14ac:dyDescent="0.25">
      <c r="A203" s="67" t="s">
        <v>129</v>
      </c>
      <c r="B203" s="67" t="s">
        <v>370</v>
      </c>
      <c r="C203" s="2">
        <v>1526</v>
      </c>
      <c r="D203">
        <f>RTD("tos.rtd", , "LAST", Main_S[[#This Row],[Symbol]])</f>
        <v>6.57</v>
      </c>
      <c r="E203">
        <v>-1.87</v>
      </c>
      <c r="F203">
        <v>0.63</v>
      </c>
      <c r="G203">
        <v>-1.04</v>
      </c>
      <c r="H203" s="1">
        <f>IF(ISNUMBER(Main_S[[#This Row],[Free CF]]),IF(Main_S[[#This Row],[Free CF]]&lt;&gt;0,Main_S[[#This Row],[Current Price]]/Main_S[[#This Row],[Free CF]],""),"")</f>
        <v>-3.5133689839572191</v>
      </c>
      <c r="I203" s="1">
        <f>IF(ISNUMBER(Main_S[[#This Row],[BVPS]]),IF(Main_S[[#This Row],[BVPS]]&lt;&gt;0,Main_S[[#This Row],[Current Price]]/Main_S[[#This Row],[BVPS]],""),"")</f>
        <v>10.428571428571429</v>
      </c>
      <c r="J203">
        <v>-90.68</v>
      </c>
      <c r="K203">
        <v>0.8</v>
      </c>
      <c r="L203">
        <v>42.3</v>
      </c>
      <c r="M203" s="1">
        <f>IF(ISNUMBER(Main_S[[#This Row],[EPS]]),IF(Main_S[[#This Row],[EPS]]&lt;&gt;0,Main_S[[#This Row],[Current Price]]/Main_S[[#This Row],[EPS]],""),"")</f>
        <v>-6.3173076923076925</v>
      </c>
      <c r="N2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3" s="1">
        <f>(Main_S[[#This Row],[P/FCF]]-VLOOKUP(Main_S[[#This Row],[Industry]], Mean_PFCF_S, 2, FALSE))/(VLOOKUP(Main_S[[#This Row],[Industry]], Mean_PFCF_S, 3, FALSE))</f>
        <v>-0.35603969798766072</v>
      </c>
      <c r="P203" s="1">
        <f>(Main_S[[#This Row],[P/B]]-VLOOKUP(Main_S[[#This Row],[Industry]], Mean_PB_S, 2, FALSE))/(VLOOKUP(Main_S[[#This Row],[Industry]], Mean_PB_S, 3, FALSE))</f>
        <v>7.6857418927589372</v>
      </c>
      <c r="Q203" s="1">
        <f>(Main_S[[#This Row],[ROE]]-VLOOKUP(Main_S[[#This Row],[Industry]], Mean_ROE_S, 2, FALSE))/(VLOOKUP(Main_S[[#This Row],[Industry]], Mean_ROE_S, 3, FALSE))</f>
        <v>-4.4637014102387722</v>
      </c>
      <c r="R203" s="1">
        <f>(Main_S[[#This Row],[ROA]]-VLOOKUP(Main_S[[#This Row],[Industry]], Mean_ROA_S, 2, FALSE))/(VLOOKUP(Main_S[[#This Row],[Industry]], Mean_ROA_S, 3, FALSE))</f>
        <v>-0.14846743517444169</v>
      </c>
      <c r="S203" s="1">
        <f>(Main_S[[#This Row],[A/E]]-VLOOKUP(Main_S[[#This Row],[Industry]], Mean_AE_S, 2, FALSE))/(VLOOKUP(Main_S[[#This Row],[Industry]], Mean_AE_S, 3, FALSE))</f>
        <v>28.792909529336498</v>
      </c>
      <c r="T203" s="1">
        <f>(Main_S[[#This Row],[P/E]]-VLOOKUP(Main_S[[#This Row],[Industry]], Mean_PE_S, 2, FALSE))/(VLOOKUP(Main_S[[#This Row],[Industry]], Mean_PE_S, 3, FALSE))</f>
        <v>-0.40851443300099188</v>
      </c>
      <c r="U2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4" spans="1:26" x14ac:dyDescent="0.25">
      <c r="A204" s="67" t="s">
        <v>149</v>
      </c>
      <c r="B204" s="67" t="s">
        <v>387</v>
      </c>
      <c r="C204" s="2">
        <v>360</v>
      </c>
      <c r="D204">
        <f>RTD("tos.rtd", , "LAST", Main_S[[#This Row],[Symbol]])</f>
        <v>24.17</v>
      </c>
      <c r="E204">
        <v>1.5</v>
      </c>
      <c r="F204">
        <v>11.6</v>
      </c>
      <c r="G204">
        <v>-1.22</v>
      </c>
      <c r="H204" s="1">
        <f>IF(ISNUMBER(Main_S[[#This Row],[Free CF]]),IF(Main_S[[#This Row],[Free CF]]&lt;&gt;0,Main_S[[#This Row],[Current Price]]/Main_S[[#This Row],[Free CF]],""),"")</f>
        <v>16.113333333333333</v>
      </c>
      <c r="I204" s="1">
        <f>IF(ISNUMBER(Main_S[[#This Row],[BVPS]]),IF(Main_S[[#This Row],[BVPS]]&lt;&gt;0,Main_S[[#This Row],[Current Price]]/Main_S[[#This Row],[BVPS]],""),"")</f>
        <v>2.0836206896551728</v>
      </c>
      <c r="J204">
        <v>-10.26</v>
      </c>
      <c r="K204">
        <v>4.57</v>
      </c>
      <c r="L204">
        <v>2.31</v>
      </c>
      <c r="M204" s="1">
        <f>IF(ISNUMBER(Main_S[[#This Row],[EPS]]),IF(Main_S[[#This Row],[EPS]]&lt;&gt;0,Main_S[[#This Row],[Current Price]]/Main_S[[#This Row],[EPS]],""),"")</f>
        <v>-19.811475409836067</v>
      </c>
      <c r="N2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4" s="1">
        <f>(Main_S[[#This Row],[P/FCF]]-VLOOKUP(Main_S[[#This Row],[Industry]], Mean_PFCF_S, 2, FALSE))/(VLOOKUP(Main_S[[#This Row],[Industry]], Mean_PFCF_S, 3, FALSE))</f>
        <v>-0.25290234135153422</v>
      </c>
      <c r="P204" s="1">
        <f>(Main_S[[#This Row],[P/B]]-VLOOKUP(Main_S[[#This Row],[Industry]], Mean_PB_S, 2, FALSE))/(VLOOKUP(Main_S[[#This Row],[Industry]], Mean_PB_S, 3, FALSE))</f>
        <v>-0.24556523478354786</v>
      </c>
      <c r="Q204" s="1">
        <f>(Main_S[[#This Row],[ROE]]-VLOOKUP(Main_S[[#This Row],[Industry]], Mean_ROE_S, 2, FALSE))/(VLOOKUP(Main_S[[#This Row],[Industry]], Mean_ROE_S, 3, FALSE))</f>
        <v>0.27709422567901665</v>
      </c>
      <c r="R204" s="1">
        <f>(Main_S[[#This Row],[ROA]]-VLOOKUP(Main_S[[#This Row],[Industry]], Mean_ROA_S, 2, FALSE))/(VLOOKUP(Main_S[[#This Row],[Industry]], Mean_ROA_S, 3, FALSE))</f>
        <v>1.3979069648129865</v>
      </c>
      <c r="S204" s="1">
        <f>(Main_S[[#This Row],[A/E]]-VLOOKUP(Main_S[[#This Row],[Industry]], Mean_AE_S, 2, FALSE))/(VLOOKUP(Main_S[[#This Row],[Industry]], Mean_AE_S, 3, FALSE))</f>
        <v>0.71312531005169832</v>
      </c>
      <c r="T204" s="1">
        <f>(Main_S[[#This Row],[P/E]]-VLOOKUP(Main_S[[#This Row],[Industry]], Mean_PE_S, 2, FALSE))/(VLOOKUP(Main_S[[#This Row],[Industry]], Mean_PE_S, 3, FALSE))</f>
        <v>-0.86176966833732549</v>
      </c>
      <c r="U2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5" spans="1:26" x14ac:dyDescent="0.25">
      <c r="A205" s="67" t="s">
        <v>149</v>
      </c>
      <c r="B205" s="67" t="s">
        <v>383</v>
      </c>
      <c r="C205" s="2">
        <v>855</v>
      </c>
      <c r="D205">
        <f>RTD("tos.rtd", , "LAST", Main_S[[#This Row],[Symbol]])</f>
        <v>28.22</v>
      </c>
      <c r="E205">
        <v>1.1399999999999999</v>
      </c>
      <c r="F205">
        <v>11.89</v>
      </c>
      <c r="G205">
        <v>0.63</v>
      </c>
      <c r="H205" s="1">
        <f>IF(ISNUMBER(Main_S[[#This Row],[Free CF]]),IF(Main_S[[#This Row],[Free CF]]&lt;&gt;0,Main_S[[#This Row],[Current Price]]/Main_S[[#This Row],[Free CF]],""),"")</f>
        <v>24.754385964912281</v>
      </c>
      <c r="I205" s="1">
        <f>IF(ISNUMBER(Main_S[[#This Row],[BVPS]]),IF(Main_S[[#This Row],[BVPS]]&lt;&gt;0,Main_S[[#This Row],[Current Price]]/Main_S[[#This Row],[BVPS]],""),"")</f>
        <v>2.3734230445752731</v>
      </c>
      <c r="J205">
        <v>5.4</v>
      </c>
      <c r="K205">
        <v>2.41</v>
      </c>
      <c r="L205">
        <v>1.44</v>
      </c>
      <c r="M205" s="1">
        <f>IF(ISNUMBER(Main_S[[#This Row],[EPS]]),IF(Main_S[[#This Row],[EPS]]&lt;&gt;0,Main_S[[#This Row],[Current Price]]/Main_S[[#This Row],[EPS]],""),"")</f>
        <v>44.793650793650791</v>
      </c>
      <c r="N2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5" s="1">
        <f>(Main_S[[#This Row],[P/FCF]]-VLOOKUP(Main_S[[#This Row],[Industry]], Mean_PFCF_S, 2, FALSE))/(VLOOKUP(Main_S[[#This Row],[Industry]], Mean_PFCF_S, 3, FALSE))</f>
        <v>1.3377864749941706E-2</v>
      </c>
      <c r="P205" s="1">
        <f>(Main_S[[#This Row],[P/B]]-VLOOKUP(Main_S[[#This Row],[Industry]], Mean_PB_S, 2, FALSE))/(VLOOKUP(Main_S[[#This Row],[Industry]], Mean_PB_S, 3, FALSE))</f>
        <v>-5.5698256747617567E-2</v>
      </c>
      <c r="Q205" s="1">
        <f>(Main_S[[#This Row],[ROE]]-VLOOKUP(Main_S[[#This Row],[Industry]], Mean_ROE_S, 2, FALSE))/(VLOOKUP(Main_S[[#This Row],[Industry]], Mean_ROE_S, 3, FALSE))</f>
        <v>0.84938642882129334</v>
      </c>
      <c r="R205" s="1">
        <f>(Main_S[[#This Row],[ROA]]-VLOOKUP(Main_S[[#This Row],[Industry]], Mean_ROA_S, 2, FALSE))/(VLOOKUP(Main_S[[#This Row],[Industry]], Mean_ROA_S, 3, FALSE))</f>
        <v>0.71500460621958617</v>
      </c>
      <c r="S205" s="1">
        <f>(Main_S[[#This Row],[A/E]]-VLOOKUP(Main_S[[#This Row],[Industry]], Mean_AE_S, 2, FALSE))/(VLOOKUP(Main_S[[#This Row],[Industry]], Mean_AE_S, 3, FALSE))</f>
        <v>-0.94643173864885877</v>
      </c>
      <c r="T205" s="1">
        <f>(Main_S[[#This Row],[P/E]]-VLOOKUP(Main_S[[#This Row],[Industry]], Mean_PE_S, 2, FALSE))/(VLOOKUP(Main_S[[#This Row],[Industry]], Mean_PE_S, 3, FALSE))</f>
        <v>1.0679716669314994</v>
      </c>
      <c r="U2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6" spans="1:26" x14ac:dyDescent="0.25">
      <c r="A206" s="67" t="s">
        <v>149</v>
      </c>
      <c r="B206" s="67" t="s">
        <v>388</v>
      </c>
      <c r="C206" s="2">
        <v>1214</v>
      </c>
      <c r="D206">
        <f>RTD("tos.rtd", , "LAST", Main_S[[#This Row],[Symbol]])</f>
        <v>7.4</v>
      </c>
      <c r="E206">
        <v>1.05</v>
      </c>
      <c r="F206">
        <v>8.14</v>
      </c>
      <c r="G206">
        <v>-5.88</v>
      </c>
      <c r="H206" s="1">
        <f>IF(ISNUMBER(Main_S[[#This Row],[Free CF]]),IF(Main_S[[#This Row],[Free CF]]&lt;&gt;0,Main_S[[#This Row],[Current Price]]/Main_S[[#This Row],[Free CF]],""),"")</f>
        <v>7.0476190476190474</v>
      </c>
      <c r="I206" s="1">
        <f>IF(ISNUMBER(Main_S[[#This Row],[BVPS]]),IF(Main_S[[#This Row],[BVPS]]&lt;&gt;0,Main_S[[#This Row],[Current Price]]/Main_S[[#This Row],[BVPS]],""),"")</f>
        <v>0.90909090909090906</v>
      </c>
      <c r="J206">
        <v>-54.49</v>
      </c>
      <c r="K206">
        <v>-3</v>
      </c>
      <c r="L206">
        <v>2.41</v>
      </c>
      <c r="M206" s="1">
        <f>IF(ISNUMBER(Main_S[[#This Row],[EPS]]),IF(Main_S[[#This Row],[EPS]]&lt;&gt;0,Main_S[[#This Row],[Current Price]]/Main_S[[#This Row],[EPS]],""),"")</f>
        <v>-1.2585034013605443</v>
      </c>
      <c r="N2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6" s="1">
        <f>(Main_S[[#This Row],[P/FCF]]-VLOOKUP(Main_S[[#This Row],[Industry]], Mean_PFCF_S, 2, FALSE))/(VLOOKUP(Main_S[[#This Row],[Industry]], Mean_PFCF_S, 3, FALSE))</f>
        <v>-0.53226879951138806</v>
      </c>
      <c r="P206" s="1">
        <f>(Main_S[[#This Row],[P/B]]-VLOOKUP(Main_S[[#This Row],[Industry]], Mean_PB_S, 2, FALSE))/(VLOOKUP(Main_S[[#This Row],[Industry]], Mean_PB_S, 3, FALSE))</f>
        <v>-1.015070438115744</v>
      </c>
      <c r="Q206" s="1">
        <f>(Main_S[[#This Row],[ROE]]-VLOOKUP(Main_S[[#This Row],[Industry]], Mean_ROE_S, 2, FALSE))/(VLOOKUP(Main_S[[#This Row],[Industry]], Mean_ROE_S, 3, FALSE))</f>
        <v>-1.3392840722126116</v>
      </c>
      <c r="R206" s="1">
        <f>(Main_S[[#This Row],[ROA]]-VLOOKUP(Main_S[[#This Row],[Industry]], Mean_ROA_S, 2, FALSE))/(VLOOKUP(Main_S[[#This Row],[Industry]], Mean_ROA_S, 3, FALSE))</f>
        <v>-0.99541287525740318</v>
      </c>
      <c r="S206" s="1">
        <f>(Main_S[[#This Row],[A/E]]-VLOOKUP(Main_S[[#This Row],[Industry]], Mean_AE_S, 2, FALSE))/(VLOOKUP(Main_S[[#This Row],[Industry]], Mean_AE_S, 3, FALSE))</f>
        <v>0.90387899381038328</v>
      </c>
      <c r="T206" s="1">
        <f>(Main_S[[#This Row],[P/E]]-VLOOKUP(Main_S[[#This Row],[Industry]], Mean_PE_S, 2, FALSE))/(VLOOKUP(Main_S[[#This Row],[Industry]], Mean_PE_S, 3, FALSE))</f>
        <v>-0.30759635298656374</v>
      </c>
      <c r="U2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7" spans="1:26" x14ac:dyDescent="0.25">
      <c r="A207" s="67" t="s">
        <v>149</v>
      </c>
      <c r="B207" s="67" t="s">
        <v>377</v>
      </c>
      <c r="C207" s="2">
        <v>1843</v>
      </c>
      <c r="D207">
        <f>RTD("tos.rtd", , "LAST", Main_S[[#This Row],[Symbol]])</f>
        <v>11.77</v>
      </c>
      <c r="E207">
        <v>0.44</v>
      </c>
      <c r="F207">
        <v>6.71</v>
      </c>
      <c r="G207">
        <v>-0.02</v>
      </c>
      <c r="H207" s="1">
        <f>IF(ISNUMBER(Main_S[[#This Row],[Free CF]]),IF(Main_S[[#This Row],[Free CF]]&lt;&gt;0,Main_S[[#This Row],[Current Price]]/Main_S[[#This Row],[Free CF]],""),"")</f>
        <v>26.75</v>
      </c>
      <c r="I207" s="1">
        <f>IF(ISNUMBER(Main_S[[#This Row],[BVPS]]),IF(Main_S[[#This Row],[BVPS]]&lt;&gt;0,Main_S[[#This Row],[Current Price]]/Main_S[[#This Row],[BVPS]],""),"")</f>
        <v>1.7540983606557377</v>
      </c>
      <c r="J207">
        <v>-0.25</v>
      </c>
      <c r="K207">
        <v>1.1200000000000001</v>
      </c>
      <c r="L207">
        <v>1.44</v>
      </c>
      <c r="M207" s="1">
        <f>IF(ISNUMBER(Main_S[[#This Row],[EPS]]),IF(Main_S[[#This Row],[EPS]]&lt;&gt;0,Main_S[[#This Row],[Current Price]]/Main_S[[#This Row],[EPS]],""),"")</f>
        <v>-588.5</v>
      </c>
      <c r="N2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7" s="1">
        <f>(Main_S[[#This Row],[P/FCF]]-VLOOKUP(Main_S[[#This Row],[Industry]], Mean_PFCF_S, 2, FALSE))/(VLOOKUP(Main_S[[#This Row],[Industry]], Mean_PFCF_S, 3, FALSE))</f>
        <v>7.4874136005155259E-2</v>
      </c>
      <c r="P207" s="1">
        <f>(Main_S[[#This Row],[P/B]]-VLOOKUP(Main_S[[#This Row],[Industry]], Mean_PB_S, 2, FALSE))/(VLOOKUP(Main_S[[#This Row],[Industry]], Mean_PB_S, 3, FALSE))</f>
        <v>-0.46145516024579569</v>
      </c>
      <c r="Q207" s="1">
        <f>(Main_S[[#This Row],[ROE]]-VLOOKUP(Main_S[[#This Row],[Industry]], Mean_ROE_S, 2, FALSE))/(VLOOKUP(Main_S[[#This Row],[Industry]], Mean_ROE_S, 3, FALSE))</f>
        <v>0.64290807966715136</v>
      </c>
      <c r="R207" s="1">
        <f>(Main_S[[#This Row],[ROA]]-VLOOKUP(Main_S[[#This Row],[Industry]], Mean_ROA_S, 2, FALSE))/(VLOOKUP(Main_S[[#This Row],[Industry]], Mean_ROA_S, 3, FALSE))</f>
        <v>0.30716014205963854</v>
      </c>
      <c r="S207" s="1">
        <f>(Main_S[[#This Row],[A/E]]-VLOOKUP(Main_S[[#This Row],[Industry]], Mean_AE_S, 2, FALSE))/(VLOOKUP(Main_S[[#This Row],[Industry]], Mean_AE_S, 3, FALSE))</f>
        <v>-0.94643173864885877</v>
      </c>
      <c r="T207" s="1">
        <f>(Main_S[[#This Row],[P/E]]-VLOOKUP(Main_S[[#This Row],[Industry]], Mean_PE_S, 2, FALSE))/(VLOOKUP(Main_S[[#This Row],[Industry]], Mean_PE_S, 3, FALSE))</f>
        <v>-17.848374560000721</v>
      </c>
      <c r="U2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8" spans="1:26" x14ac:dyDescent="0.25">
      <c r="A208" s="67" t="s">
        <v>149</v>
      </c>
      <c r="B208" s="67" t="s">
        <v>379</v>
      </c>
      <c r="C208" s="2">
        <v>355</v>
      </c>
      <c r="D208">
        <f>RTD("tos.rtd", , "LAST", Main_S[[#This Row],[Symbol]])</f>
        <v>3.66</v>
      </c>
      <c r="E208">
        <v>0.41</v>
      </c>
      <c r="F208">
        <v>2.94</v>
      </c>
      <c r="G208">
        <v>-4.42</v>
      </c>
      <c r="H208" s="1">
        <f>IF(ISNUMBER(Main_S[[#This Row],[Free CF]]),IF(Main_S[[#This Row],[Free CF]]&lt;&gt;0,Main_S[[#This Row],[Current Price]]/Main_S[[#This Row],[Free CF]],""),"")</f>
        <v>8.9268292682926838</v>
      </c>
      <c r="I208" s="1">
        <f>IF(ISNUMBER(Main_S[[#This Row],[BVPS]]),IF(Main_S[[#This Row],[BVPS]]&lt;&gt;0,Main_S[[#This Row],[Current Price]]/Main_S[[#This Row],[BVPS]],""),"")</f>
        <v>1.2448979591836735</v>
      </c>
      <c r="J208">
        <v>-89.99</v>
      </c>
      <c r="K208">
        <v>-0.43</v>
      </c>
      <c r="L208">
        <v>2.5099999999999998</v>
      </c>
      <c r="M208" s="1">
        <f>IF(ISNUMBER(Main_S[[#This Row],[EPS]]),IF(Main_S[[#This Row],[EPS]]&lt;&gt;0,Main_S[[#This Row],[Current Price]]/Main_S[[#This Row],[EPS]],""),"")</f>
        <v>-0.82805429864253399</v>
      </c>
      <c r="N2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8" s="1">
        <f>(Main_S[[#This Row],[P/FCF]]-VLOOKUP(Main_S[[#This Row],[Industry]], Mean_PFCF_S, 2, FALSE))/(VLOOKUP(Main_S[[#This Row],[Industry]], Mean_PFCF_S, 3, FALSE))</f>
        <v>-0.47435959490357621</v>
      </c>
      <c r="P208" s="1">
        <f>(Main_S[[#This Row],[P/B]]-VLOOKUP(Main_S[[#This Row],[Industry]], Mean_PB_S, 2, FALSE))/(VLOOKUP(Main_S[[#This Row],[Industry]], Mean_PB_S, 3, FALSE))</f>
        <v>-0.79506301332496909</v>
      </c>
      <c r="Q208" s="1">
        <f>(Main_S[[#This Row],[ROE]]-VLOOKUP(Main_S[[#This Row],[Industry]], Mean_ROE_S, 2, FALSE))/(VLOOKUP(Main_S[[#This Row],[Industry]], Mean_ROE_S, 3, FALSE))</f>
        <v>-2.6366259120306714</v>
      </c>
      <c r="R208" s="1">
        <f>(Main_S[[#This Row],[ROA]]-VLOOKUP(Main_S[[#This Row],[Industry]], Mean_ROA_S, 2, FALSE))/(VLOOKUP(Main_S[[#This Row],[Industry]], Mean_ROA_S, 3, FALSE))</f>
        <v>-0.1828855319309961</v>
      </c>
      <c r="S208" s="1">
        <f>(Main_S[[#This Row],[A/E]]-VLOOKUP(Main_S[[#This Row],[Industry]], Mean_AE_S, 2, FALSE))/(VLOOKUP(Main_S[[#This Row],[Industry]], Mean_AE_S, 3, FALSE))</f>
        <v>1.0946326775690673</v>
      </c>
      <c r="T208" s="1">
        <f>(Main_S[[#This Row],[P/E]]-VLOOKUP(Main_S[[#This Row],[Industry]], Mean_PE_S, 2, FALSE))/(VLOOKUP(Main_S[[#This Row],[Industry]], Mean_PE_S, 3, FALSE))</f>
        <v>-0.29473893013086022</v>
      </c>
      <c r="U2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9" spans="1:26" x14ac:dyDescent="0.25">
      <c r="A209" s="67" t="s">
        <v>149</v>
      </c>
      <c r="B209" s="67" t="s">
        <v>386</v>
      </c>
      <c r="C209" s="2">
        <v>640</v>
      </c>
      <c r="D209">
        <f>RTD("tos.rtd", , "LAST", Main_S[[#This Row],[Symbol]])</f>
        <v>27.43</v>
      </c>
      <c r="E209">
        <v>0.41</v>
      </c>
      <c r="F209">
        <v>9.43</v>
      </c>
      <c r="G209">
        <v>0.36</v>
      </c>
      <c r="H209" s="1">
        <f>IF(ISNUMBER(Main_S[[#This Row],[Free CF]]),IF(Main_S[[#This Row],[Free CF]]&lt;&gt;0,Main_S[[#This Row],[Current Price]]/Main_S[[#This Row],[Free CF]],""),"")</f>
        <v>66.902439024390247</v>
      </c>
      <c r="I209" s="1">
        <f>IF(ISNUMBER(Main_S[[#This Row],[BVPS]]),IF(Main_S[[#This Row],[BVPS]]&lt;&gt;0,Main_S[[#This Row],[Current Price]]/Main_S[[#This Row],[BVPS]],""),"")</f>
        <v>2.9088016967126196</v>
      </c>
      <c r="J209">
        <v>3.96</v>
      </c>
      <c r="K209">
        <v>1.98</v>
      </c>
      <c r="L209">
        <v>1.06</v>
      </c>
      <c r="M209" s="1">
        <f>IF(ISNUMBER(Main_S[[#This Row],[EPS]]),IF(Main_S[[#This Row],[EPS]]&lt;&gt;0,Main_S[[#This Row],[Current Price]]/Main_S[[#This Row],[EPS]],""),"")</f>
        <v>76.194444444444443</v>
      </c>
      <c r="N2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9" s="1">
        <f>(Main_S[[#This Row],[P/FCF]]-VLOOKUP(Main_S[[#This Row],[Industry]], Mean_PFCF_S, 2, FALSE))/(VLOOKUP(Main_S[[#This Row],[Industry]], Mean_PFCF_S, 3, FALSE))</f>
        <v>1.3122002112819249</v>
      </c>
      <c r="P209" s="1">
        <f>(Main_S[[#This Row],[P/B]]-VLOOKUP(Main_S[[#This Row],[Industry]], Mean_PB_S, 2, FALSE))/(VLOOKUP(Main_S[[#This Row],[Industry]], Mean_PB_S, 3, FALSE))</f>
        <v>0.2950605451064704</v>
      </c>
      <c r="Q209" s="1">
        <f>(Main_S[[#This Row],[ROE]]-VLOOKUP(Main_S[[#This Row],[Industry]], Mean_ROE_S, 2, FALSE))/(VLOOKUP(Main_S[[#This Row],[Industry]], Mean_ROE_S, 3, FALSE))</f>
        <v>0.79676185841740588</v>
      </c>
      <c r="R209" s="1">
        <f>(Main_S[[#This Row],[ROA]]-VLOOKUP(Main_S[[#This Row],[Industry]], Mean_ROA_S, 2, FALSE))/(VLOOKUP(Main_S[[#This Row],[Industry]], Mean_ROA_S, 3, FALSE))</f>
        <v>0.5790564514996035</v>
      </c>
      <c r="S209" s="1">
        <f>(Main_S[[#This Row],[A/E]]-VLOOKUP(Main_S[[#This Row],[Industry]], Mean_AE_S, 2, FALSE))/(VLOOKUP(Main_S[[#This Row],[Industry]], Mean_AE_S, 3, FALSE))</f>
        <v>-1.6712957369318604</v>
      </c>
      <c r="T209" s="1">
        <f>(Main_S[[#This Row],[P/E]]-VLOOKUP(Main_S[[#This Row],[Industry]], Mean_PE_S, 2, FALSE))/(VLOOKUP(Main_S[[#This Row],[Industry]], Mean_PE_S, 3, FALSE))</f>
        <v>2.0059066734714746</v>
      </c>
      <c r="U2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0" spans="1:26" x14ac:dyDescent="0.25">
      <c r="A210" s="67" t="s">
        <v>149</v>
      </c>
      <c r="B210" s="67" t="s">
        <v>384</v>
      </c>
      <c r="C210" s="2">
        <v>1457</v>
      </c>
      <c r="D210">
        <f>RTD("tos.rtd", , "LAST", Main_S[[#This Row],[Symbol]])</f>
        <v>27.5</v>
      </c>
      <c r="E210">
        <v>0.38</v>
      </c>
      <c r="F210">
        <v>4.75</v>
      </c>
      <c r="G210">
        <v>-0.73</v>
      </c>
      <c r="H210" s="1">
        <f>IF(ISNUMBER(Main_S[[#This Row],[Free CF]]),IF(Main_S[[#This Row],[Free CF]]&lt;&gt;0,Main_S[[#This Row],[Current Price]]/Main_S[[#This Row],[Free CF]],""),"")</f>
        <v>72.368421052631575</v>
      </c>
      <c r="I210" s="1">
        <f>IF(ISNUMBER(Main_S[[#This Row],[BVPS]]),IF(Main_S[[#This Row],[BVPS]]&lt;&gt;0,Main_S[[#This Row],[Current Price]]/Main_S[[#This Row],[BVPS]],""),"")</f>
        <v>5.7894736842105265</v>
      </c>
      <c r="J210">
        <v>-15.97</v>
      </c>
      <c r="K210">
        <v>-5.98</v>
      </c>
      <c r="L210">
        <v>1.42</v>
      </c>
      <c r="M210" s="1">
        <f>IF(ISNUMBER(Main_S[[#This Row],[EPS]]),IF(Main_S[[#This Row],[EPS]]&lt;&gt;0,Main_S[[#This Row],[Current Price]]/Main_S[[#This Row],[EPS]],""),"")</f>
        <v>-37.671232876712331</v>
      </c>
      <c r="N2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0" s="1">
        <f>(Main_S[[#This Row],[P/FCF]]-VLOOKUP(Main_S[[#This Row],[Industry]], Mean_PFCF_S, 2, FALSE))/(VLOOKUP(Main_S[[#This Row],[Industry]], Mean_PFCF_S, 3, FALSE))</f>
        <v>1.4806383499073006</v>
      </c>
      <c r="P210" s="1">
        <f>(Main_S[[#This Row],[P/B]]-VLOOKUP(Main_S[[#This Row],[Industry]], Mean_PB_S, 2, FALSE))/(VLOOKUP(Main_S[[#This Row],[Industry]], Mean_PB_S, 3, FALSE))</f>
        <v>2.1823622722776648</v>
      </c>
      <c r="Q210" s="1">
        <f>(Main_S[[#This Row],[ROE]]-VLOOKUP(Main_S[[#This Row],[Industry]], Mean_ROE_S, 2, FALSE))/(VLOOKUP(Main_S[[#This Row],[Industry]], Mean_ROE_S, 3, FALSE))</f>
        <v>6.8423186091379345E-2</v>
      </c>
      <c r="R210" s="1">
        <f>(Main_S[[#This Row],[ROA]]-VLOOKUP(Main_S[[#This Row],[Industry]], Mean_ROA_S, 2, FALSE))/(VLOOKUP(Main_S[[#This Row],[Industry]], Mean_ROA_S, 3, FALSE))</f>
        <v>-1.9375652033168171</v>
      </c>
      <c r="S210" s="1">
        <f>(Main_S[[#This Row],[A/E]]-VLOOKUP(Main_S[[#This Row],[Industry]], Mean_AE_S, 2, FALSE))/(VLOOKUP(Main_S[[#This Row],[Industry]], Mean_AE_S, 3, FALSE))</f>
        <v>-0.98458247540059574</v>
      </c>
      <c r="T210" s="1">
        <f>(Main_S[[#This Row],[P/E]]-VLOOKUP(Main_S[[#This Row],[Industry]], Mean_PE_S, 2, FALSE))/(VLOOKUP(Main_S[[#This Row],[Industry]], Mean_PE_S, 3, FALSE))</f>
        <v>-1.3952368132377722</v>
      </c>
      <c r="U2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1" spans="1:26" x14ac:dyDescent="0.25">
      <c r="A211" s="67" t="s">
        <v>149</v>
      </c>
      <c r="B211" s="67" t="s">
        <v>385</v>
      </c>
      <c r="C211" s="2">
        <v>1586</v>
      </c>
      <c r="D211">
        <f>RTD("tos.rtd", , "LAST", Main_S[[#This Row],[Symbol]])</f>
        <v>25.47</v>
      </c>
      <c r="E211">
        <v>0.3</v>
      </c>
      <c r="F211">
        <v>5.09</v>
      </c>
      <c r="G211">
        <v>-2.64</v>
      </c>
      <c r="H211" s="1">
        <f>IF(ISNUMBER(Main_S[[#This Row],[Free CF]]),IF(Main_S[[#This Row],[Free CF]]&lt;&gt;0,Main_S[[#This Row],[Current Price]]/Main_S[[#This Row],[Free CF]],""),"")</f>
        <v>84.9</v>
      </c>
      <c r="I211" s="1">
        <f>IF(ISNUMBER(Main_S[[#This Row],[BVPS]]),IF(Main_S[[#This Row],[BVPS]]&lt;&gt;0,Main_S[[#This Row],[Current Price]]/Main_S[[#This Row],[BVPS]],""),"")</f>
        <v>5.0039292730844789</v>
      </c>
      <c r="J211">
        <v>-43.33</v>
      </c>
      <c r="K211">
        <v>-16.27</v>
      </c>
      <c r="L211">
        <v>1.99</v>
      </c>
      <c r="M211" s="1">
        <f>IF(ISNUMBER(Main_S[[#This Row],[EPS]]),IF(Main_S[[#This Row],[EPS]]&lt;&gt;0,Main_S[[#This Row],[Current Price]]/Main_S[[#This Row],[EPS]],""),"")</f>
        <v>-9.6477272727272716</v>
      </c>
      <c r="N2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1" s="1">
        <f>(Main_S[[#This Row],[P/FCF]]-VLOOKUP(Main_S[[#This Row],[Industry]], Mean_PFCF_S, 2, FALSE))/(VLOOKUP(Main_S[[#This Row],[Industry]], Mean_PFCF_S, 3, FALSE))</f>
        <v>1.8668079020620179</v>
      </c>
      <c r="P211" s="1">
        <f>(Main_S[[#This Row],[P/B]]-VLOOKUP(Main_S[[#This Row],[Industry]], Mean_PB_S, 2, FALSE))/(VLOOKUP(Main_S[[#This Row],[Industry]], Mean_PB_S, 3, FALSE))</f>
        <v>1.6677048137672326</v>
      </c>
      <c r="Q211" s="1">
        <f>(Main_S[[#This Row],[ROE]]-VLOOKUP(Main_S[[#This Row],[Industry]], Mean_ROE_S, 2, FALSE))/(VLOOKUP(Main_S[[#This Row],[Industry]], Mean_ROE_S, 3, FALSE))</f>
        <v>-0.93144365158248332</v>
      </c>
      <c r="R211" s="1">
        <f>(Main_S[[#This Row],[ROA]]-VLOOKUP(Main_S[[#This Row],[Industry]], Mean_ROA_S, 2, FALSE))/(VLOOKUP(Main_S[[#This Row],[Industry]], Mean_ROA_S, 3, FALSE))</f>
        <v>-5.1908361616159331</v>
      </c>
      <c r="S211" s="1">
        <f>(Main_S[[#This Row],[A/E]]-VLOOKUP(Main_S[[#This Row],[Industry]], Mean_AE_S, 2, FALSE))/(VLOOKUP(Main_S[[#This Row],[Industry]], Mean_AE_S, 3, FALSE))</f>
        <v>0.10271352202390721</v>
      </c>
      <c r="T211" s="1">
        <f>(Main_S[[#This Row],[P/E]]-VLOOKUP(Main_S[[#This Row],[Industry]], Mean_PE_S, 2, FALSE))/(VLOOKUP(Main_S[[#This Row],[Industry]], Mean_PE_S, 3, FALSE))</f>
        <v>-0.55818068006317545</v>
      </c>
      <c r="U2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2" spans="1:26" x14ac:dyDescent="0.25">
      <c r="A212" s="67" t="s">
        <v>149</v>
      </c>
      <c r="B212" s="67" t="s">
        <v>381</v>
      </c>
      <c r="C212" s="2">
        <v>1400</v>
      </c>
      <c r="D212">
        <f>RTD("tos.rtd", , "LAST", Main_S[[#This Row],[Symbol]])</f>
        <v>4.1100000000000003</v>
      </c>
      <c r="E212">
        <v>0.21</v>
      </c>
      <c r="F212">
        <v>1.81</v>
      </c>
      <c r="G212">
        <v>7.0000000000000007E-2</v>
      </c>
      <c r="H212" s="1">
        <f>IF(ISNUMBER(Main_S[[#This Row],[Free CF]]),IF(Main_S[[#This Row],[Free CF]]&lt;&gt;0,Main_S[[#This Row],[Current Price]]/Main_S[[#This Row],[Free CF]],""),"")</f>
        <v>19.571428571428573</v>
      </c>
      <c r="I212" s="1">
        <f>IF(ISNUMBER(Main_S[[#This Row],[BVPS]]),IF(Main_S[[#This Row],[BVPS]]&lt;&gt;0,Main_S[[#This Row],[Current Price]]/Main_S[[#This Row],[BVPS]],""),"")</f>
        <v>2.270718232044199</v>
      </c>
      <c r="J212">
        <v>4.43</v>
      </c>
      <c r="K212">
        <v>4.26</v>
      </c>
      <c r="L212">
        <v>1.98</v>
      </c>
      <c r="M212" s="1">
        <f>IF(ISNUMBER(Main_S[[#This Row],[EPS]]),IF(Main_S[[#This Row],[EPS]]&lt;&gt;0,Main_S[[#This Row],[Current Price]]/Main_S[[#This Row],[EPS]],""),"")</f>
        <v>58.714285714285715</v>
      </c>
      <c r="N2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2" s="1">
        <f>(Main_S[[#This Row],[P/FCF]]-VLOOKUP(Main_S[[#This Row],[Industry]], Mean_PFCF_S, 2, FALSE))/(VLOOKUP(Main_S[[#This Row],[Industry]], Mean_PFCF_S, 3, FALSE))</f>
        <v>-0.14633866769060033</v>
      </c>
      <c r="P212" s="1">
        <f>(Main_S[[#This Row],[P/B]]-VLOOKUP(Main_S[[#This Row],[Industry]], Mean_PB_S, 2, FALSE))/(VLOOKUP(Main_S[[#This Row],[Industry]], Mean_PB_S, 3, FALSE))</f>
        <v>-0.1229863655360989</v>
      </c>
      <c r="Q212" s="1">
        <f>(Main_S[[#This Row],[ROE]]-VLOOKUP(Main_S[[#This Row],[Industry]], Mean_ROE_S, 2, FALSE))/(VLOOKUP(Main_S[[#This Row],[Industry]], Mean_ROE_S, 3, FALSE))</f>
        <v>0.81393793347978571</v>
      </c>
      <c r="R212" s="1">
        <f>(Main_S[[#This Row],[ROA]]-VLOOKUP(Main_S[[#This Row],[Industry]], Mean_ROA_S, 2, FALSE))/(VLOOKUP(Main_S[[#This Row],[Industry]], Mean_ROA_S, 3, FALSE))</f>
        <v>1.2998978300148594</v>
      </c>
      <c r="S212" s="1">
        <f>(Main_S[[#This Row],[A/E]]-VLOOKUP(Main_S[[#This Row],[Industry]], Mean_AE_S, 2, FALSE))/(VLOOKUP(Main_S[[#This Row],[Industry]], Mean_AE_S, 3, FALSE))</f>
        <v>8.3638153648038713E-2</v>
      </c>
      <c r="T212" s="1">
        <f>(Main_S[[#This Row],[P/E]]-VLOOKUP(Main_S[[#This Row],[Industry]], Mean_PE_S, 2, FALSE))/(VLOOKUP(Main_S[[#This Row],[Industry]], Mean_PE_S, 3, FALSE))</f>
        <v>1.4837780618439516</v>
      </c>
      <c r="U2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3" spans="1:26" x14ac:dyDescent="0.25">
      <c r="A213" s="67" t="s">
        <v>149</v>
      </c>
      <c r="B213" s="67" t="s">
        <v>571</v>
      </c>
      <c r="C213" s="2">
        <v>411</v>
      </c>
      <c r="D213">
        <f>RTD("tos.rtd", , "LAST", Main_S[[#This Row],[Symbol]])</f>
        <v>7.4924999999999997</v>
      </c>
      <c r="E213">
        <v>0.2</v>
      </c>
      <c r="F213">
        <v>2.2400000000000002</v>
      </c>
      <c r="G213">
        <v>0.03</v>
      </c>
      <c r="H213" s="1">
        <f>IF(ISNUMBER(Main_S[[#This Row],[Free CF]]),IF(Main_S[[#This Row],[Free CF]]&lt;&gt;0,Main_S[[#This Row],[Current Price]]/Main_S[[#This Row],[Free CF]],""),"")</f>
        <v>37.462499999999999</v>
      </c>
      <c r="I213" s="1">
        <f>IF(ISNUMBER(Main_S[[#This Row],[BVPS]]),IF(Main_S[[#This Row],[BVPS]]&lt;&gt;0,Main_S[[#This Row],[Current Price]]/Main_S[[#This Row],[BVPS]],""),"")</f>
        <v>3.3448660714285712</v>
      </c>
      <c r="J213">
        <v>2.15</v>
      </c>
      <c r="K213">
        <v>3.13</v>
      </c>
      <c r="L213">
        <v>1.36</v>
      </c>
      <c r="M213" s="1">
        <f>IF(ISNUMBER(Main_S[[#This Row],[EPS]]),IF(Main_S[[#This Row],[EPS]]&lt;&gt;0,Main_S[[#This Row],[Current Price]]/Main_S[[#This Row],[EPS]],""),"")</f>
        <v>249.75</v>
      </c>
      <c r="N2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3" s="1">
        <f>(Main_S[[#This Row],[P/FCF]]-VLOOKUP(Main_S[[#This Row],[Industry]], Mean_PFCF_S, 2, FALSE))/(VLOOKUP(Main_S[[#This Row],[Industry]], Mean_PFCF_S, 3, FALSE))</f>
        <v>0.4049874716695428</v>
      </c>
      <c r="P213" s="1">
        <f>(Main_S[[#This Row],[P/B]]-VLOOKUP(Main_S[[#This Row],[Industry]], Mean_PB_S, 2, FALSE))/(VLOOKUP(Main_S[[#This Row],[Industry]], Mean_PB_S, 3, FALSE))</f>
        <v>0.58075258194058088</v>
      </c>
      <c r="Q213" s="1">
        <f>(Main_S[[#This Row],[ROE]]-VLOOKUP(Main_S[[#This Row],[Industry]], Mean_ROE_S, 2, FALSE))/(VLOOKUP(Main_S[[#This Row],[Industry]], Mean_ROE_S, 3, FALSE))</f>
        <v>0.73061569700696383</v>
      </c>
      <c r="R213" s="1">
        <f>(Main_S[[#This Row],[ROA]]-VLOOKUP(Main_S[[#This Row],[Industry]], Mean_ROA_S, 2, FALSE))/(VLOOKUP(Main_S[[#This Row],[Industry]], Mean_ROA_S, 3, FALSE))</f>
        <v>0.9426387257507195</v>
      </c>
      <c r="S213" s="1">
        <f>(Main_S[[#This Row],[A/E]]-VLOOKUP(Main_S[[#This Row],[Industry]], Mean_AE_S, 2, FALSE))/(VLOOKUP(Main_S[[#This Row],[Industry]], Mean_AE_S, 3, FALSE))</f>
        <v>-1.0990346856558062</v>
      </c>
      <c r="T213" s="1">
        <f>(Main_S[[#This Row],[P/E]]-VLOOKUP(Main_S[[#This Row],[Industry]], Mean_PE_S, 2, FALSE))/(VLOOKUP(Main_S[[#This Row],[Industry]], Mean_PE_S, 3, FALSE))</f>
        <v>7.189974087351465</v>
      </c>
      <c r="U2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4" spans="1:26" x14ac:dyDescent="0.25">
      <c r="A214" s="67" t="s">
        <v>149</v>
      </c>
      <c r="B214" s="67" t="s">
        <v>577</v>
      </c>
      <c r="C214" s="2">
        <v>442</v>
      </c>
      <c r="D214">
        <f>RTD("tos.rtd", , "LAST", Main_S[[#This Row],[Symbol]])</f>
        <v>4.7569999999999997</v>
      </c>
      <c r="E214">
        <v>-0.01</v>
      </c>
      <c r="F214">
        <v>0.49</v>
      </c>
      <c r="G214">
        <v>-0.02</v>
      </c>
      <c r="H214" s="1">
        <f>IF(ISNUMBER(Main_S[[#This Row],[Free CF]]),IF(Main_S[[#This Row],[Free CF]]&lt;&gt;0,Main_S[[#This Row],[Current Price]]/Main_S[[#This Row],[Free CF]],""),"")</f>
        <v>-475.69999999999993</v>
      </c>
      <c r="I214" s="1">
        <f>IF(ISNUMBER(Main_S[[#This Row],[BVPS]]),IF(Main_S[[#This Row],[BVPS]]&lt;&gt;0,Main_S[[#This Row],[Current Price]]/Main_S[[#This Row],[BVPS]],""),"")</f>
        <v>9.7081632653061227</v>
      </c>
      <c r="J214">
        <v>-4.5599999999999996</v>
      </c>
      <c r="K214">
        <v>-2.77</v>
      </c>
      <c r="L214">
        <v>2.04</v>
      </c>
      <c r="M214" s="1">
        <f>IF(ISNUMBER(Main_S[[#This Row],[EPS]]),IF(Main_S[[#This Row],[EPS]]&lt;&gt;0,Main_S[[#This Row],[Current Price]]/Main_S[[#This Row],[EPS]],""),"")</f>
        <v>-237.84999999999997</v>
      </c>
      <c r="N2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4" s="1">
        <f>(Main_S[[#This Row],[P/FCF]]-VLOOKUP(Main_S[[#This Row],[Industry]], Mean_PFCF_S, 2, FALSE))/(VLOOKUP(Main_S[[#This Row],[Industry]], Mean_PFCF_S, 3, FALSE))</f>
        <v>-15.408481337000355</v>
      </c>
      <c r="P214" s="1">
        <f>(Main_S[[#This Row],[P/B]]-VLOOKUP(Main_S[[#This Row],[Industry]], Mean_PB_S, 2, FALSE))/(VLOOKUP(Main_S[[#This Row],[Industry]], Mean_PB_S, 3, FALSE))</f>
        <v>4.7497318467196621</v>
      </c>
      <c r="Q214" s="1">
        <f>(Main_S[[#This Row],[ROE]]-VLOOKUP(Main_S[[#This Row],[Industry]], Mean_ROE_S, 2, FALSE))/(VLOOKUP(Main_S[[#This Row],[Industry]], Mean_ROE_S, 3, FALSE))</f>
        <v>0.48539981686107142</v>
      </c>
      <c r="R214" s="1">
        <f>(Main_S[[#This Row],[ROA]]-VLOOKUP(Main_S[[#This Row],[Industry]], Mean_ROA_S, 2, FALSE))/(VLOOKUP(Main_S[[#This Row],[Industry]], Mean_ROA_S, 3, FALSE))</f>
        <v>-0.92269642040717992</v>
      </c>
      <c r="S214" s="1">
        <f>(Main_S[[#This Row],[A/E]]-VLOOKUP(Main_S[[#This Row],[Industry]], Mean_AE_S, 2, FALSE))/(VLOOKUP(Main_S[[#This Row],[Industry]], Mean_AE_S, 3, FALSE))</f>
        <v>0.19809036390324963</v>
      </c>
      <c r="T214" s="1">
        <f>(Main_S[[#This Row],[P/E]]-VLOOKUP(Main_S[[#This Row],[Industry]], Mean_PE_S, 2, FALSE))/(VLOOKUP(Main_S[[#This Row],[Industry]], Mean_PE_S, 3, FALSE))</f>
        <v>-7.3745338762022783</v>
      </c>
      <c r="U2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5" spans="1:26" x14ac:dyDescent="0.25">
      <c r="A215" s="67" t="s">
        <v>149</v>
      </c>
      <c r="B215" s="67" t="s">
        <v>382</v>
      </c>
      <c r="C215" s="2">
        <v>264</v>
      </c>
      <c r="D215">
        <f>RTD("tos.rtd", , "LAST", Main_S[[#This Row],[Symbol]])</f>
        <v>4.16</v>
      </c>
      <c r="E215">
        <v>-0.23</v>
      </c>
      <c r="F215">
        <v>5.42</v>
      </c>
      <c r="G215">
        <v>-1.1599999999999999</v>
      </c>
      <c r="H215" s="1">
        <f>IF(ISNUMBER(Main_S[[#This Row],[Free CF]]),IF(Main_S[[#This Row],[Free CF]]&lt;&gt;0,Main_S[[#This Row],[Current Price]]/Main_S[[#This Row],[Free CF]],""),"")</f>
        <v>-18.086956521739129</v>
      </c>
      <c r="I215" s="1">
        <f>IF(ISNUMBER(Main_S[[#This Row],[BVPS]]),IF(Main_S[[#This Row],[BVPS]]&lt;&gt;0,Main_S[[#This Row],[Current Price]]/Main_S[[#This Row],[BVPS]],""),"")</f>
        <v>0.76752767527675281</v>
      </c>
      <c r="J215">
        <v>-19.8</v>
      </c>
      <c r="K215">
        <v>-4.1500000000000004</v>
      </c>
      <c r="L215">
        <v>2.37</v>
      </c>
      <c r="M215" s="1">
        <f>IF(ISNUMBER(Main_S[[#This Row],[EPS]]),IF(Main_S[[#This Row],[EPS]]&lt;&gt;0,Main_S[[#This Row],[Current Price]]/Main_S[[#This Row],[EPS]],""),"")</f>
        <v>-3.5862068965517246</v>
      </c>
      <c r="N2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5" s="1">
        <f>(Main_S[[#This Row],[P/FCF]]-VLOOKUP(Main_S[[#This Row],[Industry]], Mean_PFCF_S, 2, FALSE))/(VLOOKUP(Main_S[[#This Row],[Industry]], Mean_PFCF_S, 3, FALSE))</f>
        <v>-1.3068086904527603</v>
      </c>
      <c r="P215" s="1">
        <f>(Main_S[[#This Row],[P/B]]-VLOOKUP(Main_S[[#This Row],[Industry]], Mean_PB_S, 2, FALSE))/(VLOOKUP(Main_S[[#This Row],[Industry]], Mean_PB_S, 3, FALSE))</f>
        <v>-1.1078170392008115</v>
      </c>
      <c r="Q215" s="1">
        <f>(Main_S[[#This Row],[ROE]]-VLOOKUP(Main_S[[#This Row],[Industry]], Mean_ROE_S, 2, FALSE))/(VLOOKUP(Main_S[[#This Row],[Industry]], Mean_ROE_S, 3, FALSE))</f>
        <v>-7.154355324673814E-2</v>
      </c>
      <c r="R215" s="1">
        <f>(Main_S[[#This Row],[ROA]]-VLOOKUP(Main_S[[#This Row],[Industry]], Mean_ROA_S, 2, FALSE))/(VLOOKUP(Main_S[[#This Row],[Industry]], Mean_ROA_S, 3, FALSE))</f>
        <v>-1.3589951495085195</v>
      </c>
      <c r="S215" s="1">
        <f>(Main_S[[#This Row],[A/E]]-VLOOKUP(Main_S[[#This Row],[Industry]], Mean_AE_S, 2, FALSE))/(VLOOKUP(Main_S[[#This Row],[Industry]], Mean_AE_S, 3, FALSE))</f>
        <v>0.82757752030690923</v>
      </c>
      <c r="T215" s="1">
        <f>(Main_S[[#This Row],[P/E]]-VLOOKUP(Main_S[[#This Row],[Industry]], Mean_PE_S, 2, FALSE))/(VLOOKUP(Main_S[[#This Row],[Industry]], Mean_PE_S, 3, FALSE))</f>
        <v>-0.37712435973903258</v>
      </c>
      <c r="U2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6" spans="1:26" x14ac:dyDescent="0.25">
      <c r="A216" s="67" t="s">
        <v>149</v>
      </c>
      <c r="B216" s="67" t="s">
        <v>380</v>
      </c>
      <c r="C216" s="2">
        <v>875</v>
      </c>
      <c r="D216">
        <f>RTD("tos.rtd", , "LAST", Main_S[[#This Row],[Symbol]])</f>
        <v>8.48</v>
      </c>
      <c r="E216">
        <v>-0.35</v>
      </c>
      <c r="F216">
        <v>8.07</v>
      </c>
      <c r="G216">
        <v>-1.22</v>
      </c>
      <c r="H216" s="1">
        <f>IF(ISNUMBER(Main_S[[#This Row],[Free CF]]),IF(Main_S[[#This Row],[Free CF]]&lt;&gt;0,Main_S[[#This Row],[Current Price]]/Main_S[[#This Row],[Free CF]],""),"")</f>
        <v>-24.228571428571431</v>
      </c>
      <c r="I216" s="1">
        <f>IF(ISNUMBER(Main_S[[#This Row],[BVPS]]),IF(Main_S[[#This Row],[BVPS]]&lt;&gt;0,Main_S[[#This Row],[Current Price]]/Main_S[[#This Row],[BVPS]],""),"")</f>
        <v>1.0508054522924413</v>
      </c>
      <c r="J216">
        <v>-9.24</v>
      </c>
      <c r="K216">
        <v>-0.04</v>
      </c>
      <c r="L216">
        <v>2.84</v>
      </c>
      <c r="M216" s="1">
        <f>IF(ISNUMBER(Main_S[[#This Row],[EPS]]),IF(Main_S[[#This Row],[EPS]]&lt;&gt;0,Main_S[[#This Row],[Current Price]]/Main_S[[#This Row],[EPS]],""),"")</f>
        <v>-6.9508196721311482</v>
      </c>
      <c r="N2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6" s="1">
        <f>(Main_S[[#This Row],[P/FCF]]-VLOOKUP(Main_S[[#This Row],[Industry]], Mean_PFCF_S, 2, FALSE))/(VLOOKUP(Main_S[[#This Row],[Industry]], Mean_PFCF_S, 3, FALSE))</f>
        <v>-1.4960669385984349</v>
      </c>
      <c r="P216" s="1">
        <f>(Main_S[[#This Row],[P/B]]-VLOOKUP(Main_S[[#This Row],[Industry]], Mean_PB_S, 2, FALSE))/(VLOOKUP(Main_S[[#This Row],[Industry]], Mean_PB_S, 3, FALSE))</f>
        <v>-0.92222470513736454</v>
      </c>
      <c r="Q216" s="1">
        <f>(Main_S[[#This Row],[ROE]]-VLOOKUP(Main_S[[#This Row],[Industry]], Mean_ROE_S, 2, FALSE))/(VLOOKUP(Main_S[[#This Row],[Industry]], Mean_ROE_S, 3, FALSE))</f>
        <v>0.31436996304843695</v>
      </c>
      <c r="R216" s="1">
        <f>(Main_S[[#This Row],[ROA]]-VLOOKUP(Main_S[[#This Row],[Industry]], Mean_ROA_S, 2, FALSE))/(VLOOKUP(Main_S[[#This Row],[Industry]], Mean_ROA_S, 3, FALSE))</f>
        <v>-5.9583717184965475E-2</v>
      </c>
      <c r="S216" s="1">
        <f>(Main_S[[#This Row],[A/E]]-VLOOKUP(Main_S[[#This Row],[Industry]], Mean_AE_S, 2, FALSE))/(VLOOKUP(Main_S[[#This Row],[Industry]], Mean_AE_S, 3, FALSE))</f>
        <v>1.7241198339727268</v>
      </c>
      <c r="T216" s="1">
        <f>(Main_S[[#This Row],[P/E]]-VLOOKUP(Main_S[[#This Row],[Industry]], Mean_PE_S, 2, FALSE))/(VLOOKUP(Main_S[[#This Row],[Industry]], Mean_PE_S, 3, FALSE))</f>
        <v>-0.47762462545724665</v>
      </c>
      <c r="U2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7" spans="1:26" x14ac:dyDescent="0.25">
      <c r="A217" s="67" t="s">
        <v>149</v>
      </c>
      <c r="B217" s="67" t="s">
        <v>378</v>
      </c>
      <c r="C217" s="2">
        <v>632</v>
      </c>
      <c r="D217">
        <f>RTD("tos.rtd", , "LAST", Main_S[[#This Row],[Symbol]])</f>
        <v>38.54</v>
      </c>
      <c r="E217">
        <v>-6.1</v>
      </c>
      <c r="F217">
        <v>0.9</v>
      </c>
      <c r="G217">
        <v>-74.849999999999994</v>
      </c>
      <c r="H217" s="1">
        <f>IF(ISNUMBER(Main_S[[#This Row],[Free CF]]),IF(Main_S[[#This Row],[Free CF]]&lt;&gt;0,Main_S[[#This Row],[Current Price]]/Main_S[[#This Row],[Free CF]],""),"")</f>
        <v>-6.3180327868852464</v>
      </c>
      <c r="I217" s="1">
        <f>IF(ISNUMBER(Main_S[[#This Row],[BVPS]]),IF(Main_S[[#This Row],[BVPS]]&lt;&gt;0,Main_S[[#This Row],[Current Price]]/Main_S[[#This Row],[BVPS]],""),"")</f>
        <v>42.822222222222223</v>
      </c>
      <c r="J217">
        <v>-198.69</v>
      </c>
      <c r="K217">
        <v>0.83</v>
      </c>
      <c r="L217">
        <v>342.97</v>
      </c>
      <c r="M217" s="1">
        <f>IF(ISNUMBER(Main_S[[#This Row],[EPS]]),IF(Main_S[[#This Row],[EPS]]&lt;&gt;0,Main_S[[#This Row],[Current Price]]/Main_S[[#This Row],[EPS]],""),"")</f>
        <v>-0.51489645958583841</v>
      </c>
      <c r="N2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7" s="1">
        <f>(Main_S[[#This Row],[P/FCF]]-VLOOKUP(Main_S[[#This Row],[Industry]], Mean_PFCF_S, 2, FALSE))/(VLOOKUP(Main_S[[#This Row],[Industry]], Mean_PFCF_S, 3, FALSE))</f>
        <v>-0.94414090316758914</v>
      </c>
      <c r="P217" s="1">
        <f>(Main_S[[#This Row],[P/B]]-VLOOKUP(Main_S[[#This Row],[Industry]], Mean_PB_S, 2, FALSE))/(VLOOKUP(Main_S[[#This Row],[Industry]], Mean_PB_S, 3, FALSE))</f>
        <v>26.444746389947632</v>
      </c>
      <c r="Q217" s="1">
        <f>(Main_S[[#This Row],[ROE]]-VLOOKUP(Main_S[[#This Row],[Industry]], Mean_ROE_S, 2, FALSE))/(VLOOKUP(Main_S[[#This Row],[Industry]], Mean_ROE_S, 3, FALSE))</f>
        <v>-6.6090500807130139</v>
      </c>
      <c r="R217" s="1">
        <f>(Main_S[[#This Row],[ROA]]-VLOOKUP(Main_S[[#This Row],[Industry]], Mean_ROA_S, 2, FALSE))/(VLOOKUP(Main_S[[#This Row],[Industry]], Mean_ROA_S, 3, FALSE))</f>
        <v>0.21547417724848753</v>
      </c>
      <c r="S217" s="1">
        <f>(Main_S[[#This Row],[A/E]]-VLOOKUP(Main_S[[#This Row],[Industry]], Mean_AE_S, 2, FALSE))/(VLOOKUP(Main_S[[#This Row],[Industry]], Mean_AE_S, 3, FALSE))</f>
        <v>650.53462440238707</v>
      </c>
      <c r="T217" s="1">
        <f>(Main_S[[#This Row],[P/E]]-VLOOKUP(Main_S[[#This Row],[Industry]], Mean_PE_S, 2, FALSE))/(VLOOKUP(Main_S[[#This Row],[Industry]], Mean_PE_S, 3, FALSE))</f>
        <v>-0.28538497229494858</v>
      </c>
      <c r="U2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8" spans="1:26" x14ac:dyDescent="0.25">
      <c r="A218" s="67" t="s">
        <v>190</v>
      </c>
      <c r="B218" s="67" t="s">
        <v>552</v>
      </c>
      <c r="C218" s="2">
        <v>549</v>
      </c>
      <c r="D218">
        <f>RTD("tos.rtd", , "LAST", Main_S[[#This Row],[Symbol]])</f>
        <v>102.86</v>
      </c>
      <c r="E218">
        <v>7.85</v>
      </c>
      <c r="F218">
        <v>29.3</v>
      </c>
      <c r="G218">
        <v>-0.36</v>
      </c>
      <c r="H218" s="1">
        <f>IF(ISNUMBER(Main_S[[#This Row],[Free CF]]),IF(Main_S[[#This Row],[Free CF]]&lt;&gt;0,Main_S[[#This Row],[Current Price]]/Main_S[[#This Row],[Free CF]],""),"")</f>
        <v>13.103184713375796</v>
      </c>
      <c r="I218" s="1">
        <f>IF(ISNUMBER(Main_S[[#This Row],[BVPS]]),IF(Main_S[[#This Row],[BVPS]]&lt;&gt;0,Main_S[[#This Row],[Current Price]]/Main_S[[#This Row],[BVPS]],""),"")</f>
        <v>3.5105802047781567</v>
      </c>
      <c r="J218">
        <v>-1.29</v>
      </c>
      <c r="K218">
        <v>2.5</v>
      </c>
      <c r="L218">
        <v>2.71</v>
      </c>
      <c r="M218" s="1">
        <f>IF(ISNUMBER(Main_S[[#This Row],[EPS]]),IF(Main_S[[#This Row],[EPS]]&lt;&gt;0,Main_S[[#This Row],[Current Price]]/Main_S[[#This Row],[EPS]],""),"")</f>
        <v>-285.72222222222223</v>
      </c>
      <c r="N2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8" s="1">
        <f>(Main_S[[#This Row],[P/FCF]]-VLOOKUP(Main_S[[#This Row],[Industry]], Mean_PFCF_S, 2, FALSE))/(VLOOKUP(Main_S[[#This Row],[Industry]], Mean_PFCF_S, 3, FALSE))</f>
        <v>0.56252537378908696</v>
      </c>
      <c r="P218" s="1">
        <f>(Main_S[[#This Row],[P/B]]-VLOOKUP(Main_S[[#This Row],[Industry]], Mean_PB_S, 2, FALSE))/(VLOOKUP(Main_S[[#This Row],[Industry]], Mean_PB_S, 3, FALSE))</f>
        <v>0.60995463013131512</v>
      </c>
      <c r="Q218" s="1">
        <f>(Main_S[[#This Row],[ROE]]-VLOOKUP(Main_S[[#This Row],[Industry]], Mean_ROE_S, 2, FALSE))/(VLOOKUP(Main_S[[#This Row],[Industry]], Mean_ROE_S, 3, FALSE))</f>
        <v>0.82651659983263226</v>
      </c>
      <c r="R218" s="1">
        <f>(Main_S[[#This Row],[ROA]]-VLOOKUP(Main_S[[#This Row],[Industry]], Mean_ROA_S, 2, FALSE))/(VLOOKUP(Main_S[[#This Row],[Industry]], Mean_ROA_S, 3, FALSE))</f>
        <v>1.0551905823906529</v>
      </c>
      <c r="S218" s="1">
        <f>(Main_S[[#This Row],[A/E]]-VLOOKUP(Main_S[[#This Row],[Industry]], Mean_AE_S, 2, FALSE))/(VLOOKUP(Main_S[[#This Row],[Industry]], Mean_AE_S, 3, FALSE))</f>
        <v>1.0088606906992175</v>
      </c>
      <c r="T218" s="1">
        <f>(Main_S[[#This Row],[P/E]]-VLOOKUP(Main_S[[#This Row],[Industry]], Mean_PE_S, 2, FALSE))/(VLOOKUP(Main_S[[#This Row],[Industry]], Mean_PE_S, 3, FALSE))</f>
        <v>-76.064885835853858</v>
      </c>
      <c r="U2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9" spans="1:26" x14ac:dyDescent="0.25">
      <c r="A219" s="67" t="s">
        <v>190</v>
      </c>
      <c r="B219" s="67" t="s">
        <v>549</v>
      </c>
      <c r="C219" s="2">
        <v>389</v>
      </c>
      <c r="D219">
        <f>RTD("tos.rtd", , "LAST", Main_S[[#This Row],[Symbol]])</f>
        <v>5.5</v>
      </c>
      <c r="E219">
        <v>1.62</v>
      </c>
      <c r="F219">
        <v>9.49</v>
      </c>
      <c r="G219">
        <v>-8.41</v>
      </c>
      <c r="H219" s="1">
        <f>IF(ISNUMBER(Main_S[[#This Row],[Free CF]]),IF(Main_S[[#This Row],[Free CF]]&lt;&gt;0,Main_S[[#This Row],[Current Price]]/Main_S[[#This Row],[Free CF]],""),"")</f>
        <v>3.3950617283950617</v>
      </c>
      <c r="I219" s="1">
        <f>IF(ISNUMBER(Main_S[[#This Row],[BVPS]]),IF(Main_S[[#This Row],[BVPS]]&lt;&gt;0,Main_S[[#This Row],[Current Price]]/Main_S[[#This Row],[BVPS]],""),"")</f>
        <v>0.57955742887249739</v>
      </c>
      <c r="J219">
        <v>-61.58</v>
      </c>
      <c r="K219">
        <v>-1.74</v>
      </c>
      <c r="L219">
        <v>3.63</v>
      </c>
      <c r="M219" s="1">
        <f>IF(ISNUMBER(Main_S[[#This Row],[EPS]]),IF(Main_S[[#This Row],[EPS]]&lt;&gt;0,Main_S[[#This Row],[Current Price]]/Main_S[[#This Row],[EPS]],""),"")</f>
        <v>-0.65398335315101064</v>
      </c>
      <c r="N2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9" s="1">
        <f>(Main_S[[#This Row],[P/FCF]]-VLOOKUP(Main_S[[#This Row],[Industry]], Mean_PFCF_S, 2, FALSE))/(VLOOKUP(Main_S[[#This Row],[Industry]], Mean_PFCF_S, 3, FALSE))</f>
        <v>0.1044268775423854</v>
      </c>
      <c r="P219" s="1">
        <f>(Main_S[[#This Row],[P/B]]-VLOOKUP(Main_S[[#This Row],[Industry]], Mean_PB_S, 2, FALSE))/(VLOOKUP(Main_S[[#This Row],[Industry]], Mean_PB_S, 3, FALSE))</f>
        <v>-0.77964014095961498</v>
      </c>
      <c r="Q219" s="1">
        <f>(Main_S[[#This Row],[ROE]]-VLOOKUP(Main_S[[#This Row],[Industry]], Mean_ROE_S, 2, FALSE))/(VLOOKUP(Main_S[[#This Row],[Industry]], Mean_ROE_S, 3, FALSE))</f>
        <v>-1.3201240867229129</v>
      </c>
      <c r="R219" s="1">
        <f>(Main_S[[#This Row],[ROA]]-VLOOKUP(Main_S[[#This Row],[Industry]], Mean_ROA_S, 2, FALSE))/(VLOOKUP(Main_S[[#This Row],[Industry]], Mean_ROA_S, 3, FALSE))</f>
        <v>0.44780420317040198</v>
      </c>
      <c r="S219" s="1">
        <f>(Main_S[[#This Row],[A/E]]-VLOOKUP(Main_S[[#This Row],[Industry]], Mean_AE_S, 2, FALSE))/(VLOOKUP(Main_S[[#This Row],[Industry]], Mean_AE_S, 3, FALSE))</f>
        <v>2.1467000686506985</v>
      </c>
      <c r="T219" s="1">
        <f>(Main_S[[#This Row],[P/E]]-VLOOKUP(Main_S[[#This Row],[Industry]], Mean_PE_S, 2, FALSE))/(VLOOKUP(Main_S[[#This Row],[Industry]], Mean_PE_S, 3, FALSE))</f>
        <v>1.1471639930822528</v>
      </c>
      <c r="U2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0" spans="1:26" x14ac:dyDescent="0.25">
      <c r="A220" s="67" t="s">
        <v>190</v>
      </c>
      <c r="B220" s="67" t="s">
        <v>544</v>
      </c>
      <c r="C220" s="2">
        <v>1223</v>
      </c>
      <c r="D220">
        <f>RTD("tos.rtd", , "LAST", Main_S[[#This Row],[Symbol]])</f>
        <v>29.28</v>
      </c>
      <c r="E220">
        <v>0.82</v>
      </c>
      <c r="F220">
        <v>37.17</v>
      </c>
      <c r="G220">
        <v>-3.51</v>
      </c>
      <c r="H220" s="1">
        <f>IF(ISNUMBER(Main_S[[#This Row],[Free CF]]),IF(Main_S[[#This Row],[Free CF]]&lt;&gt;0,Main_S[[#This Row],[Current Price]]/Main_S[[#This Row],[Free CF]],""),"")</f>
        <v>35.707317073170735</v>
      </c>
      <c r="I220" s="1">
        <f>IF(ISNUMBER(Main_S[[#This Row],[BVPS]]),IF(Main_S[[#This Row],[BVPS]]&lt;&gt;0,Main_S[[#This Row],[Current Price]]/Main_S[[#This Row],[BVPS]],""),"")</f>
        <v>0.78773204196933011</v>
      </c>
      <c r="J220">
        <v>-8.58</v>
      </c>
      <c r="K220">
        <v>-1.66</v>
      </c>
      <c r="L220">
        <v>1.2</v>
      </c>
      <c r="M220" s="1">
        <f>IF(ISNUMBER(Main_S[[#This Row],[EPS]]),IF(Main_S[[#This Row],[EPS]]&lt;&gt;0,Main_S[[#This Row],[Current Price]]/Main_S[[#This Row],[EPS]],""),"")</f>
        <v>-8.3418803418803424</v>
      </c>
      <c r="N2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0" s="1">
        <f>(Main_S[[#This Row],[P/FCF]]-VLOOKUP(Main_S[[#This Row],[Industry]], Mean_PFCF_S, 2, FALSE))/(VLOOKUP(Main_S[[#This Row],[Industry]], Mean_PFCF_S, 3, FALSE))</f>
        <v>1.6291495872444974</v>
      </c>
      <c r="P220" s="1">
        <f>(Main_S[[#This Row],[P/B]]-VLOOKUP(Main_S[[#This Row],[Industry]], Mean_PB_S, 2, FALSE))/(VLOOKUP(Main_S[[#This Row],[Industry]], Mean_PB_S, 3, FALSE))</f>
        <v>-0.68094477898179762</v>
      </c>
      <c r="Q220" s="1">
        <f>(Main_S[[#This Row],[ROE]]-VLOOKUP(Main_S[[#This Row],[Industry]], Mean_ROE_S, 2, FALSE))/(VLOOKUP(Main_S[[#This Row],[Industry]], Mean_ROE_S, 3, FALSE))</f>
        <v>0.5669543074957617</v>
      </c>
      <c r="R220" s="1">
        <f>(Main_S[[#This Row],[ROA]]-VLOOKUP(Main_S[[#This Row],[Industry]], Mean_ROA_S, 2, FALSE))/(VLOOKUP(Main_S[[#This Row],[Industry]], Mean_ROA_S, 3, FALSE))</f>
        <v>0.45926432353304825</v>
      </c>
      <c r="S220" s="1">
        <f>(Main_S[[#This Row],[A/E]]-VLOOKUP(Main_S[[#This Row],[Industry]], Mean_AE_S, 2, FALSE))/(VLOOKUP(Main_S[[#This Row],[Industry]], Mean_AE_S, 3, FALSE))</f>
        <v>-0.85868002746027883</v>
      </c>
      <c r="T220" s="1">
        <f>(Main_S[[#This Row],[P/E]]-VLOOKUP(Main_S[[#This Row],[Industry]], Mean_PE_S, 2, FALSE))/(VLOOKUP(Main_S[[#This Row],[Industry]], Mean_PE_S, 3, FALSE))</f>
        <v>-0.9351384329208432</v>
      </c>
      <c r="U2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1" spans="1:26" x14ac:dyDescent="0.25">
      <c r="A221" s="67" t="s">
        <v>190</v>
      </c>
      <c r="B221" s="67" t="s">
        <v>555</v>
      </c>
      <c r="C221" s="2">
        <v>852</v>
      </c>
      <c r="D221">
        <f>RTD("tos.rtd", , "LAST", Main_S[[#This Row],[Symbol]])</f>
        <v>13.43</v>
      </c>
      <c r="E221">
        <v>0.26</v>
      </c>
      <c r="F221">
        <v>0.7</v>
      </c>
      <c r="G221">
        <v>0.18</v>
      </c>
      <c r="H221" s="1">
        <f>IF(ISNUMBER(Main_S[[#This Row],[Free CF]]),IF(Main_S[[#This Row],[Free CF]]&lt;&gt;0,Main_S[[#This Row],[Current Price]]/Main_S[[#This Row],[Free CF]],""),"")</f>
        <v>51.653846153846153</v>
      </c>
      <c r="I221" s="1">
        <f>IF(ISNUMBER(Main_S[[#This Row],[BVPS]]),IF(Main_S[[#This Row],[BVPS]]&lt;&gt;0,Main_S[[#This Row],[Current Price]]/Main_S[[#This Row],[BVPS]],""),"")</f>
        <v>19.185714285714287</v>
      </c>
      <c r="J221">
        <v>33.46</v>
      </c>
      <c r="K221">
        <v>12.21</v>
      </c>
      <c r="L221">
        <v>1.47</v>
      </c>
      <c r="M221" s="1">
        <f>IF(ISNUMBER(Main_S[[#This Row],[EPS]]),IF(Main_S[[#This Row],[EPS]]&lt;&gt;0,Main_S[[#This Row],[Current Price]]/Main_S[[#This Row],[EPS]],""),"")</f>
        <v>74.611111111111114</v>
      </c>
      <c r="N2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1" s="1">
        <f>(Main_S[[#This Row],[P/FCF]]-VLOOKUP(Main_S[[#This Row],[Industry]], Mean_PFCF_S, 2, FALSE))/(VLOOKUP(Main_S[[#This Row],[Industry]], Mean_PFCF_S, 3, FALSE))</f>
        <v>2.3816205853471448</v>
      </c>
      <c r="P221" s="1">
        <f>(Main_S[[#This Row],[P/B]]-VLOOKUP(Main_S[[#This Row],[Industry]], Mean_PB_S, 2, FALSE))/(VLOOKUP(Main_S[[#This Row],[Industry]], Mean_PB_S, 3, FALSE))</f>
        <v>8.0415189748633722</v>
      </c>
      <c r="Q221" s="1">
        <f>(Main_S[[#This Row],[ROE]]-VLOOKUP(Main_S[[#This Row],[Industry]], Mean_ROE_S, 2, FALSE))/(VLOOKUP(Main_S[[#This Row],[Industry]], Mean_ROE_S, 3, FALSE))</f>
        <v>2.0637991318911029</v>
      </c>
      <c r="R221" s="1">
        <f>(Main_S[[#This Row],[ROA]]-VLOOKUP(Main_S[[#This Row],[Industry]], Mean_ROA_S, 2, FALSE))/(VLOOKUP(Main_S[[#This Row],[Industry]], Mean_ROA_S, 3, FALSE))</f>
        <v>2.4461626914068408</v>
      </c>
      <c r="S221" s="1">
        <f>(Main_S[[#This Row],[A/E]]-VLOOKUP(Main_S[[#This Row],[Industry]], Mean_AE_S, 2, FALSE))/(VLOOKUP(Main_S[[#This Row],[Industry]], Mean_AE_S, 3, FALSE))</f>
        <v>-0.5247489056701703</v>
      </c>
      <c r="T221" s="1">
        <f>(Main_S[[#This Row],[P/E]]-VLOOKUP(Main_S[[#This Row],[Industry]], Mean_PE_S, 2, FALSE))/(VLOOKUP(Main_S[[#This Row],[Industry]], Mean_PE_S, 3, FALSE))</f>
        <v>21.533062636891856</v>
      </c>
      <c r="U2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2" spans="1:26" x14ac:dyDescent="0.25">
      <c r="A222" s="67" t="s">
        <v>190</v>
      </c>
      <c r="B222" s="67" t="s">
        <v>545</v>
      </c>
      <c r="C222" s="2">
        <v>1041</v>
      </c>
      <c r="D222">
        <f>RTD("tos.rtd", , "LAST", Main_S[[#This Row],[Symbol]])</f>
        <v>23.84</v>
      </c>
      <c r="E222">
        <v>0.2</v>
      </c>
      <c r="F222">
        <v>7.42</v>
      </c>
      <c r="G222">
        <v>-0.19</v>
      </c>
      <c r="H222" s="1">
        <f>IF(ISNUMBER(Main_S[[#This Row],[Free CF]]),IF(Main_S[[#This Row],[Free CF]]&lt;&gt;0,Main_S[[#This Row],[Current Price]]/Main_S[[#This Row],[Free CF]],""),"")</f>
        <v>119.19999999999999</v>
      </c>
      <c r="I222" s="1">
        <f>IF(ISNUMBER(Main_S[[#This Row],[BVPS]]),IF(Main_S[[#This Row],[BVPS]]&lt;&gt;0,Main_S[[#This Row],[Current Price]]/Main_S[[#This Row],[BVPS]],""),"")</f>
        <v>3.2129380053908356</v>
      </c>
      <c r="J222">
        <v>-2.52</v>
      </c>
      <c r="K222">
        <v>-0.79</v>
      </c>
      <c r="L222">
        <v>1.1200000000000001</v>
      </c>
      <c r="M222" s="1">
        <f>IF(ISNUMBER(Main_S[[#This Row],[EPS]]),IF(Main_S[[#This Row],[EPS]]&lt;&gt;0,Main_S[[#This Row],[Current Price]]/Main_S[[#This Row],[EPS]],""),"")</f>
        <v>-125.47368421052632</v>
      </c>
      <c r="N2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2" s="1">
        <f>(Main_S[[#This Row],[P/FCF]]-VLOOKUP(Main_S[[#This Row],[Industry]], Mean_PFCF_S, 2, FALSE))/(VLOOKUP(Main_S[[#This Row],[Industry]], Mean_PFCF_S, 3, FALSE))</f>
        <v>5.5689299706982034</v>
      </c>
      <c r="P222" s="1">
        <f>(Main_S[[#This Row],[P/B]]-VLOOKUP(Main_S[[#This Row],[Industry]], Mean_PB_S, 2, FALSE))/(VLOOKUP(Main_S[[#This Row],[Industry]], Mean_PB_S, 3, FALSE))</f>
        <v>0.46884278094180276</v>
      </c>
      <c r="Q222" s="1">
        <f>(Main_S[[#This Row],[ROE]]-VLOOKUP(Main_S[[#This Row],[Industry]], Mean_ROE_S, 2, FALSE))/(VLOOKUP(Main_S[[#This Row],[Industry]], Mean_ROE_S, 3, FALSE))</f>
        <v>0.78272213898567056</v>
      </c>
      <c r="R222" s="1">
        <f>(Main_S[[#This Row],[ROA]]-VLOOKUP(Main_S[[#This Row],[Industry]], Mean_ROA_S, 2, FALSE))/(VLOOKUP(Main_S[[#This Row],[Industry]], Mean_ROA_S, 3, FALSE))</f>
        <v>0.58389313247682617</v>
      </c>
      <c r="S222" s="1">
        <f>(Main_S[[#This Row],[A/E]]-VLOOKUP(Main_S[[#This Row],[Industry]], Mean_AE_S, 2, FALSE))/(VLOOKUP(Main_S[[#This Row],[Industry]], Mean_AE_S, 3, FALSE))</f>
        <v>-0.95762258206475537</v>
      </c>
      <c r="T222" s="1">
        <f>(Main_S[[#This Row],[P/E]]-VLOOKUP(Main_S[[#This Row],[Industry]], Mean_PE_S, 2, FALSE))/(VLOOKUP(Main_S[[#This Row],[Industry]], Mean_PE_S, 3, FALSE))</f>
        <v>-32.660828789512522</v>
      </c>
      <c r="U2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3" spans="1:26" x14ac:dyDescent="0.25">
      <c r="A223" s="67" t="s">
        <v>190</v>
      </c>
      <c r="B223" s="67" t="s">
        <v>546</v>
      </c>
      <c r="C223" s="2">
        <v>351</v>
      </c>
      <c r="D223">
        <f>RTD("tos.rtd", , "LAST", Main_S[[#This Row],[Symbol]])</f>
        <v>3.56</v>
      </c>
      <c r="E223">
        <v>0.13</v>
      </c>
      <c r="F223">
        <v>2.98</v>
      </c>
      <c r="G223">
        <v>-0.09</v>
      </c>
      <c r="H223" s="1">
        <f>IF(ISNUMBER(Main_S[[#This Row],[Free CF]]),IF(Main_S[[#This Row],[Free CF]]&lt;&gt;0,Main_S[[#This Row],[Current Price]]/Main_S[[#This Row],[Free CF]],""),"")</f>
        <v>27.384615384615383</v>
      </c>
      <c r="I223" s="1">
        <f>IF(ISNUMBER(Main_S[[#This Row],[BVPS]]),IF(Main_S[[#This Row],[BVPS]]&lt;&gt;0,Main_S[[#This Row],[Current Price]]/Main_S[[#This Row],[BVPS]],""),"")</f>
        <v>1.1946308724832215</v>
      </c>
      <c r="J223">
        <v>-2.91</v>
      </c>
      <c r="K223">
        <v>-3.51</v>
      </c>
      <c r="L223">
        <v>1.27</v>
      </c>
      <c r="M223" s="1">
        <f>IF(ISNUMBER(Main_S[[#This Row],[EPS]]),IF(Main_S[[#This Row],[EPS]]&lt;&gt;0,Main_S[[#This Row],[Current Price]]/Main_S[[#This Row],[EPS]],""),"")</f>
        <v>-39.555555555555557</v>
      </c>
      <c r="N2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3" s="1">
        <f>(Main_S[[#This Row],[P/FCF]]-VLOOKUP(Main_S[[#This Row],[Industry]], Mean_PFCF_S, 2, FALSE))/(VLOOKUP(Main_S[[#This Row],[Industry]], Mean_PFCF_S, 3, FALSE))</f>
        <v>1.2364251507972537</v>
      </c>
      <c r="P223" s="1">
        <f>(Main_S[[#This Row],[P/B]]-VLOOKUP(Main_S[[#This Row],[Industry]], Mean_PB_S, 2, FALSE))/(VLOOKUP(Main_S[[#This Row],[Industry]], Mean_PB_S, 3, FALSE))</f>
        <v>-0.48803447753577517</v>
      </c>
      <c r="Q223" s="1">
        <f>(Main_S[[#This Row],[ROE]]-VLOOKUP(Main_S[[#This Row],[Industry]], Mean_ROE_S, 2, FALSE))/(VLOOKUP(Main_S[[#This Row],[Industry]], Mean_ROE_S, 3, FALSE))</f>
        <v>0.76883609042443879</v>
      </c>
      <c r="R223" s="1">
        <f>(Main_S[[#This Row],[ROA]]-VLOOKUP(Main_S[[#This Row],[Industry]], Mean_ROA_S, 2, FALSE))/(VLOOKUP(Main_S[[#This Row],[Industry]], Mean_ROA_S, 3, FALSE))</f>
        <v>0.19424904014685393</v>
      </c>
      <c r="S223" s="1">
        <f>(Main_S[[#This Row],[A/E]]-VLOOKUP(Main_S[[#This Row],[Industry]], Mean_AE_S, 2, FALSE))/(VLOOKUP(Main_S[[#This Row],[Industry]], Mean_AE_S, 3, FALSE))</f>
        <v>-0.7721052921813617</v>
      </c>
      <c r="T223" s="1">
        <f>(Main_S[[#This Row],[P/E]]-VLOOKUP(Main_S[[#This Row],[Industry]], Mean_PE_S, 2, FALSE))/(VLOOKUP(Main_S[[#This Row],[Industry]], Mean_PE_S, 3, FALSE))</f>
        <v>-9.3895066063231383</v>
      </c>
      <c r="U2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4" spans="1:26" x14ac:dyDescent="0.25">
      <c r="A224" s="67" t="s">
        <v>190</v>
      </c>
      <c r="B224" s="67" t="s">
        <v>553</v>
      </c>
      <c r="C224" s="2">
        <v>324</v>
      </c>
      <c r="D224">
        <f>RTD("tos.rtd", , "LAST", Main_S[[#This Row],[Symbol]])</f>
        <v>2.2799999999999998</v>
      </c>
      <c r="E224">
        <v>-0.17</v>
      </c>
      <c r="F224">
        <v>2.09</v>
      </c>
      <c r="G224">
        <v>-1.1599999999999999</v>
      </c>
      <c r="H224" s="1">
        <f>IF(ISNUMBER(Main_S[[#This Row],[Free CF]]),IF(Main_S[[#This Row],[Free CF]]&lt;&gt;0,Main_S[[#This Row],[Current Price]]/Main_S[[#This Row],[Free CF]],""),"")</f>
        <v>-13.411764705882351</v>
      </c>
      <c r="I224" s="1">
        <f>IF(ISNUMBER(Main_S[[#This Row],[BVPS]]),IF(Main_S[[#This Row],[BVPS]]&lt;&gt;0,Main_S[[#This Row],[Current Price]]/Main_S[[#This Row],[BVPS]],""),"")</f>
        <v>1.0909090909090908</v>
      </c>
      <c r="J224">
        <v>-44.32</v>
      </c>
      <c r="K224">
        <v>-4.6399999999999997</v>
      </c>
      <c r="L224">
        <v>3.19</v>
      </c>
      <c r="M224" s="1">
        <f>IF(ISNUMBER(Main_S[[#This Row],[EPS]]),IF(Main_S[[#This Row],[EPS]]&lt;&gt;0,Main_S[[#This Row],[Current Price]]/Main_S[[#This Row],[EPS]],""),"")</f>
        <v>-1.9655172413793103</v>
      </c>
      <c r="N2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4" s="1">
        <f>(Main_S[[#This Row],[P/FCF]]-VLOOKUP(Main_S[[#This Row],[Industry]], Mean_PFCF_S, 2, FALSE))/(VLOOKUP(Main_S[[#This Row],[Industry]], Mean_PFCF_S, 3, FALSE))</f>
        <v>-0.68863908671590268</v>
      </c>
      <c r="P224" s="1">
        <f>(Main_S[[#This Row],[P/B]]-VLOOKUP(Main_S[[#This Row],[Industry]], Mean_PB_S, 2, FALSE))/(VLOOKUP(Main_S[[#This Row],[Industry]], Mean_PB_S, 3, FALSE))</f>
        <v>-0.53720886352433583</v>
      </c>
      <c r="Q224" s="1">
        <f>(Main_S[[#This Row],[ROE]]-VLOOKUP(Main_S[[#This Row],[Industry]], Mean_ROE_S, 2, FALSE))/(VLOOKUP(Main_S[[#This Row],[Industry]], Mean_ROE_S, 3, FALSE))</f>
        <v>-0.70557742475660501</v>
      </c>
      <c r="R224" s="1">
        <f>(Main_S[[#This Row],[ROA]]-VLOOKUP(Main_S[[#This Row],[Industry]], Mean_ROA_S, 2, FALSE))/(VLOOKUP(Main_S[[#This Row],[Industry]], Mean_ROA_S, 3, FALSE))</f>
        <v>3.2374840024475764E-2</v>
      </c>
      <c r="S224" s="1">
        <f>(Main_S[[#This Row],[A/E]]-VLOOKUP(Main_S[[#This Row],[Industry]], Mean_AE_S, 2, FALSE))/(VLOOKUP(Main_S[[#This Row],[Industry]], Mean_AE_S, 3, FALSE))</f>
        <v>1.6025160183260772</v>
      </c>
      <c r="T224" s="1">
        <f>(Main_S[[#This Row],[P/E]]-VLOOKUP(Main_S[[#This Row],[Industry]], Mean_PE_S, 2, FALSE))/(VLOOKUP(Main_S[[#This Row],[Industry]], Mean_PE_S, 3, FALSE))</f>
        <v>0.79192897871528112</v>
      </c>
      <c r="U2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5" spans="1:26" x14ac:dyDescent="0.25">
      <c r="A225" s="67" t="s">
        <v>190</v>
      </c>
      <c r="B225" s="67" t="s">
        <v>557</v>
      </c>
      <c r="C225" s="2">
        <v>308</v>
      </c>
      <c r="D225">
        <f>RTD("tos.rtd", , "LAST", Main_S[[#This Row],[Symbol]])</f>
        <v>5.93</v>
      </c>
      <c r="E225">
        <v>-0.22</v>
      </c>
      <c r="F225">
        <v>1.47</v>
      </c>
      <c r="G225">
        <v>-0.47</v>
      </c>
      <c r="H225" s="1">
        <f>IF(ISNUMBER(Main_S[[#This Row],[Free CF]]),IF(Main_S[[#This Row],[Free CF]]&lt;&gt;0,Main_S[[#This Row],[Current Price]]/Main_S[[#This Row],[Free CF]],""),"")</f>
        <v>-26.954545454545453</v>
      </c>
      <c r="I225" s="1">
        <f>IF(ISNUMBER(Main_S[[#This Row],[BVPS]]),IF(Main_S[[#This Row],[BVPS]]&lt;&gt;0,Main_S[[#This Row],[Current Price]]/Main_S[[#This Row],[BVPS]],""),"")</f>
        <v>4.0340136054421771</v>
      </c>
      <c r="J225">
        <v>-28.76</v>
      </c>
      <c r="K225">
        <v>-12.26</v>
      </c>
      <c r="L225">
        <v>1.45</v>
      </c>
      <c r="M225" s="1">
        <f>IF(ISNUMBER(Main_S[[#This Row],[EPS]]),IF(Main_S[[#This Row],[EPS]]&lt;&gt;0,Main_S[[#This Row],[Current Price]]/Main_S[[#This Row],[EPS]],""),"")</f>
        <v>-12.617021276595745</v>
      </c>
      <c r="N2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5" s="1">
        <f>(Main_S[[#This Row],[P/FCF]]-VLOOKUP(Main_S[[#This Row],[Industry]], Mean_PFCF_S, 2, FALSE))/(VLOOKUP(Main_S[[#This Row],[Industry]], Mean_PFCF_S, 3, FALSE))</f>
        <v>-1.3276840911476897</v>
      </c>
      <c r="P225" s="1">
        <f>(Main_S[[#This Row],[P/B]]-VLOOKUP(Main_S[[#This Row],[Industry]], Mean_PB_S, 2, FALSE))/(VLOOKUP(Main_S[[#This Row],[Industry]], Mean_PB_S, 3, FALSE))</f>
        <v>0.8581138469604368</v>
      </c>
      <c r="Q225" s="1">
        <f>(Main_S[[#This Row],[ROE]]-VLOOKUP(Main_S[[#This Row],[Industry]], Mean_ROE_S, 2, FALSE))/(VLOOKUP(Main_S[[#This Row],[Industry]], Mean_ROE_S, 3, FALSE))</f>
        <v>-0.151559692416179</v>
      </c>
      <c r="R225" s="1">
        <f>(Main_S[[#This Row],[ROA]]-VLOOKUP(Main_S[[#This Row],[Industry]], Mean_ROA_S, 2, FALSE))/(VLOOKUP(Main_S[[#This Row],[Industry]], Mean_ROA_S, 3, FALSE))</f>
        <v>-1.0592016245175788</v>
      </c>
      <c r="S225" s="1">
        <f>(Main_S[[#This Row],[A/E]]-VLOOKUP(Main_S[[#This Row],[Industry]], Mean_AE_S, 2, FALSE))/(VLOOKUP(Main_S[[#This Row],[Industry]], Mean_AE_S, 3, FALSE))</f>
        <v>-0.54948454432128946</v>
      </c>
      <c r="T225" s="1">
        <f>(Main_S[[#This Row],[P/E]]-VLOOKUP(Main_S[[#This Row],[Industry]], Mean_PE_S, 2, FALSE))/(VLOOKUP(Main_S[[#This Row],[Industry]], Mean_PE_S, 3, FALSE))</f>
        <v>-2.093080110978419</v>
      </c>
      <c r="U2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6" spans="1:26" x14ac:dyDescent="0.25">
      <c r="A226" s="67" t="s">
        <v>190</v>
      </c>
      <c r="B226" s="67" t="s">
        <v>554</v>
      </c>
      <c r="C226" s="2">
        <v>253</v>
      </c>
      <c r="D226">
        <f>RTD("tos.rtd", , "LAST", Main_S[[#This Row],[Symbol]])</f>
        <v>2.1800000000000002</v>
      </c>
      <c r="E226">
        <v>-0.31</v>
      </c>
      <c r="F226">
        <v>1.88</v>
      </c>
      <c r="G226">
        <v>-0.4</v>
      </c>
      <c r="H226" s="1">
        <f>IF(ISNUMBER(Main_S[[#This Row],[Free CF]]),IF(Main_S[[#This Row],[Free CF]]&lt;&gt;0,Main_S[[#This Row],[Current Price]]/Main_S[[#This Row],[Free CF]],""),"")</f>
        <v>-7.0322580645161299</v>
      </c>
      <c r="I226" s="1">
        <f>IF(ISNUMBER(Main_S[[#This Row],[BVPS]]),IF(Main_S[[#This Row],[BVPS]]&lt;&gt;0,Main_S[[#This Row],[Current Price]]/Main_S[[#This Row],[BVPS]],""),"")</f>
        <v>1.1595744680851066</v>
      </c>
      <c r="J226">
        <v>-19.63</v>
      </c>
      <c r="K226">
        <v>-13.12</v>
      </c>
      <c r="L226">
        <v>1.1499999999999999</v>
      </c>
      <c r="M226" s="1">
        <f>IF(ISNUMBER(Main_S[[#This Row],[EPS]]),IF(Main_S[[#This Row],[EPS]]&lt;&gt;0,Main_S[[#This Row],[Current Price]]/Main_S[[#This Row],[EPS]],""),"")</f>
        <v>-5.45</v>
      </c>
      <c r="N2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6" s="1">
        <f>(Main_S[[#This Row],[P/FCF]]-VLOOKUP(Main_S[[#This Row],[Industry]], Mean_PFCF_S, 2, FALSE))/(VLOOKUP(Main_S[[#This Row],[Industry]], Mean_PFCF_S, 3, FALSE))</f>
        <v>-0.38760845456105969</v>
      </c>
      <c r="P226" s="1">
        <f>(Main_S[[#This Row],[P/B]]-VLOOKUP(Main_S[[#This Row],[Industry]], Mean_PB_S, 2, FALSE))/(VLOOKUP(Main_S[[#This Row],[Industry]], Mean_PB_S, 3, FALSE))</f>
        <v>-0.50465468146094505</v>
      </c>
      <c r="Q226" s="1">
        <f>(Main_S[[#This Row],[ROE]]-VLOOKUP(Main_S[[#This Row],[Industry]], Mean_ROE_S, 2, FALSE))/(VLOOKUP(Main_S[[#This Row],[Industry]], Mean_ROE_S, 3, FALSE))</f>
        <v>0.17351626492752864</v>
      </c>
      <c r="R226" s="1">
        <f>(Main_S[[#This Row],[ROA]]-VLOOKUP(Main_S[[#This Row],[Industry]], Mean_ROA_S, 2, FALSE))/(VLOOKUP(Main_S[[#This Row],[Industry]], Mean_ROA_S, 3, FALSE))</f>
        <v>-1.1823979184160258</v>
      </c>
      <c r="S226" s="1">
        <f>(Main_S[[#This Row],[A/E]]-VLOOKUP(Main_S[[#This Row],[Industry]], Mean_AE_S, 2, FALSE))/(VLOOKUP(Main_S[[#This Row],[Industry]], Mean_AE_S, 3, FALSE))</f>
        <v>-0.92051912408807679</v>
      </c>
      <c r="T226" s="1">
        <f>(Main_S[[#This Row],[P/E]]-VLOOKUP(Main_S[[#This Row],[Industry]], Mean_PE_S, 2, FALSE))/(VLOOKUP(Main_S[[#This Row],[Industry]], Mean_PE_S, 3, FALSE))</f>
        <v>-0.15185927862986107</v>
      </c>
      <c r="U2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7" spans="1:26" x14ac:dyDescent="0.25">
      <c r="A227" s="67" t="s">
        <v>190</v>
      </c>
      <c r="B227" s="67" t="s">
        <v>551</v>
      </c>
      <c r="C227" s="2">
        <v>251</v>
      </c>
      <c r="D227">
        <f>RTD("tos.rtd", , "LAST", Main_S[[#This Row],[Symbol]])</f>
        <v>6.78</v>
      </c>
      <c r="E227">
        <v>-0.33</v>
      </c>
      <c r="F227">
        <v>0.06</v>
      </c>
      <c r="G227">
        <v>-1.49</v>
      </c>
      <c r="H227" s="1">
        <f>IF(ISNUMBER(Main_S[[#This Row],[Free CF]]),IF(Main_S[[#This Row],[Free CF]]&lt;&gt;0,Main_S[[#This Row],[Current Price]]/Main_S[[#This Row],[Free CF]],""),"")</f>
        <v>-20.545454545454547</v>
      </c>
      <c r="I227" s="1">
        <f>IF(ISNUMBER(Main_S[[#This Row],[BVPS]]),IF(Main_S[[#This Row],[BVPS]]&lt;&gt;0,Main_S[[#This Row],[Current Price]]/Main_S[[#This Row],[BVPS]],""),"")</f>
        <v>113.00000000000001</v>
      </c>
      <c r="J227">
        <v>-83.58</v>
      </c>
      <c r="K227">
        <v>-3.1</v>
      </c>
      <c r="L227">
        <v>106.64</v>
      </c>
      <c r="M227" s="1">
        <f>IF(ISNUMBER(Main_S[[#This Row],[EPS]]),IF(Main_S[[#This Row],[EPS]]&lt;&gt;0,Main_S[[#This Row],[Current Price]]/Main_S[[#This Row],[EPS]],""),"")</f>
        <v>-4.550335570469799</v>
      </c>
      <c r="N2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7" s="1">
        <f>(Main_S[[#This Row],[P/FCF]]-VLOOKUP(Main_S[[#This Row],[Industry]], Mean_PFCF_S, 2, FALSE))/(VLOOKUP(Main_S[[#This Row],[Industry]], Mean_PFCF_S, 3, FALSE))</f>
        <v>-1.0252574621994186</v>
      </c>
      <c r="P227" s="1">
        <f>(Main_S[[#This Row],[P/B]]-VLOOKUP(Main_S[[#This Row],[Industry]], Mean_PB_S, 2, FALSE))/(VLOOKUP(Main_S[[#This Row],[Industry]], Mean_PB_S, 3, FALSE))</f>
        <v>52.518771746098068</v>
      </c>
      <c r="Q227" s="1">
        <f>(Main_S[[#This Row],[ROE]]-VLOOKUP(Main_S[[#This Row],[Industry]], Mean_ROE_S, 2, FALSE))/(VLOOKUP(Main_S[[#This Row],[Industry]], Mean_ROE_S, 3, FALSE))</f>
        <v>-2.1034396465872685</v>
      </c>
      <c r="R227" s="1">
        <f>(Main_S[[#This Row],[ROA]]-VLOOKUP(Main_S[[#This Row],[Industry]], Mean_ROA_S, 2, FALSE))/(VLOOKUP(Main_S[[#This Row],[Industry]], Mean_ROA_S, 3, FALSE))</f>
        <v>0.25298215700541588</v>
      </c>
      <c r="S227" s="1">
        <f>(Main_S[[#This Row],[A/E]]-VLOOKUP(Main_S[[#This Row],[Industry]], Mean_AE_S, 2, FALSE))/(VLOOKUP(Main_S[[#This Row],[Industry]], Mean_AE_S, 3, FALSE))</f>
        <v>129.54760694123991</v>
      </c>
      <c r="T227" s="1">
        <f>(Main_S[[#This Row],[P/E]]-VLOOKUP(Main_S[[#This Row],[Industry]], Mean_PE_S, 2, FALSE))/(VLOOKUP(Main_S[[#This Row],[Industry]], Mean_PE_S, 3, FALSE))</f>
        <v>9.1818989555293648E-2</v>
      </c>
      <c r="U2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8" spans="1:26" x14ac:dyDescent="0.25">
      <c r="A228" s="67" t="s">
        <v>190</v>
      </c>
      <c r="B228" s="67" t="s">
        <v>550</v>
      </c>
      <c r="C228" s="2">
        <v>365</v>
      </c>
      <c r="D228">
        <f>RTD("tos.rtd", , "LAST", Main_S[[#This Row],[Symbol]])</f>
        <v>1.08</v>
      </c>
      <c r="E228">
        <v>-0.33</v>
      </c>
      <c r="F228">
        <v>1.2</v>
      </c>
      <c r="G228">
        <v>-0.35</v>
      </c>
      <c r="H228" s="1">
        <f>IF(ISNUMBER(Main_S[[#This Row],[Free CF]]),IF(Main_S[[#This Row],[Free CF]]&lt;&gt;0,Main_S[[#This Row],[Current Price]]/Main_S[[#This Row],[Free CF]],""),"")</f>
        <v>-3.2727272727272729</v>
      </c>
      <c r="I228" s="1">
        <f>IF(ISNUMBER(Main_S[[#This Row],[BVPS]]),IF(Main_S[[#This Row],[BVPS]]&lt;&gt;0,Main_S[[#This Row],[Current Price]]/Main_S[[#This Row],[BVPS]],""),"")</f>
        <v>0.90000000000000013</v>
      </c>
      <c r="J228">
        <v>-25.73</v>
      </c>
      <c r="K228">
        <v>-11.63</v>
      </c>
      <c r="L228">
        <v>1.28</v>
      </c>
      <c r="M228" s="1">
        <f>IF(ISNUMBER(Main_S[[#This Row],[EPS]]),IF(Main_S[[#This Row],[EPS]]&lt;&gt;0,Main_S[[#This Row],[Current Price]]/Main_S[[#This Row],[EPS]],""),"")</f>
        <v>-3.0857142857142863</v>
      </c>
      <c r="N2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8" s="1">
        <f>(Main_S[[#This Row],[P/FCF]]-VLOOKUP(Main_S[[#This Row],[Industry]], Mean_PFCF_S, 2, FALSE))/(VLOOKUP(Main_S[[#This Row],[Industry]], Mean_PFCF_S, 3, FALSE))</f>
        <v>-0.21020697283528361</v>
      </c>
      <c r="P228" s="1">
        <f>(Main_S[[#This Row],[P/B]]-VLOOKUP(Main_S[[#This Row],[Industry]], Mean_PB_S, 2, FALSE))/(VLOOKUP(Main_S[[#This Row],[Industry]], Mean_PB_S, 3, FALSE))</f>
        <v>-0.62771865985269248</v>
      </c>
      <c r="Q228" s="1">
        <f>(Main_S[[#This Row],[ROE]]-VLOOKUP(Main_S[[#This Row],[Industry]], Mean_ROE_S, 2, FALSE))/(VLOOKUP(Main_S[[#This Row],[Industry]], Mean_ROE_S, 3, FALSE))</f>
        <v>-4.3675776671224541E-2</v>
      </c>
      <c r="R228" s="1">
        <f>(Main_S[[#This Row],[ROA]]-VLOOKUP(Main_S[[#This Row],[Industry]], Mean_ROA_S, 2, FALSE))/(VLOOKUP(Main_S[[#This Row],[Industry]], Mean_ROA_S, 3, FALSE))</f>
        <v>-0.96895317666173986</v>
      </c>
      <c r="S228" s="1">
        <f>(Main_S[[#This Row],[A/E]]-VLOOKUP(Main_S[[#This Row],[Industry]], Mean_AE_S, 2, FALSE))/(VLOOKUP(Main_S[[#This Row],[Industry]], Mean_AE_S, 3, FALSE))</f>
        <v>-0.75973747285580218</v>
      </c>
      <c r="T228" s="1">
        <f>(Main_S[[#This Row],[P/E]]-VLOOKUP(Main_S[[#This Row],[Industry]], Mean_PE_S, 2, FALSE))/(VLOOKUP(Main_S[[#This Row],[Industry]], Mean_PE_S, 3, FALSE))</f>
        <v>0.48851843270512291</v>
      </c>
      <c r="U2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9" spans="1:26" x14ac:dyDescent="0.25">
      <c r="A229" s="67" t="s">
        <v>190</v>
      </c>
      <c r="B229" s="67" t="s">
        <v>548</v>
      </c>
      <c r="C229" s="2">
        <v>1410</v>
      </c>
      <c r="D229">
        <f>RTD("tos.rtd", , "LAST", Main_S[[#This Row],[Symbol]])</f>
        <v>4.12</v>
      </c>
      <c r="E229">
        <v>-0.47</v>
      </c>
      <c r="F229">
        <v>5.56</v>
      </c>
      <c r="G229">
        <v>-1.27</v>
      </c>
      <c r="H229" s="1">
        <f>IF(ISNUMBER(Main_S[[#This Row],[Free CF]]),IF(Main_S[[#This Row],[Free CF]]&lt;&gt;0,Main_S[[#This Row],[Current Price]]/Main_S[[#This Row],[Free CF]],""),"")</f>
        <v>-8.7659574468085122</v>
      </c>
      <c r="I229" s="1">
        <f>IF(ISNUMBER(Main_S[[#This Row],[BVPS]]),IF(Main_S[[#This Row],[BVPS]]&lt;&gt;0,Main_S[[#This Row],[Current Price]]/Main_S[[#This Row],[BVPS]],""),"")</f>
        <v>0.74100719424460437</v>
      </c>
      <c r="J229">
        <v>-20.51</v>
      </c>
      <c r="K229">
        <v>-2.42</v>
      </c>
      <c r="L229">
        <v>2.13</v>
      </c>
      <c r="M229" s="1">
        <f>IF(ISNUMBER(Main_S[[#This Row],[EPS]]),IF(Main_S[[#This Row],[EPS]]&lt;&gt;0,Main_S[[#This Row],[Current Price]]/Main_S[[#This Row],[EPS]],""),"")</f>
        <v>-3.2440944881889764</v>
      </c>
      <c r="N2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9" s="1">
        <f>(Main_S[[#This Row],[P/FCF]]-VLOOKUP(Main_S[[#This Row],[Industry]], Mean_PFCF_S, 2, FALSE))/(VLOOKUP(Main_S[[#This Row],[Industry]], Mean_PFCF_S, 3, FALSE))</f>
        <v>-0.46941675892645313</v>
      </c>
      <c r="P229" s="1">
        <f>(Main_S[[#This Row],[P/B]]-VLOOKUP(Main_S[[#This Row],[Industry]], Mean_PB_S, 2, FALSE))/(VLOOKUP(Main_S[[#This Row],[Industry]], Mean_PB_S, 3, FALSE))</f>
        <v>-0.7030969794396178</v>
      </c>
      <c r="Q229" s="1">
        <f>(Main_S[[#This Row],[ROE]]-VLOOKUP(Main_S[[#This Row],[Industry]], Mean_ROE_S, 2, FALSE))/(VLOOKUP(Main_S[[#This Row],[Industry]], Mean_ROE_S, 3, FALSE))</f>
        <v>0.14218364253295432</v>
      </c>
      <c r="R229" s="1">
        <f>(Main_S[[#This Row],[ROA]]-VLOOKUP(Main_S[[#This Row],[Industry]], Mean_ROA_S, 2, FALSE))/(VLOOKUP(Main_S[[#This Row],[Industry]], Mean_ROA_S, 3, FALSE))</f>
        <v>0.35039318008790898</v>
      </c>
      <c r="S229" s="1">
        <f>(Main_S[[#This Row],[A/E]]-VLOOKUP(Main_S[[#This Row],[Industry]], Mean_AE_S, 2, FALSE))/(VLOOKUP(Main_S[[#This Row],[Industry]], Mean_AE_S, 3, FALSE))</f>
        <v>0.2915271698167618</v>
      </c>
      <c r="T229" s="1">
        <f>(Main_S[[#This Row],[P/E]]-VLOOKUP(Main_S[[#This Row],[Industry]], Mean_PE_S, 2, FALSE))/(VLOOKUP(Main_S[[#This Row],[Industry]], Mean_PE_S, 3, FALSE))</f>
        <v>0.44562042297276078</v>
      </c>
      <c r="U2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0" spans="1:26" x14ac:dyDescent="0.25">
      <c r="A230" s="67" t="s">
        <v>190</v>
      </c>
      <c r="B230" s="67" t="s">
        <v>542</v>
      </c>
      <c r="C230" s="2">
        <v>603</v>
      </c>
      <c r="D230">
        <f>RTD("tos.rtd", , "LAST", Main_S[[#This Row],[Symbol]])</f>
        <v>2.5099999999999998</v>
      </c>
      <c r="E230">
        <v>-0.48</v>
      </c>
      <c r="F230">
        <v>3.43</v>
      </c>
      <c r="G230">
        <v>-0.56999999999999995</v>
      </c>
      <c r="H230" s="1">
        <f>IF(ISNUMBER(Main_S[[#This Row],[Free CF]]),IF(Main_S[[#This Row],[Free CF]]&lt;&gt;0,Main_S[[#This Row],[Current Price]]/Main_S[[#This Row],[Free CF]],""),"")</f>
        <v>-5.2291666666666661</v>
      </c>
      <c r="I230" s="1">
        <f>IF(ISNUMBER(Main_S[[#This Row],[BVPS]]),IF(Main_S[[#This Row],[BVPS]]&lt;&gt;0,Main_S[[#This Row],[Current Price]]/Main_S[[#This Row],[BVPS]],""),"")</f>
        <v>0.73177842565597662</v>
      </c>
      <c r="J230">
        <v>-15.6</v>
      </c>
      <c r="K230">
        <v>-12.94</v>
      </c>
      <c r="L230">
        <v>1.31</v>
      </c>
      <c r="M230" s="1">
        <f>IF(ISNUMBER(Main_S[[#This Row],[EPS]]),IF(Main_S[[#This Row],[EPS]]&lt;&gt;0,Main_S[[#This Row],[Current Price]]/Main_S[[#This Row],[EPS]],""),"")</f>
        <v>-4.4035087719298245</v>
      </c>
      <c r="N2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0" s="1">
        <f>(Main_S[[#This Row],[P/FCF]]-VLOOKUP(Main_S[[#This Row],[Industry]], Mean_PFCF_S, 2, FALSE))/(VLOOKUP(Main_S[[#This Row],[Industry]], Mean_PFCF_S, 3, FALSE))</f>
        <v>-0.30252573988716419</v>
      </c>
      <c r="P230" s="1">
        <f>(Main_S[[#This Row],[P/B]]-VLOOKUP(Main_S[[#This Row],[Industry]], Mean_PB_S, 2, FALSE))/(VLOOKUP(Main_S[[#This Row],[Industry]], Mean_PB_S, 3, FALSE))</f>
        <v>-0.70747232878176092</v>
      </c>
      <c r="Q230" s="1">
        <f>(Main_S[[#This Row],[ROE]]-VLOOKUP(Main_S[[#This Row],[Industry]], Mean_ROE_S, 2, FALSE))/(VLOOKUP(Main_S[[#This Row],[Industry]], Mean_ROE_S, 3, FALSE))</f>
        <v>0.31700543339359011</v>
      </c>
      <c r="R230" s="1">
        <f>(Main_S[[#This Row],[ROA]]-VLOOKUP(Main_S[[#This Row],[Industry]], Mean_ROA_S, 2, FALSE))/(VLOOKUP(Main_S[[#This Row],[Industry]], Mean_ROA_S, 3, FALSE))</f>
        <v>-1.1566126476000718</v>
      </c>
      <c r="S230" s="1">
        <f>(Main_S[[#This Row],[A/E]]-VLOOKUP(Main_S[[#This Row],[Industry]], Mean_AE_S, 2, FALSE))/(VLOOKUP(Main_S[[#This Row],[Industry]], Mean_AE_S, 3, FALSE))</f>
        <v>-0.72263401487912338</v>
      </c>
      <c r="T230" s="1">
        <f>(Main_S[[#This Row],[P/E]]-VLOOKUP(Main_S[[#This Row],[Industry]], Mean_PE_S, 2, FALSE))/(VLOOKUP(Main_S[[#This Row],[Industry]], Mean_PE_S, 3, FALSE))</f>
        <v>0.13158770644240553</v>
      </c>
      <c r="U2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1" spans="1:26" x14ac:dyDescent="0.25">
      <c r="A231" s="67" t="s">
        <v>190</v>
      </c>
      <c r="B231" s="67" t="s">
        <v>543</v>
      </c>
      <c r="C231" s="2">
        <v>1446</v>
      </c>
      <c r="D231">
        <f>RTD("tos.rtd", , "LAST", Main_S[[#This Row],[Symbol]])</f>
        <v>10.45</v>
      </c>
      <c r="E231">
        <v>-0.6</v>
      </c>
      <c r="F231">
        <v>1.25</v>
      </c>
      <c r="G231">
        <v>-0.96</v>
      </c>
      <c r="H231" s="1">
        <f>IF(ISNUMBER(Main_S[[#This Row],[Free CF]]),IF(Main_S[[#This Row],[Free CF]]&lt;&gt;0,Main_S[[#This Row],[Current Price]]/Main_S[[#This Row],[Free CF]],""),"")</f>
        <v>-17.416666666666668</v>
      </c>
      <c r="I231" s="1">
        <f>IF(ISNUMBER(Main_S[[#This Row],[BVPS]]),IF(Main_S[[#This Row],[BVPS]]&lt;&gt;0,Main_S[[#This Row],[Current Price]]/Main_S[[#This Row],[BVPS]],""),"")</f>
        <v>8.36</v>
      </c>
      <c r="J231">
        <v>-61.03</v>
      </c>
      <c r="K231">
        <v>-15.05</v>
      </c>
      <c r="L231">
        <v>2.68</v>
      </c>
      <c r="M231" s="1">
        <f>IF(ISNUMBER(Main_S[[#This Row],[EPS]]),IF(Main_S[[#This Row],[EPS]]&lt;&gt;0,Main_S[[#This Row],[Current Price]]/Main_S[[#This Row],[EPS]],""),"")</f>
        <v>-10.885416666666666</v>
      </c>
      <c r="N2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1" s="1">
        <f>(Main_S[[#This Row],[P/FCF]]-VLOOKUP(Main_S[[#This Row],[Industry]], Mean_PFCF_S, 2, FALSE))/(VLOOKUP(Main_S[[#This Row],[Industry]], Mean_PFCF_S, 3, FALSE))</f>
        <v>-0.87761893057337148</v>
      </c>
      <c r="P231" s="1">
        <f>(Main_S[[#This Row],[P/B]]-VLOOKUP(Main_S[[#This Row],[Industry]], Mean_PB_S, 2, FALSE))/(VLOOKUP(Main_S[[#This Row],[Industry]], Mean_PB_S, 3, FALSE))</f>
        <v>2.9090593814353771</v>
      </c>
      <c r="Q231" s="1">
        <f>(Main_S[[#This Row],[ROE]]-VLOOKUP(Main_S[[#This Row],[Industry]], Mean_ROE_S, 2, FALSE))/(VLOOKUP(Main_S[[#This Row],[Industry]], Mean_ROE_S, 3, FALSE))</f>
        <v>-1.3005411977263042</v>
      </c>
      <c r="R231" s="1">
        <f>(Main_S[[#This Row],[ROA]]-VLOOKUP(Main_S[[#This Row],[Industry]], Mean_ROA_S, 2, FALSE))/(VLOOKUP(Main_S[[#This Row],[Industry]], Mean_ROA_S, 3, FALSE))</f>
        <v>-1.4588733221648669</v>
      </c>
      <c r="S231" s="1">
        <f>(Main_S[[#This Row],[A/E]]-VLOOKUP(Main_S[[#This Row],[Industry]], Mean_AE_S, 2, FALSE))/(VLOOKUP(Main_S[[#This Row],[Industry]], Mean_AE_S, 3, FALSE))</f>
        <v>0.971757232722539</v>
      </c>
      <c r="T231" s="1">
        <f>(Main_S[[#This Row],[P/E]]-VLOOKUP(Main_S[[#This Row],[Industry]], Mean_PE_S, 2, FALSE))/(VLOOKUP(Main_S[[#This Row],[Industry]], Mean_PE_S, 3, FALSE))</f>
        <v>-1.6240670004464286</v>
      </c>
      <c r="U2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2" spans="1:26" x14ac:dyDescent="0.25">
      <c r="A232" s="67" t="s">
        <v>190</v>
      </c>
      <c r="B232" s="67" t="s">
        <v>556</v>
      </c>
      <c r="C232" s="2">
        <v>289</v>
      </c>
      <c r="D232">
        <f>RTD("tos.rtd", , "LAST", Main_S[[#This Row],[Symbol]])</f>
        <v>1.2</v>
      </c>
      <c r="E232">
        <v>-0.65</v>
      </c>
      <c r="F232">
        <v>0.31</v>
      </c>
      <c r="G232">
        <v>-2.34</v>
      </c>
      <c r="H232" s="1">
        <f>IF(ISNUMBER(Main_S[[#This Row],[Free CF]]),IF(Main_S[[#This Row],[Free CF]]&lt;&gt;0,Main_S[[#This Row],[Current Price]]/Main_S[[#This Row],[Free CF]],""),"")</f>
        <v>-1.846153846153846</v>
      </c>
      <c r="I232" s="1">
        <f>IF(ISNUMBER(Main_S[[#This Row],[BVPS]]),IF(Main_S[[#This Row],[BVPS]]&lt;&gt;0,Main_S[[#This Row],[Current Price]]/Main_S[[#This Row],[BVPS]],""),"")</f>
        <v>3.8709677419354835</v>
      </c>
      <c r="J232">
        <v>-177.61</v>
      </c>
      <c r="K232">
        <v>-31.7</v>
      </c>
      <c r="L232">
        <v>9.39</v>
      </c>
      <c r="M232" s="1">
        <f>IF(ISNUMBER(Main_S[[#This Row],[EPS]]),IF(Main_S[[#This Row],[EPS]]&lt;&gt;0,Main_S[[#This Row],[Current Price]]/Main_S[[#This Row],[EPS]],""),"")</f>
        <v>-0.51282051282051289</v>
      </c>
      <c r="N2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2" s="1">
        <f>(Main_S[[#This Row],[P/FCF]]-VLOOKUP(Main_S[[#This Row],[Industry]], Mean_PFCF_S, 2, FALSE))/(VLOOKUP(Main_S[[#This Row],[Industry]], Mean_PFCF_S, 3, FALSE))</f>
        <v>-0.14289106197282062</v>
      </c>
      <c r="P232" s="1">
        <f>(Main_S[[#This Row],[P/B]]-VLOOKUP(Main_S[[#This Row],[Industry]], Mean_PB_S, 2, FALSE))/(VLOOKUP(Main_S[[#This Row],[Industry]], Mean_PB_S, 3, FALSE))</f>
        <v>0.78081397701763178</v>
      </c>
      <c r="Q232" s="1">
        <f>(Main_S[[#This Row],[ROE]]-VLOOKUP(Main_S[[#This Row],[Industry]], Mean_ROE_S, 2, FALSE))/(VLOOKUP(Main_S[[#This Row],[Industry]], Mean_ROE_S, 3, FALSE))</f>
        <v>-5.4514015599529673</v>
      </c>
      <c r="R232" s="1">
        <f>(Main_S[[#This Row],[ROA]]-VLOOKUP(Main_S[[#This Row],[Industry]], Mean_ROA_S, 2, FALSE))/(VLOOKUP(Main_S[[#This Row],[Industry]], Mean_ROA_S, 3, FALSE))</f>
        <v>-3.8440108726406161</v>
      </c>
      <c r="S232" s="1">
        <f>(Main_S[[#This Row],[A/E]]-VLOOKUP(Main_S[[#This Row],[Industry]], Mean_AE_S, 2, FALSE))/(VLOOKUP(Main_S[[#This Row],[Industry]], Mean_AE_S, 3, FALSE))</f>
        <v>9.2705640001730156</v>
      </c>
      <c r="T232" s="1">
        <f>(Main_S[[#This Row],[P/E]]-VLOOKUP(Main_S[[#This Row],[Industry]], Mean_PE_S, 2, FALSE))/(VLOOKUP(Main_S[[#This Row],[Industry]], Mean_PE_S, 3, FALSE))</f>
        <v>1.1853986007145627</v>
      </c>
      <c r="U2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3" spans="1:26" x14ac:dyDescent="0.25">
      <c r="A233" s="67" t="s">
        <v>190</v>
      </c>
      <c r="B233" s="67" t="s">
        <v>547</v>
      </c>
      <c r="C233" s="2">
        <v>301</v>
      </c>
      <c r="D233">
        <f>RTD("tos.rtd", , "LAST", Main_S[[#This Row],[Symbol]])</f>
        <v>6.96</v>
      </c>
      <c r="E233">
        <v>-0.77</v>
      </c>
      <c r="F233">
        <v>7.23</v>
      </c>
      <c r="G233">
        <v>-2.35</v>
      </c>
      <c r="H233" s="1">
        <f>IF(ISNUMBER(Main_S[[#This Row],[Free CF]]),IF(Main_S[[#This Row],[Free CF]]&lt;&gt;0,Main_S[[#This Row],[Current Price]]/Main_S[[#This Row],[Free CF]],""),"")</f>
        <v>-9.0389610389610393</v>
      </c>
      <c r="I233" s="1">
        <f>IF(ISNUMBER(Main_S[[#This Row],[BVPS]]),IF(Main_S[[#This Row],[BVPS]]&lt;&gt;0,Main_S[[#This Row],[Current Price]]/Main_S[[#This Row],[BVPS]],""),"")</f>
        <v>0.96265560165975095</v>
      </c>
      <c r="J233">
        <v>-24.97</v>
      </c>
      <c r="K233">
        <v>-4.84</v>
      </c>
      <c r="L233">
        <v>1.93</v>
      </c>
      <c r="M233" s="1">
        <f>IF(ISNUMBER(Main_S[[#This Row],[EPS]]),IF(Main_S[[#This Row],[EPS]]&lt;&gt;0,Main_S[[#This Row],[Current Price]]/Main_S[[#This Row],[EPS]],""),"")</f>
        <v>-2.9617021276595743</v>
      </c>
      <c r="N2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3" s="1">
        <f>(Main_S[[#This Row],[P/FCF]]-VLOOKUP(Main_S[[#This Row],[Industry]], Mean_PFCF_S, 2, FALSE))/(VLOOKUP(Main_S[[#This Row],[Industry]], Mean_PFCF_S, 3, FALSE))</f>
        <v>-0.48229901590120533</v>
      </c>
      <c r="P233" s="1">
        <f>(Main_S[[#This Row],[P/B]]-VLOOKUP(Main_S[[#This Row],[Industry]], Mean_PB_S, 2, FALSE))/(VLOOKUP(Main_S[[#This Row],[Industry]], Mean_PB_S, 3, FALSE))</f>
        <v>-0.59801370595002501</v>
      </c>
      <c r="Q233" s="1">
        <f>(Main_S[[#This Row],[ROE]]-VLOOKUP(Main_S[[#This Row],[Industry]], Mean_ROE_S, 2, FALSE))/(VLOOKUP(Main_S[[#This Row],[Industry]], Mean_ROE_S, 3, FALSE))</f>
        <v>-1.6615784603183113E-2</v>
      </c>
      <c r="R233" s="1">
        <f>(Main_S[[#This Row],[ROA]]-VLOOKUP(Main_S[[#This Row],[Industry]], Mean_ROA_S, 2, FALSE))/(VLOOKUP(Main_S[[#This Row],[Industry]], Mean_ROA_S, 3, FALSE))</f>
        <v>3.7245391178601277E-3</v>
      </c>
      <c r="S233" s="1">
        <f>(Main_S[[#This Row],[A/E]]-VLOOKUP(Main_S[[#This Row],[Industry]], Mean_AE_S, 2, FALSE))/(VLOOKUP(Main_S[[#This Row],[Industry]], Mean_AE_S, 3, FALSE))</f>
        <v>4.4170783305570317E-2</v>
      </c>
      <c r="T233" s="1">
        <f>(Main_S[[#This Row],[P/E]]-VLOOKUP(Main_S[[#This Row],[Industry]], Mean_PE_S, 2, FALSE))/(VLOOKUP(Main_S[[#This Row],[Industry]], Mean_PE_S, 3, FALSE))</f>
        <v>0.52210769878787344</v>
      </c>
      <c r="U2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4" spans="1:26" x14ac:dyDescent="0.25">
      <c r="A234" s="67" t="s">
        <v>172</v>
      </c>
      <c r="B234" s="67" t="s">
        <v>541</v>
      </c>
      <c r="C234" s="2">
        <v>427</v>
      </c>
      <c r="D234">
        <f>RTD("tos.rtd", , "LAST", Main_S[[#This Row],[Symbol]])</f>
        <v>5.16</v>
      </c>
      <c r="H234" s="1" t="str">
        <f>IF(ISNUMBER(Main_S[[#This Row],[Free CF]]),IF(Main_S[[#This Row],[Free CF]]&lt;&gt;0,Main_S[[#This Row],[Current Price]]/Main_S[[#This Row],[Free CF]],""),"")</f>
        <v/>
      </c>
      <c r="I234" s="1" t="str">
        <f>IF(ISNUMBER(Main_S[[#This Row],[BVPS]]),IF(Main_S[[#This Row],[BVPS]]&lt;&gt;0,Main_S[[#This Row],[Current Price]]/Main_S[[#This Row],[BVPS]],""),"")</f>
        <v/>
      </c>
      <c r="J234">
        <v>7.15</v>
      </c>
      <c r="K234">
        <v>3.82</v>
      </c>
      <c r="L234">
        <v>1.73</v>
      </c>
      <c r="M234" s="1" t="str">
        <f>IF(ISNUMBER(Main_S[[#This Row],[EPS]]),IF(Main_S[[#This Row],[EPS]]&lt;&gt;0,Main_S[[#This Row],[Current Price]]/Main_S[[#This Row],[EPS]],""),"")</f>
        <v/>
      </c>
      <c r="N2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4" s="1" t="e">
        <f>(Main_S[[#This Row],[P/FCF]]-VLOOKUP(Main_S[[#This Row],[Industry]], Mean_PFCF_S, 2, FALSE))/(VLOOKUP(Main_S[[#This Row],[Industry]], Mean_PFCF_S, 3, FALSE))</f>
        <v>#VALUE!</v>
      </c>
      <c r="P234" s="1" t="e">
        <f>(Main_S[[#This Row],[P/B]]-VLOOKUP(Main_S[[#This Row],[Industry]], Mean_PB_S, 2, FALSE))/(VLOOKUP(Main_S[[#This Row],[Industry]], Mean_PB_S, 3, FALSE))</f>
        <v>#VALUE!</v>
      </c>
      <c r="Q234" s="1">
        <f>(Main_S[[#This Row],[ROE]]-VLOOKUP(Main_S[[#This Row],[Industry]], Mean_ROE_S, 2, FALSE))/(VLOOKUP(Main_S[[#This Row],[Industry]], Mean_ROE_S, 3, FALSE))</f>
        <v>0.85646584744050325</v>
      </c>
      <c r="R234" s="1">
        <f>(Main_S[[#This Row],[ROA]]-VLOOKUP(Main_S[[#This Row],[Industry]], Mean_ROA_S, 2, FALSE))/(VLOOKUP(Main_S[[#This Row],[Industry]], Mean_ROA_S, 3, FALSE))</f>
        <v>0.92601602862627774</v>
      </c>
      <c r="S234" s="1">
        <f>(Main_S[[#This Row],[A/E]]-VLOOKUP(Main_S[[#This Row],[Industry]], Mean_AE_S, 2, FALSE))/(VLOOKUP(Main_S[[#This Row],[Industry]], Mean_AE_S, 3, FALSE))</f>
        <v>0.67983174300546123</v>
      </c>
      <c r="T234" s="1" t="e">
        <f>(Main_S[[#This Row],[P/E]]-VLOOKUP(Main_S[[#This Row],[Industry]], Mean_PE_S, 2, FALSE))/(VLOOKUP(Main_S[[#This Row],[Industry]], Mean_PE_S, 3, FALSE))</f>
        <v>#VALUE!</v>
      </c>
      <c r="U2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5" spans="1:26" x14ac:dyDescent="0.25">
      <c r="A235" s="67" t="s">
        <v>172</v>
      </c>
      <c r="B235" s="67" t="s">
        <v>521</v>
      </c>
      <c r="C235" s="2">
        <v>438</v>
      </c>
      <c r="D235">
        <f>RTD("tos.rtd", , "LAST", Main_S[[#This Row],[Symbol]])</f>
        <v>12.81</v>
      </c>
      <c r="E235">
        <v>7.66</v>
      </c>
      <c r="F235">
        <v>6.67</v>
      </c>
      <c r="G235">
        <v>0.34</v>
      </c>
      <c r="H235" s="1">
        <f>IF(ISNUMBER(Main_S[[#This Row],[Free CF]]),IF(Main_S[[#This Row],[Free CF]]&lt;&gt;0,Main_S[[#This Row],[Current Price]]/Main_S[[#This Row],[Free CF]],""),"")</f>
        <v>1.6723237597911227</v>
      </c>
      <c r="I235" s="1">
        <f>IF(ISNUMBER(Main_S[[#This Row],[BVPS]]),IF(Main_S[[#This Row],[BVPS]]&lt;&gt;0,Main_S[[#This Row],[Current Price]]/Main_S[[#This Row],[BVPS]],""),"")</f>
        <v>1.9205397301349327</v>
      </c>
      <c r="J235">
        <v>34.380000000000003</v>
      </c>
      <c r="K235">
        <v>23.07</v>
      </c>
      <c r="L235">
        <v>1.1399999999999999</v>
      </c>
      <c r="M235" s="1">
        <f>IF(ISNUMBER(Main_S[[#This Row],[EPS]]),IF(Main_S[[#This Row],[EPS]]&lt;&gt;0,Main_S[[#This Row],[Current Price]]/Main_S[[#This Row],[EPS]],""),"")</f>
        <v>37.67647058823529</v>
      </c>
      <c r="N2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5" s="1">
        <f>(Main_S[[#This Row],[P/FCF]]-VLOOKUP(Main_S[[#This Row],[Industry]], Mean_PFCF_S, 2, FALSE))/(VLOOKUP(Main_S[[#This Row],[Industry]], Mean_PFCF_S, 3, FALSE))</f>
        <v>0.40938284493771893</v>
      </c>
      <c r="P235" s="1">
        <f>(Main_S[[#This Row],[P/B]]-VLOOKUP(Main_S[[#This Row],[Industry]], Mean_PB_S, 2, FALSE))/(VLOOKUP(Main_S[[#This Row],[Industry]], Mean_PB_S, 3, FALSE))</f>
        <v>-0.29905065304365264</v>
      </c>
      <c r="Q235" s="1">
        <f>(Main_S[[#This Row],[ROE]]-VLOOKUP(Main_S[[#This Row],[Industry]], Mean_ROE_S, 2, FALSE))/(VLOOKUP(Main_S[[#This Row],[Industry]], Mean_ROE_S, 3, FALSE))</f>
        <v>1.9046148571715984</v>
      </c>
      <c r="R235" s="1">
        <f>(Main_S[[#This Row],[ROA]]-VLOOKUP(Main_S[[#This Row],[Industry]], Mean_ROA_S, 2, FALSE))/(VLOOKUP(Main_S[[#This Row],[Industry]], Mean_ROA_S, 3, FALSE))</f>
        <v>2.2330332293452582</v>
      </c>
      <c r="S235" s="1">
        <f>(Main_S[[#This Row],[A/E]]-VLOOKUP(Main_S[[#This Row],[Industry]], Mean_AE_S, 2, FALSE))/(VLOOKUP(Main_S[[#This Row],[Industry]], Mean_AE_S, 3, FALSE))</f>
        <v>-0.45402190610612086</v>
      </c>
      <c r="T235" s="1">
        <f>(Main_S[[#This Row],[P/E]]-VLOOKUP(Main_S[[#This Row],[Industry]], Mean_PE_S, 2, FALSE))/(VLOOKUP(Main_S[[#This Row],[Industry]], Mean_PE_S, 3, FALSE))</f>
        <v>7.2832185604393143</v>
      </c>
      <c r="U2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6" spans="1:26" x14ac:dyDescent="0.25">
      <c r="A236" s="67" t="s">
        <v>172</v>
      </c>
      <c r="B236" s="67" t="s">
        <v>508</v>
      </c>
      <c r="C236" s="2">
        <v>937</v>
      </c>
      <c r="D236">
        <f>RTD("tos.rtd", , "LAST", Main_S[[#This Row],[Symbol]])</f>
        <v>30.44</v>
      </c>
      <c r="E236">
        <v>6.12</v>
      </c>
      <c r="F236">
        <v>7.3</v>
      </c>
      <c r="G236">
        <v>1.25</v>
      </c>
      <c r="H236" s="1">
        <f>IF(ISNUMBER(Main_S[[#This Row],[Free CF]]),IF(Main_S[[#This Row],[Free CF]]&lt;&gt;0,Main_S[[#This Row],[Current Price]]/Main_S[[#This Row],[Free CF]],""),"")</f>
        <v>4.9738562091503269</v>
      </c>
      <c r="I236" s="1">
        <f>IF(ISNUMBER(Main_S[[#This Row],[BVPS]]),IF(Main_S[[#This Row],[BVPS]]&lt;&gt;0,Main_S[[#This Row],[Current Price]]/Main_S[[#This Row],[BVPS]],""),"")</f>
        <v>4.1698630136986301</v>
      </c>
      <c r="J236">
        <v>19.23</v>
      </c>
      <c r="K236">
        <v>7.95</v>
      </c>
      <c r="L236">
        <v>6.96</v>
      </c>
      <c r="M236" s="1">
        <f>IF(ISNUMBER(Main_S[[#This Row],[EPS]]),IF(Main_S[[#This Row],[EPS]]&lt;&gt;0,Main_S[[#This Row],[Current Price]]/Main_S[[#This Row],[EPS]],""),"")</f>
        <v>24.352</v>
      </c>
      <c r="N2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6" s="1">
        <f>(Main_S[[#This Row],[P/FCF]]-VLOOKUP(Main_S[[#This Row],[Industry]], Mean_PFCF_S, 2, FALSE))/(VLOOKUP(Main_S[[#This Row],[Industry]], Mean_PFCF_S, 3, FALSE))</f>
        <v>0.63666738597913886</v>
      </c>
      <c r="P236" s="1">
        <f>(Main_S[[#This Row],[P/B]]-VLOOKUP(Main_S[[#This Row],[Industry]], Mean_PB_S, 2, FALSE))/(VLOOKUP(Main_S[[#This Row],[Industry]], Mean_PB_S, 3, FALSE))</f>
        <v>0.76885109274826102</v>
      </c>
      <c r="Q236" s="1">
        <f>(Main_S[[#This Row],[ROE]]-VLOOKUP(Main_S[[#This Row],[Industry]], Mean_ROE_S, 2, FALSE))/(VLOOKUP(Main_S[[#This Row],[Industry]], Mean_ROE_S, 3, FALSE))</f>
        <v>1.32145446431717</v>
      </c>
      <c r="R236" s="1">
        <f>(Main_S[[#This Row],[ROA]]-VLOOKUP(Main_S[[#This Row],[Industry]], Mean_ROA_S, 2, FALSE))/(VLOOKUP(Main_S[[#This Row],[Industry]], Mean_ROA_S, 3, FALSE))</f>
        <v>1.2064306280532591</v>
      </c>
      <c r="S236" s="1">
        <f>(Main_S[[#This Row],[A/E]]-VLOOKUP(Main_S[[#This Row],[Industry]], Mean_AE_S, 2, FALSE))/(VLOOKUP(Main_S[[#This Row],[Industry]], Mean_AE_S, 3, FALSE))</f>
        <v>10.730771717333553</v>
      </c>
      <c r="T236" s="1">
        <f>(Main_S[[#This Row],[P/E]]-VLOOKUP(Main_S[[#This Row],[Industry]], Mean_PE_S, 2, FALSE))/(VLOOKUP(Main_S[[#This Row],[Industry]], Mean_PE_S, 3, FALSE))</f>
        <v>5.149882545191403</v>
      </c>
      <c r="U2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7" spans="1:26" x14ac:dyDescent="0.25">
      <c r="A237" s="67" t="s">
        <v>172</v>
      </c>
      <c r="B237" s="67" t="s">
        <v>527</v>
      </c>
      <c r="C237" s="2">
        <v>1197</v>
      </c>
      <c r="D237">
        <f>RTD("tos.rtd", , "LAST", Main_S[[#This Row],[Symbol]])</f>
        <v>25.42</v>
      </c>
      <c r="E237">
        <v>3.45</v>
      </c>
      <c r="F237">
        <v>17.25</v>
      </c>
      <c r="G237">
        <v>-2.27</v>
      </c>
      <c r="H237" s="1">
        <f>IF(ISNUMBER(Main_S[[#This Row],[Free CF]]),IF(Main_S[[#This Row],[Free CF]]&lt;&gt;0,Main_S[[#This Row],[Current Price]]/Main_S[[#This Row],[Free CF]],""),"")</f>
        <v>7.3681159420289859</v>
      </c>
      <c r="I237" s="1">
        <f>IF(ISNUMBER(Main_S[[#This Row],[BVPS]]),IF(Main_S[[#This Row],[BVPS]]&lt;&gt;0,Main_S[[#This Row],[Current Price]]/Main_S[[#This Row],[BVPS]],""),"")</f>
        <v>1.4736231884057971</v>
      </c>
      <c r="J237">
        <v>-12.27</v>
      </c>
      <c r="K237">
        <v>3.56</v>
      </c>
      <c r="L237">
        <v>1.99</v>
      </c>
      <c r="M237" s="1">
        <f>IF(ISNUMBER(Main_S[[#This Row],[EPS]]),IF(Main_S[[#This Row],[EPS]]&lt;&gt;0,Main_S[[#This Row],[Current Price]]/Main_S[[#This Row],[EPS]],""),"")</f>
        <v>-11.198237885462555</v>
      </c>
      <c r="N2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7" s="1">
        <f>(Main_S[[#This Row],[P/FCF]]-VLOOKUP(Main_S[[#This Row],[Industry]], Mean_PFCF_S, 2, FALSE))/(VLOOKUP(Main_S[[#This Row],[Industry]], Mean_PFCF_S, 3, FALSE))</f>
        <v>0.80149333661515298</v>
      </c>
      <c r="P237" s="1">
        <f>(Main_S[[#This Row],[P/B]]-VLOOKUP(Main_S[[#This Row],[Industry]], Mean_PB_S, 2, FALSE))/(VLOOKUP(Main_S[[#This Row],[Industry]], Mean_PB_S, 3, FALSE))</f>
        <v>-0.51123133806269572</v>
      </c>
      <c r="Q237" s="1">
        <f>(Main_S[[#This Row],[ROE]]-VLOOKUP(Main_S[[#This Row],[Industry]], Mean_ROE_S, 2, FALSE))/(VLOOKUP(Main_S[[#This Row],[Industry]], Mean_ROE_S, 3, FALSE))</f>
        <v>0.10894275640202113</v>
      </c>
      <c r="R237" s="1">
        <f>(Main_S[[#This Row],[ROA]]-VLOOKUP(Main_S[[#This Row],[Industry]], Mean_ROA_S, 2, FALSE))/(VLOOKUP(Main_S[[#This Row],[Industry]], Mean_ROA_S, 3, FALSE))</f>
        <v>0.9083628092918915</v>
      </c>
      <c r="S237" s="1">
        <f>(Main_S[[#This Row],[A/E]]-VLOOKUP(Main_S[[#This Row],[Industry]], Mean_AE_S, 2, FALSE))/(VLOOKUP(Main_S[[#This Row],[Industry]], Mean_AE_S, 3, FALSE))</f>
        <v>1.1794960629529381</v>
      </c>
      <c r="T237" s="1">
        <f>(Main_S[[#This Row],[P/E]]-VLOOKUP(Main_S[[#This Row],[Industry]], Mean_PE_S, 2, FALSE))/(VLOOKUP(Main_S[[#This Row],[Industry]], Mean_PE_S, 3, FALSE))</f>
        <v>-0.54194605913984495</v>
      </c>
      <c r="U2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8" spans="1:26" x14ac:dyDescent="0.25">
      <c r="A238" s="67" t="s">
        <v>172</v>
      </c>
      <c r="B238" s="67" t="s">
        <v>506</v>
      </c>
      <c r="C238" s="2">
        <v>1674</v>
      </c>
      <c r="D238">
        <f>RTD("tos.rtd", , "LAST", Main_S[[#This Row],[Symbol]])</f>
        <v>4.8600000000000003</v>
      </c>
      <c r="E238">
        <v>3.3</v>
      </c>
      <c r="F238">
        <v>-3.2</v>
      </c>
      <c r="G238">
        <v>-0.11</v>
      </c>
      <c r="H238" s="1">
        <f>IF(ISNUMBER(Main_S[[#This Row],[Free CF]]),IF(Main_S[[#This Row],[Free CF]]&lt;&gt;0,Main_S[[#This Row],[Current Price]]/Main_S[[#This Row],[Free CF]],""),"")</f>
        <v>1.4727272727272729</v>
      </c>
      <c r="I238" s="1">
        <f>IF(ISNUMBER(Main_S[[#This Row],[BVPS]]),IF(Main_S[[#This Row],[BVPS]]&lt;&gt;0,Main_S[[#This Row],[Current Price]]/Main_S[[#This Row],[BVPS]],""),"")</f>
        <v>-1.51875</v>
      </c>
      <c r="J238">
        <v>39.130000000000003</v>
      </c>
      <c r="K238">
        <v>4.3099999999999996</v>
      </c>
      <c r="L238">
        <v>-22.33</v>
      </c>
      <c r="M238" s="1">
        <f>IF(ISNUMBER(Main_S[[#This Row],[EPS]]),IF(Main_S[[#This Row],[EPS]]&lt;&gt;0,Main_S[[#This Row],[Current Price]]/Main_S[[#This Row],[EPS]],""),"")</f>
        <v>-44.181818181818187</v>
      </c>
      <c r="N2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8" s="1">
        <f>(Main_S[[#This Row],[P/FCF]]-VLOOKUP(Main_S[[#This Row],[Industry]], Mean_PFCF_S, 2, FALSE))/(VLOOKUP(Main_S[[#This Row],[Industry]], Mean_PFCF_S, 3, FALSE))</f>
        <v>0.39564219672310214</v>
      </c>
      <c r="P238" s="1">
        <f>(Main_S[[#This Row],[P/B]]-VLOOKUP(Main_S[[#This Row],[Industry]], Mean_PB_S, 2, FALSE))/(VLOOKUP(Main_S[[#This Row],[Industry]], Mean_PB_S, 3, FALSE))</f>
        <v>-1.9319077589712121</v>
      </c>
      <c r="Q238" s="1">
        <f>(Main_S[[#This Row],[ROE]]-VLOOKUP(Main_S[[#This Row],[Industry]], Mean_ROE_S, 2, FALSE))/(VLOOKUP(Main_S[[#This Row],[Industry]], Mean_ROE_S, 3, FALSE))</f>
        <v>2.0874539242381687</v>
      </c>
      <c r="R238" s="1">
        <f>(Main_S[[#This Row],[ROA]]-VLOOKUP(Main_S[[#This Row],[Industry]], Mean_ROA_S, 2, FALSE))/(VLOOKUP(Main_S[[#This Row],[Industry]], Mean_ROA_S, 3, FALSE))</f>
        <v>0.95928555737185173</v>
      </c>
      <c r="S238" s="1">
        <f>(Main_S[[#This Row],[A/E]]-VLOOKUP(Main_S[[#This Row],[Industry]], Mean_AE_S, 2, FALSE))/(VLOOKUP(Main_S[[#This Row],[Industry]], Mean_AE_S, 3, FALSE))</f>
        <v>-45.558335710595657</v>
      </c>
      <c r="T238" s="1">
        <f>(Main_S[[#This Row],[P/E]]-VLOOKUP(Main_S[[#This Row],[Industry]], Mean_PE_S, 2, FALSE))/(VLOOKUP(Main_S[[#This Row],[Industry]], Mean_PE_S, 3, FALSE))</f>
        <v>-5.8228357794537615</v>
      </c>
      <c r="U2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9" spans="1:26" x14ac:dyDescent="0.25">
      <c r="A239" s="67" t="s">
        <v>172</v>
      </c>
      <c r="B239" s="67" t="s">
        <v>518</v>
      </c>
      <c r="C239" s="2">
        <v>1229</v>
      </c>
      <c r="D239">
        <f>RTD("tos.rtd", , "LAST", Main_S[[#This Row],[Symbol]])</f>
        <v>21.58</v>
      </c>
      <c r="E239">
        <v>3.13</v>
      </c>
      <c r="F239">
        <v>10.31</v>
      </c>
      <c r="G239">
        <v>-0.95</v>
      </c>
      <c r="H239" s="1">
        <f>IF(ISNUMBER(Main_S[[#This Row],[Free CF]]),IF(Main_S[[#This Row],[Free CF]]&lt;&gt;0,Main_S[[#This Row],[Current Price]]/Main_S[[#This Row],[Free CF]],""),"")</f>
        <v>6.8945686900958467</v>
      </c>
      <c r="I239" s="1">
        <f>IF(ISNUMBER(Main_S[[#This Row],[BVPS]]),IF(Main_S[[#This Row],[BVPS]]&lt;&gt;0,Main_S[[#This Row],[Current Price]]/Main_S[[#This Row],[BVPS]],""),"")</f>
        <v>2.0931134820562556</v>
      </c>
      <c r="J239">
        <v>-8.84</v>
      </c>
      <c r="K239">
        <v>9.4</v>
      </c>
      <c r="L239">
        <v>1.94</v>
      </c>
      <c r="M239" s="1">
        <f>IF(ISNUMBER(Main_S[[#This Row],[EPS]]),IF(Main_S[[#This Row],[EPS]]&lt;&gt;0,Main_S[[#This Row],[Current Price]]/Main_S[[#This Row],[EPS]],""),"")</f>
        <v>-22.715789473684211</v>
      </c>
      <c r="N2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9" s="1">
        <f>(Main_S[[#This Row],[P/FCF]]-VLOOKUP(Main_S[[#This Row],[Industry]], Mean_PFCF_S, 2, FALSE))/(VLOOKUP(Main_S[[#This Row],[Industry]], Mean_PFCF_S, 3, FALSE))</f>
        <v>0.76889333299018814</v>
      </c>
      <c r="P239" s="1">
        <f>(Main_S[[#This Row],[P/B]]-VLOOKUP(Main_S[[#This Row],[Industry]], Mean_PB_S, 2, FALSE))/(VLOOKUP(Main_S[[#This Row],[Industry]], Mean_PB_S, 3, FALSE))</f>
        <v>-0.21711853937137518</v>
      </c>
      <c r="Q239" s="1">
        <f>(Main_S[[#This Row],[ROE]]-VLOOKUP(Main_S[[#This Row],[Industry]], Mean_ROE_S, 2, FALSE))/(VLOOKUP(Main_S[[#This Row],[Industry]], Mean_ROE_S, 3, FALSE))</f>
        <v>0.24097180904167065</v>
      </c>
      <c r="R239" s="1">
        <f>(Main_S[[#This Row],[ROA]]-VLOOKUP(Main_S[[#This Row],[Industry]], Mean_ROA_S, 2, FALSE))/(VLOOKUP(Main_S[[#This Row],[Industry]], Mean_ROA_S, 3, FALSE))</f>
        <v>1.3048812743411822</v>
      </c>
      <c r="S239" s="1">
        <f>(Main_S[[#This Row],[A/E]]-VLOOKUP(Main_S[[#This Row],[Industry]], Mean_AE_S, 2, FALSE))/(VLOOKUP(Main_S[[#This Row],[Industry]], Mean_AE_S, 3, FALSE))</f>
        <v>1.0834067706553463</v>
      </c>
      <c r="T239" s="1">
        <f>(Main_S[[#This Row],[P/E]]-VLOOKUP(Main_S[[#This Row],[Industry]], Mean_PE_S, 2, FALSE))/(VLOOKUP(Main_S[[#This Row],[Industry]], Mean_PE_S, 3, FALSE))</f>
        <v>-2.3859823717212691</v>
      </c>
      <c r="U2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0" spans="1:26" x14ac:dyDescent="0.25">
      <c r="A240" s="67" t="s">
        <v>172</v>
      </c>
      <c r="B240" s="67" t="s">
        <v>501</v>
      </c>
      <c r="C240" s="2">
        <v>1212</v>
      </c>
      <c r="D240">
        <f>RTD("tos.rtd", , "LAST", Main_S[[#This Row],[Symbol]])</f>
        <v>26.62</v>
      </c>
      <c r="E240">
        <v>3.11</v>
      </c>
      <c r="F240">
        <v>15.76</v>
      </c>
      <c r="G240">
        <v>2.77</v>
      </c>
      <c r="H240" s="1">
        <f>IF(ISNUMBER(Main_S[[#This Row],[Free CF]]),IF(Main_S[[#This Row],[Free CF]]&lt;&gt;0,Main_S[[#This Row],[Current Price]]/Main_S[[#This Row],[Free CF]],""),"")</f>
        <v>8.559485530546624</v>
      </c>
      <c r="I240" s="1">
        <f>IF(ISNUMBER(Main_S[[#This Row],[BVPS]]),IF(Main_S[[#This Row],[BVPS]]&lt;&gt;0,Main_S[[#This Row],[Current Price]]/Main_S[[#This Row],[BVPS]],""),"")</f>
        <v>1.6890862944162437</v>
      </c>
      <c r="J240">
        <v>19.899999999999999</v>
      </c>
      <c r="K240">
        <v>7.6</v>
      </c>
      <c r="L240">
        <v>2.16</v>
      </c>
      <c r="M240" s="1">
        <f>IF(ISNUMBER(Main_S[[#This Row],[EPS]]),IF(Main_S[[#This Row],[EPS]]&lt;&gt;0,Main_S[[#This Row],[Current Price]]/Main_S[[#This Row],[EPS]],""),"")</f>
        <v>9.6101083032490973</v>
      </c>
      <c r="N2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0" s="1">
        <f>(Main_S[[#This Row],[P/FCF]]-VLOOKUP(Main_S[[#This Row],[Industry]], Mean_PFCF_S, 2, FALSE))/(VLOOKUP(Main_S[[#This Row],[Industry]], Mean_PFCF_S, 3, FALSE))</f>
        <v>0.88350976210553178</v>
      </c>
      <c r="P240" s="1">
        <f>(Main_S[[#This Row],[P/B]]-VLOOKUP(Main_S[[#This Row],[Industry]], Mean_PB_S, 2, FALSE))/(VLOOKUP(Main_S[[#This Row],[Industry]], Mean_PB_S, 3, FALSE))</f>
        <v>-0.40893682631169592</v>
      </c>
      <c r="Q240" s="1">
        <f>(Main_S[[#This Row],[ROE]]-VLOOKUP(Main_S[[#This Row],[Industry]], Mean_ROE_S, 2, FALSE))/(VLOOKUP(Main_S[[#This Row],[Industry]], Mean_ROE_S, 3, FALSE))</f>
        <v>1.347244395882349</v>
      </c>
      <c r="R240" s="1">
        <f>(Main_S[[#This Row],[ROA]]-VLOOKUP(Main_S[[#This Row],[Industry]], Mean_ROA_S, 2, FALSE))/(VLOOKUP(Main_S[[#This Row],[Industry]], Mean_ROA_S, 3, FALSE))</f>
        <v>1.1826666789492775</v>
      </c>
      <c r="S240" s="1">
        <f>(Main_S[[#This Row],[A/E]]-VLOOKUP(Main_S[[#This Row],[Industry]], Mean_AE_S, 2, FALSE))/(VLOOKUP(Main_S[[#This Row],[Industry]], Mean_AE_S, 3, FALSE))</f>
        <v>1.5061996567647502</v>
      </c>
      <c r="T240" s="1">
        <f>(Main_S[[#This Row],[P/E]]-VLOOKUP(Main_S[[#This Row],[Industry]], Mean_PE_S, 2, FALSE))/(VLOOKUP(Main_S[[#This Row],[Industry]], Mean_PE_S, 3, FALSE))</f>
        <v>2.7896080201134015</v>
      </c>
      <c r="U2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1" spans="1:26" x14ac:dyDescent="0.25">
      <c r="A241" s="67" t="s">
        <v>172</v>
      </c>
      <c r="B241" s="67" t="s">
        <v>532</v>
      </c>
      <c r="C241" s="2">
        <v>1775</v>
      </c>
      <c r="D241">
        <f>RTD("tos.rtd", , "LAST", Main_S[[#This Row],[Symbol]])</f>
        <v>33.270000000000003</v>
      </c>
      <c r="E241">
        <v>2.95</v>
      </c>
      <c r="F241">
        <v>18.41</v>
      </c>
      <c r="G241">
        <v>1.1100000000000001</v>
      </c>
      <c r="H241" s="1">
        <f>IF(ISNUMBER(Main_S[[#This Row],[Free CF]]),IF(Main_S[[#This Row],[Free CF]]&lt;&gt;0,Main_S[[#This Row],[Current Price]]/Main_S[[#This Row],[Free CF]],""),"")</f>
        <v>11.277966101694915</v>
      </c>
      <c r="I241" s="1">
        <f>IF(ISNUMBER(Main_S[[#This Row],[BVPS]]),IF(Main_S[[#This Row],[BVPS]]&lt;&gt;0,Main_S[[#This Row],[Current Price]]/Main_S[[#This Row],[BVPS]],""),"")</f>
        <v>1.8071700162954918</v>
      </c>
      <c r="J241">
        <v>6.32</v>
      </c>
      <c r="K241">
        <v>2.76</v>
      </c>
      <c r="L241">
        <v>1.31</v>
      </c>
      <c r="M241" s="1">
        <f>IF(ISNUMBER(Main_S[[#This Row],[EPS]]),IF(Main_S[[#This Row],[EPS]]&lt;&gt;0,Main_S[[#This Row],[Current Price]]/Main_S[[#This Row],[EPS]],""),"")</f>
        <v>29.972972972972972</v>
      </c>
      <c r="N2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1" s="1">
        <f>(Main_S[[#This Row],[P/FCF]]-VLOOKUP(Main_S[[#This Row],[Industry]], Mean_PFCF_S, 2, FALSE))/(VLOOKUP(Main_S[[#This Row],[Industry]], Mean_PFCF_S, 3, FALSE))</f>
        <v>1.0706557673078672</v>
      </c>
      <c r="P241" s="1">
        <f>(Main_S[[#This Row],[P/B]]-VLOOKUP(Main_S[[#This Row],[Industry]], Mean_PB_S, 2, FALSE))/(VLOOKUP(Main_S[[#This Row],[Industry]], Mean_PB_S, 3, FALSE))</f>
        <v>-0.35287471480202115</v>
      </c>
      <c r="Q241" s="1">
        <f>(Main_S[[#This Row],[ROE]]-VLOOKUP(Main_S[[#This Row],[Industry]], Mean_ROE_S, 2, FALSE))/(VLOOKUP(Main_S[[#This Row],[Industry]], Mean_ROE_S, 3, FALSE))</f>
        <v>0.82451712624781837</v>
      </c>
      <c r="R241" s="1">
        <f>(Main_S[[#This Row],[ROA]]-VLOOKUP(Main_S[[#This Row],[Industry]], Mean_ROA_S, 2, FALSE))/(VLOOKUP(Main_S[[#This Row],[Industry]], Mean_ROA_S, 3, FALSE))</f>
        <v>0.85404521133993383</v>
      </c>
      <c r="S241" s="1">
        <f>(Main_S[[#This Row],[A/E]]-VLOOKUP(Main_S[[#This Row],[Industry]], Mean_AE_S, 2, FALSE))/(VLOOKUP(Main_S[[#This Row],[Industry]], Mean_AE_S, 3, FALSE))</f>
        <v>-0.12731831229430884</v>
      </c>
      <c r="T241" s="1">
        <f>(Main_S[[#This Row],[P/E]]-VLOOKUP(Main_S[[#This Row],[Industry]], Mean_PE_S, 2, FALSE))/(VLOOKUP(Main_S[[#This Row],[Industry]], Mean_PE_S, 3, FALSE))</f>
        <v>6.0498375568799032</v>
      </c>
      <c r="U2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2" spans="1:26" x14ac:dyDescent="0.25">
      <c r="A242" s="67" t="s">
        <v>172</v>
      </c>
      <c r="B242" s="67" t="s">
        <v>292</v>
      </c>
      <c r="C242" s="2">
        <v>1972</v>
      </c>
      <c r="D242">
        <f>RTD("tos.rtd", , "LAST", Main_S[[#This Row],[Symbol]])</f>
        <v>109.48</v>
      </c>
      <c r="E242">
        <v>2.73</v>
      </c>
      <c r="F242">
        <v>41.27</v>
      </c>
      <c r="G242">
        <v>-7.11</v>
      </c>
      <c r="H242" s="1">
        <f>IF(ISNUMBER(Main_S[[#This Row],[Free CF]]),IF(Main_S[[#This Row],[Free CF]]&lt;&gt;0,Main_S[[#This Row],[Current Price]]/Main_S[[#This Row],[Free CF]],""),"")</f>
        <v>40.102564102564102</v>
      </c>
      <c r="I242" s="1">
        <f>IF(ISNUMBER(Main_S[[#This Row],[BVPS]]),IF(Main_S[[#This Row],[BVPS]]&lt;&gt;0,Main_S[[#This Row],[Current Price]]/Main_S[[#This Row],[BVPS]],""),"")</f>
        <v>2.6527744124061061</v>
      </c>
      <c r="J242">
        <v>-16.559999999999999</v>
      </c>
      <c r="K242">
        <v>-1.1399999999999999</v>
      </c>
      <c r="L242">
        <v>1.1399999999999999</v>
      </c>
      <c r="M242" s="1">
        <f>IF(ISNUMBER(Main_S[[#This Row],[EPS]]),IF(Main_S[[#This Row],[EPS]]&lt;&gt;0,Main_S[[#This Row],[Current Price]]/Main_S[[#This Row],[EPS]],""),"")</f>
        <v>-15.39803094233474</v>
      </c>
      <c r="N2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2" s="1">
        <f>(Main_S[[#This Row],[P/FCF]]-VLOOKUP(Main_S[[#This Row],[Industry]], Mean_PFCF_S, 2, FALSE))/(VLOOKUP(Main_S[[#This Row],[Industry]], Mean_PFCF_S, 3, FALSE))</f>
        <v>3.0550026207221195</v>
      </c>
      <c r="P242" s="1">
        <f>(Main_S[[#This Row],[P/B]]-VLOOKUP(Main_S[[#This Row],[Industry]], Mean_PB_S, 2, FALSE))/(VLOOKUP(Main_S[[#This Row],[Industry]], Mean_PB_S, 3, FALSE))</f>
        <v>4.8589324384531687E-2</v>
      </c>
      <c r="Q242" s="1">
        <f>(Main_S[[#This Row],[ROE]]-VLOOKUP(Main_S[[#This Row],[Industry]], Mean_ROE_S, 2, FALSE))/(VLOOKUP(Main_S[[#This Row],[Industry]], Mean_ROE_S, 3, FALSE))</f>
        <v>-5.6189790485470521E-2</v>
      </c>
      <c r="R242" s="1">
        <f>(Main_S[[#This Row],[ROA]]-VLOOKUP(Main_S[[#This Row],[Industry]], Mean_ROA_S, 2, FALSE))/(VLOOKUP(Main_S[[#This Row],[Industry]], Mean_ROA_S, 3, FALSE))</f>
        <v>0.58924692132414036</v>
      </c>
      <c r="S242" s="1">
        <f>(Main_S[[#This Row],[A/E]]-VLOOKUP(Main_S[[#This Row],[Industry]], Mean_AE_S, 2, FALSE))/(VLOOKUP(Main_S[[#This Row],[Industry]], Mean_AE_S, 3, FALSE))</f>
        <v>-0.45402190610612086</v>
      </c>
      <c r="T242" s="1">
        <f>(Main_S[[#This Row],[P/E]]-VLOOKUP(Main_S[[#This Row],[Industry]], Mean_PE_S, 2, FALSE))/(VLOOKUP(Main_S[[#This Row],[Industry]], Mean_PE_S, 3, FALSE))</f>
        <v>-1.214360751001923</v>
      </c>
      <c r="U2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3" spans="1:26" x14ac:dyDescent="0.25">
      <c r="A243" s="67" t="s">
        <v>172</v>
      </c>
      <c r="B243" s="67" t="s">
        <v>502</v>
      </c>
      <c r="C243" s="2">
        <v>1271</v>
      </c>
      <c r="D243">
        <f>RTD("tos.rtd", , "LAST", Main_S[[#This Row],[Symbol]])</f>
        <v>63.18</v>
      </c>
      <c r="E243">
        <v>2.41</v>
      </c>
      <c r="F243">
        <v>20.9</v>
      </c>
      <c r="G243">
        <v>-1.1499999999999999</v>
      </c>
      <c r="H243" s="1">
        <f>IF(ISNUMBER(Main_S[[#This Row],[Free CF]]),IF(Main_S[[#This Row],[Free CF]]&lt;&gt;0,Main_S[[#This Row],[Current Price]]/Main_S[[#This Row],[Free CF]],""),"")</f>
        <v>26.215767634854771</v>
      </c>
      <c r="I243" s="1">
        <f>IF(ISNUMBER(Main_S[[#This Row],[BVPS]]),IF(Main_S[[#This Row],[BVPS]]&lt;&gt;0,Main_S[[#This Row],[Current Price]]/Main_S[[#This Row],[BVPS]],""),"")</f>
        <v>3.0229665071770335</v>
      </c>
      <c r="J243">
        <v>-4.57</v>
      </c>
      <c r="K243">
        <v>0.82</v>
      </c>
      <c r="L243">
        <v>3.09</v>
      </c>
      <c r="M243" s="1">
        <f>IF(ISNUMBER(Main_S[[#This Row],[EPS]]),IF(Main_S[[#This Row],[EPS]]&lt;&gt;0,Main_S[[#This Row],[Current Price]]/Main_S[[#This Row],[EPS]],""),"")</f>
        <v>-54.939130434782612</v>
      </c>
      <c r="N2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3" s="1">
        <f>(Main_S[[#This Row],[P/FCF]]-VLOOKUP(Main_S[[#This Row],[Industry]], Mean_PFCF_S, 2, FALSE))/(VLOOKUP(Main_S[[#This Row],[Industry]], Mean_PFCF_S, 3, FALSE))</f>
        <v>2.099005910069911</v>
      </c>
      <c r="P243" s="1">
        <f>(Main_S[[#This Row],[P/B]]-VLOOKUP(Main_S[[#This Row],[Industry]], Mean_PB_S, 2, FALSE))/(VLOOKUP(Main_S[[#This Row],[Industry]], Mean_PB_S, 3, FALSE))</f>
        <v>0.22434386672755272</v>
      </c>
      <c r="Q243" s="1">
        <f>(Main_S[[#This Row],[ROE]]-VLOOKUP(Main_S[[#This Row],[Industry]], Mean_ROE_S, 2, FALSE))/(VLOOKUP(Main_S[[#This Row],[Industry]], Mean_ROE_S, 3, FALSE))</f>
        <v>0.40533450722572412</v>
      </c>
      <c r="R243" s="1">
        <f>(Main_S[[#This Row],[ROA]]-VLOOKUP(Main_S[[#This Row],[Industry]], Mean_ROA_S, 2, FALSE))/(VLOOKUP(Main_S[[#This Row],[Industry]], Mean_ROA_S, 3, FALSE))</f>
        <v>0.72232503630643663</v>
      </c>
      <c r="S243" s="1">
        <f>(Main_S[[#This Row],[A/E]]-VLOOKUP(Main_S[[#This Row],[Industry]], Mean_AE_S, 2, FALSE))/(VLOOKUP(Main_S[[#This Row],[Industry]], Mean_AE_S, 3, FALSE))</f>
        <v>3.2934604934999552</v>
      </c>
      <c r="T243" s="1">
        <f>(Main_S[[#This Row],[P/E]]-VLOOKUP(Main_S[[#This Row],[Industry]], Mean_PE_S, 2, FALSE))/(VLOOKUP(Main_S[[#This Row],[Industry]], Mean_PE_S, 3, FALSE))</f>
        <v>-7.5451527379060712</v>
      </c>
      <c r="U2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4" spans="1:26" x14ac:dyDescent="0.25">
      <c r="A244" s="67" t="s">
        <v>172</v>
      </c>
      <c r="B244" s="67" t="s">
        <v>526</v>
      </c>
      <c r="C244" s="2">
        <v>990</v>
      </c>
      <c r="D244">
        <f>RTD("tos.rtd", , "LAST", Main_S[[#This Row],[Symbol]])</f>
        <v>24.23</v>
      </c>
      <c r="E244">
        <v>1.21</v>
      </c>
      <c r="F244">
        <v>6.56</v>
      </c>
      <c r="G244">
        <v>0.78</v>
      </c>
      <c r="H244" s="1">
        <f>IF(ISNUMBER(Main_S[[#This Row],[Free CF]]),IF(Main_S[[#This Row],[Free CF]]&lt;&gt;0,Main_S[[#This Row],[Current Price]]/Main_S[[#This Row],[Free CF]],""),"")</f>
        <v>20.024793388429753</v>
      </c>
      <c r="I244" s="1">
        <f>IF(ISNUMBER(Main_S[[#This Row],[BVPS]]),IF(Main_S[[#This Row],[BVPS]]&lt;&gt;0,Main_S[[#This Row],[Current Price]]/Main_S[[#This Row],[BVPS]],""),"")</f>
        <v>3.69359756097561</v>
      </c>
      <c r="J244">
        <v>11.86</v>
      </c>
      <c r="K244">
        <v>6.26</v>
      </c>
      <c r="L244">
        <v>4.95</v>
      </c>
      <c r="M244" s="1">
        <f>IF(ISNUMBER(Main_S[[#This Row],[EPS]]),IF(Main_S[[#This Row],[EPS]]&lt;&gt;0,Main_S[[#This Row],[Current Price]]/Main_S[[#This Row],[EPS]],""),"")</f>
        <v>31.064102564102562</v>
      </c>
      <c r="N2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4" s="1">
        <f>(Main_S[[#This Row],[P/FCF]]-VLOOKUP(Main_S[[#This Row],[Industry]], Mean_PFCF_S, 2, FALSE))/(VLOOKUP(Main_S[[#This Row],[Industry]], Mean_PFCF_S, 3, FALSE))</f>
        <v>1.6728060281117407</v>
      </c>
      <c r="P244" s="1">
        <f>(Main_S[[#This Row],[P/B]]-VLOOKUP(Main_S[[#This Row],[Industry]], Mean_PB_S, 2, FALSE))/(VLOOKUP(Main_S[[#This Row],[Industry]], Mean_PB_S, 3, FALSE))</f>
        <v>0.54273654881419142</v>
      </c>
      <c r="Q244" s="1">
        <f>(Main_S[[#This Row],[ROE]]-VLOOKUP(Main_S[[#This Row],[Industry]], Mean_ROE_S, 2, FALSE))/(VLOOKUP(Main_S[[#This Row],[Industry]], Mean_ROE_S, 3, FALSE))</f>
        <v>1.0377652171001968</v>
      </c>
      <c r="R244" s="1">
        <f>(Main_S[[#This Row],[ROA]]-VLOOKUP(Main_S[[#This Row],[Industry]], Mean_ROA_S, 2, FALSE))/(VLOOKUP(Main_S[[#This Row],[Industry]], Mean_ROA_S, 3, FALSE))</f>
        <v>1.0916847023797485</v>
      </c>
      <c r="S244" s="1">
        <f>(Main_S[[#This Row],[A/E]]-VLOOKUP(Main_S[[#This Row],[Industry]], Mean_AE_S, 2, FALSE))/(VLOOKUP(Main_S[[#This Row],[Industry]], Mean_AE_S, 3, FALSE))</f>
        <v>6.8679821669703669</v>
      </c>
      <c r="T244" s="1">
        <f>(Main_S[[#This Row],[P/E]]-VLOOKUP(Main_S[[#This Row],[Industry]], Mean_PE_S, 2, FALSE))/(VLOOKUP(Main_S[[#This Row],[Industry]], Mean_PE_S, 3, FALSE))</f>
        <v>6.2245346331085631</v>
      </c>
      <c r="U2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5" spans="1:26" x14ac:dyDescent="0.25">
      <c r="A245" s="67" t="s">
        <v>172</v>
      </c>
      <c r="B245" s="67" t="s">
        <v>534</v>
      </c>
      <c r="C245" s="2">
        <v>458</v>
      </c>
      <c r="D245">
        <f>RTD("tos.rtd", , "LAST", Main_S[[#This Row],[Symbol]])</f>
        <v>10.95</v>
      </c>
      <c r="E245">
        <v>0.66</v>
      </c>
      <c r="F245">
        <v>3.32</v>
      </c>
      <c r="G245">
        <v>-1.19</v>
      </c>
      <c r="H245" s="1">
        <f>IF(ISNUMBER(Main_S[[#This Row],[Free CF]]),IF(Main_S[[#This Row],[Free CF]]&lt;&gt;0,Main_S[[#This Row],[Current Price]]/Main_S[[#This Row],[Free CF]],""),"")</f>
        <v>16.59090909090909</v>
      </c>
      <c r="I245" s="1">
        <f>IF(ISNUMBER(Main_S[[#This Row],[BVPS]]),IF(Main_S[[#This Row],[BVPS]]&lt;&gt;0,Main_S[[#This Row],[Current Price]]/Main_S[[#This Row],[BVPS]],""),"")</f>
        <v>3.2981927710843375</v>
      </c>
      <c r="J245">
        <v>-31.46</v>
      </c>
      <c r="K245">
        <v>-7.98</v>
      </c>
      <c r="L245">
        <v>2.0699999999999998</v>
      </c>
      <c r="M245" s="1">
        <f>IF(ISNUMBER(Main_S[[#This Row],[EPS]]),IF(Main_S[[#This Row],[EPS]]&lt;&gt;0,Main_S[[#This Row],[Current Price]]/Main_S[[#This Row],[EPS]],""),"")</f>
        <v>-9.2016806722689068</v>
      </c>
      <c r="N2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5" s="1">
        <f>(Main_S[[#This Row],[P/FCF]]-VLOOKUP(Main_S[[#This Row],[Industry]], Mean_PFCF_S, 2, FALSE))/(VLOOKUP(Main_S[[#This Row],[Industry]], Mean_PFCF_S, 3, FALSE))</f>
        <v>1.4364101033335959</v>
      </c>
      <c r="P245" s="1">
        <f>(Main_S[[#This Row],[P/B]]-VLOOKUP(Main_S[[#This Row],[Industry]], Mean_PB_S, 2, FALSE))/(VLOOKUP(Main_S[[#This Row],[Industry]], Mean_PB_S, 3, FALSE))</f>
        <v>0.35501188135314915</v>
      </c>
      <c r="Q245" s="1">
        <f>(Main_S[[#This Row],[ROE]]-VLOOKUP(Main_S[[#This Row],[Industry]], Mean_ROE_S, 2, FALSE))/(VLOOKUP(Main_S[[#This Row],[Industry]], Mean_ROE_S, 3, FALSE))</f>
        <v>-0.62972707454692201</v>
      </c>
      <c r="R245" s="1">
        <f>(Main_S[[#This Row],[ROA]]-VLOOKUP(Main_S[[#This Row],[Industry]], Mean_ROA_S, 2, FALSE))/(VLOOKUP(Main_S[[#This Row],[Industry]], Mean_ROA_S, 3, FALSE))</f>
        <v>0.12483145883490258</v>
      </c>
      <c r="S245" s="1">
        <f>(Main_S[[#This Row],[A/E]]-VLOOKUP(Main_S[[#This Row],[Industry]], Mean_AE_S, 2, FALSE))/(VLOOKUP(Main_S[[#This Row],[Industry]], Mean_AE_S, 3, FALSE))</f>
        <v>1.3332389306290844</v>
      </c>
      <c r="T245" s="1">
        <f>(Main_S[[#This Row],[P/E]]-VLOOKUP(Main_S[[#This Row],[Industry]], Mean_PE_S, 2, FALSE))/(VLOOKUP(Main_S[[#This Row],[Industry]], Mean_PE_S, 3, FALSE))</f>
        <v>-0.22228402219784857</v>
      </c>
      <c r="U2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6" spans="1:26" x14ac:dyDescent="0.25">
      <c r="A246" s="67" t="s">
        <v>172</v>
      </c>
      <c r="B246" s="67" t="s">
        <v>569</v>
      </c>
      <c r="C246" s="2">
        <v>1242</v>
      </c>
      <c r="D246">
        <f>RTD("tos.rtd", , "LAST", Main_S[[#This Row],[Symbol]])</f>
        <v>5.1100000000000003</v>
      </c>
      <c r="E246">
        <v>0.38</v>
      </c>
      <c r="F246">
        <v>7.64</v>
      </c>
      <c r="G246">
        <v>0.21</v>
      </c>
      <c r="H246" s="1">
        <f>IF(ISNUMBER(Main_S[[#This Row],[Free CF]]),IF(Main_S[[#This Row],[Free CF]]&lt;&gt;0,Main_S[[#This Row],[Current Price]]/Main_S[[#This Row],[Free CF]],""),"")</f>
        <v>13.447368421052632</v>
      </c>
      <c r="I246" s="1">
        <f>IF(ISNUMBER(Main_S[[#This Row],[BVPS]]),IF(Main_S[[#This Row],[BVPS]]&lt;&gt;0,Main_S[[#This Row],[Current Price]]/Main_S[[#This Row],[BVPS]],""),"")</f>
        <v>0.66884816753926712</v>
      </c>
      <c r="J246">
        <v>2.86</v>
      </c>
      <c r="K246">
        <v>4.8</v>
      </c>
      <c r="L246">
        <v>1.42</v>
      </c>
      <c r="M246" s="1">
        <f>IF(ISNUMBER(Main_S[[#This Row],[EPS]]),IF(Main_S[[#This Row],[EPS]]&lt;&gt;0,Main_S[[#This Row],[Current Price]]/Main_S[[#This Row],[EPS]],""),"")</f>
        <v>24.333333333333336</v>
      </c>
      <c r="N2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6" s="1">
        <f>(Main_S[[#This Row],[P/FCF]]-VLOOKUP(Main_S[[#This Row],[Industry]], Mean_PFCF_S, 2, FALSE))/(VLOOKUP(Main_S[[#This Row],[Industry]], Mean_PFCF_S, 3, FALSE))</f>
        <v>1.2200020536316956</v>
      </c>
      <c r="P246" s="1">
        <f>(Main_S[[#This Row],[P/B]]-VLOOKUP(Main_S[[#This Row],[Industry]], Mean_PB_S, 2, FALSE))/(VLOOKUP(Main_S[[#This Row],[Industry]], Mean_PB_S, 3, FALSE))</f>
        <v>-0.89331098665437125</v>
      </c>
      <c r="Q246" s="1">
        <f>(Main_S[[#This Row],[ROE]]-VLOOKUP(Main_S[[#This Row],[Industry]], Mean_ROE_S, 2, FALSE))/(VLOOKUP(Main_S[[#This Row],[Industry]], Mean_ROE_S, 3, FALSE))</f>
        <v>0.69133330055301168</v>
      </c>
      <c r="R246" s="1">
        <f>(Main_S[[#This Row],[ROA]]-VLOOKUP(Main_S[[#This Row],[Industry]], Mean_ROA_S, 2, FALSE))/(VLOOKUP(Main_S[[#This Row],[Industry]], Mean_ROA_S, 3, FALSE))</f>
        <v>0.99255508611742571</v>
      </c>
      <c r="S246" s="1">
        <f>(Main_S[[#This Row],[A/E]]-VLOOKUP(Main_S[[#This Row],[Industry]], Mean_AE_S, 2, FALSE))/(VLOOKUP(Main_S[[#This Row],[Industry]], Mean_AE_S, 3, FALSE))</f>
        <v>8.4078130760392639E-2</v>
      </c>
      <c r="T246" s="1">
        <f>(Main_S[[#This Row],[P/E]]-VLOOKUP(Main_S[[#This Row],[Industry]], Mean_PE_S, 2, FALSE))/(VLOOKUP(Main_S[[#This Row],[Industry]], Mean_PE_S, 3, FALSE))</f>
        <v>5.1468938881921682</v>
      </c>
      <c r="U2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7" spans="1:26" x14ac:dyDescent="0.25">
      <c r="A247" s="67" t="s">
        <v>172</v>
      </c>
      <c r="B247" s="67" t="s">
        <v>572</v>
      </c>
      <c r="C247" s="2">
        <v>764</v>
      </c>
      <c r="D247">
        <f>RTD("tos.rtd", , "LAST", Main_S[[#This Row],[Symbol]])</f>
        <v>3.82</v>
      </c>
      <c r="E247">
        <v>0.15</v>
      </c>
      <c r="F247">
        <v>0.49</v>
      </c>
      <c r="G247">
        <v>-0.83</v>
      </c>
      <c r="H247" s="1">
        <f>IF(ISNUMBER(Main_S[[#This Row],[Free CF]]),IF(Main_S[[#This Row],[Free CF]]&lt;&gt;0,Main_S[[#This Row],[Current Price]]/Main_S[[#This Row],[Free CF]],""),"")</f>
        <v>25.466666666666665</v>
      </c>
      <c r="I247" s="1">
        <f>IF(ISNUMBER(Main_S[[#This Row],[BVPS]]),IF(Main_S[[#This Row],[BVPS]]&lt;&gt;0,Main_S[[#This Row],[Current Price]]/Main_S[[#This Row],[BVPS]],""),"")</f>
        <v>7.795918367346939</v>
      </c>
      <c r="J247">
        <v>-12.53</v>
      </c>
      <c r="K247">
        <v>1.82</v>
      </c>
      <c r="L247">
        <v>2.34</v>
      </c>
      <c r="M247" s="1">
        <f>IF(ISNUMBER(Main_S[[#This Row],[EPS]]),IF(Main_S[[#This Row],[EPS]]&lt;&gt;0,Main_S[[#This Row],[Current Price]]/Main_S[[#This Row],[EPS]],""),"")</f>
        <v>-4.6024096385542173</v>
      </c>
      <c r="N2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7" s="1">
        <f>(Main_S[[#This Row],[P/FCF]]-VLOOKUP(Main_S[[#This Row],[Industry]], Mean_PFCF_S, 2, FALSE))/(VLOOKUP(Main_S[[#This Row],[Industry]], Mean_PFCF_S, 3, FALSE))</f>
        <v>2.0474362004396567</v>
      </c>
      <c r="P247" s="1">
        <f>(Main_S[[#This Row],[P/B]]-VLOOKUP(Main_S[[#This Row],[Industry]], Mean_PB_S, 2, FALSE))/(VLOOKUP(Main_S[[#This Row],[Industry]], Mean_PB_S, 3, FALSE))</f>
        <v>2.4903781274767427</v>
      </c>
      <c r="Q247" s="1">
        <f>(Main_S[[#This Row],[ROE]]-VLOOKUP(Main_S[[#This Row],[Industry]], Mean_ROE_S, 2, FALSE))/(VLOOKUP(Main_S[[#This Row],[Industry]], Mean_ROE_S, 3, FALSE))</f>
        <v>9.8934723257324664E-2</v>
      </c>
      <c r="R247" s="1">
        <f>(Main_S[[#This Row],[ROA]]-VLOOKUP(Main_S[[#This Row],[Industry]], Mean_ROA_S, 2, FALSE))/(VLOOKUP(Main_S[[#This Row],[Industry]], Mean_ROA_S, 3, FALSE))</f>
        <v>0.79022203374638367</v>
      </c>
      <c r="S247" s="1">
        <f>(Main_S[[#This Row],[A/E]]-VLOOKUP(Main_S[[#This Row],[Industry]], Mean_AE_S, 2, FALSE))/(VLOOKUP(Main_S[[#This Row],[Industry]], Mean_AE_S, 3, FALSE))</f>
        <v>1.8521211090360796</v>
      </c>
      <c r="T247" s="1">
        <f>(Main_S[[#This Row],[P/E]]-VLOOKUP(Main_S[[#This Row],[Industry]], Mean_PE_S, 2, FALSE))/(VLOOKUP(Main_S[[#This Row],[Industry]], Mean_PE_S, 3, FALSE))</f>
        <v>0.51408974028193533</v>
      </c>
      <c r="U2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8" spans="1:26" x14ac:dyDescent="0.25">
      <c r="A248" s="67" t="s">
        <v>172</v>
      </c>
      <c r="B248" s="67" t="s">
        <v>531</v>
      </c>
      <c r="C248" s="2">
        <v>327</v>
      </c>
      <c r="D248">
        <f>RTD("tos.rtd", , "LAST", Main_S[[#This Row],[Symbol]])</f>
        <v>1.33</v>
      </c>
      <c r="E248">
        <v>0.13</v>
      </c>
      <c r="F248">
        <v>2.97</v>
      </c>
      <c r="G248">
        <v>-0.28000000000000003</v>
      </c>
      <c r="H248" s="1">
        <f>IF(ISNUMBER(Main_S[[#This Row],[Free CF]]),IF(Main_S[[#This Row],[Free CF]]&lt;&gt;0,Main_S[[#This Row],[Current Price]]/Main_S[[#This Row],[Free CF]],""),"")</f>
        <v>10.230769230769232</v>
      </c>
      <c r="I248" s="1">
        <f>IF(ISNUMBER(Main_S[[#This Row],[BVPS]]),IF(Main_S[[#This Row],[BVPS]]&lt;&gt;0,Main_S[[#This Row],[Current Price]]/Main_S[[#This Row],[BVPS]],""),"")</f>
        <v>0.44781144781144783</v>
      </c>
      <c r="J248">
        <v>-9.09</v>
      </c>
      <c r="K248">
        <v>-1.1599999999999999</v>
      </c>
      <c r="L248">
        <v>1.19</v>
      </c>
      <c r="M248" s="1">
        <f>IF(ISNUMBER(Main_S[[#This Row],[EPS]]),IF(Main_S[[#This Row],[EPS]]&lt;&gt;0,Main_S[[#This Row],[Current Price]]/Main_S[[#This Row],[EPS]],""),"")</f>
        <v>-4.75</v>
      </c>
      <c r="N2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8" s="1">
        <f>(Main_S[[#This Row],[P/FCF]]-VLOOKUP(Main_S[[#This Row],[Industry]], Mean_PFCF_S, 2, FALSE))/(VLOOKUP(Main_S[[#This Row],[Industry]], Mean_PFCF_S, 3, FALSE))</f>
        <v>0.99856449943783576</v>
      </c>
      <c r="P248" s="1">
        <f>(Main_S[[#This Row],[P/B]]-VLOOKUP(Main_S[[#This Row],[Industry]], Mean_PB_S, 2, FALSE))/(VLOOKUP(Main_S[[#This Row],[Industry]], Mean_PB_S, 3, FALSE))</f>
        <v>-0.99825165952531558</v>
      </c>
      <c r="Q248" s="1">
        <f>(Main_S[[#This Row],[ROE]]-VLOOKUP(Main_S[[#This Row],[Industry]], Mean_ROE_S, 2, FALSE))/(VLOOKUP(Main_S[[#This Row],[Industry]], Mean_ROE_S, 3, FALSE))</f>
        <v>0.23134870024869328</v>
      </c>
      <c r="R248" s="1">
        <f>(Main_S[[#This Row],[ROA]]-VLOOKUP(Main_S[[#This Row],[Industry]], Mean_ROA_S, 2, FALSE))/(VLOOKUP(Main_S[[#This Row],[Industry]], Mean_ROA_S, 3, FALSE))</f>
        <v>0.5878889813753414</v>
      </c>
      <c r="S248" s="1">
        <f>(Main_S[[#This Row],[A/E]]-VLOOKUP(Main_S[[#This Row],[Industry]], Mean_AE_S, 2, FALSE))/(VLOOKUP(Main_S[[#This Row],[Industry]], Mean_AE_S, 3, FALSE))</f>
        <v>-0.35793261380852909</v>
      </c>
      <c r="T248" s="1">
        <f>(Main_S[[#This Row],[P/E]]-VLOOKUP(Main_S[[#This Row],[Industry]], Mean_PE_S, 2, FALSE))/(VLOOKUP(Main_S[[#This Row],[Industry]], Mean_PE_S, 3, FALSE))</f>
        <v>0.49045954563437105</v>
      </c>
      <c r="U2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9" spans="1:26" x14ac:dyDescent="0.25">
      <c r="A249" s="67" t="s">
        <v>172</v>
      </c>
      <c r="B249" s="67" t="s">
        <v>515</v>
      </c>
      <c r="C249" s="2">
        <v>371</v>
      </c>
      <c r="D249">
        <f>RTD("tos.rtd", , "LAST", Main_S[[#This Row],[Symbol]])</f>
        <v>7.12</v>
      </c>
      <c r="E249">
        <v>0.12</v>
      </c>
      <c r="F249">
        <v>4.2300000000000004</v>
      </c>
      <c r="G249">
        <v>-0.01</v>
      </c>
      <c r="H249" s="1">
        <f>IF(ISNUMBER(Main_S[[#This Row],[Free CF]]),IF(Main_S[[#This Row],[Free CF]]&lt;&gt;0,Main_S[[#This Row],[Current Price]]/Main_S[[#This Row],[Free CF]],""),"")</f>
        <v>59.333333333333336</v>
      </c>
      <c r="I249" s="1">
        <f>IF(ISNUMBER(Main_S[[#This Row],[BVPS]]),IF(Main_S[[#This Row],[BVPS]]&lt;&gt;0,Main_S[[#This Row],[Current Price]]/Main_S[[#This Row],[BVPS]],""),"")</f>
        <v>1.6832151300236404</v>
      </c>
      <c r="J249">
        <v>-0.23</v>
      </c>
      <c r="K249">
        <v>-2.74</v>
      </c>
      <c r="L249">
        <v>1.06</v>
      </c>
      <c r="M249" s="1">
        <f>IF(ISNUMBER(Main_S[[#This Row],[EPS]]),IF(Main_S[[#This Row],[EPS]]&lt;&gt;0,Main_S[[#This Row],[Current Price]]/Main_S[[#This Row],[EPS]],""),"")</f>
        <v>-712</v>
      </c>
      <c r="N2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9" s="1">
        <f>(Main_S[[#This Row],[P/FCF]]-VLOOKUP(Main_S[[#This Row],[Industry]], Mean_PFCF_S, 2, FALSE))/(VLOOKUP(Main_S[[#This Row],[Industry]], Mean_PFCF_S, 3, FALSE))</f>
        <v>4.3788898232656495</v>
      </c>
      <c r="P249" s="1">
        <f>(Main_S[[#This Row],[P/B]]-VLOOKUP(Main_S[[#This Row],[Industry]], Mean_PB_S, 2, FALSE))/(VLOOKUP(Main_S[[#This Row],[Industry]], Mean_PB_S, 3, FALSE))</f>
        <v>-0.41172425431304521</v>
      </c>
      <c r="Q249" s="1">
        <f>(Main_S[[#This Row],[ROE]]-VLOOKUP(Main_S[[#This Row],[Industry]], Mean_ROE_S, 2, FALSE))/(VLOOKUP(Main_S[[#This Row],[Industry]], Mean_ROE_S, 3, FALSE))</f>
        <v>0.57239167587181128</v>
      </c>
      <c r="R249" s="1">
        <f>(Main_S[[#This Row],[ROA]]-VLOOKUP(Main_S[[#This Row],[Industry]], Mean_ROA_S, 2, FALSE))/(VLOOKUP(Main_S[[#This Row],[Industry]], Mean_ROA_S, 3, FALSE))</f>
        <v>0.48061172542022507</v>
      </c>
      <c r="S249" s="1">
        <f>(Main_S[[#This Row],[A/E]]-VLOOKUP(Main_S[[#This Row],[Industry]], Mean_AE_S, 2, FALSE))/(VLOOKUP(Main_S[[#This Row],[Industry]], Mean_AE_S, 3, FALSE))</f>
        <v>-0.60776477378226734</v>
      </c>
      <c r="T249" s="1">
        <f>(Main_S[[#This Row],[P/E]]-VLOOKUP(Main_S[[#This Row],[Industry]], Mean_PE_S, 2, FALSE))/(VLOOKUP(Main_S[[#This Row],[Industry]], Mean_PE_S, 3, FALSE))</f>
        <v>-112.74495095662358</v>
      </c>
      <c r="U2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0" spans="1:26" x14ac:dyDescent="0.25">
      <c r="A250" s="67" t="s">
        <v>172</v>
      </c>
      <c r="B250" s="67" t="s">
        <v>573</v>
      </c>
      <c r="C250" s="2">
        <v>629</v>
      </c>
      <c r="D250">
        <f>RTD("tos.rtd", , "LAST", Main_S[[#This Row],[Symbol]])</f>
        <v>0.87609999999999999</v>
      </c>
      <c r="E250">
        <v>0.08</v>
      </c>
      <c r="F250">
        <v>1.08</v>
      </c>
      <c r="G250">
        <v>-0.34</v>
      </c>
      <c r="H250" s="1">
        <f>IF(ISNUMBER(Main_S[[#This Row],[Free CF]]),IF(Main_S[[#This Row],[Free CF]]&lt;&gt;0,Main_S[[#This Row],[Current Price]]/Main_S[[#This Row],[Free CF]],""),"")</f>
        <v>10.95125</v>
      </c>
      <c r="I250" s="1">
        <f>IF(ISNUMBER(Main_S[[#This Row],[BVPS]]),IF(Main_S[[#This Row],[BVPS]]&lt;&gt;0,Main_S[[#This Row],[Current Price]]/Main_S[[#This Row],[BVPS]],""),"")</f>
        <v>0.81120370370370365</v>
      </c>
      <c r="J250">
        <v>-20.92</v>
      </c>
      <c r="K250">
        <v>0.32</v>
      </c>
      <c r="L250">
        <v>3.62</v>
      </c>
      <c r="M250" s="1">
        <f>IF(ISNUMBER(Main_S[[#This Row],[EPS]]),IF(Main_S[[#This Row],[EPS]]&lt;&gt;0,Main_S[[#This Row],[Current Price]]/Main_S[[#This Row],[EPS]],""),"")</f>
        <v>-2.5767647058823528</v>
      </c>
      <c r="N2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0" s="1">
        <f>(Main_S[[#This Row],[P/FCF]]-VLOOKUP(Main_S[[#This Row],[Industry]], Mean_PFCF_S, 2, FALSE))/(VLOOKUP(Main_S[[#This Row],[Industry]], Mean_PFCF_S, 3, FALSE))</f>
        <v>1.048163933481129</v>
      </c>
      <c r="P250" s="1">
        <f>(Main_S[[#This Row],[P/B]]-VLOOKUP(Main_S[[#This Row],[Industry]], Mean_PB_S, 2, FALSE))/(VLOOKUP(Main_S[[#This Row],[Industry]], Mean_PB_S, 3, FALSE))</f>
        <v>-0.82572544805971826</v>
      </c>
      <c r="Q250" s="1">
        <f>(Main_S[[#This Row],[ROE]]-VLOOKUP(Main_S[[#This Row],[Industry]], Mean_ROE_S, 2, FALSE))/(VLOOKUP(Main_S[[#This Row],[Industry]], Mean_ROE_S, 3, FALSE))</f>
        <v>-0.22401680783499597</v>
      </c>
      <c r="R250" s="1">
        <f>(Main_S[[#This Row],[ROA]]-VLOOKUP(Main_S[[#This Row],[Industry]], Mean_ROA_S, 2, FALSE))/(VLOOKUP(Main_S[[#This Row],[Industry]], Mean_ROA_S, 3, FALSE))</f>
        <v>0.68837653758646311</v>
      </c>
      <c r="S250" s="1">
        <f>(Main_S[[#This Row],[A/E]]-VLOOKUP(Main_S[[#This Row],[Industry]], Mean_AE_S, 2, FALSE))/(VLOOKUP(Main_S[[#This Row],[Industry]], Mean_AE_S, 3, FALSE))</f>
        <v>4.3120069918544282</v>
      </c>
      <c r="T250" s="1">
        <f>(Main_S[[#This Row],[P/E]]-VLOOKUP(Main_S[[#This Row],[Industry]], Mean_PE_S, 2, FALSE))/(VLOOKUP(Main_S[[#This Row],[Industry]], Mean_PE_S, 3, FALSE))</f>
        <v>0.83840891381734317</v>
      </c>
      <c r="U2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1" spans="1:26" x14ac:dyDescent="0.25">
      <c r="A251" s="67" t="s">
        <v>172</v>
      </c>
      <c r="B251" s="67" t="s">
        <v>575</v>
      </c>
      <c r="C251" s="2">
        <v>667</v>
      </c>
      <c r="D251">
        <f>RTD("tos.rtd", , "LAST", Main_S[[#This Row],[Symbol]])</f>
        <v>0.64949999999999997</v>
      </c>
      <c r="E251">
        <v>0</v>
      </c>
      <c r="F251">
        <v>0</v>
      </c>
      <c r="G251">
        <v>0</v>
      </c>
      <c r="H251" s="1" t="str">
        <f>IF(ISNUMBER(Main_S[[#This Row],[Free CF]]),IF(Main_S[[#This Row],[Free CF]]&lt;&gt;0,Main_S[[#This Row],[Current Price]]/Main_S[[#This Row],[Free CF]],""),"")</f>
        <v/>
      </c>
      <c r="I251" s="1" t="str">
        <f>IF(ISNUMBER(Main_S[[#This Row],[BVPS]]),IF(Main_S[[#This Row],[BVPS]]&lt;&gt;0,Main_S[[#This Row],[Current Price]]/Main_S[[#This Row],[BVPS]],""),"")</f>
        <v/>
      </c>
      <c r="J251">
        <v>27.38</v>
      </c>
      <c r="K251">
        <v>-102.64</v>
      </c>
      <c r="L251">
        <v>-0.15</v>
      </c>
      <c r="M251" s="1" t="str">
        <f>IF(ISNUMBER(Main_S[[#This Row],[EPS]]),IF(Main_S[[#This Row],[EPS]]&lt;&gt;0,Main_S[[#This Row],[Current Price]]/Main_S[[#This Row],[EPS]],""),"")</f>
        <v/>
      </c>
      <c r="N2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1" s="1" t="e">
        <f>(Main_S[[#This Row],[P/FCF]]-VLOOKUP(Main_S[[#This Row],[Industry]], Mean_PFCF_S, 2, FALSE))/(VLOOKUP(Main_S[[#This Row],[Industry]], Mean_PFCF_S, 3, FALSE))</f>
        <v>#VALUE!</v>
      </c>
      <c r="P251" s="1" t="e">
        <f>(Main_S[[#This Row],[P/B]]-VLOOKUP(Main_S[[#This Row],[Industry]], Mean_PB_S, 2, FALSE))/(VLOOKUP(Main_S[[#This Row],[Industry]], Mean_PB_S, 3, FALSE))</f>
        <v>#VALUE!</v>
      </c>
      <c r="Q251" s="1">
        <f>(Main_S[[#This Row],[ROE]]-VLOOKUP(Main_S[[#This Row],[Industry]], Mean_ROE_S, 2, FALSE))/(VLOOKUP(Main_S[[#This Row],[Industry]], Mean_ROE_S, 3, FALSE))</f>
        <v>1.6351678109682322</v>
      </c>
      <c r="R251" s="1">
        <f>(Main_S[[#This Row],[ROA]]-VLOOKUP(Main_S[[#This Row],[Industry]], Mean_ROA_S, 2, FALSE))/(VLOOKUP(Main_S[[#This Row],[Industry]], Mean_ROA_S, 3, FALSE))</f>
        <v>-6.3022983188304842</v>
      </c>
      <c r="S251" s="1">
        <f>(Main_S[[#This Row],[A/E]]-VLOOKUP(Main_S[[#This Row],[Industry]], Mean_AE_S, 2, FALSE))/(VLOOKUP(Main_S[[#This Row],[Industry]], Mean_AE_S, 3, FALSE))</f>
        <v>-2.9331256473839864</v>
      </c>
      <c r="T251" s="1" t="e">
        <f>(Main_S[[#This Row],[P/E]]-VLOOKUP(Main_S[[#This Row],[Industry]], Mean_PE_S, 2, FALSE))/(VLOOKUP(Main_S[[#This Row],[Industry]], Mean_PE_S, 3, FALSE))</f>
        <v>#VALUE!</v>
      </c>
      <c r="U2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2" spans="1:26" x14ac:dyDescent="0.25">
      <c r="A252" s="67" t="s">
        <v>172</v>
      </c>
      <c r="B252" s="67" t="s">
        <v>510</v>
      </c>
      <c r="C252" s="2">
        <v>763</v>
      </c>
      <c r="D252">
        <f>RTD("tos.rtd", , "LAST", Main_S[[#This Row],[Symbol]])</f>
        <v>1.96</v>
      </c>
      <c r="E252">
        <v>-0.02</v>
      </c>
      <c r="F252">
        <v>2.77</v>
      </c>
      <c r="G252">
        <v>0.13</v>
      </c>
      <c r="H252" s="1">
        <f>IF(ISNUMBER(Main_S[[#This Row],[Free CF]]),IF(Main_S[[#This Row],[Free CF]]&lt;&gt;0,Main_S[[#This Row],[Current Price]]/Main_S[[#This Row],[Free CF]],""),"")</f>
        <v>-98</v>
      </c>
      <c r="I252" s="1">
        <f>IF(ISNUMBER(Main_S[[#This Row],[BVPS]]),IF(Main_S[[#This Row],[BVPS]]&lt;&gt;0,Main_S[[#This Row],[Current Price]]/Main_S[[#This Row],[BVPS]],""),"")</f>
        <v>0.70758122743682306</v>
      </c>
      <c r="J252">
        <v>4.59</v>
      </c>
      <c r="K252">
        <v>-2.42</v>
      </c>
      <c r="L252">
        <v>1.08</v>
      </c>
      <c r="M252" s="1">
        <f>IF(ISNUMBER(Main_S[[#This Row],[EPS]]),IF(Main_S[[#This Row],[EPS]]&lt;&gt;0,Main_S[[#This Row],[Current Price]]/Main_S[[#This Row],[EPS]],""),"")</f>
        <v>15.076923076923077</v>
      </c>
      <c r="N2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2" s="1">
        <f>(Main_S[[#This Row],[P/FCF]]-VLOOKUP(Main_S[[#This Row],[Industry]], Mean_PFCF_S, 2, FALSE))/(VLOOKUP(Main_S[[#This Row],[Industry]], Mean_PFCF_S, 3, FALSE))</f>
        <v>-6.4522726764771532</v>
      </c>
      <c r="P252" s="1">
        <f>(Main_S[[#This Row],[P/B]]-VLOOKUP(Main_S[[#This Row],[Industry]], Mean_PB_S, 2, FALSE))/(VLOOKUP(Main_S[[#This Row],[Industry]], Mean_PB_S, 3, FALSE))</f>
        <v>-0.8749218548711758</v>
      </c>
      <c r="Q252" s="1">
        <f>(Main_S[[#This Row],[ROE]]-VLOOKUP(Main_S[[#This Row],[Industry]], Mean_ROE_S, 2, FALSE))/(VLOOKUP(Main_S[[#This Row],[Industry]], Mean_ROE_S, 3, FALSE))</f>
        <v>0.75792521340041508</v>
      </c>
      <c r="R252" s="1">
        <f>(Main_S[[#This Row],[ROA]]-VLOOKUP(Main_S[[#This Row],[Industry]], Mean_ROA_S, 2, FALSE))/(VLOOKUP(Main_S[[#This Row],[Industry]], Mean_ROA_S, 3, FALSE))</f>
        <v>0.50233876460100813</v>
      </c>
      <c r="S252" s="1">
        <f>(Main_S[[#This Row],[A/E]]-VLOOKUP(Main_S[[#This Row],[Industry]], Mean_AE_S, 2, FALSE))/(VLOOKUP(Main_S[[#This Row],[Industry]], Mean_AE_S, 3, FALSE))</f>
        <v>-0.56932905686323054</v>
      </c>
      <c r="T252" s="1">
        <f>(Main_S[[#This Row],[P/E]]-VLOOKUP(Main_S[[#This Row],[Industry]], Mean_PE_S, 2, FALSE))/(VLOOKUP(Main_S[[#This Row],[Industry]], Mean_PE_S, 3, FALSE))</f>
        <v>3.6648812828023822</v>
      </c>
      <c r="U2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3" spans="1:26" x14ac:dyDescent="0.25">
      <c r="A253" s="67" t="s">
        <v>172</v>
      </c>
      <c r="B253" s="67" t="s">
        <v>513</v>
      </c>
      <c r="C253" s="2">
        <v>507</v>
      </c>
      <c r="D253">
        <f>RTD("tos.rtd", , "LAST", Main_S[[#This Row],[Symbol]])</f>
        <v>15.85</v>
      </c>
      <c r="E253">
        <v>-0.1</v>
      </c>
      <c r="F253">
        <v>0.91</v>
      </c>
      <c r="G253">
        <v>-0.18</v>
      </c>
      <c r="H253" s="1">
        <f>IF(ISNUMBER(Main_S[[#This Row],[Free CF]]),IF(Main_S[[#This Row],[Free CF]]&lt;&gt;0,Main_S[[#This Row],[Current Price]]/Main_S[[#This Row],[Free CF]],""),"")</f>
        <v>-158.5</v>
      </c>
      <c r="I253" s="1">
        <f>IF(ISNUMBER(Main_S[[#This Row],[BVPS]]),IF(Main_S[[#This Row],[BVPS]]&lt;&gt;0,Main_S[[#This Row],[Current Price]]/Main_S[[#This Row],[BVPS]],""),"")</f>
        <v>17.417582417582416</v>
      </c>
      <c r="J253">
        <v>-22.95</v>
      </c>
      <c r="K253">
        <v>-2.02</v>
      </c>
      <c r="L253">
        <v>3.44</v>
      </c>
      <c r="M253" s="1">
        <f>IF(ISNUMBER(Main_S[[#This Row],[EPS]]),IF(Main_S[[#This Row],[EPS]]&lt;&gt;0,Main_S[[#This Row],[Current Price]]/Main_S[[#This Row],[EPS]],""),"")</f>
        <v>-88.055555555555557</v>
      </c>
      <c r="N2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3" s="1">
        <f>(Main_S[[#This Row],[P/FCF]]-VLOOKUP(Main_S[[#This Row],[Industry]], Mean_PFCF_S, 2, FALSE))/(VLOOKUP(Main_S[[#This Row],[Industry]], Mean_PFCF_S, 3, FALSE))</f>
        <v>-10.6172218156791</v>
      </c>
      <c r="P253" s="1">
        <f>(Main_S[[#This Row],[P/B]]-VLOOKUP(Main_S[[#This Row],[Industry]], Mean_PB_S, 2, FALSE))/(VLOOKUP(Main_S[[#This Row],[Industry]], Mean_PB_S, 3, FALSE))</f>
        <v>7.0584150618522497</v>
      </c>
      <c r="Q253" s="1">
        <f>(Main_S[[#This Row],[ROE]]-VLOOKUP(Main_S[[#This Row],[Industry]], Mean_ROE_S, 2, FALSE))/(VLOOKUP(Main_S[[#This Row],[Industry]], Mean_ROE_S, 3, FALSE))</f>
        <v>-0.30215645123397211</v>
      </c>
      <c r="R253" s="1">
        <f>(Main_S[[#This Row],[ROA]]-VLOOKUP(Main_S[[#This Row],[Industry]], Mean_ROA_S, 2, FALSE))/(VLOOKUP(Main_S[[#This Row],[Industry]], Mean_ROA_S, 3, FALSE))</f>
        <v>0.52949756357698696</v>
      </c>
      <c r="S253" s="1">
        <f>(Main_S[[#This Row],[A/E]]-VLOOKUP(Main_S[[#This Row],[Industry]], Mean_AE_S, 2, FALSE))/(VLOOKUP(Main_S[[#This Row],[Industry]], Mean_AE_S, 3, FALSE))</f>
        <v>3.9660855395830965</v>
      </c>
      <c r="T253" s="1">
        <f>(Main_S[[#This Row],[P/E]]-VLOOKUP(Main_S[[#This Row],[Industry]], Mean_PE_S, 2, FALSE))/(VLOOKUP(Main_S[[#This Row],[Industry]], Mean_PE_S, 3, FALSE))</f>
        <v>-12.847311794700714</v>
      </c>
      <c r="U2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4" spans="1:26" x14ac:dyDescent="0.25">
      <c r="A254" s="67" t="s">
        <v>172</v>
      </c>
      <c r="B254" s="67" t="s">
        <v>536</v>
      </c>
      <c r="C254" s="2">
        <v>432</v>
      </c>
      <c r="D254">
        <f>RTD("tos.rtd", , "LAST", Main_S[[#This Row],[Symbol]])</f>
        <v>0.41</v>
      </c>
      <c r="E254">
        <v>-0.1</v>
      </c>
      <c r="F254">
        <v>2.8</v>
      </c>
      <c r="G254">
        <v>-1.1200000000000001</v>
      </c>
      <c r="H254" s="1">
        <f>IF(ISNUMBER(Main_S[[#This Row],[Free CF]]),IF(Main_S[[#This Row],[Free CF]]&lt;&gt;0,Main_S[[#This Row],[Current Price]]/Main_S[[#This Row],[Free CF]],""),"")</f>
        <v>-4.0999999999999996</v>
      </c>
      <c r="I254" s="1">
        <f>IF(ISNUMBER(Main_S[[#This Row],[BVPS]]),IF(Main_S[[#This Row],[BVPS]]&lt;&gt;0,Main_S[[#This Row],[Current Price]]/Main_S[[#This Row],[BVPS]],""),"")</f>
        <v>0.14642857142857144</v>
      </c>
      <c r="J254">
        <v>-30.73</v>
      </c>
      <c r="K254">
        <v>-1.63</v>
      </c>
      <c r="L254">
        <v>1.25</v>
      </c>
      <c r="M254" s="1">
        <f>IF(ISNUMBER(Main_S[[#This Row],[EPS]]),IF(Main_S[[#This Row],[EPS]]&lt;&gt;0,Main_S[[#This Row],[Current Price]]/Main_S[[#This Row],[EPS]],""),"")</f>
        <v>-0.36607142857142849</v>
      </c>
      <c r="N2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4" s="1">
        <f>(Main_S[[#This Row],[P/FCF]]-VLOOKUP(Main_S[[#This Row],[Industry]], Mean_PFCF_S, 2, FALSE))/(VLOOKUP(Main_S[[#This Row],[Industry]], Mean_PFCF_S, 3, FALSE))</f>
        <v>1.200375610239696E-2</v>
      </c>
      <c r="P254" s="1">
        <f>(Main_S[[#This Row],[P/B]]-VLOOKUP(Main_S[[#This Row],[Industry]], Mean_PB_S, 2, FALSE))/(VLOOKUP(Main_S[[#This Row],[Industry]], Mean_PB_S, 3, FALSE))</f>
        <v>-1.1413379389378266</v>
      </c>
      <c r="Q254" s="1">
        <f>(Main_S[[#This Row],[ROE]]-VLOOKUP(Main_S[[#This Row],[Industry]], Mean_ROE_S, 2, FALSE))/(VLOOKUP(Main_S[[#This Row],[Industry]], Mean_ROE_S, 3, FALSE))</f>
        <v>-0.60162759687142797</v>
      </c>
      <c r="R254" s="1">
        <f>(Main_S[[#This Row],[ROA]]-VLOOKUP(Main_S[[#This Row],[Industry]], Mean_ROA_S, 2, FALSE))/(VLOOKUP(Main_S[[#This Row],[Industry]], Mean_ROA_S, 3, FALSE))</f>
        <v>0.55597739257856627</v>
      </c>
      <c r="S254" s="1">
        <f>(Main_S[[#This Row],[A/E]]-VLOOKUP(Main_S[[#This Row],[Industry]], Mean_AE_S, 2, FALSE))/(VLOOKUP(Main_S[[#This Row],[Industry]], Mean_AE_S, 3, FALSE))</f>
        <v>-0.24262546305141897</v>
      </c>
      <c r="T254" s="1">
        <f>(Main_S[[#This Row],[P/E]]-VLOOKUP(Main_S[[#This Row],[Industry]], Mean_PE_S, 2, FALSE))/(VLOOKUP(Main_S[[#This Row],[Industry]], Mean_PE_S, 3, FALSE))</f>
        <v>1.1923555532671621</v>
      </c>
      <c r="U2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5" spans="1:26" x14ac:dyDescent="0.25">
      <c r="A255" s="67" t="s">
        <v>172</v>
      </c>
      <c r="B255" s="67" t="s">
        <v>579</v>
      </c>
      <c r="C255" s="2">
        <v>423</v>
      </c>
      <c r="D255">
        <f>RTD("tos.rtd", , "LAST", Main_S[[#This Row],[Symbol]])</f>
        <v>4.41</v>
      </c>
      <c r="E255">
        <v>-0.1</v>
      </c>
      <c r="F255">
        <v>5.59</v>
      </c>
      <c r="G255">
        <v>7.0000000000000007E-2</v>
      </c>
      <c r="H255" s="1">
        <f>IF(ISNUMBER(Main_S[[#This Row],[Free CF]]),IF(Main_S[[#This Row],[Free CF]]&lt;&gt;0,Main_S[[#This Row],[Current Price]]/Main_S[[#This Row],[Free CF]],""),"")</f>
        <v>-44.1</v>
      </c>
      <c r="I255" s="1">
        <f>IF(ISNUMBER(Main_S[[#This Row],[BVPS]]),IF(Main_S[[#This Row],[BVPS]]&lt;&gt;0,Main_S[[#This Row],[Current Price]]/Main_S[[#This Row],[BVPS]],""),"")</f>
        <v>0.78890876565295176</v>
      </c>
      <c r="J255">
        <v>1.42</v>
      </c>
      <c r="K255">
        <v>-0.05</v>
      </c>
      <c r="L255">
        <v>1.26</v>
      </c>
      <c r="M255" s="1">
        <f>IF(ISNUMBER(Main_S[[#This Row],[EPS]]),IF(Main_S[[#This Row],[EPS]]&lt;&gt;0,Main_S[[#This Row],[Current Price]]/Main_S[[#This Row],[EPS]],""),"")</f>
        <v>62.999999999999993</v>
      </c>
      <c r="N2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5" s="1">
        <f>(Main_S[[#This Row],[P/FCF]]-VLOOKUP(Main_S[[#This Row],[Industry]], Mean_PFCF_S, 2, FALSE))/(VLOOKUP(Main_S[[#This Row],[Industry]], Mean_PFCF_S, 3, FALSE))</f>
        <v>-2.741681625188146</v>
      </c>
      <c r="P255" s="1">
        <f>(Main_S[[#This Row],[P/B]]-VLOOKUP(Main_S[[#This Row],[Industry]], Mean_PB_S, 2, FALSE))/(VLOOKUP(Main_S[[#This Row],[Industry]], Mean_PB_S, 3, FALSE))</f>
        <v>-0.83631032193742927</v>
      </c>
      <c r="Q255" s="1">
        <f>(Main_S[[#This Row],[ROE]]-VLOOKUP(Main_S[[#This Row],[Industry]], Mean_ROE_S, 2, FALSE))/(VLOOKUP(Main_S[[#This Row],[Industry]], Mean_ROE_S, 3, FALSE))</f>
        <v>0.63590419390546193</v>
      </c>
      <c r="R255" s="1">
        <f>(Main_S[[#This Row],[ROA]]-VLOOKUP(Main_S[[#This Row],[Industry]], Mean_ROA_S, 2, FALSE))/(VLOOKUP(Main_S[[#This Row],[Industry]], Mean_ROA_S, 3, FALSE))</f>
        <v>0.66325464853368254</v>
      </c>
      <c r="S255" s="1">
        <f>(Main_S[[#This Row],[A/E]]-VLOOKUP(Main_S[[#This Row],[Industry]], Mean_AE_S, 2, FALSE))/(VLOOKUP(Main_S[[#This Row],[Industry]], Mean_AE_S, 3, FALSE))</f>
        <v>-0.22340760459190062</v>
      </c>
      <c r="T255" s="1">
        <f>(Main_S[[#This Row],[P/E]]-VLOOKUP(Main_S[[#This Row],[Industry]], Mean_PE_S, 2, FALSE))/(VLOOKUP(Main_S[[#This Row],[Industry]], Mean_PE_S, 3, FALSE))</f>
        <v>11.337683386607118</v>
      </c>
      <c r="U2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6" spans="1:26" x14ac:dyDescent="0.25">
      <c r="A256" s="67" t="s">
        <v>172</v>
      </c>
      <c r="B256" s="67" t="s">
        <v>580</v>
      </c>
      <c r="C256" s="2">
        <v>273</v>
      </c>
      <c r="D256">
        <f>RTD("tos.rtd", , "LAST", Main_S[[#This Row],[Symbol]])</f>
        <v>2.54</v>
      </c>
      <c r="E256">
        <v>-0.18</v>
      </c>
      <c r="F256">
        <v>0.01</v>
      </c>
      <c r="G256">
        <v>-0.25</v>
      </c>
      <c r="H256" s="1">
        <f>IF(ISNUMBER(Main_S[[#This Row],[Free CF]]),IF(Main_S[[#This Row],[Free CF]]&lt;&gt;0,Main_S[[#This Row],[Current Price]]/Main_S[[#This Row],[Free CF]],""),"")</f>
        <v>-14.111111111111112</v>
      </c>
      <c r="I256" s="1">
        <f>IF(ISNUMBER(Main_S[[#This Row],[BVPS]]),IF(Main_S[[#This Row],[BVPS]]&lt;&gt;0,Main_S[[#This Row],[Current Price]]/Main_S[[#This Row],[BVPS]],""),"")</f>
        <v>254</v>
      </c>
      <c r="J256">
        <v>-253.35</v>
      </c>
      <c r="K256">
        <v>-68.239999999999995</v>
      </c>
      <c r="L256">
        <v>11.4</v>
      </c>
      <c r="M256" s="1">
        <f>IF(ISNUMBER(Main_S[[#This Row],[EPS]]),IF(Main_S[[#This Row],[EPS]]&lt;&gt;0,Main_S[[#This Row],[Current Price]]/Main_S[[#This Row],[EPS]],""),"")</f>
        <v>-10.16</v>
      </c>
      <c r="N2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6" s="1">
        <f>(Main_S[[#This Row],[P/FCF]]-VLOOKUP(Main_S[[#This Row],[Industry]], Mean_PFCF_S, 2, FALSE))/(VLOOKUP(Main_S[[#This Row],[Industry]], Mean_PFCF_S, 3, FALSE))</f>
        <v>-0.67718250182615292</v>
      </c>
      <c r="P256" s="1">
        <f>(Main_S[[#This Row],[P/B]]-VLOOKUP(Main_S[[#This Row],[Industry]], Mean_PB_S, 2, FALSE))/(VLOOKUP(Main_S[[#This Row],[Industry]], Mean_PB_S, 3, FALSE))</f>
        <v>119.37965345656463</v>
      </c>
      <c r="Q256" s="1">
        <f>(Main_S[[#This Row],[ROE]]-VLOOKUP(Main_S[[#This Row],[Industry]], Mean_ROE_S, 2, FALSE))/(VLOOKUP(Main_S[[#This Row],[Industry]], Mean_ROE_S, 3, FALSE))</f>
        <v>-9.1708135148419174</v>
      </c>
      <c r="R256" s="1">
        <f>(Main_S[[#This Row],[ROA]]-VLOOKUP(Main_S[[#This Row],[Industry]], Mean_ROA_S, 2, FALSE))/(VLOOKUP(Main_S[[#This Row],[Industry]], Mean_ROA_S, 3, FALSE))</f>
        <v>-3.9666416068963053</v>
      </c>
      <c r="S256" s="1">
        <f>(Main_S[[#This Row],[A/E]]-VLOOKUP(Main_S[[#This Row],[Industry]], Mean_AE_S, 2, FALSE))/(VLOOKUP(Main_S[[#This Row],[Industry]], Mean_AE_S, 3, FALSE))</f>
        <v>19.263500873359693</v>
      </c>
      <c r="T256" s="1">
        <f>(Main_S[[#This Row],[P/E]]-VLOOKUP(Main_S[[#This Row],[Industry]], Mean_PE_S, 2, FALSE))/(VLOOKUP(Main_S[[#This Row],[Industry]], Mean_PE_S, 3, FALSE))</f>
        <v>-0.37571729539385879</v>
      </c>
      <c r="U2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7" spans="1:26" x14ac:dyDescent="0.25">
      <c r="A257" s="67" t="s">
        <v>172</v>
      </c>
      <c r="B257" s="67" t="s">
        <v>539</v>
      </c>
      <c r="C257" s="2">
        <v>791</v>
      </c>
      <c r="D257">
        <f>RTD("tos.rtd", , "LAST", Main_S[[#This Row],[Symbol]])</f>
        <v>4.4800000000000004</v>
      </c>
      <c r="E257">
        <v>-0.18</v>
      </c>
      <c r="F257">
        <v>-0.23</v>
      </c>
      <c r="G257">
        <v>-0.3</v>
      </c>
      <c r="H257" s="1">
        <f>IF(ISNUMBER(Main_S[[#This Row],[Free CF]]),IF(Main_S[[#This Row],[Free CF]]&lt;&gt;0,Main_S[[#This Row],[Current Price]]/Main_S[[#This Row],[Free CF]],""),"")</f>
        <v>-24.888888888888893</v>
      </c>
      <c r="I257" s="1">
        <f>IF(ISNUMBER(Main_S[[#This Row],[BVPS]]),IF(Main_S[[#This Row],[BVPS]]&lt;&gt;0,Main_S[[#This Row],[Current Price]]/Main_S[[#This Row],[BVPS]],""),"")</f>
        <v>-19.478260869565219</v>
      </c>
      <c r="J257">
        <v>203.48</v>
      </c>
      <c r="K257">
        <v>-3.14</v>
      </c>
      <c r="L257">
        <v>-8.98</v>
      </c>
      <c r="M257" s="1">
        <f>IF(ISNUMBER(Main_S[[#This Row],[EPS]]),IF(Main_S[[#This Row],[EPS]]&lt;&gt;0,Main_S[[#This Row],[Current Price]]/Main_S[[#This Row],[EPS]],""),"")</f>
        <v>-14.933333333333335</v>
      </c>
      <c r="N2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7" s="1">
        <f>(Main_S[[#This Row],[P/FCF]]-VLOOKUP(Main_S[[#This Row],[Industry]], Mean_PFCF_S, 2, FALSE))/(VLOOKUP(Main_S[[#This Row],[Industry]], Mean_PFCF_S, 3, FALSE))</f>
        <v>-1.4191477295627717</v>
      </c>
      <c r="P257" s="1">
        <f>(Main_S[[#This Row],[P/B]]-VLOOKUP(Main_S[[#This Row],[Industry]], Mean_PB_S, 2, FALSE))/(VLOOKUP(Main_S[[#This Row],[Industry]], Mean_PB_S, 3, FALSE))</f>
        <v>-10.458469125815492</v>
      </c>
      <c r="Q257" s="1">
        <f>(Main_S[[#This Row],[ROE]]-VLOOKUP(Main_S[[#This Row],[Industry]], Mean_ROE_S, 2, FALSE))/(VLOOKUP(Main_S[[#This Row],[Industry]], Mean_ROE_S, 3, FALSE))</f>
        <v>8.4136856447414914</v>
      </c>
      <c r="R257" s="1">
        <f>(Main_S[[#This Row],[ROA]]-VLOOKUP(Main_S[[#This Row],[Industry]], Mean_ROA_S, 2, FALSE))/(VLOOKUP(Main_S[[#This Row],[Industry]], Mean_ROA_S, 3, FALSE))</f>
        <v>0.45345292644424623</v>
      </c>
      <c r="S257" s="1">
        <f>(Main_S[[#This Row],[A/E]]-VLOOKUP(Main_S[[#This Row],[Industry]], Mean_AE_S, 2, FALSE))/(VLOOKUP(Main_S[[#This Row],[Industry]], Mean_AE_S, 3, FALSE))</f>
        <v>-19.902494667138683</v>
      </c>
      <c r="T257" s="1">
        <f>(Main_S[[#This Row],[P/E]]-VLOOKUP(Main_S[[#This Row],[Industry]], Mean_PE_S, 2, FALSE))/(VLOOKUP(Main_S[[#This Row],[Industry]], Mean_PE_S, 3, FALSE))</f>
        <v>-1.1399595851981876</v>
      </c>
      <c r="U2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8" spans="1:26" x14ac:dyDescent="0.25">
      <c r="A258" s="67" t="s">
        <v>172</v>
      </c>
      <c r="B258" s="67" t="s">
        <v>509</v>
      </c>
      <c r="C258" s="2">
        <v>823</v>
      </c>
      <c r="D258">
        <f>RTD("tos.rtd", , "LAST", Main_S[[#This Row],[Symbol]])</f>
        <v>14.35</v>
      </c>
      <c r="E258">
        <v>-0.22</v>
      </c>
      <c r="F258">
        <v>1.7</v>
      </c>
      <c r="G258">
        <v>0.28000000000000003</v>
      </c>
      <c r="H258" s="1">
        <f>IF(ISNUMBER(Main_S[[#This Row],[Free CF]]),IF(Main_S[[#This Row],[Free CF]]&lt;&gt;0,Main_S[[#This Row],[Current Price]]/Main_S[[#This Row],[Free CF]],""),"")</f>
        <v>-65.22727272727272</v>
      </c>
      <c r="I258" s="1">
        <f>IF(ISNUMBER(Main_S[[#This Row],[BVPS]]),IF(Main_S[[#This Row],[BVPS]]&lt;&gt;0,Main_S[[#This Row],[Current Price]]/Main_S[[#This Row],[BVPS]],""),"")</f>
        <v>8.4411764705882355</v>
      </c>
      <c r="J258">
        <v>19.87</v>
      </c>
      <c r="K258">
        <v>8.31</v>
      </c>
      <c r="L258">
        <v>1.3</v>
      </c>
      <c r="M258" s="1">
        <f>IF(ISNUMBER(Main_S[[#This Row],[EPS]]),IF(Main_S[[#This Row],[EPS]]&lt;&gt;0,Main_S[[#This Row],[Current Price]]/Main_S[[#This Row],[EPS]],""),"")</f>
        <v>51.249999999999993</v>
      </c>
      <c r="N2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8" s="1">
        <f>(Main_S[[#This Row],[P/FCF]]-VLOOKUP(Main_S[[#This Row],[Industry]], Mean_PFCF_S, 2, FALSE))/(VLOOKUP(Main_S[[#This Row],[Industry]], Mean_PFCF_S, 3, FALSE))</f>
        <v>-4.1961281765788776</v>
      </c>
      <c r="P258" s="1">
        <f>(Main_S[[#This Row],[P/B]]-VLOOKUP(Main_S[[#This Row],[Industry]], Mean_PB_S, 2, FALSE))/(VLOOKUP(Main_S[[#This Row],[Industry]], Mean_PB_S, 3, FALSE))</f>
        <v>2.7967246006462347</v>
      </c>
      <c r="Q258" s="1">
        <f>(Main_S[[#This Row],[ROE]]-VLOOKUP(Main_S[[#This Row],[Industry]], Mean_ROE_S, 2, FALSE))/(VLOOKUP(Main_S[[#This Row],[Industry]], Mean_ROE_S, 3, FALSE))</f>
        <v>1.3460896228271919</v>
      </c>
      <c r="R258" s="1">
        <f>(Main_S[[#This Row],[ROA]]-VLOOKUP(Main_S[[#This Row],[Industry]], Mean_ROA_S, 2, FALSE))/(VLOOKUP(Main_S[[#This Row],[Industry]], Mean_ROA_S, 3, FALSE))</f>
        <v>1.2308735471316399</v>
      </c>
      <c r="S258" s="1">
        <f>(Main_S[[#This Row],[A/E]]-VLOOKUP(Main_S[[#This Row],[Industry]], Mean_AE_S, 2, FALSE))/(VLOOKUP(Main_S[[#This Row],[Industry]], Mean_AE_S, 3, FALSE))</f>
        <v>-0.14653617075382719</v>
      </c>
      <c r="T258" s="1">
        <f>(Main_S[[#This Row],[P/E]]-VLOOKUP(Main_S[[#This Row],[Industry]], Mean_PE_S, 2, FALSE))/(VLOOKUP(Main_S[[#This Row],[Industry]], Mean_PE_S, 3, FALSE))</f>
        <v>9.4564305433387812</v>
      </c>
      <c r="U2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9" spans="1:26" x14ac:dyDescent="0.25">
      <c r="A259" s="67" t="s">
        <v>172</v>
      </c>
      <c r="B259" s="67" t="s">
        <v>505</v>
      </c>
      <c r="C259" s="2">
        <v>881</v>
      </c>
      <c r="D259">
        <f>RTD("tos.rtd", , "LAST", Main_S[[#This Row],[Symbol]])</f>
        <v>10.07</v>
      </c>
      <c r="E259">
        <v>-0.26</v>
      </c>
      <c r="F259">
        <v>0.77</v>
      </c>
      <c r="G259">
        <v>-0.27</v>
      </c>
      <c r="H259" s="1">
        <f>IF(ISNUMBER(Main_S[[#This Row],[Free CF]]),IF(Main_S[[#This Row],[Free CF]]&lt;&gt;0,Main_S[[#This Row],[Current Price]]/Main_S[[#This Row],[Free CF]],""),"")</f>
        <v>-38.730769230769234</v>
      </c>
      <c r="I259" s="1">
        <f>IF(ISNUMBER(Main_S[[#This Row],[BVPS]]),IF(Main_S[[#This Row],[BVPS]]&lt;&gt;0,Main_S[[#This Row],[Current Price]]/Main_S[[#This Row],[BVPS]],""),"")</f>
        <v>13.077922077922079</v>
      </c>
      <c r="J259">
        <v>-34.65</v>
      </c>
      <c r="K259">
        <v>-7.21</v>
      </c>
      <c r="L259">
        <v>2.27</v>
      </c>
      <c r="M259" s="1">
        <f>IF(ISNUMBER(Main_S[[#This Row],[EPS]]),IF(Main_S[[#This Row],[EPS]]&lt;&gt;0,Main_S[[#This Row],[Current Price]]/Main_S[[#This Row],[EPS]],""),"")</f>
        <v>-37.296296296296298</v>
      </c>
      <c r="N2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9" s="1">
        <f>(Main_S[[#This Row],[P/FCF]]-VLOOKUP(Main_S[[#This Row],[Industry]], Mean_PFCF_S, 2, FALSE))/(VLOOKUP(Main_S[[#This Row],[Industry]], Mean_PFCF_S, 3, FALSE))</f>
        <v>-2.3720523182379925</v>
      </c>
      <c r="P259" s="1">
        <f>(Main_S[[#This Row],[P/B]]-VLOOKUP(Main_S[[#This Row],[Industry]], Mean_PB_S, 2, FALSE))/(VLOOKUP(Main_S[[#This Row],[Industry]], Mean_PB_S, 3, FALSE))</f>
        <v>4.9980927921583893</v>
      </c>
      <c r="Q259" s="1">
        <f>(Main_S[[#This Row],[ROE]]-VLOOKUP(Main_S[[#This Row],[Industry]], Mean_ROE_S, 2, FALSE))/(VLOOKUP(Main_S[[#This Row],[Industry]], Mean_ROE_S, 3, FALSE))</f>
        <v>-0.75251794274531314</v>
      </c>
      <c r="R259" s="1">
        <f>(Main_S[[#This Row],[ROA]]-VLOOKUP(Main_S[[#This Row],[Industry]], Mean_ROA_S, 2, FALSE))/(VLOOKUP(Main_S[[#This Row],[Industry]], Mean_ROA_S, 3, FALSE))</f>
        <v>0.17711214686366183</v>
      </c>
      <c r="S259" s="1">
        <f>(Main_S[[#This Row],[A/E]]-VLOOKUP(Main_S[[#This Row],[Industry]], Mean_AE_S, 2, FALSE))/(VLOOKUP(Main_S[[#This Row],[Industry]], Mean_AE_S, 3, FALSE))</f>
        <v>1.7175960998194515</v>
      </c>
      <c r="T259" s="1">
        <f>(Main_S[[#This Row],[P/E]]-VLOOKUP(Main_S[[#This Row],[Industry]], Mean_PE_S, 2, FALSE))/(VLOOKUP(Main_S[[#This Row],[Industry]], Mean_PE_S, 3, FALSE))</f>
        <v>-4.7204181092814705</v>
      </c>
      <c r="U2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0" spans="1:26" x14ac:dyDescent="0.25">
      <c r="A260" s="67" t="s">
        <v>172</v>
      </c>
      <c r="B260" s="67" t="s">
        <v>498</v>
      </c>
      <c r="C260" s="2">
        <v>291</v>
      </c>
      <c r="D260">
        <f>RTD("tos.rtd", , "LAST", Main_S[[#This Row],[Symbol]])</f>
        <v>5.82</v>
      </c>
      <c r="E260">
        <v>-0.37</v>
      </c>
      <c r="F260">
        <v>7.26</v>
      </c>
      <c r="G260">
        <v>0.23</v>
      </c>
      <c r="H260" s="1">
        <f>IF(ISNUMBER(Main_S[[#This Row],[Free CF]]),IF(Main_S[[#This Row],[Free CF]]&lt;&gt;0,Main_S[[#This Row],[Current Price]]/Main_S[[#This Row],[Free CF]],""),"")</f>
        <v>-15.72972972972973</v>
      </c>
      <c r="I260" s="1">
        <f>IF(ISNUMBER(Main_S[[#This Row],[BVPS]]),IF(Main_S[[#This Row],[BVPS]]&lt;&gt;0,Main_S[[#This Row],[Current Price]]/Main_S[[#This Row],[BVPS]],""),"")</f>
        <v>0.80165289256198358</v>
      </c>
      <c r="J260">
        <v>2.65</v>
      </c>
      <c r="K260">
        <v>2.78</v>
      </c>
      <c r="L260">
        <v>1.51</v>
      </c>
      <c r="M260" s="1">
        <f>IF(ISNUMBER(Main_S[[#This Row],[EPS]]),IF(Main_S[[#This Row],[EPS]]&lt;&gt;0,Main_S[[#This Row],[Current Price]]/Main_S[[#This Row],[EPS]],""),"")</f>
        <v>25.304347826086957</v>
      </c>
      <c r="N2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0" s="1">
        <f>(Main_S[[#This Row],[P/FCF]]-VLOOKUP(Main_S[[#This Row],[Industry]], Mean_PFCF_S, 2, FALSE))/(VLOOKUP(Main_S[[#This Row],[Industry]], Mean_PFCF_S, 3, FALSE))</f>
        <v>-0.78861166252552239</v>
      </c>
      <c r="P260" s="1">
        <f>(Main_S[[#This Row],[P/B]]-VLOOKUP(Main_S[[#This Row],[Industry]], Mean_PB_S, 2, FALSE))/(VLOOKUP(Main_S[[#This Row],[Industry]], Mean_PB_S, 3, FALSE))</f>
        <v>-0.83025984645700535</v>
      </c>
      <c r="Q260" s="1">
        <f>(Main_S[[#This Row],[ROE]]-VLOOKUP(Main_S[[#This Row],[Industry]], Mean_ROE_S, 2, FALSE))/(VLOOKUP(Main_S[[#This Row],[Industry]], Mean_ROE_S, 3, FALSE))</f>
        <v>0.68324988916691065</v>
      </c>
      <c r="R260" s="1">
        <f>(Main_S[[#This Row],[ROA]]-VLOOKUP(Main_S[[#This Row],[Industry]], Mean_ROA_S, 2, FALSE))/(VLOOKUP(Main_S[[#This Row],[Industry]], Mean_ROA_S, 3, FALSE))</f>
        <v>0.85540315128873268</v>
      </c>
      <c r="S260" s="1">
        <f>(Main_S[[#This Row],[A/E]]-VLOOKUP(Main_S[[#This Row],[Industry]], Mean_AE_S, 2, FALSE))/(VLOOKUP(Main_S[[#This Row],[Industry]], Mean_AE_S, 3, FALSE))</f>
        <v>0.25703885689605782</v>
      </c>
      <c r="T260" s="1">
        <f>(Main_S[[#This Row],[P/E]]-VLOOKUP(Main_S[[#This Row],[Industry]], Mean_PE_S, 2, FALSE))/(VLOOKUP(Main_S[[#This Row],[Industry]], Mean_PE_S, 3, FALSE))</f>
        <v>5.302359741413234</v>
      </c>
      <c r="U2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1" spans="1:26" x14ac:dyDescent="0.25">
      <c r="A261" s="67" t="s">
        <v>172</v>
      </c>
      <c r="B261" s="67" t="s">
        <v>537</v>
      </c>
      <c r="C261" s="2">
        <v>662</v>
      </c>
      <c r="D261">
        <f>RTD("tos.rtd", , "LAST", Main_S[[#This Row],[Symbol]])</f>
        <v>6.41</v>
      </c>
      <c r="E261">
        <v>-0.39</v>
      </c>
      <c r="F261">
        <v>1</v>
      </c>
      <c r="G261">
        <v>-0.44</v>
      </c>
      <c r="H261" s="1">
        <f>IF(ISNUMBER(Main_S[[#This Row],[Free CF]]),IF(Main_S[[#This Row],[Free CF]]&lt;&gt;0,Main_S[[#This Row],[Current Price]]/Main_S[[#This Row],[Free CF]],""),"")</f>
        <v>-16.435897435897434</v>
      </c>
      <c r="I261" s="1">
        <f>IF(ISNUMBER(Main_S[[#This Row],[BVPS]]),IF(Main_S[[#This Row],[BVPS]]&lt;&gt;0,Main_S[[#This Row],[Current Price]]/Main_S[[#This Row],[BVPS]],""),"")</f>
        <v>6.41</v>
      </c>
      <c r="J261">
        <v>-55.12</v>
      </c>
      <c r="K261">
        <v>-34.409999999999997</v>
      </c>
      <c r="L261">
        <v>1.08</v>
      </c>
      <c r="M261" s="1">
        <f>IF(ISNUMBER(Main_S[[#This Row],[EPS]]),IF(Main_S[[#This Row],[EPS]]&lt;&gt;0,Main_S[[#This Row],[Current Price]]/Main_S[[#This Row],[EPS]],""),"")</f>
        <v>-14.568181818181818</v>
      </c>
      <c r="N2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1" s="1">
        <f>(Main_S[[#This Row],[P/FCF]]-VLOOKUP(Main_S[[#This Row],[Industry]], Mean_PFCF_S, 2, FALSE))/(VLOOKUP(Main_S[[#This Row],[Industry]], Mean_PFCF_S, 3, FALSE))</f>
        <v>-0.83722575475585947</v>
      </c>
      <c r="P261" s="1">
        <f>(Main_S[[#This Row],[P/B]]-VLOOKUP(Main_S[[#This Row],[Industry]], Mean_PB_S, 2, FALSE))/(VLOOKUP(Main_S[[#This Row],[Industry]], Mean_PB_S, 3, FALSE))</f>
        <v>1.8323914988628205</v>
      </c>
      <c r="Q261" s="1">
        <f>(Main_S[[#This Row],[ROE]]-VLOOKUP(Main_S[[#This Row],[Industry]], Mean_ROE_S, 2, FALSE))/(VLOOKUP(Main_S[[#This Row],[Industry]], Mean_ROE_S, 3, FALSE))</f>
        <v>-1.5404580907143002</v>
      </c>
      <c r="R261" s="1">
        <f>(Main_S[[#This Row],[ROA]]-VLOOKUP(Main_S[[#This Row],[Industry]], Mean_ROA_S, 2, FALSE))/(VLOOKUP(Main_S[[#This Row],[Industry]], Mean_ROA_S, 3, FALSE))</f>
        <v>-1.6696861835028973</v>
      </c>
      <c r="S261" s="1">
        <f>(Main_S[[#This Row],[A/E]]-VLOOKUP(Main_S[[#This Row],[Industry]], Mean_AE_S, 2, FALSE))/(VLOOKUP(Main_S[[#This Row],[Industry]], Mean_AE_S, 3, FALSE))</f>
        <v>-0.56932905686323054</v>
      </c>
      <c r="T261" s="1">
        <f>(Main_S[[#This Row],[P/E]]-VLOOKUP(Main_S[[#This Row],[Industry]], Mean_PE_S, 2, FALSE))/(VLOOKUP(Main_S[[#This Row],[Industry]], Mean_PE_S, 3, FALSE))</f>
        <v>-1.0814964085086103</v>
      </c>
      <c r="U2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2" spans="1:26" x14ac:dyDescent="0.25">
      <c r="A262" s="67" t="s">
        <v>172</v>
      </c>
      <c r="B262" s="67" t="s">
        <v>512</v>
      </c>
      <c r="C262" s="2">
        <v>593</v>
      </c>
      <c r="D262">
        <f>RTD("tos.rtd", , "LAST", Main_S[[#This Row],[Symbol]])</f>
        <v>9.65</v>
      </c>
      <c r="E262">
        <v>-0.46</v>
      </c>
      <c r="F262">
        <v>-0.1</v>
      </c>
      <c r="G262">
        <v>-0.89</v>
      </c>
      <c r="H262" s="1">
        <f>IF(ISNUMBER(Main_S[[#This Row],[Free CF]]),IF(Main_S[[#This Row],[Free CF]]&lt;&gt;0,Main_S[[#This Row],[Current Price]]/Main_S[[#This Row],[Free CF]],""),"")</f>
        <v>-20.978260869565219</v>
      </c>
      <c r="I262" s="1">
        <f>IF(ISNUMBER(Main_S[[#This Row],[BVPS]]),IF(Main_S[[#This Row],[BVPS]]&lt;&gt;0,Main_S[[#This Row],[Current Price]]/Main_S[[#This Row],[BVPS]],""),"")</f>
        <v>-96.5</v>
      </c>
      <c r="J262">
        <v>-949.46</v>
      </c>
      <c r="K262">
        <v>-9.36</v>
      </c>
      <c r="L262">
        <v>-32.31</v>
      </c>
      <c r="M262" s="1">
        <f>IF(ISNUMBER(Main_S[[#This Row],[EPS]]),IF(Main_S[[#This Row],[EPS]]&lt;&gt;0,Main_S[[#This Row],[Current Price]]/Main_S[[#This Row],[EPS]],""),"")</f>
        <v>-10.842696629213483</v>
      </c>
      <c r="N2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2" s="1">
        <f>(Main_S[[#This Row],[P/FCF]]-VLOOKUP(Main_S[[#This Row],[Industry]], Mean_PFCF_S, 2, FALSE))/(VLOOKUP(Main_S[[#This Row],[Industry]], Mean_PFCF_S, 3, FALSE))</f>
        <v>-1.1499317493508519</v>
      </c>
      <c r="P262" s="1">
        <f>(Main_S[[#This Row],[P/B]]-VLOOKUP(Main_S[[#This Row],[Industry]], Mean_PB_S, 2, FALSE))/(VLOOKUP(Main_S[[#This Row],[Industry]], Mean_PB_S, 3, FALSE))</f>
        <v>-47.025755954859427</v>
      </c>
      <c r="Q262" s="1">
        <f>(Main_S[[#This Row],[ROE]]-VLOOKUP(Main_S[[#This Row],[Industry]], Mean_ROE_S, 2, FALSE))/(VLOOKUP(Main_S[[#This Row],[Industry]], Mean_ROE_S, 3, FALSE))</f>
        <v>-35.965782562359827</v>
      </c>
      <c r="R262" s="1">
        <f>(Main_S[[#This Row],[ROA]]-VLOOKUP(Main_S[[#This Row],[Industry]], Mean_ROA_S, 2, FALSE))/(VLOOKUP(Main_S[[#This Row],[Industry]], Mean_ROA_S, 3, FALSE))</f>
        <v>3.1133602367775744E-2</v>
      </c>
      <c r="S262" s="1">
        <f>(Main_S[[#This Row],[A/E]]-VLOOKUP(Main_S[[#This Row],[Industry]], Mean_AE_S, 2, FALSE))/(VLOOKUP(Main_S[[#This Row],[Industry]], Mean_AE_S, 3, FALSE))</f>
        <v>-64.737758453194971</v>
      </c>
      <c r="T262" s="1">
        <f>(Main_S[[#This Row],[P/E]]-VLOOKUP(Main_S[[#This Row],[Industry]], Mean_PE_S, 2, FALSE))/(VLOOKUP(Main_S[[#This Row],[Industry]], Mean_PE_S, 3, FALSE))</f>
        <v>-0.48502154856812041</v>
      </c>
      <c r="U2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3" spans="1:26" x14ac:dyDescent="0.25">
      <c r="A263" s="67" t="s">
        <v>172</v>
      </c>
      <c r="B263" s="67" t="s">
        <v>524</v>
      </c>
      <c r="C263" s="2">
        <v>721</v>
      </c>
      <c r="D263">
        <f>RTD("tos.rtd", , "LAST", Main_S[[#This Row],[Symbol]])</f>
        <v>2.5099999999999998</v>
      </c>
      <c r="E263">
        <v>-0.53</v>
      </c>
      <c r="F263">
        <v>1.23</v>
      </c>
      <c r="G263">
        <v>-2.0299999999999998</v>
      </c>
      <c r="H263" s="1">
        <f>IF(ISNUMBER(Main_S[[#This Row],[Free CF]]),IF(Main_S[[#This Row],[Free CF]]&lt;&gt;0,Main_S[[#This Row],[Current Price]]/Main_S[[#This Row],[Free CF]],""),"")</f>
        <v>-4.7358490566037732</v>
      </c>
      <c r="I263" s="1">
        <f>IF(ISNUMBER(Main_S[[#This Row],[BVPS]]),IF(Main_S[[#This Row],[BVPS]]&lt;&gt;0,Main_S[[#This Row],[Current Price]]/Main_S[[#This Row],[BVPS]],""),"")</f>
        <v>2.0406504065040649</v>
      </c>
      <c r="J263">
        <v>-119.66</v>
      </c>
      <c r="K263">
        <v>-23.33</v>
      </c>
      <c r="L263">
        <v>1.17</v>
      </c>
      <c r="M263" s="1">
        <f>IF(ISNUMBER(Main_S[[#This Row],[EPS]]),IF(Main_S[[#This Row],[EPS]]&lt;&gt;0,Main_S[[#This Row],[Current Price]]/Main_S[[#This Row],[EPS]],""),"")</f>
        <v>-1.2364532019704433</v>
      </c>
      <c r="N2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3" s="1">
        <f>(Main_S[[#This Row],[P/FCF]]-VLOOKUP(Main_S[[#This Row],[Industry]], Mean_PFCF_S, 2, FALSE))/(VLOOKUP(Main_S[[#This Row],[Industry]], Mean_PFCF_S, 3, FALSE))</f>
        <v>-3.1769450194532894E-2</v>
      </c>
      <c r="P263" s="1">
        <f>(Main_S[[#This Row],[P/B]]-VLOOKUP(Main_S[[#This Row],[Industry]], Mean_PB_S, 2, FALSE))/(VLOOKUP(Main_S[[#This Row],[Industry]], Mean_PB_S, 3, FALSE))</f>
        <v>-0.24202621288419904</v>
      </c>
      <c r="Q263" s="1">
        <f>(Main_S[[#This Row],[ROE]]-VLOOKUP(Main_S[[#This Row],[Industry]], Mean_ROE_S, 2, FALSE))/(VLOOKUP(Main_S[[#This Row],[Industry]], Mean_ROE_S, 3, FALSE))</f>
        <v>-4.0247598567093386</v>
      </c>
      <c r="R263" s="1">
        <f>(Main_S[[#This Row],[ROA]]-VLOOKUP(Main_S[[#This Row],[Industry]], Mean_ROA_S, 2, FALSE))/(VLOOKUP(Main_S[[#This Row],[Industry]], Mean_ROA_S, 3, FALSE))</f>
        <v>-0.9173874518682843</v>
      </c>
      <c r="S263" s="1">
        <f>(Main_S[[#This Row],[A/E]]-VLOOKUP(Main_S[[#This Row],[Industry]], Mean_AE_S, 2, FALSE))/(VLOOKUP(Main_S[[#This Row],[Industry]], Mean_AE_S, 3, FALSE))</f>
        <v>-0.39636833072756583</v>
      </c>
      <c r="T263" s="1">
        <f>(Main_S[[#This Row],[P/E]]-VLOOKUP(Main_S[[#This Row],[Industry]], Mean_PE_S, 2, FALSE))/(VLOOKUP(Main_S[[#This Row],[Industry]], Mean_PE_S, 3, FALSE))</f>
        <v>1.0530016651024106</v>
      </c>
      <c r="U2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4" spans="1:26" x14ac:dyDescent="0.25">
      <c r="A264" s="67" t="s">
        <v>172</v>
      </c>
      <c r="B264" s="67" t="s">
        <v>503</v>
      </c>
      <c r="C264" s="2">
        <v>269</v>
      </c>
      <c r="D264">
        <f>RTD("tos.rtd", , "LAST", Main_S[[#This Row],[Symbol]])</f>
        <v>3.54</v>
      </c>
      <c r="E264">
        <v>-0.53</v>
      </c>
      <c r="F264">
        <v>-0.61</v>
      </c>
      <c r="G264">
        <v>-0.59</v>
      </c>
      <c r="H264" s="1">
        <f>IF(ISNUMBER(Main_S[[#This Row],[Free CF]]),IF(Main_S[[#This Row],[Free CF]]&lt;&gt;0,Main_S[[#This Row],[Current Price]]/Main_S[[#This Row],[Free CF]],""),"")</f>
        <v>-6.6792452830188678</v>
      </c>
      <c r="I264" s="1">
        <f>IF(ISNUMBER(Main_S[[#This Row],[BVPS]]),IF(Main_S[[#This Row],[BVPS]]&lt;&gt;0,Main_S[[#This Row],[Current Price]]/Main_S[[#This Row],[BVPS]],""),"")</f>
        <v>-5.8032786885245899</v>
      </c>
      <c r="J264">
        <v>111.57</v>
      </c>
      <c r="K264">
        <v>-22.21</v>
      </c>
      <c r="L264">
        <v>-1.68</v>
      </c>
      <c r="M264" s="1">
        <f>IF(ISNUMBER(Main_S[[#This Row],[EPS]]),IF(Main_S[[#This Row],[EPS]]&lt;&gt;0,Main_S[[#This Row],[Current Price]]/Main_S[[#This Row],[EPS]],""),"")</f>
        <v>-6</v>
      </c>
      <c r="N2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4" s="1">
        <f>(Main_S[[#This Row],[P/FCF]]-VLOOKUP(Main_S[[#This Row],[Industry]], Mean_PFCF_S, 2, FALSE))/(VLOOKUP(Main_S[[#This Row],[Industry]], Mean_PFCF_S, 3, FALSE))</f>
        <v>-0.1655569946628942</v>
      </c>
      <c r="P264" s="1">
        <f>(Main_S[[#This Row],[P/B]]-VLOOKUP(Main_S[[#This Row],[Industry]], Mean_PB_S, 2, FALSE))/(VLOOKUP(Main_S[[#This Row],[Industry]], Mean_PB_S, 3, FALSE))</f>
        <v>-3.9660554067570213</v>
      </c>
      <c r="Q264" s="1">
        <f>(Main_S[[#This Row],[ROE]]-VLOOKUP(Main_S[[#This Row],[Industry]], Mean_ROE_S, 2, FALSE))/(VLOOKUP(Main_S[[#This Row],[Industry]], Mean_ROE_S, 3, FALSE))</f>
        <v>4.8758459280912909</v>
      </c>
      <c r="R264" s="1">
        <f>(Main_S[[#This Row],[ROA]]-VLOOKUP(Main_S[[#This Row],[Industry]], Mean_ROA_S, 2, FALSE))/(VLOOKUP(Main_S[[#This Row],[Industry]], Mean_ROA_S, 3, FALSE))</f>
        <v>-0.84134281473554384</v>
      </c>
      <c r="S264" s="1">
        <f>(Main_S[[#This Row],[A/E]]-VLOOKUP(Main_S[[#This Row],[Industry]], Mean_AE_S, 2, FALSE))/(VLOOKUP(Main_S[[#This Row],[Industry]], Mean_AE_S, 3, FALSE))</f>
        <v>-5.8734579916902918</v>
      </c>
      <c r="T264" s="1">
        <f>(Main_S[[#This Row],[P/E]]-VLOOKUP(Main_S[[#This Row],[Industry]], Mean_PE_S, 2, FALSE))/(VLOOKUP(Main_S[[#This Row],[Industry]], Mean_PE_S, 3, FALSE))</f>
        <v>0.29032626443561182</v>
      </c>
      <c r="U2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5" spans="1:26" x14ac:dyDescent="0.25">
      <c r="A265" s="67" t="s">
        <v>172</v>
      </c>
      <c r="B265" s="67" t="s">
        <v>516</v>
      </c>
      <c r="C265" s="2">
        <v>746</v>
      </c>
      <c r="D265">
        <f>RTD("tos.rtd", , "LAST", Main_S[[#This Row],[Symbol]])</f>
        <v>13.7</v>
      </c>
      <c r="E265">
        <v>-0.77</v>
      </c>
      <c r="F265">
        <v>5</v>
      </c>
      <c r="G265">
        <v>-0.79</v>
      </c>
      <c r="H265" s="1">
        <f>IF(ISNUMBER(Main_S[[#This Row],[Free CF]]),IF(Main_S[[#This Row],[Free CF]]&lt;&gt;0,Main_S[[#This Row],[Current Price]]/Main_S[[#This Row],[Free CF]],""),"")</f>
        <v>-17.79220779220779</v>
      </c>
      <c r="I265" s="1">
        <f>IF(ISNUMBER(Main_S[[#This Row],[BVPS]]),IF(Main_S[[#This Row],[BVPS]]&lt;&gt;0,Main_S[[#This Row],[Current Price]]/Main_S[[#This Row],[BVPS]],""),"")</f>
        <v>2.7399999999999998</v>
      </c>
      <c r="J265">
        <v>-16.2</v>
      </c>
      <c r="K265">
        <v>-11.97</v>
      </c>
      <c r="L265">
        <v>1.03</v>
      </c>
      <c r="M265" s="1">
        <f>IF(ISNUMBER(Main_S[[#This Row],[EPS]]),IF(Main_S[[#This Row],[EPS]]&lt;&gt;0,Main_S[[#This Row],[Current Price]]/Main_S[[#This Row],[EPS]],""),"")</f>
        <v>-17.341772151898734</v>
      </c>
      <c r="N2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5" s="1">
        <f>(Main_S[[#This Row],[P/FCF]]-VLOOKUP(Main_S[[#This Row],[Industry]], Mean_PFCF_S, 2, FALSE))/(VLOOKUP(Main_S[[#This Row],[Industry]], Mean_PFCF_S, 3, FALSE))</f>
        <v>-0.93059705477247934</v>
      </c>
      <c r="P265" s="1">
        <f>(Main_S[[#This Row],[P/B]]-VLOOKUP(Main_S[[#This Row],[Industry]], Mean_PB_S, 2, FALSE))/(VLOOKUP(Main_S[[#This Row],[Industry]], Mean_PB_S, 3, FALSE))</f>
        <v>9.0001049390848104E-2</v>
      </c>
      <c r="Q265" s="1">
        <f>(Main_S[[#This Row],[ROE]]-VLOOKUP(Main_S[[#This Row],[Industry]], Mean_ROE_S, 2, FALSE))/(VLOOKUP(Main_S[[#This Row],[Industry]], Mean_ROE_S, 3, FALSE))</f>
        <v>-4.2332513823583127E-2</v>
      </c>
      <c r="R265" s="1">
        <f>(Main_S[[#This Row],[ROA]]-VLOOKUP(Main_S[[#This Row],[Industry]], Mean_ROA_S, 2, FALSE))/(VLOOKUP(Main_S[[#This Row],[Industry]], Mean_ROA_S, 3, FALSE))</f>
        <v>-0.1460775609504861</v>
      </c>
      <c r="S265" s="1">
        <f>(Main_S[[#This Row],[A/E]]-VLOOKUP(Main_S[[#This Row],[Industry]], Mean_AE_S, 2, FALSE))/(VLOOKUP(Main_S[[#This Row],[Industry]], Mean_AE_S, 3, FALSE))</f>
        <v>-0.66541834916082232</v>
      </c>
      <c r="T265" s="1">
        <f>(Main_S[[#This Row],[P/E]]-VLOOKUP(Main_S[[#This Row],[Industry]], Mean_PE_S, 2, FALSE))/(VLOOKUP(Main_S[[#This Row],[Industry]], Mean_PE_S, 3, FALSE))</f>
        <v>-1.5255665958589526</v>
      </c>
      <c r="U2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6" spans="1:26" x14ac:dyDescent="0.25">
      <c r="A266" s="67" t="s">
        <v>172</v>
      </c>
      <c r="B266" s="67" t="s">
        <v>535</v>
      </c>
      <c r="C266" s="2">
        <v>272</v>
      </c>
      <c r="D266">
        <f>RTD("tos.rtd", , "LAST", Main_S[[#This Row],[Symbol]])</f>
        <v>3.71</v>
      </c>
      <c r="E266">
        <v>-0.86</v>
      </c>
      <c r="F266">
        <v>3.73</v>
      </c>
      <c r="G266">
        <v>-1.08</v>
      </c>
      <c r="H266" s="1">
        <f>IF(ISNUMBER(Main_S[[#This Row],[Free CF]]),IF(Main_S[[#This Row],[Free CF]]&lt;&gt;0,Main_S[[#This Row],[Current Price]]/Main_S[[#This Row],[Free CF]],""),"")</f>
        <v>-4.3139534883720927</v>
      </c>
      <c r="I266" s="1">
        <f>IF(ISNUMBER(Main_S[[#This Row],[BVPS]]),IF(Main_S[[#This Row],[BVPS]]&lt;&gt;0,Main_S[[#This Row],[Current Price]]/Main_S[[#This Row],[BVPS]],""),"")</f>
        <v>0.99463806970509383</v>
      </c>
      <c r="J266">
        <v>-32.119999999999997</v>
      </c>
      <c r="K266">
        <v>-22.15</v>
      </c>
      <c r="L266">
        <v>1.04</v>
      </c>
      <c r="M266" s="1">
        <f>IF(ISNUMBER(Main_S[[#This Row],[EPS]]),IF(Main_S[[#This Row],[EPS]]&lt;&gt;0,Main_S[[#This Row],[Current Price]]/Main_S[[#This Row],[EPS]],""),"")</f>
        <v>-3.4351851851851851</v>
      </c>
      <c r="N2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6" s="1">
        <f>(Main_S[[#This Row],[P/FCF]]-VLOOKUP(Main_S[[#This Row],[Industry]], Mean_PFCF_S, 2, FALSE))/(VLOOKUP(Main_S[[#This Row],[Industry]], Mean_PFCF_S, 3, FALSE))</f>
        <v>-2.7252587277617601E-3</v>
      </c>
      <c r="P266" s="1">
        <f>(Main_S[[#This Row],[P/B]]-VLOOKUP(Main_S[[#This Row],[Industry]], Mean_PB_S, 2, FALSE))/(VLOOKUP(Main_S[[#This Row],[Industry]], Mean_PB_S, 3, FALSE))</f>
        <v>-0.73863708636332359</v>
      </c>
      <c r="Q266" s="1">
        <f>(Main_S[[#This Row],[ROE]]-VLOOKUP(Main_S[[#This Row],[Industry]], Mean_ROE_S, 2, FALSE))/(VLOOKUP(Main_S[[#This Row],[Industry]], Mean_ROE_S, 3, FALSE))</f>
        <v>-0.65513208176038207</v>
      </c>
      <c r="R266" s="1">
        <f>(Main_S[[#This Row],[ROA]]-VLOOKUP(Main_S[[#This Row],[Industry]], Mean_ROA_S, 2, FALSE))/(VLOOKUP(Main_S[[#This Row],[Industry]], Mean_ROA_S, 3, FALSE))</f>
        <v>-0.83726899488914686</v>
      </c>
      <c r="S266" s="1">
        <f>(Main_S[[#This Row],[A/E]]-VLOOKUP(Main_S[[#This Row],[Industry]], Mean_AE_S, 2, FALSE))/(VLOOKUP(Main_S[[#This Row],[Industry]], Mean_AE_S, 3, FALSE))</f>
        <v>-0.64620049070130403</v>
      </c>
      <c r="T266" s="1">
        <f>(Main_S[[#This Row],[P/E]]-VLOOKUP(Main_S[[#This Row],[Industry]], Mean_PE_S, 2, FALSE))/(VLOOKUP(Main_S[[#This Row],[Industry]], Mean_PE_S, 3, FALSE))</f>
        <v>0.70097010808047333</v>
      </c>
      <c r="U2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7" spans="1:26" x14ac:dyDescent="0.25">
      <c r="A267" s="67" t="s">
        <v>172</v>
      </c>
      <c r="B267" s="67" t="s">
        <v>525</v>
      </c>
      <c r="C267" s="2">
        <v>1276</v>
      </c>
      <c r="D267">
        <f>RTD("tos.rtd", , "LAST", Main_S[[#This Row],[Symbol]])</f>
        <v>8.9</v>
      </c>
      <c r="E267">
        <v>-0.89</v>
      </c>
      <c r="F267">
        <v>1.67</v>
      </c>
      <c r="G267">
        <v>-1.1499999999999999</v>
      </c>
      <c r="H267" s="1">
        <f>IF(ISNUMBER(Main_S[[#This Row],[Free CF]]),IF(Main_S[[#This Row],[Free CF]]&lt;&gt;0,Main_S[[#This Row],[Current Price]]/Main_S[[#This Row],[Free CF]],""),"")</f>
        <v>-10</v>
      </c>
      <c r="I267" s="1">
        <f>IF(ISNUMBER(Main_S[[#This Row],[BVPS]]),IF(Main_S[[#This Row],[BVPS]]&lt;&gt;0,Main_S[[#This Row],[Current Price]]/Main_S[[#This Row],[BVPS]],""),"")</f>
        <v>5.3293413173652695</v>
      </c>
      <c r="J267">
        <v>-57.19</v>
      </c>
      <c r="K267">
        <v>-27.21</v>
      </c>
      <c r="L267">
        <v>1.53</v>
      </c>
      <c r="M267" s="1">
        <f>IF(ISNUMBER(Main_S[[#This Row],[EPS]]),IF(Main_S[[#This Row],[EPS]]&lt;&gt;0,Main_S[[#This Row],[Current Price]]/Main_S[[#This Row],[EPS]],""),"")</f>
        <v>-7.7391304347826093</v>
      </c>
      <c r="N2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7" s="1">
        <f>(Main_S[[#This Row],[P/FCF]]-VLOOKUP(Main_S[[#This Row],[Industry]], Mean_PFCF_S, 2, FALSE))/(VLOOKUP(Main_S[[#This Row],[Industry]], Mean_PFCF_S, 3, FALSE))</f>
        <v>-0.39416483763795818</v>
      </c>
      <c r="P267" s="1">
        <f>(Main_S[[#This Row],[P/B]]-VLOOKUP(Main_S[[#This Row],[Industry]], Mean_PB_S, 2, FALSE))/(VLOOKUP(Main_S[[#This Row],[Industry]], Mean_PB_S, 3, FALSE))</f>
        <v>1.3193317256307449</v>
      </c>
      <c r="Q267" s="1">
        <f>(Main_S[[#This Row],[ROE]]-VLOOKUP(Main_S[[#This Row],[Industry]], Mean_ROE_S, 2, FALSE))/(VLOOKUP(Main_S[[#This Row],[Industry]], Mean_ROE_S, 3, FALSE))</f>
        <v>-1.6201374315201529</v>
      </c>
      <c r="R267" s="1">
        <f>(Main_S[[#This Row],[ROA]]-VLOOKUP(Main_S[[#This Row],[Industry]], Mean_ROA_S, 2, FALSE))/(VLOOKUP(Main_S[[#This Row],[Industry]], Mean_ROA_S, 3, FALSE))</f>
        <v>-1.1808278019352789</v>
      </c>
      <c r="S267" s="1">
        <f>(Main_S[[#This Row],[A/E]]-VLOOKUP(Main_S[[#This Row],[Industry]], Mean_AE_S, 2, FALSE))/(VLOOKUP(Main_S[[#This Row],[Industry]], Mean_AE_S, 3, FALSE))</f>
        <v>0.29547457381509457</v>
      </c>
      <c r="T267" s="1">
        <f>(Main_S[[#This Row],[P/E]]-VLOOKUP(Main_S[[#This Row],[Industry]], Mean_PE_S, 2, FALSE))/(VLOOKUP(Main_S[[#This Row],[Industry]], Mean_PE_S, 3, FALSE))</f>
        <v>1.1879960159077206E-2</v>
      </c>
      <c r="U2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8" spans="1:26" x14ac:dyDescent="0.25">
      <c r="A268" s="67" t="s">
        <v>172</v>
      </c>
      <c r="B268" s="67" t="s">
        <v>523</v>
      </c>
      <c r="C268" s="2">
        <v>549</v>
      </c>
      <c r="D268">
        <f>RTD("tos.rtd", , "LAST", Main_S[[#This Row],[Symbol]])</f>
        <v>7.76</v>
      </c>
      <c r="E268">
        <v>-1.1499999999999999</v>
      </c>
      <c r="F268">
        <v>2.95</v>
      </c>
      <c r="G268">
        <v>-1.06</v>
      </c>
      <c r="H268" s="1">
        <f>IF(ISNUMBER(Main_S[[#This Row],[Free CF]]),IF(Main_S[[#This Row],[Free CF]]&lt;&gt;0,Main_S[[#This Row],[Current Price]]/Main_S[[#This Row],[Free CF]],""),"")</f>
        <v>-6.7478260869565219</v>
      </c>
      <c r="I268" s="1">
        <f>IF(ISNUMBER(Main_S[[#This Row],[BVPS]]),IF(Main_S[[#This Row],[BVPS]]&lt;&gt;0,Main_S[[#This Row],[Current Price]]/Main_S[[#This Row],[BVPS]],""),"")</f>
        <v>2.630508474576271</v>
      </c>
      <c r="J268">
        <v>-37.06</v>
      </c>
      <c r="K268">
        <v>-25.84</v>
      </c>
      <c r="L268">
        <v>1.24</v>
      </c>
      <c r="M268" s="1">
        <f>IF(ISNUMBER(Main_S[[#This Row],[EPS]]),IF(Main_S[[#This Row],[EPS]]&lt;&gt;0,Main_S[[#This Row],[Current Price]]/Main_S[[#This Row],[EPS]],""),"")</f>
        <v>-7.3207547169811313</v>
      </c>
      <c r="N2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8" s="1">
        <f>(Main_S[[#This Row],[P/FCF]]-VLOOKUP(Main_S[[#This Row],[Industry]], Mean_PFCF_S, 2, FALSE))/(VLOOKUP(Main_S[[#This Row],[Industry]], Mean_PFCF_S, 3, FALSE))</f>
        <v>-0.17027824359390098</v>
      </c>
      <c r="P268" s="1">
        <f>(Main_S[[#This Row],[P/B]]-VLOOKUP(Main_S[[#This Row],[Industry]], Mean_PB_S, 2, FALSE))/(VLOOKUP(Main_S[[#This Row],[Industry]], Mean_PB_S, 3, FALSE))</f>
        <v>3.8018218819615784E-2</v>
      </c>
      <c r="Q268" s="1">
        <f>(Main_S[[#This Row],[ROE]]-VLOOKUP(Main_S[[#This Row],[Industry]], Mean_ROE_S, 2, FALSE))/(VLOOKUP(Main_S[[#This Row],[Industry]], Mean_ROE_S, 3, FALSE))</f>
        <v>-0.84528471150961515</v>
      </c>
      <c r="R268" s="1">
        <f>(Main_S[[#This Row],[ROA]]-VLOOKUP(Main_S[[#This Row],[Industry]], Mean_ROA_S, 2, FALSE))/(VLOOKUP(Main_S[[#This Row],[Industry]], Mean_ROA_S, 3, FALSE))</f>
        <v>-1.0878089154425516</v>
      </c>
      <c r="S268" s="1">
        <f>(Main_S[[#This Row],[A/E]]-VLOOKUP(Main_S[[#This Row],[Industry]], Mean_AE_S, 2, FALSE))/(VLOOKUP(Main_S[[#This Row],[Industry]], Mean_AE_S, 3, FALSE))</f>
        <v>-0.26184332151093731</v>
      </c>
      <c r="T268" s="1">
        <f>(Main_S[[#This Row],[P/E]]-VLOOKUP(Main_S[[#This Row],[Industry]], Mean_PE_S, 2, FALSE))/(VLOOKUP(Main_S[[#This Row],[Industry]], Mean_PE_S, 3, FALSE))</f>
        <v>7.8864684301073934E-2</v>
      </c>
      <c r="U2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9" spans="1:26" x14ac:dyDescent="0.25">
      <c r="A269" s="67" t="s">
        <v>172</v>
      </c>
      <c r="B269" s="67" t="s">
        <v>538</v>
      </c>
      <c r="C269" s="2">
        <v>926</v>
      </c>
      <c r="D269">
        <f>RTD("tos.rtd", , "LAST", Main_S[[#This Row],[Symbol]])</f>
        <v>7.05</v>
      </c>
      <c r="E269">
        <v>-1.24</v>
      </c>
      <c r="F269">
        <v>1.1100000000000001</v>
      </c>
      <c r="G269">
        <v>-0.77</v>
      </c>
      <c r="H269" s="1">
        <f>IF(ISNUMBER(Main_S[[#This Row],[Free CF]]),IF(Main_S[[#This Row],[Free CF]]&lt;&gt;0,Main_S[[#This Row],[Current Price]]/Main_S[[#This Row],[Free CF]],""),"")</f>
        <v>-5.685483870967742</v>
      </c>
      <c r="I269" s="1">
        <f>IF(ISNUMBER(Main_S[[#This Row],[BVPS]]),IF(Main_S[[#This Row],[BVPS]]&lt;&gt;0,Main_S[[#This Row],[Current Price]]/Main_S[[#This Row],[BVPS]],""),"")</f>
        <v>6.3513513513513509</v>
      </c>
      <c r="J269">
        <v>-105.5</v>
      </c>
      <c r="K269">
        <v>-30.02</v>
      </c>
      <c r="L269">
        <v>1.68</v>
      </c>
      <c r="M269" s="1">
        <f>IF(ISNUMBER(Main_S[[#This Row],[EPS]]),IF(Main_S[[#This Row],[EPS]]&lt;&gt;0,Main_S[[#This Row],[Current Price]]/Main_S[[#This Row],[EPS]],""),"")</f>
        <v>-9.1558441558441555</v>
      </c>
      <c r="N2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9" s="1">
        <f>(Main_S[[#This Row],[P/FCF]]-VLOOKUP(Main_S[[#This Row],[Industry]], Mean_PFCF_S, 2, FALSE))/(VLOOKUP(Main_S[[#This Row],[Industry]], Mean_PFCF_S, 3, FALSE))</f>
        <v>-9.7144337841498382E-2</v>
      </c>
      <c r="P269" s="1">
        <f>(Main_S[[#This Row],[P/B]]-VLOOKUP(Main_S[[#This Row],[Industry]], Mean_PB_S, 2, FALSE))/(VLOOKUP(Main_S[[#This Row],[Industry]], Mean_PB_S, 3, FALSE))</f>
        <v>1.8045471268519639</v>
      </c>
      <c r="Q269" s="1">
        <f>(Main_S[[#This Row],[ROE]]-VLOOKUP(Main_S[[#This Row],[Industry]], Mean_ROE_S, 2, FALSE))/(VLOOKUP(Main_S[[#This Row],[Industry]], Mean_ROE_S, 3, FALSE))</f>
        <v>-3.4797069746750999</v>
      </c>
      <c r="R269" s="1">
        <f>(Main_S[[#This Row],[ROA]]-VLOOKUP(Main_S[[#This Row],[Industry]], Mean_ROA_S, 2, FALSE))/(VLOOKUP(Main_S[[#This Row],[Industry]], Mean_ROA_S, 3, FALSE))</f>
        <v>-1.3716183647415303</v>
      </c>
      <c r="S269" s="1">
        <f>(Main_S[[#This Row],[A/E]]-VLOOKUP(Main_S[[#This Row],[Industry]], Mean_AE_S, 2, FALSE))/(VLOOKUP(Main_S[[#This Row],[Industry]], Mean_AE_S, 3, FALSE))</f>
        <v>0.58374245070786945</v>
      </c>
      <c r="T269" s="1">
        <f>(Main_S[[#This Row],[P/E]]-VLOOKUP(Main_S[[#This Row],[Industry]], Mean_PE_S, 2, FALSE))/(VLOOKUP(Main_S[[#This Row],[Industry]], Mean_PE_S, 3, FALSE))</f>
        <v>-0.21494529225320352</v>
      </c>
      <c r="U2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0" spans="1:26" x14ac:dyDescent="0.25">
      <c r="A270" s="67" t="s">
        <v>172</v>
      </c>
      <c r="B270" s="67" t="s">
        <v>540</v>
      </c>
      <c r="C270" s="2">
        <v>468</v>
      </c>
      <c r="D270">
        <f>RTD("tos.rtd", , "LAST", Main_S[[#This Row],[Symbol]])</f>
        <v>9.19</v>
      </c>
      <c r="E270">
        <v>-1.25</v>
      </c>
      <c r="F270">
        <v>0.75</v>
      </c>
      <c r="G270">
        <v>-1.86</v>
      </c>
      <c r="H270" s="1">
        <f>IF(ISNUMBER(Main_S[[#This Row],[Free CF]]),IF(Main_S[[#This Row],[Free CF]]&lt;&gt;0,Main_S[[#This Row],[Current Price]]/Main_S[[#This Row],[Free CF]],""),"")</f>
        <v>-7.3519999999999994</v>
      </c>
      <c r="I270" s="1">
        <f>IF(ISNUMBER(Main_S[[#This Row],[BVPS]]),IF(Main_S[[#This Row],[BVPS]]&lt;&gt;0,Main_S[[#This Row],[Current Price]]/Main_S[[#This Row],[BVPS]],""),"")</f>
        <v>12.253333333333332</v>
      </c>
      <c r="J270">
        <v>-204.78</v>
      </c>
      <c r="K270">
        <v>-27.73</v>
      </c>
      <c r="L270">
        <v>4.21</v>
      </c>
      <c r="M270" s="1">
        <f>IF(ISNUMBER(Main_S[[#This Row],[EPS]]),IF(Main_S[[#This Row],[EPS]]&lt;&gt;0,Main_S[[#This Row],[Current Price]]/Main_S[[#This Row],[EPS]],""),"")</f>
        <v>-4.940860215053763</v>
      </c>
      <c r="N2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0" s="1">
        <f>(Main_S[[#This Row],[P/FCF]]-VLOOKUP(Main_S[[#This Row],[Industry]], Mean_PFCF_S, 2, FALSE))/(VLOOKUP(Main_S[[#This Row],[Industry]], Mean_PFCF_S, 3, FALSE))</f>
        <v>-0.21187086539652417</v>
      </c>
      <c r="P270" s="1">
        <f>(Main_S[[#This Row],[P/B]]-VLOOKUP(Main_S[[#This Row],[Industry]], Mean_PB_S, 2, FALSE))/(VLOOKUP(Main_S[[#This Row],[Industry]], Mean_PB_S, 3, FALSE))</f>
        <v>4.6066062653699653</v>
      </c>
      <c r="Q270" s="1">
        <f>(Main_S[[#This Row],[ROE]]-VLOOKUP(Main_S[[#This Row],[Industry]], Mean_ROE_S, 2, FALSE))/(VLOOKUP(Main_S[[#This Row],[Industry]], Mean_ROE_S, 3, FALSE))</f>
        <v>-7.3012359385422734</v>
      </c>
      <c r="R270" s="1">
        <f>(Main_S[[#This Row],[ROA]]-VLOOKUP(Main_S[[#This Row],[Industry]], Mean_ROA_S, 2, FALSE))/(VLOOKUP(Main_S[[#This Row],[Industry]], Mean_ROA_S, 3, FALSE))</f>
        <v>-1.2161342406040516</v>
      </c>
      <c r="S270" s="1">
        <f>(Main_S[[#This Row],[A/E]]-VLOOKUP(Main_S[[#This Row],[Industry]], Mean_AE_S, 2, FALSE))/(VLOOKUP(Main_S[[#This Row],[Industry]], Mean_AE_S, 3, FALSE))</f>
        <v>5.4458606409660097</v>
      </c>
      <c r="T270" s="1">
        <f>(Main_S[[#This Row],[P/E]]-VLOOKUP(Main_S[[#This Row],[Industry]], Mean_PE_S, 2, FALSE))/(VLOOKUP(Main_S[[#This Row],[Industry]], Mean_PE_S, 3, FALSE))</f>
        <v>0.45990156076316269</v>
      </c>
      <c r="U2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1" spans="1:26" x14ac:dyDescent="0.25">
      <c r="A271" s="67" t="s">
        <v>172</v>
      </c>
      <c r="B271" s="67" t="s">
        <v>514</v>
      </c>
      <c r="C271" s="2">
        <v>1502</v>
      </c>
      <c r="D271">
        <f>RTD("tos.rtd", , "LAST", Main_S[[#This Row],[Symbol]])</f>
        <v>15.26</v>
      </c>
      <c r="E271">
        <v>-1.27</v>
      </c>
      <c r="F271">
        <v>4.51</v>
      </c>
      <c r="G271">
        <v>-1.55</v>
      </c>
      <c r="H271" s="1">
        <f>IF(ISNUMBER(Main_S[[#This Row],[Free CF]]),IF(Main_S[[#This Row],[Free CF]]&lt;&gt;0,Main_S[[#This Row],[Current Price]]/Main_S[[#This Row],[Free CF]],""),"")</f>
        <v>-12.015748031496063</v>
      </c>
      <c r="I271" s="1">
        <f>IF(ISNUMBER(Main_S[[#This Row],[BVPS]]),IF(Main_S[[#This Row],[BVPS]]&lt;&gt;0,Main_S[[#This Row],[Current Price]]/Main_S[[#This Row],[BVPS]],""),"")</f>
        <v>3.3835920177383594</v>
      </c>
      <c r="J271">
        <v>-30.29</v>
      </c>
      <c r="K271">
        <v>-21.08</v>
      </c>
      <c r="L271">
        <v>1.06</v>
      </c>
      <c r="M271" s="1">
        <f>IF(ISNUMBER(Main_S[[#This Row],[EPS]]),IF(Main_S[[#This Row],[EPS]]&lt;&gt;0,Main_S[[#This Row],[Current Price]]/Main_S[[#This Row],[EPS]],""),"")</f>
        <v>-9.8451612903225794</v>
      </c>
      <c r="N2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1" s="1">
        <f>(Main_S[[#This Row],[P/FCF]]-VLOOKUP(Main_S[[#This Row],[Industry]], Mean_PFCF_S, 2, FALSE))/(VLOOKUP(Main_S[[#This Row],[Industry]], Mean_PFCF_S, 3, FALSE))</f>
        <v>-0.53293323480535559</v>
      </c>
      <c r="P271" s="1">
        <f>(Main_S[[#This Row],[P/B]]-VLOOKUP(Main_S[[#This Row],[Industry]], Mean_PB_S, 2, FALSE))/(VLOOKUP(Main_S[[#This Row],[Industry]], Mean_PB_S, 3, FALSE))</f>
        <v>0.39555652216025244</v>
      </c>
      <c r="Q271" s="1">
        <f>(Main_S[[#This Row],[ROE]]-VLOOKUP(Main_S[[#This Row],[Industry]], Mean_ROE_S, 2, FALSE))/(VLOOKUP(Main_S[[#This Row],[Industry]], Mean_ROE_S, 3, FALSE))</f>
        <v>-0.58469092539578771</v>
      </c>
      <c r="R271" s="1">
        <f>(Main_S[[#This Row],[ROA]]-VLOOKUP(Main_S[[#This Row],[Industry]], Mean_ROA_S, 2, FALSE))/(VLOOKUP(Main_S[[#This Row],[Industry]], Mean_ROA_S, 3, FALSE))</f>
        <v>-0.76461920762840352</v>
      </c>
      <c r="S271" s="1">
        <f>(Main_S[[#This Row],[A/E]]-VLOOKUP(Main_S[[#This Row],[Industry]], Mean_AE_S, 2, FALSE))/(VLOOKUP(Main_S[[#This Row],[Industry]], Mean_AE_S, 3, FALSE))</f>
        <v>-0.60776477378226734</v>
      </c>
      <c r="T271" s="1">
        <f>(Main_S[[#This Row],[P/E]]-VLOOKUP(Main_S[[#This Row],[Industry]], Mean_PE_S, 2, FALSE))/(VLOOKUP(Main_S[[#This Row],[Industry]], Mean_PE_S, 3, FALSE))</f>
        <v>-0.32530953218095821</v>
      </c>
      <c r="U2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2" spans="1:26" x14ac:dyDescent="0.25">
      <c r="A272" s="67" t="s">
        <v>172</v>
      </c>
      <c r="B272" s="67" t="s">
        <v>520</v>
      </c>
      <c r="C272" s="2">
        <v>1275</v>
      </c>
      <c r="D272">
        <f>RTD("tos.rtd", , "LAST", Main_S[[#This Row],[Symbol]])</f>
        <v>18.02</v>
      </c>
      <c r="E272">
        <v>-1.32</v>
      </c>
      <c r="F272">
        <v>0.57999999999999996</v>
      </c>
      <c r="G272">
        <v>-1.71</v>
      </c>
      <c r="H272" s="1">
        <f>IF(ISNUMBER(Main_S[[#This Row],[Free CF]]),IF(Main_S[[#This Row],[Free CF]]&lt;&gt;0,Main_S[[#This Row],[Current Price]]/Main_S[[#This Row],[Free CF]],""),"")</f>
        <v>-13.65151515151515</v>
      </c>
      <c r="I272" s="1">
        <f>IF(ISNUMBER(Main_S[[#This Row],[BVPS]]),IF(Main_S[[#This Row],[BVPS]]&lt;&gt;0,Main_S[[#This Row],[Current Price]]/Main_S[[#This Row],[BVPS]],""),"")</f>
        <v>31.068965517241381</v>
      </c>
      <c r="J272">
        <v>-203.98</v>
      </c>
      <c r="K272">
        <v>-37.659999999999997</v>
      </c>
      <c r="L272">
        <v>4.57</v>
      </c>
      <c r="M272" s="1">
        <f>IF(ISNUMBER(Main_S[[#This Row],[EPS]]),IF(Main_S[[#This Row],[EPS]]&lt;&gt;0,Main_S[[#This Row],[Current Price]]/Main_S[[#This Row],[EPS]],""),"")</f>
        <v>-10.538011695906432</v>
      </c>
      <c r="N2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2" s="1">
        <f>(Main_S[[#This Row],[P/FCF]]-VLOOKUP(Main_S[[#This Row],[Industry]], Mean_PFCF_S, 2, FALSE))/(VLOOKUP(Main_S[[#This Row],[Industry]], Mean_PFCF_S, 3, FALSE))</f>
        <v>-0.64554293494516291</v>
      </c>
      <c r="P272" s="1">
        <f>(Main_S[[#This Row],[P/B]]-VLOOKUP(Main_S[[#This Row],[Industry]], Mean_PB_S, 2, FALSE))/(VLOOKUP(Main_S[[#This Row],[Industry]], Mean_PB_S, 3, FALSE))</f>
        <v>13.539624744394176</v>
      </c>
      <c r="Q272" s="1">
        <f>(Main_S[[#This Row],[ROE]]-VLOOKUP(Main_S[[#This Row],[Industry]], Mean_ROE_S, 2, FALSE))/(VLOOKUP(Main_S[[#This Row],[Industry]], Mean_ROE_S, 3, FALSE))</f>
        <v>-7.2704419904047457</v>
      </c>
      <c r="R272" s="1">
        <f>(Main_S[[#This Row],[ROA]]-VLOOKUP(Main_S[[#This Row],[Industry]], Mean_ROA_S, 2, FALSE))/(VLOOKUP(Main_S[[#This Row],[Industry]], Mean_ROA_S, 3, FALSE))</f>
        <v>-1.8903514251827251</v>
      </c>
      <c r="S272" s="1">
        <f>(Main_S[[#This Row],[A/E]]-VLOOKUP(Main_S[[#This Row],[Industry]], Mean_AE_S, 2, FALSE))/(VLOOKUP(Main_S[[#This Row],[Industry]], Mean_AE_S, 3, FALSE))</f>
        <v>6.1377035455086704</v>
      </c>
      <c r="T272" s="1">
        <f>(Main_S[[#This Row],[P/E]]-VLOOKUP(Main_S[[#This Row],[Industry]], Mean_PE_S, 2, FALSE))/(VLOOKUP(Main_S[[#This Row],[Industry]], Mean_PE_S, 3, FALSE))</f>
        <v>-0.43623947222046822</v>
      </c>
      <c r="U2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3" spans="1:26" x14ac:dyDescent="0.25">
      <c r="A273" s="67" t="s">
        <v>172</v>
      </c>
      <c r="B273" s="67" t="s">
        <v>590</v>
      </c>
      <c r="C273" s="2">
        <v>254</v>
      </c>
      <c r="D273">
        <f>RTD("tos.rtd", , "LAST", Main_S[[#This Row],[Symbol]])</f>
        <v>3.21</v>
      </c>
      <c r="E273">
        <v>-1.49</v>
      </c>
      <c r="F273">
        <v>4.8</v>
      </c>
      <c r="G273">
        <v>-1.65</v>
      </c>
      <c r="H273" s="1">
        <f>IF(ISNUMBER(Main_S[[#This Row],[Free CF]]),IF(Main_S[[#This Row],[Free CF]]&lt;&gt;0,Main_S[[#This Row],[Current Price]]/Main_S[[#This Row],[Free CF]],""),"")</f>
        <v>-2.1543624161073827</v>
      </c>
      <c r="I273" s="1">
        <f>IF(ISNUMBER(Main_S[[#This Row],[BVPS]]),IF(Main_S[[#This Row],[BVPS]]&lt;&gt;0,Main_S[[#This Row],[Current Price]]/Main_S[[#This Row],[BVPS]],""),"")</f>
        <v>0.66875000000000007</v>
      </c>
      <c r="J273">
        <v>-30.47</v>
      </c>
      <c r="K273">
        <v>-12.77</v>
      </c>
      <c r="L273">
        <v>1.07</v>
      </c>
      <c r="M273" s="1">
        <f>IF(ISNUMBER(Main_S[[#This Row],[EPS]]),IF(Main_S[[#This Row],[EPS]]&lt;&gt;0,Main_S[[#This Row],[Current Price]]/Main_S[[#This Row],[EPS]],""),"")</f>
        <v>-1.9454545454545455</v>
      </c>
      <c r="N2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3" s="1">
        <f>(Main_S[[#This Row],[P/FCF]]-VLOOKUP(Main_S[[#This Row],[Industry]], Mean_PFCF_S, 2, FALSE))/(VLOOKUP(Main_S[[#This Row],[Industry]], Mean_PFCF_S, 3, FALSE))</f>
        <v>0.14594560040376076</v>
      </c>
      <c r="P273" s="1">
        <f>(Main_S[[#This Row],[P/B]]-VLOOKUP(Main_S[[#This Row],[Industry]], Mean_PB_S, 2, FALSE))/(VLOOKUP(Main_S[[#This Row],[Industry]], Mean_PB_S, 3, FALSE))</f>
        <v>-0.89335759324370823</v>
      </c>
      <c r="Q273" s="1">
        <f>(Main_S[[#This Row],[ROE]]-VLOOKUP(Main_S[[#This Row],[Industry]], Mean_ROE_S, 2, FALSE))/(VLOOKUP(Main_S[[#This Row],[Industry]], Mean_ROE_S, 3, FALSE))</f>
        <v>-0.59161956372673141</v>
      </c>
      <c r="R273" s="1">
        <f>(Main_S[[#This Row],[ROA]]-VLOOKUP(Main_S[[#This Row],[Industry]], Mean_ROA_S, 2, FALSE))/(VLOOKUP(Main_S[[#This Row],[Industry]], Mean_ROA_S, 3, FALSE))</f>
        <v>-0.20039515890244367</v>
      </c>
      <c r="S273" s="1">
        <f>(Main_S[[#This Row],[A/E]]-VLOOKUP(Main_S[[#This Row],[Industry]], Mean_AE_S, 2, FALSE))/(VLOOKUP(Main_S[[#This Row],[Industry]], Mean_AE_S, 3, FALSE))</f>
        <v>-0.58854691532274894</v>
      </c>
      <c r="T273" s="1">
        <f>(Main_S[[#This Row],[P/E]]-VLOOKUP(Main_S[[#This Row],[Industry]], Mean_PE_S, 2, FALSE))/(VLOOKUP(Main_S[[#This Row],[Industry]], Mean_PE_S, 3, FALSE))</f>
        <v>0.93948585290576903</v>
      </c>
      <c r="U2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4" spans="1:26" x14ac:dyDescent="0.25">
      <c r="A274" s="67" t="s">
        <v>172</v>
      </c>
      <c r="B274" s="67" t="s">
        <v>511</v>
      </c>
      <c r="C274" s="2">
        <v>872</v>
      </c>
      <c r="D274">
        <f>RTD("tos.rtd", , "LAST", Main_S[[#This Row],[Symbol]])</f>
        <v>20.34</v>
      </c>
      <c r="E274">
        <v>-1.51</v>
      </c>
      <c r="F274">
        <v>5.88</v>
      </c>
      <c r="G274">
        <v>-1.93</v>
      </c>
      <c r="H274" s="1">
        <f>IF(ISNUMBER(Main_S[[#This Row],[Free CF]]),IF(Main_S[[#This Row],[Free CF]]&lt;&gt;0,Main_S[[#This Row],[Current Price]]/Main_S[[#This Row],[Free CF]],""),"")</f>
        <v>-13.470198675496688</v>
      </c>
      <c r="I274" s="1">
        <f>IF(ISNUMBER(Main_S[[#This Row],[BVPS]]),IF(Main_S[[#This Row],[BVPS]]&lt;&gt;0,Main_S[[#This Row],[Current Price]]/Main_S[[#This Row],[BVPS]],""),"")</f>
        <v>3.4591836734693877</v>
      </c>
      <c r="J274">
        <v>-31.3</v>
      </c>
      <c r="K274">
        <v>-21.36</v>
      </c>
      <c r="L274">
        <v>1.05</v>
      </c>
      <c r="M274" s="1">
        <f>IF(ISNUMBER(Main_S[[#This Row],[EPS]]),IF(Main_S[[#This Row],[EPS]]&lt;&gt;0,Main_S[[#This Row],[Current Price]]/Main_S[[#This Row],[EPS]],""),"")</f>
        <v>-10.538860103626943</v>
      </c>
      <c r="N2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4" s="1">
        <f>(Main_S[[#This Row],[P/FCF]]-VLOOKUP(Main_S[[#This Row],[Industry]], Mean_PFCF_S, 2, FALSE))/(VLOOKUP(Main_S[[#This Row],[Industry]], Mean_PFCF_S, 3, FALSE))</f>
        <v>-0.63306072171018402</v>
      </c>
      <c r="P274" s="1">
        <f>(Main_S[[#This Row],[P/B]]-VLOOKUP(Main_S[[#This Row],[Industry]], Mean_PB_S, 2, FALSE))/(VLOOKUP(Main_S[[#This Row],[Industry]], Mean_PB_S, 3, FALSE))</f>
        <v>0.43144485431434426</v>
      </c>
      <c r="Q274" s="1">
        <f>(Main_S[[#This Row],[ROE]]-VLOOKUP(Main_S[[#This Row],[Industry]], Mean_ROE_S, 2, FALSE))/(VLOOKUP(Main_S[[#This Row],[Industry]], Mean_ROE_S, 3, FALSE))</f>
        <v>-0.62356828491941629</v>
      </c>
      <c r="R274" s="1">
        <f>(Main_S[[#This Row],[ROA]]-VLOOKUP(Main_S[[#This Row],[Industry]], Mean_ROA_S, 2, FALSE))/(VLOOKUP(Main_S[[#This Row],[Industry]], Mean_ROA_S, 3, FALSE))</f>
        <v>-0.78363036691158872</v>
      </c>
      <c r="S274" s="1">
        <f>(Main_S[[#This Row],[A/E]]-VLOOKUP(Main_S[[#This Row],[Industry]], Mean_AE_S, 2, FALSE))/(VLOOKUP(Main_S[[#This Row],[Industry]], Mean_AE_S, 3, FALSE))</f>
        <v>-0.62698263224178563</v>
      </c>
      <c r="T274" s="1">
        <f>(Main_S[[#This Row],[P/E]]-VLOOKUP(Main_S[[#This Row],[Industry]], Mean_PE_S, 2, FALSE))/(VLOOKUP(Main_S[[#This Row],[Industry]], Mean_PE_S, 3, FALSE))</f>
        <v>-0.43637530791718843</v>
      </c>
      <c r="U2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5" spans="1:26" x14ac:dyDescent="0.25">
      <c r="A275" s="67" t="s">
        <v>172</v>
      </c>
      <c r="B275" s="67" t="s">
        <v>533</v>
      </c>
      <c r="C275" s="2">
        <v>1805</v>
      </c>
      <c r="D275">
        <f>RTD("tos.rtd", , "LAST", Main_S[[#This Row],[Symbol]])</f>
        <v>43.11</v>
      </c>
      <c r="E275">
        <v>-1.89</v>
      </c>
      <c r="F275">
        <v>8.15</v>
      </c>
      <c r="G275">
        <v>-2.72</v>
      </c>
      <c r="H275" s="1">
        <f>IF(ISNUMBER(Main_S[[#This Row],[Free CF]]),IF(Main_S[[#This Row],[Free CF]]&lt;&gt;0,Main_S[[#This Row],[Current Price]]/Main_S[[#This Row],[Free CF]],""),"")</f>
        <v>-22.80952380952381</v>
      </c>
      <c r="I275" s="1">
        <f>IF(ISNUMBER(Main_S[[#This Row],[BVPS]]),IF(Main_S[[#This Row],[BVPS]]&lt;&gt;0,Main_S[[#This Row],[Current Price]]/Main_S[[#This Row],[BVPS]],""),"")</f>
        <v>5.2895705521472394</v>
      </c>
      <c r="J275">
        <v>-33.979999999999997</v>
      </c>
      <c r="K275">
        <v>-16.05</v>
      </c>
      <c r="L275">
        <v>1.46</v>
      </c>
      <c r="M275" s="1">
        <f>IF(ISNUMBER(Main_S[[#This Row],[EPS]]),IF(Main_S[[#This Row],[EPS]]&lt;&gt;0,Main_S[[#This Row],[Current Price]]/Main_S[[#This Row],[EPS]],""),"")</f>
        <v>-15.849264705882351</v>
      </c>
      <c r="N2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5" s="1">
        <f>(Main_S[[#This Row],[P/FCF]]-VLOOKUP(Main_S[[#This Row],[Industry]], Mean_PFCF_S, 2, FALSE))/(VLOOKUP(Main_S[[#This Row],[Industry]], Mean_PFCF_S, 3, FALSE))</f>
        <v>-1.2759997990274297</v>
      </c>
      <c r="P275" s="1">
        <f>(Main_S[[#This Row],[P/B]]-VLOOKUP(Main_S[[#This Row],[Industry]], Mean_PB_S, 2, FALSE))/(VLOOKUP(Main_S[[#This Row],[Industry]], Mean_PB_S, 3, FALSE))</f>
        <v>1.3004499268612386</v>
      </c>
      <c r="Q275" s="1">
        <f>(Main_S[[#This Row],[ROE]]-VLOOKUP(Main_S[[#This Row],[Industry]], Mean_ROE_S, 2, FALSE))/(VLOOKUP(Main_S[[#This Row],[Industry]], Mean_ROE_S, 3, FALSE))</f>
        <v>-0.72672801118013375</v>
      </c>
      <c r="R275" s="1">
        <f>(Main_S[[#This Row],[ROA]]-VLOOKUP(Main_S[[#This Row],[Industry]], Mean_ROA_S, 2, FALSE))/(VLOOKUP(Main_S[[#This Row],[Industry]], Mean_ROA_S, 3, FALSE))</f>
        <v>-0.42309731050547006</v>
      </c>
      <c r="S275" s="1">
        <f>(Main_S[[#This Row],[A/E]]-VLOOKUP(Main_S[[#This Row],[Industry]], Mean_AE_S, 2, FALSE))/(VLOOKUP(Main_S[[#This Row],[Industry]], Mean_AE_S, 3, FALSE))</f>
        <v>0.16094956459846607</v>
      </c>
      <c r="T275" s="1">
        <f>(Main_S[[#This Row],[P/E]]-VLOOKUP(Main_S[[#This Row],[Industry]], Mean_PE_S, 2, FALSE))/(VLOOKUP(Main_S[[#This Row],[Industry]], Mean_PE_S, 3, FALSE))</f>
        <v>-1.2866062659510815</v>
      </c>
      <c r="U2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6" spans="1:26" x14ac:dyDescent="0.25">
      <c r="A276" s="67" t="s">
        <v>172</v>
      </c>
      <c r="B276" s="67" t="s">
        <v>519</v>
      </c>
      <c r="C276" s="2">
        <v>822</v>
      </c>
      <c r="D276">
        <f>RTD("tos.rtd", , "LAST", Main_S[[#This Row],[Symbol]])</f>
        <v>31.22</v>
      </c>
      <c r="E276">
        <v>-1.93</v>
      </c>
      <c r="F276">
        <v>6.97</v>
      </c>
      <c r="G276">
        <v>-1.77</v>
      </c>
      <c r="H276" s="1">
        <f>IF(ISNUMBER(Main_S[[#This Row],[Free CF]]),IF(Main_S[[#This Row],[Free CF]]&lt;&gt;0,Main_S[[#This Row],[Current Price]]/Main_S[[#This Row],[Free CF]],""),"")</f>
        <v>-16.176165803108809</v>
      </c>
      <c r="I276" s="1">
        <f>IF(ISNUMBER(Main_S[[#This Row],[BVPS]]),IF(Main_S[[#This Row],[BVPS]]&lt;&gt;0,Main_S[[#This Row],[Current Price]]/Main_S[[#This Row],[BVPS]],""),"")</f>
        <v>4.4791965566714493</v>
      </c>
      <c r="J276">
        <v>-24.47</v>
      </c>
      <c r="K276">
        <v>-17.760000000000002</v>
      </c>
      <c r="L276">
        <v>1.05</v>
      </c>
      <c r="M276" s="1">
        <f>IF(ISNUMBER(Main_S[[#This Row],[EPS]]),IF(Main_S[[#This Row],[EPS]]&lt;&gt;0,Main_S[[#This Row],[Current Price]]/Main_S[[#This Row],[EPS]],""),"")</f>
        <v>-17.638418079096045</v>
      </c>
      <c r="N2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6" s="1">
        <f>(Main_S[[#This Row],[P/FCF]]-VLOOKUP(Main_S[[#This Row],[Industry]], Mean_PFCF_S, 2, FALSE))/(VLOOKUP(Main_S[[#This Row],[Industry]], Mean_PFCF_S, 3, FALSE))</f>
        <v>-0.81934527474914043</v>
      </c>
      <c r="P276" s="1">
        <f>(Main_S[[#This Row],[P/B]]-VLOOKUP(Main_S[[#This Row],[Industry]], Mean_PB_S, 2, FALSE))/(VLOOKUP(Main_S[[#This Row],[Industry]], Mean_PB_S, 3, FALSE))</f>
        <v>0.9157120766657455</v>
      </c>
      <c r="Q276" s="1">
        <f>(Main_S[[#This Row],[ROE]]-VLOOKUP(Main_S[[#This Row],[Industry]], Mean_ROE_S, 2, FALSE))/(VLOOKUP(Main_S[[#This Row],[Industry]], Mean_ROE_S, 3, FALSE))</f>
        <v>-0.36066495269527454</v>
      </c>
      <c r="R276" s="1">
        <f>(Main_S[[#This Row],[ROA]]-VLOOKUP(Main_S[[#This Row],[Industry]], Mean_ROA_S, 2, FALSE))/(VLOOKUP(Main_S[[#This Row],[Industry]], Mean_ROA_S, 3, FALSE))</f>
        <v>-0.53920117612777951</v>
      </c>
      <c r="S276" s="1">
        <f>(Main_S[[#This Row],[A/E]]-VLOOKUP(Main_S[[#This Row],[Industry]], Mean_AE_S, 2, FALSE))/(VLOOKUP(Main_S[[#This Row],[Industry]], Mean_AE_S, 3, FALSE))</f>
        <v>-0.62698263224178563</v>
      </c>
      <c r="T276" s="1">
        <f>(Main_S[[#This Row],[P/E]]-VLOOKUP(Main_S[[#This Row],[Industry]], Mean_PE_S, 2, FALSE))/(VLOOKUP(Main_S[[#This Row],[Industry]], Mean_PE_S, 3, FALSE))</f>
        <v>-1.5730615740703493</v>
      </c>
      <c r="U2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7" spans="1:26" x14ac:dyDescent="0.25">
      <c r="A277" s="67" t="s">
        <v>172</v>
      </c>
      <c r="B277" s="67" t="s">
        <v>529</v>
      </c>
      <c r="C277" s="2">
        <v>302</v>
      </c>
      <c r="D277">
        <f>RTD("tos.rtd", , "LAST", Main_S[[#This Row],[Symbol]])</f>
        <v>12.71</v>
      </c>
      <c r="E277">
        <v>-2.38</v>
      </c>
      <c r="F277">
        <v>7.83</v>
      </c>
      <c r="G277">
        <v>-2.74</v>
      </c>
      <c r="H277" s="1">
        <f>IF(ISNUMBER(Main_S[[#This Row],[Free CF]]),IF(Main_S[[#This Row],[Free CF]]&lt;&gt;0,Main_S[[#This Row],[Current Price]]/Main_S[[#This Row],[Free CF]],""),"")</f>
        <v>-5.3403361344537821</v>
      </c>
      <c r="I277" s="1">
        <f>IF(ISNUMBER(Main_S[[#This Row],[BVPS]]),IF(Main_S[[#This Row],[BVPS]]&lt;&gt;0,Main_S[[#This Row],[Current Price]]/Main_S[[#This Row],[BVPS]],""),"")</f>
        <v>1.6232439335887612</v>
      </c>
      <c r="J277">
        <v>-33.14</v>
      </c>
      <c r="K277">
        <v>-22.88</v>
      </c>
      <c r="L277">
        <v>1.06</v>
      </c>
      <c r="M277" s="1">
        <f>IF(ISNUMBER(Main_S[[#This Row],[EPS]]),IF(Main_S[[#This Row],[EPS]]&lt;&gt;0,Main_S[[#This Row],[Current Price]]/Main_S[[#This Row],[EPS]],""),"")</f>
        <v>-4.6386861313868613</v>
      </c>
      <c r="N2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7" s="1">
        <f>(Main_S[[#This Row],[P/FCF]]-VLOOKUP(Main_S[[#This Row],[Industry]], Mean_PFCF_S, 2, FALSE))/(VLOOKUP(Main_S[[#This Row],[Industry]], Mean_PFCF_S, 3, FALSE))</f>
        <v>-7.3383630930898086E-2</v>
      </c>
      <c r="P277" s="1">
        <f>(Main_S[[#This Row],[P/B]]-VLOOKUP(Main_S[[#This Row],[Industry]], Mean_PB_S, 2, FALSE))/(VLOOKUP(Main_S[[#This Row],[Industry]], Mean_PB_S, 3, FALSE))</f>
        <v>-0.44019652676850601</v>
      </c>
      <c r="Q277" s="1">
        <f>(Main_S[[#This Row],[ROE]]-VLOOKUP(Main_S[[#This Row],[Industry]], Mean_ROE_S, 2, FALSE))/(VLOOKUP(Main_S[[#This Row],[Industry]], Mean_ROE_S, 3, FALSE))</f>
        <v>-0.69439436563572987</v>
      </c>
      <c r="R277" s="1">
        <f>(Main_S[[#This Row],[ROA]]-VLOOKUP(Main_S[[#This Row],[Industry]], Mean_ROA_S, 2, FALSE))/(VLOOKUP(Main_S[[#This Row],[Industry]], Mean_ROA_S, 3, FALSE))</f>
        <v>-0.88683380302030823</v>
      </c>
      <c r="S277" s="1">
        <f>(Main_S[[#This Row],[A/E]]-VLOOKUP(Main_S[[#This Row],[Industry]], Mean_AE_S, 2, FALSE))/(VLOOKUP(Main_S[[#This Row],[Industry]], Mean_AE_S, 3, FALSE))</f>
        <v>-0.60776477378226734</v>
      </c>
      <c r="T277" s="1">
        <f>(Main_S[[#This Row],[P/E]]-VLOOKUP(Main_S[[#This Row],[Industry]], Mean_PE_S, 2, FALSE))/(VLOOKUP(Main_S[[#This Row],[Industry]], Mean_PE_S, 3, FALSE))</f>
        <v>0.50828163344915112</v>
      </c>
      <c r="U2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8" spans="1:26" x14ac:dyDescent="0.25">
      <c r="A278" s="67" t="s">
        <v>172</v>
      </c>
      <c r="B278" s="67" t="s">
        <v>517</v>
      </c>
      <c r="C278" s="2">
        <v>1252</v>
      </c>
      <c r="D278">
        <f>RTD("tos.rtd", , "LAST", Main_S[[#This Row],[Symbol]])</f>
        <v>20.51</v>
      </c>
      <c r="E278">
        <v>-2.46</v>
      </c>
      <c r="F278">
        <v>14.33</v>
      </c>
      <c r="G278">
        <v>-2.59</v>
      </c>
      <c r="H278" s="1">
        <f>IF(ISNUMBER(Main_S[[#This Row],[Free CF]]),IF(Main_S[[#This Row],[Free CF]]&lt;&gt;0,Main_S[[#This Row],[Current Price]]/Main_S[[#This Row],[Free CF]],""),"")</f>
        <v>-8.3373983739837403</v>
      </c>
      <c r="I278" s="1">
        <f>IF(ISNUMBER(Main_S[[#This Row],[BVPS]]),IF(Main_S[[#This Row],[BVPS]]&lt;&gt;0,Main_S[[#This Row],[Current Price]]/Main_S[[#This Row],[BVPS]],""),"")</f>
        <v>1.4312630844382415</v>
      </c>
      <c r="J278">
        <v>-22.85</v>
      </c>
      <c r="K278">
        <v>-17.239999999999998</v>
      </c>
      <c r="L278">
        <v>1.05</v>
      </c>
      <c r="M278" s="1">
        <f>IF(ISNUMBER(Main_S[[#This Row],[EPS]]),IF(Main_S[[#This Row],[EPS]]&lt;&gt;0,Main_S[[#This Row],[Current Price]]/Main_S[[#This Row],[EPS]],""),"")</f>
        <v>-7.9189189189189202</v>
      </c>
      <c r="N2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8" s="1">
        <f>(Main_S[[#This Row],[P/FCF]]-VLOOKUP(Main_S[[#This Row],[Industry]], Mean_PFCF_S, 2, FALSE))/(VLOOKUP(Main_S[[#This Row],[Industry]], Mean_PFCF_S, 3, FALSE))</f>
        <v>-0.27970779282618663</v>
      </c>
      <c r="P278" s="1">
        <f>(Main_S[[#This Row],[P/B]]-VLOOKUP(Main_S[[#This Row],[Industry]], Mean_PB_S, 2, FALSE))/(VLOOKUP(Main_S[[#This Row],[Industry]], Mean_PB_S, 3, FALSE))</f>
        <v>-0.53134246628931936</v>
      </c>
      <c r="Q278" s="1">
        <f>(Main_S[[#This Row],[ROE]]-VLOOKUP(Main_S[[#This Row],[Industry]], Mean_ROE_S, 2, FALSE))/(VLOOKUP(Main_S[[#This Row],[Industry]], Mean_ROE_S, 3, FALSE))</f>
        <v>-0.29830720771678126</v>
      </c>
      <c r="R278" s="1">
        <f>(Main_S[[#This Row],[ROA]]-VLOOKUP(Main_S[[#This Row],[Industry]], Mean_ROA_S, 2, FALSE))/(VLOOKUP(Main_S[[#This Row],[Industry]], Mean_ROA_S, 3, FALSE))</f>
        <v>-0.50389473745900681</v>
      </c>
      <c r="S278" s="1">
        <f>(Main_S[[#This Row],[A/E]]-VLOOKUP(Main_S[[#This Row],[Industry]], Mean_AE_S, 2, FALSE))/(VLOOKUP(Main_S[[#This Row],[Industry]], Mean_AE_S, 3, FALSE))</f>
        <v>-0.62698263224178563</v>
      </c>
      <c r="T278" s="1">
        <f>(Main_S[[#This Row],[P/E]]-VLOOKUP(Main_S[[#This Row],[Industry]], Mean_PE_S, 2, FALSE))/(VLOOKUP(Main_S[[#This Row],[Industry]], Mean_PE_S, 3, FALSE))</f>
        <v>-1.6905367242483562E-2</v>
      </c>
      <c r="U2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9" spans="1:26" x14ac:dyDescent="0.25">
      <c r="A279" s="67" t="s">
        <v>172</v>
      </c>
      <c r="B279" s="67" t="s">
        <v>528</v>
      </c>
      <c r="C279" s="2">
        <v>905</v>
      </c>
      <c r="D279">
        <f>RTD("tos.rtd", , "LAST", Main_S[[#This Row],[Symbol]])</f>
        <v>18.03</v>
      </c>
      <c r="E279">
        <v>-2.7</v>
      </c>
      <c r="F279">
        <v>4.47</v>
      </c>
      <c r="G279">
        <v>-3.04</v>
      </c>
      <c r="H279" s="1">
        <f>IF(ISNUMBER(Main_S[[#This Row],[Free CF]]),IF(Main_S[[#This Row],[Free CF]]&lt;&gt;0,Main_S[[#This Row],[Current Price]]/Main_S[[#This Row],[Free CF]],""),"")</f>
        <v>-6.677777777777778</v>
      </c>
      <c r="I279" s="1">
        <f>IF(ISNUMBER(Main_S[[#This Row],[BVPS]]),IF(Main_S[[#This Row],[BVPS]]&lt;&gt;0,Main_S[[#This Row],[Current Price]]/Main_S[[#This Row],[BVPS]],""),"")</f>
        <v>4.0335570469798663</v>
      </c>
      <c r="J279">
        <v>-52.2</v>
      </c>
      <c r="K279">
        <v>-31.88</v>
      </c>
      <c r="L279">
        <v>1.1000000000000001</v>
      </c>
      <c r="M279" s="1">
        <f>IF(ISNUMBER(Main_S[[#This Row],[EPS]]),IF(Main_S[[#This Row],[EPS]]&lt;&gt;0,Main_S[[#This Row],[Current Price]]/Main_S[[#This Row],[EPS]],""),"")</f>
        <v>-5.9309210526315796</v>
      </c>
      <c r="N2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9" s="1">
        <f>(Main_S[[#This Row],[P/FCF]]-VLOOKUP(Main_S[[#This Row],[Industry]], Mean_PFCF_S, 2, FALSE))/(VLOOKUP(Main_S[[#This Row],[Industry]], Mean_PFCF_S, 3, FALSE))</f>
        <v>-0.16545596846966029</v>
      </c>
      <c r="P279" s="1">
        <f>(Main_S[[#This Row],[P/B]]-VLOOKUP(Main_S[[#This Row],[Industry]], Mean_PB_S, 2, FALSE))/(VLOOKUP(Main_S[[#This Row],[Industry]], Mean_PB_S, 3, FALSE))</f>
        <v>0.70413768277092625</v>
      </c>
      <c r="Q279" s="1">
        <f>(Main_S[[#This Row],[ROE]]-VLOOKUP(Main_S[[#This Row],[Industry]], Mean_ROE_S, 2, FALSE))/(VLOOKUP(Main_S[[#This Row],[Industry]], Mean_ROE_S, 3, FALSE))</f>
        <v>-1.4280601800123247</v>
      </c>
      <c r="R279" s="1">
        <f>(Main_S[[#This Row],[ROA]]-VLOOKUP(Main_S[[#This Row],[Industry]], Mean_ROA_S, 2, FALSE))/(VLOOKUP(Main_S[[#This Row],[Industry]], Mean_ROA_S, 3, FALSE))</f>
        <v>-1.4979067799798316</v>
      </c>
      <c r="S279" s="1">
        <f>(Main_S[[#This Row],[A/E]]-VLOOKUP(Main_S[[#This Row],[Industry]], Mean_AE_S, 2, FALSE))/(VLOOKUP(Main_S[[#This Row],[Industry]], Mean_AE_S, 3, FALSE))</f>
        <v>-0.53089333994419385</v>
      </c>
      <c r="T279" s="1">
        <f>(Main_S[[#This Row],[P/E]]-VLOOKUP(Main_S[[#This Row],[Industry]], Mean_PE_S, 2, FALSE))/(VLOOKUP(Main_S[[#This Row],[Industry]], Mean_PE_S, 3, FALSE))</f>
        <v>0.30138626155449055</v>
      </c>
      <c r="U2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0" spans="1:26" x14ac:dyDescent="0.25">
      <c r="A280" s="67" t="s">
        <v>172</v>
      </c>
      <c r="B280" s="67" t="s">
        <v>500</v>
      </c>
      <c r="C280" s="2">
        <v>459</v>
      </c>
      <c r="D280">
        <f>RTD("tos.rtd", , "LAST", Main_S[[#This Row],[Symbol]])</f>
        <v>5.44</v>
      </c>
      <c r="E280">
        <v>-3.35</v>
      </c>
      <c r="F280">
        <v>2.2599999999999998</v>
      </c>
      <c r="G280">
        <v>-3.02</v>
      </c>
      <c r="H280" s="1">
        <f>IF(ISNUMBER(Main_S[[#This Row],[Free CF]]),IF(Main_S[[#This Row],[Free CF]]&lt;&gt;0,Main_S[[#This Row],[Current Price]]/Main_S[[#This Row],[Free CF]],""),"")</f>
        <v>-1.6238805970149255</v>
      </c>
      <c r="I280" s="1">
        <f>IF(ISNUMBER(Main_S[[#This Row],[BVPS]]),IF(Main_S[[#This Row],[BVPS]]&lt;&gt;0,Main_S[[#This Row],[Current Price]]/Main_S[[#This Row],[BVPS]],""),"")</f>
        <v>2.4070796460176993</v>
      </c>
      <c r="J280">
        <v>-83.24</v>
      </c>
      <c r="K280">
        <v>-40.72</v>
      </c>
      <c r="L280">
        <v>1.0900000000000001</v>
      </c>
      <c r="M280" s="1">
        <f>IF(ISNUMBER(Main_S[[#This Row],[EPS]]),IF(Main_S[[#This Row],[EPS]]&lt;&gt;0,Main_S[[#This Row],[Current Price]]/Main_S[[#This Row],[EPS]],""),"")</f>
        <v>-1.8013245033112584</v>
      </c>
      <c r="N2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0" s="1">
        <f>(Main_S[[#This Row],[P/FCF]]-VLOOKUP(Main_S[[#This Row],[Industry]], Mean_PFCF_S, 2, FALSE))/(VLOOKUP(Main_S[[#This Row],[Industry]], Mean_PFCF_S, 3, FALSE))</f>
        <v>0.1824651011606436</v>
      </c>
      <c r="P280" s="1">
        <f>(Main_S[[#This Row],[P/B]]-VLOOKUP(Main_S[[#This Row],[Industry]], Mean_PB_S, 2, FALSE))/(VLOOKUP(Main_S[[#This Row],[Industry]], Mean_PB_S, 3, FALSE))</f>
        <v>-6.8058145490238711E-2</v>
      </c>
      <c r="Q280" s="1">
        <f>(Main_S[[#This Row],[ROE]]-VLOOKUP(Main_S[[#This Row],[Industry]], Mean_ROE_S, 2, FALSE))/(VLOOKUP(Main_S[[#This Row],[Industry]], Mean_ROE_S, 3, FALSE))</f>
        <v>-2.6228653677483948</v>
      </c>
      <c r="R280" s="1">
        <f>(Main_S[[#This Row],[ROA]]-VLOOKUP(Main_S[[#This Row],[Industry]], Mean_ROA_S, 2, FALSE))/(VLOOKUP(Main_S[[#This Row],[Industry]], Mean_ROA_S, 3, FALSE))</f>
        <v>-2.0981162373489632</v>
      </c>
      <c r="S280" s="1">
        <f>(Main_S[[#This Row],[A/E]]-VLOOKUP(Main_S[[#This Row],[Industry]], Mean_AE_S, 2, FALSE))/(VLOOKUP(Main_S[[#This Row],[Industry]], Mean_AE_S, 3, FALSE))</f>
        <v>-0.55011119840371225</v>
      </c>
      <c r="T280" s="1">
        <f>(Main_S[[#This Row],[P/E]]-VLOOKUP(Main_S[[#This Row],[Industry]], Mean_PE_S, 2, FALSE))/(VLOOKUP(Main_S[[#This Row],[Industry]], Mean_PE_S, 3, FALSE))</f>
        <v>0.96256202750853015</v>
      </c>
      <c r="U2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1" spans="1:26" x14ac:dyDescent="0.25">
      <c r="A281" s="67" t="s">
        <v>172</v>
      </c>
      <c r="B281" s="67" t="s">
        <v>504</v>
      </c>
      <c r="C281" s="2">
        <v>526</v>
      </c>
      <c r="D281">
        <f>RTD("tos.rtd", , "LAST", Main_S[[#This Row],[Symbol]])</f>
        <v>7.83</v>
      </c>
      <c r="E281">
        <v>-3.51</v>
      </c>
      <c r="F281">
        <v>9.0399999999999991</v>
      </c>
      <c r="G281">
        <v>-0.65</v>
      </c>
      <c r="H281" s="1">
        <f>IF(ISNUMBER(Main_S[[#This Row],[Free CF]]),IF(Main_S[[#This Row],[Free CF]]&lt;&gt;0,Main_S[[#This Row],[Current Price]]/Main_S[[#This Row],[Free CF]],""),"")</f>
        <v>-2.2307692307692308</v>
      </c>
      <c r="I281" s="1">
        <f>IF(ISNUMBER(Main_S[[#This Row],[BVPS]]),IF(Main_S[[#This Row],[BVPS]]&lt;&gt;0,Main_S[[#This Row],[Current Price]]/Main_S[[#This Row],[BVPS]],""),"")</f>
        <v>0.8661504424778762</v>
      </c>
      <c r="J281">
        <v>-7.34</v>
      </c>
      <c r="K281">
        <v>-5.39</v>
      </c>
      <c r="L281">
        <v>1.52</v>
      </c>
      <c r="M281" s="1">
        <f>IF(ISNUMBER(Main_S[[#This Row],[EPS]]),IF(Main_S[[#This Row],[EPS]]&lt;&gt;0,Main_S[[#This Row],[Current Price]]/Main_S[[#This Row],[EPS]],""),"")</f>
        <v>-12.046153846153846</v>
      </c>
      <c r="N2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1" s="1">
        <f>(Main_S[[#This Row],[P/FCF]]-VLOOKUP(Main_S[[#This Row],[Industry]], Mean_PFCF_S, 2, FALSE))/(VLOOKUP(Main_S[[#This Row],[Industry]], Mean_PFCF_S, 3, FALSE))</f>
        <v>0.14068559218962806</v>
      </c>
      <c r="P281" s="1">
        <f>(Main_S[[#This Row],[P/B]]-VLOOKUP(Main_S[[#This Row],[Industry]], Mean_PB_S, 2, FALSE))/(VLOOKUP(Main_S[[#This Row],[Industry]], Mean_PB_S, 3, FALSE))</f>
        <v>-0.7996386162150998</v>
      </c>
      <c r="Q281" s="1">
        <f>(Main_S[[#This Row],[ROE]]-VLOOKUP(Main_S[[#This Row],[Industry]], Mean_ROE_S, 2, FALSE))/(VLOOKUP(Main_S[[#This Row],[Industry]], Mean_ROE_S, 3, FALSE))</f>
        <v>0.29871046179953487</v>
      </c>
      <c r="R281" s="1">
        <f>(Main_S[[#This Row],[ROA]]-VLOOKUP(Main_S[[#This Row],[Industry]], Mean_ROA_S, 2, FALSE))/(VLOOKUP(Main_S[[#This Row],[Industry]], Mean_ROA_S, 3, FALSE))</f>
        <v>0.30068468220436545</v>
      </c>
      <c r="S281" s="1">
        <f>(Main_S[[#This Row],[A/E]]-VLOOKUP(Main_S[[#This Row],[Industry]], Mean_AE_S, 2, FALSE))/(VLOOKUP(Main_S[[#This Row],[Industry]], Mean_AE_S, 3, FALSE))</f>
        <v>0.27625671535557622</v>
      </c>
      <c r="T281" s="1">
        <f>(Main_S[[#This Row],[P/E]]-VLOOKUP(Main_S[[#This Row],[Industry]], Mean_PE_S, 2, FALSE))/(VLOOKUP(Main_S[[#This Row],[Industry]], Mean_PE_S, 3, FALSE))</f>
        <v>-0.67770302185500186</v>
      </c>
      <c r="U2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2" spans="1:26" x14ac:dyDescent="0.25">
      <c r="A282" s="67" t="s">
        <v>172</v>
      </c>
      <c r="B282" s="67" t="s">
        <v>522</v>
      </c>
      <c r="C282" s="2">
        <v>415</v>
      </c>
      <c r="D282">
        <f>RTD("tos.rtd", , "LAST", Main_S[[#This Row],[Symbol]])</f>
        <v>11.36</v>
      </c>
      <c r="E282">
        <v>-3.6</v>
      </c>
      <c r="F282">
        <v>7.04</v>
      </c>
      <c r="G282">
        <v>-3.93</v>
      </c>
      <c r="H282" s="1">
        <f>IF(ISNUMBER(Main_S[[#This Row],[Free CF]]),IF(Main_S[[#This Row],[Free CF]]&lt;&gt;0,Main_S[[#This Row],[Current Price]]/Main_S[[#This Row],[Free CF]],""),"")</f>
        <v>-3.1555555555555554</v>
      </c>
      <c r="I282" s="1">
        <f>IF(ISNUMBER(Main_S[[#This Row],[BVPS]]),IF(Main_S[[#This Row],[BVPS]]&lt;&gt;0,Main_S[[#This Row],[Current Price]]/Main_S[[#This Row],[BVPS]],""),"")</f>
        <v>1.6136363636363635</v>
      </c>
      <c r="J282">
        <v>-48.22</v>
      </c>
      <c r="K282">
        <v>-31.68</v>
      </c>
      <c r="L282">
        <v>1.04</v>
      </c>
      <c r="M282" s="1">
        <f>IF(ISNUMBER(Main_S[[#This Row],[EPS]]),IF(Main_S[[#This Row],[EPS]]&lt;&gt;0,Main_S[[#This Row],[Current Price]]/Main_S[[#This Row],[EPS]],""),"")</f>
        <v>-2.8905852417302795</v>
      </c>
      <c r="N2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2" s="1">
        <f>(Main_S[[#This Row],[P/FCF]]-VLOOKUP(Main_S[[#This Row],[Industry]], Mean_PFCF_S, 2, FALSE))/(VLOOKUP(Main_S[[#This Row],[Industry]], Mean_PFCF_S, 3, FALSE))</f>
        <v>7.7021327605090312E-2</v>
      </c>
      <c r="P282" s="1">
        <f>(Main_S[[#This Row],[P/B]]-VLOOKUP(Main_S[[#This Row],[Industry]], Mean_PB_S, 2, FALSE))/(VLOOKUP(Main_S[[#This Row],[Industry]], Mean_PB_S, 3, FALSE))</f>
        <v>-0.44475787230738656</v>
      </c>
      <c r="Q282" s="1">
        <f>(Main_S[[#This Row],[ROE]]-VLOOKUP(Main_S[[#This Row],[Industry]], Mean_ROE_S, 2, FALSE))/(VLOOKUP(Main_S[[#This Row],[Industry]], Mean_ROE_S, 3, FALSE))</f>
        <v>-1.2748602880281248</v>
      </c>
      <c r="R282" s="1">
        <f>(Main_S[[#This Row],[ROA]]-VLOOKUP(Main_S[[#This Row],[Industry]], Mean_ROA_S, 2, FALSE))/(VLOOKUP(Main_S[[#This Row],[Industry]], Mean_ROA_S, 3, FALSE))</f>
        <v>-1.484327380491842</v>
      </c>
      <c r="S282" s="1">
        <f>(Main_S[[#This Row],[A/E]]-VLOOKUP(Main_S[[#This Row],[Industry]], Mean_AE_S, 2, FALSE))/(VLOOKUP(Main_S[[#This Row],[Industry]], Mean_AE_S, 3, FALSE))</f>
        <v>-0.64620049070130403</v>
      </c>
      <c r="T282" s="1">
        <f>(Main_S[[#This Row],[P/E]]-VLOOKUP(Main_S[[#This Row],[Industry]], Mean_PE_S, 2, FALSE))/(VLOOKUP(Main_S[[#This Row],[Industry]], Mean_PE_S, 3, FALSE))</f>
        <v>0.78816416697990455</v>
      </c>
      <c r="U2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3" spans="1:26" x14ac:dyDescent="0.25">
      <c r="A283" s="67" t="s">
        <v>172</v>
      </c>
      <c r="B283" s="67" t="s">
        <v>530</v>
      </c>
      <c r="C283" s="2">
        <v>412</v>
      </c>
      <c r="D283">
        <f>RTD("tos.rtd", , "LAST", Main_S[[#This Row],[Symbol]])</f>
        <v>10.11</v>
      </c>
      <c r="E283">
        <v>-3.73</v>
      </c>
      <c r="F283">
        <v>9.1</v>
      </c>
      <c r="G283">
        <v>-3.89</v>
      </c>
      <c r="H283" s="1">
        <f>IF(ISNUMBER(Main_S[[#This Row],[Free CF]]),IF(Main_S[[#This Row],[Free CF]]&lt;&gt;0,Main_S[[#This Row],[Current Price]]/Main_S[[#This Row],[Free CF]],""),"")</f>
        <v>-2.7104557640750668</v>
      </c>
      <c r="I283" s="1">
        <f>IF(ISNUMBER(Main_S[[#This Row],[BVPS]]),IF(Main_S[[#This Row],[BVPS]]&lt;&gt;0,Main_S[[#This Row],[Current Price]]/Main_S[[#This Row],[BVPS]],""),"")</f>
        <v>1.110989010989011</v>
      </c>
      <c r="J283">
        <v>-30.96</v>
      </c>
      <c r="K283">
        <v>-18.68</v>
      </c>
      <c r="L283">
        <v>1.08</v>
      </c>
      <c r="M283" s="1">
        <f>IF(ISNUMBER(Main_S[[#This Row],[EPS]]),IF(Main_S[[#This Row],[EPS]]&lt;&gt;0,Main_S[[#This Row],[Current Price]]/Main_S[[#This Row],[EPS]],""),"")</f>
        <v>-2.5989717223650382</v>
      </c>
      <c r="N2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3" s="1">
        <f>(Main_S[[#This Row],[P/FCF]]-VLOOKUP(Main_S[[#This Row],[Industry]], Mean_PFCF_S, 2, FALSE))/(VLOOKUP(Main_S[[#This Row],[Industry]], Mean_PFCF_S, 3, FALSE))</f>
        <v>0.10766294733047257</v>
      </c>
      <c r="P283" s="1">
        <f>(Main_S[[#This Row],[P/B]]-VLOOKUP(Main_S[[#This Row],[Industry]], Mean_PB_S, 2, FALSE))/(VLOOKUP(Main_S[[#This Row],[Industry]], Mean_PB_S, 3, FALSE))</f>
        <v>-0.68339763980196899</v>
      </c>
      <c r="Q283" s="1">
        <f>(Main_S[[#This Row],[ROE]]-VLOOKUP(Main_S[[#This Row],[Industry]], Mean_ROE_S, 2, FALSE))/(VLOOKUP(Main_S[[#This Row],[Industry]], Mean_ROE_S, 3, FALSE))</f>
        <v>-0.6104808569609671</v>
      </c>
      <c r="R283" s="1">
        <f>(Main_S[[#This Row],[ROA]]-VLOOKUP(Main_S[[#This Row],[Industry]], Mean_ROA_S, 2, FALSE))/(VLOOKUP(Main_S[[#This Row],[Industry]], Mean_ROA_S, 3, FALSE))</f>
        <v>-0.60166641377253072</v>
      </c>
      <c r="S283" s="1">
        <f>(Main_S[[#This Row],[A/E]]-VLOOKUP(Main_S[[#This Row],[Industry]], Mean_AE_S, 2, FALSE))/(VLOOKUP(Main_S[[#This Row],[Industry]], Mean_AE_S, 3, FALSE))</f>
        <v>-0.56932905686323054</v>
      </c>
      <c r="T283" s="1">
        <f>(Main_S[[#This Row],[P/E]]-VLOOKUP(Main_S[[#This Row],[Industry]], Mean_PE_S, 2, FALSE))/(VLOOKUP(Main_S[[#This Row],[Industry]], Mean_PE_S, 3, FALSE))</f>
        <v>0.83485342335789137</v>
      </c>
      <c r="U2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4" spans="1:26" x14ac:dyDescent="0.25">
      <c r="A284" s="67" t="s">
        <v>172</v>
      </c>
      <c r="B284" s="67" t="s">
        <v>499</v>
      </c>
      <c r="C284" s="2">
        <v>361</v>
      </c>
      <c r="D284">
        <f>RTD("tos.rtd", , "LAST", Main_S[[#This Row],[Symbol]])</f>
        <v>3.43</v>
      </c>
      <c r="E284">
        <v>-7.09</v>
      </c>
      <c r="F284">
        <v>3.09</v>
      </c>
      <c r="G284">
        <v>-8.31</v>
      </c>
      <c r="H284" s="1">
        <f>IF(ISNUMBER(Main_S[[#This Row],[Free CF]]),IF(Main_S[[#This Row],[Free CF]]&lt;&gt;0,Main_S[[#This Row],[Current Price]]/Main_S[[#This Row],[Free CF]],""),"")</f>
        <v>-0.48377997179125531</v>
      </c>
      <c r="I284" s="1">
        <f>IF(ISNUMBER(Main_S[[#This Row],[BVPS]]),IF(Main_S[[#This Row],[BVPS]]&lt;&gt;0,Main_S[[#This Row],[Current Price]]/Main_S[[#This Row],[BVPS]],""),"")</f>
        <v>1.110032362459547</v>
      </c>
      <c r="J284">
        <v>-247.05</v>
      </c>
      <c r="K284">
        <v>-101.07</v>
      </c>
      <c r="L284">
        <v>1.55</v>
      </c>
      <c r="M284" s="1">
        <f>IF(ISNUMBER(Main_S[[#This Row],[EPS]]),IF(Main_S[[#This Row],[EPS]]&lt;&gt;0,Main_S[[#This Row],[Current Price]]/Main_S[[#This Row],[EPS]],""),"")</f>
        <v>-0.41275571600481348</v>
      </c>
      <c r="N2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4" s="1">
        <f>(Main_S[[#This Row],[P/FCF]]-VLOOKUP(Main_S[[#This Row],[Industry]], Mean_PFCF_S, 2, FALSE))/(VLOOKUP(Main_S[[#This Row],[Industry]], Mean_PFCF_S, 3, FALSE))</f>
        <v>0.26095206178260932</v>
      </c>
      <c r="P284" s="1">
        <f>(Main_S[[#This Row],[P/B]]-VLOOKUP(Main_S[[#This Row],[Industry]], Mean_PB_S, 2, FALSE))/(VLOOKUP(Main_S[[#This Row],[Industry]], Mean_PB_S, 3, FALSE))</f>
        <v>-0.68385182379685716</v>
      </c>
      <c r="Q284" s="1">
        <f>(Main_S[[#This Row],[ROE]]-VLOOKUP(Main_S[[#This Row],[Industry]], Mean_ROE_S, 2, FALSE))/(VLOOKUP(Main_S[[#This Row],[Industry]], Mean_ROE_S, 3, FALSE))</f>
        <v>-8.9283111732588871</v>
      </c>
      <c r="R284" s="1">
        <f>(Main_S[[#This Row],[ROA]]-VLOOKUP(Main_S[[#This Row],[Industry]], Mean_ROA_S, 2, FALSE))/(VLOOKUP(Main_S[[#This Row],[Industry]], Mean_ROA_S, 3, FALSE))</f>
        <v>-6.1957000328497669</v>
      </c>
      <c r="S284" s="1">
        <f>(Main_S[[#This Row],[A/E]]-VLOOKUP(Main_S[[#This Row],[Industry]], Mean_AE_S, 2, FALSE))/(VLOOKUP(Main_S[[#This Row],[Industry]], Mean_AE_S, 3, FALSE))</f>
        <v>0.33391029073413125</v>
      </c>
      <c r="T284" s="1">
        <f>(Main_S[[#This Row],[P/E]]-VLOOKUP(Main_S[[#This Row],[Industry]], Mean_PE_S, 2, FALSE))/(VLOOKUP(Main_S[[#This Row],[Industry]], Mean_PE_S, 3, FALSE))</f>
        <v>1.1848810895675868</v>
      </c>
      <c r="U2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31.42578125" bestFit="1" customWidth="1"/>
    <col min="2" max="3" width="60.42578125" bestFit="1" customWidth="1"/>
    <col min="4" max="4" width="45.140625" bestFit="1" customWidth="1"/>
    <col min="5" max="5" width="45.42578125" bestFit="1" customWidth="1"/>
    <col min="6" max="7" width="58.28515625" bestFit="1" customWidth="1"/>
    <col min="8" max="8" width="39" bestFit="1" customWidth="1"/>
    <col min="9" max="9" width="39.28515625" bestFit="1" customWidth="1"/>
    <col min="10" max="11" width="59" bestFit="1" customWidth="1"/>
    <col min="12" max="12" width="40.7109375" bestFit="1" customWidth="1"/>
    <col min="13" max="13" width="41" bestFit="1" customWidth="1"/>
    <col min="14" max="15" width="59.140625" bestFit="1" customWidth="1"/>
    <col min="16" max="16" width="41.140625" bestFit="1" customWidth="1"/>
    <col min="17" max="17" width="41.42578125" bestFit="1" customWidth="1"/>
    <col min="18" max="19" width="58.140625" bestFit="1" customWidth="1"/>
    <col min="20" max="20" width="38.5703125" bestFit="1" customWidth="1"/>
    <col min="21" max="21" width="38.85546875" bestFit="1" customWidth="1"/>
    <col min="22" max="23" width="58.1406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152</v>
      </c>
      <c r="B3" s="1" cm="1">
        <f t="array" ref="B3">_xlfn.QUARTILE.INC(IF(Quartile_L[[#This Row],[Industry]]=Main_L[Industry],Main_L[P/FCF]),1)</f>
        <v>-34.430280889827472</v>
      </c>
      <c r="C3" s="1" cm="1">
        <f t="array" ref="C3">_xlfn.QUARTILE.INC(IF(Quartile_L[[#This Row],[Industry]]=Main_L[Industry],Main_L[P/FCF]),3)</f>
        <v>19.541736835070836</v>
      </c>
      <c r="D3" s="1">
        <f>Quartile_L[[#This Row],[P/FCF Q1]]-1.5*(Quartile_L[[#This Row],[P/FCF Q3]]-Quartile_L[[#This Row],[P/FCF Q1]])</f>
        <v>-115.38830747717493</v>
      </c>
      <c r="E3" s="1">
        <f>Quartile_L[[#This Row],[P/FCF Q3]]+1.5*(Quartile_L[[#This Row],[P/FCF Q3]]-Quartile_L[[#This Row],[P/FCF Q1]])</f>
        <v>100.4997634224183</v>
      </c>
      <c r="F3" s="1" cm="1">
        <f t="array" ref="F3">_xlfn.QUARTILE.INC(IF(Quartile_L[[#This Row],[Industry]]=Main_L[Industry],Main_L[P/B]),1)</f>
        <v>2.1016148778179282</v>
      </c>
      <c r="G3" s="1" cm="1">
        <f t="array" ref="G3">_xlfn.QUARTILE.INC(IF(Quartile_L[[#This Row],[Industry]]=Main_L[Industry],Main_L[P/B]),3)</f>
        <v>19.78452949694427</v>
      </c>
      <c r="H3" s="1">
        <f>Quartile_L[[#This Row],[P/B Q1]]-1.5*(Quartile_L[[#This Row],[P/B Q3]]-Quartile_L[[#This Row],[P/B Q1]])</f>
        <v>-24.422757050871589</v>
      </c>
      <c r="I3" s="1">
        <f>Quartile_L[[#This Row],[P/B Q3]]+1.5*(Quartile_L[[#This Row],[P/B Q3]]-Quartile_L[[#This Row],[P/B Q1]])</f>
        <v>46.308901425633785</v>
      </c>
      <c r="J3" s="1" cm="1">
        <f t="array" ref="J3">_xlfn.QUARTILE.INC(IF(Quartile_L[[#This Row],[Industry]]=Main_L[Industry],Main_L[ROE]),1)</f>
        <v>-7.09</v>
      </c>
      <c r="K3" s="1" cm="1">
        <f t="array" ref="K3">_xlfn.QUARTILE.INC(IF(Quartile_L[[#This Row],[Industry]]=Main_L[Industry],Main_L[ROE]),3)</f>
        <v>30.83</v>
      </c>
      <c r="L3" s="1">
        <f>Quartile_L[[#This Row],[ROE Q1]]-1.5*(Quartile_L[[#This Row],[ROE Q3]]-Quartile_L[[#This Row],[ROE Q1]])</f>
        <v>-63.97</v>
      </c>
      <c r="M3" s="1">
        <f>Quartile_L[[#This Row],[ROE Q3]]+1.5*(Quartile_L[[#This Row],[ROE Q3]]-Quartile_L[[#This Row],[ROE Q1]])</f>
        <v>87.710000000000008</v>
      </c>
      <c r="N3" s="1" cm="1">
        <f t="array" ref="N3">_xlfn.QUARTILE.INC(IF(Quartile_L[[#This Row],[Industry]]=Main_L[Industry],Main_L[ROA]),1)</f>
        <v>-2.1775000000000002</v>
      </c>
      <c r="O3" s="1" cm="1">
        <f t="array" ref="O3">_xlfn.QUARTILE.INC(IF(Quartile_L[[#This Row],[Industry]]=Main_L[Industry],Main_L[ROA]),3)</f>
        <v>9.4474999999999998</v>
      </c>
      <c r="P3" s="1">
        <f>Quartile_L[[#This Row],[ROA Q1]]-1.5*(Quartile_L[[#This Row],[ROA Q3]]-Quartile_L[[#This Row],[ROA Q1]])</f>
        <v>-19.615000000000002</v>
      </c>
      <c r="Q3" s="1">
        <f>Quartile_L[[#This Row],[ROA Q3]]+1.5*(Quartile_L[[#This Row],[ROA Q3]]-Quartile_L[[#This Row],[ROA Q1]])</f>
        <v>26.884999999999998</v>
      </c>
      <c r="R3" s="1" cm="1">
        <f t="array" ref="R3">_xlfn.QUARTILE.INC(IF(Quartile_L[[#This Row],[Industry]]=Main_L[Industry],Main_L[P/E]),1)</f>
        <v>-26.387096774193552</v>
      </c>
      <c r="S3" s="1" cm="1">
        <f t="array" ref="S3">_xlfn.QUARTILE.INC(IF(Quartile_L[[#This Row],[Industry]]=Main_L[Industry],Main_L[P/E]),3)</f>
        <v>24.544147203079646</v>
      </c>
      <c r="T3" s="1">
        <f>Quartile_L[[#This Row],[P/E Q1]]-1.5*(Quartile_L[[#This Row],[P/E Q3]]-Quartile_L[[#This Row],[P/E Q1]])</f>
        <v>-102.78396274010335</v>
      </c>
      <c r="U3" s="1">
        <f>Quartile_L[[#This Row],[P/E Q3]]+1.5*(Quartile_L[[#This Row],[P/E Q3]]-Quartile_L[[#This Row],[P/E Q1]])</f>
        <v>100.94101316898944</v>
      </c>
      <c r="V3" s="1" cm="1">
        <f t="array" ref="V3">_xlfn.QUARTILE.INC(IF(Quartile_L[[#This Row],[Industry]]=Main_L[Industry],Main_L[A/E]),1)</f>
        <v>1.2549999999999999</v>
      </c>
      <c r="W3" s="1" cm="1">
        <f t="array" ref="W3">_xlfn.QUARTILE.INC(IF(Quartile_L[[#This Row],[Industry]]=Main_L[Industry],Main_L[A/E]),3)</f>
        <v>2.5225</v>
      </c>
      <c r="X3" s="1">
        <f>Quartile_L[[#This Row],[A/E Q1]]-1.5*(Quartile_L[[#This Row],[A/E Q3]]-Quartile_L[[#This Row],[A/E Q1]])</f>
        <v>-0.64625000000000021</v>
      </c>
      <c r="Y3" s="1">
        <f>Quartile_L[[#This Row],[A/E Q3]]+1.5*(Quartile_L[[#This Row],[A/E Q3]]-Quartile_L[[#This Row],[A/E Q1]])</f>
        <v>4.4237500000000001</v>
      </c>
    </row>
    <row r="4" spans="1:25" x14ac:dyDescent="0.25">
      <c r="A4" t="s">
        <v>129</v>
      </c>
      <c r="B4" s="1" cm="1">
        <f t="array" ref="B4">_xlfn.QUARTILE.INC(IF(Quartile_L[[#This Row],[Industry]]=Main_L[Industry],Main_L[P/FCF]),1)</f>
        <v>11.523451184011797</v>
      </c>
      <c r="C4" s="1" cm="1">
        <f t="array" ref="C4">_xlfn.QUARTILE.INC(IF(Quartile_L[[#This Row],[Industry]]=Main_L[Industry],Main_L[P/FCF]),3)</f>
        <v>19.164774513231826</v>
      </c>
      <c r="D4" s="1">
        <f>Quartile_L[[#This Row],[P/FCF Q1]]-1.5*(Quartile_L[[#This Row],[P/FCF Q3]]-Quartile_L[[#This Row],[P/FCF Q1]])</f>
        <v>6.1466190181754143E-2</v>
      </c>
      <c r="E4" s="1">
        <f>Quartile_L[[#This Row],[P/FCF Q3]]+1.5*(Quartile_L[[#This Row],[P/FCF Q3]]-Quartile_L[[#This Row],[P/FCF Q1]])</f>
        <v>30.62675950706187</v>
      </c>
      <c r="F4" s="1" cm="1">
        <f t="array" ref="F4">_xlfn.QUARTILE.INC(IF(Quartile_L[[#This Row],[Industry]]=Main_L[Industry],Main_L[P/B]),1)</f>
        <v>0.76702643679486904</v>
      </c>
      <c r="G4" s="1" cm="1">
        <f t="array" ref="G4">_xlfn.QUARTILE.INC(IF(Quartile_L[[#This Row],[Industry]]=Main_L[Industry],Main_L[P/B]),3)</f>
        <v>3.2976485565018914</v>
      </c>
      <c r="H4" s="1">
        <f>Quartile_L[[#This Row],[P/B Q1]]-1.5*(Quartile_L[[#This Row],[P/B Q3]]-Quartile_L[[#This Row],[P/B Q1]])</f>
        <v>-3.0289067427656642</v>
      </c>
      <c r="I4" s="1">
        <f>Quartile_L[[#This Row],[P/B Q3]]+1.5*(Quartile_L[[#This Row],[P/B Q3]]-Quartile_L[[#This Row],[P/B Q1]])</f>
        <v>7.0935817360624247</v>
      </c>
      <c r="J4" s="1" cm="1">
        <f t="array" ref="J4">_xlfn.QUARTILE.INC(IF(Quartile_L[[#This Row],[Industry]]=Main_L[Industry],Main_L[ROE]),1)</f>
        <v>9.5399999999999991</v>
      </c>
      <c r="K4" s="1" cm="1">
        <f t="array" ref="K4">_xlfn.QUARTILE.INC(IF(Quartile_L[[#This Row],[Industry]]=Main_L[Industry],Main_L[ROE]),3)</f>
        <v>27.77</v>
      </c>
      <c r="L4" s="1">
        <f>Quartile_L[[#This Row],[ROE Q1]]-1.5*(Quartile_L[[#This Row],[ROE Q3]]-Quartile_L[[#This Row],[ROE Q1]])</f>
        <v>-17.805</v>
      </c>
      <c r="M4" s="1">
        <f>Quartile_L[[#This Row],[ROE Q3]]+1.5*(Quartile_L[[#This Row],[ROE Q3]]-Quartile_L[[#This Row],[ROE Q1]])</f>
        <v>55.114999999999995</v>
      </c>
      <c r="N4" s="1" cm="1">
        <f t="array" ref="N4">_xlfn.QUARTILE.INC(IF(Quartile_L[[#This Row],[Industry]]=Main_L[Industry],Main_L[ROA]),1)</f>
        <v>3.9450000000000003</v>
      </c>
      <c r="O4" s="1" cm="1">
        <f t="array" ref="O4">_xlfn.QUARTILE.INC(IF(Quartile_L[[#This Row],[Industry]]=Main_L[Industry],Main_L[ROA]),3)</f>
        <v>7.15</v>
      </c>
      <c r="P4" s="1">
        <f>Quartile_L[[#This Row],[ROA Q1]]-1.5*(Quartile_L[[#This Row],[ROA Q3]]-Quartile_L[[#This Row],[ROA Q1]])</f>
        <v>-0.86249999999999982</v>
      </c>
      <c r="Q4" s="1">
        <f>Quartile_L[[#This Row],[ROA Q3]]+1.5*(Quartile_L[[#This Row],[ROA Q3]]-Quartile_L[[#This Row],[ROA Q1]])</f>
        <v>11.9575</v>
      </c>
      <c r="R4" s="1" cm="1">
        <f t="array" ref="R4">_xlfn.QUARTILE.INC(IF(Quartile_L[[#This Row],[Industry]]=Main_L[Industry],Main_L[P/E]),1)</f>
        <v>13.178235256012577</v>
      </c>
      <c r="S4" s="1" cm="1">
        <f t="array" ref="S4">_xlfn.QUARTILE.INC(IF(Quartile_L[[#This Row],[Industry]]=Main_L[Industry],Main_L[P/E]),3)</f>
        <v>24.415728162854599</v>
      </c>
      <c r="T4" s="1">
        <f>Quartile_L[[#This Row],[P/E Q1]]-1.5*(Quartile_L[[#This Row],[P/E Q3]]-Quartile_L[[#This Row],[P/E Q1]])</f>
        <v>-3.678004104250455</v>
      </c>
      <c r="U4" s="1">
        <f>Quartile_L[[#This Row],[P/E Q3]]+1.5*(Quartile_L[[#This Row],[P/E Q3]]-Quartile_L[[#This Row],[P/E Q1]])</f>
        <v>41.271967523117631</v>
      </c>
      <c r="V4" s="1" cm="1">
        <f t="array" ref="V4">_xlfn.QUARTILE.INC(IF(Quartile_L[[#This Row],[Industry]]=Main_L[Industry],Main_L[A/E]),1)</f>
        <v>1.87</v>
      </c>
      <c r="W4" s="1" cm="1">
        <f t="array" ref="W4">_xlfn.QUARTILE.INC(IF(Quartile_L[[#This Row],[Industry]]=Main_L[Industry],Main_L[A/E]),3)</f>
        <v>3.29</v>
      </c>
      <c r="X4" s="1">
        <f>Quartile_L[[#This Row],[A/E Q1]]-1.5*(Quartile_L[[#This Row],[A/E Q3]]-Quartile_L[[#This Row],[A/E Q1]])</f>
        <v>-0.25999999999999979</v>
      </c>
      <c r="Y4" s="1">
        <f>Quartile_L[[#This Row],[A/E Q3]]+1.5*(Quartile_L[[#This Row],[A/E Q3]]-Quartile_L[[#This Row],[A/E Q1]])</f>
        <v>5.42</v>
      </c>
    </row>
    <row r="5" spans="1:25" x14ac:dyDescent="0.25">
      <c r="A5" t="s">
        <v>172</v>
      </c>
      <c r="B5" s="1" cm="1">
        <f t="array" ref="B5">_xlfn.QUARTILE.INC(IF(Quartile_L[[#This Row],[Industry]]=Main_L[Industry],Main_L[P/FCF]),1)</f>
        <v>7.1278692237994568</v>
      </c>
      <c r="C5" s="1" cm="1">
        <f t="array" ref="C5">_xlfn.QUARTILE.INC(IF(Quartile_L[[#This Row],[Industry]]=Main_L[Industry],Main_L[P/FCF]),3)</f>
        <v>31.397135416666664</v>
      </c>
      <c r="D5" s="1">
        <f>Quartile_L[[#This Row],[P/FCF Q1]]-1.5*(Quartile_L[[#This Row],[P/FCF Q3]]-Quartile_L[[#This Row],[P/FCF Q1]])</f>
        <v>-29.276030065501352</v>
      </c>
      <c r="E5" s="1">
        <f>Quartile_L[[#This Row],[P/FCF Q3]]+1.5*(Quartile_L[[#This Row],[P/FCF Q3]]-Quartile_L[[#This Row],[P/FCF Q1]])</f>
        <v>67.801034705967481</v>
      </c>
      <c r="F5" s="1" cm="1">
        <f t="array" ref="F5">_xlfn.QUARTILE.INC(IF(Quartile_L[[#This Row],[Industry]]=Main_L[Industry],Main_L[P/B]),1)</f>
        <v>1.5078184122641618</v>
      </c>
      <c r="G5" s="1" cm="1">
        <f t="array" ref="G5">_xlfn.QUARTILE.INC(IF(Quartile_L[[#This Row],[Industry]]=Main_L[Industry],Main_L[P/B]),3)</f>
        <v>6.8008183003793956</v>
      </c>
      <c r="H5" s="1">
        <f>Quartile_L[[#This Row],[P/B Q1]]-1.5*(Quartile_L[[#This Row],[P/B Q3]]-Quartile_L[[#This Row],[P/B Q1]])</f>
        <v>-6.4316814199086894</v>
      </c>
      <c r="I5" s="1">
        <f>Quartile_L[[#This Row],[P/B Q3]]+1.5*(Quartile_L[[#This Row],[P/B Q3]]-Quartile_L[[#This Row],[P/B Q1]])</f>
        <v>14.740318132552247</v>
      </c>
      <c r="J5" s="1" cm="1">
        <f t="array" ref="J5">_xlfn.QUARTILE.INC(IF(Quartile_L[[#This Row],[Industry]]=Main_L[Industry],Main_L[ROE]),1)</f>
        <v>6.3525</v>
      </c>
      <c r="K5" s="1" cm="1">
        <f t="array" ref="K5">_xlfn.QUARTILE.INC(IF(Quartile_L[[#This Row],[Industry]]=Main_L[Industry],Main_L[ROE]),3)</f>
        <v>32.214999999999996</v>
      </c>
      <c r="L5" s="1">
        <f>Quartile_L[[#This Row],[ROE Q1]]-1.5*(Quartile_L[[#This Row],[ROE Q3]]-Quartile_L[[#This Row],[ROE Q1]])</f>
        <v>-32.441249999999997</v>
      </c>
      <c r="M5" s="1">
        <f>Quartile_L[[#This Row],[ROE Q3]]+1.5*(Quartile_L[[#This Row],[ROE Q3]]-Quartile_L[[#This Row],[ROE Q1]])</f>
        <v>71.008749999999992</v>
      </c>
      <c r="N5" s="1" cm="1">
        <f t="array" ref="N5">_xlfn.QUARTILE.INC(IF(Quartile_L[[#This Row],[Industry]]=Main_L[Industry],Main_L[ROA]),1)</f>
        <v>4.4824999999999999</v>
      </c>
      <c r="O5" s="1" cm="1">
        <f t="array" ref="O5">_xlfn.QUARTILE.INC(IF(Quartile_L[[#This Row],[Industry]]=Main_L[Industry],Main_L[ROA]),3)</f>
        <v>10.79</v>
      </c>
      <c r="P5" s="1">
        <f>Quartile_L[[#This Row],[ROA Q1]]-1.5*(Quartile_L[[#This Row],[ROA Q3]]-Quartile_L[[#This Row],[ROA Q1]])</f>
        <v>-4.9787499999999998</v>
      </c>
      <c r="Q5" s="1">
        <f>Quartile_L[[#This Row],[ROA Q3]]+1.5*(Quartile_L[[#This Row],[ROA Q3]]-Quartile_L[[#This Row],[ROA Q1]])</f>
        <v>20.251249999999999</v>
      </c>
      <c r="R5" s="1" cm="1">
        <f t="array" ref="R5">_xlfn.QUARTILE.INC(IF(Quartile_L[[#This Row],[Industry]]=Main_L[Industry],Main_L[P/E]),1)</f>
        <v>10.955406356517237</v>
      </c>
      <c r="S5" s="1" cm="1">
        <f t="array" ref="S5">_xlfn.QUARTILE.INC(IF(Quartile_L[[#This Row],[Industry]]=Main_L[Industry],Main_L[P/E]),3)</f>
        <v>29.115044698217627</v>
      </c>
      <c r="T5" s="1">
        <f>Quartile_L[[#This Row],[P/E Q1]]-1.5*(Quartile_L[[#This Row],[P/E Q3]]-Quartile_L[[#This Row],[P/E Q1]])</f>
        <v>-16.28405115603335</v>
      </c>
      <c r="U5" s="1">
        <f>Quartile_L[[#This Row],[P/E Q3]]+1.5*(Quartile_L[[#This Row],[P/E Q3]]-Quartile_L[[#This Row],[P/E Q1]])</f>
        <v>56.354502210768217</v>
      </c>
      <c r="V5" s="1" cm="1">
        <f t="array" ref="V5">_xlfn.QUARTILE.INC(IF(Quartile_L[[#This Row],[Industry]]=Main_L[Industry],Main_L[A/E]),1)</f>
        <v>2.1025</v>
      </c>
      <c r="W5" s="1" cm="1">
        <f t="array" ref="W5">_xlfn.QUARTILE.INC(IF(Quartile_L[[#This Row],[Industry]]=Main_L[Industry],Main_L[A/E]),3)</f>
        <v>3.1549999999999998</v>
      </c>
      <c r="X5" s="1">
        <f>Quartile_L[[#This Row],[A/E Q1]]-1.5*(Quartile_L[[#This Row],[A/E Q3]]-Quartile_L[[#This Row],[A/E Q1]])</f>
        <v>0.52375000000000038</v>
      </c>
      <c r="Y5" s="1">
        <f>Quartile_L[[#This Row],[A/E Q3]]+1.5*(Quartile_L[[#This Row],[A/E Q3]]-Quartile_L[[#This Row],[A/E Q1]])</f>
        <v>4.7337499999999997</v>
      </c>
    </row>
    <row r="6" spans="1:25" x14ac:dyDescent="0.25">
      <c r="A6" t="s">
        <v>190</v>
      </c>
      <c r="B6" s="1" cm="1">
        <f t="array" ref="B6">_xlfn.QUARTILE.INC(IF(Quartile_L[[#This Row],[Industry]]=Main_L[Industry],Main_L[P/FCF]),1)</f>
        <v>17.051736745886657</v>
      </c>
      <c r="C6" s="1" cm="1">
        <f t="array" ref="C6">_xlfn.QUARTILE.INC(IF(Quartile_L[[#This Row],[Industry]]=Main_L[Industry],Main_L[P/FCF]),3)</f>
        <v>29.348893923107063</v>
      </c>
      <c r="D6" s="1">
        <f>Quartile_L[[#This Row],[P/FCF Q1]]-1.5*(Quartile_L[[#This Row],[P/FCF Q3]]-Quartile_L[[#This Row],[P/FCF Q1]])</f>
        <v>-1.3939990199439514</v>
      </c>
      <c r="E6" s="1">
        <f>Quartile_L[[#This Row],[P/FCF Q3]]+1.5*(Quartile_L[[#This Row],[P/FCF Q3]]-Quartile_L[[#This Row],[P/FCF Q1]])</f>
        <v>47.794629688937675</v>
      </c>
      <c r="F6" s="1" cm="1">
        <f t="array" ref="F6">_xlfn.QUARTILE.INC(IF(Quartile_L[[#This Row],[Industry]]=Main_L[Industry],Main_L[P/B]),1)</f>
        <v>1.7899344105264212</v>
      </c>
      <c r="G6" s="1" cm="1">
        <f t="array" ref="G6">_xlfn.QUARTILE.INC(IF(Quartile_L[[#This Row],[Industry]]=Main_L[Industry],Main_L[P/B]),3)</f>
        <v>5.63092168420647</v>
      </c>
      <c r="H6" s="1">
        <f>Quartile_L[[#This Row],[P/B Q1]]-1.5*(Quartile_L[[#This Row],[P/B Q3]]-Quartile_L[[#This Row],[P/B Q1]])</f>
        <v>-3.9715464999936509</v>
      </c>
      <c r="I6" s="1">
        <f>Quartile_L[[#This Row],[P/B Q3]]+1.5*(Quartile_L[[#This Row],[P/B Q3]]-Quartile_L[[#This Row],[P/B Q1]])</f>
        <v>11.392402594726542</v>
      </c>
      <c r="J6" s="1" cm="1">
        <f t="array" ref="J6">_xlfn.QUARTILE.INC(IF(Quartile_L[[#This Row],[Industry]]=Main_L[Industry],Main_L[ROE]),1)</f>
        <v>4.67</v>
      </c>
      <c r="K6" s="1" cm="1">
        <f t="array" ref="K6">_xlfn.QUARTILE.INC(IF(Quartile_L[[#This Row],[Industry]]=Main_L[Industry],Main_L[ROE]),3)</f>
        <v>18.515000000000001</v>
      </c>
      <c r="L6" s="1">
        <f>Quartile_L[[#This Row],[ROE Q1]]-1.5*(Quartile_L[[#This Row],[ROE Q3]]-Quartile_L[[#This Row],[ROE Q1]])</f>
        <v>-16.097500000000004</v>
      </c>
      <c r="M6" s="1">
        <f>Quartile_L[[#This Row],[ROE Q3]]+1.5*(Quartile_L[[#This Row],[ROE Q3]]-Quartile_L[[#This Row],[ROE Q1]])</f>
        <v>39.282499999999999</v>
      </c>
      <c r="N6" s="1" cm="1">
        <f t="array" ref="N6">_xlfn.QUARTILE.INC(IF(Quartile_L[[#This Row],[Industry]]=Main_L[Industry],Main_L[ROA]),1)</f>
        <v>4.5449999999999999</v>
      </c>
      <c r="O6" s="1" cm="1">
        <f t="array" ref="O6">_xlfn.QUARTILE.INC(IF(Quartile_L[[#This Row],[Industry]]=Main_L[Industry],Main_L[ROA]),3)</f>
        <v>9.7475000000000005</v>
      </c>
      <c r="P6" s="1">
        <f>Quartile_L[[#This Row],[ROA Q1]]-1.5*(Quartile_L[[#This Row],[ROA Q3]]-Quartile_L[[#This Row],[ROA Q1]])</f>
        <v>-3.2587500000000009</v>
      </c>
      <c r="Q6" s="1">
        <f>Quartile_L[[#This Row],[ROA Q3]]+1.5*(Quartile_L[[#This Row],[ROA Q3]]-Quartile_L[[#This Row],[ROA Q1]])</f>
        <v>17.551250000000003</v>
      </c>
      <c r="R6" s="1" cm="1">
        <f t="array" ref="R6">_xlfn.QUARTILE.INC(IF(Quartile_L[[#This Row],[Industry]]=Main_L[Industry],Main_L[P/E]),1)</f>
        <v>21.716256549513126</v>
      </c>
      <c r="S6" s="1" cm="1">
        <f t="array" ref="S6">_xlfn.QUARTILE.INC(IF(Quartile_L[[#This Row],[Industry]]=Main_L[Industry],Main_L[P/E]),3)</f>
        <v>34.248769541322041</v>
      </c>
      <c r="T6" s="1">
        <f>Quartile_L[[#This Row],[P/E Q1]]-1.5*(Quartile_L[[#This Row],[P/E Q3]]-Quartile_L[[#This Row],[P/E Q1]])</f>
        <v>2.9174870617997541</v>
      </c>
      <c r="U6" s="1">
        <f>Quartile_L[[#This Row],[P/E Q3]]+1.5*(Quartile_L[[#This Row],[P/E Q3]]-Quartile_L[[#This Row],[P/E Q1]])</f>
        <v>53.047539029035413</v>
      </c>
      <c r="V6" s="1" cm="1">
        <f t="array" ref="V6">_xlfn.QUARTILE.INC(IF(Quartile_L[[#This Row],[Industry]]=Main_L[Industry],Main_L[A/E]),1)</f>
        <v>1.5750000000000002</v>
      </c>
      <c r="W6" s="1" cm="1">
        <f t="array" ref="W6">_xlfn.QUARTILE.INC(IF(Quartile_L[[#This Row],[Industry]]=Main_L[Industry],Main_L[A/E]),3)</f>
        <v>2.2574999999999998</v>
      </c>
      <c r="X6" s="1">
        <f>Quartile_L[[#This Row],[A/E Q1]]-1.5*(Quartile_L[[#This Row],[A/E Q3]]-Quartile_L[[#This Row],[A/E Q1]])</f>
        <v>0.55125000000000068</v>
      </c>
      <c r="Y6" s="1">
        <f>Quartile_L[[#This Row],[A/E Q3]]+1.5*(Quartile_L[[#This Row],[A/E Q3]]-Quartile_L[[#This Row],[A/E Q1]])</f>
        <v>3.2812499999999991</v>
      </c>
    </row>
    <row r="7" spans="1:25" x14ac:dyDescent="0.25">
      <c r="A7" t="s">
        <v>105</v>
      </c>
      <c r="B7" s="1" cm="1">
        <f t="array" ref="B7">_xlfn.QUARTILE.INC(IF(Quartile_L[[#This Row],[Industry]]=Main_L[Industry],Main_L[P/FCF]),1)</f>
        <v>23.721699795408902</v>
      </c>
      <c r="C7" s="1" cm="1">
        <f t="array" ref="C7">_xlfn.QUARTILE.INC(IF(Quartile_L[[#This Row],[Industry]]=Main_L[Industry],Main_L[P/FCF]),3)</f>
        <v>62.225799086757995</v>
      </c>
      <c r="D7" s="1">
        <f>Quartile_L[[#This Row],[P/FCF Q1]]-1.5*(Quartile_L[[#This Row],[P/FCF Q3]]-Quartile_L[[#This Row],[P/FCF Q1]])</f>
        <v>-34.034449141614736</v>
      </c>
      <c r="E7" s="1">
        <f>Quartile_L[[#This Row],[P/FCF Q3]]+1.5*(Quartile_L[[#This Row],[P/FCF Q3]]-Quartile_L[[#This Row],[P/FCF Q1]])</f>
        <v>119.98194802378163</v>
      </c>
      <c r="F7" s="1" cm="1">
        <f t="array" ref="F7">_xlfn.QUARTILE.INC(IF(Quartile_L[[#This Row],[Industry]]=Main_L[Industry],Main_L[P/B]),1)</f>
        <v>2.2849986845872312</v>
      </c>
      <c r="G7" s="1" cm="1">
        <f t="array" ref="G7">_xlfn.QUARTILE.INC(IF(Quartile_L[[#This Row],[Industry]]=Main_L[Industry],Main_L[P/B]),3)</f>
        <v>6.8200930802019926</v>
      </c>
      <c r="H7" s="1">
        <f>Quartile_L[[#This Row],[P/B Q1]]-1.5*(Quartile_L[[#This Row],[P/B Q3]]-Quartile_L[[#This Row],[P/B Q1]])</f>
        <v>-4.5176429088349108</v>
      </c>
      <c r="I7" s="1">
        <f>Quartile_L[[#This Row],[P/B Q3]]+1.5*(Quartile_L[[#This Row],[P/B Q3]]-Quartile_L[[#This Row],[P/B Q1]])</f>
        <v>13.622734673624134</v>
      </c>
      <c r="J7" s="1" cm="1">
        <f t="array" ref="J7">_xlfn.QUARTILE.INC(IF(Quartile_L[[#This Row],[Industry]]=Main_L[Industry],Main_L[ROE]),1)</f>
        <v>6.6050000000000004</v>
      </c>
      <c r="K7" s="1" cm="1">
        <f t="array" ref="K7">_xlfn.QUARTILE.INC(IF(Quartile_L[[#This Row],[Industry]]=Main_L[Industry],Main_L[ROE]),3)</f>
        <v>20.115000000000002</v>
      </c>
      <c r="L7" s="1">
        <f>Quartile_L[[#This Row],[ROE Q1]]-1.5*(Quartile_L[[#This Row],[ROE Q3]]-Quartile_L[[#This Row],[ROE Q1]])</f>
        <v>-13.66</v>
      </c>
      <c r="M7" s="1">
        <f>Quartile_L[[#This Row],[ROE Q3]]+1.5*(Quartile_L[[#This Row],[ROE Q3]]-Quartile_L[[#This Row],[ROE Q1]])</f>
        <v>40.380000000000003</v>
      </c>
      <c r="N7" s="1" cm="1">
        <f t="array" ref="N7">_xlfn.QUARTILE.INC(IF(Quartile_L[[#This Row],[Industry]]=Main_L[Industry],Main_L[ROA]),1)</f>
        <v>4.1500000000000004</v>
      </c>
      <c r="O7" s="1" cm="1">
        <f t="array" ref="O7">_xlfn.QUARTILE.INC(IF(Quartile_L[[#This Row],[Industry]]=Main_L[Industry],Main_L[ROA]),3)</f>
        <v>6.93</v>
      </c>
      <c r="P7" s="1">
        <f>Quartile_L[[#This Row],[ROA Q1]]-1.5*(Quartile_L[[#This Row],[ROA Q3]]-Quartile_L[[#This Row],[ROA Q1]])</f>
        <v>-1.9999999999998685E-2</v>
      </c>
      <c r="Q7" s="1">
        <f>Quartile_L[[#This Row],[ROA Q3]]+1.5*(Quartile_L[[#This Row],[ROA Q3]]-Quartile_L[[#This Row],[ROA Q1]])</f>
        <v>11.099999999999998</v>
      </c>
      <c r="R7" s="1" cm="1">
        <f t="array" ref="R7">_xlfn.QUARTILE.INC(IF(Quartile_L[[#This Row],[Industry]]=Main_L[Industry],Main_L[P/E]),1)</f>
        <v>27.592543285011899</v>
      </c>
      <c r="S7" s="1" cm="1">
        <f t="array" ref="S7">_xlfn.QUARTILE.INC(IF(Quartile_L[[#This Row],[Industry]]=Main_L[Industry],Main_L[P/E]),3)</f>
        <v>59.324170979490134</v>
      </c>
      <c r="T7" s="1">
        <f>Quartile_L[[#This Row],[P/E Q1]]-1.5*(Quartile_L[[#This Row],[P/E Q3]]-Quartile_L[[#This Row],[P/E Q1]])</f>
        <v>-20.004898256705452</v>
      </c>
      <c r="U7" s="1">
        <f>Quartile_L[[#This Row],[P/E Q3]]+1.5*(Quartile_L[[#This Row],[P/E Q3]]-Quartile_L[[#This Row],[P/E Q1]])</f>
        <v>106.92161252120749</v>
      </c>
      <c r="V7" s="1" cm="1">
        <f t="array" ref="V7">_xlfn.QUARTILE.INC(IF(Quartile_L[[#This Row],[Industry]]=Main_L[Industry],Main_L[A/E]),1)</f>
        <v>1.5150000000000001</v>
      </c>
      <c r="W7" s="1" cm="1">
        <f t="array" ref="W7">_xlfn.QUARTILE.INC(IF(Quartile_L[[#This Row],[Industry]]=Main_L[Industry],Main_L[A/E]),3)</f>
        <v>2.27</v>
      </c>
      <c r="X7" s="1">
        <f>Quartile_L[[#This Row],[A/E Q1]]-1.5*(Quartile_L[[#This Row],[A/E Q3]]-Quartile_L[[#This Row],[A/E Q1]])</f>
        <v>0.38250000000000028</v>
      </c>
      <c r="Y7" s="1">
        <f>Quartile_L[[#This Row],[A/E Q3]]+1.5*(Quartile_L[[#This Row],[A/E Q3]]-Quartile_L[[#This Row],[A/E Q1]])</f>
        <v>3.4024999999999999</v>
      </c>
    </row>
    <row r="8" spans="1:25" x14ac:dyDescent="0.25">
      <c r="A8" t="s">
        <v>149</v>
      </c>
      <c r="B8" s="1" cm="1">
        <f t="array" ref="B8">_xlfn.QUARTILE.INC(IF(Quartile_L[[#This Row],[Industry]]=Main_L[Industry],Main_L[P/FCF]),1)</f>
        <v>38.759233926128594</v>
      </c>
      <c r="C8" s="1" cm="1">
        <f t="array" ref="C8">_xlfn.QUARTILE.INC(IF(Quartile_L[[#This Row],[Industry]]=Main_L[Industry],Main_L[P/FCF]),3)</f>
        <v>38.759233926128594</v>
      </c>
      <c r="D8" s="1">
        <f>Quartile_L[[#This Row],[P/FCF Q1]]-1.5*(Quartile_L[[#This Row],[P/FCF Q3]]-Quartile_L[[#This Row],[P/FCF Q1]])</f>
        <v>38.759233926128594</v>
      </c>
      <c r="E8" s="1">
        <f>Quartile_L[[#This Row],[P/FCF Q3]]+1.5*(Quartile_L[[#This Row],[P/FCF Q3]]-Quartile_L[[#This Row],[P/FCF Q1]])</f>
        <v>38.759233926128594</v>
      </c>
      <c r="F8" s="1" cm="1">
        <f t="array" ref="F8">_xlfn.QUARTILE.INC(IF(Quartile_L[[#This Row],[Industry]]=Main_L[Industry],Main_L[P/B]),1)</f>
        <v>7.42479035639413</v>
      </c>
      <c r="G8" s="1" cm="1">
        <f t="array" ref="G8">_xlfn.QUARTILE.INC(IF(Quartile_L[[#This Row],[Industry]]=Main_L[Industry],Main_L[P/B]),3)</f>
        <v>7.42479035639413</v>
      </c>
      <c r="H8" s="1">
        <f>Quartile_L[[#This Row],[P/B Q1]]-1.5*(Quartile_L[[#This Row],[P/B Q3]]-Quartile_L[[#This Row],[P/B Q1]])</f>
        <v>7.42479035639413</v>
      </c>
      <c r="I8" s="1">
        <f>Quartile_L[[#This Row],[P/B Q3]]+1.5*(Quartile_L[[#This Row],[P/B Q3]]-Quartile_L[[#This Row],[P/B Q1]])</f>
        <v>7.42479035639413</v>
      </c>
      <c r="J8" s="1" cm="1">
        <f t="array" ref="J8">_xlfn.QUARTILE.INC(IF(Quartile_L[[#This Row],[Industry]]=Main_L[Industry],Main_L[ROE]),1)</f>
        <v>14.06</v>
      </c>
      <c r="K8" s="1" cm="1">
        <f t="array" ref="K8">_xlfn.QUARTILE.INC(IF(Quartile_L[[#This Row],[Industry]]=Main_L[Industry],Main_L[ROE]),3)</f>
        <v>14.06</v>
      </c>
      <c r="L8" s="1">
        <f>Quartile_L[[#This Row],[ROE Q1]]-1.5*(Quartile_L[[#This Row],[ROE Q3]]-Quartile_L[[#This Row],[ROE Q1]])</f>
        <v>14.06</v>
      </c>
      <c r="M8" s="1">
        <f>Quartile_L[[#This Row],[ROE Q3]]+1.5*(Quartile_L[[#This Row],[ROE Q3]]-Quartile_L[[#This Row],[ROE Q1]])</f>
        <v>14.06</v>
      </c>
      <c r="N8" s="1" cm="1">
        <f t="array" ref="N8">_xlfn.QUARTILE.INC(IF(Quartile_L[[#This Row],[Industry]]=Main_L[Industry],Main_L[ROA]),1)</f>
        <v>6.9</v>
      </c>
      <c r="O8" s="1" cm="1">
        <f t="array" ref="O8">_xlfn.QUARTILE.INC(IF(Quartile_L[[#This Row],[Industry]]=Main_L[Industry],Main_L[ROA]),3)</f>
        <v>6.9</v>
      </c>
      <c r="P8" s="1">
        <f>Quartile_L[[#This Row],[ROA Q1]]-1.5*(Quartile_L[[#This Row],[ROA Q3]]-Quartile_L[[#This Row],[ROA Q1]])</f>
        <v>6.9</v>
      </c>
      <c r="Q8" s="1">
        <f>Quartile_L[[#This Row],[ROA Q3]]+1.5*(Quartile_L[[#This Row],[ROA Q3]]-Quartile_L[[#This Row],[ROA Q1]])</f>
        <v>6.9</v>
      </c>
      <c r="R8" s="1" cm="1">
        <f t="array" ref="R8">_xlfn.QUARTILE.INC(IF(Quartile_L[[#This Row],[Industry]]=Main_L[Industry],Main_L[P/E]),1)</f>
        <v>60.154989384288747</v>
      </c>
      <c r="S8" s="1" cm="1">
        <f t="array" ref="S8">_xlfn.QUARTILE.INC(IF(Quartile_L[[#This Row],[Industry]]=Main_L[Industry],Main_L[P/E]),3)</f>
        <v>60.154989384288747</v>
      </c>
      <c r="T8" s="1">
        <f>Quartile_L[[#This Row],[P/E Q1]]-1.5*(Quartile_L[[#This Row],[P/E Q3]]-Quartile_L[[#This Row],[P/E Q1]])</f>
        <v>60.154989384288747</v>
      </c>
      <c r="U8" s="1">
        <f>Quartile_L[[#This Row],[P/E Q3]]+1.5*(Quartile_L[[#This Row],[P/E Q3]]-Quartile_L[[#This Row],[P/E Q1]])</f>
        <v>60.154989384288747</v>
      </c>
      <c r="V8" s="1" cm="1">
        <f t="array" ref="V8">_xlfn.QUARTILE.INC(IF(Quartile_L[[#This Row],[Industry]]=Main_L[Industry],Main_L[A/E]),1)</f>
        <v>1.25</v>
      </c>
      <c r="W8" s="1" cm="1">
        <f t="array" ref="W8">_xlfn.QUARTILE.INC(IF(Quartile_L[[#This Row],[Industry]]=Main_L[Industry],Main_L[A/E]),3)</f>
        <v>1.25</v>
      </c>
      <c r="X8" s="1">
        <f>Quartile_L[[#This Row],[A/E Q1]]-1.5*(Quartile_L[[#This Row],[A/E Q3]]-Quartile_L[[#This Row],[A/E Q1]])</f>
        <v>1.25</v>
      </c>
      <c r="Y8" s="1">
        <f>Quartile_L[[#This Row],[A/E Q3]]+1.5*(Quartile_L[[#This Row],[A/E Q3]]-Quartile_L[[#This Row],[A/E Q1]])</f>
        <v>1.25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152</v>
      </c>
      <c r="B13" s="1" cm="1">
        <f t="array" ref="B13">_xlfn.QUARTILE.INC(IF(Quartile_M[[#This Row],[Industry]]=Main_M[Industry],Main_M[P/FCF]),1)</f>
        <v>-24.393548966353169</v>
      </c>
      <c r="C13" s="1" cm="1">
        <f t="array" ref="C13">_xlfn.QUARTILE.INC(IF(Quartile_M[[#This Row],[Industry]]=Main_M[Industry],Main_M[P/FCF]),3)</f>
        <v>-5.9709587257268382</v>
      </c>
      <c r="D13" s="1">
        <f>Quartile_M[[#This Row],[P/FCF Q1]]-1.5*(Quartile_M[[#This Row],[P/FCF Q3]]-Quartile_M[[#This Row],[P/FCF Q1]])</f>
        <v>-52.027434327292667</v>
      </c>
      <c r="E13" s="1">
        <f>Quartile_M[[#This Row],[P/FCF Q3]]+1.5*(Quartile_M[[#This Row],[P/FCF Q3]]-Quartile_M[[#This Row],[P/FCF Q1]])</f>
        <v>21.662926635212656</v>
      </c>
      <c r="F13" s="1" cm="1">
        <f t="array" ref="F13">_xlfn.QUARTILE.INC(IF(Quartile_M[[#This Row],[Industry]]=Main_M[Industry],Main_M[P/B]),1)</f>
        <v>2.1972054806674652</v>
      </c>
      <c r="G13" s="1" cm="1">
        <f t="array" ref="G13">_xlfn.QUARTILE.INC(IF(Quartile_M[[#This Row],[Industry]]=Main_M[Industry],Main_M[P/B]),3)</f>
        <v>9.400226417840269</v>
      </c>
      <c r="H13" s="1">
        <f>Quartile_M[[#This Row],[P/B Q1]]-1.5*(Quartile_M[[#This Row],[P/B Q3]]-Quartile_M[[#This Row],[P/B Q1]])</f>
        <v>-8.6073259250917413</v>
      </c>
      <c r="I13" s="1">
        <f>Quartile_M[[#This Row],[P/B Q3]]+1.5*(Quartile_M[[#This Row],[P/B Q3]]-Quartile_M[[#This Row],[P/B Q1]])</f>
        <v>20.204757823599476</v>
      </c>
      <c r="J13" s="1" cm="1">
        <f t="array" ref="J13">_xlfn.QUARTILE.INC(IF(Quartile_M[[#This Row],[Industry]]=Main_M[Industry],Main_M[ROE]),1)</f>
        <v>-39.4375</v>
      </c>
      <c r="K13" s="1" cm="1">
        <f t="array" ref="K13">_xlfn.QUARTILE.INC(IF(Quartile_M[[#This Row],[Industry]]=Main_M[Industry],Main_M[ROE]),3)</f>
        <v>12.115</v>
      </c>
      <c r="L13" s="1">
        <f>Quartile_M[[#This Row],[ROE Q1]]-1.5*(Quartile_M[[#This Row],[ROE Q3]]-Quartile_M[[#This Row],[ROE Q1]])</f>
        <v>-116.76625</v>
      </c>
      <c r="M13" s="1">
        <f>Quartile_M[[#This Row],[ROE Q3]]+1.5*(Quartile_M[[#This Row],[ROE Q3]]-Quartile_M[[#This Row],[ROE Q1]])</f>
        <v>89.443749999999994</v>
      </c>
      <c r="N13" s="1" cm="1">
        <f t="array" ref="N13">_xlfn.QUARTILE.INC(IF(Quartile_M[[#This Row],[Industry]]=Main_M[Industry],Main_M[ROA]),1)</f>
        <v>-22.41</v>
      </c>
      <c r="O13" s="1" cm="1">
        <f t="array" ref="O13">_xlfn.QUARTILE.INC(IF(Quartile_M[[#This Row],[Industry]]=Main_M[Industry],Main_M[ROA]),3)</f>
        <v>2.8574999999999999</v>
      </c>
      <c r="P13" s="1">
        <f>Quartile_M[[#This Row],[ROA Q1]]-1.5*(Quartile_M[[#This Row],[ROA Q3]]-Quartile_M[[#This Row],[ROA Q1]])</f>
        <v>-60.311250000000001</v>
      </c>
      <c r="Q13" s="1">
        <f>Quartile_M[[#This Row],[ROA Q3]]+1.5*(Quartile_M[[#This Row],[ROA Q3]]-Quartile_M[[#This Row],[ROA Q1]])</f>
        <v>40.758749999999999</v>
      </c>
      <c r="R13" s="1" cm="1">
        <f t="array" ref="R13">_xlfn.QUARTILE.INC(IF(Quartile_M[[#This Row],[Industry]]=Main_M[Industry],Main_M[P/E]),1)</f>
        <v>-15.463463344097736</v>
      </c>
      <c r="S13" s="1" cm="1">
        <f t="array" ref="S13">_xlfn.QUARTILE.INC(IF(Quartile_M[[#This Row],[Industry]]=Main_M[Industry],Main_M[P/E]),3)</f>
        <v>14.610529898154685</v>
      </c>
      <c r="T13" s="1">
        <f>Quartile_M[[#This Row],[P/E Q1]]-1.5*(Quartile_M[[#This Row],[P/E Q3]]-Quartile_M[[#This Row],[P/E Q1]])</f>
        <v>-60.574453207476367</v>
      </c>
      <c r="U13" s="1">
        <f>Quartile_M[[#This Row],[P/E Q3]]+1.5*(Quartile_M[[#This Row],[P/E Q3]]-Quartile_M[[#This Row],[P/E Q1]])</f>
        <v>59.721519761533315</v>
      </c>
      <c r="V13" s="1" cm="1">
        <f t="array" ref="V13">_xlfn.QUARTILE.INC(IF(Quartile_M[[#This Row],[Industry]]=Main_M[Industry],Main_M[A/E]),1)</f>
        <v>1.0750000000000002</v>
      </c>
      <c r="W13" s="1" cm="1">
        <f t="array" ref="W13">_xlfn.QUARTILE.INC(IF(Quartile_M[[#This Row],[Industry]]=Main_M[Industry],Main_M[A/E]),3)</f>
        <v>2.3925000000000001</v>
      </c>
      <c r="X13" s="1">
        <f>Quartile_M[[#This Row],[A/E Q1]]-1.5*(Quartile_M[[#This Row],[A/E Q3]]-Quartile_M[[#This Row],[A/E Q1]])</f>
        <v>-0.90124999999999966</v>
      </c>
      <c r="Y13" s="1">
        <f>Quartile_M[[#This Row],[A/E Q3]]+1.5*(Quartile_M[[#This Row],[A/E Q3]]-Quartile_M[[#This Row],[A/E Q1]])</f>
        <v>4.3687500000000004</v>
      </c>
    </row>
    <row r="14" spans="1:25" x14ac:dyDescent="0.25">
      <c r="A14" t="s">
        <v>129</v>
      </c>
      <c r="B14" s="1" cm="1">
        <f t="array" ref="B14">_xlfn.QUARTILE.INC(IF(Quartile_M[[#This Row],[Industry]]=Main_M[Industry],Main_M[P/FCF]),1)</f>
        <v>14.640291564521961</v>
      </c>
      <c r="C14" s="1" cm="1">
        <f t="array" ref="C14">_xlfn.QUARTILE.INC(IF(Quartile_M[[#This Row],[Industry]]=Main_M[Industry],Main_M[P/FCF]),3)</f>
        <v>28.83414882923368</v>
      </c>
      <c r="D14" s="1">
        <f>Quartile_M[[#This Row],[P/FCF Q1]]-1.5*(Quartile_M[[#This Row],[P/FCF Q3]]-Quartile_M[[#This Row],[P/FCF Q1]])</f>
        <v>-6.6504943325456178</v>
      </c>
      <c r="E14" s="1">
        <f>Quartile_M[[#This Row],[P/FCF Q3]]+1.5*(Quartile_M[[#This Row],[P/FCF Q3]]-Quartile_M[[#This Row],[P/FCF Q1]])</f>
        <v>50.124934726301262</v>
      </c>
      <c r="F14" s="1" cm="1">
        <f t="array" ref="F14">_xlfn.QUARTILE.INC(IF(Quartile_M[[#This Row],[Industry]]=Main_M[Industry],Main_M[P/B]),1)</f>
        <v>2.0215955121509444</v>
      </c>
      <c r="G14" s="1" cm="1">
        <f t="array" ref="G14">_xlfn.QUARTILE.INC(IF(Quartile_M[[#This Row],[Industry]]=Main_M[Industry],Main_M[P/B]),3)</f>
        <v>5.3937776993389939</v>
      </c>
      <c r="H14" s="1">
        <f>Quartile_M[[#This Row],[P/B Q1]]-1.5*(Quartile_M[[#This Row],[P/B Q3]]-Quartile_M[[#This Row],[P/B Q1]])</f>
        <v>-3.0366777686311304</v>
      </c>
      <c r="I14" s="1">
        <f>Quartile_M[[#This Row],[P/B Q3]]+1.5*(Quartile_M[[#This Row],[P/B Q3]]-Quartile_M[[#This Row],[P/B Q1]])</f>
        <v>10.452050980121069</v>
      </c>
      <c r="J14" s="1" cm="1">
        <f t="array" ref="J14">_xlfn.QUARTILE.INC(IF(Quartile_M[[#This Row],[Industry]]=Main_M[Industry],Main_M[ROE]),1)</f>
        <v>0.33</v>
      </c>
      <c r="K14" s="1" cm="1">
        <f t="array" ref="K14">_xlfn.QUARTILE.INC(IF(Quartile_M[[#This Row],[Industry]]=Main_M[Industry],Main_M[ROE]),3)</f>
        <v>17.64</v>
      </c>
      <c r="L14" s="1">
        <f>Quartile_M[[#This Row],[ROE Q1]]-1.5*(Quartile_M[[#This Row],[ROE Q3]]-Quartile_M[[#This Row],[ROE Q1]])</f>
        <v>-25.635000000000005</v>
      </c>
      <c r="M14" s="1">
        <f>Quartile_M[[#This Row],[ROE Q3]]+1.5*(Quartile_M[[#This Row],[ROE Q3]]-Quartile_M[[#This Row],[ROE Q1]])</f>
        <v>43.605000000000004</v>
      </c>
      <c r="N14" s="1" cm="1">
        <f t="array" ref="N14">_xlfn.QUARTILE.INC(IF(Quartile_M[[#This Row],[Industry]]=Main_M[Industry],Main_M[ROA]),1)</f>
        <v>1.21</v>
      </c>
      <c r="O14" s="1" cm="1">
        <f t="array" ref="O14">_xlfn.QUARTILE.INC(IF(Quartile_M[[#This Row],[Industry]]=Main_M[Industry],Main_M[ROA]),3)</f>
        <v>6.33</v>
      </c>
      <c r="P14" s="1">
        <f>Quartile_M[[#This Row],[ROA Q1]]-1.5*(Quartile_M[[#This Row],[ROA Q3]]-Quartile_M[[#This Row],[ROA Q1]])</f>
        <v>-6.47</v>
      </c>
      <c r="Q14" s="1">
        <f>Quartile_M[[#This Row],[ROA Q3]]+1.5*(Quartile_M[[#This Row],[ROA Q3]]-Quartile_M[[#This Row],[ROA Q1]])</f>
        <v>14.01</v>
      </c>
      <c r="R14" s="1" cm="1">
        <f t="array" ref="R14">_xlfn.QUARTILE.INC(IF(Quartile_M[[#This Row],[Industry]]=Main_M[Industry],Main_M[P/E]),1)</f>
        <v>-14.807378079436903</v>
      </c>
      <c r="S14" s="1" cm="1">
        <f t="array" ref="S14">_xlfn.QUARTILE.INC(IF(Quartile_M[[#This Row],[Industry]]=Main_M[Industry],Main_M[P/E]),3)</f>
        <v>40.761200176792023</v>
      </c>
      <c r="T14" s="1">
        <f>Quartile_M[[#This Row],[P/E Q1]]-1.5*(Quartile_M[[#This Row],[P/E Q3]]-Quartile_M[[#This Row],[P/E Q1]])</f>
        <v>-98.160245463780285</v>
      </c>
      <c r="U14" s="1">
        <f>Quartile_M[[#This Row],[P/E Q3]]+1.5*(Quartile_M[[#This Row],[P/E Q3]]-Quartile_M[[#This Row],[P/E Q1]])</f>
        <v>124.11406756113541</v>
      </c>
      <c r="V14" s="1" cm="1">
        <f t="array" ref="V14">_xlfn.QUARTILE.INC(IF(Quartile_M[[#This Row],[Industry]]=Main_M[Industry],Main_M[A/E]),1)</f>
        <v>1.63</v>
      </c>
      <c r="W14" s="1" cm="1">
        <f t="array" ref="W14">_xlfn.QUARTILE.INC(IF(Quartile_M[[#This Row],[Industry]]=Main_M[Industry],Main_M[A/E]),3)</f>
        <v>3.66</v>
      </c>
      <c r="X14" s="1">
        <f>Quartile_M[[#This Row],[A/E Q1]]-1.5*(Quartile_M[[#This Row],[A/E Q3]]-Quartile_M[[#This Row],[A/E Q1]])</f>
        <v>-1.4150000000000005</v>
      </c>
      <c r="Y14" s="1">
        <f>Quartile_M[[#This Row],[A/E Q3]]+1.5*(Quartile_M[[#This Row],[A/E Q3]]-Quartile_M[[#This Row],[A/E Q1]])</f>
        <v>6.7050000000000001</v>
      </c>
    </row>
    <row r="15" spans="1:25" x14ac:dyDescent="0.25">
      <c r="A15" t="s">
        <v>172</v>
      </c>
      <c r="B15" s="1" cm="1">
        <f t="array" ref="B15">_xlfn.QUARTILE.INC(IF(Quartile_M[[#This Row],[Industry]]=Main_M[Industry],Main_M[P/FCF]),1)</f>
        <v>-54.349323875891827</v>
      </c>
      <c r="C15" s="1" cm="1">
        <f t="array" ref="C15">_xlfn.QUARTILE.INC(IF(Quartile_M[[#This Row],[Industry]]=Main_M[Industry],Main_M[P/FCF]),3)</f>
        <v>19.953518123667379</v>
      </c>
      <c r="D15" s="1">
        <f>Quartile_M[[#This Row],[P/FCF Q1]]-1.5*(Quartile_M[[#This Row],[P/FCF Q3]]-Quartile_M[[#This Row],[P/FCF Q1]])</f>
        <v>-165.80358687523062</v>
      </c>
      <c r="E15" s="1">
        <f>Quartile_M[[#This Row],[P/FCF Q3]]+1.5*(Quartile_M[[#This Row],[P/FCF Q3]]-Quartile_M[[#This Row],[P/FCF Q1]])</f>
        <v>131.4077811230062</v>
      </c>
      <c r="F15" s="1" cm="1">
        <f t="array" ref="F15">_xlfn.QUARTILE.INC(IF(Quartile_M[[#This Row],[Industry]]=Main_M[Industry],Main_M[P/B]),1)</f>
        <v>1.3936066513761467</v>
      </c>
      <c r="G15" s="1" cm="1">
        <f t="array" ref="G15">_xlfn.QUARTILE.INC(IF(Quartile_M[[#This Row],[Industry]]=Main_M[Industry],Main_M[P/B]),3)</f>
        <v>16.60787441623896</v>
      </c>
      <c r="H15" s="1">
        <f>Quartile_M[[#This Row],[P/B Q1]]-1.5*(Quartile_M[[#This Row],[P/B Q3]]-Quartile_M[[#This Row],[P/B Q1]])</f>
        <v>-21.427794995918077</v>
      </c>
      <c r="I15" s="1">
        <f>Quartile_M[[#This Row],[P/B Q3]]+1.5*(Quartile_M[[#This Row],[P/B Q3]]-Quartile_M[[#This Row],[P/B Q1]])</f>
        <v>39.42927606353318</v>
      </c>
      <c r="J15" s="1" cm="1">
        <f t="array" ref="J15">_xlfn.QUARTILE.INC(IF(Quartile_M[[#This Row],[Industry]]=Main_M[Industry],Main_M[ROE]),1)</f>
        <v>-62.814999999999998</v>
      </c>
      <c r="K15" s="1" cm="1">
        <f t="array" ref="K15">_xlfn.QUARTILE.INC(IF(Quartile_M[[#This Row],[Industry]]=Main_M[Industry],Main_M[ROE]),3)</f>
        <v>10.727500000000001</v>
      </c>
      <c r="L15" s="1">
        <f>Quartile_M[[#This Row],[ROE Q1]]-1.5*(Quartile_M[[#This Row],[ROE Q3]]-Quartile_M[[#This Row],[ROE Q1]])</f>
        <v>-173.12875</v>
      </c>
      <c r="M15" s="1">
        <f>Quartile_M[[#This Row],[ROE Q3]]+1.5*(Quartile_M[[#This Row],[ROE Q3]]-Quartile_M[[#This Row],[ROE Q1]])</f>
        <v>121.04125000000001</v>
      </c>
      <c r="N15" s="1" cm="1">
        <f t="array" ref="N15">_xlfn.QUARTILE.INC(IF(Quartile_M[[#This Row],[Industry]]=Main_M[Industry],Main_M[ROA]),1)</f>
        <v>-16.015000000000001</v>
      </c>
      <c r="O15" s="1" cm="1">
        <f t="array" ref="O15">_xlfn.QUARTILE.INC(IF(Quartile_M[[#This Row],[Industry]]=Main_M[Industry],Main_M[ROA]),3)</f>
        <v>6.6274999999999995</v>
      </c>
      <c r="P15" s="1">
        <f>Quartile_M[[#This Row],[ROA Q1]]-1.5*(Quartile_M[[#This Row],[ROA Q3]]-Quartile_M[[#This Row],[ROA Q1]])</f>
        <v>-49.978749999999998</v>
      </c>
      <c r="Q15" s="1">
        <f>Quartile_M[[#This Row],[ROA Q3]]+1.5*(Quartile_M[[#This Row],[ROA Q3]]-Quartile_M[[#This Row],[ROA Q1]])</f>
        <v>40.591249999999995</v>
      </c>
      <c r="R15" s="1" cm="1">
        <f t="array" ref="R15">_xlfn.QUARTILE.INC(IF(Quartile_M[[#This Row],[Industry]]=Main_M[Industry],Main_M[P/E]),1)</f>
        <v>-36.877825907590761</v>
      </c>
      <c r="S15" s="1" cm="1">
        <f t="array" ref="S15">_xlfn.QUARTILE.INC(IF(Quartile_M[[#This Row],[Industry]]=Main_M[Industry],Main_M[P/E]),3)</f>
        <v>19.619020979020981</v>
      </c>
      <c r="T15" s="1">
        <f>Quartile_M[[#This Row],[P/E Q1]]-1.5*(Quartile_M[[#This Row],[P/E Q3]]-Quartile_M[[#This Row],[P/E Q1]])</f>
        <v>-121.62309623750838</v>
      </c>
      <c r="U15" s="1">
        <f>Quartile_M[[#This Row],[P/E Q3]]+1.5*(Quartile_M[[#This Row],[P/E Q3]]-Quartile_M[[#This Row],[P/E Q1]])</f>
        <v>104.36429130893859</v>
      </c>
      <c r="V15" s="1" cm="1">
        <f t="array" ref="V15">_xlfn.QUARTILE.INC(IF(Quartile_M[[#This Row],[Industry]]=Main_M[Industry],Main_M[A/E]),1)</f>
        <v>1.35</v>
      </c>
      <c r="W15" s="1" cm="1">
        <f t="array" ref="W15">_xlfn.QUARTILE.INC(IF(Quartile_M[[#This Row],[Industry]]=Main_M[Industry],Main_M[A/E]),3)</f>
        <v>2.2999999999999998</v>
      </c>
      <c r="X15" s="1">
        <f>Quartile_M[[#This Row],[A/E Q1]]-1.5*(Quartile_M[[#This Row],[A/E Q3]]-Quartile_M[[#This Row],[A/E Q1]])</f>
        <v>-7.4999999999999512E-2</v>
      </c>
      <c r="Y15" s="1">
        <f>Quartile_M[[#This Row],[A/E Q3]]+1.5*(Quartile_M[[#This Row],[A/E Q3]]-Quartile_M[[#This Row],[A/E Q1]])</f>
        <v>3.7249999999999996</v>
      </c>
    </row>
    <row r="16" spans="1:25" x14ac:dyDescent="0.25">
      <c r="A16" t="s">
        <v>190</v>
      </c>
      <c r="B16" s="1" cm="1">
        <f t="array" ref="B16">_xlfn.QUARTILE.INC(IF(Quartile_M[[#This Row],[Industry]]=Main_M[Industry],Main_M[P/FCF]),1)</f>
        <v>-3.0049261083743843</v>
      </c>
      <c r="C16" s="1" cm="1">
        <f t="array" ref="C16">_xlfn.QUARTILE.INC(IF(Quartile_M[[#This Row],[Industry]]=Main_M[Industry],Main_M[P/FCF]),3)</f>
        <v>33.405405405405403</v>
      </c>
      <c r="D16" s="1">
        <f>Quartile_M[[#This Row],[P/FCF Q1]]-1.5*(Quartile_M[[#This Row],[P/FCF Q3]]-Quartile_M[[#This Row],[P/FCF Q1]])</f>
        <v>-57.620423379044063</v>
      </c>
      <c r="E16" s="1">
        <f>Quartile_M[[#This Row],[P/FCF Q3]]+1.5*(Quartile_M[[#This Row],[P/FCF Q3]]-Quartile_M[[#This Row],[P/FCF Q1]])</f>
        <v>88.020902676075082</v>
      </c>
      <c r="F16" s="1" cm="1">
        <f t="array" ref="F16">_xlfn.QUARTILE.INC(IF(Quartile_M[[#This Row],[Industry]]=Main_M[Industry],Main_M[P/B]),1)</f>
        <v>1.5027932960893855</v>
      </c>
      <c r="G16" s="1" cm="1">
        <f t="array" ref="G16">_xlfn.QUARTILE.INC(IF(Quartile_M[[#This Row],[Industry]]=Main_M[Industry],Main_M[P/B]),3)</f>
        <v>4.1622103386809268</v>
      </c>
      <c r="H16" s="1">
        <f>Quartile_M[[#This Row],[P/B Q1]]-1.5*(Quartile_M[[#This Row],[P/B Q3]]-Quartile_M[[#This Row],[P/B Q1]])</f>
        <v>-2.4863322677979265</v>
      </c>
      <c r="I16" s="1">
        <f>Quartile_M[[#This Row],[P/B Q3]]+1.5*(Quartile_M[[#This Row],[P/B Q3]]-Quartile_M[[#This Row],[P/B Q1]])</f>
        <v>8.1513359025682384</v>
      </c>
      <c r="J16" s="1" cm="1">
        <f t="array" ref="J16">_xlfn.QUARTILE.INC(IF(Quartile_M[[#This Row],[Industry]]=Main_M[Industry],Main_M[ROE]),1)</f>
        <v>2.67</v>
      </c>
      <c r="K16" s="1" cm="1">
        <f t="array" ref="K16">_xlfn.QUARTILE.INC(IF(Quartile_M[[#This Row],[Industry]]=Main_M[Industry],Main_M[ROE]),3)</f>
        <v>9.14</v>
      </c>
      <c r="L16" s="1">
        <f>Quartile_M[[#This Row],[ROE Q1]]-1.5*(Quartile_M[[#This Row],[ROE Q3]]-Quartile_M[[#This Row],[ROE Q1]])</f>
        <v>-7.0350000000000019</v>
      </c>
      <c r="M16" s="1">
        <f>Quartile_M[[#This Row],[ROE Q3]]+1.5*(Quartile_M[[#This Row],[ROE Q3]]-Quartile_M[[#This Row],[ROE Q1]])</f>
        <v>18.845000000000002</v>
      </c>
      <c r="N16" s="1" cm="1">
        <f t="array" ref="N16">_xlfn.QUARTILE.INC(IF(Quartile_M[[#This Row],[Industry]]=Main_M[Industry],Main_M[ROA]),1)</f>
        <v>3.01</v>
      </c>
      <c r="O16" s="1" cm="1">
        <f t="array" ref="O16">_xlfn.QUARTILE.INC(IF(Quartile_M[[#This Row],[Industry]]=Main_M[Industry],Main_M[ROA]),3)</f>
        <v>5.24</v>
      </c>
      <c r="P16" s="1">
        <f>Quartile_M[[#This Row],[ROA Q1]]-1.5*(Quartile_M[[#This Row],[ROA Q3]]-Quartile_M[[#This Row],[ROA Q1]])</f>
        <v>-0.33500000000000085</v>
      </c>
      <c r="Q16" s="1">
        <f>Quartile_M[[#This Row],[ROA Q3]]+1.5*(Quartile_M[[#This Row],[ROA Q3]]-Quartile_M[[#This Row],[ROA Q1]])</f>
        <v>8.5850000000000009</v>
      </c>
      <c r="R16" s="1" cm="1">
        <f t="array" ref="R16">_xlfn.QUARTILE.INC(IF(Quartile_M[[#This Row],[Industry]]=Main_M[Industry],Main_M[P/E]),1)</f>
        <v>-2.9255512321660184</v>
      </c>
      <c r="S16" s="1" cm="1">
        <f t="array" ref="S16">_xlfn.QUARTILE.INC(IF(Quartile_M[[#This Row],[Industry]]=Main_M[Industry],Main_M[P/E]),3)</f>
        <v>60.096385542168683</v>
      </c>
      <c r="T16" s="1">
        <f>Quartile_M[[#This Row],[P/E Q1]]-1.5*(Quartile_M[[#This Row],[P/E Q3]]-Quartile_M[[#This Row],[P/E Q1]])</f>
        <v>-97.458456393668072</v>
      </c>
      <c r="U16" s="1">
        <f>Quartile_M[[#This Row],[P/E Q3]]+1.5*(Quartile_M[[#This Row],[P/E Q3]]-Quartile_M[[#This Row],[P/E Q1]])</f>
        <v>154.62929070367073</v>
      </c>
      <c r="V16" s="1" cm="1">
        <f t="array" ref="V16">_xlfn.QUARTILE.INC(IF(Quartile_M[[#This Row],[Industry]]=Main_M[Industry],Main_M[A/E]),1)</f>
        <v>1.44</v>
      </c>
      <c r="W16" s="1" cm="1">
        <f t="array" ref="W16">_xlfn.QUARTILE.INC(IF(Quartile_M[[#This Row],[Industry]]=Main_M[Industry],Main_M[A/E]),3)</f>
        <v>3.2</v>
      </c>
      <c r="X16" s="1">
        <f>Quartile_M[[#This Row],[A/E Q1]]-1.5*(Quartile_M[[#This Row],[A/E Q3]]-Quartile_M[[#This Row],[A/E Q1]])</f>
        <v>-1.2000000000000006</v>
      </c>
      <c r="Y16" s="1">
        <f>Quartile_M[[#This Row],[A/E Q3]]+1.5*(Quartile_M[[#This Row],[A/E Q3]]-Quartile_M[[#This Row],[A/E Q1]])</f>
        <v>5.8400000000000007</v>
      </c>
    </row>
    <row r="17" spans="1:25" x14ac:dyDescent="0.25">
      <c r="A17" t="s">
        <v>105</v>
      </c>
      <c r="B17" s="1" cm="1">
        <f t="array" ref="B17">_xlfn.QUARTILE.INC(IF(Quartile_M[[#This Row],[Industry]]=Main_M[Industry],Main_M[P/FCF]),1)</f>
        <v>-25.444128787878785</v>
      </c>
      <c r="C17" s="1" cm="1">
        <f t="array" ref="C17">_xlfn.QUARTILE.INC(IF(Quartile_M[[#This Row],[Industry]]=Main_M[Industry],Main_M[P/FCF]),3)</f>
        <v>26.931823848740454</v>
      </c>
      <c r="D17" s="1">
        <f>Quartile_M[[#This Row],[P/FCF Q1]]-1.5*(Quartile_M[[#This Row],[P/FCF Q3]]-Quartile_M[[#This Row],[P/FCF Q1]])</f>
        <v>-104.00805774280764</v>
      </c>
      <c r="E17" s="1">
        <f>Quartile_M[[#This Row],[P/FCF Q3]]+1.5*(Quartile_M[[#This Row],[P/FCF Q3]]-Quartile_M[[#This Row],[P/FCF Q1]])</f>
        <v>105.4957528036693</v>
      </c>
      <c r="F17" s="1" cm="1">
        <f t="array" ref="F17">_xlfn.QUARTILE.INC(IF(Quartile_M[[#This Row],[Industry]]=Main_M[Industry],Main_M[P/B]),1)</f>
        <v>1.6277952059498197</v>
      </c>
      <c r="G17" s="1" cm="1">
        <f t="array" ref="G17">_xlfn.QUARTILE.INC(IF(Quartile_M[[#This Row],[Industry]]=Main_M[Industry],Main_M[P/B]),3)</f>
        <v>6.0510431154381079</v>
      </c>
      <c r="H17" s="1">
        <f>Quartile_M[[#This Row],[P/B Q1]]-1.5*(Quartile_M[[#This Row],[P/B Q3]]-Quartile_M[[#This Row],[P/B Q1]])</f>
        <v>-5.0070766582826121</v>
      </c>
      <c r="I17" s="1">
        <f>Quartile_M[[#This Row],[P/B Q3]]+1.5*(Quartile_M[[#This Row],[P/B Q3]]-Quartile_M[[#This Row],[P/B Q1]])</f>
        <v>12.685914979670539</v>
      </c>
      <c r="J17" s="1" cm="1">
        <f t="array" ref="J17">_xlfn.QUARTILE.INC(IF(Quartile_M[[#This Row],[Industry]]=Main_M[Industry],Main_M[ROE]),1)</f>
        <v>-26.982500000000002</v>
      </c>
      <c r="K17" s="1" cm="1">
        <f t="array" ref="K17">_xlfn.QUARTILE.INC(IF(Quartile_M[[#This Row],[Industry]]=Main_M[Industry],Main_M[ROE]),3)</f>
        <v>4.8925000000000001</v>
      </c>
      <c r="L17" s="1">
        <f>Quartile_M[[#This Row],[ROE Q1]]-1.5*(Quartile_M[[#This Row],[ROE Q3]]-Quartile_M[[#This Row],[ROE Q1]])</f>
        <v>-74.795000000000002</v>
      </c>
      <c r="M17" s="1">
        <f>Quartile_M[[#This Row],[ROE Q3]]+1.5*(Quartile_M[[#This Row],[ROE Q3]]-Quartile_M[[#This Row],[ROE Q1]])</f>
        <v>52.704999999999998</v>
      </c>
      <c r="N17" s="1" cm="1">
        <f t="array" ref="N17">_xlfn.QUARTILE.INC(IF(Quartile_M[[#This Row],[Industry]]=Main_M[Industry],Main_M[ROA]),1)</f>
        <v>0.73750000000000004</v>
      </c>
      <c r="O17" s="1" cm="1">
        <f t="array" ref="O17">_xlfn.QUARTILE.INC(IF(Quartile_M[[#This Row],[Industry]]=Main_M[Industry],Main_M[ROA]),3)</f>
        <v>4.54</v>
      </c>
      <c r="P17" s="1">
        <f>Quartile_M[[#This Row],[ROA Q1]]-1.5*(Quartile_M[[#This Row],[ROA Q3]]-Quartile_M[[#This Row],[ROA Q1]])</f>
        <v>-4.9662500000000005</v>
      </c>
      <c r="Q17" s="1">
        <f>Quartile_M[[#This Row],[ROA Q3]]+1.5*(Quartile_M[[#This Row],[ROA Q3]]-Quartile_M[[#This Row],[ROA Q1]])</f>
        <v>10.24375</v>
      </c>
      <c r="R17" s="1" cm="1">
        <f t="array" ref="R17">_xlfn.QUARTILE.INC(IF(Quartile_M[[#This Row],[Industry]]=Main_M[Industry],Main_M[P/E]),1)</f>
        <v>-26.735863108590706</v>
      </c>
      <c r="S17" s="1" cm="1">
        <f t="array" ref="S17">_xlfn.QUARTILE.INC(IF(Quartile_M[[#This Row],[Industry]]=Main_M[Industry],Main_M[P/E]),3)</f>
        <v>34.785173955382433</v>
      </c>
      <c r="T17" s="1">
        <f>Quartile_M[[#This Row],[P/E Q1]]-1.5*(Quartile_M[[#This Row],[P/E Q3]]-Quartile_M[[#This Row],[P/E Q1]])</f>
        <v>-119.01741870455041</v>
      </c>
      <c r="U17" s="1">
        <f>Quartile_M[[#This Row],[P/E Q3]]+1.5*(Quartile_M[[#This Row],[P/E Q3]]-Quartile_M[[#This Row],[P/E Q1]])</f>
        <v>127.06672955134214</v>
      </c>
      <c r="V17" s="1" cm="1">
        <f t="array" ref="V17">_xlfn.QUARTILE.INC(IF(Quartile_M[[#This Row],[Industry]]=Main_M[Industry],Main_M[A/E]),1)</f>
        <v>1.7349999999999999</v>
      </c>
      <c r="W17" s="1" cm="1">
        <f t="array" ref="W17">_xlfn.QUARTILE.INC(IF(Quartile_M[[#This Row],[Industry]]=Main_M[Industry],Main_M[A/E]),3)</f>
        <v>2.4575</v>
      </c>
      <c r="X17" s="1">
        <f>Quartile_M[[#This Row],[A/E Q1]]-1.5*(Quartile_M[[#This Row],[A/E Q3]]-Quartile_M[[#This Row],[A/E Q1]])</f>
        <v>0.65124999999999966</v>
      </c>
      <c r="Y17" s="1">
        <f>Quartile_M[[#This Row],[A/E Q3]]+1.5*(Quartile_M[[#This Row],[A/E Q3]]-Quartile_M[[#This Row],[A/E Q1]])</f>
        <v>3.5412500000000002</v>
      </c>
    </row>
    <row r="18" spans="1:25" x14ac:dyDescent="0.25">
      <c r="A18" t="s">
        <v>149</v>
      </c>
      <c r="B18" s="1" cm="1">
        <f t="array" ref="B18">_xlfn.QUARTILE.INC(IF(Quartile_M[[#This Row],[Industry]]=Main_M[Industry],Main_M[P/FCF]),1)</f>
        <v>25.374065328610783</v>
      </c>
      <c r="C18" s="1" cm="1">
        <f t="array" ref="C18">_xlfn.QUARTILE.INC(IF(Quartile_M[[#This Row],[Industry]]=Main_M[Industry],Main_M[P/FCF]),3)</f>
        <v>37.127145581691039</v>
      </c>
      <c r="D18" s="1">
        <f>Quartile_M[[#This Row],[P/FCF Q1]]-1.5*(Quartile_M[[#This Row],[P/FCF Q3]]-Quartile_M[[#This Row],[P/FCF Q1]])</f>
        <v>7.7444449489903988</v>
      </c>
      <c r="E18" s="1">
        <f>Quartile_M[[#This Row],[P/FCF Q3]]+1.5*(Quartile_M[[#This Row],[P/FCF Q3]]-Quartile_M[[#This Row],[P/FCF Q1]])</f>
        <v>54.756765961311423</v>
      </c>
      <c r="F18" s="1" cm="1">
        <f t="array" ref="F18">_xlfn.QUARTILE.INC(IF(Quartile_M[[#This Row],[Industry]]=Main_M[Industry],Main_M[P/B]),1)</f>
        <v>2.0917831491630516</v>
      </c>
      <c r="G18" s="1" cm="1">
        <f t="array" ref="G18">_xlfn.QUARTILE.INC(IF(Quartile_M[[#This Row],[Industry]]=Main_M[Industry],Main_M[P/B]),3)</f>
        <v>6.1930470122492416</v>
      </c>
      <c r="H18" s="1">
        <f>Quartile_M[[#This Row],[P/B Q1]]-1.5*(Quartile_M[[#This Row],[P/B Q3]]-Quartile_M[[#This Row],[P/B Q1]])</f>
        <v>-4.0601126454662335</v>
      </c>
      <c r="I18" s="1">
        <f>Quartile_M[[#This Row],[P/B Q3]]+1.5*(Quartile_M[[#This Row],[P/B Q3]]-Quartile_M[[#This Row],[P/B Q1]])</f>
        <v>12.344942806878528</v>
      </c>
      <c r="J18" s="1" cm="1">
        <f t="array" ref="J18">_xlfn.QUARTILE.INC(IF(Quartile_M[[#This Row],[Industry]]=Main_M[Industry],Main_M[ROE]),1)</f>
        <v>6.1950000000000003</v>
      </c>
      <c r="K18" s="1" cm="1">
        <f t="array" ref="K18">_xlfn.QUARTILE.INC(IF(Quartile_M[[#This Row],[Industry]]=Main_M[Industry],Main_M[ROE]),3)</f>
        <v>16.940000000000001</v>
      </c>
      <c r="L18" s="1">
        <f>Quartile_M[[#This Row],[ROE Q1]]-1.5*(Quartile_M[[#This Row],[ROE Q3]]-Quartile_M[[#This Row],[ROE Q1]])</f>
        <v>-9.9224999999999994</v>
      </c>
      <c r="M18" s="1">
        <f>Quartile_M[[#This Row],[ROE Q3]]+1.5*(Quartile_M[[#This Row],[ROE Q3]]-Quartile_M[[#This Row],[ROE Q1]])</f>
        <v>33.057500000000005</v>
      </c>
      <c r="N18" s="1" cm="1">
        <f t="array" ref="N18">_xlfn.QUARTILE.INC(IF(Quartile_M[[#This Row],[Industry]]=Main_M[Industry],Main_M[ROA]),1)</f>
        <v>4.68</v>
      </c>
      <c r="O18" s="1" cm="1">
        <f t="array" ref="O18">_xlfn.QUARTILE.INC(IF(Quartile_M[[#This Row],[Industry]]=Main_M[Industry],Main_M[ROA]),3)</f>
        <v>9.67</v>
      </c>
      <c r="P18" s="1">
        <f>Quartile_M[[#This Row],[ROA Q1]]-1.5*(Quartile_M[[#This Row],[ROA Q3]]-Quartile_M[[#This Row],[ROA Q1]])</f>
        <v>-2.8050000000000006</v>
      </c>
      <c r="Q18" s="1">
        <f>Quartile_M[[#This Row],[ROA Q3]]+1.5*(Quartile_M[[#This Row],[ROA Q3]]-Quartile_M[[#This Row],[ROA Q1]])</f>
        <v>17.155000000000001</v>
      </c>
      <c r="R18" s="1" cm="1">
        <f t="array" ref="R18">_xlfn.QUARTILE.INC(IF(Quartile_M[[#This Row],[Industry]]=Main_M[Industry],Main_M[P/E]),1)</f>
        <v>35.12815315315315</v>
      </c>
      <c r="S18" s="1" cm="1">
        <f t="array" ref="S18">_xlfn.QUARTILE.INC(IF(Quartile_M[[#This Row],[Industry]]=Main_M[Industry],Main_M[P/E]),3)</f>
        <v>161.88648648648649</v>
      </c>
      <c r="T18" s="1">
        <f>Quartile_M[[#This Row],[P/E Q1]]-1.5*(Quartile_M[[#This Row],[P/E Q3]]-Quartile_M[[#This Row],[P/E Q1]])</f>
        <v>-155.00934684684688</v>
      </c>
      <c r="U18" s="1">
        <f>Quartile_M[[#This Row],[P/E Q3]]+1.5*(Quartile_M[[#This Row],[P/E Q3]]-Quartile_M[[#This Row],[P/E Q1]])</f>
        <v>352.02398648648648</v>
      </c>
      <c r="V18" s="1" cm="1">
        <f t="array" ref="V18">_xlfn.QUARTILE.INC(IF(Quartile_M[[#This Row],[Industry]]=Main_M[Industry],Main_M[A/E]),1)</f>
        <v>1.325</v>
      </c>
      <c r="W18" s="1" cm="1">
        <f t="array" ref="W18">_xlfn.QUARTILE.INC(IF(Quartile_M[[#This Row],[Industry]]=Main_M[Industry],Main_M[A/E]),3)</f>
        <v>1.51</v>
      </c>
      <c r="X18" s="1">
        <f>Quartile_M[[#This Row],[A/E Q1]]-1.5*(Quartile_M[[#This Row],[A/E Q3]]-Quartile_M[[#This Row],[A/E Q1]])</f>
        <v>1.0474999999999999</v>
      </c>
      <c r="Y18" s="1">
        <f>Quartile_M[[#This Row],[A/E Q3]]+1.5*(Quartile_M[[#This Row],[A/E Q3]]-Quartile_M[[#This Row],[A/E Q1]])</f>
        <v>1.7875000000000001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152</v>
      </c>
      <c r="B23" s="1" cm="1">
        <f t="array" ref="B23">_xlfn.QUARTILE.INC(IF(Quartile_S[[#This Row],[Industry]]=Main_S[Industry],Main_S[P/FCF]),1)</f>
        <v>-7.9470016891891895</v>
      </c>
      <c r="C23" s="1" cm="1">
        <f t="array" ref="C23">_xlfn.QUARTILE.INC(IF(Quartile_S[[#This Row],[Industry]]=Main_S[Industry],Main_S[P/FCF]),3)</f>
        <v>-2.7943657692166033</v>
      </c>
      <c r="D23" s="1">
        <f>Quartile_S[[#This Row],[P/FCF Q1]]-1.5*(Quartile_S[[#This Row],[P/FCF Q3]]-Quartile_S[[#This Row],[P/FCF Q1]])</f>
        <v>-15.675955569148069</v>
      </c>
      <c r="E23" s="1">
        <f>Quartile_S[[#This Row],[P/FCF Q3]]+1.5*(Quartile_S[[#This Row],[P/FCF Q3]]-Quartile_S[[#This Row],[P/FCF Q1]])</f>
        <v>4.9345881107422764</v>
      </c>
      <c r="F23" s="1" cm="1">
        <f t="array" ref="F23">_xlfn.QUARTILE.INC(IF(Quartile_S[[#This Row],[Industry]]=Main_S[Industry],Main_S[P/B]),1)</f>
        <v>1.4828686960145283</v>
      </c>
      <c r="G23" s="1" cm="1">
        <f t="array" ref="G23">_xlfn.QUARTILE.INC(IF(Quartile_S[[#This Row],[Industry]]=Main_S[Industry],Main_S[P/B]),3)</f>
        <v>5.3655753968253963</v>
      </c>
      <c r="H23" s="1">
        <f>Quartile_S[[#This Row],[P/B Q1]]-1.5*(Quartile_S[[#This Row],[P/B Q3]]-Quartile_S[[#This Row],[P/B Q1]])</f>
        <v>-4.3411913552017731</v>
      </c>
      <c r="I23" s="1">
        <f>Quartile_S[[#This Row],[P/B Q3]]+1.5*(Quartile_S[[#This Row],[P/B Q3]]-Quartile_S[[#This Row],[P/B Q1]])</f>
        <v>11.189635448041699</v>
      </c>
      <c r="J23" s="1" cm="1">
        <f t="array" ref="J23">_xlfn.QUARTILE.INC(IF(Quartile_S[[#This Row],[Industry]]=Main_S[Industry],Main_S[ROE]),1)</f>
        <v>-75.77</v>
      </c>
      <c r="K23" s="1" cm="1">
        <f t="array" ref="K23">_xlfn.QUARTILE.INC(IF(Quartile_S[[#This Row],[Industry]]=Main_S[Industry],Main_S[ROE]),3)</f>
        <v>-23.34</v>
      </c>
      <c r="L23" s="1">
        <f>Quartile_S[[#This Row],[ROE Q1]]-1.5*(Quartile_S[[#This Row],[ROE Q3]]-Quartile_S[[#This Row],[ROE Q1]])</f>
        <v>-154.41499999999996</v>
      </c>
      <c r="M23" s="1">
        <f>Quartile_S[[#This Row],[ROE Q3]]+1.5*(Quartile_S[[#This Row],[ROE Q3]]-Quartile_S[[#This Row],[ROE Q1]])</f>
        <v>55.304999999999978</v>
      </c>
      <c r="N23" s="1" cm="1">
        <f t="array" ref="N23">_xlfn.QUARTILE.INC(IF(Quartile_S[[#This Row],[Industry]]=Main_S[Industry],Main_S[ROA]),1)</f>
        <v>-34.229999999999997</v>
      </c>
      <c r="O23" s="1" cm="1">
        <f t="array" ref="O23">_xlfn.QUARTILE.INC(IF(Quartile_S[[#This Row],[Industry]]=Main_S[Industry],Main_S[ROA]),3)</f>
        <v>-12.85</v>
      </c>
      <c r="P23" s="1">
        <f>Quartile_S[[#This Row],[ROA Q1]]-1.5*(Quartile_S[[#This Row],[ROA Q3]]-Quartile_S[[#This Row],[ROA Q1]])</f>
        <v>-66.299999999999983</v>
      </c>
      <c r="Q23" s="1">
        <f>Quartile_S[[#This Row],[ROA Q3]]+1.5*(Quartile_S[[#This Row],[ROA Q3]]-Quartile_S[[#This Row],[ROA Q1]])</f>
        <v>19.219999999999992</v>
      </c>
      <c r="R23" s="1" cm="1">
        <f t="array" ref="R23">_xlfn.QUARTILE.INC(IF(Quartile_S[[#This Row],[Industry]]=Main_S[Industry],Main_S[P/E]),1)</f>
        <v>-7.6813492063492061</v>
      </c>
      <c r="S23" s="1" cm="1">
        <f t="array" ref="S23">_xlfn.QUARTILE.INC(IF(Quartile_S[[#This Row],[Industry]]=Main_S[Industry],Main_S[P/E]),3)</f>
        <v>-2.6398899241801406</v>
      </c>
      <c r="T23" s="1">
        <f>Quartile_S[[#This Row],[P/E Q1]]-1.5*(Quartile_S[[#This Row],[P/E Q3]]-Quartile_S[[#This Row],[P/E Q1]])</f>
        <v>-15.243538129602804</v>
      </c>
      <c r="U23" s="1">
        <f>Quartile_S[[#This Row],[P/E Q3]]+1.5*(Quartile_S[[#This Row],[P/E Q3]]-Quartile_S[[#This Row],[P/E Q1]])</f>
        <v>4.9222989990734582</v>
      </c>
      <c r="V23" s="1" cm="1">
        <f t="array" ref="V23">_xlfn.QUARTILE.INC(IF(Quartile_S[[#This Row],[Industry]]=Main_S[Industry],Main_S[A/E]),1)</f>
        <v>1.1100000000000001</v>
      </c>
      <c r="W23" s="1" cm="1">
        <f t="array" ref="W23">_xlfn.QUARTILE.INC(IF(Quartile_S[[#This Row],[Industry]]=Main_S[Industry],Main_S[A/E]),3)</f>
        <v>1.79</v>
      </c>
      <c r="X23" s="1">
        <f>Quartile_S[[#This Row],[A/E Q1]]-1.5*(Quartile_S[[#This Row],[A/E Q3]]-Quartile_S[[#This Row],[A/E Q1]])</f>
        <v>9.000000000000008E-2</v>
      </c>
      <c r="Y23" s="1">
        <f>Quartile_S[[#This Row],[A/E Q3]]+1.5*(Quartile_S[[#This Row],[A/E Q3]]-Quartile_S[[#This Row],[A/E Q1]])</f>
        <v>2.81</v>
      </c>
    </row>
    <row r="24" spans="1:25" x14ac:dyDescent="0.25">
      <c r="A24" t="s">
        <v>129</v>
      </c>
      <c r="B24" s="1" cm="1">
        <f t="array" ref="B24">_xlfn.QUARTILE.INC(IF(Quartile_S[[#This Row],[Industry]]=Main_S[Industry],Main_S[P/FCF]),1)</f>
        <v>-8.9819999999999993</v>
      </c>
      <c r="C24" s="1" cm="1">
        <f t="array" ref="C24">_xlfn.QUARTILE.INC(IF(Quartile_S[[#This Row],[Industry]]=Main_S[Industry],Main_S[P/FCF]),3)</f>
        <v>16.81774193548387</v>
      </c>
      <c r="D24" s="1">
        <f>Quartile_S[[#This Row],[P/FCF Q1]]-1.5*(Quartile_S[[#This Row],[P/FCF Q3]]-Quartile_S[[#This Row],[P/FCF Q1]])</f>
        <v>-47.681612903225805</v>
      </c>
      <c r="E24" s="1">
        <f>Quartile_S[[#This Row],[P/FCF Q3]]+1.5*(Quartile_S[[#This Row],[P/FCF Q3]]-Quartile_S[[#This Row],[P/FCF Q1]])</f>
        <v>55.517354838709679</v>
      </c>
      <c r="F24" s="1" cm="1">
        <f t="array" ref="F24">_xlfn.QUARTILE.INC(IF(Quartile_S[[#This Row],[Industry]]=Main_S[Industry],Main_S[P/B]),1)</f>
        <v>1.1047541191146681</v>
      </c>
      <c r="G24" s="1" cm="1">
        <f t="array" ref="G24">_xlfn.QUARTILE.INC(IF(Quartile_S[[#This Row],[Industry]]=Main_S[Industry],Main_S[P/B]),3)</f>
        <v>3.2934199948101814</v>
      </c>
      <c r="H24" s="1">
        <f>Quartile_S[[#This Row],[P/B Q1]]-1.5*(Quartile_S[[#This Row],[P/B Q3]]-Quartile_S[[#This Row],[P/B Q1]])</f>
        <v>-2.178244694428602</v>
      </c>
      <c r="I24" s="1">
        <f>Quartile_S[[#This Row],[P/B Q3]]+1.5*(Quartile_S[[#This Row],[P/B Q3]]-Quartile_S[[#This Row],[P/B Q1]])</f>
        <v>6.5764188083534521</v>
      </c>
      <c r="J24" s="1" cm="1">
        <f t="array" ref="J24">_xlfn.QUARTILE.INC(IF(Quartile_S[[#This Row],[Industry]]=Main_S[Industry],Main_S[ROE]),1)</f>
        <v>-18.689999999999998</v>
      </c>
      <c r="K24" s="1" cm="1">
        <f t="array" ref="K24">_xlfn.QUARTILE.INC(IF(Quartile_S[[#This Row],[Industry]]=Main_S[Industry],Main_S[ROE]),3)</f>
        <v>9.870000000000001</v>
      </c>
      <c r="L24" s="1">
        <f>Quartile_S[[#This Row],[ROE Q1]]-1.5*(Quartile_S[[#This Row],[ROE Q3]]-Quartile_S[[#This Row],[ROE Q1]])</f>
        <v>-61.529999999999994</v>
      </c>
      <c r="M24" s="1">
        <f>Quartile_S[[#This Row],[ROE Q3]]+1.5*(Quartile_S[[#This Row],[ROE Q3]]-Quartile_S[[#This Row],[ROE Q1]])</f>
        <v>52.709999999999994</v>
      </c>
      <c r="N24" s="1" cm="1">
        <f t="array" ref="N24">_xlfn.QUARTILE.INC(IF(Quartile_S[[#This Row],[Industry]]=Main_S[Industry],Main_S[ROA]),1)</f>
        <v>-2.5099999999999998</v>
      </c>
      <c r="O24" s="1" cm="1">
        <f t="array" ref="O24">_xlfn.QUARTILE.INC(IF(Quartile_S[[#This Row],[Industry]]=Main_S[Industry],Main_S[ROA]),3)</f>
        <v>4.91</v>
      </c>
      <c r="P24" s="1">
        <f>Quartile_S[[#This Row],[ROA Q1]]-1.5*(Quartile_S[[#This Row],[ROA Q3]]-Quartile_S[[#This Row],[ROA Q1]])</f>
        <v>-13.639999999999999</v>
      </c>
      <c r="Q24" s="1">
        <f>Quartile_S[[#This Row],[ROA Q3]]+1.5*(Quartile_S[[#This Row],[ROA Q3]]-Quartile_S[[#This Row],[ROA Q1]])</f>
        <v>16.04</v>
      </c>
      <c r="R24" s="1" cm="1">
        <f t="array" ref="R24">_xlfn.QUARTILE.INC(IF(Quartile_S[[#This Row],[Industry]]=Main_S[Industry],Main_S[P/E]),1)</f>
        <v>-13.802906110283161</v>
      </c>
      <c r="S24" s="1" cm="1">
        <f t="array" ref="S24">_xlfn.QUARTILE.INC(IF(Quartile_S[[#This Row],[Industry]]=Main_S[Industry],Main_S[P/E]),3)</f>
        <v>16.441737824161923</v>
      </c>
      <c r="T24" s="1">
        <f>Quartile_S[[#This Row],[P/E Q1]]-1.5*(Quartile_S[[#This Row],[P/E Q3]]-Quartile_S[[#This Row],[P/E Q1]])</f>
        <v>-59.169872011950787</v>
      </c>
      <c r="U24" s="1">
        <f>Quartile_S[[#This Row],[P/E Q3]]+1.5*(Quartile_S[[#This Row],[P/E Q3]]-Quartile_S[[#This Row],[P/E Q1]])</f>
        <v>61.808703725829545</v>
      </c>
      <c r="V24" s="1" cm="1">
        <f t="array" ref="V24">_xlfn.QUARTILE.INC(IF(Quartile_S[[#This Row],[Industry]]=Main_S[Industry],Main_S[A/E]),1)</f>
        <v>1.42</v>
      </c>
      <c r="W24" s="1" cm="1">
        <f t="array" ref="W24">_xlfn.QUARTILE.INC(IF(Quartile_S[[#This Row],[Industry]]=Main_S[Industry],Main_S[A/E]),3)</f>
        <v>3.7324999999999999</v>
      </c>
      <c r="X24" s="1">
        <f>Quartile_S[[#This Row],[A/E Q1]]-1.5*(Quartile_S[[#This Row],[A/E Q3]]-Quartile_S[[#This Row],[A/E Q1]])</f>
        <v>-2.0487500000000001</v>
      </c>
      <c r="Y24" s="1">
        <f>Quartile_S[[#This Row],[A/E Q3]]+1.5*(Quartile_S[[#This Row],[A/E Q3]]-Quartile_S[[#This Row],[A/E Q1]])</f>
        <v>7.2012499999999999</v>
      </c>
    </row>
    <row r="25" spans="1:25" x14ac:dyDescent="0.25">
      <c r="A25" t="s">
        <v>172</v>
      </c>
      <c r="B25" s="1" cm="1">
        <f t="array" ref="B25">_xlfn.QUARTILE.INC(IF(Quartile_S[[#This Row],[Industry]]=Main_S[Industry],Main_S[P/FCF]),1)</f>
        <v>-14.111111111111112</v>
      </c>
      <c r="C25" s="1" cm="1">
        <f t="array" ref="C25">_xlfn.QUARTILE.INC(IF(Quartile_S[[#This Row],[Industry]]=Main_S[Industry],Main_S[P/FCF]),3)</f>
        <v>6.8945686900958467</v>
      </c>
      <c r="D25" s="1">
        <f>Quartile_S[[#This Row],[P/FCF Q1]]-1.5*(Quartile_S[[#This Row],[P/FCF Q3]]-Quartile_S[[#This Row],[P/FCF Q1]])</f>
        <v>-45.61963081292155</v>
      </c>
      <c r="E25" s="1">
        <f>Quartile_S[[#This Row],[P/FCF Q3]]+1.5*(Quartile_S[[#This Row],[P/FCF Q3]]-Quartile_S[[#This Row],[P/FCF Q1]])</f>
        <v>38.403088391906287</v>
      </c>
      <c r="F25" s="1" cm="1">
        <f t="array" ref="F25">_xlfn.QUARTILE.INC(IF(Quartile_S[[#This Row],[Industry]]=Main_S[Industry],Main_S[P/B]),1)</f>
        <v>0.8661504424778762</v>
      </c>
      <c r="G25" s="1" cm="1">
        <f t="array" ref="G25">_xlfn.QUARTILE.INC(IF(Quartile_S[[#This Row],[Industry]]=Main_S[Industry],Main_S[P/B]),3)</f>
        <v>4.1698630136986301</v>
      </c>
      <c r="H25" s="1">
        <f>Quartile_S[[#This Row],[P/B Q1]]-1.5*(Quartile_S[[#This Row],[P/B Q3]]-Quartile_S[[#This Row],[P/B Q1]])</f>
        <v>-4.089418414353255</v>
      </c>
      <c r="I25" s="1">
        <f>Quartile_S[[#This Row],[P/B Q3]]+1.5*(Quartile_S[[#This Row],[P/B Q3]]-Quartile_S[[#This Row],[P/B Q1]])</f>
        <v>9.125431870529761</v>
      </c>
      <c r="J25" s="1" cm="1">
        <f t="array" ref="J25">_xlfn.QUARTILE.INC(IF(Quartile_S[[#This Row],[Industry]]=Main_S[Industry],Main_S[ROE]),1)</f>
        <v>-35.855000000000004</v>
      </c>
      <c r="K25" s="1" cm="1">
        <f t="array" ref="K25">_xlfn.QUARTILE.INC(IF(Quartile_S[[#This Row],[Industry]]=Main_S[Industry],Main_S[ROE]),3)</f>
        <v>2.7549999999999999</v>
      </c>
      <c r="L25" s="1">
        <f>Quartile_S[[#This Row],[ROE Q1]]-1.5*(Quartile_S[[#This Row],[ROE Q3]]-Quartile_S[[#This Row],[ROE Q1]])</f>
        <v>-93.77000000000001</v>
      </c>
      <c r="M25" s="1">
        <f>Quartile_S[[#This Row],[ROE Q3]]+1.5*(Quartile_S[[#This Row],[ROE Q3]]-Quartile_S[[#This Row],[ROE Q1]])</f>
        <v>60.670000000000009</v>
      </c>
      <c r="N25" s="1" cm="1">
        <f t="array" ref="N25">_xlfn.QUARTILE.INC(IF(Quartile_S[[#This Row],[Industry]]=Main_S[Industry],Main_S[ROA]),1)</f>
        <v>-23.104999999999997</v>
      </c>
      <c r="O25" s="1" cm="1">
        <f t="array" ref="O25">_xlfn.QUARTILE.INC(IF(Quartile_S[[#This Row],[Industry]]=Main_S[Industry],Main_S[ROA]),3)</f>
        <v>1.3199999999999998</v>
      </c>
      <c r="P25" s="1">
        <f>Quartile_S[[#This Row],[ROA Q1]]-1.5*(Quartile_S[[#This Row],[ROA Q3]]-Quartile_S[[#This Row],[ROA Q1]])</f>
        <v>-59.742499999999993</v>
      </c>
      <c r="Q25" s="1">
        <f>Quartile_S[[#This Row],[ROA Q3]]+1.5*(Quartile_S[[#This Row],[ROA Q3]]-Quartile_S[[#This Row],[ROA Q1]])</f>
        <v>37.957499999999996</v>
      </c>
      <c r="R25" s="1" cm="1">
        <f t="array" ref="R25">_xlfn.QUARTILE.INC(IF(Quartile_S[[#This Row],[Industry]]=Main_S[Industry],Main_S[P/E]),1)</f>
        <v>-12.046153846153846</v>
      </c>
      <c r="S25" s="1" cm="1">
        <f t="array" ref="S25">_xlfn.QUARTILE.INC(IF(Quartile_S[[#This Row],[Industry]]=Main_S[Industry],Main_S[P/E]),3)</f>
        <v>-1.2364532019704433</v>
      </c>
      <c r="T25" s="1">
        <f>Quartile_S[[#This Row],[P/E Q1]]-1.5*(Quartile_S[[#This Row],[P/E Q3]]-Quartile_S[[#This Row],[P/E Q1]])</f>
        <v>-28.260704812428951</v>
      </c>
      <c r="U25" s="1">
        <f>Quartile_S[[#This Row],[P/E Q3]]+1.5*(Quartile_S[[#This Row],[P/E Q3]]-Quartile_S[[#This Row],[P/E Q1]])</f>
        <v>14.978097764304662</v>
      </c>
      <c r="V25" s="1" cm="1">
        <f t="array" ref="V25">_xlfn.QUARTILE.INC(IF(Quartile_S[[#This Row],[Industry]]=Main_S[Industry],Main_S[A/E]),1)</f>
        <v>1.06</v>
      </c>
      <c r="W25" s="1" cm="1">
        <f t="array" ref="W25">_xlfn.QUARTILE.INC(IF(Quartile_S[[#This Row],[Industry]]=Main_S[Industry],Main_S[A/E]),3)</f>
        <v>1.9649999999999999</v>
      </c>
      <c r="X25" s="1">
        <f>Quartile_S[[#This Row],[A/E Q1]]-1.5*(Quartile_S[[#This Row],[A/E Q3]]-Quartile_S[[#This Row],[A/E Q1]])</f>
        <v>-0.29749999999999965</v>
      </c>
      <c r="Y25" s="1">
        <f>Quartile_S[[#This Row],[A/E Q3]]+1.5*(Quartile_S[[#This Row],[A/E Q3]]-Quartile_S[[#This Row],[A/E Q1]])</f>
        <v>3.3224999999999998</v>
      </c>
    </row>
    <row r="26" spans="1:25" x14ac:dyDescent="0.25">
      <c r="A26" t="s">
        <v>190</v>
      </c>
      <c r="B26" s="1" cm="1">
        <f t="array" ref="B26">_xlfn.QUARTILE.INC(IF(Quartile_S[[#This Row],[Industry]]=Main_S[Industry],Main_S[P/FCF]),1)</f>
        <v>-10.132161955691368</v>
      </c>
      <c r="C26" s="1" cm="1">
        <f t="array" ref="C26">_xlfn.QUARTILE.INC(IF(Quartile_S[[#This Row],[Industry]]=Main_S[Industry],Main_S[P/FCF]),3)</f>
        <v>16.673542381185694</v>
      </c>
      <c r="D26" s="1">
        <f>Quartile_S[[#This Row],[P/FCF Q1]]-1.5*(Quartile_S[[#This Row],[P/FCF Q3]]-Quartile_S[[#This Row],[P/FCF Q1]])</f>
        <v>-50.340718461006965</v>
      </c>
      <c r="E26" s="1">
        <f>Quartile_S[[#This Row],[P/FCF Q3]]+1.5*(Quartile_S[[#This Row],[P/FCF Q3]]-Quartile_S[[#This Row],[P/FCF Q1]])</f>
        <v>56.882098886501296</v>
      </c>
      <c r="F26" s="1" cm="1">
        <f t="array" ref="F26">_xlfn.QUARTILE.INC(IF(Quartile_S[[#This Row],[Industry]]=Main_S[Industry],Main_S[P/B]),1)</f>
        <v>0.87193301049233263</v>
      </c>
      <c r="G26" s="1" cm="1">
        <f t="array" ref="G26">_xlfn.QUARTILE.INC(IF(Quartile_S[[#This Row],[Industry]]=Main_S[Industry],Main_S[P/B]),3)</f>
        <v>3.911729207812157</v>
      </c>
      <c r="H26" s="1">
        <f>Quartile_S[[#This Row],[P/B Q1]]-1.5*(Quartile_S[[#This Row],[P/B Q3]]-Quartile_S[[#This Row],[P/B Q1]])</f>
        <v>-3.6877612854874045</v>
      </c>
      <c r="I26" s="1">
        <f>Quartile_S[[#This Row],[P/B Q3]]+1.5*(Quartile_S[[#This Row],[P/B Q3]]-Quartile_S[[#This Row],[P/B Q1]])</f>
        <v>8.4714235037918932</v>
      </c>
      <c r="J26" s="1" cm="1">
        <f t="array" ref="J26">_xlfn.QUARTILE.INC(IF(Quartile_S[[#This Row],[Industry]]=Main_S[Industry],Main_S[ROE]),1)</f>
        <v>-48.497500000000002</v>
      </c>
      <c r="K26" s="1" cm="1">
        <f t="array" ref="K26">_xlfn.QUARTILE.INC(IF(Quartile_S[[#This Row],[Industry]]=Main_S[Industry],Main_S[ROE]),3)</f>
        <v>-7.1624999999999996</v>
      </c>
      <c r="L26" s="1">
        <f>Quartile_S[[#This Row],[ROE Q1]]-1.5*(Quartile_S[[#This Row],[ROE Q3]]-Quartile_S[[#This Row],[ROE Q1]])</f>
        <v>-110.5</v>
      </c>
      <c r="M26" s="1">
        <f>Quartile_S[[#This Row],[ROE Q3]]+1.5*(Quartile_S[[#This Row],[ROE Q3]]-Quartile_S[[#This Row],[ROE Q1]])</f>
        <v>54.839999999999996</v>
      </c>
      <c r="N26" s="1" cm="1">
        <f t="array" ref="N26">_xlfn.QUARTILE.INC(IF(Quartile_S[[#This Row],[Industry]]=Main_S[Industry],Main_S[ROA]),1)</f>
        <v>-12.43</v>
      </c>
      <c r="O26" s="1" cm="1">
        <f t="array" ref="O26">_xlfn.QUARTILE.INC(IF(Quartile_S[[#This Row],[Industry]]=Main_S[Industry],Main_S[ROA]),3)</f>
        <v>-1.72</v>
      </c>
      <c r="P26" s="1">
        <f>Quartile_S[[#This Row],[ROA Q1]]-1.5*(Quartile_S[[#This Row],[ROA Q3]]-Quartile_S[[#This Row],[ROA Q1]])</f>
        <v>-28.494999999999997</v>
      </c>
      <c r="Q26" s="1">
        <f>Quartile_S[[#This Row],[ROA Q3]]+1.5*(Quartile_S[[#This Row],[ROA Q3]]-Quartile_S[[#This Row],[ROA Q1]])</f>
        <v>14.344999999999997</v>
      </c>
      <c r="R26" s="1" cm="1">
        <f t="array" ref="R26">_xlfn.QUARTILE.INC(IF(Quartile_S[[#This Row],[Industry]]=Main_S[Industry],Main_S[P/E]),1)</f>
        <v>-11.318317819148936</v>
      </c>
      <c r="S26" s="1" cm="1">
        <f t="array" ref="S26">_xlfn.QUARTILE.INC(IF(Quartile_S[[#This Row],[Industry]]=Main_S[Industry],Main_S[P/E]),3)</f>
        <v>-2.7126559060895081</v>
      </c>
      <c r="T26" s="1">
        <f>Quartile_S[[#This Row],[P/E Q1]]-1.5*(Quartile_S[[#This Row],[P/E Q3]]-Quartile_S[[#This Row],[P/E Q1]])</f>
        <v>-24.226810688738077</v>
      </c>
      <c r="U26" s="1">
        <f>Quartile_S[[#This Row],[P/E Q3]]+1.5*(Quartile_S[[#This Row],[P/E Q3]]-Quartile_S[[#This Row],[P/E Q1]])</f>
        <v>10.195836963499634</v>
      </c>
      <c r="V26" s="1" cm="1">
        <f t="array" ref="V26">_xlfn.QUARTILE.INC(IF(Quartile_S[[#This Row],[Industry]]=Main_S[Industry],Main_S[A/E]),1)</f>
        <v>1.2775000000000001</v>
      </c>
      <c r="W26" s="1" cm="1">
        <f t="array" ref="W26">_xlfn.QUARTILE.INC(IF(Quartile_S[[#This Row],[Industry]]=Main_S[Industry],Main_S[A/E]),3)</f>
        <v>2.83</v>
      </c>
      <c r="X26" s="1">
        <f>Quartile_S[[#This Row],[A/E Q1]]-1.5*(Quartile_S[[#This Row],[A/E Q3]]-Quartile_S[[#This Row],[A/E Q1]])</f>
        <v>-1.0512499999999998</v>
      </c>
      <c r="Y26" s="1">
        <f>Quartile_S[[#This Row],[A/E Q3]]+1.5*(Quartile_S[[#This Row],[A/E Q3]]-Quartile_S[[#This Row],[A/E Q1]])</f>
        <v>5.1587499999999995</v>
      </c>
    </row>
    <row r="27" spans="1:25" x14ac:dyDescent="0.25">
      <c r="A27" t="s">
        <v>105</v>
      </c>
      <c r="B27" s="1" cm="1">
        <f t="array" ref="B27">_xlfn.QUARTILE.INC(IF(Quartile_S[[#This Row],[Industry]]=Main_S[Industry],Main_S[P/FCF]),1)</f>
        <v>-28.967307692307692</v>
      </c>
      <c r="C27" s="1" cm="1">
        <f t="array" ref="C27">_xlfn.QUARTILE.INC(IF(Quartile_S[[#This Row],[Industry]]=Main_S[Industry],Main_S[P/FCF]),3)</f>
        <v>8.0149342891278366</v>
      </c>
      <c r="D27" s="1">
        <f>Quartile_S[[#This Row],[P/FCF Q1]]-1.5*(Quartile_S[[#This Row],[P/FCF Q3]]-Quartile_S[[#This Row],[P/FCF Q1]])</f>
        <v>-84.440670664460981</v>
      </c>
      <c r="E27" s="1">
        <f>Quartile_S[[#This Row],[P/FCF Q3]]+1.5*(Quartile_S[[#This Row],[P/FCF Q3]]-Quartile_S[[#This Row],[P/FCF Q1]])</f>
        <v>63.488297261281133</v>
      </c>
      <c r="F27" s="1" cm="1">
        <f t="array" ref="F27">_xlfn.QUARTILE.INC(IF(Quartile_S[[#This Row],[Industry]]=Main_S[Industry],Main_S[P/B]),1)</f>
        <v>1.5783773870711131</v>
      </c>
      <c r="G27" s="1" cm="1">
        <f t="array" ref="G27">_xlfn.QUARTILE.INC(IF(Quartile_S[[#This Row],[Industry]]=Main_S[Industry],Main_S[P/B]),3)</f>
        <v>5.2534775710490926</v>
      </c>
      <c r="H27" s="1">
        <f>Quartile_S[[#This Row],[P/B Q1]]-1.5*(Quartile_S[[#This Row],[P/B Q3]]-Quartile_S[[#This Row],[P/B Q1]])</f>
        <v>-3.934272888895856</v>
      </c>
      <c r="I27" s="1">
        <f>Quartile_S[[#This Row],[P/B Q3]]+1.5*(Quartile_S[[#This Row],[P/B Q3]]-Quartile_S[[#This Row],[P/B Q1]])</f>
        <v>10.766127847016062</v>
      </c>
      <c r="J27" s="1" cm="1">
        <f t="array" ref="J27">_xlfn.QUARTILE.INC(IF(Quartile_S[[#This Row],[Industry]]=Main_S[Industry],Main_S[ROE]),1)</f>
        <v>-65.819999999999993</v>
      </c>
      <c r="K27" s="1" cm="1">
        <f t="array" ref="K27">_xlfn.QUARTILE.INC(IF(Quartile_S[[#This Row],[Industry]]=Main_S[Industry],Main_S[ROE]),3)</f>
        <v>-7.09</v>
      </c>
      <c r="L27" s="1">
        <f>Quartile_S[[#This Row],[ROE Q1]]-1.5*(Quartile_S[[#This Row],[ROE Q3]]-Quartile_S[[#This Row],[ROE Q1]])</f>
        <v>-153.91499999999996</v>
      </c>
      <c r="M27" s="1">
        <f>Quartile_S[[#This Row],[ROE Q3]]+1.5*(Quartile_S[[#This Row],[ROE Q3]]-Quartile_S[[#This Row],[ROE Q1]])</f>
        <v>81.004999999999981</v>
      </c>
      <c r="N27" s="1" cm="1">
        <f t="array" ref="N27">_xlfn.QUARTILE.INC(IF(Quartile_S[[#This Row],[Industry]]=Main_S[Industry],Main_S[ROA]),1)</f>
        <v>-15.984999999999999</v>
      </c>
      <c r="O27" s="1" cm="1">
        <f t="array" ref="O27">_xlfn.QUARTILE.INC(IF(Quartile_S[[#This Row],[Industry]]=Main_S[Industry],Main_S[ROA]),3)</f>
        <v>1.9</v>
      </c>
      <c r="P27" s="1">
        <f>Quartile_S[[#This Row],[ROA Q1]]-1.5*(Quartile_S[[#This Row],[ROA Q3]]-Quartile_S[[#This Row],[ROA Q1]])</f>
        <v>-42.8125</v>
      </c>
      <c r="Q27" s="1">
        <f>Quartile_S[[#This Row],[ROA Q3]]+1.5*(Quartile_S[[#This Row],[ROA Q3]]-Quartile_S[[#This Row],[ROA Q1]])</f>
        <v>28.727499999999996</v>
      </c>
      <c r="R27" s="1" cm="1">
        <f t="array" ref="R27">_xlfn.QUARTILE.INC(IF(Quartile_S[[#This Row],[Industry]]=Main_S[Industry],Main_S[P/E]),1)</f>
        <v>-16.521479858829256</v>
      </c>
      <c r="S27" s="1" cm="1">
        <f t="array" ref="S27">_xlfn.QUARTILE.INC(IF(Quartile_S[[#This Row],[Industry]]=Main_S[Industry],Main_S[P/E]),3)</f>
        <v>-2.7173579109062977</v>
      </c>
      <c r="T27" s="1">
        <f>Quartile_S[[#This Row],[P/E Q1]]-1.5*(Quartile_S[[#This Row],[P/E Q3]]-Quartile_S[[#This Row],[P/E Q1]])</f>
        <v>-37.227662780713693</v>
      </c>
      <c r="U27" s="1">
        <f>Quartile_S[[#This Row],[P/E Q3]]+1.5*(Quartile_S[[#This Row],[P/E Q3]]-Quartile_S[[#This Row],[P/E Q1]])</f>
        <v>17.98882501097814</v>
      </c>
      <c r="V27" s="1" cm="1">
        <f t="array" ref="V27">_xlfn.QUARTILE.INC(IF(Quartile_S[[#This Row],[Industry]]=Main_S[Industry],Main_S[A/E]),1)</f>
        <v>1.3149999999999999</v>
      </c>
      <c r="W27" s="1" cm="1">
        <f t="array" ref="W27">_xlfn.QUARTILE.INC(IF(Quartile_S[[#This Row],[Industry]]=Main_S[Industry],Main_S[A/E]),3)</f>
        <v>2.15</v>
      </c>
      <c r="X27" s="1">
        <f>Quartile_S[[#This Row],[A/E Q1]]-1.5*(Quartile_S[[#This Row],[A/E Q3]]-Quartile_S[[#This Row],[A/E Q1]])</f>
        <v>6.25E-2</v>
      </c>
      <c r="Y27" s="1">
        <f>Quartile_S[[#This Row],[A/E Q3]]+1.5*(Quartile_S[[#This Row],[A/E Q3]]-Quartile_S[[#This Row],[A/E Q1]])</f>
        <v>3.4024999999999999</v>
      </c>
    </row>
    <row r="28" spans="1:25" x14ac:dyDescent="0.25">
      <c r="A28" t="s">
        <v>149</v>
      </c>
      <c r="B28" s="1" cm="1">
        <f t="array" ref="B28">_xlfn.QUARTILE.INC(IF(Quartile_S[[#This Row],[Industry]]=Main_S[Industry],Main_S[P/FCF]),1)</f>
        <v>-2.9766198282591727</v>
      </c>
      <c r="C28" s="1" cm="1">
        <f t="array" ref="C28">_xlfn.QUARTILE.INC(IF(Quartile_S[[#This Row],[Industry]]=Main_S[Industry],Main_S[P/FCF]),3)</f>
        <v>34.784374999999997</v>
      </c>
      <c r="D28" s="1">
        <f>Quartile_S[[#This Row],[P/FCF Q1]]-1.5*(Quartile_S[[#This Row],[P/FCF Q3]]-Quartile_S[[#This Row],[P/FCF Q1]])</f>
        <v>-59.618112070647932</v>
      </c>
      <c r="E28" s="1">
        <f>Quartile_S[[#This Row],[P/FCF Q3]]+1.5*(Quartile_S[[#This Row],[P/FCF Q3]]-Quartile_S[[#This Row],[P/FCF Q1]])</f>
        <v>91.425867242388762</v>
      </c>
      <c r="F28" s="1" cm="1">
        <f t="array" ref="F28">_xlfn.QUARTILE.INC(IF(Quartile_S[[#This Row],[Industry]]=Main_S[Industry],Main_S[P/B]),1)</f>
        <v>1.3721980595516896</v>
      </c>
      <c r="G28" s="1" cm="1">
        <f t="array" ref="G28">_xlfn.QUARTILE.INC(IF(Quartile_S[[#This Row],[Industry]]=Main_S[Industry],Main_S[P/B]),3)</f>
        <v>4.589163472670502</v>
      </c>
      <c r="H28" s="1">
        <f>Quartile_S[[#This Row],[P/B Q1]]-1.5*(Quartile_S[[#This Row],[P/B Q3]]-Quartile_S[[#This Row],[P/B Q1]])</f>
        <v>-3.4532500601265284</v>
      </c>
      <c r="I28" s="1">
        <f>Quartile_S[[#This Row],[P/B Q3]]+1.5*(Quartile_S[[#This Row],[P/B Q3]]-Quartile_S[[#This Row],[P/B Q1]])</f>
        <v>9.4146115923487201</v>
      </c>
      <c r="J28" s="1" cm="1">
        <f t="array" ref="J28">_xlfn.QUARTILE.INC(IF(Quartile_S[[#This Row],[Industry]]=Main_S[Industry],Main_S[ROE]),1)</f>
        <v>-37.447499999999998</v>
      </c>
      <c r="K28" s="1" cm="1">
        <f t="array" ref="K28">_xlfn.QUARTILE.INC(IF(Quartile_S[[#This Row],[Industry]]=Main_S[Industry],Main_S[ROE]),3)</f>
        <v>1.5499999999999998</v>
      </c>
      <c r="L28" s="1">
        <f>Quartile_S[[#This Row],[ROE Q1]]-1.5*(Quartile_S[[#This Row],[ROE Q3]]-Quartile_S[[#This Row],[ROE Q1]])</f>
        <v>-95.943749999999994</v>
      </c>
      <c r="M28" s="1">
        <f>Quartile_S[[#This Row],[ROE Q3]]+1.5*(Quartile_S[[#This Row],[ROE Q3]]-Quartile_S[[#This Row],[ROE Q1]])</f>
        <v>60.046249999999986</v>
      </c>
      <c r="N28" s="1" cm="1">
        <f t="array" ref="N28">_xlfn.QUARTILE.INC(IF(Quartile_S[[#This Row],[Industry]]=Main_S[Industry],Main_S[ROA]),1)</f>
        <v>-2.9424999999999999</v>
      </c>
      <c r="O28" s="1" cm="1">
        <f t="array" ref="O28">_xlfn.QUARTILE.INC(IF(Quartile_S[[#This Row],[Industry]]=Main_S[Industry],Main_S[ROA]),3)</f>
        <v>2.3025000000000002</v>
      </c>
      <c r="P28" s="1">
        <f>Quartile_S[[#This Row],[ROA Q1]]-1.5*(Quartile_S[[#This Row],[ROA Q3]]-Quartile_S[[#This Row],[ROA Q1]])</f>
        <v>-10.809999999999999</v>
      </c>
      <c r="Q28" s="1">
        <f>Quartile_S[[#This Row],[ROA Q3]]+1.5*(Quartile_S[[#This Row],[ROA Q3]]-Quartile_S[[#This Row],[ROA Q1]])</f>
        <v>10.17</v>
      </c>
      <c r="R28" s="1" cm="1">
        <f t="array" ref="R28">_xlfn.QUARTILE.INC(IF(Quartile_S[[#This Row],[Industry]]=Main_S[Industry],Main_S[P/E]),1)</f>
        <v>-17.270538375558868</v>
      </c>
      <c r="S28" s="1" cm="1">
        <f t="array" ref="S28">_xlfn.QUARTILE.INC(IF(Quartile_S[[#This Row],[Industry]]=Main_S[Industry],Main_S[P/E]),3)</f>
        <v>33.466513980341631</v>
      </c>
      <c r="T28" s="1">
        <f>Quartile_S[[#This Row],[P/E Q1]]-1.5*(Quartile_S[[#This Row],[P/E Q3]]-Quartile_S[[#This Row],[P/E Q1]])</f>
        <v>-93.376116909409618</v>
      </c>
      <c r="U28" s="1">
        <f>Quartile_S[[#This Row],[P/E Q3]]+1.5*(Quartile_S[[#This Row],[P/E Q3]]-Quartile_S[[#This Row],[P/E Q1]])</f>
        <v>109.57209251419238</v>
      </c>
      <c r="V28" s="1" cm="1">
        <f t="array" ref="V28">_xlfn.QUARTILE.INC(IF(Quartile_S[[#This Row],[Industry]]=Main_S[Industry],Main_S[A/E]),1)</f>
        <v>1.44</v>
      </c>
      <c r="W28" s="1" cm="1">
        <f t="array" ref="W28">_xlfn.QUARTILE.INC(IF(Quartile_S[[#This Row],[Industry]]=Main_S[Industry],Main_S[A/E]),3)</f>
        <v>2.4000000000000004</v>
      </c>
      <c r="X28" s="1">
        <f>Quartile_S[[#This Row],[A/E Q1]]-1.5*(Quartile_S[[#This Row],[A/E Q3]]-Quartile_S[[#This Row],[A/E Q1]])</f>
        <v>0</v>
      </c>
      <c r="Y28" s="1">
        <f>Quartile_S[[#This Row],[A/E Q3]]+1.5*(Quartile_S[[#This Row],[A/E Q3]]-Quartile_S[[#This Row],[A/E Q1]])</f>
        <v>3.8400000000000007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152</v>
      </c>
      <c r="B5" s="1">
        <v>2.7031933643671131</v>
      </c>
      <c r="C5" s="1">
        <v>40.163225543285726</v>
      </c>
      <c r="E5" s="6" t="s">
        <v>152</v>
      </c>
      <c r="F5" s="1">
        <v>8.2090724296715933</v>
      </c>
      <c r="G5" s="1">
        <v>10.220944671807516</v>
      </c>
      <c r="I5" s="6" t="s">
        <v>152</v>
      </c>
      <c r="J5" s="1">
        <v>4.5799999999999983</v>
      </c>
      <c r="K5" s="1">
        <v>20.336356278022535</v>
      </c>
    </row>
    <row r="6" spans="1:11" x14ac:dyDescent="0.25">
      <c r="A6" s="6" t="s">
        <v>105</v>
      </c>
      <c r="B6" s="1">
        <v>43.445592496836646</v>
      </c>
      <c r="C6" s="1">
        <v>24.153916365786646</v>
      </c>
      <c r="E6" s="6" t="s">
        <v>105</v>
      </c>
      <c r="F6" s="1">
        <v>4.2399602765439939</v>
      </c>
      <c r="G6" s="1">
        <v>2.4741821138859375</v>
      </c>
      <c r="I6" s="6" t="s">
        <v>105</v>
      </c>
      <c r="J6" s="1">
        <v>13.020000000000003</v>
      </c>
      <c r="K6" s="1">
        <v>9.9515485318526213</v>
      </c>
    </row>
    <row r="7" spans="1:11" x14ac:dyDescent="0.25">
      <c r="A7" s="6" t="s">
        <v>129</v>
      </c>
      <c r="B7" s="1">
        <v>14.507640935185703</v>
      </c>
      <c r="C7" s="1">
        <v>4.9224924015900147</v>
      </c>
      <c r="E7" s="6" t="s">
        <v>129</v>
      </c>
      <c r="F7" s="1">
        <v>2.4133172584891991</v>
      </c>
      <c r="G7" s="1">
        <v>1.3277021231762416</v>
      </c>
      <c r="I7" s="6" t="s">
        <v>129</v>
      </c>
      <c r="J7" s="1">
        <v>19.869999999999997</v>
      </c>
      <c r="K7" s="1">
        <v>12.712980243305141</v>
      </c>
    </row>
    <row r="8" spans="1:11" x14ac:dyDescent="0.25">
      <c r="A8" s="6" t="s">
        <v>149</v>
      </c>
      <c r="B8" s="1">
        <v>38.759233926128594</v>
      </c>
      <c r="C8" s="1">
        <v>0</v>
      </c>
      <c r="E8" s="6" t="s">
        <v>149</v>
      </c>
      <c r="F8" s="1">
        <v>7.42479035639413</v>
      </c>
      <c r="G8" s="1">
        <v>0</v>
      </c>
      <c r="I8" s="6" t="s">
        <v>149</v>
      </c>
      <c r="J8" s="1">
        <v>14.06</v>
      </c>
      <c r="K8" s="1">
        <v>0</v>
      </c>
    </row>
    <row r="9" spans="1:11" x14ac:dyDescent="0.25">
      <c r="A9" s="6" t="s">
        <v>190</v>
      </c>
      <c r="B9" s="1">
        <v>22.648618153028405</v>
      </c>
      <c r="C9" s="1">
        <v>7.6020794198833279</v>
      </c>
      <c r="E9" s="6" t="s">
        <v>190</v>
      </c>
      <c r="F9" s="1">
        <v>4.5217434039145399</v>
      </c>
      <c r="G9" s="1">
        <v>2.7160405530724652</v>
      </c>
      <c r="I9" s="6" t="s">
        <v>190</v>
      </c>
      <c r="J9" s="1">
        <v>12.955714285714285</v>
      </c>
      <c r="K9" s="1">
        <v>6.2314590292044016</v>
      </c>
    </row>
    <row r="10" spans="1:11" x14ac:dyDescent="0.25">
      <c r="A10" s="6" t="s">
        <v>172</v>
      </c>
      <c r="B10" s="1">
        <v>19.429589130149878</v>
      </c>
      <c r="C10" s="1">
        <v>14.832682302613213</v>
      </c>
      <c r="E10" s="6" t="s">
        <v>172</v>
      </c>
      <c r="F10" s="1">
        <v>3.2488527160538458</v>
      </c>
      <c r="G10" s="1">
        <v>2.3427951191540037</v>
      </c>
      <c r="I10" s="6" t="s">
        <v>172</v>
      </c>
      <c r="J10" s="1">
        <v>16.511176470588232</v>
      </c>
      <c r="K10" s="1">
        <v>18.648990157915648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152</v>
      </c>
      <c r="B25" s="1">
        <v>4.421666666666666</v>
      </c>
      <c r="C25" s="1">
        <v>8.2511718023024532</v>
      </c>
      <c r="E25" s="6" t="s">
        <v>152</v>
      </c>
      <c r="F25" s="1">
        <v>1.5118750000000003</v>
      </c>
      <c r="G25" s="1">
        <v>0.47709038386347574</v>
      </c>
      <c r="I25" s="6" t="s">
        <v>152</v>
      </c>
      <c r="J25" s="1">
        <v>7.8451358111934928</v>
      </c>
      <c r="K25" s="1">
        <v>36.641958959507697</v>
      </c>
    </row>
    <row r="26" spans="1:11" x14ac:dyDescent="0.25">
      <c r="A26" s="6" t="s">
        <v>105</v>
      </c>
      <c r="B26" s="1">
        <v>5.4023809523809527</v>
      </c>
      <c r="C26" s="1">
        <v>1.8286083825631034</v>
      </c>
      <c r="E26" s="6" t="s">
        <v>105</v>
      </c>
      <c r="F26" s="1">
        <v>1.8885714285714283</v>
      </c>
      <c r="G26" s="1">
        <v>0.52106379935013492</v>
      </c>
      <c r="I26" s="6" t="s">
        <v>105</v>
      </c>
      <c r="J26" s="1">
        <v>42.583023602067364</v>
      </c>
      <c r="K26" s="1">
        <v>19.663847084758675</v>
      </c>
    </row>
    <row r="27" spans="1:11" x14ac:dyDescent="0.25">
      <c r="A27" s="6" t="s">
        <v>129</v>
      </c>
      <c r="B27" s="1">
        <v>5.8136842105263158</v>
      </c>
      <c r="C27" s="1">
        <v>2.5859014727156175</v>
      </c>
      <c r="E27" s="6" t="s">
        <v>129</v>
      </c>
      <c r="F27" s="1">
        <v>2.8084615384615383</v>
      </c>
      <c r="G27" s="1">
        <v>0.64075491719168687</v>
      </c>
      <c r="I27" s="6" t="s">
        <v>129</v>
      </c>
      <c r="J27" s="1">
        <v>18.030713961993051</v>
      </c>
      <c r="K27" s="1">
        <v>6.941771084633797</v>
      </c>
    </row>
    <row r="28" spans="1:11" x14ac:dyDescent="0.25">
      <c r="A28" s="6" t="s">
        <v>149</v>
      </c>
      <c r="B28" s="1">
        <v>6.9</v>
      </c>
      <c r="C28" s="1">
        <v>0</v>
      </c>
      <c r="E28" s="6" t="s">
        <v>149</v>
      </c>
      <c r="F28" s="1">
        <v>1.25</v>
      </c>
      <c r="G28" s="1">
        <v>0</v>
      </c>
      <c r="I28" s="6" t="s">
        <v>149</v>
      </c>
      <c r="J28" s="1">
        <v>60.154989384288747</v>
      </c>
      <c r="K28" s="1">
        <v>0</v>
      </c>
    </row>
    <row r="29" spans="1:11" x14ac:dyDescent="0.25">
      <c r="A29" s="6" t="s">
        <v>190</v>
      </c>
      <c r="B29" s="1">
        <v>6.1722222222222216</v>
      </c>
      <c r="C29" s="1">
        <v>2.9652535127812807</v>
      </c>
      <c r="E29" s="6" t="s">
        <v>190</v>
      </c>
      <c r="F29" s="1">
        <v>1.9037499999999998</v>
      </c>
      <c r="G29" s="1">
        <v>0.39245819841099089</v>
      </c>
      <c r="I29" s="6" t="s">
        <v>190</v>
      </c>
      <c r="J29" s="1">
        <v>29.138091499665929</v>
      </c>
      <c r="K29" s="1">
        <v>7.4725138169704177</v>
      </c>
    </row>
    <row r="30" spans="1:11" x14ac:dyDescent="0.25">
      <c r="A30" s="6" t="s">
        <v>172</v>
      </c>
      <c r="B30" s="1">
        <v>7.7683333333333344</v>
      </c>
      <c r="C30" s="1">
        <v>4.1775926746818604</v>
      </c>
      <c r="E30" s="6" t="s">
        <v>172</v>
      </c>
      <c r="F30" s="1">
        <v>2.4064705882352944</v>
      </c>
      <c r="G30" s="1">
        <v>0.74547214550456686</v>
      </c>
      <c r="I30" s="6" t="s">
        <v>172</v>
      </c>
      <c r="J30" s="1">
        <v>18.846259662410471</v>
      </c>
      <c r="K30" s="1">
        <v>15.329676082117663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31.42578125" bestFit="1" customWidth="1"/>
    <col min="2" max="2" width="14.85546875" bestFit="1" customWidth="1"/>
    <col min="3" max="3" width="15.4257812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152</v>
      </c>
      <c r="B5" s="1">
        <v>-11.842643864779253</v>
      </c>
      <c r="C5" s="1">
        <v>13.164045981152455</v>
      </c>
      <c r="E5" s="6" t="s">
        <v>152</v>
      </c>
      <c r="F5" s="1">
        <v>5.4464907774451827</v>
      </c>
      <c r="G5" s="1">
        <v>5.1197142368336879</v>
      </c>
      <c r="I5" s="6" t="s">
        <v>152</v>
      </c>
      <c r="J5" s="1">
        <v>-25.737916666666674</v>
      </c>
      <c r="K5" s="1">
        <v>89.109172646963728</v>
      </c>
    </row>
    <row r="6" spans="1:11" x14ac:dyDescent="0.25">
      <c r="A6" s="6" t="s">
        <v>105</v>
      </c>
      <c r="B6" s="1">
        <v>4.7802287019718506</v>
      </c>
      <c r="C6" s="1">
        <v>39.841969035858455</v>
      </c>
      <c r="E6" s="6" t="s">
        <v>105</v>
      </c>
      <c r="F6" s="1">
        <v>3.7978007143024217</v>
      </c>
      <c r="G6" s="1">
        <v>2.7849278405689715</v>
      </c>
      <c r="I6" s="6" t="s">
        <v>105</v>
      </c>
      <c r="J6" s="1">
        <v>-13.651428571428571</v>
      </c>
      <c r="K6" s="1">
        <v>31.306663794776721</v>
      </c>
    </row>
    <row r="7" spans="1:11" x14ac:dyDescent="0.25">
      <c r="A7" s="6" t="s">
        <v>129</v>
      </c>
      <c r="B7" s="1">
        <v>20.97312302739368</v>
      </c>
      <c r="C7" s="1">
        <v>6.4141943776177834</v>
      </c>
      <c r="E7" s="6" t="s">
        <v>129</v>
      </c>
      <c r="F7" s="1">
        <v>3.8964620292587182</v>
      </c>
      <c r="G7" s="1">
        <v>2.3074431620762135</v>
      </c>
      <c r="I7" s="6" t="s">
        <v>129</v>
      </c>
      <c r="J7" s="1">
        <v>1.5266666666666662</v>
      </c>
      <c r="K7" s="1">
        <v>20.794620565051058</v>
      </c>
    </row>
    <row r="8" spans="1:11" x14ac:dyDescent="0.25">
      <c r="A8" s="6" t="s">
        <v>149</v>
      </c>
      <c r="B8" s="1">
        <v>30.449843086206727</v>
      </c>
      <c r="C8" s="1">
        <v>9.8600047293278159</v>
      </c>
      <c r="E8" s="6" t="s">
        <v>149</v>
      </c>
      <c r="F8" s="1">
        <v>4.7720671837934008</v>
      </c>
      <c r="G8" s="1">
        <v>3.7927919817924014</v>
      </c>
      <c r="I8" s="6" t="s">
        <v>149</v>
      </c>
      <c r="J8" s="1">
        <v>11.63</v>
      </c>
      <c r="K8" s="1">
        <v>8.7750365621270578</v>
      </c>
    </row>
    <row r="9" spans="1:11" x14ac:dyDescent="0.25">
      <c r="A9" s="6" t="s">
        <v>190</v>
      </c>
      <c r="B9" s="1">
        <v>14.303418122553575</v>
      </c>
      <c r="C9" s="1">
        <v>28.057359497663501</v>
      </c>
      <c r="E9" s="6" t="s">
        <v>190</v>
      </c>
      <c r="F9" s="1">
        <v>2.3271336119362398</v>
      </c>
      <c r="G9" s="1">
        <v>1.407890101017419</v>
      </c>
      <c r="I9" s="6" t="s">
        <v>190</v>
      </c>
      <c r="J9" s="1">
        <v>2.4036363636363633</v>
      </c>
      <c r="K9" s="1">
        <v>10.228915585221474</v>
      </c>
    </row>
    <row r="10" spans="1:11" x14ac:dyDescent="0.25">
      <c r="A10" s="6" t="s">
        <v>172</v>
      </c>
      <c r="B10" s="1">
        <v>-5.6984556196868574</v>
      </c>
      <c r="C10" s="1">
        <v>36.679850470448429</v>
      </c>
      <c r="E10" s="6" t="s">
        <v>172</v>
      </c>
      <c r="F10" s="1">
        <v>7.3611197297245319</v>
      </c>
      <c r="G10" s="1">
        <v>13.440322013291707</v>
      </c>
      <c r="I10" s="6" t="s">
        <v>172</v>
      </c>
      <c r="J10" s="1">
        <v>-17.78</v>
      </c>
      <c r="K10" s="1">
        <v>124.68369291932285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152</v>
      </c>
      <c r="B25" s="1">
        <v>-11.322682926829266</v>
      </c>
      <c r="C25" s="1">
        <v>18.962828597328503</v>
      </c>
      <c r="E25" s="6" t="s">
        <v>152</v>
      </c>
      <c r="F25" s="1">
        <v>1.4729729729729732</v>
      </c>
      <c r="G25" s="1">
        <v>0.8679888679846155</v>
      </c>
      <c r="I25" s="6" t="s">
        <v>152</v>
      </c>
      <c r="J25" s="1">
        <v>-8.4683874399351993</v>
      </c>
      <c r="K25" s="1">
        <v>18.188244263256415</v>
      </c>
    </row>
    <row r="26" spans="1:11" x14ac:dyDescent="0.25">
      <c r="A26" s="6" t="s">
        <v>105</v>
      </c>
      <c r="B26" s="1">
        <v>1.7405882352941173</v>
      </c>
      <c r="C26" s="1">
        <v>6.1793798190511717</v>
      </c>
      <c r="E26" s="6" t="s">
        <v>105</v>
      </c>
      <c r="F26" s="1">
        <v>2.0417647058823527</v>
      </c>
      <c r="G26" s="1">
        <v>0.65044993743351853</v>
      </c>
      <c r="I26" s="6" t="s">
        <v>105</v>
      </c>
      <c r="J26" s="1">
        <v>3.0095210158832884</v>
      </c>
      <c r="K26" s="1">
        <v>34.623533660010722</v>
      </c>
    </row>
    <row r="27" spans="1:11" x14ac:dyDescent="0.25">
      <c r="A27" s="6" t="s">
        <v>129</v>
      </c>
      <c r="B27" s="1">
        <v>4.6789473684210527</v>
      </c>
      <c r="C27" s="1">
        <v>4.3627488856608707</v>
      </c>
      <c r="E27" s="6" t="s">
        <v>129</v>
      </c>
      <c r="F27" s="1">
        <v>2.5105882352941178</v>
      </c>
      <c r="G27" s="1">
        <v>1.0257936416042501</v>
      </c>
      <c r="I27" s="6" t="s">
        <v>129</v>
      </c>
      <c r="J27" s="1">
        <v>16.591443167716207</v>
      </c>
      <c r="K27" s="1">
        <v>43.696311225092892</v>
      </c>
    </row>
    <row r="28" spans="1:11" x14ac:dyDescent="0.25">
      <c r="A28" s="6" t="s">
        <v>149</v>
      </c>
      <c r="B28" s="1">
        <v>7.2233333333333336</v>
      </c>
      <c r="C28" s="1">
        <v>4.0766107927487445</v>
      </c>
      <c r="E28" s="6" t="s">
        <v>149</v>
      </c>
      <c r="F28" s="1">
        <v>1.3966666666666665</v>
      </c>
      <c r="G28" s="1">
        <v>0.16213848676020387</v>
      </c>
      <c r="I28" s="6" t="s">
        <v>149</v>
      </c>
      <c r="J28" s="1">
        <v>113.90765765765765</v>
      </c>
      <c r="K28" s="1">
        <v>112.29045651250134</v>
      </c>
    </row>
    <row r="29" spans="1:11" x14ac:dyDescent="0.25">
      <c r="A29" s="6" t="s">
        <v>190</v>
      </c>
      <c r="B29" s="1">
        <v>4.4000000000000004</v>
      </c>
      <c r="C29" s="1">
        <v>1.56798596932498</v>
      </c>
      <c r="E29" s="6" t="s">
        <v>190</v>
      </c>
      <c r="F29" s="1">
        <v>2.3008333333333333</v>
      </c>
      <c r="G29" s="1">
        <v>1.0302625744062637</v>
      </c>
      <c r="I29" s="6" t="s">
        <v>190</v>
      </c>
      <c r="J29" s="1">
        <v>41.433562269567943</v>
      </c>
      <c r="K29" s="1">
        <v>47.140457188793114</v>
      </c>
    </row>
    <row r="30" spans="1:11" x14ac:dyDescent="0.25">
      <c r="A30" s="6" t="s">
        <v>172</v>
      </c>
      <c r="B30" s="1">
        <v>-2.3237500000000004</v>
      </c>
      <c r="C30" s="1">
        <v>11.524210317305911</v>
      </c>
      <c r="E30" s="6" t="s">
        <v>172</v>
      </c>
      <c r="F30" s="1">
        <v>1.7728571428571429</v>
      </c>
      <c r="G30" s="1">
        <v>0.45111652868076013</v>
      </c>
      <c r="I30" s="6" t="s">
        <v>172</v>
      </c>
      <c r="J30" s="1">
        <v>-2.9680013127180658</v>
      </c>
      <c r="K30" s="1">
        <v>33.761851342322593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152</v>
      </c>
      <c r="B5" s="1">
        <v>-5.3273424144705652</v>
      </c>
      <c r="C5" s="1">
        <v>3.4487429121875057</v>
      </c>
      <c r="E5" s="6" t="s">
        <v>152</v>
      </c>
      <c r="F5" s="1">
        <v>3.24340425685262</v>
      </c>
      <c r="G5" s="1">
        <v>2.5891271008218757</v>
      </c>
      <c r="I5" s="6" t="s">
        <v>152</v>
      </c>
      <c r="J5" s="1">
        <v>-46.182897196261685</v>
      </c>
      <c r="K5" s="1">
        <v>34.919198559744316</v>
      </c>
    </row>
    <row r="6" spans="1:11" x14ac:dyDescent="0.25">
      <c r="A6" s="6" t="s">
        <v>105</v>
      </c>
      <c r="B6" s="1">
        <v>-8.4936761364257212</v>
      </c>
      <c r="C6" s="1">
        <v>27.954170876338225</v>
      </c>
      <c r="E6" s="6" t="s">
        <v>105</v>
      </c>
      <c r="F6" s="1">
        <v>3.4439426002692071</v>
      </c>
      <c r="G6" s="1">
        <v>2.7293342236628435</v>
      </c>
      <c r="I6" s="6" t="s">
        <v>105</v>
      </c>
      <c r="J6" s="1">
        <v>-31.413055555555559</v>
      </c>
      <c r="K6" s="1">
        <v>40.491044127713828</v>
      </c>
    </row>
    <row r="7" spans="1:11" x14ac:dyDescent="0.25">
      <c r="A7" s="6" t="s">
        <v>129</v>
      </c>
      <c r="B7" s="1">
        <v>3.3363751226043079</v>
      </c>
      <c r="C7" s="1">
        <v>19.238708900373574</v>
      </c>
      <c r="E7" s="6" t="s">
        <v>129</v>
      </c>
      <c r="F7" s="1">
        <v>1.8334989906096699</v>
      </c>
      <c r="G7" s="1">
        <v>1.1183139582217223</v>
      </c>
      <c r="I7" s="6" t="s">
        <v>129</v>
      </c>
      <c r="J7" s="1">
        <v>-4.9180645161290322</v>
      </c>
      <c r="K7" s="1">
        <v>19.213188249364421</v>
      </c>
    </row>
    <row r="8" spans="1:11" x14ac:dyDescent="0.25">
      <c r="A8" s="6" t="s">
        <v>149</v>
      </c>
      <c r="B8" s="1">
        <v>24.320261194262457</v>
      </c>
      <c r="C8" s="1">
        <v>32.450976203187835</v>
      </c>
      <c r="E8" s="6" t="s">
        <v>149</v>
      </c>
      <c r="F8" s="1">
        <v>2.4584377540175297</v>
      </c>
      <c r="G8" s="1">
        <v>1.5263441695757032</v>
      </c>
      <c r="I8" s="6" t="s">
        <v>149</v>
      </c>
      <c r="J8" s="1">
        <v>-17.842307692307692</v>
      </c>
      <c r="K8" s="1">
        <v>27.36364380646086</v>
      </c>
    </row>
    <row r="9" spans="1:11" x14ac:dyDescent="0.25">
      <c r="A9" s="6" t="s">
        <v>190</v>
      </c>
      <c r="B9" s="1">
        <v>1.1820246230013771</v>
      </c>
      <c r="C9" s="1">
        <v>21.192217535140262</v>
      </c>
      <c r="E9" s="6" t="s">
        <v>190</v>
      </c>
      <c r="F9" s="1">
        <v>2.2240246201018739</v>
      </c>
      <c r="G9" s="1">
        <v>2.1092643962704316</v>
      </c>
      <c r="I9" s="6" t="s">
        <v>190</v>
      </c>
      <c r="J9" s="1">
        <v>-24.503333333333337</v>
      </c>
      <c r="K9" s="1">
        <v>28.085743635438156</v>
      </c>
    </row>
    <row r="10" spans="1:11" x14ac:dyDescent="0.25">
      <c r="A10" s="6" t="s">
        <v>172</v>
      </c>
      <c r="B10" s="1">
        <v>-4.274366413591828</v>
      </c>
      <c r="C10" s="1">
        <v>14.525987707881715</v>
      </c>
      <c r="E10" s="6" t="s">
        <v>172</v>
      </c>
      <c r="F10" s="1">
        <v>2.55043063489902</v>
      </c>
      <c r="G10" s="1">
        <v>2.1063017196359093</v>
      </c>
      <c r="I10" s="6" t="s">
        <v>172</v>
      </c>
      <c r="J10" s="1">
        <v>-15.100238095238099</v>
      </c>
      <c r="K10" s="1">
        <v>25.979130588489429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152</v>
      </c>
      <c r="B25" s="1">
        <v>-22.553278688524578</v>
      </c>
      <c r="C25" s="1">
        <v>16.157837130185822</v>
      </c>
      <c r="E25" s="6" t="s">
        <v>152</v>
      </c>
      <c r="F25" s="1">
        <v>1.4287850467289722</v>
      </c>
      <c r="G25" s="1">
        <v>0.44280691406174544</v>
      </c>
      <c r="I25" s="6" t="s">
        <v>152</v>
      </c>
      <c r="J25" s="1">
        <v>-4.786262180024158</v>
      </c>
      <c r="K25" s="1">
        <v>3.1756000426269861</v>
      </c>
    </row>
    <row r="26" spans="1:11" x14ac:dyDescent="0.25">
      <c r="A26" s="6" t="s">
        <v>105</v>
      </c>
      <c r="B26" s="1">
        <v>-7.4210526315789487</v>
      </c>
      <c r="C26" s="1">
        <v>12.594793784374327</v>
      </c>
      <c r="E26" s="6" t="s">
        <v>105</v>
      </c>
      <c r="F26" s="1">
        <v>1.6343750000000004</v>
      </c>
      <c r="G26" s="1">
        <v>0.45510258115615881</v>
      </c>
      <c r="I26" s="6" t="s">
        <v>105</v>
      </c>
      <c r="J26" s="1">
        <v>-8.9687366392702135</v>
      </c>
      <c r="K26" s="1">
        <v>10.399027194313561</v>
      </c>
    </row>
    <row r="27" spans="1:11" x14ac:dyDescent="0.25">
      <c r="A27" s="6" t="s">
        <v>129</v>
      </c>
      <c r="B27" s="1">
        <v>1.44625</v>
      </c>
      <c r="C27" s="1">
        <v>4.3528063864017659</v>
      </c>
      <c r="E27" s="6" t="s">
        <v>129</v>
      </c>
      <c r="F27" s="1">
        <v>2.4934374999999998</v>
      </c>
      <c r="G27" s="1">
        <v>1.382512679360935</v>
      </c>
      <c r="I27" s="6" t="s">
        <v>129</v>
      </c>
      <c r="J27" s="1">
        <v>1.9462481652969417</v>
      </c>
      <c r="K27" s="1">
        <v>20.228308206639472</v>
      </c>
    </row>
    <row r="28" spans="1:11" x14ac:dyDescent="0.25">
      <c r="A28" s="6" t="s">
        <v>149</v>
      </c>
      <c r="B28" s="1">
        <v>0.14846153846153837</v>
      </c>
      <c r="C28" s="1">
        <v>3.1629704786040462</v>
      </c>
      <c r="E28" s="6" t="s">
        <v>149</v>
      </c>
      <c r="F28" s="1">
        <v>1.9361538461538461</v>
      </c>
      <c r="G28" s="1">
        <v>0.5242362717697564</v>
      </c>
      <c r="I28" s="6" t="s">
        <v>149</v>
      </c>
      <c r="J28" s="1">
        <v>9.0394058786212241</v>
      </c>
      <c r="K28" s="1">
        <v>33.478645569089686</v>
      </c>
    </row>
    <row r="29" spans="1:11" x14ac:dyDescent="0.25">
      <c r="A29" s="6" t="s">
        <v>190</v>
      </c>
      <c r="B29" s="1">
        <v>-4.8660000000000005</v>
      </c>
      <c r="C29" s="1">
        <v>6.9807294747755417</v>
      </c>
      <c r="E29" s="6" t="s">
        <v>190</v>
      </c>
      <c r="F29" s="1">
        <v>1.8942857142857139</v>
      </c>
      <c r="G29" s="1">
        <v>0.80854997447559762</v>
      </c>
      <c r="I29" s="6" t="s">
        <v>190</v>
      </c>
      <c r="J29" s="1">
        <v>-4.8893328863713377</v>
      </c>
      <c r="K29" s="1">
        <v>3.692017495982066</v>
      </c>
    </row>
    <row r="30" spans="1:11" x14ac:dyDescent="0.25">
      <c r="A30" s="6" t="s">
        <v>172</v>
      </c>
      <c r="B30" s="1">
        <v>-9.8185416666666665</v>
      </c>
      <c r="C30" s="1">
        <v>14.72819178616067</v>
      </c>
      <c r="E30" s="6" t="s">
        <v>172</v>
      </c>
      <c r="F30" s="1">
        <v>1.37625</v>
      </c>
      <c r="G30" s="1">
        <v>0.52034934178876413</v>
      </c>
      <c r="I30" s="6" t="s">
        <v>172</v>
      </c>
      <c r="J30" s="1">
        <v>-7.8133307382498698</v>
      </c>
      <c r="K30" s="1">
        <v>6.2458377362962549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1" sqref="J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Health Care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558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4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2">_xlfn._xlws.FILTER(_xlfn._xlws.FILTER(Main_L[], Main_L[Preliminary Criteria]="YES"), COUNTIF($A$8:$S$8,Main_L[#Headers]))</f>
        <v>Biotechnology</v>
      </c>
      <c r="B9" t="str">
        <v>GMAB</v>
      </c>
      <c r="C9" s="9">
        <v>12903</v>
      </c>
      <c r="D9" s="1">
        <v>22.25</v>
      </c>
      <c r="E9" s="1">
        <v>18.12</v>
      </c>
      <c r="F9" s="1">
        <v>83.61</v>
      </c>
      <c r="G9" s="1">
        <v>18.36</v>
      </c>
      <c r="H9" s="1">
        <v>1.2279249448123619</v>
      </c>
      <c r="I9" s="1">
        <v>0.26611649324243514</v>
      </c>
      <c r="J9" s="1">
        <v>22.8</v>
      </c>
      <c r="K9" s="1">
        <v>11.54</v>
      </c>
      <c r="L9" s="1">
        <v>1.24</v>
      </c>
      <c r="M9" s="1">
        <v>1.2118736383442266</v>
      </c>
      <c r="N9" s="1">
        <v>-3.6731821202079191E-2</v>
      </c>
      <c r="O9" s="1">
        <v>-0.77712542152177522</v>
      </c>
      <c r="P9" s="1">
        <v>0.89593237603190123</v>
      </c>
      <c r="Q9" s="1">
        <v>0.86270574700032221</v>
      </c>
      <c r="R9" s="1">
        <v>-0.56986057400352064</v>
      </c>
      <c r="S9" s="1">
        <v>-0.18102913602898668</v>
      </c>
      <c r="T9">
        <f t="shared" ref="T9:T12" si="0">SUM(IF($I9&lt;(0.7*VLOOKUP($A9, Mean_PB_L, 2, FALSE)),1,0), IF($J9&gt;VLOOKUP($A9, Mean_ROE_L, 2, FALSE),1,0), IF($K9&gt;VLOOKUP($A9, Mean_ROA_L, 2,FALSE),1,0), IF($M9&lt;VLOOKUP($A9, Mean_PE_L, 2, FALSE),1,0), IF(AND($M9&gt;1,$M9&lt;25),1,0))</f>
        <v>5</v>
      </c>
    </row>
    <row r="10" spans="1:20" x14ac:dyDescent="0.25">
      <c r="A10" t="str">
        <v>Health Care Equipment &amp; Supplies</v>
      </c>
      <c r="B10" t="str">
        <v>ALGN</v>
      </c>
      <c r="C10" s="2">
        <v>13115</v>
      </c>
      <c r="D10" s="1">
        <v>180.93</v>
      </c>
      <c r="E10" s="1">
        <v>8.4700000000000006</v>
      </c>
      <c r="F10" s="1">
        <v>51.94</v>
      </c>
      <c r="G10" s="1">
        <v>5.5</v>
      </c>
      <c r="H10" s="1">
        <v>21.361275088547814</v>
      </c>
      <c r="I10" s="1">
        <v>3.483442433577205</v>
      </c>
      <c r="J10" s="1">
        <v>10.84</v>
      </c>
      <c r="K10" s="1">
        <v>6.72</v>
      </c>
      <c r="L10" s="1">
        <v>1.61</v>
      </c>
      <c r="M10" s="1">
        <v>32.896363636363638</v>
      </c>
      <c r="N10" s="1">
        <v>-0.91431621579888622</v>
      </c>
      <c r="O10" s="1">
        <v>-0.30576481768296593</v>
      </c>
      <c r="P10" s="1">
        <v>-0.21906138456968019</v>
      </c>
      <c r="Q10" s="1">
        <v>0.72055835474853369</v>
      </c>
      <c r="R10" s="1">
        <v>-0.53462057605778701</v>
      </c>
      <c r="S10" s="1">
        <v>-0.49261265732745629</v>
      </c>
      <c r="T10">
        <f t="shared" si="0"/>
        <v>2</v>
      </c>
    </row>
    <row r="11" spans="1:20" x14ac:dyDescent="0.25">
      <c r="A11" t="str">
        <v>Health Care Equipment &amp; Supplies</v>
      </c>
      <c r="B11" t="str">
        <v>HOLX</v>
      </c>
      <c r="C11" s="2">
        <v>13854</v>
      </c>
      <c r="D11" s="1">
        <v>64.569999999999993</v>
      </c>
      <c r="E11" s="1">
        <v>4.2</v>
      </c>
      <c r="F11" s="1">
        <v>20.73</v>
      </c>
      <c r="G11" s="1">
        <v>2.39</v>
      </c>
      <c r="H11" s="1">
        <v>15.373809523809522</v>
      </c>
      <c r="I11" s="1">
        <v>3.1148094548962852</v>
      </c>
      <c r="J11" s="1">
        <v>11.77</v>
      </c>
      <c r="K11" s="1">
        <v>6.92</v>
      </c>
      <c r="L11" s="1">
        <v>1.85</v>
      </c>
      <c r="M11" s="1">
        <v>27.016736401673636</v>
      </c>
      <c r="N11" s="1">
        <v>-1.1622041969471266</v>
      </c>
      <c r="O11" s="1">
        <v>-0.45475667103605105</v>
      </c>
      <c r="P11" s="1">
        <v>-0.1256085920697709</v>
      </c>
      <c r="Q11" s="1">
        <v>0.82993114441040017</v>
      </c>
      <c r="R11" s="1">
        <v>-7.40243874541546E-2</v>
      </c>
      <c r="S11" s="1">
        <v>-0.79161962220806015</v>
      </c>
      <c r="T11">
        <f t="shared" si="0"/>
        <v>2</v>
      </c>
    </row>
    <row r="12" spans="1:20" x14ac:dyDescent="0.25">
      <c r="A12" t="str">
        <v>Health Care Providers &amp; Services</v>
      </c>
      <c r="B12" t="str">
        <v>UHS</v>
      </c>
      <c r="C12" s="2">
        <v>12266</v>
      </c>
      <c r="D12" s="1">
        <v>177.77</v>
      </c>
      <c r="E12" s="1">
        <v>16.010000000000002</v>
      </c>
      <c r="F12" s="1">
        <v>105.3</v>
      </c>
      <c r="G12" s="1">
        <v>17.8</v>
      </c>
      <c r="H12" s="1">
        <v>11.10368519675203</v>
      </c>
      <c r="I12" s="1">
        <v>1.6882241215574549</v>
      </c>
      <c r="J12" s="1">
        <v>18.47</v>
      </c>
      <c r="K12" s="1">
        <v>7.57</v>
      </c>
      <c r="L12" s="1">
        <v>2.19</v>
      </c>
      <c r="M12" s="1">
        <v>9.987078651685394</v>
      </c>
      <c r="N12" s="1">
        <v>-0.69151061306547901</v>
      </c>
      <c r="O12" s="1">
        <v>-0.54612636695730732</v>
      </c>
      <c r="P12" s="1">
        <v>-0.11012366677256979</v>
      </c>
      <c r="Q12" s="1">
        <v>0.67918898225819369</v>
      </c>
      <c r="R12" s="1">
        <v>-0.96520763535010179</v>
      </c>
      <c r="S12" s="1">
        <v>-1.1587295536311952</v>
      </c>
      <c r="T12">
        <f t="shared" si="0"/>
        <v>4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F29" sqref="F29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Health Care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2/5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558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_xlfn._xlws.FILTER(_xlfn._xlws.FILTER(Main_M[], Main_M[Preliminary Criteria]="YES"), COUNTIF($A$8:$S$8,Main_M[#Headers]))</f>
        <v>Health Care Providers &amp; Services</v>
      </c>
      <c r="B9" t="str">
        <v>OPCH</v>
      </c>
      <c r="C9" s="2">
        <v>5351</v>
      </c>
      <c r="D9" s="1">
        <v>31.67</v>
      </c>
      <c r="E9" s="1">
        <v>2.04</v>
      </c>
      <c r="F9" s="1">
        <v>8.25</v>
      </c>
      <c r="G9" s="1">
        <v>1.25</v>
      </c>
      <c r="H9" s="1">
        <v>15.524509803921569</v>
      </c>
      <c r="I9" s="1">
        <v>3.8387878787878789</v>
      </c>
      <c r="J9" s="1">
        <v>15.38</v>
      </c>
      <c r="K9" s="1">
        <v>6.33</v>
      </c>
      <c r="L9" s="1">
        <v>2.4500000000000002</v>
      </c>
      <c r="M9" s="1">
        <v>25.336000000000002</v>
      </c>
      <c r="N9" s="1">
        <v>-0.84946181900644424</v>
      </c>
      <c r="O9" s="1">
        <v>-2.4994830390077622E-2</v>
      </c>
      <c r="P9" s="1">
        <v>0.66619793758662027</v>
      </c>
      <c r="Q9" s="1">
        <v>0.37844319598716608</v>
      </c>
      <c r="R9" s="1">
        <v>-5.9064740545050551E-2</v>
      </c>
      <c r="S9" s="1">
        <v>0.20012116783126024</v>
      </c>
      <c r="T9">
        <f t="shared" ref="T9" si="0">SUM(IF($I9 &lt; (0.7*VLOOKUP($A9, Mean_PB_M, 2, FALSE)),1,0), IF($J9&gt;VLOOKUP($A9, Mean_ROE_M, 2, FALSE),1,0), IF($K9&gt;VLOOKUP($A9, Mean_ROA_M, 2,FALSE),1,0), IF($M9&lt;VLOOKUP($A9, Mean_PE_M, 2, FALSE),1,0), IF(AND($M9&gt;1,$M9&lt;25),1,0))</f>
        <v>2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23" sqref="K23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Health Care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558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2025-06-09T20:37:13Z</dcterms:modified>
</cp:coreProperties>
</file>
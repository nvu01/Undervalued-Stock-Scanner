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9C6E4CF3-C00E-42B1-82E1-7A2A72D27AE3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Main_L!$A$1:$M$55</definedName>
    <definedName name="ExternalData_1" localSheetId="2" hidden="1">Main_M!$A$1:$M$67</definedName>
    <definedName name="ExternalData_1" localSheetId="3" hidden="1">Main_S!$A$1:$M$126</definedName>
    <definedName name="ExternalData_5" localSheetId="4" hidden="1">'Quartile Tables'!$A$2:$Y$4</definedName>
    <definedName name="ExternalData_6" localSheetId="4" hidden="1">'Quartile Tables'!$A$8:$Y$10</definedName>
    <definedName name="ExternalData_7" localSheetId="4" hidden="1">'Quartile Tables'!$A$14:$Y$16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11" l="1"/>
  <c r="T11" i="11"/>
  <c r="Y16" i="1"/>
  <c r="Y15" i="1"/>
  <c r="X16" i="1"/>
  <c r="X15" i="1"/>
  <c r="W16" i="1" a="1"/>
  <c r="W16" i="1"/>
  <c r="W15" i="1" a="1"/>
  <c r="W15" i="1" s="1"/>
  <c r="V16" i="1" a="1"/>
  <c r="V16" i="1" s="1"/>
  <c r="V15" i="1" a="1"/>
  <c r="V15" i="1" s="1"/>
  <c r="Q16" i="1"/>
  <c r="Q15" i="1"/>
  <c r="P16" i="1"/>
  <c r="P15" i="1"/>
  <c r="O16" i="1" a="1"/>
  <c r="O16" i="1" s="1"/>
  <c r="O15" i="1" a="1"/>
  <c r="O15" i="1" s="1"/>
  <c r="N16" i="1" a="1"/>
  <c r="N16" i="1"/>
  <c r="N15" i="1" a="1"/>
  <c r="N15" i="1" s="1"/>
  <c r="M16" i="1"/>
  <c r="M15" i="1"/>
  <c r="L16" i="1"/>
  <c r="L15" i="1"/>
  <c r="K16" i="1" a="1"/>
  <c r="K16" i="1" s="1"/>
  <c r="K15" i="1" a="1"/>
  <c r="K15" i="1" s="1"/>
  <c r="J16" i="1" a="1"/>
  <c r="J16" i="1" s="1"/>
  <c r="J15" i="1" a="1"/>
  <c r="J15" i="1" s="1"/>
  <c r="Y10" i="1"/>
  <c r="Y9" i="1"/>
  <c r="X10" i="1"/>
  <c r="X9" i="1"/>
  <c r="W10" i="1" a="1"/>
  <c r="W10" i="1" s="1"/>
  <c r="W9" i="1" a="1"/>
  <c r="W9" i="1" s="1"/>
  <c r="V10" i="1" a="1"/>
  <c r="V10" i="1" s="1"/>
  <c r="V9" i="1" a="1"/>
  <c r="V9" i="1" s="1"/>
  <c r="Q10" i="1"/>
  <c r="Q9" i="1"/>
  <c r="P10" i="1"/>
  <c r="P9" i="1"/>
  <c r="O10" i="1" a="1"/>
  <c r="O10" i="1"/>
  <c r="O9" i="1" a="1"/>
  <c r="O9" i="1" s="1"/>
  <c r="N10" i="1" a="1"/>
  <c r="N10" i="1"/>
  <c r="N9" i="1" a="1"/>
  <c r="N9" i="1" s="1"/>
  <c r="M10" i="1"/>
  <c r="M9" i="1"/>
  <c r="L10" i="1"/>
  <c r="L9" i="1"/>
  <c r="K10" i="1" a="1"/>
  <c r="K10" i="1" s="1"/>
  <c r="K9" i="1" a="1"/>
  <c r="K9" i="1"/>
  <c r="J10" i="1" a="1"/>
  <c r="J10" i="1" s="1"/>
  <c r="J9" i="1" a="1"/>
  <c r="J9" i="1"/>
  <c r="Y4" i="1"/>
  <c r="Y3" i="1"/>
  <c r="X4" i="1"/>
  <c r="X3" i="1"/>
  <c r="W4" i="1" a="1"/>
  <c r="W4" i="1"/>
  <c r="W3" i="1" a="1"/>
  <c r="W3" i="1"/>
  <c r="V4" i="1" a="1"/>
  <c r="V4" i="1" s="1"/>
  <c r="V3" i="1" a="1"/>
  <c r="V3" i="1"/>
  <c r="Q4" i="1"/>
  <c r="Q3" i="1"/>
  <c r="P4" i="1"/>
  <c r="P3" i="1"/>
  <c r="O4" i="1" a="1"/>
  <c r="O4" i="1"/>
  <c r="O3" i="1" a="1"/>
  <c r="O3" i="1" s="1"/>
  <c r="N4" i="1" a="1"/>
  <c r="N4" i="1" s="1"/>
  <c r="N3" i="1" a="1"/>
  <c r="N3" i="1" s="1"/>
  <c r="M4" i="1"/>
  <c r="M3" i="1"/>
  <c r="L4" i="1"/>
  <c r="L3" i="1"/>
  <c r="K4" i="1" a="1"/>
  <c r="K4" i="1" s="1"/>
  <c r="K3" i="1" a="1"/>
  <c r="K3" i="1" s="1"/>
  <c r="J4" i="1" a="1"/>
  <c r="J4" i="1"/>
  <c r="J3" i="1" a="1"/>
  <c r="J3" i="1"/>
  <c r="M126" i="4"/>
  <c r="M125" i="4"/>
  <c r="M120" i="4"/>
  <c r="M119" i="4"/>
  <c r="M118" i="4"/>
  <c r="T118" i="4" s="1"/>
  <c r="M117" i="4"/>
  <c r="T117" i="4" s="1"/>
  <c r="M111" i="4"/>
  <c r="T111" i="4" s="1"/>
  <c r="M110" i="4"/>
  <c r="T110" i="4" s="1"/>
  <c r="M108" i="4"/>
  <c r="T108" i="4" s="1"/>
  <c r="M107" i="4"/>
  <c r="T107" i="4" s="1"/>
  <c r="M99" i="4"/>
  <c r="T99" i="4" s="1"/>
  <c r="M98" i="4"/>
  <c r="M97" i="4"/>
  <c r="T97" i="4" s="1"/>
  <c r="M91" i="4"/>
  <c r="M90" i="4"/>
  <c r="M89" i="4"/>
  <c r="M79" i="4"/>
  <c r="M78" i="4"/>
  <c r="T78" i="4" s="1"/>
  <c r="M77" i="4"/>
  <c r="T77" i="4" s="1"/>
  <c r="M71" i="4"/>
  <c r="M70" i="4"/>
  <c r="M69" i="4"/>
  <c r="T69" i="4" s="1"/>
  <c r="M68" i="4"/>
  <c r="T68" i="4" s="1"/>
  <c r="M67" i="4"/>
  <c r="T67" i="4" s="1"/>
  <c r="M66" i="4"/>
  <c r="T66" i="4" s="1"/>
  <c r="M65" i="4"/>
  <c r="T65" i="4" s="1"/>
  <c r="M60" i="4"/>
  <c r="T60" i="4" s="1"/>
  <c r="M59" i="4"/>
  <c r="T59" i="4" s="1"/>
  <c r="M58" i="4"/>
  <c r="M57" i="4"/>
  <c r="T57" i="4" s="1"/>
  <c r="M51" i="4"/>
  <c r="T51" i="4" s="1"/>
  <c r="M50" i="4"/>
  <c r="T50" i="4" s="1"/>
  <c r="M49" i="4"/>
  <c r="T49" i="4" s="1"/>
  <c r="M47" i="4"/>
  <c r="M45" i="4"/>
  <c r="T45" i="4" s="1"/>
  <c r="M41" i="4"/>
  <c r="M39" i="4"/>
  <c r="M38" i="4"/>
  <c r="M37" i="4"/>
  <c r="M31" i="4"/>
  <c r="M28" i="4"/>
  <c r="T28" i="4" s="1"/>
  <c r="M27" i="4"/>
  <c r="T27" i="4" s="1"/>
  <c r="M26" i="4"/>
  <c r="T26" i="4" s="1"/>
  <c r="M21" i="4"/>
  <c r="T21" i="4" s="1"/>
  <c r="M19" i="4"/>
  <c r="T19" i="4" s="1"/>
  <c r="M18" i="4"/>
  <c r="M17" i="4"/>
  <c r="M11" i="4"/>
  <c r="T11" i="4" s="1"/>
  <c r="M10" i="4"/>
  <c r="T10" i="4" s="1"/>
  <c r="M9" i="4"/>
  <c r="M8" i="4"/>
  <c r="T8" i="4" s="1"/>
  <c r="M7" i="4"/>
  <c r="T7" i="4" s="1"/>
  <c r="M2" i="4"/>
  <c r="T2" i="4" s="1"/>
  <c r="I124" i="4"/>
  <c r="N124" i="4" s="1"/>
  <c r="I122" i="4"/>
  <c r="N122" i="4" s="1"/>
  <c r="I119" i="4"/>
  <c r="I118" i="4"/>
  <c r="I117" i="4"/>
  <c r="P117" i="4" s="1"/>
  <c r="I111" i="4"/>
  <c r="P111" i="4" s="1"/>
  <c r="I110" i="4"/>
  <c r="P110" i="4" s="1"/>
  <c r="I106" i="4"/>
  <c r="I102" i="4"/>
  <c r="P102" i="4" s="1"/>
  <c r="I98" i="4"/>
  <c r="I97" i="4"/>
  <c r="I91" i="4"/>
  <c r="I90" i="4"/>
  <c r="P90" i="4" s="1"/>
  <c r="I86" i="4"/>
  <c r="P86" i="4" s="1"/>
  <c r="I85" i="4"/>
  <c r="P85" i="4" s="1"/>
  <c r="I83" i="4"/>
  <c r="P83" i="4" s="1"/>
  <c r="I82" i="4"/>
  <c r="P82" i="4" s="1"/>
  <c r="I79" i="4"/>
  <c r="I78" i="4"/>
  <c r="I77" i="4"/>
  <c r="I75" i="4"/>
  <c r="P75" i="4" s="1"/>
  <c r="I71" i="4"/>
  <c r="P71" i="4" s="1"/>
  <c r="I70" i="4"/>
  <c r="P70" i="4" s="1"/>
  <c r="I66" i="4"/>
  <c r="P66" i="4" s="1"/>
  <c r="I64" i="4"/>
  <c r="P64" i="4" s="1"/>
  <c r="I63" i="4"/>
  <c r="I62" i="4"/>
  <c r="I60" i="4"/>
  <c r="P60" i="4" s="1"/>
  <c r="I59" i="4"/>
  <c r="P59" i="4" s="1"/>
  <c r="I58" i="4"/>
  <c r="I57" i="4"/>
  <c r="I51" i="4"/>
  <c r="P51" i="4" s="1"/>
  <c r="I50" i="4"/>
  <c r="P50" i="4" s="1"/>
  <c r="I46" i="4"/>
  <c r="P46" i="4" s="1"/>
  <c r="I42" i="4"/>
  <c r="P42" i="4" s="1"/>
  <c r="I39" i="4"/>
  <c r="I38" i="4"/>
  <c r="I37" i="4"/>
  <c r="I36" i="4"/>
  <c r="P36" i="4" s="1"/>
  <c r="I35" i="4"/>
  <c r="P35" i="4" s="1"/>
  <c r="I34" i="4"/>
  <c r="N34" i="4" s="1"/>
  <c r="I33" i="4"/>
  <c r="P33" i="4" s="1"/>
  <c r="I31" i="4"/>
  <c r="P31" i="4" s="1"/>
  <c r="I24" i="4"/>
  <c r="I22" i="4"/>
  <c r="P22" i="4" s="1"/>
  <c r="I19" i="4"/>
  <c r="I18" i="4"/>
  <c r="I17" i="4"/>
  <c r="P17" i="4" s="1"/>
  <c r="I11" i="4"/>
  <c r="I10" i="4"/>
  <c r="P10" i="4" s="1"/>
  <c r="I6" i="4"/>
  <c r="P6" i="4" s="1"/>
  <c r="I2" i="4"/>
  <c r="H124" i="4"/>
  <c r="H122" i="4"/>
  <c r="O122" i="4" s="1"/>
  <c r="H119" i="4"/>
  <c r="H118" i="4"/>
  <c r="O118" i="4" s="1"/>
  <c r="H117" i="4"/>
  <c r="O117" i="4" s="1"/>
  <c r="H116" i="4"/>
  <c r="O116" i="4" s="1"/>
  <c r="H115" i="4"/>
  <c r="H111" i="4"/>
  <c r="O111" i="4" s="1"/>
  <c r="H110" i="4"/>
  <c r="O110" i="4" s="1"/>
  <c r="H108" i="4"/>
  <c r="N108" i="4" s="1"/>
  <c r="H107" i="4"/>
  <c r="O107" i="4" s="1"/>
  <c r="H101" i="4"/>
  <c r="H100" i="4"/>
  <c r="H98" i="4"/>
  <c r="H97" i="4"/>
  <c r="H91" i="4"/>
  <c r="N91" i="4" s="1"/>
  <c r="H90" i="4"/>
  <c r="O90" i="4" s="1"/>
  <c r="H89" i="4"/>
  <c r="N89" i="4" s="1"/>
  <c r="H88" i="4"/>
  <c r="N88" i="4" s="1"/>
  <c r="H87" i="4"/>
  <c r="O87" i="4" s="1"/>
  <c r="H85" i="4"/>
  <c r="H83" i="4"/>
  <c r="O83" i="4" s="1"/>
  <c r="H82" i="4"/>
  <c r="O82" i="4" s="1"/>
  <c r="H79" i="4"/>
  <c r="H78" i="4"/>
  <c r="H77" i="4"/>
  <c r="N77" i="4" s="1"/>
  <c r="H76" i="4"/>
  <c r="H71" i="4"/>
  <c r="O71" i="4" s="1"/>
  <c r="H70" i="4"/>
  <c r="H69" i="4"/>
  <c r="H68" i="4"/>
  <c r="H67" i="4"/>
  <c r="O67" i="4" s="1"/>
  <c r="H64" i="4"/>
  <c r="N64" i="4" s="1"/>
  <c r="H63" i="4"/>
  <c r="H62" i="4"/>
  <c r="N62" i="4" s="1"/>
  <c r="H61" i="4"/>
  <c r="H60" i="4"/>
  <c r="H59" i="4"/>
  <c r="H58" i="4"/>
  <c r="H57" i="4"/>
  <c r="H51" i="4"/>
  <c r="H50" i="4"/>
  <c r="H49" i="4"/>
  <c r="O49" i="4" s="1"/>
  <c r="H48" i="4"/>
  <c r="H47" i="4"/>
  <c r="H42" i="4"/>
  <c r="N42" i="4" s="1"/>
  <c r="H41" i="4"/>
  <c r="O41" i="4" s="1"/>
  <c r="H40" i="4"/>
  <c r="H39" i="4"/>
  <c r="H38" i="4"/>
  <c r="H37" i="4"/>
  <c r="H31" i="4"/>
  <c r="O31" i="4" s="1"/>
  <c r="H24" i="4"/>
  <c r="N24" i="4" s="1"/>
  <c r="H22" i="4"/>
  <c r="H19" i="4"/>
  <c r="O19" i="4" s="1"/>
  <c r="H18" i="4"/>
  <c r="O18" i="4" s="1"/>
  <c r="H17" i="4"/>
  <c r="H16" i="4"/>
  <c r="H15" i="4"/>
  <c r="H11" i="4"/>
  <c r="N11" i="4" s="1"/>
  <c r="H10" i="4"/>
  <c r="N10" i="4" s="1"/>
  <c r="H9" i="4"/>
  <c r="O9" i="4" s="1"/>
  <c r="H8" i="4"/>
  <c r="H7" i="4"/>
  <c r="N7" i="4" s="1"/>
  <c r="H2" i="4"/>
  <c r="D126" i="4"/>
  <c r="H126" i="4" s="1"/>
  <c r="O126" i="4" s="1"/>
  <c r="D125" i="4"/>
  <c r="D124" i="4"/>
  <c r="M124" i="4" s="1"/>
  <c r="D123" i="4"/>
  <c r="D122" i="4"/>
  <c r="M122" i="4" s="1"/>
  <c r="T122" i="4" s="1"/>
  <c r="D121" i="4"/>
  <c r="D120" i="4"/>
  <c r="I120" i="4" s="1"/>
  <c r="P120" i="4" s="1"/>
  <c r="D119" i="4"/>
  <c r="D118" i="4"/>
  <c r="D117" i="4"/>
  <c r="D116" i="4"/>
  <c r="D115" i="4"/>
  <c r="M115" i="4" s="1"/>
  <c r="D114" i="4"/>
  <c r="I114" i="4" s="1"/>
  <c r="P114" i="4" s="1"/>
  <c r="D113" i="4"/>
  <c r="I113" i="4" s="1"/>
  <c r="P113" i="4" s="1"/>
  <c r="D112" i="4"/>
  <c r="D111" i="4"/>
  <c r="D110" i="4"/>
  <c r="D109" i="4"/>
  <c r="I109" i="4" s="1"/>
  <c r="P109" i="4" s="1"/>
  <c r="D108" i="4"/>
  <c r="I108" i="4" s="1"/>
  <c r="D107" i="4"/>
  <c r="I107" i="4" s="1"/>
  <c r="P107" i="4" s="1"/>
  <c r="D106" i="4"/>
  <c r="H106" i="4" s="1"/>
  <c r="D105" i="4"/>
  <c r="D104" i="4"/>
  <c r="M104" i="4" s="1"/>
  <c r="D103" i="4"/>
  <c r="D102" i="4"/>
  <c r="M102" i="4" s="1"/>
  <c r="D101" i="4"/>
  <c r="D100" i="4"/>
  <c r="I100" i="4" s="1"/>
  <c r="D99" i="4"/>
  <c r="H99" i="4" s="1"/>
  <c r="D98" i="4"/>
  <c r="D97" i="4"/>
  <c r="D96" i="4"/>
  <c r="D95" i="4"/>
  <c r="D94" i="4"/>
  <c r="D93" i="4"/>
  <c r="H93" i="4" s="1"/>
  <c r="D92" i="4"/>
  <c r="D91" i="4"/>
  <c r="D90" i="4"/>
  <c r="D89" i="4"/>
  <c r="I89" i="4" s="1"/>
  <c r="D88" i="4"/>
  <c r="I88" i="4" s="1"/>
  <c r="D87" i="4"/>
  <c r="I87" i="4" s="1"/>
  <c r="D86" i="4"/>
  <c r="H86" i="4" s="1"/>
  <c r="D85" i="4"/>
  <c r="M85" i="4" s="1"/>
  <c r="D84" i="4"/>
  <c r="M84" i="4" s="1"/>
  <c r="D83" i="4"/>
  <c r="M83" i="4" s="1"/>
  <c r="D82" i="4"/>
  <c r="M82" i="4" s="1"/>
  <c r="T82" i="4" s="1"/>
  <c r="D81" i="4"/>
  <c r="D80" i="4"/>
  <c r="I80" i="4" s="1"/>
  <c r="P80" i="4" s="1"/>
  <c r="D79" i="4"/>
  <c r="D78" i="4"/>
  <c r="D77" i="4"/>
  <c r="D76" i="4"/>
  <c r="D75" i="4"/>
  <c r="D74" i="4"/>
  <c r="D73" i="4"/>
  <c r="I73" i="4" s="1"/>
  <c r="P73" i="4" s="1"/>
  <c r="D72" i="4"/>
  <c r="D71" i="4"/>
  <c r="D70" i="4"/>
  <c r="D69" i="4"/>
  <c r="I69" i="4" s="1"/>
  <c r="D68" i="4"/>
  <c r="I68" i="4" s="1"/>
  <c r="D67" i="4"/>
  <c r="I67" i="4" s="1"/>
  <c r="D66" i="4"/>
  <c r="H66" i="4" s="1"/>
  <c r="O66" i="4" s="1"/>
  <c r="D65" i="4"/>
  <c r="D64" i="4"/>
  <c r="M64" i="4" s="1"/>
  <c r="D63" i="4"/>
  <c r="M63" i="4" s="1"/>
  <c r="D62" i="4"/>
  <c r="M62" i="4" s="1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I49" i="4" s="1"/>
  <c r="P49" i="4" s="1"/>
  <c r="D48" i="4"/>
  <c r="I48" i="4" s="1"/>
  <c r="P48" i="4" s="1"/>
  <c r="D47" i="4"/>
  <c r="I47" i="4" s="1"/>
  <c r="P47" i="4" s="1"/>
  <c r="D46" i="4"/>
  <c r="H46" i="4" s="1"/>
  <c r="O46" i="4" s="1"/>
  <c r="D45" i="4"/>
  <c r="D44" i="4"/>
  <c r="M44" i="4" s="1"/>
  <c r="D43" i="4"/>
  <c r="D42" i="4"/>
  <c r="M42" i="4" s="1"/>
  <c r="D41" i="4"/>
  <c r="I41" i="4" s="1"/>
  <c r="D40" i="4"/>
  <c r="I40" i="4" s="1"/>
  <c r="D39" i="4"/>
  <c r="D38" i="4"/>
  <c r="D37" i="4"/>
  <c r="D36" i="4"/>
  <c r="M36" i="4" s="1"/>
  <c r="T36" i="4" s="1"/>
  <c r="D35" i="4"/>
  <c r="H35" i="4" s="1"/>
  <c r="D34" i="4"/>
  <c r="H34" i="4" s="1"/>
  <c r="O34" i="4" s="1"/>
  <c r="D33" i="4"/>
  <c r="H33" i="4" s="1"/>
  <c r="D32" i="4"/>
  <c r="D31" i="4"/>
  <c r="D30" i="4"/>
  <c r="H30" i="4" s="1"/>
  <c r="O30" i="4" s="1"/>
  <c r="D29" i="4"/>
  <c r="I29" i="4" s="1"/>
  <c r="D28" i="4"/>
  <c r="I28" i="4" s="1"/>
  <c r="D27" i="4"/>
  <c r="I27" i="4" s="1"/>
  <c r="P27" i="4" s="1"/>
  <c r="D26" i="4"/>
  <c r="H26" i="4" s="1"/>
  <c r="D25" i="4"/>
  <c r="D24" i="4"/>
  <c r="M24" i="4" s="1"/>
  <c r="D23" i="4"/>
  <c r="D22" i="4"/>
  <c r="M22" i="4" s="1"/>
  <c r="D21" i="4"/>
  <c r="I21" i="4" s="1"/>
  <c r="P21" i="4" s="1"/>
  <c r="D20" i="4"/>
  <c r="D19" i="4"/>
  <c r="D18" i="4"/>
  <c r="D17" i="4"/>
  <c r="D16" i="4"/>
  <c r="D15" i="4"/>
  <c r="M15" i="4" s="1"/>
  <c r="T15" i="4" s="1"/>
  <c r="D14" i="4"/>
  <c r="H14" i="4" s="1"/>
  <c r="D13" i="4"/>
  <c r="H13" i="4" s="1"/>
  <c r="O13" i="4" s="1"/>
  <c r="D12" i="4"/>
  <c r="I12" i="4" s="1"/>
  <c r="P12" i="4" s="1"/>
  <c r="D11" i="4"/>
  <c r="D10" i="4"/>
  <c r="D9" i="4"/>
  <c r="I9" i="4" s="1"/>
  <c r="P9" i="4" s="1"/>
  <c r="D8" i="4"/>
  <c r="I8" i="4" s="1"/>
  <c r="D7" i="4"/>
  <c r="I7" i="4" s="1"/>
  <c r="D6" i="4"/>
  <c r="H6" i="4" s="1"/>
  <c r="D5" i="4"/>
  <c r="D4" i="4"/>
  <c r="D3" i="4"/>
  <c r="D2" i="4"/>
  <c r="M61" i="3"/>
  <c r="T61" i="3" s="1"/>
  <c r="M58" i="3"/>
  <c r="T58" i="3" s="1"/>
  <c r="M56" i="3"/>
  <c r="T56" i="3" s="1"/>
  <c r="M55" i="3"/>
  <c r="T55" i="3" s="1"/>
  <c r="M54" i="3"/>
  <c r="T54" i="3" s="1"/>
  <c r="M53" i="3"/>
  <c r="T53" i="3" s="1"/>
  <c r="M47" i="3"/>
  <c r="T47" i="3" s="1"/>
  <c r="M42" i="3"/>
  <c r="T42" i="3" s="1"/>
  <c r="M41" i="3"/>
  <c r="M38" i="3"/>
  <c r="M36" i="3"/>
  <c r="T36" i="3" s="1"/>
  <c r="M35" i="3"/>
  <c r="T35" i="3" s="1"/>
  <c r="M34" i="3"/>
  <c r="T34" i="3" s="1"/>
  <c r="M30" i="3"/>
  <c r="T30" i="3" s="1"/>
  <c r="M29" i="3"/>
  <c r="M22" i="3"/>
  <c r="T22" i="3" s="1"/>
  <c r="M21" i="3"/>
  <c r="T21" i="3" s="1"/>
  <c r="M20" i="3"/>
  <c r="T20" i="3" s="1"/>
  <c r="M19" i="3"/>
  <c r="T19" i="3" s="1"/>
  <c r="M18" i="3"/>
  <c r="T18" i="3" s="1"/>
  <c r="M16" i="3"/>
  <c r="T16" i="3" s="1"/>
  <c r="M15" i="3"/>
  <c r="M14" i="3"/>
  <c r="M13" i="3"/>
  <c r="M12" i="3"/>
  <c r="T12" i="3" s="1"/>
  <c r="M10" i="3"/>
  <c r="T10" i="3" s="1"/>
  <c r="M9" i="3"/>
  <c r="M2" i="3"/>
  <c r="I63" i="3"/>
  <c r="I61" i="3"/>
  <c r="I58" i="3"/>
  <c r="I57" i="3"/>
  <c r="P57" i="3" s="1"/>
  <c r="I56" i="3"/>
  <c r="P56" i="3" s="1"/>
  <c r="I55" i="3"/>
  <c r="P55" i="3" s="1"/>
  <c r="I54" i="3"/>
  <c r="P54" i="3" s="1"/>
  <c r="I53" i="3"/>
  <c r="N53" i="3" s="1"/>
  <c r="I43" i="3"/>
  <c r="I42" i="3"/>
  <c r="I41" i="3"/>
  <c r="I38" i="3"/>
  <c r="P38" i="3" s="1"/>
  <c r="I37" i="3"/>
  <c r="P37" i="3" s="1"/>
  <c r="I36" i="3"/>
  <c r="N36" i="3" s="1"/>
  <c r="I35" i="3"/>
  <c r="P35" i="3" s="1"/>
  <c r="I34" i="3"/>
  <c r="P34" i="3" s="1"/>
  <c r="I33" i="3"/>
  <c r="P33" i="3" s="1"/>
  <c r="I32" i="3"/>
  <c r="P32" i="3" s="1"/>
  <c r="I28" i="3"/>
  <c r="I27" i="3"/>
  <c r="I26" i="3"/>
  <c r="P26" i="3" s="1"/>
  <c r="I25" i="3"/>
  <c r="P25" i="3" s="1"/>
  <c r="I23" i="3"/>
  <c r="I22" i="3"/>
  <c r="P22" i="3" s="1"/>
  <c r="I21" i="3"/>
  <c r="I18" i="3"/>
  <c r="P18" i="3" s="1"/>
  <c r="I17" i="3"/>
  <c r="I16" i="3"/>
  <c r="P16" i="3" s="1"/>
  <c r="I15" i="3"/>
  <c r="P15" i="3" s="1"/>
  <c r="I14" i="3"/>
  <c r="P14" i="3" s="1"/>
  <c r="I3" i="3"/>
  <c r="I2" i="3"/>
  <c r="P2" i="3" s="1"/>
  <c r="H67" i="3"/>
  <c r="O67" i="3" s="1"/>
  <c r="H66" i="3"/>
  <c r="O66" i="3" s="1"/>
  <c r="H65" i="3"/>
  <c r="O65" i="3" s="1"/>
  <c r="H63" i="3"/>
  <c r="H61" i="3"/>
  <c r="H59" i="3"/>
  <c r="H58" i="3"/>
  <c r="O58" i="3" s="1"/>
  <c r="H54" i="3"/>
  <c r="N54" i="3" s="1"/>
  <c r="H50" i="3"/>
  <c r="O50" i="3" s="1"/>
  <c r="H43" i="3"/>
  <c r="O43" i="3" s="1"/>
  <c r="H42" i="3"/>
  <c r="N42" i="3" s="1"/>
  <c r="H41" i="3"/>
  <c r="O41" i="3" s="1"/>
  <c r="H38" i="3"/>
  <c r="O38" i="3" s="1"/>
  <c r="H32" i="3"/>
  <c r="O32" i="3" s="1"/>
  <c r="H31" i="3"/>
  <c r="O31" i="3" s="1"/>
  <c r="H30" i="3"/>
  <c r="H26" i="3"/>
  <c r="N26" i="3" s="1"/>
  <c r="H23" i="3"/>
  <c r="N23" i="3" s="1"/>
  <c r="H22" i="3"/>
  <c r="H21" i="3"/>
  <c r="H18" i="3"/>
  <c r="N18" i="3" s="1"/>
  <c r="H14" i="3"/>
  <c r="H10" i="3"/>
  <c r="N10" i="3" s="1"/>
  <c r="H3" i="3"/>
  <c r="O3" i="3" s="1"/>
  <c r="H2" i="3"/>
  <c r="D67" i="3"/>
  <c r="D66" i="3"/>
  <c r="I66" i="3" s="1"/>
  <c r="P66" i="3" s="1"/>
  <c r="D65" i="3"/>
  <c r="D64" i="3"/>
  <c r="D63" i="3"/>
  <c r="M63" i="3" s="1"/>
  <c r="T63" i="3" s="1"/>
  <c r="D62" i="3"/>
  <c r="I62" i="3" s="1"/>
  <c r="P62" i="3" s="1"/>
  <c r="D61" i="3"/>
  <c r="D60" i="3"/>
  <c r="H60" i="3" s="1"/>
  <c r="D59" i="3"/>
  <c r="I59" i="3" s="1"/>
  <c r="D58" i="3"/>
  <c r="D57" i="3"/>
  <c r="D56" i="3"/>
  <c r="H56" i="3" s="1"/>
  <c r="D55" i="3"/>
  <c r="H55" i="3" s="1"/>
  <c r="D54" i="3"/>
  <c r="D53" i="3"/>
  <c r="H53" i="3" s="1"/>
  <c r="O53" i="3" s="1"/>
  <c r="D52" i="3"/>
  <c r="D51" i="3"/>
  <c r="D50" i="3"/>
  <c r="I50" i="3" s="1"/>
  <c r="P50" i="3" s="1"/>
  <c r="D49" i="3"/>
  <c r="D48" i="3"/>
  <c r="M48" i="3" s="1"/>
  <c r="T48" i="3" s="1"/>
  <c r="D47" i="3"/>
  <c r="I47" i="3" s="1"/>
  <c r="D46" i="3"/>
  <c r="M46" i="3" s="1"/>
  <c r="T46" i="3" s="1"/>
  <c r="D45" i="3"/>
  <c r="M45" i="3" s="1"/>
  <c r="T45" i="3" s="1"/>
  <c r="D44" i="3"/>
  <c r="D43" i="3"/>
  <c r="M43" i="3" s="1"/>
  <c r="T43" i="3" s="1"/>
  <c r="D42" i="3"/>
  <c r="D41" i="3"/>
  <c r="D40" i="3"/>
  <c r="D39" i="3"/>
  <c r="H39" i="3" s="1"/>
  <c r="D38" i="3"/>
  <c r="D37" i="3"/>
  <c r="D36" i="3"/>
  <c r="H36" i="3" s="1"/>
  <c r="D35" i="3"/>
  <c r="H35" i="3" s="1"/>
  <c r="D34" i="3"/>
  <c r="H34" i="3" s="1"/>
  <c r="D33" i="3"/>
  <c r="H33" i="3" s="1"/>
  <c r="D32" i="3"/>
  <c r="M32" i="3" s="1"/>
  <c r="T32" i="3" s="1"/>
  <c r="D31" i="3"/>
  <c r="I31" i="3" s="1"/>
  <c r="P31" i="3" s="1"/>
  <c r="D30" i="3"/>
  <c r="I30" i="3" s="1"/>
  <c r="D29" i="3"/>
  <c r="D28" i="3"/>
  <c r="D27" i="3"/>
  <c r="D26" i="3"/>
  <c r="M26" i="3" s="1"/>
  <c r="T26" i="3" s="1"/>
  <c r="D25" i="3"/>
  <c r="M25" i="3" s="1"/>
  <c r="T25" i="3" s="1"/>
  <c r="D24" i="3"/>
  <c r="M24" i="3" s="1"/>
  <c r="T24" i="3" s="1"/>
  <c r="D23" i="3"/>
  <c r="M23" i="3" s="1"/>
  <c r="T23" i="3" s="1"/>
  <c r="D22" i="3"/>
  <c r="D21" i="3"/>
  <c r="D20" i="3"/>
  <c r="I20" i="3" s="1"/>
  <c r="P20" i="3" s="1"/>
  <c r="D19" i="3"/>
  <c r="I19" i="3" s="1"/>
  <c r="D18" i="3"/>
  <c r="D17" i="3"/>
  <c r="D16" i="3"/>
  <c r="H16" i="3" s="1"/>
  <c r="D15" i="3"/>
  <c r="H15" i="3" s="1"/>
  <c r="D14" i="3"/>
  <c r="D13" i="3"/>
  <c r="D12" i="3"/>
  <c r="D11" i="3"/>
  <c r="D10" i="3"/>
  <c r="I10" i="3" s="1"/>
  <c r="D9" i="3"/>
  <c r="D8" i="3"/>
  <c r="H8" i="3" s="1"/>
  <c r="O8" i="3" s="1"/>
  <c r="D7" i="3"/>
  <c r="M7" i="3" s="1"/>
  <c r="T7" i="3" s="1"/>
  <c r="D6" i="3"/>
  <c r="M6" i="3" s="1"/>
  <c r="T6" i="3" s="1"/>
  <c r="D5" i="3"/>
  <c r="M5" i="3" s="1"/>
  <c r="T5" i="3" s="1"/>
  <c r="D4" i="3"/>
  <c r="I4" i="3" s="1"/>
  <c r="P4" i="3" s="1"/>
  <c r="D3" i="3"/>
  <c r="M3" i="3" s="1"/>
  <c r="T3" i="3" s="1"/>
  <c r="D2" i="3"/>
  <c r="M54" i="2"/>
  <c r="M51" i="2"/>
  <c r="M43" i="2"/>
  <c r="T43" i="2" s="1"/>
  <c r="M41" i="2"/>
  <c r="T41" i="2" s="1"/>
  <c r="M40" i="2"/>
  <c r="T40" i="2" s="1"/>
  <c r="M39" i="2"/>
  <c r="T39" i="2" s="1"/>
  <c r="M38" i="2"/>
  <c r="T38" i="2" s="1"/>
  <c r="M34" i="2"/>
  <c r="M31" i="2"/>
  <c r="M27" i="2"/>
  <c r="T27" i="2" s="1"/>
  <c r="M23" i="2"/>
  <c r="T23" i="2" s="1"/>
  <c r="M22" i="2"/>
  <c r="T22" i="2" s="1"/>
  <c r="M19" i="2"/>
  <c r="T19" i="2" s="1"/>
  <c r="M18" i="2"/>
  <c r="M11" i="2"/>
  <c r="T11" i="2" s="1"/>
  <c r="M6" i="2"/>
  <c r="M4" i="2"/>
  <c r="T4" i="2" s="1"/>
  <c r="M3" i="2"/>
  <c r="T3" i="2" s="1"/>
  <c r="I48" i="2"/>
  <c r="I47" i="2"/>
  <c r="P47" i="2" s="1"/>
  <c r="I41" i="2"/>
  <c r="P41" i="2" s="1"/>
  <c r="I40" i="2"/>
  <c r="P40" i="2" s="1"/>
  <c r="I38" i="2"/>
  <c r="P38" i="2" s="1"/>
  <c r="I37" i="2"/>
  <c r="N37" i="2" s="1"/>
  <c r="I35" i="2"/>
  <c r="P35" i="2" s="1"/>
  <c r="I34" i="2"/>
  <c r="P34" i="2" s="1"/>
  <c r="I22" i="2"/>
  <c r="I19" i="2"/>
  <c r="I18" i="2"/>
  <c r="I17" i="2"/>
  <c r="N17" i="2" s="1"/>
  <c r="I16" i="2"/>
  <c r="I15" i="2"/>
  <c r="P15" i="2" s="1"/>
  <c r="I14" i="2"/>
  <c r="N14" i="2" s="1"/>
  <c r="I12" i="2"/>
  <c r="P12" i="2" s="1"/>
  <c r="I6" i="2"/>
  <c r="P6" i="2" s="1"/>
  <c r="H55" i="2"/>
  <c r="H54" i="2"/>
  <c r="O54" i="2" s="1"/>
  <c r="H51" i="2"/>
  <c r="H41" i="2"/>
  <c r="H40" i="2"/>
  <c r="H39" i="2"/>
  <c r="H38" i="2"/>
  <c r="H37" i="2"/>
  <c r="H36" i="2"/>
  <c r="O36" i="2" s="1"/>
  <c r="H31" i="2"/>
  <c r="O31" i="2" s="1"/>
  <c r="H30" i="2"/>
  <c r="N30" i="2" s="1"/>
  <c r="H22" i="2"/>
  <c r="N22" i="2" s="1"/>
  <c r="H21" i="2"/>
  <c r="O21" i="2" s="1"/>
  <c r="H19" i="2"/>
  <c r="H18" i="2"/>
  <c r="H17" i="2"/>
  <c r="H15" i="2"/>
  <c r="H14" i="2"/>
  <c r="O14" i="2" s="1"/>
  <c r="H11" i="2"/>
  <c r="H6" i="2"/>
  <c r="O6" i="2" s="1"/>
  <c r="H2" i="2"/>
  <c r="D55" i="2"/>
  <c r="M55" i="2" s="1"/>
  <c r="D54" i="2"/>
  <c r="I54" i="2" s="1"/>
  <c r="P54" i="2" s="1"/>
  <c r="D53" i="2"/>
  <c r="I53" i="2" s="1"/>
  <c r="P53" i="2" s="1"/>
  <c r="D52" i="2"/>
  <c r="I52" i="2" s="1"/>
  <c r="P52" i="2" s="1"/>
  <c r="D51" i="2"/>
  <c r="I51" i="2" s="1"/>
  <c r="D50" i="2"/>
  <c r="D49" i="2"/>
  <c r="D48" i="2"/>
  <c r="M48" i="2" s="1"/>
  <c r="T48" i="2" s="1"/>
  <c r="D47" i="2"/>
  <c r="M47" i="2" s="1"/>
  <c r="T47" i="2" s="1"/>
  <c r="D46" i="2"/>
  <c r="M46" i="2" s="1"/>
  <c r="T46" i="2" s="1"/>
  <c r="D45" i="2"/>
  <c r="D44" i="2"/>
  <c r="D43" i="2"/>
  <c r="D42" i="2"/>
  <c r="M42" i="2" s="1"/>
  <c r="T42" i="2" s="1"/>
  <c r="D41" i="2"/>
  <c r="D40" i="2"/>
  <c r="D39" i="2"/>
  <c r="I39" i="2" s="1"/>
  <c r="D38" i="2"/>
  <c r="D37" i="2"/>
  <c r="M37" i="2" s="1"/>
  <c r="T37" i="2" s="1"/>
  <c r="D36" i="2"/>
  <c r="M36" i="2" s="1"/>
  <c r="T36" i="2" s="1"/>
  <c r="D35" i="2"/>
  <c r="M35" i="2" s="1"/>
  <c r="D34" i="2"/>
  <c r="H34" i="2" s="1"/>
  <c r="N34" i="2" s="1"/>
  <c r="D33" i="2"/>
  <c r="H33" i="2" s="1"/>
  <c r="O33" i="2" s="1"/>
  <c r="D32" i="2"/>
  <c r="M32" i="2" s="1"/>
  <c r="T32" i="2" s="1"/>
  <c r="D31" i="2"/>
  <c r="I31" i="2" s="1"/>
  <c r="P31" i="2" s="1"/>
  <c r="D30" i="2"/>
  <c r="I30" i="2" s="1"/>
  <c r="P30" i="2" s="1"/>
  <c r="D29" i="2"/>
  <c r="D28" i="2"/>
  <c r="I28" i="2" s="1"/>
  <c r="P28" i="2" s="1"/>
  <c r="D27" i="2"/>
  <c r="D26" i="2"/>
  <c r="D25" i="2"/>
  <c r="D24" i="2"/>
  <c r="I24" i="2" s="1"/>
  <c r="P24" i="2" s="1"/>
  <c r="D23" i="2"/>
  <c r="D22" i="2"/>
  <c r="D21" i="2"/>
  <c r="M21" i="2" s="1"/>
  <c r="T21" i="2" s="1"/>
  <c r="D20" i="2"/>
  <c r="I20" i="2" s="1"/>
  <c r="P20" i="2" s="1"/>
  <c r="D19" i="2"/>
  <c r="D18" i="2"/>
  <c r="D17" i="2"/>
  <c r="M17" i="2" s="1"/>
  <c r="T17" i="2" s="1"/>
  <c r="D16" i="2"/>
  <c r="M16" i="2" s="1"/>
  <c r="T16" i="2" s="1"/>
  <c r="D15" i="2"/>
  <c r="M15" i="2" s="1"/>
  <c r="D14" i="2"/>
  <c r="M14" i="2" s="1"/>
  <c r="T14" i="2" s="1"/>
  <c r="D13" i="2"/>
  <c r="I13" i="2" s="1"/>
  <c r="P13" i="2" s="1"/>
  <c r="D12" i="2"/>
  <c r="H12" i="2" s="1"/>
  <c r="N12" i="2" s="1"/>
  <c r="D11" i="2"/>
  <c r="I11" i="2" s="1"/>
  <c r="P11" i="2" s="1"/>
  <c r="D10" i="2"/>
  <c r="M10" i="2" s="1"/>
  <c r="T10" i="2" s="1"/>
  <c r="D9" i="2"/>
  <c r="D8" i="2"/>
  <c r="H8" i="2" s="1"/>
  <c r="O8" i="2" s="1"/>
  <c r="D7" i="2"/>
  <c r="I7" i="2" s="1"/>
  <c r="P7" i="2" s="1"/>
  <c r="D6" i="2"/>
  <c r="D5" i="2"/>
  <c r="M5" i="2" s="1"/>
  <c r="T5" i="2" s="1"/>
  <c r="D4" i="2"/>
  <c r="D3" i="2"/>
  <c r="D2" i="2"/>
  <c r="M2" i="2" s="1"/>
  <c r="N2" i="4"/>
  <c r="N41" i="4"/>
  <c r="N48" i="4"/>
  <c r="N6" i="4"/>
  <c r="N50" i="4"/>
  <c r="N51" i="4"/>
  <c r="N8" i="4"/>
  <c r="N9" i="4"/>
  <c r="N67" i="4"/>
  <c r="N68" i="4"/>
  <c r="N69" i="4"/>
  <c r="N70" i="4"/>
  <c r="N71" i="4"/>
  <c r="N17" i="4"/>
  <c r="N18" i="4"/>
  <c r="N19" i="4"/>
  <c r="N78" i="4"/>
  <c r="N79" i="4"/>
  <c r="N97" i="4"/>
  <c r="N106" i="4"/>
  <c r="N107" i="4"/>
  <c r="N117" i="4"/>
  <c r="N119" i="4"/>
  <c r="O42" i="4"/>
  <c r="O48" i="4"/>
  <c r="O6" i="4"/>
  <c r="O50" i="4"/>
  <c r="O51" i="4"/>
  <c r="O8" i="4"/>
  <c r="O64" i="4"/>
  <c r="O68" i="4"/>
  <c r="O69" i="4"/>
  <c r="O70" i="4"/>
  <c r="O15" i="4"/>
  <c r="O16" i="4"/>
  <c r="O17" i="4"/>
  <c r="O78" i="4"/>
  <c r="O79" i="4"/>
  <c r="O24" i="4"/>
  <c r="O88" i="4"/>
  <c r="O89" i="4"/>
  <c r="O97" i="4"/>
  <c r="O33" i="4"/>
  <c r="O106" i="4"/>
  <c r="O119" i="4"/>
  <c r="O124" i="4"/>
  <c r="P38" i="4"/>
  <c r="P2" i="4"/>
  <c r="P39" i="4"/>
  <c r="P40" i="4"/>
  <c r="P41" i="4"/>
  <c r="P7" i="4"/>
  <c r="P8" i="4"/>
  <c r="P57" i="4"/>
  <c r="P58" i="4"/>
  <c r="P62" i="4"/>
  <c r="P63" i="4"/>
  <c r="P67" i="4"/>
  <c r="P68" i="4"/>
  <c r="P11" i="4"/>
  <c r="P69" i="4"/>
  <c r="P18" i="4"/>
  <c r="P19" i="4"/>
  <c r="P77" i="4"/>
  <c r="P78" i="4"/>
  <c r="P79" i="4"/>
  <c r="P24" i="4"/>
  <c r="P88" i="4"/>
  <c r="P29" i="4"/>
  <c r="P89" i="4"/>
  <c r="P91" i="4"/>
  <c r="P97" i="4"/>
  <c r="P98" i="4"/>
  <c r="P100" i="4"/>
  <c r="P106" i="4"/>
  <c r="P108" i="4"/>
  <c r="P118" i="4"/>
  <c r="P119" i="4"/>
  <c r="P37" i="4"/>
  <c r="Q38" i="4"/>
  <c r="Q2" i="4"/>
  <c r="Q39" i="4"/>
  <c r="Q3" i="4"/>
  <c r="Q40" i="4"/>
  <c r="Q41" i="4"/>
  <c r="Q42" i="4"/>
  <c r="Q43" i="4"/>
  <c r="Q4" i="4"/>
  <c r="Q44" i="4"/>
  <c r="Q45" i="4"/>
  <c r="Q46" i="4"/>
  <c r="Q47" i="4"/>
  <c r="Q48" i="4"/>
  <c r="Q5" i="4"/>
  <c r="Q49" i="4"/>
  <c r="Q6" i="4"/>
  <c r="Q50" i="4"/>
  <c r="Q51" i="4"/>
  <c r="Q7" i="4"/>
  <c r="Q52" i="4"/>
  <c r="Q8" i="4"/>
  <c r="Q53" i="4"/>
  <c r="Q54" i="4"/>
  <c r="Q9" i="4"/>
  <c r="Q55" i="4"/>
  <c r="Q56" i="4"/>
  <c r="Q57" i="4"/>
  <c r="Q58" i="4"/>
  <c r="Q59" i="4"/>
  <c r="Q60" i="4"/>
  <c r="Q61" i="4"/>
  <c r="Q62" i="4"/>
  <c r="Q63" i="4"/>
  <c r="Q64" i="4"/>
  <c r="Q65" i="4"/>
  <c r="Q10" i="4"/>
  <c r="Q66" i="4"/>
  <c r="Q67" i="4"/>
  <c r="Q68" i="4"/>
  <c r="Q11" i="4"/>
  <c r="Q69" i="4"/>
  <c r="Q70" i="4"/>
  <c r="Q71" i="4"/>
  <c r="Q12" i="4"/>
  <c r="Q13" i="4"/>
  <c r="Q72" i="4"/>
  <c r="Q73" i="4"/>
  <c r="Q74" i="4"/>
  <c r="Q75" i="4"/>
  <c r="Q14" i="4"/>
  <c r="Q15" i="4"/>
  <c r="Q16" i="4"/>
  <c r="Q17" i="4"/>
  <c r="Q18" i="4"/>
  <c r="Q19" i="4"/>
  <c r="Q20" i="4"/>
  <c r="Q76" i="4"/>
  <c r="Q21" i="4"/>
  <c r="Q22" i="4"/>
  <c r="Q77" i="4"/>
  <c r="Q78" i="4"/>
  <c r="Q23" i="4"/>
  <c r="Q79" i="4"/>
  <c r="Q24" i="4"/>
  <c r="Q25" i="4"/>
  <c r="Q80" i="4"/>
  <c r="Q81" i="4"/>
  <c r="Q82" i="4"/>
  <c r="Q83" i="4"/>
  <c r="Q84" i="4"/>
  <c r="Q85" i="4"/>
  <c r="Q26" i="4"/>
  <c r="Q86" i="4"/>
  <c r="Q27" i="4"/>
  <c r="Q87" i="4"/>
  <c r="Q28" i="4"/>
  <c r="Q88" i="4"/>
  <c r="Q29" i="4"/>
  <c r="Q89" i="4"/>
  <c r="Q90" i="4"/>
  <c r="Q91" i="4"/>
  <c r="Q92" i="4"/>
  <c r="Q93" i="4"/>
  <c r="Q30" i="4"/>
  <c r="Q94" i="4"/>
  <c r="Q31" i="4"/>
  <c r="Q95" i="4"/>
  <c r="Q32" i="4"/>
  <c r="Q96" i="4"/>
  <c r="Q97" i="4"/>
  <c r="Q33" i="4"/>
  <c r="Q98" i="4"/>
  <c r="Q99" i="4"/>
  <c r="Q100" i="4"/>
  <c r="Q101" i="4"/>
  <c r="Q102" i="4"/>
  <c r="Q34" i="4"/>
  <c r="Q103" i="4"/>
  <c r="Q104" i="4"/>
  <c r="Q105" i="4"/>
  <c r="Q106" i="4"/>
  <c r="Q107" i="4"/>
  <c r="Q108" i="4"/>
  <c r="Q35" i="4"/>
  <c r="Q109" i="4"/>
  <c r="Q110" i="4"/>
  <c r="Q36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37" i="4"/>
  <c r="R38" i="4"/>
  <c r="R2" i="4"/>
  <c r="R39" i="4"/>
  <c r="R3" i="4"/>
  <c r="R40" i="4"/>
  <c r="R41" i="4"/>
  <c r="R42" i="4"/>
  <c r="R43" i="4"/>
  <c r="R4" i="4"/>
  <c r="R44" i="4"/>
  <c r="R45" i="4"/>
  <c r="R46" i="4"/>
  <c r="R47" i="4"/>
  <c r="R48" i="4"/>
  <c r="R5" i="4"/>
  <c r="R49" i="4"/>
  <c r="R6" i="4"/>
  <c r="R50" i="4"/>
  <c r="R51" i="4"/>
  <c r="R7" i="4"/>
  <c r="R52" i="4"/>
  <c r="R8" i="4"/>
  <c r="R53" i="4"/>
  <c r="R54" i="4"/>
  <c r="R9" i="4"/>
  <c r="R55" i="4"/>
  <c r="R56" i="4"/>
  <c r="R57" i="4"/>
  <c r="R58" i="4"/>
  <c r="R59" i="4"/>
  <c r="R60" i="4"/>
  <c r="R61" i="4"/>
  <c r="R62" i="4"/>
  <c r="R63" i="4"/>
  <c r="R64" i="4"/>
  <c r="R65" i="4"/>
  <c r="R10" i="4"/>
  <c r="R66" i="4"/>
  <c r="R67" i="4"/>
  <c r="R68" i="4"/>
  <c r="R11" i="4"/>
  <c r="R69" i="4"/>
  <c r="R70" i="4"/>
  <c r="R71" i="4"/>
  <c r="R12" i="4"/>
  <c r="R13" i="4"/>
  <c r="R72" i="4"/>
  <c r="R73" i="4"/>
  <c r="R74" i="4"/>
  <c r="R75" i="4"/>
  <c r="R14" i="4"/>
  <c r="R15" i="4"/>
  <c r="R16" i="4"/>
  <c r="R17" i="4"/>
  <c r="R18" i="4"/>
  <c r="R19" i="4"/>
  <c r="R20" i="4"/>
  <c r="R76" i="4"/>
  <c r="R21" i="4"/>
  <c r="R22" i="4"/>
  <c r="R77" i="4"/>
  <c r="R78" i="4"/>
  <c r="R23" i="4"/>
  <c r="R79" i="4"/>
  <c r="R24" i="4"/>
  <c r="R25" i="4"/>
  <c r="R80" i="4"/>
  <c r="R81" i="4"/>
  <c r="R82" i="4"/>
  <c r="R83" i="4"/>
  <c r="R84" i="4"/>
  <c r="R85" i="4"/>
  <c r="R26" i="4"/>
  <c r="R86" i="4"/>
  <c r="R27" i="4"/>
  <c r="R87" i="4"/>
  <c r="R28" i="4"/>
  <c r="R88" i="4"/>
  <c r="R29" i="4"/>
  <c r="R89" i="4"/>
  <c r="R90" i="4"/>
  <c r="R91" i="4"/>
  <c r="R92" i="4"/>
  <c r="R93" i="4"/>
  <c r="R30" i="4"/>
  <c r="R94" i="4"/>
  <c r="R31" i="4"/>
  <c r="R95" i="4"/>
  <c r="R32" i="4"/>
  <c r="R96" i="4"/>
  <c r="R97" i="4"/>
  <c r="R33" i="4"/>
  <c r="R98" i="4"/>
  <c r="R99" i="4"/>
  <c r="R100" i="4"/>
  <c r="R101" i="4"/>
  <c r="R102" i="4"/>
  <c r="R34" i="4"/>
  <c r="R103" i="4"/>
  <c r="R104" i="4"/>
  <c r="R105" i="4"/>
  <c r="R106" i="4"/>
  <c r="R107" i="4"/>
  <c r="R108" i="4"/>
  <c r="R35" i="4"/>
  <c r="R109" i="4"/>
  <c r="R110" i="4"/>
  <c r="R36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37" i="4"/>
  <c r="S38" i="4"/>
  <c r="S2" i="4"/>
  <c r="S39" i="4"/>
  <c r="S3" i="4"/>
  <c r="S40" i="4"/>
  <c r="S41" i="4"/>
  <c r="S42" i="4"/>
  <c r="S43" i="4"/>
  <c r="S4" i="4"/>
  <c r="S44" i="4"/>
  <c r="S45" i="4"/>
  <c r="S46" i="4"/>
  <c r="S47" i="4"/>
  <c r="S48" i="4"/>
  <c r="S5" i="4"/>
  <c r="S49" i="4"/>
  <c r="S6" i="4"/>
  <c r="S50" i="4"/>
  <c r="S51" i="4"/>
  <c r="S7" i="4"/>
  <c r="S52" i="4"/>
  <c r="S8" i="4"/>
  <c r="S53" i="4"/>
  <c r="S54" i="4"/>
  <c r="S9" i="4"/>
  <c r="S55" i="4"/>
  <c r="S56" i="4"/>
  <c r="S57" i="4"/>
  <c r="S58" i="4"/>
  <c r="S59" i="4"/>
  <c r="S60" i="4"/>
  <c r="S61" i="4"/>
  <c r="S62" i="4"/>
  <c r="S63" i="4"/>
  <c r="S64" i="4"/>
  <c r="S65" i="4"/>
  <c r="S10" i="4"/>
  <c r="S66" i="4"/>
  <c r="S67" i="4"/>
  <c r="S68" i="4"/>
  <c r="S11" i="4"/>
  <c r="S69" i="4"/>
  <c r="S70" i="4"/>
  <c r="S71" i="4"/>
  <c r="S12" i="4"/>
  <c r="S13" i="4"/>
  <c r="S72" i="4"/>
  <c r="S73" i="4"/>
  <c r="S74" i="4"/>
  <c r="S75" i="4"/>
  <c r="S14" i="4"/>
  <c r="S15" i="4"/>
  <c r="S16" i="4"/>
  <c r="S17" i="4"/>
  <c r="S18" i="4"/>
  <c r="S19" i="4"/>
  <c r="S20" i="4"/>
  <c r="S76" i="4"/>
  <c r="S21" i="4"/>
  <c r="S22" i="4"/>
  <c r="S77" i="4"/>
  <c r="S78" i="4"/>
  <c r="S23" i="4"/>
  <c r="S79" i="4"/>
  <c r="S24" i="4"/>
  <c r="S25" i="4"/>
  <c r="S80" i="4"/>
  <c r="S81" i="4"/>
  <c r="S82" i="4"/>
  <c r="S83" i="4"/>
  <c r="S84" i="4"/>
  <c r="S85" i="4"/>
  <c r="S26" i="4"/>
  <c r="S86" i="4"/>
  <c r="S27" i="4"/>
  <c r="S87" i="4"/>
  <c r="S28" i="4"/>
  <c r="S88" i="4"/>
  <c r="S29" i="4"/>
  <c r="S89" i="4"/>
  <c r="S90" i="4"/>
  <c r="S91" i="4"/>
  <c r="S92" i="4"/>
  <c r="S93" i="4"/>
  <c r="S30" i="4"/>
  <c r="S94" i="4"/>
  <c r="S31" i="4"/>
  <c r="S95" i="4"/>
  <c r="S32" i="4"/>
  <c r="S96" i="4"/>
  <c r="S97" i="4"/>
  <c r="S33" i="4"/>
  <c r="S98" i="4"/>
  <c r="S99" i="4"/>
  <c r="S100" i="4"/>
  <c r="S101" i="4"/>
  <c r="S102" i="4"/>
  <c r="S34" i="4"/>
  <c r="S103" i="4"/>
  <c r="S104" i="4"/>
  <c r="S105" i="4"/>
  <c r="S106" i="4"/>
  <c r="S107" i="4"/>
  <c r="S108" i="4"/>
  <c r="S35" i="4"/>
  <c r="S109" i="4"/>
  <c r="S110" i="4"/>
  <c r="S36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37" i="4"/>
  <c r="T38" i="4"/>
  <c r="T39" i="4"/>
  <c r="T41" i="4"/>
  <c r="T42" i="4"/>
  <c r="T44" i="4"/>
  <c r="T47" i="4"/>
  <c r="T9" i="4"/>
  <c r="T58" i="4"/>
  <c r="T62" i="4"/>
  <c r="T63" i="4"/>
  <c r="T64" i="4"/>
  <c r="T70" i="4"/>
  <c r="T71" i="4"/>
  <c r="T17" i="4"/>
  <c r="T18" i="4"/>
  <c r="T22" i="4"/>
  <c r="T79" i="4"/>
  <c r="T24" i="4"/>
  <c r="T83" i="4"/>
  <c r="T84" i="4"/>
  <c r="T85" i="4"/>
  <c r="T89" i="4"/>
  <c r="T90" i="4"/>
  <c r="T91" i="4"/>
  <c r="T31" i="4"/>
  <c r="T98" i="4"/>
  <c r="T102" i="4"/>
  <c r="T104" i="4"/>
  <c r="T115" i="4"/>
  <c r="T119" i="4"/>
  <c r="T120" i="4"/>
  <c r="T124" i="4"/>
  <c r="T125" i="4"/>
  <c r="T126" i="4"/>
  <c r="T37" i="4"/>
  <c r="N14" i="3"/>
  <c r="N3" i="3"/>
  <c r="N32" i="3"/>
  <c r="N35" i="3"/>
  <c r="N41" i="3"/>
  <c r="N43" i="3"/>
  <c r="N58" i="3"/>
  <c r="N59" i="3"/>
  <c r="O14" i="3"/>
  <c r="O15" i="3"/>
  <c r="O18" i="3"/>
  <c r="O33" i="3"/>
  <c r="O34" i="3"/>
  <c r="O35" i="3"/>
  <c r="O36" i="3"/>
  <c r="O39" i="3"/>
  <c r="O10" i="3"/>
  <c r="O54" i="3"/>
  <c r="O55" i="3"/>
  <c r="O56" i="3"/>
  <c r="O59" i="3"/>
  <c r="O60" i="3"/>
  <c r="O61" i="3"/>
  <c r="O63" i="3"/>
  <c r="P17" i="3"/>
  <c r="P19" i="3"/>
  <c r="P21" i="3"/>
  <c r="P23" i="3"/>
  <c r="P27" i="3"/>
  <c r="P28" i="3"/>
  <c r="P30" i="3"/>
  <c r="P3" i="3"/>
  <c r="P36" i="3"/>
  <c r="P41" i="3"/>
  <c r="P42" i="3"/>
  <c r="P43" i="3"/>
  <c r="P10" i="3"/>
  <c r="P58" i="3"/>
  <c r="P59" i="3"/>
  <c r="P61" i="3"/>
  <c r="P63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" i="3"/>
  <c r="Q25" i="3"/>
  <c r="Q26" i="3"/>
  <c r="Q27" i="3"/>
  <c r="Q28" i="3"/>
  <c r="Q29" i="3"/>
  <c r="Q30" i="3"/>
  <c r="Q3" i="3"/>
  <c r="Q31" i="3"/>
  <c r="Q32" i="3"/>
  <c r="Q33" i="3"/>
  <c r="Q4" i="3"/>
  <c r="Q34" i="3"/>
  <c r="Q5" i="3"/>
  <c r="Q6" i="3"/>
  <c r="Q35" i="3"/>
  <c r="Q7" i="3"/>
  <c r="Q36" i="3"/>
  <c r="Q37" i="3"/>
  <c r="Q38" i="3"/>
  <c r="Q39" i="3"/>
  <c r="Q40" i="3"/>
  <c r="Q41" i="3"/>
  <c r="Q42" i="3"/>
  <c r="Q8" i="3"/>
  <c r="Q43" i="3"/>
  <c r="Q9" i="3"/>
  <c r="Q44" i="3"/>
  <c r="Q45" i="3"/>
  <c r="Q46" i="3"/>
  <c r="Q10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11" i="3"/>
  <c r="Q67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" i="3"/>
  <c r="R25" i="3"/>
  <c r="R26" i="3"/>
  <c r="R27" i="3"/>
  <c r="R28" i="3"/>
  <c r="R29" i="3"/>
  <c r="R30" i="3"/>
  <c r="R3" i="3"/>
  <c r="R31" i="3"/>
  <c r="R32" i="3"/>
  <c r="R33" i="3"/>
  <c r="R4" i="3"/>
  <c r="R34" i="3"/>
  <c r="R5" i="3"/>
  <c r="R6" i="3"/>
  <c r="R35" i="3"/>
  <c r="R7" i="3"/>
  <c r="R36" i="3"/>
  <c r="R37" i="3"/>
  <c r="R38" i="3"/>
  <c r="R39" i="3"/>
  <c r="R40" i="3"/>
  <c r="R41" i="3"/>
  <c r="R42" i="3"/>
  <c r="R8" i="3"/>
  <c r="R43" i="3"/>
  <c r="R9" i="3"/>
  <c r="R44" i="3"/>
  <c r="R45" i="3"/>
  <c r="R46" i="3"/>
  <c r="R10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11" i="3"/>
  <c r="R67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" i="3"/>
  <c r="S25" i="3"/>
  <c r="S26" i="3"/>
  <c r="S27" i="3"/>
  <c r="S28" i="3"/>
  <c r="S29" i="3"/>
  <c r="S30" i="3"/>
  <c r="S3" i="3"/>
  <c r="S31" i="3"/>
  <c r="S32" i="3"/>
  <c r="S33" i="3"/>
  <c r="S4" i="3"/>
  <c r="S34" i="3"/>
  <c r="S5" i="3"/>
  <c r="S6" i="3"/>
  <c r="S35" i="3"/>
  <c r="S7" i="3"/>
  <c r="S36" i="3"/>
  <c r="S37" i="3"/>
  <c r="S38" i="3"/>
  <c r="S39" i="3"/>
  <c r="S40" i="3"/>
  <c r="S41" i="3"/>
  <c r="S42" i="3"/>
  <c r="S8" i="3"/>
  <c r="S43" i="3"/>
  <c r="S9" i="3"/>
  <c r="S44" i="3"/>
  <c r="S45" i="3"/>
  <c r="S46" i="3"/>
  <c r="S10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11" i="3"/>
  <c r="S67" i="3"/>
  <c r="T13" i="3"/>
  <c r="T14" i="3"/>
  <c r="T15" i="3"/>
  <c r="T2" i="3"/>
  <c r="T29" i="3"/>
  <c r="T38" i="3"/>
  <c r="T41" i="3"/>
  <c r="T9" i="3"/>
  <c r="N19" i="2"/>
  <c r="N31" i="2"/>
  <c r="N40" i="2"/>
  <c r="N41" i="2"/>
  <c r="N6" i="2"/>
  <c r="O15" i="2"/>
  <c r="O17" i="2"/>
  <c r="O19" i="2"/>
  <c r="O2" i="2"/>
  <c r="O34" i="2"/>
  <c r="O37" i="2"/>
  <c r="O39" i="2"/>
  <c r="O40" i="2"/>
  <c r="O41" i="2"/>
  <c r="O55" i="2"/>
  <c r="P16" i="2"/>
  <c r="P17" i="2"/>
  <c r="P18" i="2"/>
  <c r="P19" i="2"/>
  <c r="P22" i="2"/>
  <c r="P48" i="2"/>
  <c r="P51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2" i="2"/>
  <c r="Q31" i="2"/>
  <c r="Q32" i="2"/>
  <c r="Q33" i="2"/>
  <c r="Q34" i="2"/>
  <c r="Q35" i="2"/>
  <c r="Q36" i="2"/>
  <c r="Q3" i="2"/>
  <c r="Q37" i="2"/>
  <c r="Q38" i="2"/>
  <c r="Q4" i="2"/>
  <c r="Q5" i="2"/>
  <c r="Q39" i="2"/>
  <c r="Q40" i="2"/>
  <c r="Q41" i="2"/>
  <c r="Q42" i="2"/>
  <c r="Q6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2" i="2"/>
  <c r="R31" i="2"/>
  <c r="R32" i="2"/>
  <c r="R33" i="2"/>
  <c r="R34" i="2"/>
  <c r="R35" i="2"/>
  <c r="R36" i="2"/>
  <c r="R3" i="2"/>
  <c r="R37" i="2"/>
  <c r="R38" i="2"/>
  <c r="R4" i="2"/>
  <c r="R5" i="2"/>
  <c r="R39" i="2"/>
  <c r="R40" i="2"/>
  <c r="R41" i="2"/>
  <c r="R42" i="2"/>
  <c r="R6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2" i="2"/>
  <c r="S31" i="2"/>
  <c r="S32" i="2"/>
  <c r="S33" i="2"/>
  <c r="S34" i="2"/>
  <c r="S35" i="2"/>
  <c r="S36" i="2"/>
  <c r="S3" i="2"/>
  <c r="S37" i="2"/>
  <c r="S38" i="2"/>
  <c r="S4" i="2"/>
  <c r="S5" i="2"/>
  <c r="S39" i="2"/>
  <c r="S40" i="2"/>
  <c r="S41" i="2"/>
  <c r="S42" i="2"/>
  <c r="S6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T15" i="2"/>
  <c r="T18" i="2"/>
  <c r="T31" i="2"/>
  <c r="T34" i="2"/>
  <c r="T35" i="2"/>
  <c r="T6" i="2"/>
  <c r="T51" i="2"/>
  <c r="T54" i="2"/>
  <c r="T55" i="2"/>
  <c r="C1" i="12" a="1"/>
  <c r="C1" i="12" s="1"/>
  <c r="C1" i="11" a="1"/>
  <c r="C1" i="11" s="1"/>
  <c r="C1" i="9" a="1"/>
  <c r="C1" i="9" s="1"/>
  <c r="I84" i="4" l="1"/>
  <c r="P84" i="4" s="1"/>
  <c r="H84" i="4"/>
  <c r="N84" i="4" s="1"/>
  <c r="H102" i="4"/>
  <c r="O102" i="4" s="1"/>
  <c r="I99" i="4"/>
  <c r="P99" i="4" s="1"/>
  <c r="M109" i="4"/>
  <c r="T109" i="4" s="1"/>
  <c r="H109" i="4"/>
  <c r="O109" i="4" s="1"/>
  <c r="H62" i="3"/>
  <c r="O62" i="3" s="1"/>
  <c r="M62" i="3"/>
  <c r="T62" i="3" s="1"/>
  <c r="H20" i="2"/>
  <c r="M28" i="2"/>
  <c r="T28" i="2" s="1"/>
  <c r="M20" i="2"/>
  <c r="T20" i="2" s="1"/>
  <c r="I42" i="2"/>
  <c r="P42" i="2" s="1"/>
  <c r="H42" i="2"/>
  <c r="O42" i="2" s="1"/>
  <c r="H46" i="2"/>
  <c r="I46" i="2"/>
  <c r="P46" i="2" s="1"/>
  <c r="N39" i="2"/>
  <c r="P39" i="2"/>
  <c r="I21" i="2"/>
  <c r="P21" i="2" s="1"/>
  <c r="M30" i="2"/>
  <c r="T30" i="2" s="1"/>
  <c r="P47" i="3"/>
  <c r="N35" i="4"/>
  <c r="O35" i="4"/>
  <c r="H52" i="4"/>
  <c r="M52" i="4"/>
  <c r="T52" i="4" s="1"/>
  <c r="I52" i="4"/>
  <c r="P52" i="4" s="1"/>
  <c r="N85" i="4"/>
  <c r="O85" i="4"/>
  <c r="M44" i="3"/>
  <c r="T44" i="3" s="1"/>
  <c r="I44" i="3"/>
  <c r="P44" i="3" s="1"/>
  <c r="H53" i="4"/>
  <c r="M53" i="4"/>
  <c r="T53" i="4" s="1"/>
  <c r="I53" i="4"/>
  <c r="P53" i="4" s="1"/>
  <c r="O30" i="2"/>
  <c r="H54" i="4"/>
  <c r="O54" i="4" s="1"/>
  <c r="I54" i="4"/>
  <c r="M54" i="4"/>
  <c r="T54" i="4" s="1"/>
  <c r="P53" i="3"/>
  <c r="M27" i="3"/>
  <c r="T27" i="3" s="1"/>
  <c r="H27" i="3"/>
  <c r="I67" i="3"/>
  <c r="P67" i="3" s="1"/>
  <c r="M67" i="3"/>
  <c r="T67" i="3" s="1"/>
  <c r="I55" i="4"/>
  <c r="P55" i="4" s="1"/>
  <c r="M55" i="4"/>
  <c r="T55" i="4" s="1"/>
  <c r="H55" i="4"/>
  <c r="H75" i="4"/>
  <c r="M75" i="4"/>
  <c r="T75" i="4" s="1"/>
  <c r="I95" i="4"/>
  <c r="P95" i="4" s="1"/>
  <c r="H95" i="4"/>
  <c r="N58" i="4"/>
  <c r="O58" i="4"/>
  <c r="M33" i="2"/>
  <c r="T33" i="2" s="1"/>
  <c r="N2" i="3"/>
  <c r="O2" i="3"/>
  <c r="M16" i="4"/>
  <c r="T16" i="4" s="1"/>
  <c r="I16" i="4"/>
  <c r="M56" i="4"/>
  <c r="T56" i="4" s="1"/>
  <c r="I56" i="4"/>
  <c r="P56" i="4" s="1"/>
  <c r="H56" i="4"/>
  <c r="M76" i="4"/>
  <c r="T76" i="4" s="1"/>
  <c r="I76" i="4"/>
  <c r="P76" i="4" s="1"/>
  <c r="M96" i="4"/>
  <c r="T96" i="4" s="1"/>
  <c r="I96" i="4"/>
  <c r="P96" i="4" s="1"/>
  <c r="H96" i="4"/>
  <c r="M116" i="4"/>
  <c r="T116" i="4" s="1"/>
  <c r="I116" i="4"/>
  <c r="P116" i="4" s="1"/>
  <c r="N59" i="4"/>
  <c r="O59" i="4"/>
  <c r="I115" i="4"/>
  <c r="P115" i="4" s="1"/>
  <c r="N66" i="3"/>
  <c r="O91" i="4"/>
  <c r="H7" i="2"/>
  <c r="I60" i="3"/>
  <c r="P60" i="3" s="1"/>
  <c r="M59" i="3"/>
  <c r="T59" i="3" s="1"/>
  <c r="N60" i="4"/>
  <c r="O60" i="4"/>
  <c r="O30" i="3"/>
  <c r="N30" i="3"/>
  <c r="H32" i="4"/>
  <c r="M32" i="4"/>
  <c r="T32" i="4" s="1"/>
  <c r="I32" i="4"/>
  <c r="P32" i="4" s="1"/>
  <c r="H112" i="4"/>
  <c r="M112" i="4"/>
  <c r="T112" i="4" s="1"/>
  <c r="N49" i="4"/>
  <c r="N2" i="2"/>
  <c r="N38" i="2"/>
  <c r="O38" i="2"/>
  <c r="O22" i="2"/>
  <c r="M28" i="3"/>
  <c r="T28" i="3" s="1"/>
  <c r="H28" i="3"/>
  <c r="N65" i="3"/>
  <c r="N31" i="4"/>
  <c r="H5" i="3"/>
  <c r="I5" i="3"/>
  <c r="P5" i="3" s="1"/>
  <c r="M60" i="3"/>
  <c r="T60" i="3" s="1"/>
  <c r="N22" i="4"/>
  <c r="O22" i="4"/>
  <c r="O61" i="4"/>
  <c r="M33" i="4"/>
  <c r="T33" i="4" s="1"/>
  <c r="N42" i="2"/>
  <c r="I51" i="3"/>
  <c r="P51" i="3" s="1"/>
  <c r="M51" i="3"/>
  <c r="T51" i="3" s="1"/>
  <c r="H92" i="4"/>
  <c r="M92" i="4"/>
  <c r="T92" i="4" s="1"/>
  <c r="I92" i="4"/>
  <c r="P92" i="4" s="1"/>
  <c r="P14" i="2"/>
  <c r="H13" i="2"/>
  <c r="H6" i="3"/>
  <c r="I6" i="3"/>
  <c r="P6" i="3" s="1"/>
  <c r="M34" i="4"/>
  <c r="T34" i="4" s="1"/>
  <c r="M8" i="2"/>
  <c r="T8" i="2" s="1"/>
  <c r="H7" i="3"/>
  <c r="I7" i="3"/>
  <c r="P7" i="3" s="1"/>
  <c r="M35" i="4"/>
  <c r="T35" i="4" s="1"/>
  <c r="N56" i="3"/>
  <c r="O10" i="4"/>
  <c r="T2" i="2"/>
  <c r="N15" i="2"/>
  <c r="H47" i="2"/>
  <c r="H13" i="3"/>
  <c r="I13" i="3"/>
  <c r="P13" i="3" s="1"/>
  <c r="N33" i="3"/>
  <c r="H46" i="3"/>
  <c r="I8" i="3"/>
  <c r="R9" i="1" a="1"/>
  <c r="R9" i="1" s="1"/>
  <c r="M66" i="3"/>
  <c r="T66" i="3" s="1"/>
  <c r="N98" i="4"/>
  <c r="O98" i="4"/>
  <c r="O115" i="4"/>
  <c r="M65" i="3"/>
  <c r="T65" i="3" s="1"/>
  <c r="I65" i="3"/>
  <c r="P65" i="3" s="1"/>
  <c r="P37" i="2"/>
  <c r="H16" i="2"/>
  <c r="H48" i="2"/>
  <c r="I33" i="2"/>
  <c r="P33" i="2" s="1"/>
  <c r="H47" i="3"/>
  <c r="O47" i="3" s="1"/>
  <c r="I39" i="3"/>
  <c r="P39" i="3" s="1"/>
  <c r="M33" i="3"/>
  <c r="T33" i="3" s="1"/>
  <c r="H36" i="4"/>
  <c r="H113" i="4"/>
  <c r="M113" i="4"/>
  <c r="T113" i="4" s="1"/>
  <c r="N33" i="2"/>
  <c r="I11" i="3"/>
  <c r="P11" i="3" s="1"/>
  <c r="H11" i="3"/>
  <c r="H44" i="3"/>
  <c r="H12" i="3"/>
  <c r="I12" i="3"/>
  <c r="P12" i="3" s="1"/>
  <c r="O63" i="4"/>
  <c r="N63" i="4"/>
  <c r="O84" i="4"/>
  <c r="H24" i="2"/>
  <c r="M24" i="2"/>
  <c r="T24" i="2" s="1"/>
  <c r="M12" i="2"/>
  <c r="T12" i="2" s="1"/>
  <c r="H48" i="3"/>
  <c r="M3" i="4"/>
  <c r="I3" i="4"/>
  <c r="H3" i="4"/>
  <c r="M23" i="4"/>
  <c r="T23" i="4" s="1"/>
  <c r="I23" i="4"/>
  <c r="P23" i="4" s="1"/>
  <c r="H23" i="4"/>
  <c r="O23" i="4" s="1"/>
  <c r="M43" i="4"/>
  <c r="T43" i="4" s="1"/>
  <c r="I43" i="4"/>
  <c r="P43" i="4" s="1"/>
  <c r="H43" i="4"/>
  <c r="M103" i="4"/>
  <c r="T103" i="4" s="1"/>
  <c r="I103" i="4"/>
  <c r="P103" i="4" s="1"/>
  <c r="H103" i="4"/>
  <c r="M123" i="4"/>
  <c r="T123" i="4" s="1"/>
  <c r="I123" i="4"/>
  <c r="P123" i="4" s="1"/>
  <c r="H123" i="4"/>
  <c r="O123" i="4" s="1"/>
  <c r="O37" i="4"/>
  <c r="N37" i="4"/>
  <c r="O100" i="4"/>
  <c r="N100" i="4"/>
  <c r="I13" i="4"/>
  <c r="N13" i="4" s="1"/>
  <c r="N31" i="3"/>
  <c r="O93" i="4"/>
  <c r="O11" i="4"/>
  <c r="M52" i="3"/>
  <c r="T52" i="3" s="1"/>
  <c r="H52" i="3"/>
  <c r="H45" i="3"/>
  <c r="M31" i="3"/>
  <c r="T31" i="3" s="1"/>
  <c r="M20" i="4"/>
  <c r="T20" i="4" s="1"/>
  <c r="I20" i="4"/>
  <c r="P20" i="4" s="1"/>
  <c r="H20" i="4"/>
  <c r="P34" i="4"/>
  <c r="H4" i="2"/>
  <c r="O4" i="2" s="1"/>
  <c r="I4" i="2"/>
  <c r="P4" i="2" s="1"/>
  <c r="H44" i="2"/>
  <c r="I44" i="2"/>
  <c r="P44" i="2" s="1"/>
  <c r="O51" i="2"/>
  <c r="N51" i="2"/>
  <c r="N55" i="3"/>
  <c r="O108" i="4"/>
  <c r="O62" i="4"/>
  <c r="N118" i="4"/>
  <c r="H5" i="2"/>
  <c r="I5" i="2"/>
  <c r="P5" i="2" s="1"/>
  <c r="H25" i="2"/>
  <c r="M25" i="2"/>
  <c r="T25" i="2" s="1"/>
  <c r="I25" i="2"/>
  <c r="P25" i="2" s="1"/>
  <c r="H45" i="2"/>
  <c r="I45" i="2"/>
  <c r="P45" i="2" s="1"/>
  <c r="O18" i="2"/>
  <c r="N18" i="2"/>
  <c r="H52" i="2"/>
  <c r="M13" i="2"/>
  <c r="T13" i="2" s="1"/>
  <c r="M44" i="2"/>
  <c r="T44" i="2" s="1"/>
  <c r="H19" i="3"/>
  <c r="N19" i="3" s="1"/>
  <c r="M8" i="3"/>
  <c r="T8" i="3" s="1"/>
  <c r="M4" i="4"/>
  <c r="T4" i="4" s="1"/>
  <c r="I4" i="4"/>
  <c r="P4" i="4" s="1"/>
  <c r="H4" i="4"/>
  <c r="O38" i="4"/>
  <c r="N38" i="4"/>
  <c r="N101" i="4"/>
  <c r="I14" i="4"/>
  <c r="P14" i="4" s="1"/>
  <c r="M40" i="4"/>
  <c r="T40" i="4" s="1"/>
  <c r="H12" i="4"/>
  <c r="B16" i="1" s="1" a="1"/>
  <c r="B16" i="1" s="1"/>
  <c r="M12" i="4"/>
  <c r="T12" i="4" s="1"/>
  <c r="H94" i="4"/>
  <c r="I94" i="4"/>
  <c r="P94" i="4" s="1"/>
  <c r="M7" i="2"/>
  <c r="T7" i="2" s="1"/>
  <c r="O12" i="2"/>
  <c r="N21" i="2"/>
  <c r="N82" i="4"/>
  <c r="M26" i="2"/>
  <c r="T26" i="2" s="1"/>
  <c r="I26" i="2"/>
  <c r="P26" i="2" s="1"/>
  <c r="H26" i="2"/>
  <c r="H53" i="2"/>
  <c r="I36" i="2"/>
  <c r="M45" i="2"/>
  <c r="T45" i="2" s="1"/>
  <c r="H20" i="3"/>
  <c r="H51" i="3"/>
  <c r="N51" i="3" s="1"/>
  <c r="I5" i="4"/>
  <c r="P5" i="4" s="1"/>
  <c r="H5" i="4"/>
  <c r="M5" i="4"/>
  <c r="T5" i="4" s="1"/>
  <c r="I25" i="4"/>
  <c r="P25" i="4" s="1"/>
  <c r="H25" i="4"/>
  <c r="M25" i="4"/>
  <c r="T25" i="4" s="1"/>
  <c r="I45" i="4"/>
  <c r="P45" i="4" s="1"/>
  <c r="H45" i="4"/>
  <c r="I65" i="4"/>
  <c r="P65" i="4" s="1"/>
  <c r="H65" i="4"/>
  <c r="I105" i="4"/>
  <c r="P105" i="4" s="1"/>
  <c r="H105" i="4"/>
  <c r="M105" i="4"/>
  <c r="T105" i="4" s="1"/>
  <c r="I125" i="4"/>
  <c r="P125" i="4" s="1"/>
  <c r="H125" i="4"/>
  <c r="N39" i="4"/>
  <c r="O39" i="4"/>
  <c r="I15" i="4"/>
  <c r="P15" i="4" s="1"/>
  <c r="I93" i="4"/>
  <c r="P93" i="4" s="1"/>
  <c r="I27" i="2"/>
  <c r="P27" i="2" s="1"/>
  <c r="H27" i="2"/>
  <c r="N21" i="3"/>
  <c r="O21" i="3"/>
  <c r="I45" i="3"/>
  <c r="P45" i="3" s="1"/>
  <c r="O40" i="4"/>
  <c r="N40" i="4"/>
  <c r="I32" i="2"/>
  <c r="P32" i="2" s="1"/>
  <c r="H32" i="2"/>
  <c r="H73" i="4"/>
  <c r="M73" i="4"/>
  <c r="T73" i="4" s="1"/>
  <c r="O14" i="4"/>
  <c r="M52" i="2"/>
  <c r="T52" i="2" s="1"/>
  <c r="N39" i="3"/>
  <c r="I46" i="3"/>
  <c r="P46" i="3" s="1"/>
  <c r="M11" i="3"/>
  <c r="T11" i="3" s="1"/>
  <c r="M39" i="3"/>
  <c r="T39" i="3" s="1"/>
  <c r="O76" i="4"/>
  <c r="N76" i="4"/>
  <c r="M64" i="3"/>
  <c r="T64" i="3" s="1"/>
  <c r="H64" i="3"/>
  <c r="I64" i="3"/>
  <c r="P64" i="3" s="1"/>
  <c r="H74" i="4"/>
  <c r="I74" i="4"/>
  <c r="P74" i="4" s="1"/>
  <c r="M74" i="4"/>
  <c r="T74" i="4" s="1"/>
  <c r="I29" i="2"/>
  <c r="P29" i="2" s="1"/>
  <c r="M29" i="2"/>
  <c r="T29" i="2" s="1"/>
  <c r="M13" i="4"/>
  <c r="T13" i="4" s="1"/>
  <c r="M93" i="4"/>
  <c r="T93" i="4" s="1"/>
  <c r="I112" i="4"/>
  <c r="P112" i="4" s="1"/>
  <c r="I9" i="2"/>
  <c r="P9" i="2" s="1"/>
  <c r="M9" i="2"/>
  <c r="T9" i="2" s="1"/>
  <c r="H9" i="2"/>
  <c r="I49" i="2"/>
  <c r="P49" i="2" s="1"/>
  <c r="M49" i="2"/>
  <c r="T49" i="2" s="1"/>
  <c r="H49" i="2"/>
  <c r="I50" i="2"/>
  <c r="P50" i="2" s="1"/>
  <c r="M50" i="2"/>
  <c r="T50" i="2" s="1"/>
  <c r="H50" i="2"/>
  <c r="N50" i="2" s="1"/>
  <c r="M14" i="4"/>
  <c r="T14" i="4" s="1"/>
  <c r="M94" i="4"/>
  <c r="T94" i="4" s="1"/>
  <c r="M4" i="3"/>
  <c r="T4" i="3" s="1"/>
  <c r="H4" i="3"/>
  <c r="H72" i="4"/>
  <c r="M72" i="4"/>
  <c r="T72" i="4" s="1"/>
  <c r="I72" i="4"/>
  <c r="P72" i="4" s="1"/>
  <c r="H114" i="4"/>
  <c r="M114" i="4"/>
  <c r="T114" i="4" s="1"/>
  <c r="N54" i="2"/>
  <c r="M53" i="2"/>
  <c r="T53" i="2" s="1"/>
  <c r="H40" i="3"/>
  <c r="O40" i="3" s="1"/>
  <c r="I40" i="3"/>
  <c r="P40" i="3" s="1"/>
  <c r="M40" i="3"/>
  <c r="T40" i="3" s="1"/>
  <c r="O26" i="3"/>
  <c r="O7" i="4"/>
  <c r="I10" i="2"/>
  <c r="P10" i="2" s="1"/>
  <c r="H10" i="2"/>
  <c r="H28" i="2"/>
  <c r="H24" i="3"/>
  <c r="I48" i="3"/>
  <c r="P48" i="3" s="1"/>
  <c r="O47" i="4"/>
  <c r="N47" i="4"/>
  <c r="N110" i="4"/>
  <c r="N111" i="4"/>
  <c r="H29" i="2"/>
  <c r="I8" i="2"/>
  <c r="H25" i="3"/>
  <c r="I24" i="3"/>
  <c r="P24" i="3" s="1"/>
  <c r="I52" i="3"/>
  <c r="P52" i="3" s="1"/>
  <c r="M95" i="4"/>
  <c r="T95" i="4" s="1"/>
  <c r="M46" i="4"/>
  <c r="T46" i="4" s="1"/>
  <c r="M100" i="4"/>
  <c r="T100" i="4" s="1"/>
  <c r="I9" i="3"/>
  <c r="P9" i="3" s="1"/>
  <c r="H9" i="3"/>
  <c r="I49" i="3"/>
  <c r="P49" i="3" s="1"/>
  <c r="H49" i="3"/>
  <c r="I29" i="3"/>
  <c r="P29" i="3" s="1"/>
  <c r="H29" i="3"/>
  <c r="M61" i="4"/>
  <c r="T61" i="4" s="1"/>
  <c r="I61" i="4"/>
  <c r="P61" i="4" s="1"/>
  <c r="M81" i="4"/>
  <c r="T81" i="4" s="1"/>
  <c r="I81" i="4"/>
  <c r="P81" i="4" s="1"/>
  <c r="M101" i="4"/>
  <c r="T101" i="4" s="1"/>
  <c r="I101" i="4"/>
  <c r="P101" i="4" s="1"/>
  <c r="M121" i="4"/>
  <c r="T121" i="4" s="1"/>
  <c r="I121" i="4"/>
  <c r="P121" i="4" s="1"/>
  <c r="H44" i="4"/>
  <c r="H120" i="4"/>
  <c r="I44" i="4"/>
  <c r="P44" i="4" s="1"/>
  <c r="O101" i="4"/>
  <c r="H21" i="4"/>
  <c r="H121" i="4"/>
  <c r="M48" i="4"/>
  <c r="T48" i="4" s="1"/>
  <c r="M106" i="4"/>
  <c r="T106" i="4" s="1"/>
  <c r="N99" i="4"/>
  <c r="O99" i="4"/>
  <c r="I26" i="4"/>
  <c r="P26" i="4" s="1"/>
  <c r="I126" i="4"/>
  <c r="O2" i="4"/>
  <c r="I2" i="2"/>
  <c r="O16" i="3"/>
  <c r="N16" i="3"/>
  <c r="N62" i="3"/>
  <c r="M50" i="3"/>
  <c r="T50" i="3" s="1"/>
  <c r="H28" i="4"/>
  <c r="O28" i="4" s="1"/>
  <c r="I30" i="4"/>
  <c r="M29" i="4"/>
  <c r="T29" i="4" s="1"/>
  <c r="M86" i="4"/>
  <c r="T86" i="4" s="1"/>
  <c r="O26" i="4"/>
  <c r="N46" i="4"/>
  <c r="N86" i="4"/>
  <c r="O86" i="4"/>
  <c r="O77" i="4"/>
  <c r="N15" i="3"/>
  <c r="M49" i="3"/>
  <c r="T49" i="3" s="1"/>
  <c r="N87" i="4"/>
  <c r="H27" i="4"/>
  <c r="N27" i="4" s="1"/>
  <c r="N11" i="2"/>
  <c r="O11" i="2"/>
  <c r="I55" i="2"/>
  <c r="H17" i="3"/>
  <c r="O17" i="3" s="1"/>
  <c r="M17" i="3"/>
  <c r="T17" i="3" s="1"/>
  <c r="H37" i="3"/>
  <c r="M37" i="3"/>
  <c r="T37" i="3" s="1"/>
  <c r="H57" i="3"/>
  <c r="O57" i="3" s="1"/>
  <c r="M57" i="3"/>
  <c r="T57" i="3" s="1"/>
  <c r="H29" i="4"/>
  <c r="H80" i="4"/>
  <c r="H104" i="4"/>
  <c r="I104" i="4"/>
  <c r="P104" i="4" s="1"/>
  <c r="M30" i="4"/>
  <c r="T30" i="4" s="1"/>
  <c r="M87" i="4"/>
  <c r="T87" i="4" s="1"/>
  <c r="N17" i="3"/>
  <c r="M80" i="4"/>
  <c r="T80" i="4" s="1"/>
  <c r="N61" i="3"/>
  <c r="H3" i="2"/>
  <c r="I3" i="2"/>
  <c r="P3" i="2" s="1"/>
  <c r="H23" i="2"/>
  <c r="I23" i="2"/>
  <c r="P23" i="2" s="1"/>
  <c r="H43" i="2"/>
  <c r="I43" i="2"/>
  <c r="P43" i="2" s="1"/>
  <c r="H35" i="2"/>
  <c r="N57" i="4"/>
  <c r="H81" i="4"/>
  <c r="M6" i="4"/>
  <c r="T6" i="4" s="1"/>
  <c r="M88" i="4"/>
  <c r="T88" i="4" s="1"/>
  <c r="N63" i="3"/>
  <c r="P124" i="4"/>
  <c r="P122" i="4"/>
  <c r="N109" i="4"/>
  <c r="N102" i="4"/>
  <c r="N90" i="4"/>
  <c r="P87" i="4"/>
  <c r="N33" i="4"/>
  <c r="P28" i="4"/>
  <c r="N83" i="4"/>
  <c r="N66" i="4"/>
  <c r="O57" i="4"/>
  <c r="O27" i="4"/>
  <c r="N38" i="3"/>
  <c r="N34" i="3"/>
  <c r="N22" i="3"/>
  <c r="O51" i="3"/>
  <c r="N50" i="3"/>
  <c r="O42" i="3"/>
  <c r="N40" i="3"/>
  <c r="O23" i="3"/>
  <c r="O22" i="3"/>
  <c r="O19" i="3"/>
  <c r="O50" i="2"/>
  <c r="N4" i="2"/>
  <c r="Y95" i="4"/>
  <c r="W7" i="4"/>
  <c r="Y56" i="4"/>
  <c r="Y110" i="4"/>
  <c r="Y43" i="4"/>
  <c r="Y57" i="4"/>
  <c r="Y73" i="4"/>
  <c r="Y81" i="4"/>
  <c r="Y74" i="4"/>
  <c r="Y60" i="4"/>
  <c r="Y113" i="4"/>
  <c r="Y46" i="4"/>
  <c r="Y61" i="4"/>
  <c r="Y85" i="4"/>
  <c r="Y114" i="4"/>
  <c r="Y62" i="4"/>
  <c r="Y49" i="4"/>
  <c r="Y87" i="4"/>
  <c r="Y101" i="4"/>
  <c r="Y118" i="4"/>
  <c r="Y102" i="4"/>
  <c r="Y119" i="4"/>
  <c r="Y50" i="4"/>
  <c r="Y76" i="4"/>
  <c r="Y38" i="4"/>
  <c r="Y52" i="4"/>
  <c r="Y77" i="4"/>
  <c r="Y90" i="4"/>
  <c r="Y105" i="4"/>
  <c r="Y123" i="4"/>
  <c r="Y69" i="4"/>
  <c r="Y78" i="4"/>
  <c r="Y106" i="4"/>
  <c r="Y79" i="4"/>
  <c r="Y93" i="4"/>
  <c r="Y108" i="4"/>
  <c r="Y126" i="4"/>
  <c r="W34" i="4"/>
  <c r="W21" i="4"/>
  <c r="W29" i="4"/>
  <c r="W24" i="4"/>
  <c r="W30" i="4"/>
  <c r="W27" i="4"/>
  <c r="W36" i="4"/>
  <c r="W4" i="4"/>
  <c r="X14" i="4"/>
  <c r="X15" i="4"/>
  <c r="X33" i="4"/>
  <c r="X16" i="4"/>
  <c r="X26" i="4"/>
  <c r="X17" i="4"/>
  <c r="X5" i="4"/>
  <c r="X18" i="4"/>
  <c r="X27" i="4"/>
  <c r="X19" i="4"/>
  <c r="X6" i="4"/>
  <c r="X10" i="4"/>
  <c r="X20" i="4"/>
  <c r="X28" i="4"/>
  <c r="X34" i="4"/>
  <c r="X21" i="4"/>
  <c r="X29" i="4"/>
  <c r="X7" i="4"/>
  <c r="X22" i="4"/>
  <c r="X11" i="4"/>
  <c r="X2" i="4"/>
  <c r="X8" i="4"/>
  <c r="X23" i="4"/>
  <c r="X3" i="4"/>
  <c r="X9" i="4"/>
  <c r="X12" i="4"/>
  <c r="X24" i="4"/>
  <c r="X30" i="4"/>
  <c r="X35" i="4"/>
  <c r="X37" i="4"/>
  <c r="X13" i="4"/>
  <c r="X25" i="4"/>
  <c r="X31" i="4"/>
  <c r="X36" i="4"/>
  <c r="X4" i="4"/>
  <c r="X32" i="4"/>
  <c r="X45" i="4"/>
  <c r="X60" i="4"/>
  <c r="X84" i="4"/>
  <c r="X97" i="4"/>
  <c r="X113" i="4"/>
  <c r="X46" i="4"/>
  <c r="X61" i="4"/>
  <c r="X85" i="4"/>
  <c r="X114" i="4"/>
  <c r="X47" i="4"/>
  <c r="X62" i="4"/>
  <c r="X98" i="4"/>
  <c r="X115" i="4"/>
  <c r="X63" i="4"/>
  <c r="X48" i="4"/>
  <c r="X86" i="4"/>
  <c r="X99" i="4"/>
  <c r="X116" i="4"/>
  <c r="X64" i="4"/>
  <c r="X100" i="4"/>
  <c r="X117" i="4"/>
  <c r="X49" i="4"/>
  <c r="X65" i="4"/>
  <c r="X87" i="4"/>
  <c r="X101" i="4"/>
  <c r="X118" i="4"/>
  <c r="X102" i="4"/>
  <c r="X119" i="4"/>
  <c r="X50" i="4"/>
  <c r="X66" i="4"/>
  <c r="X76" i="4"/>
  <c r="X88" i="4"/>
  <c r="X120" i="4"/>
  <c r="X51" i="4"/>
  <c r="X67" i="4"/>
  <c r="X103" i="4"/>
  <c r="X121" i="4"/>
  <c r="X68" i="4"/>
  <c r="X89" i="4"/>
  <c r="X104" i="4"/>
  <c r="X122" i="4"/>
  <c r="X112" i="4"/>
  <c r="X38" i="4"/>
  <c r="X52" i="4"/>
  <c r="X77" i="4"/>
  <c r="X90" i="4"/>
  <c r="X105" i="4"/>
  <c r="X123" i="4"/>
  <c r="X96" i="4"/>
  <c r="X69" i="4"/>
  <c r="X78" i="4"/>
  <c r="X91" i="4"/>
  <c r="X106" i="4"/>
  <c r="X124" i="4"/>
  <c r="X39" i="4"/>
  <c r="X53" i="4"/>
  <c r="X70" i="4"/>
  <c r="X92" i="4"/>
  <c r="X107" i="4"/>
  <c r="X125" i="4"/>
  <c r="X54" i="4"/>
  <c r="X71" i="4"/>
  <c r="X79" i="4"/>
  <c r="X93" i="4"/>
  <c r="X108" i="4"/>
  <c r="X126" i="4"/>
  <c r="X83" i="4"/>
  <c r="X40" i="4"/>
  <c r="X75" i="4"/>
  <c r="X41" i="4"/>
  <c r="X55" i="4"/>
  <c r="X94" i="4"/>
  <c r="X109" i="4"/>
  <c r="X59" i="4"/>
  <c r="X42" i="4"/>
  <c r="X56" i="4"/>
  <c r="X72" i="4"/>
  <c r="X80" i="4"/>
  <c r="X110" i="4"/>
  <c r="X44" i="4"/>
  <c r="X43" i="4"/>
  <c r="X57" i="4"/>
  <c r="X73" i="4"/>
  <c r="X81" i="4"/>
  <c r="X95" i="4"/>
  <c r="X58" i="4"/>
  <c r="X74" i="4"/>
  <c r="X82" i="4"/>
  <c r="X111" i="4"/>
  <c r="Y13" i="4"/>
  <c r="Y25" i="4"/>
  <c r="Y31" i="4"/>
  <c r="Y36" i="4"/>
  <c r="Y4" i="4"/>
  <c r="Y32" i="4"/>
  <c r="Y14" i="4"/>
  <c r="Y15" i="4"/>
  <c r="Y33" i="4"/>
  <c r="Y16" i="4"/>
  <c r="Y26" i="4"/>
  <c r="Y17" i="4"/>
  <c r="Y9" i="4"/>
  <c r="Y5" i="4"/>
  <c r="Y18" i="4"/>
  <c r="Y27" i="4"/>
  <c r="Y19" i="4"/>
  <c r="Y6" i="4"/>
  <c r="Y10" i="4"/>
  <c r="Y20" i="4"/>
  <c r="Y28" i="4"/>
  <c r="Y34" i="4"/>
  <c r="Y37" i="4"/>
  <c r="Y21" i="4"/>
  <c r="Y29" i="4"/>
  <c r="Y7" i="4"/>
  <c r="Y22" i="4"/>
  <c r="Y35" i="4"/>
  <c r="Y11" i="4"/>
  <c r="Y30" i="4"/>
  <c r="Y2" i="4"/>
  <c r="Y8" i="4"/>
  <c r="Y24" i="4"/>
  <c r="Y23" i="4"/>
  <c r="Y3" i="4"/>
  <c r="Y12" i="4"/>
  <c r="W121" i="4"/>
  <c r="W65" i="3"/>
  <c r="W5" i="3"/>
  <c r="W32" i="3"/>
  <c r="Y63" i="3"/>
  <c r="X10" i="3"/>
  <c r="X16" i="3"/>
  <c r="Y8" i="3"/>
  <c r="Y9" i="3"/>
  <c r="Y3" i="3"/>
  <c r="Y10" i="3"/>
  <c r="Y5" i="3"/>
  <c r="Y4" i="3"/>
  <c r="Y11" i="3"/>
  <c r="Y2" i="3"/>
  <c r="Y6" i="3"/>
  <c r="Y7" i="3"/>
  <c r="W7" i="3"/>
  <c r="W2" i="3"/>
  <c r="W8" i="3"/>
  <c r="W9" i="3"/>
  <c r="W3" i="3"/>
  <c r="W4" i="3"/>
  <c r="W10" i="3"/>
  <c r="W11" i="3"/>
  <c r="W18" i="3"/>
  <c r="Y18" i="3"/>
  <c r="Y39" i="3"/>
  <c r="Y49" i="3"/>
  <c r="Y38" i="3"/>
  <c r="Y24" i="3"/>
  <c r="Y56" i="3"/>
  <c r="Y55" i="3"/>
  <c r="Y25" i="3"/>
  <c r="X3" i="3"/>
  <c r="X5" i="3"/>
  <c r="X2" i="3"/>
  <c r="X9" i="3"/>
  <c r="X8" i="3"/>
  <c r="X12" i="3"/>
  <c r="X63" i="3"/>
  <c r="X45" i="3"/>
  <c r="X64" i="3"/>
  <c r="X15" i="3"/>
  <c r="X14" i="3"/>
  <c r="X32" i="3"/>
  <c r="X46" i="3"/>
  <c r="X65" i="3"/>
  <c r="X66" i="3"/>
  <c r="X62" i="3"/>
  <c r="X38" i="3"/>
  <c r="X51" i="3"/>
  <c r="X21" i="3"/>
  <c r="X52" i="3"/>
  <c r="X22" i="3"/>
  <c r="X36" i="3"/>
  <c r="X53" i="3"/>
  <c r="X37" i="3"/>
  <c r="X54" i="3"/>
  <c r="X39" i="3"/>
  <c r="X43" i="3"/>
  <c r="X40" i="3"/>
  <c r="X57" i="3"/>
  <c r="X29" i="3"/>
  <c r="X26" i="3"/>
  <c r="X42" i="3"/>
  <c r="X28" i="3"/>
  <c r="W34" i="3"/>
  <c r="W67" i="3"/>
  <c r="W17" i="3"/>
  <c r="W48" i="3"/>
  <c r="Y54" i="3"/>
  <c r="Y37" i="3"/>
  <c r="Y23" i="3"/>
  <c r="W66" i="3"/>
  <c r="W33" i="3"/>
  <c r="W15" i="3"/>
  <c r="Y53" i="3"/>
  <c r="Y36" i="3"/>
  <c r="Y22" i="3"/>
  <c r="W14" i="3"/>
  <c r="W64" i="3"/>
  <c r="W45" i="3"/>
  <c r="W31" i="3"/>
  <c r="W13" i="3"/>
  <c r="Y51" i="3"/>
  <c r="Y35" i="3"/>
  <c r="Y20" i="3"/>
  <c r="W63" i="3"/>
  <c r="W44" i="3"/>
  <c r="W12" i="3"/>
  <c r="W16" i="3"/>
  <c r="Y50" i="3"/>
  <c r="Y19" i="3"/>
  <c r="W28" i="3"/>
  <c r="W43" i="3"/>
  <c r="Y67" i="3"/>
  <c r="Y47" i="3"/>
  <c r="Y16" i="3"/>
  <c r="W59" i="3"/>
  <c r="W42" i="3"/>
  <c r="W27" i="3"/>
  <c r="W29" i="3"/>
  <c r="Y66" i="3"/>
  <c r="Y33" i="3"/>
  <c r="Y15" i="3"/>
  <c r="W58" i="3"/>
  <c r="W41" i="3"/>
  <c r="W57" i="3"/>
  <c r="W40" i="3"/>
  <c r="W25" i="3"/>
  <c r="Y64" i="3"/>
  <c r="Y45" i="3"/>
  <c r="Y31" i="3"/>
  <c r="Y13" i="3"/>
  <c r="W56" i="3"/>
  <c r="W39" i="3"/>
  <c r="Y44" i="3"/>
  <c r="Y12" i="3"/>
  <c r="W55" i="3"/>
  <c r="W38" i="3"/>
  <c r="W24" i="3"/>
  <c r="W54" i="3"/>
  <c r="W23" i="3"/>
  <c r="Y43" i="3"/>
  <c r="Y29" i="3"/>
  <c r="W53" i="3"/>
  <c r="W36" i="3"/>
  <c r="W22" i="3"/>
  <c r="Y60" i="3"/>
  <c r="W52" i="3"/>
  <c r="W21" i="3"/>
  <c r="Y59" i="3"/>
  <c r="Y42" i="3"/>
  <c r="Y27" i="3"/>
  <c r="W51" i="3"/>
  <c r="W35" i="3"/>
  <c r="W50" i="3"/>
  <c r="W19" i="3"/>
  <c r="Y57" i="3"/>
  <c r="Y40" i="3"/>
  <c r="W49" i="3"/>
  <c r="X11" i="2"/>
  <c r="Y14" i="2"/>
  <c r="W41" i="2"/>
  <c r="X7" i="2"/>
  <c r="X27" i="2"/>
  <c r="X8" i="2"/>
  <c r="X28" i="2"/>
  <c r="X43" i="2"/>
  <c r="X9" i="2"/>
  <c r="X29" i="2"/>
  <c r="X44" i="2"/>
  <c r="X10" i="2"/>
  <c r="X30" i="2"/>
  <c r="X45" i="2"/>
  <c r="X46" i="2"/>
  <c r="X31" i="2"/>
  <c r="X47" i="2"/>
  <c r="X13" i="2"/>
  <c r="X32" i="2"/>
  <c r="X48" i="2"/>
  <c r="X14" i="2"/>
  <c r="X33" i="2"/>
  <c r="X49" i="2"/>
  <c r="X19" i="2"/>
  <c r="X15" i="2"/>
  <c r="X34" i="2"/>
  <c r="X50" i="2"/>
  <c r="X16" i="2"/>
  <c r="X35" i="2"/>
  <c r="X51" i="2"/>
  <c r="X54" i="2"/>
  <c r="X17" i="2"/>
  <c r="X36" i="2"/>
  <c r="X37" i="2"/>
  <c r="X18" i="2"/>
  <c r="X53" i="2"/>
  <c r="X20" i="2"/>
  <c r="X38" i="2"/>
  <c r="X55" i="2"/>
  <c r="X26" i="2"/>
  <c r="X21" i="2"/>
  <c r="X42" i="2"/>
  <c r="X22" i="2"/>
  <c r="X23" i="2"/>
  <c r="X39" i="2"/>
  <c r="X24" i="2"/>
  <c r="X40" i="2"/>
  <c r="X25" i="2"/>
  <c r="X41" i="2"/>
  <c r="Y13" i="2"/>
  <c r="Y32" i="2"/>
  <c r="Y48" i="2"/>
  <c r="Y49" i="2"/>
  <c r="Y36" i="2"/>
  <c r="Y15" i="2"/>
  <c r="Y34" i="2"/>
  <c r="Y50" i="2"/>
  <c r="Y17" i="2"/>
  <c r="Y16" i="2"/>
  <c r="Y35" i="2"/>
  <c r="Y51" i="2"/>
  <c r="Y52" i="2"/>
  <c r="Y18" i="2"/>
  <c r="Y53" i="2"/>
  <c r="Y25" i="2"/>
  <c r="Y19" i="2"/>
  <c r="Y37" i="2"/>
  <c r="Y54" i="2"/>
  <c r="Y20" i="2"/>
  <c r="Y38" i="2"/>
  <c r="Y41" i="2"/>
  <c r="Y21" i="2"/>
  <c r="Y22" i="2"/>
  <c r="Y23" i="2"/>
  <c r="Y39" i="2"/>
  <c r="Y24" i="2"/>
  <c r="Y40" i="2"/>
  <c r="Y26" i="2"/>
  <c r="Y42" i="2"/>
  <c r="Y28" i="2"/>
  <c r="Y7" i="2"/>
  <c r="Y27" i="2"/>
  <c r="Y8" i="2"/>
  <c r="Y43" i="2"/>
  <c r="Y9" i="2"/>
  <c r="Y29" i="2"/>
  <c r="Y44" i="2"/>
  <c r="Y31" i="2"/>
  <c r="Y10" i="2"/>
  <c r="Y45" i="2"/>
  <c r="Y47" i="2"/>
  <c r="Y11" i="2"/>
  <c r="Y46" i="2"/>
  <c r="Y12" i="2"/>
  <c r="W4" i="2"/>
  <c r="W5" i="2"/>
  <c r="W6" i="2"/>
  <c r="W2" i="2"/>
  <c r="W3" i="2"/>
  <c r="Y3" i="2"/>
  <c r="W21" i="2"/>
  <c r="W22" i="2"/>
  <c r="W25" i="2"/>
  <c r="W20" i="2"/>
  <c r="W23" i="2"/>
  <c r="W39" i="2"/>
  <c r="W24" i="2"/>
  <c r="W40" i="2"/>
  <c r="W42" i="2"/>
  <c r="W48" i="2"/>
  <c r="W7" i="2"/>
  <c r="W27" i="2"/>
  <c r="W38" i="2"/>
  <c r="W8" i="2"/>
  <c r="W28" i="2"/>
  <c r="W43" i="2"/>
  <c r="W9" i="2"/>
  <c r="W29" i="2"/>
  <c r="W44" i="2"/>
  <c r="W10" i="2"/>
  <c r="W30" i="2"/>
  <c r="W45" i="2"/>
  <c r="W13" i="2"/>
  <c r="W11" i="2"/>
  <c r="W46" i="2"/>
  <c r="W12" i="2"/>
  <c r="W47" i="2"/>
  <c r="W32" i="2"/>
  <c r="W14" i="2"/>
  <c r="W33" i="2"/>
  <c r="W49" i="2"/>
  <c r="W15" i="2"/>
  <c r="W34" i="2"/>
  <c r="W50" i="2"/>
  <c r="W16" i="2"/>
  <c r="W35" i="2"/>
  <c r="W51" i="2"/>
  <c r="W55" i="2"/>
  <c r="W17" i="2"/>
  <c r="W36" i="2"/>
  <c r="W52" i="2"/>
  <c r="W18" i="2"/>
  <c r="W53" i="2"/>
  <c r="W19" i="2"/>
  <c r="W37" i="2"/>
  <c r="A2" i="15" a="1"/>
  <c r="A2" i="15" s="1"/>
  <c r="N46" i="2" l="1"/>
  <c r="O46" i="2"/>
  <c r="B4" i="1" a="1"/>
  <c r="B4" i="1" s="1"/>
  <c r="O20" i="2"/>
  <c r="N20" i="2"/>
  <c r="S9" i="1" a="1"/>
  <c r="S9" i="1" s="1"/>
  <c r="U9" i="1" s="1"/>
  <c r="O29" i="3"/>
  <c r="N29" i="3"/>
  <c r="G9" i="1" a="1"/>
  <c r="G9" i="1" s="1"/>
  <c r="O25" i="2"/>
  <c r="N25" i="2"/>
  <c r="O113" i="4"/>
  <c r="N113" i="4"/>
  <c r="R10" i="1" a="1"/>
  <c r="R10" i="1" s="1"/>
  <c r="O6" i="3"/>
  <c r="N6" i="3"/>
  <c r="B9" i="1" a="1"/>
  <c r="B9" i="1" s="1"/>
  <c r="N24" i="3"/>
  <c r="O24" i="3"/>
  <c r="R3" i="1" a="1"/>
  <c r="R3" i="1" s="1"/>
  <c r="O49" i="2"/>
  <c r="N49" i="2"/>
  <c r="B3" i="1" a="1"/>
  <c r="B3" i="1" s="1"/>
  <c r="O3" i="4"/>
  <c r="N3" i="4"/>
  <c r="C16" i="1" a="1"/>
  <c r="C16" i="1" s="1"/>
  <c r="E16" i="1" s="1"/>
  <c r="C15" i="1" a="1"/>
  <c r="C15" i="1" s="1"/>
  <c r="B15" i="1" a="1"/>
  <c r="B15" i="1" s="1"/>
  <c r="F9" i="1" a="1"/>
  <c r="F9" i="1" s="1"/>
  <c r="N104" i="4"/>
  <c r="O104" i="4"/>
  <c r="O9" i="3"/>
  <c r="N9" i="3"/>
  <c r="N20" i="3"/>
  <c r="O20" i="3"/>
  <c r="G16" i="1" a="1"/>
  <c r="G16" i="1" s="1"/>
  <c r="I16" i="1" s="1"/>
  <c r="P3" i="4"/>
  <c r="G15" i="1" a="1"/>
  <c r="G15" i="1" s="1"/>
  <c r="N53" i="4"/>
  <c r="O53" i="4"/>
  <c r="O10" i="2"/>
  <c r="N10" i="2"/>
  <c r="O9" i="2"/>
  <c r="N9" i="2"/>
  <c r="N36" i="2"/>
  <c r="P36" i="2"/>
  <c r="O4" i="4"/>
  <c r="N4" i="4"/>
  <c r="N48" i="3"/>
  <c r="O48" i="3"/>
  <c r="N47" i="2"/>
  <c r="O47" i="2"/>
  <c r="O95" i="4"/>
  <c r="N95" i="4"/>
  <c r="T9" i="1"/>
  <c r="N121" i="4"/>
  <c r="O121" i="4"/>
  <c r="N21" i="4"/>
  <c r="O21" i="4"/>
  <c r="O53" i="2"/>
  <c r="N53" i="2"/>
  <c r="O48" i="2"/>
  <c r="N48" i="2"/>
  <c r="O96" i="4"/>
  <c r="N96" i="4"/>
  <c r="N14" i="4"/>
  <c r="O125" i="4"/>
  <c r="N125" i="4"/>
  <c r="N26" i="2"/>
  <c r="O26" i="2"/>
  <c r="N16" i="2"/>
  <c r="O16" i="2"/>
  <c r="R4" i="1" a="1"/>
  <c r="R4" i="1" s="1"/>
  <c r="O45" i="3"/>
  <c r="N45" i="3"/>
  <c r="O27" i="2"/>
  <c r="N27" i="2"/>
  <c r="O46" i="3"/>
  <c r="N46" i="3"/>
  <c r="F10" i="1" a="1"/>
  <c r="F10" i="1" s="1"/>
  <c r="H10" i="1" s="1"/>
  <c r="N24" i="2"/>
  <c r="O24" i="2"/>
  <c r="S3" i="1" a="1"/>
  <c r="S3" i="1" s="1"/>
  <c r="O112" i="4"/>
  <c r="N112" i="4"/>
  <c r="N75" i="4"/>
  <c r="O75" i="4"/>
  <c r="N15" i="4"/>
  <c r="O28" i="3"/>
  <c r="N28" i="3"/>
  <c r="O28" i="2"/>
  <c r="N28" i="2"/>
  <c r="B10" i="1" a="1"/>
  <c r="B10" i="1" s="1"/>
  <c r="S15" i="1" a="1"/>
  <c r="S15" i="1" s="1"/>
  <c r="S16" i="1" a="1"/>
  <c r="S16" i="1" s="1"/>
  <c r="R16" i="1" a="1"/>
  <c r="R16" i="1" s="1"/>
  <c r="R15" i="1" a="1"/>
  <c r="R15" i="1" s="1"/>
  <c r="T3" i="4"/>
  <c r="N37" i="3"/>
  <c r="O37" i="3"/>
  <c r="N28" i="4"/>
  <c r="N44" i="2"/>
  <c r="O44" i="2"/>
  <c r="S4" i="1" a="1"/>
  <c r="S4" i="1" s="1"/>
  <c r="N61" i="4"/>
  <c r="N55" i="4"/>
  <c r="O55" i="4"/>
  <c r="F16" i="1" a="1"/>
  <c r="F16" i="1" s="1"/>
  <c r="G10" i="1" a="1"/>
  <c r="G10" i="1" s="1"/>
  <c r="N44" i="4"/>
  <c r="O44" i="4"/>
  <c r="O25" i="3"/>
  <c r="N25" i="3"/>
  <c r="O73" i="4"/>
  <c r="N73" i="4"/>
  <c r="O105" i="4"/>
  <c r="N105" i="4"/>
  <c r="F15" i="1" a="1"/>
  <c r="F15" i="1" s="1"/>
  <c r="N12" i="4"/>
  <c r="O12" i="4"/>
  <c r="N8" i="3"/>
  <c r="P8" i="3"/>
  <c r="N80" i="4"/>
  <c r="O80" i="4"/>
  <c r="O13" i="3"/>
  <c r="N13" i="3"/>
  <c r="P8" i="2"/>
  <c r="N8" i="2"/>
  <c r="O114" i="4"/>
  <c r="N114" i="4"/>
  <c r="N60" i="3"/>
  <c r="N32" i="2"/>
  <c r="O32" i="2"/>
  <c r="N32" i="4"/>
  <c r="O32" i="4"/>
  <c r="N56" i="4"/>
  <c r="O56" i="4"/>
  <c r="N52" i="4"/>
  <c r="O52" i="4"/>
  <c r="O7" i="2"/>
  <c r="N7" i="2"/>
  <c r="N92" i="4"/>
  <c r="O92" i="4"/>
  <c r="N81" i="4"/>
  <c r="O81" i="4"/>
  <c r="N57" i="3"/>
  <c r="N55" i="2"/>
  <c r="P55" i="2"/>
  <c r="N115" i="4"/>
  <c r="O52" i="3"/>
  <c r="N52" i="3"/>
  <c r="N13" i="2"/>
  <c r="O13" i="2"/>
  <c r="N5" i="2"/>
  <c r="O5" i="2"/>
  <c r="C4" i="1" a="1"/>
  <c r="C4" i="1" s="1"/>
  <c r="E4" i="1" s="1"/>
  <c r="C3" i="1" a="1"/>
  <c r="C3" i="1" s="1"/>
  <c r="O20" i="4"/>
  <c r="N20" i="4"/>
  <c r="C9" i="1" a="1"/>
  <c r="C9" i="1" s="1"/>
  <c r="E9" i="1" s="1"/>
  <c r="O64" i="3"/>
  <c r="N64" i="3"/>
  <c r="N36" i="4"/>
  <c r="O36" i="4"/>
  <c r="N29" i="4"/>
  <c r="O29" i="4"/>
  <c r="P30" i="4"/>
  <c r="N30" i="4"/>
  <c r="N120" i="4"/>
  <c r="O120" i="4"/>
  <c r="N35" i="2"/>
  <c r="O35" i="2"/>
  <c r="N43" i="2"/>
  <c r="O43" i="2"/>
  <c r="N103" i="4"/>
  <c r="O103" i="4"/>
  <c r="N67" i="3"/>
  <c r="O44" i="3"/>
  <c r="N44" i="3"/>
  <c r="N93" i="4"/>
  <c r="P13" i="4"/>
  <c r="O4" i="3"/>
  <c r="N4" i="3"/>
  <c r="O11" i="3"/>
  <c r="N11" i="3"/>
  <c r="N7" i="3"/>
  <c r="O7" i="3"/>
  <c r="O5" i="3"/>
  <c r="N5" i="3"/>
  <c r="O25" i="4"/>
  <c r="N25" i="4"/>
  <c r="N54" i="4"/>
  <c r="P54" i="4"/>
  <c r="N5" i="4"/>
  <c r="O5" i="4"/>
  <c r="N49" i="3"/>
  <c r="O49" i="3"/>
  <c r="N26" i="4"/>
  <c r="N116" i="4"/>
  <c r="O29" i="2"/>
  <c r="N29" i="2"/>
  <c r="N65" i="4"/>
  <c r="O65" i="4"/>
  <c r="O52" i="2"/>
  <c r="N52" i="2"/>
  <c r="N12" i="3"/>
  <c r="O12" i="3"/>
  <c r="N123" i="4"/>
  <c r="N23" i="2"/>
  <c r="O23" i="2"/>
  <c r="F4" i="1" a="1"/>
  <c r="F4" i="1" s="1"/>
  <c r="G4" i="1" a="1"/>
  <c r="G4" i="1" s="1"/>
  <c r="I4" i="1" s="1"/>
  <c r="F3" i="1" a="1"/>
  <c r="F3" i="1" s="1"/>
  <c r="G3" i="1" a="1"/>
  <c r="G3" i="1" s="1"/>
  <c r="I3" i="1" s="1"/>
  <c r="P2" i="2"/>
  <c r="O72" i="4"/>
  <c r="N72" i="4"/>
  <c r="N45" i="4"/>
  <c r="O45" i="4"/>
  <c r="P16" i="4"/>
  <c r="N16" i="4"/>
  <c r="O27" i="3"/>
  <c r="N27" i="3"/>
  <c r="N23" i="4"/>
  <c r="N3" i="2"/>
  <c r="O3" i="2"/>
  <c r="P126" i="4"/>
  <c r="N126" i="4"/>
  <c r="O74" i="4"/>
  <c r="N74" i="4"/>
  <c r="N94" i="4"/>
  <c r="O94" i="4"/>
  <c r="O45" i="2"/>
  <c r="N45" i="2"/>
  <c r="O43" i="4"/>
  <c r="N43" i="4"/>
  <c r="S10" i="1" a="1"/>
  <c r="S10" i="1" s="1"/>
  <c r="U10" i="1" s="1"/>
  <c r="C10" i="1" a="1"/>
  <c r="C10" i="1" s="1"/>
  <c r="N47" i="3"/>
  <c r="Y97" i="4"/>
  <c r="Y80" i="4"/>
  <c r="Y65" i="4"/>
  <c r="Y84" i="4"/>
  <c r="Y72" i="4"/>
  <c r="Y71" i="4"/>
  <c r="Y122" i="4"/>
  <c r="Y117" i="4"/>
  <c r="Y45" i="4"/>
  <c r="Y42" i="4"/>
  <c r="Y54" i="4"/>
  <c r="Y104" i="4"/>
  <c r="Y100" i="4"/>
  <c r="Y112" i="4"/>
  <c r="Y109" i="4"/>
  <c r="Y40" i="4"/>
  <c r="Y89" i="4"/>
  <c r="Y64" i="4"/>
  <c r="Y83" i="4"/>
  <c r="Y94" i="4"/>
  <c r="Y125" i="4"/>
  <c r="Y68" i="4"/>
  <c r="Y116" i="4"/>
  <c r="Y75" i="4"/>
  <c r="Y55" i="4"/>
  <c r="Y107" i="4"/>
  <c r="Y121" i="4"/>
  <c r="Y99" i="4"/>
  <c r="Y44" i="4"/>
  <c r="Y41" i="4"/>
  <c r="Y92" i="4"/>
  <c r="Y103" i="4"/>
  <c r="Y86" i="4"/>
  <c r="Y96" i="4"/>
  <c r="Y70" i="4"/>
  <c r="Y67" i="4"/>
  <c r="Y63" i="4"/>
  <c r="Y111" i="4"/>
  <c r="Y53" i="4"/>
  <c r="Y51" i="4"/>
  <c r="Y48" i="4"/>
  <c r="Y82" i="4"/>
  <c r="Y39" i="4"/>
  <c r="Y120" i="4"/>
  <c r="Y115" i="4"/>
  <c r="Y58" i="4"/>
  <c r="Y124" i="4"/>
  <c r="Y88" i="4"/>
  <c r="Y98" i="4"/>
  <c r="Y59" i="4"/>
  <c r="Y91" i="4"/>
  <c r="Y66" i="4"/>
  <c r="Y47" i="4"/>
  <c r="W113" i="4"/>
  <c r="W31" i="4"/>
  <c r="W28" i="4"/>
  <c r="W60" i="4"/>
  <c r="W25" i="4"/>
  <c r="W20" i="4"/>
  <c r="W57" i="4"/>
  <c r="W13" i="4"/>
  <c r="W10" i="4"/>
  <c r="W43" i="4"/>
  <c r="W37" i="4"/>
  <c r="W6" i="4"/>
  <c r="W72" i="4"/>
  <c r="W35" i="4"/>
  <c r="W19" i="4"/>
  <c r="W70" i="4"/>
  <c r="W103" i="4"/>
  <c r="W12" i="4"/>
  <c r="W67" i="4"/>
  <c r="W9" i="4"/>
  <c r="W17" i="4"/>
  <c r="W18" i="4"/>
  <c r="W46" i="4"/>
  <c r="W26" i="4"/>
  <c r="W3" i="4"/>
  <c r="W16" i="4"/>
  <c r="W23" i="4"/>
  <c r="W33" i="4"/>
  <c r="W8" i="4"/>
  <c r="W15" i="4"/>
  <c r="W2" i="4"/>
  <c r="W14" i="4"/>
  <c r="W11" i="4"/>
  <c r="W92" i="4"/>
  <c r="W5" i="4"/>
  <c r="W22" i="4"/>
  <c r="W32" i="4"/>
  <c r="W97" i="4"/>
  <c r="W110" i="4"/>
  <c r="W53" i="4"/>
  <c r="W51" i="4"/>
  <c r="W84" i="4"/>
  <c r="W80" i="4"/>
  <c r="W39" i="4"/>
  <c r="W120" i="4"/>
  <c r="W124" i="4"/>
  <c r="W88" i="4"/>
  <c r="W45" i="4"/>
  <c r="W56" i="4"/>
  <c r="W106" i="4"/>
  <c r="W76" i="4"/>
  <c r="W42" i="4"/>
  <c r="W91" i="4"/>
  <c r="W66" i="4"/>
  <c r="W100" i="4"/>
  <c r="W96" i="4"/>
  <c r="W109" i="4"/>
  <c r="W78" i="4"/>
  <c r="W50" i="4"/>
  <c r="W116" i="4"/>
  <c r="W83" i="4"/>
  <c r="W94" i="4"/>
  <c r="W69" i="4"/>
  <c r="W119" i="4"/>
  <c r="W75" i="4"/>
  <c r="W102" i="4"/>
  <c r="W86" i="4"/>
  <c r="W59" i="4"/>
  <c r="W41" i="4"/>
  <c r="W105" i="4"/>
  <c r="W117" i="4"/>
  <c r="W123" i="4"/>
  <c r="W63" i="4"/>
  <c r="W44" i="4"/>
  <c r="W40" i="4"/>
  <c r="W90" i="4"/>
  <c r="W118" i="4"/>
  <c r="W99" i="4"/>
  <c r="W48" i="4"/>
  <c r="W111" i="4"/>
  <c r="W126" i="4"/>
  <c r="W77" i="4"/>
  <c r="W101" i="4"/>
  <c r="W112" i="4"/>
  <c r="W55" i="4"/>
  <c r="W115" i="4"/>
  <c r="W82" i="4"/>
  <c r="W108" i="4"/>
  <c r="W52" i="4"/>
  <c r="W87" i="4"/>
  <c r="W98" i="4"/>
  <c r="W74" i="4"/>
  <c r="W93" i="4"/>
  <c r="W38" i="4"/>
  <c r="W65" i="4"/>
  <c r="W58" i="4"/>
  <c r="W49" i="4"/>
  <c r="W71" i="4"/>
  <c r="W114" i="4"/>
  <c r="W54" i="4"/>
  <c r="W89" i="4"/>
  <c r="W79" i="4"/>
  <c r="W64" i="4"/>
  <c r="W85" i="4"/>
  <c r="W81" i="4"/>
  <c r="W125" i="4"/>
  <c r="W68" i="4"/>
  <c r="W62" i="4"/>
  <c r="W122" i="4"/>
  <c r="W47" i="4"/>
  <c r="W104" i="4"/>
  <c r="W95" i="4"/>
  <c r="W61" i="4"/>
  <c r="W73" i="4"/>
  <c r="W107" i="4"/>
  <c r="Y34" i="3"/>
  <c r="Y21" i="3"/>
  <c r="Y14" i="3"/>
  <c r="Y52" i="3"/>
  <c r="X61" i="3"/>
  <c r="X35" i="3"/>
  <c r="X7" i="3"/>
  <c r="Y26" i="3"/>
  <c r="W37" i="3"/>
  <c r="Y32" i="3"/>
  <c r="W60" i="3"/>
  <c r="W47" i="3"/>
  <c r="X59" i="3"/>
  <c r="X20" i="3"/>
  <c r="X6" i="3"/>
  <c r="Y17" i="3"/>
  <c r="Y30" i="3"/>
  <c r="Y48" i="3"/>
  <c r="Y62" i="3"/>
  <c r="W30" i="3"/>
  <c r="X58" i="3"/>
  <c r="X67" i="3"/>
  <c r="X4" i="3"/>
  <c r="W6" i="3"/>
  <c r="Y61" i="3"/>
  <c r="Y41" i="3"/>
  <c r="Y46" i="3"/>
  <c r="Y58" i="3"/>
  <c r="Y65" i="3"/>
  <c r="X27" i="3"/>
  <c r="X49" i="3"/>
  <c r="X11" i="3"/>
  <c r="Y28" i="3"/>
  <c r="W61" i="3"/>
  <c r="W46" i="3"/>
  <c r="W20" i="3"/>
  <c r="W26" i="3"/>
  <c r="W62" i="3"/>
  <c r="X41" i="3"/>
  <c r="X33" i="3"/>
  <c r="X50" i="3"/>
  <c r="X31" i="3"/>
  <c r="X25" i="3"/>
  <c r="X19" i="3"/>
  <c r="X13" i="3"/>
  <c r="X56" i="3"/>
  <c r="X18" i="3"/>
  <c r="X44" i="3"/>
  <c r="X24" i="3"/>
  <c r="X48" i="3"/>
  <c r="X34" i="3"/>
  <c r="X23" i="3"/>
  <c r="X17" i="3"/>
  <c r="X30" i="3"/>
  <c r="X47" i="3"/>
  <c r="X60" i="3"/>
  <c r="X55" i="3"/>
  <c r="W26" i="2"/>
  <c r="Y33" i="2"/>
  <c r="X12" i="2"/>
  <c r="W54" i="2"/>
  <c r="W31" i="2"/>
  <c r="Y30" i="2"/>
  <c r="Y55" i="2"/>
  <c r="X52" i="2"/>
  <c r="Y2" i="2"/>
  <c r="Y6" i="2"/>
  <c r="Y5" i="2"/>
  <c r="Y4" i="2"/>
  <c r="X6" i="2"/>
  <c r="X2" i="2"/>
  <c r="X3" i="2"/>
  <c r="X4" i="2"/>
  <c r="X5" i="2"/>
  <c r="T16" i="1" l="1"/>
  <c r="D15" i="1"/>
  <c r="H15" i="1"/>
  <c r="T15" i="1"/>
  <c r="E10" i="1"/>
  <c r="D3" i="1"/>
  <c r="U3" i="1"/>
  <c r="I9" i="1"/>
  <c r="T4" i="1"/>
  <c r="I15" i="1"/>
  <c r="E3" i="1"/>
  <c r="D9" i="1"/>
  <c r="U16" i="1"/>
  <c r="U15" i="1"/>
  <c r="T10" i="1"/>
  <c r="H3" i="1"/>
  <c r="D10" i="1"/>
  <c r="H4" i="1"/>
  <c r="T3" i="1"/>
  <c r="I10" i="1"/>
  <c r="E15" i="1"/>
  <c r="H16" i="1"/>
  <c r="D4" i="1"/>
  <c r="H9" i="1"/>
  <c r="U4" i="1"/>
  <c r="D16" i="1"/>
  <c r="Z38" i="4" l="1"/>
  <c r="Z52" i="4"/>
  <c r="Z77" i="4"/>
  <c r="Z90" i="4"/>
  <c r="Z105" i="4"/>
  <c r="Z123" i="4"/>
  <c r="Z69" i="4"/>
  <c r="Z78" i="4"/>
  <c r="Z91" i="4"/>
  <c r="Z106" i="4"/>
  <c r="Z124" i="4"/>
  <c r="Z39" i="4"/>
  <c r="Z53" i="4"/>
  <c r="Z70" i="4"/>
  <c r="Z92" i="4"/>
  <c r="Z107" i="4"/>
  <c r="Z125" i="4"/>
  <c r="Z54" i="4"/>
  <c r="Z79" i="4"/>
  <c r="Z108" i="4"/>
  <c r="Z40" i="4"/>
  <c r="Z55" i="4"/>
  <c r="Z71" i="4"/>
  <c r="Z93" i="4"/>
  <c r="Z126" i="4"/>
  <c r="Z94" i="4"/>
  <c r="Z41" i="4"/>
  <c r="Z109" i="4"/>
  <c r="Z42" i="4"/>
  <c r="Z56" i="4"/>
  <c r="Z72" i="4"/>
  <c r="Z80" i="4"/>
  <c r="Z110" i="4"/>
  <c r="Z43" i="4"/>
  <c r="Z57" i="4"/>
  <c r="Z73" i="4"/>
  <c r="Z81" i="4"/>
  <c r="Z95" i="4"/>
  <c r="Z58" i="4"/>
  <c r="Z74" i="4"/>
  <c r="Z82" i="4"/>
  <c r="Z111" i="4"/>
  <c r="Z104" i="4"/>
  <c r="Z44" i="4"/>
  <c r="Z59" i="4"/>
  <c r="Z75" i="4"/>
  <c r="Z83" i="4"/>
  <c r="Z96" i="4"/>
  <c r="Z112" i="4"/>
  <c r="Z45" i="4"/>
  <c r="Z60" i="4"/>
  <c r="Z84" i="4"/>
  <c r="Z97" i="4"/>
  <c r="Z113" i="4"/>
  <c r="Z68" i="4"/>
  <c r="Z46" i="4"/>
  <c r="Z61" i="4"/>
  <c r="Z85" i="4"/>
  <c r="Z114" i="4"/>
  <c r="Z89" i="4"/>
  <c r="Z47" i="4"/>
  <c r="Z62" i="4"/>
  <c r="Z98" i="4"/>
  <c r="Z115" i="4"/>
  <c r="Z48" i="4"/>
  <c r="Z63" i="4"/>
  <c r="Z86" i="4"/>
  <c r="Z99" i="4"/>
  <c r="Z116" i="4"/>
  <c r="Z64" i="4"/>
  <c r="Z100" i="4"/>
  <c r="Z117" i="4"/>
  <c r="Z49" i="4"/>
  <c r="Z65" i="4"/>
  <c r="Z87" i="4"/>
  <c r="Z101" i="4"/>
  <c r="Z118" i="4"/>
  <c r="Z102" i="4"/>
  <c r="Z119" i="4"/>
  <c r="Z50" i="4"/>
  <c r="Z66" i="4"/>
  <c r="Z76" i="4"/>
  <c r="Z88" i="4"/>
  <c r="Z120" i="4"/>
  <c r="Z122" i="4"/>
  <c r="Z51" i="4"/>
  <c r="Z67" i="4"/>
  <c r="Z103" i="4"/>
  <c r="Z121" i="4"/>
  <c r="Z11" i="4"/>
  <c r="Z24" i="4"/>
  <c r="Z13" i="4"/>
  <c r="Z7" i="4"/>
  <c r="Z2" i="4"/>
  <c r="Z8" i="4"/>
  <c r="Z23" i="4"/>
  <c r="Z3" i="4"/>
  <c r="Z12" i="4"/>
  <c r="Z35" i="4"/>
  <c r="Z37" i="4"/>
  <c r="Z25" i="4"/>
  <c r="Z9" i="4"/>
  <c r="Z30" i="4"/>
  <c r="Z31" i="4"/>
  <c r="Z36" i="4"/>
  <c r="Z4" i="4"/>
  <c r="Z32" i="4"/>
  <c r="Z14" i="4"/>
  <c r="Z15" i="4"/>
  <c r="Z33" i="4"/>
  <c r="Z16" i="4"/>
  <c r="Z26" i="4"/>
  <c r="Z17" i="4"/>
  <c r="Z22" i="4"/>
  <c r="Z5" i="4"/>
  <c r="Z18" i="4"/>
  <c r="Z27" i="4"/>
  <c r="Z19" i="4"/>
  <c r="Z6" i="4"/>
  <c r="Z10" i="4"/>
  <c r="Z20" i="4"/>
  <c r="Z28" i="4"/>
  <c r="Z34" i="4"/>
  <c r="Z21" i="4"/>
  <c r="Z29" i="4"/>
  <c r="U13" i="4"/>
  <c r="U25" i="4"/>
  <c r="U31" i="4"/>
  <c r="U36" i="4"/>
  <c r="U4" i="4"/>
  <c r="U32" i="4"/>
  <c r="U24" i="4"/>
  <c r="U9" i="4"/>
  <c r="U14" i="4"/>
  <c r="U15" i="4"/>
  <c r="U33" i="4"/>
  <c r="U16" i="4"/>
  <c r="A9" i="12" s="1" a="1"/>
  <c r="A6" i="12" s="1"/>
  <c r="U26" i="4"/>
  <c r="U17" i="4"/>
  <c r="U30" i="4"/>
  <c r="U5" i="4"/>
  <c r="U18" i="4"/>
  <c r="U27" i="4"/>
  <c r="U19" i="4"/>
  <c r="U6" i="4"/>
  <c r="U10" i="4"/>
  <c r="U20" i="4"/>
  <c r="U28" i="4"/>
  <c r="U34" i="4"/>
  <c r="U21" i="4"/>
  <c r="U29" i="4"/>
  <c r="U7" i="4"/>
  <c r="U22" i="4"/>
  <c r="U35" i="4"/>
  <c r="U11" i="4"/>
  <c r="U12" i="4"/>
  <c r="U2" i="4"/>
  <c r="U8" i="4"/>
  <c r="U23" i="4"/>
  <c r="U37" i="4"/>
  <c r="U3" i="4"/>
  <c r="U41" i="4"/>
  <c r="U55" i="4"/>
  <c r="U94" i="4"/>
  <c r="U109" i="4"/>
  <c r="U42" i="4"/>
  <c r="U56" i="4"/>
  <c r="U72" i="4"/>
  <c r="U80" i="4"/>
  <c r="U110" i="4"/>
  <c r="U43" i="4"/>
  <c r="U57" i="4"/>
  <c r="U73" i="4"/>
  <c r="U81" i="4"/>
  <c r="U95" i="4"/>
  <c r="U58" i="4"/>
  <c r="U74" i="4"/>
  <c r="U82" i="4"/>
  <c r="U111" i="4"/>
  <c r="U44" i="4"/>
  <c r="U59" i="4"/>
  <c r="U75" i="4"/>
  <c r="U83" i="4"/>
  <c r="U96" i="4"/>
  <c r="U112" i="4"/>
  <c r="U45" i="4"/>
  <c r="U60" i="4"/>
  <c r="U84" i="4"/>
  <c r="U97" i="4"/>
  <c r="U113" i="4"/>
  <c r="U46" i="4"/>
  <c r="U61" i="4"/>
  <c r="U85" i="4"/>
  <c r="U114" i="4"/>
  <c r="U47" i="4"/>
  <c r="U62" i="4"/>
  <c r="U98" i="4"/>
  <c r="U115" i="4"/>
  <c r="U48" i="4"/>
  <c r="U63" i="4"/>
  <c r="U86" i="4"/>
  <c r="U99" i="4"/>
  <c r="U116" i="4"/>
  <c r="U64" i="4"/>
  <c r="U100" i="4"/>
  <c r="U117" i="4"/>
  <c r="U49" i="4"/>
  <c r="U65" i="4"/>
  <c r="U87" i="4"/>
  <c r="U101" i="4"/>
  <c r="U118" i="4"/>
  <c r="U102" i="4"/>
  <c r="U119" i="4"/>
  <c r="U50" i="4"/>
  <c r="U66" i="4"/>
  <c r="U76" i="4"/>
  <c r="U88" i="4"/>
  <c r="U120" i="4"/>
  <c r="U51" i="4"/>
  <c r="U67" i="4"/>
  <c r="U103" i="4"/>
  <c r="U121" i="4"/>
  <c r="U68" i="4"/>
  <c r="U89" i="4"/>
  <c r="U104" i="4"/>
  <c r="U122" i="4"/>
  <c r="U38" i="4"/>
  <c r="U52" i="4"/>
  <c r="U77" i="4"/>
  <c r="U90" i="4"/>
  <c r="U105" i="4"/>
  <c r="U123" i="4"/>
  <c r="U69" i="4"/>
  <c r="U78" i="4"/>
  <c r="U91" i="4"/>
  <c r="U106" i="4"/>
  <c r="U124" i="4"/>
  <c r="U39" i="4"/>
  <c r="U53" i="4"/>
  <c r="U70" i="4"/>
  <c r="U92" i="4"/>
  <c r="U107" i="4"/>
  <c r="U125" i="4"/>
  <c r="U54" i="4"/>
  <c r="U71" i="4"/>
  <c r="U79" i="4"/>
  <c r="U93" i="4"/>
  <c r="U108" i="4"/>
  <c r="U126" i="4"/>
  <c r="U40" i="4"/>
  <c r="V11" i="4"/>
  <c r="V2" i="4"/>
  <c r="V8" i="4"/>
  <c r="V23" i="4"/>
  <c r="V3" i="4"/>
  <c r="V9" i="4"/>
  <c r="V12" i="4"/>
  <c r="V24" i="4"/>
  <c r="V30" i="4"/>
  <c r="V35" i="4"/>
  <c r="V37" i="4"/>
  <c r="V13" i="4"/>
  <c r="V25" i="4"/>
  <c r="V31" i="4"/>
  <c r="V36" i="4"/>
  <c r="V4" i="4"/>
  <c r="V32" i="4"/>
  <c r="V7" i="4"/>
  <c r="V14" i="4"/>
  <c r="V15" i="4"/>
  <c r="V33" i="4"/>
  <c r="V16" i="4"/>
  <c r="V26" i="4"/>
  <c r="V17" i="4"/>
  <c r="V5" i="4"/>
  <c r="V18" i="4"/>
  <c r="V27" i="4"/>
  <c r="V19" i="4"/>
  <c r="V6" i="4"/>
  <c r="V10" i="4"/>
  <c r="V20" i="4"/>
  <c r="V28" i="4"/>
  <c r="V34" i="4"/>
  <c r="V21" i="4"/>
  <c r="V29" i="4"/>
  <c r="V22" i="4"/>
  <c r="V38" i="4"/>
  <c r="V52" i="4"/>
  <c r="V77" i="4"/>
  <c r="V90" i="4"/>
  <c r="V105" i="4"/>
  <c r="V123" i="4"/>
  <c r="V69" i="4"/>
  <c r="V78" i="4"/>
  <c r="V91" i="4"/>
  <c r="V106" i="4"/>
  <c r="V124" i="4"/>
  <c r="V39" i="4"/>
  <c r="V53" i="4"/>
  <c r="V70" i="4"/>
  <c r="V92" i="4"/>
  <c r="V107" i="4"/>
  <c r="V125" i="4"/>
  <c r="V54" i="4"/>
  <c r="V71" i="4"/>
  <c r="V79" i="4"/>
  <c r="V93" i="4"/>
  <c r="V108" i="4"/>
  <c r="V126" i="4"/>
  <c r="V40" i="4"/>
  <c r="V41" i="4"/>
  <c r="V55" i="4"/>
  <c r="V94" i="4"/>
  <c r="V109" i="4"/>
  <c r="V42" i="4"/>
  <c r="V56" i="4"/>
  <c r="V72" i="4"/>
  <c r="V80" i="4"/>
  <c r="V110" i="4"/>
  <c r="V43" i="4"/>
  <c r="V57" i="4"/>
  <c r="V73" i="4"/>
  <c r="V81" i="4"/>
  <c r="V95" i="4"/>
  <c r="V58" i="4"/>
  <c r="V74" i="4"/>
  <c r="V82" i="4"/>
  <c r="V111" i="4"/>
  <c r="V44" i="4"/>
  <c r="V59" i="4"/>
  <c r="V75" i="4"/>
  <c r="V83" i="4"/>
  <c r="V96" i="4"/>
  <c r="V112" i="4"/>
  <c r="V45" i="4"/>
  <c r="V60" i="4"/>
  <c r="V84" i="4"/>
  <c r="V97" i="4"/>
  <c r="V113" i="4"/>
  <c r="V89" i="4"/>
  <c r="V46" i="4"/>
  <c r="V61" i="4"/>
  <c r="V85" i="4"/>
  <c r="V114" i="4"/>
  <c r="V47" i="4"/>
  <c r="V62" i="4"/>
  <c r="V98" i="4"/>
  <c r="V115" i="4"/>
  <c r="V48" i="4"/>
  <c r="V63" i="4"/>
  <c r="V86" i="4"/>
  <c r="V99" i="4"/>
  <c r="V116" i="4"/>
  <c r="V104" i="4"/>
  <c r="V64" i="4"/>
  <c r="V100" i="4"/>
  <c r="V117" i="4"/>
  <c r="V49" i="4"/>
  <c r="V65" i="4"/>
  <c r="V87" i="4"/>
  <c r="V101" i="4"/>
  <c r="V118" i="4"/>
  <c r="V122" i="4"/>
  <c r="V102" i="4"/>
  <c r="V119" i="4"/>
  <c r="V68" i="4"/>
  <c r="V50" i="4"/>
  <c r="V66" i="4"/>
  <c r="V76" i="4"/>
  <c r="V88" i="4"/>
  <c r="V120" i="4"/>
  <c r="V51" i="4"/>
  <c r="V67" i="4"/>
  <c r="V103" i="4"/>
  <c r="V121" i="4"/>
  <c r="U29" i="3"/>
  <c r="U43" i="3"/>
  <c r="U61" i="3"/>
  <c r="U30" i="3"/>
  <c r="U62" i="3"/>
  <c r="U45" i="3"/>
  <c r="U12" i="3"/>
  <c r="U44" i="3"/>
  <c r="U63" i="3"/>
  <c r="U31" i="3"/>
  <c r="U64" i="3"/>
  <c r="U13" i="3"/>
  <c r="U14" i="3"/>
  <c r="U32" i="3"/>
  <c r="U46" i="3"/>
  <c r="U65" i="3"/>
  <c r="U53" i="3"/>
  <c r="U15" i="3"/>
  <c r="U33" i="3"/>
  <c r="U66" i="3"/>
  <c r="U16" i="3"/>
  <c r="U47" i="3"/>
  <c r="U17" i="3"/>
  <c r="U34" i="3"/>
  <c r="U48" i="3"/>
  <c r="U67" i="3"/>
  <c r="U18" i="3"/>
  <c r="U49" i="3"/>
  <c r="U19" i="3"/>
  <c r="U50" i="3"/>
  <c r="U20" i="3"/>
  <c r="U35" i="3"/>
  <c r="U51" i="3"/>
  <c r="U22" i="3"/>
  <c r="U21" i="3"/>
  <c r="U52" i="3"/>
  <c r="U36" i="3"/>
  <c r="U23" i="3"/>
  <c r="U37" i="3"/>
  <c r="U54" i="3"/>
  <c r="U27" i="3"/>
  <c r="U59" i="3"/>
  <c r="U24" i="3"/>
  <c r="U38" i="3"/>
  <c r="U55" i="3"/>
  <c r="U42" i="3"/>
  <c r="U28" i="3"/>
  <c r="U39" i="3"/>
  <c r="U56" i="3"/>
  <c r="U25" i="3"/>
  <c r="U40" i="3"/>
  <c r="U57" i="3"/>
  <c r="U60" i="3"/>
  <c r="U26" i="3"/>
  <c r="U41" i="3"/>
  <c r="U58" i="3"/>
  <c r="Z20" i="3"/>
  <c r="Z35" i="3"/>
  <c r="Z51" i="3"/>
  <c r="Z12" i="3"/>
  <c r="Z21" i="3"/>
  <c r="Z52" i="3"/>
  <c r="Z23" i="3"/>
  <c r="Z22" i="3"/>
  <c r="Z36" i="3"/>
  <c r="Z53" i="3"/>
  <c r="Z54" i="3"/>
  <c r="Z37" i="3"/>
  <c r="Z24" i="3"/>
  <c r="Z38" i="3"/>
  <c r="Z55" i="3"/>
  <c r="Z19" i="3"/>
  <c r="Z39" i="3"/>
  <c r="Z56" i="3"/>
  <c r="Z40" i="3"/>
  <c r="Z50" i="3"/>
  <c r="Z25" i="3"/>
  <c r="Z57" i="3"/>
  <c r="Z26" i="3"/>
  <c r="Z41" i="3"/>
  <c r="Z58" i="3"/>
  <c r="Z27" i="3"/>
  <c r="Z42" i="3"/>
  <c r="Z59" i="3"/>
  <c r="Z28" i="3"/>
  <c r="Z60" i="3"/>
  <c r="Z63" i="3"/>
  <c r="Z29" i="3"/>
  <c r="Z43" i="3"/>
  <c r="Z61" i="3"/>
  <c r="Z44" i="3"/>
  <c r="Z30" i="3"/>
  <c r="Z62" i="3"/>
  <c r="Z13" i="3"/>
  <c r="Z31" i="3"/>
  <c r="Z45" i="3"/>
  <c r="Z64" i="3"/>
  <c r="Z14" i="3"/>
  <c r="Z32" i="3"/>
  <c r="Z46" i="3"/>
  <c r="Z65" i="3"/>
  <c r="Z18" i="3"/>
  <c r="Z49" i="3"/>
  <c r="Z15" i="3"/>
  <c r="Z33" i="3"/>
  <c r="Z66" i="3"/>
  <c r="Z16" i="3"/>
  <c r="Z47" i="3"/>
  <c r="Z17" i="3"/>
  <c r="Z34" i="3"/>
  <c r="Z48" i="3"/>
  <c r="Z67" i="3"/>
  <c r="V2" i="3"/>
  <c r="V8" i="3"/>
  <c r="V9" i="3"/>
  <c r="V11" i="3"/>
  <c r="V3" i="3"/>
  <c r="V10" i="3"/>
  <c r="V4" i="3"/>
  <c r="V5" i="3"/>
  <c r="V6" i="3"/>
  <c r="V7" i="3"/>
  <c r="Z7" i="3"/>
  <c r="Z2" i="3"/>
  <c r="Z3" i="3"/>
  <c r="Z6" i="3"/>
  <c r="Z8" i="3"/>
  <c r="Z9" i="3"/>
  <c r="Z10" i="3"/>
  <c r="Z4" i="3"/>
  <c r="Z11" i="3"/>
  <c r="Z5" i="3"/>
  <c r="U9" i="3"/>
  <c r="U3" i="3"/>
  <c r="U10" i="3"/>
  <c r="U4" i="3"/>
  <c r="U11" i="3"/>
  <c r="U5" i="3"/>
  <c r="U6" i="3"/>
  <c r="U7" i="3"/>
  <c r="U8" i="3"/>
  <c r="U2" i="3"/>
  <c r="V24" i="3"/>
  <c r="V38" i="3"/>
  <c r="V55" i="3"/>
  <c r="V39" i="3"/>
  <c r="V56" i="3"/>
  <c r="V26" i="3"/>
  <c r="V25" i="3"/>
  <c r="V40" i="3"/>
  <c r="V57" i="3"/>
  <c r="V41" i="3"/>
  <c r="V58" i="3"/>
  <c r="V27" i="3"/>
  <c r="V42" i="3"/>
  <c r="V59" i="3"/>
  <c r="V23" i="3"/>
  <c r="V28" i="3"/>
  <c r="V60" i="3"/>
  <c r="V29" i="3"/>
  <c r="V43" i="3"/>
  <c r="V61" i="3"/>
  <c r="V30" i="3"/>
  <c r="V62" i="3"/>
  <c r="V54" i="3"/>
  <c r="V12" i="3"/>
  <c r="V44" i="3"/>
  <c r="V63" i="3"/>
  <c r="V16" i="3"/>
  <c r="V37" i="3"/>
  <c r="V13" i="3"/>
  <c r="V31" i="3"/>
  <c r="V45" i="3"/>
  <c r="V64" i="3"/>
  <c r="V14" i="3"/>
  <c r="V32" i="3"/>
  <c r="V46" i="3"/>
  <c r="V65" i="3"/>
  <c r="V15" i="3"/>
  <c r="V33" i="3"/>
  <c r="V66" i="3"/>
  <c r="V47" i="3"/>
  <c r="V17" i="3"/>
  <c r="V34" i="3"/>
  <c r="V48" i="3"/>
  <c r="V67" i="3"/>
  <c r="V18" i="3"/>
  <c r="V49" i="3"/>
  <c r="V19" i="3"/>
  <c r="V50" i="3"/>
  <c r="V22" i="3"/>
  <c r="V20" i="3"/>
  <c r="V35" i="3"/>
  <c r="V51" i="3"/>
  <c r="V36" i="3"/>
  <c r="V21" i="3"/>
  <c r="V52" i="3"/>
  <c r="V53" i="3"/>
  <c r="U9" i="2"/>
  <c r="U29" i="2"/>
  <c r="U44" i="2"/>
  <c r="U10" i="2"/>
  <c r="U30" i="2"/>
  <c r="U45" i="2"/>
  <c r="U11" i="2"/>
  <c r="U46" i="2"/>
  <c r="U13" i="2"/>
  <c r="U48" i="2"/>
  <c r="U12" i="2"/>
  <c r="U31" i="2"/>
  <c r="U47" i="2"/>
  <c r="U32" i="2"/>
  <c r="U14" i="2"/>
  <c r="U33" i="2"/>
  <c r="U49" i="2"/>
  <c r="U21" i="2"/>
  <c r="U15" i="2"/>
  <c r="U34" i="2"/>
  <c r="U50" i="2"/>
  <c r="U16" i="2"/>
  <c r="U35" i="2"/>
  <c r="U51" i="2"/>
  <c r="U17" i="2"/>
  <c r="U36" i="2"/>
  <c r="U52" i="2"/>
  <c r="U18" i="2"/>
  <c r="U53" i="2"/>
  <c r="U19" i="2"/>
  <c r="U37" i="2"/>
  <c r="U54" i="2"/>
  <c r="U8" i="2"/>
  <c r="U20" i="2"/>
  <c r="U38" i="2"/>
  <c r="U55" i="2"/>
  <c r="U22" i="2"/>
  <c r="U23" i="2"/>
  <c r="U39" i="2"/>
  <c r="U24" i="2"/>
  <c r="U40" i="2"/>
  <c r="U25" i="2"/>
  <c r="U41" i="2"/>
  <c r="U28" i="2"/>
  <c r="U26" i="2"/>
  <c r="U42" i="2"/>
  <c r="U7" i="2"/>
  <c r="U27" i="2"/>
  <c r="U43" i="2"/>
  <c r="Z4" i="2"/>
  <c r="Z5" i="2"/>
  <c r="Z6" i="2"/>
  <c r="Z2" i="2"/>
  <c r="Z3" i="2"/>
  <c r="V15" i="2"/>
  <c r="V34" i="2"/>
  <c r="V50" i="2"/>
  <c r="V16" i="2"/>
  <c r="V35" i="2"/>
  <c r="V51" i="2"/>
  <c r="V17" i="2"/>
  <c r="V36" i="2"/>
  <c r="V52" i="2"/>
  <c r="V54" i="2"/>
  <c r="V33" i="2"/>
  <c r="V18" i="2"/>
  <c r="V53" i="2"/>
  <c r="V37" i="2"/>
  <c r="V14" i="2"/>
  <c r="V19" i="2"/>
  <c r="V20" i="2"/>
  <c r="V38" i="2"/>
  <c r="V55" i="2"/>
  <c r="V7" i="2"/>
  <c r="V21" i="2"/>
  <c r="V22" i="2"/>
  <c r="V49" i="2"/>
  <c r="V23" i="2"/>
  <c r="V39" i="2"/>
  <c r="V24" i="2"/>
  <c r="V40" i="2"/>
  <c r="V25" i="2"/>
  <c r="V41" i="2"/>
  <c r="V27" i="2"/>
  <c r="V26" i="2"/>
  <c r="V42" i="2"/>
  <c r="V8" i="2"/>
  <c r="V28" i="2"/>
  <c r="V43" i="2"/>
  <c r="V9" i="2"/>
  <c r="V29" i="2"/>
  <c r="V44" i="2"/>
  <c r="V10" i="2"/>
  <c r="V30" i="2"/>
  <c r="V45" i="2"/>
  <c r="V11" i="2"/>
  <c r="V46" i="2"/>
  <c r="V12" i="2"/>
  <c r="V31" i="2"/>
  <c r="V47" i="2"/>
  <c r="V13" i="2"/>
  <c r="V32" i="2"/>
  <c r="V48" i="2"/>
  <c r="V3" i="2"/>
  <c r="V4" i="2"/>
  <c r="V5" i="2"/>
  <c r="V6" i="2"/>
  <c r="V2" i="2"/>
  <c r="Z19" i="2"/>
  <c r="Z37" i="2"/>
  <c r="Z54" i="2"/>
  <c r="Z20" i="2"/>
  <c r="Z38" i="2"/>
  <c r="Z55" i="2"/>
  <c r="Z21" i="2"/>
  <c r="Z39" i="2"/>
  <c r="Z22" i="2"/>
  <c r="Z23" i="2"/>
  <c r="Z24" i="2"/>
  <c r="Z40" i="2"/>
  <c r="Z25" i="2"/>
  <c r="Z41" i="2"/>
  <c r="Z26" i="2"/>
  <c r="Z42" i="2"/>
  <c r="Z7" i="2"/>
  <c r="Z27" i="2"/>
  <c r="Z11" i="2"/>
  <c r="Z8" i="2"/>
  <c r="Z28" i="2"/>
  <c r="Z43" i="2"/>
  <c r="Z9" i="2"/>
  <c r="Z29" i="2"/>
  <c r="Z44" i="2"/>
  <c r="Z46" i="2"/>
  <c r="Z10" i="2"/>
  <c r="Z30" i="2"/>
  <c r="Z45" i="2"/>
  <c r="Z12" i="2"/>
  <c r="Z31" i="2"/>
  <c r="Z47" i="2"/>
  <c r="Z18" i="2"/>
  <c r="Z13" i="2"/>
  <c r="Z32" i="2"/>
  <c r="Z48" i="2"/>
  <c r="Z14" i="2"/>
  <c r="Z33" i="2"/>
  <c r="Z49" i="2"/>
  <c r="Z53" i="2"/>
  <c r="Z15" i="2"/>
  <c r="Z34" i="2"/>
  <c r="Z50" i="2"/>
  <c r="Z16" i="2"/>
  <c r="Z35" i="2"/>
  <c r="Z51" i="2"/>
  <c r="Z17" i="2"/>
  <c r="Z36" i="2"/>
  <c r="Z52" i="2"/>
  <c r="U2" i="2"/>
  <c r="U4" i="2"/>
  <c r="U3" i="2"/>
  <c r="U5" i="2"/>
  <c r="U6" i="2"/>
  <c r="A9" i="12" l="1"/>
  <c r="T9" i="12" s="1"/>
  <c r="T2" i="12" s="1"/>
  <c r="A9" i="9" a="1"/>
  <c r="A9" i="11" a="1"/>
  <c r="T10" i="9" l="1"/>
  <c r="T12" i="9"/>
  <c r="T11" i="9"/>
  <c r="T13" i="9"/>
  <c r="T14" i="9"/>
  <c r="A9" i="11"/>
  <c r="T9" i="11" s="1"/>
  <c r="A6" i="11"/>
  <c r="A9" i="9"/>
  <c r="T9" i="9" s="1"/>
  <c r="A6" i="9"/>
  <c r="T2" i="9" l="1"/>
  <c r="T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<sst xmlns="http://schemas.openxmlformats.org/spreadsheetml/2006/main" count="938" uniqueCount="353">
  <si>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</si>
  <si>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</si>
  <si>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</si>
  <si>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</si>
  <si>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</si>
  <si>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</si>
  <si>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</si>
  <si>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</si>
  <si>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</si>
  <si>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</si>
  <si>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</si>
  <si>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</si>
  <si>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</si>
  <si>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</si>
  <si>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</si>
  <si>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</si>
  <si>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</si>
  <si>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</si>
  <si>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</si>
  <si>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</si>
  <si>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</si>
  <si>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</si>
  <si>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</si>
  <si>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</si>
  <si>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</si>
  <si>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</si>
  <si>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</si>
  <si>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</si>
  <si>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</si>
  <si>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</si>
  <si>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</si>
  <si>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</si>
  <si>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</si>
  <si>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</si>
  <si>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</si>
  <si>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</si>
  <si>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</si>
  <si>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</si>
  <si>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</si>
  <si>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</si>
  <si>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</si>
  <si>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</si>
  <si>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</si>
  <si>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</si>
  <si>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</si>
  <si>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</si>
  <si>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</si>
  <si>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</si>
  <si>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</si>
  <si>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</si>
  <si>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</si>
  <si>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</si>
  <si>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</si>
  <si>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</si>
  <si>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</si>
  <si>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</si>
  <si>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</si>
  <si>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</si>
  <si>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</si>
  <si>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</si>
  <si>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</si>
  <si>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</si>
  <si>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</si>
  <si>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</si>
  <si>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</si>
  <si>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</si>
  <si>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</si>
  <si>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</si>
  <si>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</si>
  <si>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</si>
  <si>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</si>
  <si>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</si>
  <si>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</si>
  <si>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</si>
  <si>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</si>
  <si>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</si>
  <si>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</si>
  <si>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</si>
  <si>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</si>
  <si>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</si>
  <si>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</si>
  <si>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</si>
  <si>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</si>
  <si>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</si>
  <si>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</si>
  <si>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</si>
  <si>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</si>
  <si>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</si>
  <si>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</si>
  <si>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</si>
  <si>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</si>
  <si>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</si>
  <si>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</si>
  <si>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</si>
  <si>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</si>
  <si>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</si>
  <si>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</si>
  <si>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</si>
  <si>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</si>
  <si>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</si>
  <si>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</si>
  <si>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</si>
  <si>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</si>
  <si>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</si>
  <si>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</si>
  <si>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ARIS</t>
  </si>
  <si>
    <t>Energy Equipment &amp; Services</t>
  </si>
  <si>
    <t>Oil, Gas &amp; Consumable Fuels</t>
  </si>
  <si>
    <t>BKR</t>
  </si>
  <si>
    <t>HAL</t>
  </si>
  <si>
    <t>SLB</t>
  </si>
  <si>
    <t>TS</t>
  </si>
  <si>
    <t>BP</t>
  </si>
  <si>
    <t>CVE</t>
  </si>
  <si>
    <t>CVX</t>
  </si>
  <si>
    <t>E</t>
  </si>
  <si>
    <t>EC</t>
  </si>
  <si>
    <t>EQNR</t>
  </si>
  <si>
    <t>IMO</t>
  </si>
  <si>
    <t>OXY</t>
  </si>
  <si>
    <t>PBR</t>
  </si>
  <si>
    <t>SHEL</t>
  </si>
  <si>
    <t>SU</t>
  </si>
  <si>
    <t>TTE</t>
  </si>
  <si>
    <t>XOM</t>
  </si>
  <si>
    <t>YPF</t>
  </si>
  <si>
    <t>AR</t>
  </si>
  <si>
    <t>CNQ</t>
  </si>
  <si>
    <t>COP</t>
  </si>
  <si>
    <t>CTRA</t>
  </si>
  <si>
    <t>DVN</t>
  </si>
  <si>
    <t>EOG</t>
  </si>
  <si>
    <t>EQT</t>
  </si>
  <si>
    <t>EXE</t>
  </si>
  <si>
    <t>FANG</t>
  </si>
  <si>
    <t>HES</t>
  </si>
  <si>
    <t>TPL</t>
  </si>
  <si>
    <t>VG</t>
  </si>
  <si>
    <t>WDS</t>
  </si>
  <si>
    <t>MPC</t>
  </si>
  <si>
    <t>PSX</t>
  </si>
  <si>
    <t>VLO</t>
  </si>
  <si>
    <t>CQP</t>
  </si>
  <si>
    <t>DTM</t>
  </si>
  <si>
    <t>ENB</t>
  </si>
  <si>
    <t>EPD</t>
  </si>
  <si>
    <t>ET</t>
  </si>
  <si>
    <t>KMI</t>
  </si>
  <si>
    <t>LNG</t>
  </si>
  <si>
    <t>MPLX</t>
  </si>
  <si>
    <t>OKE</t>
  </si>
  <si>
    <t>PAA</t>
  </si>
  <si>
    <t>PBA</t>
  </si>
  <si>
    <t>TRGP</t>
  </si>
  <si>
    <t>TRP</t>
  </si>
  <si>
    <t>WES</t>
  </si>
  <si>
    <t>WMB</t>
  </si>
  <si>
    <t>CCJ</t>
  </si>
  <si>
    <t>PTEN</t>
  </si>
  <si>
    <t>VAL</t>
  </si>
  <si>
    <t>AROC</t>
  </si>
  <si>
    <t>CHX</t>
  </si>
  <si>
    <t>KGS</t>
  </si>
  <si>
    <t>NOV</t>
  </si>
  <si>
    <t>USAC</t>
  </si>
  <si>
    <t>WHD</t>
  </si>
  <si>
    <t>BSM</t>
  </si>
  <si>
    <t>CHRD</t>
  </si>
  <si>
    <t>CIVI</t>
  </si>
  <si>
    <t>CNX</t>
  </si>
  <si>
    <t>CRC</t>
  </si>
  <si>
    <t>CRGY</t>
  </si>
  <si>
    <t>CRK</t>
  </si>
  <si>
    <t>GPOR</t>
  </si>
  <si>
    <t>MGY</t>
  </si>
  <si>
    <t>MTDR</t>
  </si>
  <si>
    <t>MUR</t>
  </si>
  <si>
    <t>NOG</t>
  </si>
  <si>
    <t>OVV</t>
  </si>
  <si>
    <t>PR</t>
  </si>
  <si>
    <t>RRC</t>
  </si>
  <si>
    <t>SM</t>
  </si>
  <si>
    <t>TPZEF</t>
  </si>
  <si>
    <t>VIST</t>
  </si>
  <si>
    <t>VNOM</t>
  </si>
  <si>
    <t>CSAN</t>
  </si>
  <si>
    <t>CVI</t>
  </si>
  <si>
    <t>DINO</t>
  </si>
  <si>
    <t>PBF</t>
  </si>
  <si>
    <t>SUN</t>
  </si>
  <si>
    <t>AM</t>
  </si>
  <si>
    <t>DKL</t>
  </si>
  <si>
    <t>FRO</t>
  </si>
  <si>
    <t>GLNG</t>
  </si>
  <si>
    <t>HAFN</t>
  </si>
  <si>
    <t>HESM</t>
  </si>
  <si>
    <t>KNTK</t>
  </si>
  <si>
    <t>PAGP</t>
  </si>
  <si>
    <t>SOBO</t>
  </si>
  <si>
    <t>STNG</t>
  </si>
  <si>
    <t>TGS</t>
  </si>
  <si>
    <t>UGP</t>
  </si>
  <si>
    <t>ARLP</t>
  </si>
  <si>
    <t>CNR</t>
  </si>
  <si>
    <t>NXE</t>
  </si>
  <si>
    <t>UEC</t>
  </si>
  <si>
    <t>BORR</t>
  </si>
  <si>
    <t>HP</t>
  </si>
  <si>
    <t>NBR</t>
  </si>
  <si>
    <t>PDS</t>
  </si>
  <si>
    <t>SDRL</t>
  </si>
  <si>
    <t>ACDC</t>
  </si>
  <si>
    <t>AESI</t>
  </si>
  <si>
    <t>CLB</t>
  </si>
  <si>
    <t>EFXT</t>
  </si>
  <si>
    <t>FLOC</t>
  </si>
  <si>
    <t>HLX</t>
  </si>
  <si>
    <t>INVX</t>
  </si>
  <si>
    <t>LBRT</t>
  </si>
  <si>
    <t>NESR</t>
  </si>
  <si>
    <t>NOA</t>
  </si>
  <si>
    <t>NPKI</t>
  </si>
  <si>
    <t>OII</t>
  </si>
  <si>
    <t>OIS</t>
  </si>
  <si>
    <t>PSYTF</t>
  </si>
  <si>
    <t>PUMP</t>
  </si>
  <si>
    <t>RES</t>
  </si>
  <si>
    <t>SEI</t>
  </si>
  <si>
    <t>TDW</t>
  </si>
  <si>
    <t>TTI</t>
  </si>
  <si>
    <t>VTOL</t>
  </si>
  <si>
    <t>WTTR</t>
  </si>
  <si>
    <t>XPRO</t>
  </si>
  <si>
    <t>BKV</t>
  </si>
  <si>
    <t>BTE</t>
  </si>
  <si>
    <t>CDDRF</t>
  </si>
  <si>
    <t>DEC</t>
  </si>
  <si>
    <t>DMLP</t>
  </si>
  <si>
    <t>EGY</t>
  </si>
  <si>
    <t>GFR</t>
  </si>
  <si>
    <t>GPRK</t>
  </si>
  <si>
    <t>GRNT</t>
  </si>
  <si>
    <t>HPK</t>
  </si>
  <si>
    <t>KOS</t>
  </si>
  <si>
    <t>KRP</t>
  </si>
  <si>
    <t>MNR</t>
  </si>
  <si>
    <t>OBE</t>
  </si>
  <si>
    <t>PNRG</t>
  </si>
  <si>
    <t>PRMRF</t>
  </si>
  <si>
    <t>REPX</t>
  </si>
  <si>
    <t>SD</t>
  </si>
  <si>
    <t>SOC</t>
  </si>
  <si>
    <t>STR</t>
  </si>
  <si>
    <t>TALO</t>
  </si>
  <si>
    <t>TBN</t>
  </si>
  <si>
    <t>TXO</t>
  </si>
  <si>
    <t>VET</t>
  </si>
  <si>
    <t>VTLE</t>
  </si>
  <si>
    <t>VTS</t>
  </si>
  <si>
    <t>CLMT</t>
  </si>
  <si>
    <t>CLNE</t>
  </si>
  <si>
    <t>DK</t>
  </si>
  <si>
    <t>GEVO</t>
  </si>
  <si>
    <t>PARR</t>
  </si>
  <si>
    <t>REX</t>
  </si>
  <si>
    <t>WKC</t>
  </si>
  <si>
    <t>ASC</t>
  </si>
  <si>
    <t>BWLP</t>
  </si>
  <si>
    <t>CAPL</t>
  </si>
  <si>
    <t>CLCO</t>
  </si>
  <si>
    <t>CMBT</t>
  </si>
  <si>
    <t>DHT</t>
  </si>
  <si>
    <t>ECO</t>
  </si>
  <si>
    <t>EE</t>
  </si>
  <si>
    <t>FLNG</t>
  </si>
  <si>
    <t>GEL</t>
  </si>
  <si>
    <t>GLP</t>
  </si>
  <si>
    <t>INSW</t>
  </si>
  <si>
    <t>LPG</t>
  </si>
  <si>
    <t>NAT</t>
  </si>
  <si>
    <t>NEXT</t>
  </si>
  <si>
    <t>NFE</t>
  </si>
  <si>
    <t>NGL</t>
  </si>
  <si>
    <t>NXXT</t>
  </si>
  <si>
    <t>SMC</t>
  </si>
  <si>
    <t>TEN</t>
  </si>
  <si>
    <t>TK</t>
  </si>
  <si>
    <t>TNK</t>
  </si>
  <si>
    <t>TRMD</t>
  </si>
  <si>
    <t>BTU</t>
  </si>
  <si>
    <t>DNN</t>
  </si>
  <si>
    <t>EU</t>
  </si>
  <si>
    <t>HNRG</t>
  </si>
  <si>
    <t>LEU</t>
  </si>
  <si>
    <t>NRP</t>
  </si>
  <si>
    <t>URG</t>
  </si>
  <si>
    <t>UROY</t>
  </si>
  <si>
    <t>UUUU</t>
  </si>
  <si>
    <t>None</t>
  </si>
  <si>
    <t>TRMLF</t>
  </si>
  <si>
    <t>PHIG</t>
  </si>
  <si>
    <t>AKRBY</t>
  </si>
  <si>
    <t>AETUF</t>
  </si>
  <si>
    <t>DELKY</t>
  </si>
  <si>
    <t>STHRF</t>
  </si>
  <si>
    <t>NATKY</t>
  </si>
  <si>
    <t>TRRVF</t>
  </si>
  <si>
    <t>THNPY</t>
  </si>
  <si>
    <t>PKIUF</t>
  </si>
  <si>
    <t>MEGEF</t>
  </si>
  <si>
    <t>PEYUF</t>
  </si>
  <si>
    <t>KEYUF</t>
  </si>
  <si>
    <t>NUVSF</t>
  </si>
  <si>
    <t>PREKF</t>
  </si>
  <si>
    <t>SPGYF</t>
  </si>
  <si>
    <t>PTRRY</t>
  </si>
  <si>
    <t>GBNXF</t>
  </si>
  <si>
    <t>SECYF</t>
  </si>
  <si>
    <t>KWTEF</t>
  </si>
  <si>
    <t>OMSE</t>
  </si>
  <si>
    <t>NC</t>
  </si>
  <si>
    <t>FECCF</t>
  </si>
  <si>
    <t>NGS</t>
  </si>
  <si>
    <t>PARXF</t>
  </si>
  <si>
    <t>GPRE</t>
  </si>
  <si>
    <t>FRVWY</t>
  </si>
  <si>
    <t>TOTZF</t>
  </si>
  <si>
    <t>MTTRF</t>
  </si>
  <si>
    <t>IPCFF</t>
  </si>
  <si>
    <t>AAVVF</t>
  </si>
  <si>
    <t>BIREF</t>
  </si>
  <si>
    <t>KGEI</t>
  </si>
  <si>
    <t>ESVIF</t>
  </si>
  <si>
    <t>ZPTAF</t>
  </si>
  <si>
    <t>VLERF</t>
  </si>
  <si>
    <t>ISOU</t>
  </si>
  <si>
    <t>FRHLF</t>
  </si>
  <si>
    <t>CRLFF</t>
  </si>
  <si>
    <t>KELTF</t>
  </si>
  <si>
    <t>PHXHF</t>
  </si>
  <si>
    <t>TNEYF</t>
  </si>
  <si>
    <t>LTBR</t>
  </si>
  <si>
    <t>CESDF</t>
  </si>
  <si>
    <t>ATHOF</t>
  </si>
  <si>
    <t>ATUUF</t>
  </si>
  <si>
    <t>DALXF</t>
  </si>
  <si>
    <t>TOLWF</t>
  </si>
  <si>
    <t>AOIFF</t>
  </si>
  <si>
    <t>PTALF</t>
  </si>
  <si>
    <t>LOECF</t>
  </si>
  <si>
    <t>CEIEF</t>
  </si>
  <si>
    <t>SHASF</t>
  </si>
  <si>
    <t>INR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</si>
</sst>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10.955</v>
        <stp/>
        <stp>LAST</stp>
        <stp>NUVSF</stp>
        <tr r="D45" s="3"/>
      </tp>
      <tp>
        <v>8.49</v>
        <stp/>
        <stp>LAST</stp>
        <stp>AAVVF</stp>
        <tr r="D81" s="4"/>
      </tp>
      <tp>
        <v>17.100000000000001</v>
        <stp/>
        <stp>LAST</stp>
        <stp>FRVWY</stp>
        <tr r="D75" s="4"/>
      </tp>
      <tp>
        <v>1.742</v>
        <stp/>
        <stp>LAST</stp>
        <stp>ESVIF</stp>
        <tr r="D28" s="4"/>
      </tp>
      <tp>
        <v>23.24</v>
        <stp/>
        <stp>LAST</stp>
        <stp>VTS</stp>
        <tr r="D60" s="4"/>
      </tp>
      <tp>
        <v>128.26</v>
        <stp/>
        <stp>LAST</stp>
        <stp>VLO</stp>
        <tr r="D9" s="2"/>
      </tp>
      <tp>
        <v>43.58</v>
        <stp/>
        <stp>LAST</stp>
        <stp>VAL</stp>
        <tr r="D2" s="3"/>
      </tp>
      <tp>
        <v>7.31</v>
        <stp/>
        <stp>LAST</stp>
        <stp>VET</stp>
        <tr r="D67" s="4"/>
      </tp>
      <tp>
        <v>28.07</v>
        <stp/>
        <stp>LAST</stp>
        <stp>WKC</stp>
        <tr r="D47" s="4"/>
      </tp>
      <tp>
        <v>45.67</v>
        <stp/>
        <stp>LAST</stp>
        <stp>WHD</stp>
        <tr r="D4" s="3"/>
      </tp>
      <tp>
        <v>59.66</v>
        <stp/>
        <stp>LAST</stp>
        <stp>WMB</stp>
        <tr r="D47" s="2"/>
      </tp>
      <tp>
        <v>15.01</v>
        <stp/>
        <stp>LAST</stp>
        <stp>WDS</stp>
        <tr r="D34" s="2"/>
      </tp>
      <tp>
        <v>37.340000000000003</v>
        <stp/>
        <stp>LAST</stp>
        <stp>WES</stp>
        <tr r="D50" s="2"/>
      </tp>
      <tp>
        <v>7.3935000000000004</v>
        <stp/>
        <stp>LAST</stp>
        <stp>MTTRF</stp>
        <tr r="D22" s="4"/>
      </tp>
      <tp>
        <v>21.53</v>
        <stp/>
        <stp>LAST</stp>
        <stp>AETUF</stp>
        <tr r="D48" s="2"/>
      </tp>
      <tp>
        <v>7.7294999999999998</v>
        <stp/>
        <stp>LAST</stp>
        <stp>TOTZF</stp>
        <tr r="D16" s="4"/>
      </tp>
      <tp>
        <v>4.1449999999999996</v>
        <stp/>
        <stp>LAST</stp>
        <stp>ZPTAF</stp>
        <tr r="D88" s="4"/>
      </tp>
      <tp>
        <v>12.88</v>
        <stp/>
        <stp>LAST</stp>
        <stp>KWTEF</stp>
        <tr r="D38" s="4"/>
      </tp>
      <tp>
        <v>41.21</v>
        <stp/>
        <stp>LAST</stp>
        <stp>NATKY</stp>
        <tr r="D34" s="3"/>
      </tp>
      <tp>
        <v>15.03</v>
        <stp/>
        <stp>LAST</stp>
        <stp>TXO</stp>
        <tr r="D65" s="4"/>
      </tp>
      <tp>
        <v>49.45</v>
        <stp/>
        <stp>LAST</stp>
        <stp>TRP</stp>
        <tr r="D38" s="2"/>
      </tp>
      <tp>
        <v>1105.04</v>
        <stp/>
        <stp>LAST</stp>
        <stp>TPL</stp>
        <tr r="D16" s="2"/>
      </tp>
      <tp>
        <v>59.65</v>
        <stp/>
        <stp>LAST</stp>
        <stp>TTE</stp>
        <tr r="D14" s="2"/>
      </tp>
      <tp>
        <v>3.06</v>
        <stp/>
        <stp>LAST</stp>
        <stp>TTI</stp>
        <tr r="D35" s="4"/>
      </tp>
      <tp>
        <v>43.89</v>
        <stp/>
        <stp>LAST</stp>
        <stp>TNK</stp>
        <tr r="D43" s="4"/>
      </tp>
      <tp>
        <v>22.37</v>
        <stp/>
        <stp>LAST</stp>
        <stp>TBN</stp>
        <tr r="D119" s="4"/>
      </tp>
      <tp>
        <v>27.25</v>
        <stp/>
        <stp>LAST</stp>
        <stp>TGS</stp>
        <tr r="D59" s="3"/>
      </tp>
      <tp>
        <v>45.51</v>
        <stp/>
        <stp>LAST</stp>
        <stp>TDW</stp>
        <tr r="D8" s="4"/>
      </tp>
      <tp>
        <v>17.57</v>
        <stp/>
        <stp>LAST</stp>
        <stp>TEN</stp>
        <tr r="D41" s="4"/>
      </tp>
      <tp>
        <v>13.513</v>
        <stp/>
        <stp>LAST</stp>
        <stp>ATUUF</stp>
        <tr r="D107" s="4"/>
      </tp>
      <tp>
        <v>0.98140000000000005</v>
        <stp/>
        <stp>LAST</stp>
        <stp>URG</stp>
        <tr r="D116" s="4"/>
      </tp>
      <tp>
        <v>2.98</v>
        <stp/>
        <stp>LAST</stp>
        <stp>UGP</stp>
        <tr r="D61" s="3"/>
      </tp>
      <tp>
        <v>6.61</v>
        <stp/>
        <stp>LAST</stp>
        <stp>UEC</stp>
        <tr r="D62" s="3"/>
      </tp>
      <tp>
        <v>7.49</v>
        <stp/>
        <stp>LAST</stp>
        <stp>PTRRY</stp>
        <tr r="D52" s="3"/>
      </tp>
      <tp>
        <v>120.45</v>
        <stp/>
        <stp>LAST</stp>
        <stp>TRRVF</stp>
        <tr r="D6" s="3"/>
      </tp>
      <tp>
        <v>10.6</v>
        <stp/>
        <stp>LAST</stp>
        <stp>PARXF</stp>
        <tr r="D56" s="4"/>
      </tp>
      <tp>
        <v>12.24</v>
        <stp/>
        <stp>LAST</stp>
        <stp>AKRBY</stp>
        <tr r="D31" s="2"/>
      </tp>
      <tp>
        <v>5.13</v>
        <stp/>
        <stp>LAST</stp>
        <stp>BIREF</stp>
        <tr r="D86" s="4"/>
      </tp>
      <tp>
        <v>38.81</v>
        <stp/>
        <stp>LAST</stp>
        <stp>RRC</stp>
        <tr r="D33" s="3"/>
      </tp>
      <tp>
        <v>4.76</v>
        <stp/>
        <stp>LAST</stp>
        <stp>RES</stp>
        <tr r="D29" s="4"/>
      </tp>
      <tp>
        <v>43.79</v>
        <stp/>
        <stp>LAST</stp>
        <stp>REX</stp>
        <tr r="D48" s="4"/>
      </tp>
      <tp>
        <v>4.8929999999999998</v>
        <stp/>
        <stp>LAST</stp>
        <stp>CESDF</stp>
        <tr r="D34" s="4"/>
      </tp>
      <tp>
        <v>19.95</v>
        <stp/>
        <stp>LAST</stp>
        <stp>STR</stp>
        <tr r="D58" s="4"/>
      </tp>
      <tp>
        <v>52.45</v>
        <stp/>
        <stp>LAST</stp>
        <stp>SUN</stp>
        <tr r="D25" s="3"/>
      </tp>
      <tp>
        <v>24.29</v>
        <stp/>
        <stp>LAST</stp>
        <stp>SOC</stp>
        <tr r="D58" s="3"/>
      </tp>
      <tp>
        <v>34.119999999999997</v>
        <stp/>
        <stp>LAST</stp>
        <stp>SLB</stp>
        <tr r="D5" s="2"/>
      </tp>
      <tp>
        <v>24.8</v>
        <stp/>
        <stp>LAST</stp>
        <stp>SMC</stp>
        <tr r="D45" s="4"/>
      </tp>
      <tp>
        <v>29.1</v>
        <stp/>
        <stp>LAST</stp>
        <stp>SEI</stp>
        <tr r="D19" s="4"/>
      </tp>
      <tp>
        <v>116.1</v>
        <stp/>
        <stp>LAST</stp>
        <stp>PSX</stp>
        <tr r="D11" s="2"/>
      </tp>
      <tp>
        <v>11.23</v>
        <stp/>
        <stp>LAST</stp>
        <stp>PBR</stp>
        <tr r="D51" s="2"/>
      </tp>
      <tp>
        <v>19</v>
        <stp/>
        <stp>LAST</stp>
        <stp>PBF</stp>
        <tr r="D19" s="3"/>
      </tp>
      <tp>
        <v>37.31</v>
        <stp/>
        <stp>LAST</stp>
        <stp>PBA</stp>
        <tr r="D36" s="2"/>
      </tp>
      <tp>
        <v>17.399999999999999</v>
        <stp/>
        <stp>LAST</stp>
        <stp>PAA</stp>
        <tr r="D45" s="2"/>
      </tp>
      <tp>
        <v>48.7</v>
        <stp/>
        <stp>LAST</stp>
        <stp>PDS</stp>
        <tr r="D3" s="4"/>
      </tp>
      <tp>
        <v>18.87</v>
        <stp/>
        <stp>LAST</stp>
        <stp>TPZEF</stp>
        <tr r="D50" s="3"/>
      </tp>
      <tp>
        <v>5.9189999999999996</v>
        <stp/>
        <stp>LAST</stp>
        <stp>PHXHF</stp>
        <tr r="D33" s="4"/>
      </tp>
      <tp>
        <v>104.97</v>
        <stp/>
        <stp>LAST</stp>
        <stp>XOM</stp>
        <tr r="D12" s="2"/>
      </tp>
      <tp>
        <v>9.1456</v>
        <stp/>
        <stp>LAST</stp>
        <stp>PSYTF</stp>
        <tr r="D30" s="4"/>
      </tp>
      <tp>
        <v>14.275</v>
        <stp/>
        <stp>LAST</stp>
        <stp>PEYUF</stp>
        <tr r="D43" s="3"/>
      </tp>
      <tp>
        <v>30.61</v>
        <stp/>
        <stp>LAST</stp>
        <stp>KEYUF</stp>
        <tr r="D44" s="3"/>
      </tp>
      <tp>
        <v>33.71</v>
        <stp/>
        <stp>LAST</stp>
        <stp>YPF</stp>
        <tr r="D24" s="2"/>
      </tp>
      <tp>
        <v>17.48</v>
        <stp/>
        <stp>LAST</stp>
        <stp>FRO</stp>
        <tr r="D41" s="3"/>
      </tp>
      <tp>
        <v>6.44</v>
        <stp/>
        <stp>LAST</stp>
        <stp>SPGYF</stp>
        <tr r="D48" s="3"/>
      </tp>
      <tp>
        <v>18.55</v>
        <stp/>
        <stp>LAST</stp>
        <stp>MEGEF</stp>
        <tr r="D39" s="3"/>
      </tp>
      <tp>
        <v>54</v>
        <stp/>
        <stp>LAST</stp>
        <stp>GLP</stp>
        <tr r="D57" s="4"/>
      </tp>
      <tp>
        <v>4.54</v>
        <stp/>
        <stp>LAST</stp>
        <stp>GFR</stp>
        <tr r="D78" s="4"/>
      </tp>
      <tp>
        <v>16.440000000000001</v>
        <stp/>
        <stp>LAST</stp>
        <stp>GEL</stp>
        <tr r="D123" s="4"/>
      </tp>
      <tp>
        <v>4.91</v>
        <stp/>
        <stp>LAST</stp>
        <stp>CDDRF</stp>
        <tr r="D108" s="4"/>
      </tp>
      <tp>
        <v>32.65</v>
        <stp/>
        <stp>LAST</stp>
        <stp>DVN</stp>
        <tr r="D30" s="2"/>
      </tp>
      <tp>
        <v>105.74</v>
        <stp/>
        <stp>LAST</stp>
        <stp>DTM</stp>
        <tr r="D18" s="2"/>
      </tp>
      <tp>
        <v>42.53</v>
        <stp/>
        <stp>LAST</stp>
        <stp>DKL</stp>
        <tr r="D63" s="3"/>
      </tp>
      <tp>
        <v>11.29</v>
        <stp/>
        <stp>LAST</stp>
        <stp>DHT</stp>
        <tr r="D83" s="4"/>
      </tp>
      <tp>
        <v>1.72</v>
        <stp/>
        <stp>LAST</stp>
        <stp>DNN</stp>
        <tr r="D115" s="4"/>
      </tp>
      <tp>
        <v>14.33</v>
        <stp/>
        <stp>LAST</stp>
        <stp>DEC</stp>
        <tr r="D76" s="4"/>
      </tp>
      <tp>
        <v>5.47</v>
        <stp/>
        <stp>LAST</stp>
        <stp>VLERF</stp>
        <tr r="D89" s="4"/>
      </tp>
      <tp>
        <v>3.3835820000000001</v>
        <stp/>
        <stp>LAST</stp>
        <stp>TNEYF</stp>
        <tr r="D98" s="4"/>
      </tp>
      <tp>
        <v>0.44600000000000001</v>
        <stp/>
        <stp>LAST</stp>
        <stp>LOECF</stp>
        <tr r="D117" s="4"/>
      </tp>
      <tp>
        <v>16.986000000000001</v>
        <stp/>
        <stp>LAST</stp>
        <stp>PREKF</stp>
        <tr r="D46" s="3"/>
      </tp>
      <tp>
        <v>114.94</v>
        <stp/>
        <stp>LAST</stp>
        <stp>EXE</stp>
        <tr r="D10" s="2"/>
      </tp>
      <tp>
        <v>31.72</v>
        <stp/>
        <stp>LAST</stp>
        <stp>EPD</stp>
        <tr r="D42" s="2"/>
      </tp>
      <tp>
        <v>54.9</v>
        <stp/>
        <stp>LAST</stp>
        <stp>EQT</stp>
        <tr r="D20" s="2"/>
      </tp>
      <tp>
        <v>45.82</v>
        <stp/>
        <stp>LAST</stp>
        <stp>ENB</stp>
        <tr r="D32" s="2"/>
      </tp>
      <tp>
        <v>114.33</v>
        <stp/>
        <stp>LAST</stp>
        <stp>EOG</stp>
        <tr r="D13" s="2"/>
      </tp>
      <tp>
        <v>21.88</v>
        <stp/>
        <stp>LAST</stp>
        <stp>ECO</stp>
        <tr r="D70" s="4"/>
      </tp>
      <tp>
        <v>3.56</v>
        <stp/>
        <stp>LAST</stp>
        <stp>EGY</stp>
        <tr r="D91" s="4"/>
      </tp>
      <tp>
        <v>13.68</v>
        <stp/>
        <stp>LAST</stp>
        <stp>BSM</stp>
        <tr r="D57" s="3"/>
      </tp>
      <tp>
        <v>13.46</v>
        <stp/>
        <stp>LAST</stp>
        <stp>BTU</stp>
        <tr r="D49" s="4"/>
      </tp>
      <tp>
        <v>1.83</v>
        <stp/>
        <stp>LAST</stp>
        <stp>BTE</stp>
        <tr r="D97" s="4"/>
      </tp>
      <tp>
        <v>22.54</v>
        <stp/>
        <stp>LAST</stp>
        <stp>BKV</stp>
        <tr r="D59" s="4"/>
      </tp>
      <tp>
        <v>38.33</v>
        <stp/>
        <stp>LAST</stp>
        <stp>BKR</stp>
        <tr r="D3" s="2"/>
      </tp>
      <tp>
        <v>11.18</v>
        <stp/>
        <stp>LAST</stp>
        <stp>SECYF</stp>
        <tr r="D60" s="3"/>
      </tp>
      <tp>
        <v>4.62</v>
        <stp/>
        <stp>LAST</stp>
        <stp>FECCF</stp>
        <tr r="D52" s="4"/>
      </tp>
      <tp>
        <v>15.11</v>
        <stp/>
        <stp>LAST</stp>
        <stp>IPCFF</stp>
        <tr r="D79" s="4"/>
      </tp>
      <tp>
        <v>44.76</v>
        <stp/>
        <stp>LAST</stp>
        <stp>CRC</stp>
        <tr r="D21" s="3"/>
      </tp>
      <tp>
        <v>24.24</v>
        <stp/>
        <stp>LAST</stp>
        <stp>CRK</stp>
        <tr r="D47" s="3"/>
      </tp>
      <tp>
        <v>56.74</v>
        <stp/>
        <stp>LAST</stp>
        <stp>CQP</stp>
        <tr r="D52" s="2"/>
      </tp>
      <tp>
        <v>140.76</v>
        <stp/>
        <stp>LAST</stp>
        <stp>CVX</stp>
        <tr r="D8" s="2"/>
      </tp>
      <tp>
        <v>13.73</v>
        <stp/>
        <stp>LAST</stp>
        <stp>CVE</stp>
        <tr r="D43" s="2"/>
      </tp>
      <tp>
        <v>23.82</v>
        <stp/>
        <stp>LAST</stp>
        <stp>CVI</stp>
        <tr r="D51" s="3"/>
      </tp>
      <tp>
        <v>25.1</v>
        <stp/>
        <stp>LAST</stp>
        <stp>CHX</stp>
        <tr r="D8" s="3"/>
      </tp>
      <tp>
        <v>67.86</v>
        <stp/>
        <stp>LAST</stp>
        <stp>CNR</stp>
        <tr r="D15" s="3"/>
      </tp>
      <tp>
        <v>31.62</v>
        <stp/>
        <stp>LAST</stp>
        <stp>CNQ</stp>
        <tr r="D41" s="2"/>
      </tp>
      <tp>
        <v>31.99</v>
        <stp/>
        <stp>LAST</stp>
        <stp>CNX</stp>
        <tr r="D26" s="3"/>
      </tp>
      <tp>
        <v>88.04</v>
        <stp/>
        <stp>LAST</stp>
        <stp>COP</stp>
        <tr r="D17" s="2"/>
      </tp>
      <tp>
        <v>11.67</v>
        <stp/>
        <stp>LAST</stp>
        <stp>CLB</stp>
        <tr r="D27" s="4"/>
      </tp>
      <tp>
        <v>66.91</v>
        <stp/>
        <stp>LAST</stp>
        <stp>CCJ</stp>
        <tr r="D46" s="2"/>
      </tp>
      <tp>
        <v>0.14008000000000001</v>
        <stp/>
        <stp>LAST</stp>
        <stp>SHASF</stp>
        <tr r="D120" s="4"/>
      </tp>
      <tp>
        <v>0.4844</v>
        <stp/>
        <stp>LAST</stp>
        <stp>PTALF</stp>
        <tr r="D114" s="4"/>
      </tp>
      <tp>
        <v>9.59</v>
        <stp/>
        <stp>LAST</stp>
        <stp>ASC</stp>
        <tr r="D62" s="4"/>
      </tp>
      <tp>
        <v>39.151000000000003</v>
        <stp/>
        <stp>LAST</stp>
        <stp>THNPY</stp>
        <tr r="D7" s="3"/>
      </tp>
      <tp>
        <v>17.14</v>
        <stp/>
        <stp>LAST</stp>
        <stp>GBNXF</stp>
        <tr r="D56" s="3"/>
      </tp>
      <tp>
        <v>6.55</v>
        <stp/>
        <stp>LAST</stp>
        <stp>NXE</stp>
        <tr r="D64" s="3"/>
      </tp>
      <tp>
        <v>97.2</v>
        <stp/>
        <stp>LAST</stp>
        <stp>NRP</stp>
        <tr r="D44" s="4"/>
      </tp>
      <tp>
        <v>12.85</v>
        <stp/>
        <stp>LAST</stp>
        <stp>NOV</stp>
        <tr r="D3" s="3"/>
      </tp>
      <tp>
        <v>29.81</v>
        <stp/>
        <stp>LAST</stp>
        <stp>NOG</stp>
        <tr r="D27" s="3"/>
      </tp>
      <tp>
        <v>17.97</v>
        <stp/>
        <stp>LAST</stp>
        <stp>NOA</stp>
        <tr r="D15" s="4"/>
      </tp>
      <tp>
        <v>32.07</v>
        <stp/>
        <stp>LAST</stp>
        <stp>NBR</stp>
        <tr r="D7" s="4"/>
      </tp>
      <tp>
        <v>2.71</v>
        <stp/>
        <stp>LAST</stp>
        <stp>NAT</stp>
        <tr r="D105" s="4"/>
      </tp>
      <tp>
        <v>2.88</v>
        <stp/>
        <stp>LAST</stp>
        <stp>NFE</stp>
        <tr r="D84" s="4"/>
      </tp>
      <tp>
        <v>24.91</v>
        <stp/>
        <stp>LAST</stp>
        <stp>NGS</stp>
        <tr r="D9" s="4"/>
      </tp>
      <tp>
        <v>4.07</v>
        <stp/>
        <stp>LAST</stp>
        <stp>NGL</stp>
        <tr r="D122" s="4"/>
      </tp>
      <tp>
        <v>43.24</v>
        <stp/>
        <stp>LAST</stp>
        <stp>OXY</stp>
        <tr r="D26" s="2"/>
      </tp>
      <tp>
        <v>38.81</v>
        <stp/>
        <stp>LAST</stp>
        <stp>OVV</stp>
        <tr r="D22" s="3"/>
      </tp>
      <tp>
        <v>81.12</v>
        <stp/>
        <stp>LAST</stp>
        <stp>OKE</stp>
        <tr r="D21" s="2"/>
      </tp>
      <tp>
        <v>4.83</v>
        <stp/>
        <stp>LAST</stp>
        <stp>OIS</stp>
        <tr r="D14" s="4"/>
      </tp>
      <tp>
        <v>20.25</v>
        <stp/>
        <stp>LAST</stp>
        <stp>OII</stp>
        <tr r="D24" s="4"/>
      </tp>
      <tp>
        <v>5.36</v>
        <stp/>
        <stp>LAST</stp>
        <stp>OBE</stp>
        <tr r="D66" s="4"/>
      </tp>
      <tp>
        <v>3.31</v>
        <stp/>
        <stp>LAST</stp>
        <stp>TOLWF</stp>
        <tr r="D36" s="4"/>
      </tp>
      <tp>
        <v>5.202</v>
        <stp/>
        <stp>LAST</stp>
        <stp>KELTF</stp>
        <tr r="D96" s="4"/>
      </tp>
      <tp>
        <v>2.5594999999999999</v>
        <stp/>
        <stp>LAST</stp>
        <stp>DALXF</stp>
        <tr r="D110" s="4"/>
      </tp>
      <tp>
        <v>4.74</v>
        <stp/>
        <stp>LAST</stp>
        <stp>CRLFF</stp>
        <tr r="D95" s="4"/>
      </tp>
      <tp>
        <v>18.295000000000002</v>
        <stp/>
        <stp>LAST</stp>
        <stp>DELKY</stp>
        <tr r="D13" s="3"/>
      </tp>
      <tp>
        <v>22.31</v>
        <stp/>
        <stp>LAST</stp>
        <stp>LPG</stp>
        <tr r="D50" s="4"/>
      </tp>
      <tp>
        <v>228.78</v>
        <stp/>
        <stp>LAST</stp>
        <stp>LNG</stp>
        <tr r="D28" s="2"/>
      </tp>
      <tp>
        <v>146.08000000000001</v>
        <stp/>
        <stp>LAST</stp>
        <stp>LEU</stp>
        <tr r="D38" s="3"/>
      </tp>
      <tp>
        <v>14.8156</v>
        <stp/>
        <stp>LAST</stp>
        <stp>PRMRF</stp>
        <tr r="D69" s="4"/>
      </tp>
      <tp>
        <v>47.12</v>
        <stp/>
        <stp>LAST</stp>
        <stp>TRMLF</stp>
        <tr r="D25" s="2"/>
      </tp>
      <tp>
        <v>160.27000000000001</v>
        <stp/>
        <stp>LAST</stp>
        <stp>MPC</stp>
        <tr r="D15" s="2"/>
      </tp>
      <tp>
        <v>23.02</v>
        <stp/>
        <stp>LAST</stp>
        <stp>MUR</stp>
        <tr r="D24" s="3"/>
      </tp>
      <tp>
        <v>13.42</v>
        <stp/>
        <stp>LAST</stp>
        <stp>MNR</stp>
        <tr r="D74" s="4"/>
      </tp>
      <tp>
        <v>23.2</v>
        <stp/>
        <stp>LAST</stp>
        <stp>MGY</stp>
        <tr r="D42" s="3"/>
      </tp>
      <tp>
        <v>13.61</v>
        <stp/>
        <stp>LAST</stp>
        <stp>KRP</stp>
        <tr r="D85" s="4"/>
      </tp>
      <tp>
        <v>1.97</v>
        <stp/>
        <stp>LAST</stp>
        <stp>KOS</stp>
        <tr r="D106" s="4"/>
      </tp>
      <tp>
        <v>27.53</v>
        <stp/>
        <stp>LAST</stp>
        <stp>KMI</stp>
        <tr r="D39" s="2"/>
      </tp>
      <tp>
        <v>35.049999999999997</v>
        <stp/>
        <stp>LAST</stp>
        <stp>KGS</stp>
        <tr r="D5" s="3"/>
      </tp>
      <tp>
        <v>21.84</v>
        <stp/>
        <stp>LAST</stp>
        <stp>STHRF</stp>
        <tr r="D29" s="3"/>
      </tp>
      <tp>
        <v>3.9</v>
        <stp/>
        <stp>LAST</stp>
        <stp>ATHOF</stp>
        <tr r="D104" s="4"/>
      </tp>
      <tp>
        <v>9.1449999999999996</v>
        <stp/>
        <stp>LAST</stp>
        <stp>FRHLF</stp>
        <tr r="D93" s="4"/>
      </tp>
      <tp>
        <v>11.13</v>
        <stp/>
        <stp>LAST</stp>
        <stp>HPK</stp>
        <tr r="D68" s="4"/>
      </tp>
      <tp>
        <v>6.82</v>
        <stp/>
        <stp>LAST</stp>
        <stp>HLX</stp>
        <tr r="D18" s="4"/>
      </tp>
      <tp>
        <v>21</v>
        <stp/>
        <stp>LAST</stp>
        <stp>HAL</stp>
        <tr r="D6" s="2"/>
      </tp>
      <tp>
        <v>136.63</v>
        <stp/>
        <stp>LAST</stp>
        <stp>HES</stp>
        <tr r="D19" s="2"/>
      </tp>
      <tp>
        <v>28.21</v>
        <stp/>
        <stp>LAST</stp>
        <stp>PKIUF</stp>
        <tr r="D37" s="3"/>
      </tp>
      <tp>
        <v>1.3149999999999999</v>
        <stp/>
        <stp>LAST</stp>
        <stp>AOIFF</stp>
        <tr r="D113" s="4"/>
      </tp>
      <tp>
        <v>0.63</v>
        <stp/>
        <stp>LAST</stp>
        <stp>CEIEF</stp>
        <tr r="D118" s="4"/>
      </tp>
      <tp>
        <v>16.75</v>
        <stp/>
        <stp>LAST</stp>
        <stp>INR</stp>
        <tr r="D125" s="4"/>
      </tp>
      <tp>
        <v>73.41</v>
        <stp/>
        <stp>LAST</stp>
        <stp>IMO</stp>
        <tr r="D22" s="2"/>
      </tp>
      <tp>
        <v>3.02</v>
        <stp/>
        <stp>LAST</stp>
        <stp>NXXT</stp>
        <tr r="D121" s="4"/>
      </tp>
      <tp>
        <v>162.80000000000001</v>
        <stp/>
        <stp>LAST</stp>
        <stp>TRGP</stp>
        <tr r="D44" s="2"/>
      </tp>
      <tp>
        <v>9.08</v>
        <stp/>
        <stp>LAST</stp>
        <stp>CRGY</stp>
        <tr r="D32" s="3"/>
      </tp>
      <tp>
        <v>5.82</v>
        <stp/>
        <stp>LAST</stp>
        <stp>GRNT</stp>
        <tr r="D92" s="4"/>
      </tp>
      <tp>
        <v>2.39</v>
        <stp/>
        <stp>LAST</stp>
        <stp>UROY</stp>
        <tr r="D111" s="4"/>
      </tp>
      <tp>
        <v>25.99</v>
        <stp/>
        <stp>LAST</stp>
        <stp>AROC</stp>
        <tr r="D10" s="3"/>
      </tp>
      <tp>
        <v>25.83</v>
        <stp/>
        <stp>LAST</stp>
        <stp>ARLP</stp>
        <tr r="D35" s="3"/>
      </tp>
      <tp>
        <v>17.010000000000002</v>
        <stp/>
        <stp>LAST</stp>
        <stp>TRMD</stp>
        <tr r="D53" s="4"/>
      </tp>
      <tp>
        <v>24.57</v>
        <stp/>
        <stp>LAST</stp>
        <stp>ARIS</stp>
        <tr r="D12" s="4"/>
      </tp>
      <tp>
        <v>25.67</v>
        <stp/>
        <stp>LAST</stp>
        <stp>USAC</stp>
        <tr r="D11" s="3"/>
      </tp>
      <tp>
        <v>5.72</v>
        <stp/>
        <stp>LAST</stp>
        <stp>CSAN</stp>
        <tr r="D66" s="3"/>
      </tp>
      <tp>
        <v>7.73</v>
        <stp/>
        <stp>LAST</stp>
        <stp>ISOU</stp>
        <tr r="D90" s="4"/>
      </tp>
      <tp>
        <v>4.25</v>
        <stp/>
        <stp>LAST</stp>
        <stp>GPRE</stp>
        <tr r="D72" s="4"/>
      </tp>
      <tp>
        <v>6.92</v>
        <stp/>
        <stp>LAST</stp>
        <stp>GPRK</stp>
        <tr r="D94" s="4"/>
      </tp>
      <tp>
        <v>8.9</v>
        <stp/>
        <stp>LAST</stp>
        <stp>XPRO</stp>
        <tr r="D11" s="4"/>
      </tp>
      <tp>
        <v>188.13</v>
        <stp/>
        <stp>LAST</stp>
        <stp>GPOR</stp>
        <tr r="D14" s="3"/>
      </tp>
      <tp>
        <v>51.06</v>
        <stp/>
        <stp>LAST</stp>
        <stp>MPLX</stp>
        <tr r="D40" s="2"/>
      </tp>
      <tp>
        <v>8.36</v>
        <stp/>
        <stp>LAST</stp>
        <stp>NPKI</stp>
        <tr r="D32" s="4"/>
      </tp>
      <tp>
        <v>24.7</v>
        <stp/>
        <stp>LAST</stp>
        <stp>EQNR</stp>
        <tr r="D37" s="2"/>
      </tp>
      <tp>
        <v>11.11</v>
        <stp/>
        <stp>LAST</stp>
        <stp>BWLP</stp>
        <tr r="D73" s="4"/>
      </tp>
      <tp>
        <v>8.83</v>
        <stp/>
        <stp>LAST</stp>
        <stp>WTTR</stp>
        <tr r="D25" s="4"/>
      </tp>
      <tp>
        <v>25.95</v>
        <stp/>
        <stp>LAST</stp>
        <stp>CTRA</stp>
        <tr r="D35" s="2"/>
      </tp>
      <tp>
        <v>46.66</v>
        <stp/>
        <stp>LAST</stp>
        <stp>MTDR</stp>
        <tr r="D20" s="3"/>
      </tp>
      <tp>
        <v>5.93</v>
        <stp/>
        <stp>LAST</stp>
        <stp>PTEN</stp>
        <tr r="D9" s="3"/>
      </tp>
      <tp>
        <v>15.73</v>
        <stp/>
        <stp>LAST</stp>
        <stp>LTBR</stp>
        <tr r="D102" s="4"/>
      </tp>
      <tp>
        <v>39.67</v>
        <stp/>
        <stp>LAST</stp>
        <stp>STNG</stp>
        <tr r="D17" s="3"/>
      </tp>
      <tp>
        <v>30.98</v>
        <stp/>
        <stp>LAST</stp>
        <stp>VTOL</stp>
        <tr r="D5" s="4"/>
      </tp>
      <tp>
        <v>17.899999999999999</v>
        <stp/>
        <stp>LAST</stp>
        <stp>VTLE</stp>
        <tr r="D40" s="4"/>
      </tp>
      <tp>
        <v>5.65</v>
        <stp/>
        <stp>LAST</stp>
        <stp>UUUU</stp>
        <tr r="D99" s="4"/>
      </tp>
      <tp>
        <v>6.08</v>
        <stp/>
        <stp>LAST</stp>
        <stp>PUMP</stp>
        <tr r="D23" s="4"/>
      </tp>
      <tp>
        <v>97.49</v>
        <stp/>
        <stp>LAST</stp>
        <stp>CHRD</stp>
        <tr r="D12" s="3"/>
      </tp>
      <tp>
        <v>68.260000000000005</v>
        <stp/>
        <stp>LAST</stp>
        <stp>SHEL</stp>
        <tr r="D23" s="2"/>
      </tp>
      <tp>
        <v>24.5</v>
        <stp/>
        <stp>LAST</stp>
        <stp>PHIG</stp>
        <tr r="D2" s="2"/>
      </tp>
      <tp>
        <v>29.46</v>
        <stp/>
        <stp>LAST</stp>
        <stp>CIVI</stp>
        <tr r="D16" s="3"/>
      </tp>
      <tp>
        <v>49.31</v>
        <stp/>
        <stp>LAST</stp>
        <stp>VIST</stp>
        <tr r="D31" s="3"/>
      </tp>
      <tp>
        <v>36.69</v>
        <stp/>
        <stp>LAST</stp>
        <stp>DINO</stp>
        <tr r="D18" s="3"/>
      </tp>
      <tp>
        <v>16.02</v>
        <stp/>
        <stp>LAST</stp>
        <stp>INVX</stp>
        <tr r="D10" s="4"/>
      </tp>
      <tp>
        <v>43.28</v>
        <stp/>
        <stp>LAST</stp>
        <stp>KNTK</stp>
        <tr r="D67" s="3"/>
      </tp>
      <tp>
        <v>151.26</v>
        <stp/>
        <stp>LAST</stp>
        <stp>PNRG</stp>
        <tr r="D39" s="4"/>
      </tp>
      <tp>
        <v>16.899999999999999</v>
        <stp/>
        <stp>LAST</stp>
        <stp>HNRG</stp>
        <tr r="D100" s="4"/>
      </tp>
      <tp>
        <v>36.729999999999997</v>
        <stp/>
        <stp>LAST</stp>
        <stp>INSW</stp>
        <tr r="D46" s="4"/>
      </tp>
      <tp>
        <v>41.31</v>
        <stp/>
        <stp>LAST</stp>
        <stp>VNOM</stp>
        <tr r="D28" s="3"/>
      </tp>
      <tp>
        <v>2.06</v>
        <stp/>
        <stp>LAST</stp>
        <stp>BORR</stp>
        <tr r="D31" s="4"/>
      </tp>
      <tp>
        <v>26.43</v>
        <stp/>
        <stp>LAST</stp>
        <stp>SOBO</stp>
        <tr r="D40" s="3"/>
      </tp>
      <tp>
        <v>6.86</v>
        <stp/>
        <stp>LAST</stp>
        <stp>CLCO</stp>
        <tr r="D64" s="4"/>
      </tp>
      <tp>
        <v>23.64</v>
        <stp/>
        <stp>LAST</stp>
        <stp>FLNG</stp>
        <tr r="D63" s="4"/>
      </tp>
      <tp>
        <v>41.71</v>
        <stp/>
        <stp>LAST</stp>
        <stp>GLNG</stp>
        <tr r="D30" s="3"/>
      </tp>
      <tp>
        <v>1.91</v>
        <stp/>
        <stp>LAST</stp>
        <stp>CLNE</stp>
        <tr r="D101" s="4"/>
      </tp>
      <tp>
        <v>16.96</v>
        <stp/>
        <stp>LAST</stp>
        <stp>FLOC</stp>
        <tr r="D37" s="4"/>
      </tp>
      <tp>
        <v>13.17</v>
        <stp/>
        <stp>LAST</stp>
        <stp>CLMT</stp>
        <tr r="D126" s="4"/>
      </tp>
      <tp>
        <v>7.15</v>
        <stp/>
        <stp>LAST</stp>
        <stp>OMSE</stp>
        <tr r="D2" s="4"/>
      </tp>
      <tp>
        <v>9.74</v>
        <stp/>
        <stp>LAST</stp>
        <stp>CMBT</stp>
        <tr r="D82" s="4"/>
      </tp>
      <tp>
        <v>27.65</v>
        <stp/>
        <stp>LAST</stp>
        <stp>DMLP</stp>
        <tr r="D80" s="4"/>
      </tp>
      <tp>
        <v>12.27</v>
        <stp/>
        <stp>LAST</stp>
        <stp>LBRT</stp>
        <tr r="D13" s="4"/>
      </tp>
      <tp>
        <v>8.73</v>
        <stp/>
        <stp>LAST</stp>
        <stp>ACDC</stp>
        <tr r="D26" s="4"/>
      </tp>
      <tp>
        <v>21.34</v>
        <stp/>
        <stp>LAST</stp>
        <stp>PARR</stp>
        <tr r="D54" s="4"/>
      </tp>
      <tp>
        <v>21.78</v>
        <stp/>
        <stp>LAST</stp>
        <stp>CAPL</stp>
        <tr r="D124" s="4"/>
      </tp>
      <tp>
        <v>5.25</v>
        <stp/>
        <stp>LAST</stp>
        <stp>HAFN</stp>
        <tr r="D54" s="3"/>
      </tp>
      <tp>
        <v>18.579999999999998</v>
        <stp/>
        <stp>LAST</stp>
        <stp>PAGP</stp>
        <tr r="D49" s="3"/>
      </tp>
      <tp>
        <v>142.13</v>
        <stp/>
        <stp>LAST</stp>
        <stp>FANG</stp>
        <tr r="D7" s="2"/>
      </tp>
      <tp>
        <v>8.2799999999999994</v>
        <stp/>
        <stp>LAST</stp>
        <stp>TALO</stp>
        <tr r="D61" s="4"/>
      </tp>
      <tp>
        <v>7.71</v>
        <stp/>
        <stp>LAST</stp>
        <stp>EFXT</stp>
        <tr r="D21" s="4"/>
      </tp>
      <tp>
        <v>6.75</v>
        <stp/>
        <stp>LAST</stp>
        <stp>KGEI</stp>
        <tr r="D87" s="4"/>
      </tp>
      <tp>
        <v>27.04</v>
        <stp/>
        <stp>LAST</stp>
        <stp>SDRL</stp>
        <tr r="D4" s="4"/>
      </tp>
      <tp>
        <v>1.18</v>
        <stp/>
        <stp>LAST</stp>
        <stp>GEVO</stp>
        <tr r="D109" s="4"/>
      </tp>
      <tp>
        <v>6.11</v>
        <stp/>
        <stp>LAST</stp>
        <stp>NESR</stp>
        <tr r="D20" s="4"/>
      </tp>
      <tp>
        <v>13.46</v>
        <stp/>
        <stp>LAST</stp>
        <stp>AESI</stp>
        <tr r="D17" s="4"/>
      </tp>
      <tp>
        <v>38.82</v>
        <stp/>
        <stp>LAST</stp>
        <stp>HESM</stp>
        <tr r="D53" s="3"/>
      </tp>
      <tp>
        <v>27.21</v>
        <stp/>
        <stp>LAST</stp>
        <stp>REPX</stp>
        <tr r="D51" s="4"/>
      </tp>
      <tp>
        <v>8.2899999999999991</v>
        <stp/>
        <stp>LAST</stp>
        <stp>NEXT</stp>
        <tr r="D65" s="3"/>
      </tp>
      <tp>
        <v>15.74</v>
        <stp/>
        <stp>LAST</stp>
        <stp>VG</stp>
        <tr r="D54" s="2"/>
      </tp>
      <tp>
        <v>35.43</v>
        <stp/>
        <stp>LAST</stp>
        <stp>TS</stp>
        <tr r="D4" s="2"/>
      </tp>
      <tp>
        <v>8.39</v>
        <stp/>
        <stp>LAST</stp>
        <stp>TK</stp>
        <tr r="D77" s="4"/>
      </tp>
      <tp>
        <v>36.979999999999997</v>
        <stp/>
        <stp>LAST</stp>
        <stp>SU</stp>
        <tr r="D27" s="2"/>
      </tp>
      <tp>
        <v>25.59</v>
        <stp/>
        <stp>LAST</stp>
        <stp>SM</stp>
        <tr r="D23" s="3"/>
      </tp>
      <tp>
        <v>10.71</v>
        <stp/>
        <stp>LAST</stp>
        <stp>SD</stp>
        <tr r="D71" s="4"/>
      </tp>
      <tp>
        <v>13.78</v>
        <stp/>
        <stp>LAST</stp>
        <stp>PR</stp>
        <tr r="D36" s="3"/>
      </tp>
      <tp>
        <v>18.96</v>
        <stp/>
        <stp>LAST</stp>
        <stp>DK</stp>
        <tr r="D103" s="4"/>
      </tp>
      <tp>
        <v>17.71</v>
        <stp/>
        <stp>LAST</stp>
        <stp>ET</stp>
        <tr r="D49" s="2"/>
      </tp>
      <tp>
        <v>2.2650000000000001</v>
        <stp/>
        <stp>LAST</stp>
        <stp>EU</stp>
        <tr r="D112" s="4"/>
      </tp>
      <tp>
        <v>8.93</v>
        <stp/>
        <stp>LAST</stp>
        <stp>EC</stp>
        <tr r="D55" s="2"/>
      </tp>
      <tp>
        <v>31.83</v>
        <stp/>
        <stp>LAST</stp>
        <stp>EE</stp>
        <tr r="D55" s="4"/>
      </tp>
      <tp>
        <v>29.46</v>
        <stp/>
        <stp>LAST</stp>
        <stp>BP</stp>
        <tr r="D53" s="2"/>
      </tp>
      <tp>
        <v>38.92</v>
        <stp/>
        <stp>LAST</stp>
        <stp>AR</stp>
        <tr r="D29" s="2"/>
      </tp>
      <tp>
        <v>18.399999999999999</v>
        <stp/>
        <stp>LAST</stp>
        <stp>AM</stp>
        <tr r="D55" s="3"/>
      </tp>
      <tp>
        <v>36.71</v>
        <stp/>
        <stp>LAST</stp>
        <stp>NC</stp>
        <tr r="D42" s="4"/>
      </tp>
      <tp>
        <v>17.61</v>
        <stp/>
        <stp>LAST</stp>
        <stp>HP</stp>
        <tr r="D6" s="4"/>
      </tp>
      <tp>
        <v>30.64</v>
        <stp/>
        <stp>LAST</stp>
        <stp>E</stp>
        <tr r="D3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2455439812" createdVersion="8" refreshedVersion="8" minRefreshableVersion="3" recordCount="54" xr:uid="{3432845B-C090-4238-AA0B-FA56B072311B}">
  <cacheSource type="worksheet">
    <worksheetSource name="Main_L"/>
  </cacheSource>
  <cacheFields count="26">
    <cacheField name="Industry" numFmtId="0">
      <sharedItems count="58">
        <s v="Energy Equipment &amp; Services"/>
        <s v="Oil, Gas &amp; Consumable Fue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641" maxValue="1124975"/>
    </cacheField>
    <cacheField name="Current Price" numFmtId="0">
      <sharedItems containsSemiMixedTypes="0" containsString="0" containsNumber="1" minValue="8.93" maxValue="1105.04"/>
    </cacheField>
    <cacheField name="Free CF" numFmtId="0">
      <sharedItems containsSemiMixedTypes="0" containsString="0" containsNumber="1" minValue="-4.8899999999999997" maxValue="15.21"/>
    </cacheField>
    <cacheField name="BVPS" numFmtId="0">
      <sharedItems containsSemiMixedTypes="0" containsString="0" containsNumber="1" minValue="0.45" maxValue="133.91999999999999"/>
    </cacheField>
    <cacheField name="EPS" numFmtId="0">
      <sharedItems containsSemiMixedTypes="0" containsString="0" containsNumber="1" minValue="-5.41" maxValue="19.989999999999998"/>
    </cacheField>
    <cacheField name="P/FCF" numFmtId="2">
      <sharedItems containsSemiMixedTypes="0" containsString="0" containsNumber="1" minValue="-300.2" maxValue="393.25266903914587"/>
    </cacheField>
    <cacheField name="P/B" numFmtId="2">
      <sharedItems containsSemiMixedTypes="0" containsString="0" containsNumber="1" minValue="0.61353383458646615" maxValue="21.056402439024392"/>
    </cacheField>
    <cacheField name="ROE" numFmtId="0">
      <sharedItems containsSemiMixedTypes="0" containsString="0" containsNumber="1" minValue="-410.82" maxValue="46.98"/>
    </cacheField>
    <cacheField name="ROA" numFmtId="0">
      <sharedItems containsSemiMixedTypes="0" containsString="0" containsNumber="1" minValue="-2.2599999999999998" maxValue="26.72"/>
    </cacheField>
    <cacheField name="A/E" numFmtId="0">
      <sharedItems containsSemiMixedTypes="0" containsString="0" containsNumber="1" minValue="1.1200000000000001" maxValue="9.3000000000000007"/>
    </cacheField>
    <cacheField name="P/E" numFmtId="2">
      <sharedItems containsSemiMixedTypes="0" containsString="0" containsNumber="1" minValue="-420.85714285714283" maxValue="167.27499999999998"/>
    </cacheField>
    <cacheField name="Preliminary Criteria" numFmtId="0">
      <sharedItems/>
    </cacheField>
    <cacheField name="P/FCF Z-Score" numFmtId="2">
      <sharedItems containsSemiMixedTypes="0" containsString="0" containsNumber="1" minValue="-24.68522786985984" maxValue="29.042228904403824"/>
    </cacheField>
    <cacheField name="P/B Z-Score" numFmtId="2">
      <sharedItems containsSemiMixedTypes="0" containsString="0" containsNumber="1" minValue="-1.7531375161901019" maxValue="24.777873639984513"/>
    </cacheField>
    <cacheField name="ROE Z-Score" numFmtId="2">
      <sharedItems containsSemiMixedTypes="0" containsString="0" containsNumber="1" minValue="-57.171413190199402" maxValue="4.6310089740602391"/>
    </cacheField>
    <cacheField name="ROA Z-Score" numFmtId="2">
      <sharedItems containsSemiMixedTypes="0" containsString="0" containsNumber="1" minValue="-2.4823970568983604" maxValue="6.5418120167404616"/>
    </cacheField>
    <cacheField name="A/E Z-Score" numFmtId="2">
      <sharedItems containsSemiMixedTypes="0" containsString="0" containsNumber="1" minValue="-1.4933844687239444" maxValue="6.8571369187480906"/>
    </cacheField>
    <cacheField name="P/E Z-Score" numFmtId="2">
      <sharedItems containsSemiMixedTypes="0" containsString="0" containsNumber="1" minValue="-49.883243559765731" maxValue="17.025376034995745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2457060182" createdVersion="8" refreshedVersion="8" minRefreshableVersion="3" recordCount="66" xr:uid="{A2646FF5-8A5C-4026-A340-9C8CC354FDFF}">
  <cacheSource type="worksheet">
    <worksheetSource name="Main_M"/>
  </cacheSource>
  <cacheFields count="26">
    <cacheField name="Industry" numFmtId="0">
      <sharedItems count="59">
        <s v="Energy Equipment &amp; Services"/>
        <s v="Oil, Gas &amp; Consumable Fue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27" maxValue="9892"/>
    </cacheField>
    <cacheField name="Current Price" numFmtId="0">
      <sharedItems containsSemiMixedTypes="0" containsString="0" containsNumber="1" minValue="2.98" maxValue="188.13"/>
    </cacheField>
    <cacheField name="Free CF" numFmtId="0">
      <sharedItems containsSemiMixedTypes="0" containsString="0" containsNumber="1" minValue="-13.29" maxValue="42.16"/>
    </cacheField>
    <cacheField name="BVPS" numFmtId="0">
      <sharedItems containsSemiMixedTypes="0" containsString="0" containsNumber="1" minValue="-41.85" maxValue="148.09"/>
    </cacheField>
    <cacheField name="EPS" numFmtId="0">
      <sharedItems containsSemiMixedTypes="0" containsString="0" containsNumber="1" minValue="-17.28" maxValue="15.65"/>
    </cacheField>
    <cacheField name="P/FCF" numFmtId="2">
      <sharedItems containsSemiMixedTypes="0" containsString="0" containsNumber="1" minValue="-216.58333333333331" maxValue="476.81818181818187"/>
    </cacheField>
    <cacheField name="P/B" numFmtId="2">
      <sharedItems containsSemiMixedTypes="0" containsString="0" containsNumber="1" minValue="-16.668831168831169" maxValue="23.368131868131869"/>
    </cacheField>
    <cacheField name="ROE" numFmtId="0">
      <sharedItems containsSemiMixedTypes="0" containsString="0" containsNumber="1" minValue="-200.53" maxValue="542.39"/>
    </cacheField>
    <cacheField name="ROA" numFmtId="0">
      <sharedItems containsSemiMixedTypes="0" containsString="0" containsNumber="1" minValue="-6.54" maxValue="15.05"/>
    </cacheField>
    <cacheField name="A/E" numFmtId="0">
      <sharedItems containsSemiMixedTypes="0" containsString="0" containsNumber="1" minValue="-15.01" maxValue="24.58"/>
    </cacheField>
    <cacheField name="P/E" numFmtId="2">
      <sharedItems containsSemiMixedTypes="0" containsString="0" containsNumber="1" minValue="-54.583333333333336" maxValue="1390.3333333333335"/>
    </cacheField>
    <cacheField name="Preliminary Criteria" numFmtId="0">
      <sharedItems/>
    </cacheField>
    <cacheField name="P/FCF Z-Score" numFmtId="2">
      <sharedItems containsSemiMixedTypes="0" containsString="0" containsNumber="1" minValue="-17.626877890191341" maxValue="46.004408664413191"/>
    </cacheField>
    <cacheField name="P/B Z-Score" numFmtId="2">
      <sharedItems containsSemiMixedTypes="0" containsString="0" containsNumber="1" minValue="-19.509568668501718" maxValue="17.193417583880258"/>
    </cacheField>
    <cacheField name="ROE Z-Score" numFmtId="2">
      <sharedItems containsSemiMixedTypes="0" containsString="0" containsNumber="1" minValue="-2.9903366931287243" maxValue="6.8700954949571225"/>
    </cacheField>
    <cacheField name="ROA Z-Score" numFmtId="2">
      <sharedItems containsSemiMixedTypes="0" containsString="0" containsNumber="1" minValue="-2.7668337482904959" maxValue="2.1073465203617423"/>
    </cacheField>
    <cacheField name="A/E Z-Score" numFmtId="2">
      <sharedItems containsSemiMixedTypes="0" containsString="0" containsNumber="1" minValue="-15.886300118595972" maxValue="27.317948465521301"/>
    </cacheField>
    <cacheField name="P/E Z-Score" numFmtId="2">
      <sharedItems containsSemiMixedTypes="0" containsString="0" containsNumber="1" minValue="-5.5107541614906221" maxValue="119.04125074555404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2458564814" createdVersion="8" refreshedVersion="8" minRefreshableVersion="3" recordCount="125" xr:uid="{FEEDC4AE-CB7E-4F82-B64E-6462C5DE2153}">
  <cacheSource type="worksheet">
    <worksheetSource name="Main_S"/>
  </cacheSource>
  <cacheFields count="26">
    <cacheField name="Industry" numFmtId="0">
      <sharedItems count="60">
        <s v="Energy Equipment &amp; Services"/>
        <s v="Oil, Gas &amp; Consumable Fue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4" maxValue="1990"/>
    </cacheField>
    <cacheField name="Current Price" numFmtId="0">
      <sharedItems containsSemiMixedTypes="0" containsString="0" containsNumber="1" minValue="0.14008000000000001" maxValue="151.26"/>
    </cacheField>
    <cacheField name="Free CF" numFmtId="0">
      <sharedItems containsString="0" containsBlank="1" containsNumber="1" minValue="-15.42" maxValue="15.86"/>
    </cacheField>
    <cacheField name="BVPS" numFmtId="0">
      <sharedItems containsString="0" containsBlank="1" containsNumber="1" minValue="-14.39" maxValue="122.55"/>
    </cacheField>
    <cacheField name="EPS" numFmtId="0">
      <sharedItems containsString="0" containsBlank="1" containsNumber="1" minValue="-25.29" maxValue="21.32"/>
    </cacheField>
    <cacheField name="P/FCF" numFmtId="2">
      <sharedItems containsMixedTypes="1" containsNumber="1" minValue="-447.4" maxValue="166.06666666666666"/>
    </cacheField>
    <cacheField name="P/B" numFmtId="2">
      <sharedItems containsMixedTypes="1" containsNumber="1" minValue="-60.4" maxValue="279.625"/>
    </cacheField>
    <cacheField name="ROE" numFmtId="0">
      <sharedItems containsSemiMixedTypes="0" containsString="0" containsNumber="1" minValue="-113.09" maxValue="497.59"/>
    </cacheField>
    <cacheField name="ROA" numFmtId="0">
      <sharedItems containsSemiMixedTypes="0" containsString="0" containsNumber="1" minValue="-43.78" maxValue="21.52"/>
    </cacheField>
    <cacheField name="A/E" numFmtId="0">
      <sharedItems containsSemiMixedTypes="0" containsString="0" containsNumber="1" minValue="-31.46" maxValue="44.29"/>
    </cacheField>
    <cacheField name="P/E" numFmtId="2">
      <sharedItems containsMixedTypes="1" containsNumber="1" minValue="-2237" maxValue="194.42857142857139"/>
    </cacheField>
    <cacheField name="Preliminary Criteria" numFmtId="0">
      <sharedItems/>
    </cacheField>
    <cacheField name="P/FCF Z-Score" numFmtId="2">
      <sharedItems containsMixedTypes="1" containsNumber="1" minValue="-42.237023778211913" maxValue="13.139302069178576"/>
    </cacheField>
    <cacheField name="P/B Z-Score" numFmtId="2">
      <sharedItems containsMixedTypes="1" containsNumber="1" minValue="-105.55544238372362" maxValue="477.40748905988909"/>
    </cacheField>
    <cacheField name="ROE Z-Score" numFmtId="2">
      <sharedItems containsSemiMixedTypes="0" containsString="0" containsNumber="1" minValue="-6.9843158166140666" maxValue="29.011151889087451"/>
    </cacheField>
    <cacheField name="ROA Z-Score" numFmtId="2">
      <sharedItems containsSemiMixedTypes="0" containsString="0" containsNumber="1" minValue="-9.0892534854776308" maxValue="6.6562887735215286"/>
    </cacheField>
    <cacheField name="A/E Z-Score" numFmtId="2">
      <sharedItems containsSemiMixedTypes="0" containsString="0" containsNumber="1" minValue="-70.414170465415893" maxValue="90.500354744937781"/>
    </cacheField>
    <cacheField name="P/E Z-Score" numFmtId="2">
      <sharedItems containsMixedTypes="1" containsNumber="1" minValue="-209.29767852753062" maxValue="17.726359907843705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3">
        <s v="Yes"/>
        <s v="No"/>
        <e v="#VALUE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PHIG"/>
    <n v="1124975"/>
    <n v="24.5"/>
    <n v="2.48"/>
    <n v="20.9"/>
    <n v="3.26"/>
    <n v="9.879032258064516"/>
    <n v="1.1722488038277512"/>
    <n v="20.47"/>
    <n v="8.17"/>
    <n v="1.51"/>
    <n v="7.515337423312884"/>
    <s v="YES"/>
    <n v="-0.73947438860780146"/>
    <n v="-1.7531375161901019"/>
    <n v="0.48132103460632719"/>
    <n v="0.50215306546888727"/>
    <n v="-0.89073241594853692"/>
    <n v="-1.2282675331813107"/>
    <x v="0"/>
    <x v="0"/>
    <x v="0"/>
    <x v="0"/>
    <x v="0"/>
    <x v="0"/>
  </r>
  <r>
    <x v="0"/>
    <s v="BKR"/>
    <n v="36707"/>
    <n v="38.33"/>
    <n v="2.0299999999999998"/>
    <n v="17.21"/>
    <n v="2.93"/>
    <n v="18.881773399014779"/>
    <n v="2.227193492155723"/>
    <n v="18.04"/>
    <n v="5.79"/>
    <n v="2.2400000000000002"/>
    <n v="13.081911262798634"/>
    <s v="NO"/>
    <n v="1.2081455502813427"/>
    <n v="0.63445163399524251"/>
    <n v="-1.6746423093445928"/>
    <n v="-1.4963825462634737"/>
    <n v="0.49865789097973628"/>
    <n v="1.3010171046759365"/>
    <x v="0"/>
    <x v="0"/>
    <x v="0"/>
    <x v="0"/>
    <x v="0"/>
    <x v="0"/>
  </r>
  <r>
    <x v="0"/>
    <s v="TS"/>
    <n v="17929"/>
    <n v="35.43"/>
    <n v="1.89"/>
    <n v="16.010000000000002"/>
    <n v="1.63"/>
    <n v="18.746031746031747"/>
    <n v="2.2129918800749531"/>
    <n v="10.54"/>
    <n v="6.65"/>
    <n v="1.2"/>
    <n v="21.736196319018408"/>
    <s v="NO"/>
    <n v="1.1787796998421931"/>
    <n v="0.60231002951650048"/>
    <n v="-8.3288501610449632"/>
    <n v="-0.77422261933497316"/>
    <n v="-1.4807474777947898"/>
    <n v="5.233265355667676"/>
    <x v="0"/>
    <x v="0"/>
    <x v="1"/>
    <x v="0"/>
    <x v="0"/>
    <x v="1"/>
  </r>
  <r>
    <x v="0"/>
    <s v="SLB"/>
    <n v="44649"/>
    <n v="34.119999999999997"/>
    <n v="3.07"/>
    <n v="14.35"/>
    <n v="2.96"/>
    <n v="11.11400651465798"/>
    <n v="2.3777003484320556"/>
    <n v="20.2"/>
    <n v="8.1300000000000008"/>
    <n v="2.5099999999999998"/>
    <n v="11.527027027027026"/>
    <s v="NO"/>
    <n v="-0.47230459570821942"/>
    <n v="0.97508421980732329"/>
    <n v="0.24176955194511424"/>
    <n v="0.46856423165826"/>
    <n v="1.012541977103891"/>
    <n v="0.59452421971910141"/>
    <x v="0"/>
    <x v="0"/>
    <x v="0"/>
    <x v="0"/>
    <x v="0"/>
    <x v="0"/>
  </r>
  <r>
    <x v="0"/>
    <s v="HAL"/>
    <n v="16842"/>
    <n v="21"/>
    <n v="2.67"/>
    <n v="12.04"/>
    <n v="2.4"/>
    <n v="7.8651685393258433"/>
    <n v="1.7441860465116281"/>
    <n v="21"/>
    <n v="9.1199999999999992"/>
    <n v="2.4300000000000002"/>
    <n v="8.75"/>
    <s v="NO"/>
    <n v="-1.1751462658075136"/>
    <n v="-0.45870836712896129"/>
    <n v="0.95155172279315436"/>
    <n v="1.2998878684712996"/>
    <n v="0.86028002565969752"/>
    <n v="-0.66727379121372743"/>
    <x v="0"/>
    <x v="0"/>
    <x v="0"/>
    <x v="0"/>
    <x v="0"/>
    <x v="0"/>
  </r>
  <r>
    <x v="1"/>
    <s v="FANG"/>
    <n v="39311"/>
    <n v="142.13"/>
    <n v="8.4"/>
    <n v="133.91999999999999"/>
    <n v="16.37"/>
    <n v="16.920238095238094"/>
    <n v="1.0613052568697732"/>
    <n v="14.67"/>
    <n v="7.13"/>
    <n v="1.82"/>
    <n v="8.6823457544288321"/>
    <s v="YES"/>
    <n v="-0.11532620935545675"/>
    <n v="-1.1534321922513868"/>
    <n v="0.2691997557831996"/>
    <n v="0.44159615226204463"/>
    <n v="-0.77879217395249889"/>
    <n v="-1.0168542738107524"/>
    <x v="0"/>
    <x v="0"/>
    <x v="0"/>
    <x v="0"/>
    <x v="0"/>
    <x v="0"/>
  </r>
  <r>
    <x v="1"/>
    <s v="CVX"/>
    <n v="236764"/>
    <n v="140.76"/>
    <n v="7.6"/>
    <n v="85.46"/>
    <n v="8.74"/>
    <n v="18.521052631578947"/>
    <n v="1.6470863561900304"/>
    <n v="10.08"/>
    <n v="5.23"/>
    <n v="1.72"/>
    <n v="16.105263157894736"/>
    <s v="NO"/>
    <n v="8.7020014293385534E-3"/>
    <n v="-0.39374251938628591"/>
    <n v="-0.35044445071298158"/>
    <n v="-0.15005316588542802"/>
    <n v="-0.88087678749127696"/>
    <n v="-0.17238902418321636"/>
    <x v="0"/>
    <x v="0"/>
    <x v="0"/>
    <x v="0"/>
    <x v="0"/>
    <x v="0"/>
  </r>
  <r>
    <x v="1"/>
    <s v="VLO"/>
    <n v="40394"/>
    <n v="128.26"/>
    <n v="15.21"/>
    <n v="75"/>
    <n v="2.91"/>
    <n v="8.4326101249178169"/>
    <n v="1.7101333333333333"/>
    <n v="3.71"/>
    <n v="2.46"/>
    <n v="2.52"/>
    <n v="44.075601374570439"/>
    <s v="NO"/>
    <n v="-0.77293225119718389"/>
    <n v="-0.3119779532425368"/>
    <n v="-1.2103864104909063"/>
    <n v="-1.0126155928688492"/>
    <n v="-6.4199879181053549E-2"/>
    <n v="3.0096453917302668"/>
    <x v="0"/>
    <x v="0"/>
    <x v="0"/>
    <x v="0"/>
    <x v="0"/>
    <x v="0"/>
  </r>
  <r>
    <x v="1"/>
    <s v="EXE"/>
    <n v="27637"/>
    <n v="114.94"/>
    <n v="2.2400000000000002"/>
    <n v="72.39"/>
    <n v="-5.41"/>
    <n v="51.312499999999993"/>
    <n v="1.5877883685591931"/>
    <n v="-7.1"/>
    <n v="-2.2599999999999998"/>
    <n v="1.62"/>
    <n v="-21.245841035120147"/>
    <s v="NO"/>
    <n v="2.5493239497067184"/>
    <n v="-0.47064508397415589"/>
    <n v="-2.6697227660952021"/>
    <n v="-2.4823970568983604"/>
    <n v="-0.98296140103005469"/>
    <n v="-4.4216225548555341"/>
    <x v="0"/>
    <x v="0"/>
    <x v="0"/>
    <x v="0"/>
    <x v="0"/>
    <x v="1"/>
  </r>
  <r>
    <x v="1"/>
    <s v="PSX"/>
    <n v="46236"/>
    <n v="116.1"/>
    <n v="7.13"/>
    <n v="66.91"/>
    <n v="4.42"/>
    <n v="16.283309957924264"/>
    <n v="1.7351666417575848"/>
    <n v="6.56"/>
    <n v="0.95"/>
    <n v="2.63"/>
    <n v="26.266968325791854"/>
    <s v="NO"/>
    <n v="-0.16467424779225068"/>
    <n v="-0.27951267583836847"/>
    <n v="-0.82564000776451929"/>
    <n v="-1.4828211036071037"/>
    <n v="4.8093195711602033E-2"/>
    <n v="0.98365332747260703"/>
    <x v="0"/>
    <x v="0"/>
    <x v="0"/>
    <x v="0"/>
    <x v="0"/>
    <x v="0"/>
  </r>
  <r>
    <x v="1"/>
    <s v="XOM"/>
    <n v="440876"/>
    <n v="104.97"/>
    <n v="6.42"/>
    <n v="60.96"/>
    <n v="7.55"/>
    <n v="16.350467289719628"/>
    <n v="1.7219488188976377"/>
    <n v="14.3"/>
    <n v="6.2"/>
    <n v="1.72"/>
    <n v="13.903311258278146"/>
    <s v="YES"/>
    <n v="-0.15947101936411603"/>
    <n v="-0.29665464838769484"/>
    <n v="0.21925022279766873"/>
    <n v="0.1519993807477554"/>
    <n v="-0.88087678749127696"/>
    <n v="-0.4228932073106384"/>
    <x v="0"/>
    <x v="0"/>
    <x v="0"/>
    <x v="0"/>
    <x v="0"/>
    <x v="0"/>
  </r>
  <r>
    <x v="1"/>
    <s v="EOG"/>
    <n v="59256"/>
    <n v="114.33"/>
    <n v="9.84"/>
    <n v="53.55"/>
    <n v="10.8"/>
    <n v="11.61890243902439"/>
    <n v="2.1350140056022409"/>
    <n v="20.9"/>
    <n v="10.51"/>
    <n v="1.59"/>
    <n v="10.58611111111111"/>
    <s v="NO"/>
    <n v="-0.52606409390314135"/>
    <n v="0.23904265718211296"/>
    <n v="1.1102418922693016"/>
    <n v="1.4941091498086017"/>
    <n v="-1.0135867850916882"/>
    <n v="-0.80027316428469109"/>
    <x v="0"/>
    <x v="0"/>
    <x v="0"/>
    <x v="0"/>
    <x v="0"/>
    <x v="0"/>
  </r>
  <r>
    <x v="1"/>
    <s v="TTE"/>
    <n v="129310"/>
    <n v="59.65"/>
    <n v="6.82"/>
    <n v="53.12"/>
    <n v="5.94"/>
    <n v="8.7463343108504397"/>
    <n v="1.1229292168674698"/>
    <n v="11.71"/>
    <n v="5.26"/>
    <n v="2.4700000000000002"/>
    <n v="10.042087542087542"/>
    <s v="YES"/>
    <n v="-0.74862546950710651"/>
    <n v="-1.0735131131523399"/>
    <n v="-0.13039650810104786"/>
    <n v="-0.14071133454625759"/>
    <n v="-0.11524218595044233"/>
    <n v="-0.86216378949954853"/>
    <x v="0"/>
    <x v="0"/>
    <x v="0"/>
    <x v="0"/>
    <x v="0"/>
    <x v="0"/>
  </r>
  <r>
    <x v="1"/>
    <s v="MPC"/>
    <n v="49382"/>
    <n v="160.27000000000001"/>
    <n v="13.59"/>
    <n v="53.06"/>
    <n v="7.39"/>
    <n v="11.793230316409126"/>
    <n v="3.020542781756502"/>
    <n v="15.52"/>
    <n v="3.47"/>
    <n v="4.9800000000000004"/>
    <n v="21.687415426251693"/>
    <s v="NO"/>
    <n v="-0.512557485716435"/>
    <n v="1.3874700595853298"/>
    <n v="0.38394868291212197"/>
    <n v="-0.6981072711167714"/>
    <n v="2.4470816138728835"/>
    <n v="0.46266231109850814"/>
    <x v="0"/>
    <x v="0"/>
    <x v="0"/>
    <x v="0"/>
    <x v="0"/>
    <x v="0"/>
  </r>
  <r>
    <x v="1"/>
    <s v="TPL"/>
    <n v="25609"/>
    <n v="1105.04"/>
    <n v="2.81"/>
    <n v="52.48"/>
    <n v="19.989999999999998"/>
    <n v="393.25266903914587"/>
    <n v="21.056402439024392"/>
    <n v="39.520000000000003"/>
    <n v="26.72"/>
    <n v="1.1200000000000001"/>
    <n v="55.27963981990996"/>
    <s v="NO"/>
    <n v="29.042228904403824"/>
    <n v="24.777873639984513"/>
    <n v="3.6239183900816974"/>
    <n v="6.5418120167404616"/>
    <n v="-1.4933844687239444"/>
    <n v="4.2842683746240846"/>
    <x v="1"/>
    <x v="1"/>
    <x v="1"/>
    <x v="1"/>
    <x v="0"/>
    <x v="1"/>
  </r>
  <r>
    <x v="1"/>
    <s v="COP"/>
    <n v="107747"/>
    <n v="88.04"/>
    <n v="7.21"/>
    <n v="51.68"/>
    <n v="7.91"/>
    <n v="12.210818307905688"/>
    <n v="1.703560371517028"/>
    <n v="16.66"/>
    <n v="8.7799999999999994"/>
    <n v="1.9"/>
    <n v="11.130214917825539"/>
    <s v="YES"/>
    <n v="-0.48020352449559123"/>
    <n v="-0.32050231706680177"/>
    <n v="0.53784724400267681"/>
    <n v="0.95539687591642886"/>
    <n v="-0.69712448312147679"/>
    <n v="-0.73837341086080766"/>
    <x v="0"/>
    <x v="0"/>
    <x v="0"/>
    <x v="0"/>
    <x v="0"/>
    <x v="0"/>
  </r>
  <r>
    <x v="1"/>
    <s v="DTM"/>
    <n v="10641"/>
    <n v="105.74"/>
    <n v="4.5199999999999996"/>
    <n v="45.69"/>
    <n v="3.68"/>
    <n v="23.393805309734514"/>
    <n v="2.3142919676077915"/>
    <n v="8.32"/>
    <n v="3.4"/>
    <n v="2.14"/>
    <n v="28.73369565217391"/>
    <s v="NO"/>
    <n v="0.38623405311216502"/>
    <n v="0.47154523615907329"/>
    <n v="-0.58804222923875038"/>
    <n v="-0.71990487757483623"/>
    <n v="-0.45212141062840955"/>
    <n v="1.2642795818431141"/>
    <x v="0"/>
    <x v="0"/>
    <x v="0"/>
    <x v="0"/>
    <x v="0"/>
    <x v="0"/>
  </r>
  <r>
    <x v="1"/>
    <s v="HES"/>
    <n v="40883"/>
    <n v="136.63"/>
    <n v="3.63"/>
    <n v="37.4"/>
    <n v="7.21"/>
    <n v="37.639118457300277"/>
    <n v="3.6532085561497327"/>
    <n v="22.75"/>
    <n v="9.68"/>
    <n v="2.36"/>
    <n v="18.950069348127599"/>
    <s v="NO"/>
    <n v="1.4899351138236121"/>
    <n v="2.2079636803925968"/>
    <n v="1.3599895571969565"/>
    <n v="1.2356518160915477"/>
    <n v="-0.22753526084309836"/>
    <n v="0.15124922194023568"/>
    <x v="0"/>
    <x v="0"/>
    <x v="0"/>
    <x v="0"/>
    <x v="0"/>
    <x v="0"/>
  </r>
  <r>
    <x v="1"/>
    <s v="EQT"/>
    <n v="33002"/>
    <n v="54.9"/>
    <n v="2.16"/>
    <n v="34.61"/>
    <n v="0.66"/>
    <n v="25.416666666666664"/>
    <n v="1.5862467494943657"/>
    <n v="2.2999999999999998"/>
    <n v="1.25"/>
    <n v="1.92"/>
    <n v="83.181818181818173"/>
    <s v="NO"/>
    <n v="0.54296168711996662"/>
    <n v="-0.47264438385665525"/>
    <n v="-1.4007346307871189"/>
    <n v="-1.3894027902153976"/>
    <n v="-0.67670756041372115"/>
    <n v="7.4585486117366653"/>
    <x v="0"/>
    <x v="0"/>
    <x v="0"/>
    <x v="0"/>
    <x v="0"/>
    <x v="1"/>
  </r>
  <r>
    <x v="1"/>
    <s v="OKE"/>
    <n v="50495"/>
    <n v="81.12"/>
    <n v="5.17"/>
    <n v="34.200000000000003"/>
    <n v="5.1100000000000003"/>
    <n v="15.690522243713735"/>
    <n v="2.3719298245614033"/>
    <n v="16.41"/>
    <n v="6.05"/>
    <n v="3.01"/>
    <n v="15.874755381604697"/>
    <s v="NO"/>
    <n v="-0.21060236619677128"/>
    <n v="0.5462948051440496"/>
    <n v="0.50409755955299373"/>
    <n v="0.10529022405190218"/>
    <n v="0.436014727158958"/>
    <n v="-0.19861264978289878"/>
    <x v="0"/>
    <x v="0"/>
    <x v="0"/>
    <x v="0"/>
    <x v="0"/>
    <x v="0"/>
  </r>
  <r>
    <x v="1"/>
    <s v="IMO"/>
    <n v="36320"/>
    <n v="73.41"/>
    <n v="6.2"/>
    <n v="33.33"/>
    <n v="6.47"/>
    <n v="11.840322580645161"/>
    <n v="2.2025202520252027"/>
    <n v="20.55"/>
    <n v="9.18"/>
    <n v="1.8"/>
    <n v="11.346213292117465"/>
    <s v="NO"/>
    <n v="-0.50890886237974853"/>
    <n v="0.32659037478672792"/>
    <n v="1.0629923340397456"/>
    <n v="1.0799546271053706"/>
    <n v="-0.79920909666025453"/>
    <n v="-0.71380044161553413"/>
    <x v="0"/>
    <x v="0"/>
    <x v="0"/>
    <x v="0"/>
    <x v="0"/>
    <x v="0"/>
  </r>
  <r>
    <x v="1"/>
    <s v="SHEL"/>
    <n v="195780"/>
    <n v="68.260000000000005"/>
    <n v="5.05"/>
    <n v="29.72"/>
    <n v="2.17"/>
    <n v="13.516831683168318"/>
    <n v="2.2967698519515483"/>
    <n v="7.56"/>
    <n v="5.17"/>
    <n v="2.1800000000000002"/>
    <n v="31.456221198156687"/>
    <s v="NO"/>
    <n v="-0.37901597370966722"/>
    <n v="0.44882109854821067"/>
    <n v="-0.69064126996578701"/>
    <n v="-0.16873682856376943"/>
    <n v="-0.41128756521289833"/>
    <n v="1.5740066190498336"/>
    <x v="0"/>
    <x v="0"/>
    <x v="0"/>
    <x v="0"/>
    <x v="0"/>
    <x v="0"/>
  </r>
  <r>
    <x v="1"/>
    <s v="YPF"/>
    <n v="13915"/>
    <n v="33.71"/>
    <n v="-0.33"/>
    <n v="29.67"/>
    <n v="3.61"/>
    <n v="-102.15151515151516"/>
    <n v="1.1361644759015841"/>
    <n v="14.7"/>
    <n v="3.73"/>
    <n v="2.54"/>
    <n v="9.337950138504155"/>
    <s v="NO"/>
    <n v="-9.3407899810430752"/>
    <n v="-1.056348527921477"/>
    <n v="0.27324971791716146"/>
    <n v="-0.61714473284395932"/>
    <n v="-4.3782956473297947E-2"/>
    <n v="-0.94226970149736899"/>
    <x v="1"/>
    <x v="0"/>
    <x v="0"/>
    <x v="0"/>
    <x v="0"/>
    <x v="0"/>
  </r>
  <r>
    <x v="1"/>
    <s v="TRMLF"/>
    <n v="16884"/>
    <n v="47.12"/>
    <n v="1.25"/>
    <n v="28.75"/>
    <n v="2.34"/>
    <n v="37.695999999999998"/>
    <n v="1.6389565217391304"/>
    <n v="8.35"/>
    <n v="4.58"/>
    <n v="1.45"/>
    <n v="20.136752136752136"/>
    <s v="NO"/>
    <n v="1.4943421927247393"/>
    <n v="-0.404285965191585"/>
    <n v="-0.58399226710478847"/>
    <n v="-0.35245951156745831"/>
    <n v="-1.1565052440459773"/>
    <n v="0.28625171797455967"/>
    <x v="0"/>
    <x v="0"/>
    <x v="0"/>
    <x v="0"/>
    <x v="0"/>
    <x v="0"/>
  </r>
  <r>
    <x v="1"/>
    <s v="OXY"/>
    <n v="40133"/>
    <n v="43.24"/>
    <n v="4.53"/>
    <n v="28.05"/>
    <n v="2.4700000000000002"/>
    <n v="9.5452538631346577"/>
    <n v="1.5415329768270944"/>
    <n v="9.49"/>
    <n v="4.51"/>
    <n v="3.22"/>
    <n v="17.506072874493928"/>
    <s v="NO"/>
    <n v="-0.68672662964693232"/>
    <n v="-0.53063292491675618"/>
    <n v="-0.43009370601423363"/>
    <n v="-0.37425711802552319"/>
    <n v="0.65039241559039207"/>
    <n v="-1.302646325046523E-2"/>
    <x v="0"/>
    <x v="0"/>
    <x v="0"/>
    <x v="0"/>
    <x v="0"/>
    <x v="0"/>
  </r>
  <r>
    <x v="1"/>
    <s v="SU"/>
    <n v="43640"/>
    <n v="36.979999999999997"/>
    <n v="4.96"/>
    <n v="25.28"/>
    <n v="3.35"/>
    <n v="7.4556451612903221"/>
    <n v="1.4628164556962024"/>
    <n v="13.68"/>
    <n v="6.48"/>
    <n v="2"/>
    <n v="11.038805970149253"/>
    <s v="YES"/>
    <n v="-0.84862572704175265"/>
    <n v="-0.6327190595776363"/>
    <n v="0.1355510053624546"/>
    <n v="0.23918980658001462"/>
    <n v="-0.59503986958269872"/>
    <n v="-0.7487725134807024"/>
    <x v="0"/>
    <x v="0"/>
    <x v="0"/>
    <x v="0"/>
    <x v="0"/>
    <x v="0"/>
  </r>
  <r>
    <x v="1"/>
    <s v="LNG"/>
    <n v="52561"/>
    <n v="228.78"/>
    <n v="14.02"/>
    <n v="25.05"/>
    <n v="13.71"/>
    <n v="16.318116975748932"/>
    <n v="9.1329341317365262"/>
    <n v="46.98"/>
    <n v="8.56"/>
    <n v="7.8"/>
    <n v="16.687089715536104"/>
    <s v="NO"/>
    <n v="-0.16197746309574482"/>
    <n v="9.3145277787199294"/>
    <n v="4.6310089740602391"/>
    <n v="0.88689011276251128"/>
    <n v="5.32586771566642"/>
    <n v="-0.10619775698561364"/>
    <x v="0"/>
    <x v="1"/>
    <x v="1"/>
    <x v="0"/>
    <x v="1"/>
    <x v="0"/>
  </r>
  <r>
    <x v="1"/>
    <s v="AR"/>
    <n v="11629"/>
    <n v="38.92"/>
    <n v="1.1100000000000001"/>
    <n v="23.17"/>
    <n v="0.77"/>
    <n v="35.063063063063062"/>
    <n v="1.6797583081570997"/>
    <n v="3.79"/>
    <n v="1.06"/>
    <n v="1.81"/>
    <n v="50.545454545454547"/>
    <s v="NO"/>
    <n v="1.2903470077834929"/>
    <n v="-0.35137081341876836"/>
    <n v="-1.1995865114670075"/>
    <n v="-1.4485677220301449"/>
    <n v="-0.78900063530637676"/>
    <n v="3.7456856675459593"/>
    <x v="0"/>
    <x v="0"/>
    <x v="0"/>
    <x v="0"/>
    <x v="0"/>
    <x v="1"/>
  </r>
  <r>
    <x v="1"/>
    <s v="DVN"/>
    <n v="19430"/>
    <n v="32.65"/>
    <n v="-1.08"/>
    <n v="22.59"/>
    <n v="4.38"/>
    <n v="-30.231481481481477"/>
    <n v="1.4453297919433377"/>
    <n v="20.96"/>
    <n v="9.56"/>
    <n v="2.13"/>
    <n v="7.4543378995433791"/>
    <s v="NO"/>
    <n v="-3.7685560381491414"/>
    <n v="-0.65539722021021929"/>
    <n v="1.1183418165372259"/>
    <n v="1.1982844907348653"/>
    <n v="-0.46232987198228753"/>
    <n v="-1.1565580995917342"/>
    <x v="1"/>
    <x v="0"/>
    <x v="0"/>
    <x v="0"/>
    <x v="0"/>
    <x v="0"/>
  </r>
  <r>
    <x v="1"/>
    <s v="AKRBY"/>
    <n v="14726"/>
    <n v="12.24"/>
    <n v="2.57"/>
    <n v="19.95"/>
    <n v="2.5499999999999998"/>
    <n v="4.7626459143968871"/>
    <n v="0.61353383458646615"/>
    <n v="12.84"/>
    <n v="12.66"/>
    <n v="3.43"/>
    <n v="4.8000000000000007"/>
    <s v="NO"/>
    <n v="-1.0572744309699855"/>
    <n v="-1.7341394320504824"/>
    <n v="2.215206561151949E-2"/>
    <n v="2.163607062449163"/>
    <n v="0.86477010402182564"/>
    <n v="-1.4585277962890368"/>
    <x v="0"/>
    <x v="0"/>
    <x v="0"/>
    <x v="0"/>
    <x v="0"/>
    <x v="0"/>
  </r>
  <r>
    <x v="1"/>
    <s v="ENB"/>
    <n v="101328"/>
    <n v="45.82"/>
    <n v="1.48"/>
    <n v="19.59"/>
    <n v="1.88"/>
    <n v="30.95945945945946"/>
    <n v="2.3389484430832059"/>
    <n v="9.4600000000000009"/>
    <n v="3.35"/>
    <n v="3.58"/>
    <n v="24.372340425531917"/>
    <s v="NO"/>
    <n v="0.97240723326821299"/>
    <n v="0.50352180523864887"/>
    <n v="-0.43414366814819549"/>
    <n v="-0.73547459647345392"/>
    <n v="1.0178970243299925"/>
    <n v="0.76811173704654945"/>
    <x v="0"/>
    <x v="0"/>
    <x v="0"/>
    <x v="0"/>
    <x v="0"/>
    <x v="0"/>
  </r>
  <r>
    <x v="1"/>
    <s v="E"/>
    <n v="45110"/>
    <n v="30.64"/>
    <n v="1.8"/>
    <n v="18.920000000000002"/>
    <n v="0.83"/>
    <n v="17.022222222222222"/>
    <n v="1.6194503171247356"/>
    <n v="4.84"/>
    <n v="2.4900000000000002"/>
    <n v="2.7"/>
    <n v="36.915662650602414"/>
    <s v="NO"/>
    <n v="-0.10742466391646813"/>
    <n v="-0.42958323446084773"/>
    <n v="-1.0578378367783388"/>
    <n v="-1.0032737615296785"/>
    <n v="0.11955242518874687"/>
    <n v="2.1950978071066825"/>
    <x v="0"/>
    <x v="0"/>
    <x v="0"/>
    <x v="0"/>
    <x v="0"/>
    <x v="0"/>
  </r>
  <r>
    <x v="1"/>
    <s v="WDS"/>
    <n v="27209"/>
    <n v="15.01"/>
    <n v="-0.05"/>
    <n v="18.64"/>
    <n v="1.87"/>
    <n v="-300.2"/>
    <n v="0.80525751072961371"/>
    <n v="10.220000000000001"/>
    <n v="3.86"/>
    <n v="1.73"/>
    <n v="8.0267379679144373"/>
    <s v="NO"/>
    <n v="-24.68522786985984"/>
    <n v="-1.4854962153630613"/>
    <n v="-0.33154462742115898"/>
    <n v="-0.57666346370755339"/>
    <n v="-0.8706683261373992"/>
    <n v="-1.091439233201265"/>
    <x v="1"/>
    <x v="0"/>
    <x v="0"/>
    <x v="0"/>
    <x v="0"/>
    <x v="0"/>
  </r>
  <r>
    <x v="1"/>
    <s v="CTRA"/>
    <n v="18555"/>
    <n v="25.95"/>
    <n v="1.7"/>
    <n v="18.62"/>
    <n v="1.71"/>
    <n v="15.264705882352942"/>
    <n v="1.3936627282491942"/>
    <n v="9.4"/>
    <n v="4.62"/>
    <n v="1.68"/>
    <n v="15.175438596491228"/>
    <s v="NO"/>
    <n v="-0.24359384661098071"/>
    <n v="-0.7224033676623155"/>
    <n v="-0.44224359241611949"/>
    <n v="-0.34000373644856413"/>
    <n v="-0.92171063290678812"/>
    <n v="-0.27817014603549517"/>
    <x v="0"/>
    <x v="0"/>
    <x v="0"/>
    <x v="0"/>
    <x v="0"/>
    <x v="0"/>
  </r>
  <r>
    <x v="1"/>
    <s v="PBA"/>
    <n v="21772"/>
    <n v="37.31"/>
    <n v="3.01"/>
    <n v="18.43"/>
    <n v="2.13"/>
    <n v="12.395348837209305"/>
    <n v="2.0244167118827998"/>
    <n v="11.57"/>
    <n v="5.15"/>
    <n v="2.3199999999999998"/>
    <n v="17.516431924882632"/>
    <s v="NO"/>
    <n v="-0.46590643331786247"/>
    <n v="9.561088380638548E-2"/>
    <n v="-0.14929633139287046"/>
    <n v="-0.17496471612321637"/>
    <n v="-0.26836910625860955"/>
    <n v="-1.1847969998160322E-2"/>
    <x v="0"/>
    <x v="0"/>
    <x v="0"/>
    <x v="0"/>
    <x v="0"/>
    <x v="0"/>
  </r>
  <r>
    <x v="1"/>
    <s v="EQNR"/>
    <n v="63531"/>
    <n v="24.7"/>
    <n v="2.64"/>
    <n v="16.850000000000001"/>
    <n v="3.15"/>
    <n v="9.3560606060606055"/>
    <n v="1.4658753709198811"/>
    <n v="18.32"/>
    <n v="13.63"/>
    <n v="3.01"/>
    <n v="7.8412698412698409"/>
    <s v="NO"/>
    <n v="-0.70138498052690346"/>
    <n v="-0.62875200378103402"/>
    <n v="0.76194514874857244"/>
    <n v="2.4656596090823468"/>
    <n v="0.436014727158958"/>
    <n v="-1.112538940951179"/>
    <x v="0"/>
    <x v="0"/>
    <x v="0"/>
    <x v="0"/>
    <x v="0"/>
    <x v="0"/>
  </r>
  <r>
    <x v="1"/>
    <s v="TRP"/>
    <n v="52647"/>
    <n v="49.45"/>
    <n v="0.39"/>
    <n v="16.84"/>
    <n v="2.8"/>
    <n v="126.7948717948718"/>
    <n v="2.9364608076009504"/>
    <n v="12.74"/>
    <n v="2.95"/>
    <n v="4.78"/>
    <n v="17.660714285714288"/>
    <s v="NO"/>
    <n v="8.3975613981935435"/>
    <n v="1.2784255589788658"/>
    <n v="8.6521918316463074E-3"/>
    <n v="-0.86003234766239556"/>
    <n v="2.2429123867953278"/>
    <n v="4.5662554652221689E-3"/>
    <x v="1"/>
    <x v="0"/>
    <x v="0"/>
    <x v="0"/>
    <x v="0"/>
    <x v="0"/>
  </r>
  <r>
    <x v="1"/>
    <s v="KMI"/>
    <n v="62327"/>
    <n v="27.53"/>
    <n v="0.96"/>
    <n v="13.77"/>
    <n v="1.1599999999999999"/>
    <n v="28.677083333333336"/>
    <n v="1.9992737835875092"/>
    <n v="8.4499999999999993"/>
    <n v="3.73"/>
    <n v="2.36"/>
    <n v="23.732758620689658"/>
    <s v="NO"/>
    <n v="0.79557286499191127"/>
    <n v="6.3003442231905349E-2"/>
    <n v="-0.5704923933249153"/>
    <n v="-0.61714473284395932"/>
    <n v="-0.22753526084309836"/>
    <n v="0.69534996709459462"/>
    <x v="0"/>
    <x v="0"/>
    <x v="0"/>
    <x v="0"/>
    <x v="0"/>
    <x v="0"/>
  </r>
  <r>
    <x v="1"/>
    <s v="MPLX"/>
    <n v="52061"/>
    <n v="51.06"/>
    <n v="4.72"/>
    <n v="13.55"/>
    <n v="4.33"/>
    <n v="10.817796610169493"/>
    <n v="3.7682656826568266"/>
    <n v="32.32"/>
    <n v="7.58"/>
    <n v="2.82"/>
    <n v="11.792147806004619"/>
    <s v="NO"/>
    <n v="-0.58813232251209702"/>
    <n v="2.3571793360332465"/>
    <n v="2.6519274779308248"/>
    <n v="0.58172362234960406"/>
    <n v="0.24205396143528002"/>
    <n v="-0.66306887879207888"/>
    <x v="0"/>
    <x v="0"/>
    <x v="0"/>
    <x v="0"/>
    <x v="0"/>
    <x v="0"/>
  </r>
  <r>
    <x v="1"/>
    <s v="CNQ"/>
    <n v="63573"/>
    <n v="31.62"/>
    <n v="3.03"/>
    <n v="13.4"/>
    <n v="2.4700000000000002"/>
    <n v="10.435643564356436"/>
    <n v="2.3597014925373134"/>
    <n v="18.95"/>
    <n v="8.76"/>
    <n v="2.1"/>
    <n v="12.801619433198381"/>
    <s v="NO"/>
    <n v="-0.6177408483232727"/>
    <n v="0.530436086646907"/>
    <n v="0.84699435356177366"/>
    <n v="0.94916898835698182"/>
    <n v="-0.49295525604392071"/>
    <n v="-0.54822674014022443"/>
    <x v="0"/>
    <x v="0"/>
    <x v="0"/>
    <x v="0"/>
    <x v="0"/>
    <x v="0"/>
  </r>
  <r>
    <x v="1"/>
    <s v="EPD"/>
    <n v="66846"/>
    <n v="31.72"/>
    <n v="1.73"/>
    <n v="13.33"/>
    <n v="2.66"/>
    <n v="18.335260115606935"/>
    <n v="2.3795948987246809"/>
    <n v="20.2"/>
    <n v="5.89"/>
    <n v="2.61"/>
    <n v="11.924812030075186"/>
    <s v="NO"/>
    <n v="-5.6928661896718186E-3"/>
    <n v="0.5562355111353221"/>
    <n v="1.0157427758101891"/>
    <n v="5.5467123576325467E-2"/>
    <n v="2.7676273003846431E-2"/>
    <n v="-0.64797638604197971"/>
    <x v="0"/>
    <x v="0"/>
    <x v="0"/>
    <x v="0"/>
    <x v="0"/>
    <x v="0"/>
  </r>
  <r>
    <x v="1"/>
    <s v="CVE"/>
    <n v="23906"/>
    <n v="13.73"/>
    <n v="1.27"/>
    <n v="11.38"/>
    <n v="1.05"/>
    <n v="10.811023622047244"/>
    <n v="1.2065026362038664"/>
    <n v="9.4499999999999993"/>
    <n v="4.9400000000000004"/>
    <n v="1.89"/>
    <n v="13.076190476190476"/>
    <s v="NO"/>
    <n v="-0.58865708136416828"/>
    <n v="-0.96512814875256858"/>
    <n v="-0.43549365552618302"/>
    <n v="-0.24035753549741073"/>
    <n v="-0.70733294447535455"/>
    <n v="-0.5169902745084568"/>
    <x v="0"/>
    <x v="0"/>
    <x v="0"/>
    <x v="0"/>
    <x v="0"/>
    <x v="0"/>
  </r>
  <r>
    <x v="1"/>
    <s v="TRGP"/>
    <n v="34260"/>
    <n v="162.80000000000001"/>
    <n v="2.92"/>
    <n v="11.27"/>
    <n v="5.44"/>
    <n v="55.753424657534254"/>
    <n v="14.445430346051465"/>
    <n v="41.98"/>
    <n v="7.44"/>
    <n v="9.3000000000000007"/>
    <n v="29.926470588235293"/>
    <s v="NO"/>
    <n v="2.8933987485045067"/>
    <n v="16.204214926074492"/>
    <n v="3.9560152850665782"/>
    <n v="0.53812840943347462"/>
    <n v="6.8571369187480906"/>
    <n v="1.3999751486104659"/>
    <x v="0"/>
    <x v="1"/>
    <x v="1"/>
    <x v="0"/>
    <x v="1"/>
    <x v="0"/>
  </r>
  <r>
    <x v="1"/>
    <s v="PAA"/>
    <n v="11633"/>
    <n v="17.399999999999999"/>
    <n v="2.57"/>
    <n v="10.8"/>
    <n v="0.93"/>
    <n v="6.7704280155642023"/>
    <n v="1.6111111111111109"/>
    <n v="9.64"/>
    <n v="4.21"/>
    <n v="3.56"/>
    <n v="18.709677419354836"/>
    <s v="NO"/>
    <n v="-0.90171511038639462"/>
    <n v="-0.4403982107306465"/>
    <n v="-0.40984389534442373"/>
    <n v="-0.46767543141722939"/>
    <n v="0.99748010162223688"/>
    <n v="0.1239011296598676"/>
    <x v="0"/>
    <x v="0"/>
    <x v="0"/>
    <x v="0"/>
    <x v="0"/>
    <x v="0"/>
  </r>
  <r>
    <x v="1"/>
    <s v="CCJ"/>
    <n v="25479"/>
    <n v="66.91"/>
    <n v="1.1599999999999999"/>
    <n v="10.36"/>
    <n v="0.4"/>
    <n v="57.681034482758619"/>
    <n v="6.4584942084942085"/>
    <n v="3.95"/>
    <n v="3.54"/>
    <n v="1.45"/>
    <n v="167.27499999999998"/>
    <s v="NO"/>
    <n v="3.0427464663608523"/>
    <n v="5.8460915441897168"/>
    <n v="-1.1779867134192104"/>
    <n v="-0.67630966465870668"/>
    <n v="-1.1565052440459773"/>
    <n v="17.025376034995745"/>
    <x v="1"/>
    <x v="1"/>
    <x v="0"/>
    <x v="0"/>
    <x v="0"/>
    <x v="1"/>
  </r>
  <r>
    <x v="1"/>
    <s v="WMB"/>
    <n v="73883"/>
    <n v="59.66"/>
    <n v="1.66"/>
    <n v="10.199999999999999"/>
    <n v="1.86"/>
    <n v="35.939759036144579"/>
    <n v="5.8490196078431369"/>
    <n v="16.2"/>
    <n v="3.99"/>
    <n v="4.41"/>
    <n v="32.075268817204297"/>
    <s v="NO"/>
    <n v="1.3582718238537435"/>
    <n v="5.0556741672455283"/>
    <n v="0.47574782461525988"/>
    <n v="-0.53618219457114724"/>
    <n v="1.8651993167018492"/>
    <n v="1.6444323255121314"/>
    <x v="0"/>
    <x v="1"/>
    <x v="0"/>
    <x v="0"/>
    <x v="0"/>
    <x v="0"/>
  </r>
  <r>
    <x v="1"/>
    <s v="AETUF"/>
    <n v="12198"/>
    <n v="21.53"/>
    <n v="1.1000000000000001"/>
    <n v="9.6199999999999992"/>
    <n v="1.57"/>
    <n v="19.572727272727271"/>
    <n v="2.2380457380457384"/>
    <n v="17.23"/>
    <n v="8.7200000000000006"/>
    <n v="1.61"/>
    <n v="13.713375796178344"/>
    <s v="NO"/>
    <n v="9.0183847769591305E-2"/>
    <n v="0.3726627811594016"/>
    <n v="0.6147965245479543"/>
    <n v="0.93671321323808798"/>
    <n v="-0.99316986238393257"/>
    <n v="-0.4445011397039505"/>
    <x v="0"/>
    <x v="0"/>
    <x v="0"/>
    <x v="0"/>
    <x v="0"/>
    <x v="0"/>
  </r>
  <r>
    <x v="1"/>
    <s v="ET"/>
    <n v="59987"/>
    <n v="17.71"/>
    <n v="1.68"/>
    <n v="9.16"/>
    <n v="1.32"/>
    <n v="10.541666666666668"/>
    <n v="1.9334061135371179"/>
    <n v="14.48"/>
    <n v="4.8"/>
    <n v="4.0199999999999996"/>
    <n v="13.416666666666666"/>
    <s v="NO"/>
    <n v="-0.60952637039165092"/>
    <n v="-2.2419233185641596E-2"/>
    <n v="0.24354999560144053"/>
    <n v="-0.28395274841354051"/>
    <n v="1.4670693239006147"/>
    <n v="-0.47825613595419247"/>
    <x v="0"/>
    <x v="0"/>
    <x v="0"/>
    <x v="0"/>
    <x v="0"/>
    <x v="0"/>
  </r>
  <r>
    <x v="1"/>
    <s v="WES"/>
    <n v="14262"/>
    <n v="37.340000000000003"/>
    <n v="3.9"/>
    <n v="8.35"/>
    <n v="3.34"/>
    <n v="9.5743589743589759"/>
    <n v="4.4718562874251502"/>
    <n v="39.99"/>
    <n v="7.86"/>
    <n v="3.91"/>
    <n v="11.179640718562876"/>
    <s v="NO"/>
    <n v="-0.68447161834618786"/>
    <n v="3.2696541785770812"/>
    <n v="3.6873677968471017"/>
    <n v="0.66891404818186329"/>
    <n v="1.3547762490079596"/>
    <n v="-0.73275050427448252"/>
    <x v="0"/>
    <x v="0"/>
    <x v="1"/>
    <x v="0"/>
    <x v="0"/>
    <x v="0"/>
  </r>
  <r>
    <x v="1"/>
    <s v="PBR"/>
    <n v="74368"/>
    <n v="11.23"/>
    <n v="1.6"/>
    <n v="5.38"/>
    <n v="0.65"/>
    <n v="7.0187499999999998"/>
    <n v="2.0873605947955394"/>
    <n v="12.02"/>
    <n v="8.66"/>
    <n v="2.9"/>
    <n v="17.276923076923076"/>
    <s v="NO"/>
    <n v="-0.88247557280791789"/>
    <n v="0.17724174877339502"/>
    <n v="-8.8546899383441027E-2"/>
    <n v="0.91802955055974655"/>
    <n v="0.32372165226630245"/>
    <n v="-3.9095598940620618E-2"/>
    <x v="0"/>
    <x v="0"/>
    <x v="0"/>
    <x v="0"/>
    <x v="0"/>
    <x v="0"/>
  </r>
  <r>
    <x v="1"/>
    <s v="CQP"/>
    <n v="27770"/>
    <n v="56.74"/>
    <n v="5.76"/>
    <n v="4.24"/>
    <n v="4.16"/>
    <n v="9.8506944444444446"/>
    <n v="13.382075471698114"/>
    <n v="-410.82"/>
    <n v="11.68"/>
    <n v="8.33"/>
    <n v="13.639423076923077"/>
    <s v="NO"/>
    <n v="-0.66306164663927281"/>
    <n v="14.825167842489165"/>
    <n v="-57.171413190199402"/>
    <n v="1.8584405720362558"/>
    <n v="5.8669161674219437"/>
    <n v="-0.45291434143207088"/>
    <x v="0"/>
    <x v="1"/>
    <x v="1"/>
    <x v="0"/>
    <x v="1"/>
    <x v="0"/>
  </r>
  <r>
    <x v="1"/>
    <s v="BP"/>
    <n v="75667"/>
    <n v="29.46"/>
    <n v="0.63"/>
    <n v="3.69"/>
    <n v="-7.0000000000000007E-2"/>
    <n v="46.761904761904766"/>
    <n v="7.9837398373983746"/>
    <n v="-0.24"/>
    <n v="2.0299999999999998"/>
    <n v="4.83"/>
    <n v="-420.85714285714283"/>
    <s v="NO"/>
    <n v="2.1967520729689713"/>
    <n v="7.8241569925384375"/>
    <n v="-1.7436314247958988"/>
    <n v="-1.1465151753969614"/>
    <n v="2.2939546935647166"/>
    <n v="-49.883243559765731"/>
    <x v="0"/>
    <x v="1"/>
    <x v="0"/>
    <x v="0"/>
    <x v="0"/>
    <x v="1"/>
  </r>
  <r>
    <x v="1"/>
    <s v="VG"/>
    <n v="27998"/>
    <n v="15.74"/>
    <n v="-4.8899999999999997"/>
    <n v="2.02"/>
    <n v="0.47"/>
    <n v="-3.2188139059304706"/>
    <n v="7.7920792079207919"/>
    <n v="30.72"/>
    <n v="3.06"/>
    <n v="9.23"/>
    <n v="33.48936170212766"/>
    <s v="NO"/>
    <n v="-1.6756634813522446"/>
    <n v="7.5755955400130786"/>
    <n v="2.4359294974528529"/>
    <n v="-0.82577896608543655"/>
    <n v="6.7856776892709458"/>
    <n v="1.8053060408125006"/>
    <x v="0"/>
    <x v="1"/>
    <x v="0"/>
    <x v="0"/>
    <x v="1"/>
    <x v="0"/>
  </r>
  <r>
    <x v="1"/>
    <s v="EC"/>
    <n v="17413"/>
    <n v="8.93"/>
    <n v="0.14000000000000001"/>
    <n v="0.45"/>
    <n v="0.08"/>
    <n v="63.785714285714278"/>
    <n v="19.844444444444445"/>
    <n v="19.11"/>
    <n v="7.63"/>
    <n v="3.88"/>
    <n v="111.625"/>
    <s v="NO"/>
    <n v="3.5157260003332067"/>
    <n v="23.206105664716819"/>
    <n v="0.86859415160957087"/>
    <n v="0.59729334124822175"/>
    <n v="1.3241508649463261"/>
    <n v="10.694375892136854"/>
    <x v="1"/>
    <x v="1"/>
    <x v="0"/>
    <x v="0"/>
    <x v="0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s v="VAL"/>
    <n v="2674"/>
    <n v="43.58"/>
    <n v="1.1299999999999999"/>
    <n v="31.04"/>
    <n v="4.29"/>
    <n v="38.56637168141593"/>
    <n v="1.4039948453608246"/>
    <n v="14.38"/>
    <n v="6.95"/>
    <n v="1.99"/>
    <n v="10.158508158508159"/>
    <s v="NO"/>
    <n v="1.5990844376760622"/>
    <n v="-0.71826620639295335"/>
    <n v="-0.39535419864918109"/>
    <n v="-2.0479096695566339E-2"/>
    <n v="-0.61005149723223784"/>
    <n v="-0.70060942588024888"/>
    <x v="0"/>
    <x v="0"/>
    <x v="0"/>
    <x v="0"/>
    <x v="0"/>
    <x v="0"/>
  </r>
  <r>
    <x v="0"/>
    <s v="NOV"/>
    <n v="4509"/>
    <n v="12.85"/>
    <n v="2.96"/>
    <n v="17.03"/>
    <n v="1.5"/>
    <n v="4.3412162162162158"/>
    <n v="0.7545507927187316"/>
    <n v="9.18"/>
    <n v="5.46"/>
    <n v="1.75"/>
    <n v="8.5666666666666664"/>
    <s v="NO"/>
    <n v="-0.97983898142527581"/>
    <n v="-1.3935285929080417"/>
    <n v="-0.51227965481160076"/>
    <n v="-0.66287602461965511"/>
    <n v="-0.82571618365149058"/>
    <n v="-0.78524581318032238"/>
    <x v="0"/>
    <x v="0"/>
    <x v="0"/>
    <x v="0"/>
    <x v="0"/>
    <x v="0"/>
  </r>
  <r>
    <x v="0"/>
    <s v="WHD"/>
    <n v="2807"/>
    <n v="45.67"/>
    <n v="3.43"/>
    <n v="16.2"/>
    <n v="2.83"/>
    <n v="13.314868804664723"/>
    <n v="2.8191358024691362"/>
    <n v="19.7"/>
    <n v="11.16"/>
    <n v="1.6"/>
    <n v="16.137809187279153"/>
    <s v="NO"/>
    <n v="-0.30365906344768029"/>
    <n v="0.75313299429974856"/>
    <n v="-0.27573046272916729"/>
    <n v="1.7946155788483351"/>
    <n v="-0.96050661266352344"/>
    <n v="-0.38269684460348147"/>
    <x v="0"/>
    <x v="0"/>
    <x v="1"/>
    <x v="0"/>
    <x v="0"/>
    <x v="0"/>
  </r>
  <r>
    <x v="0"/>
    <s v="KGS"/>
    <n v="3102"/>
    <n v="35.049999999999997"/>
    <n v="0.42"/>
    <n v="15.3"/>
    <n v="0.54"/>
    <n v="83.452380952380949"/>
    <n v="2.2908496732026142"/>
    <n v="4.09"/>
    <n v="6.11"/>
    <n v="3.3"/>
    <n v="64.907407407407405"/>
    <s v="NO"/>
    <n v="4.9813212434838334"/>
    <n v="0.20384510574328193"/>
    <n v="-0.62673168786289224"/>
    <n v="-0.38263575404874378"/>
    <n v="0.56711824947284983"/>
    <n v="2.2103267853137862"/>
    <x v="1"/>
    <x v="0"/>
    <x v="0"/>
    <x v="0"/>
    <x v="0"/>
    <x v="0"/>
  </r>
  <r>
    <x v="0"/>
    <s v="TRRVF"/>
    <n v="2536"/>
    <n v="120.45"/>
    <n v="3.01"/>
    <n v="15.14"/>
    <n v="2.8"/>
    <n v="40.016611295681066"/>
    <n v="7.9557463672391018"/>
    <n v="24.68"/>
    <n v="5.92"/>
    <n v="4.68"/>
    <n v="43.017857142857146"/>
    <s v="NO"/>
    <n v="1.7083624483585778"/>
    <n v="6.0939470250915555"/>
    <n v="-0.16375185278900392"/>
    <n v="-0.46455214083101026"/>
    <n v="1.807190196383553"/>
    <n v="1.0464844910212225"/>
    <x v="0"/>
    <x v="1"/>
    <x v="0"/>
    <x v="0"/>
    <x v="0"/>
    <x v="0"/>
  </r>
  <r>
    <x v="0"/>
    <s v="THNPY"/>
    <n v="6725"/>
    <n v="39.151000000000003"/>
    <n v="5.78"/>
    <n v="13.34"/>
    <n v="2.41"/>
    <n v="6.7735294117647058"/>
    <n v="2.9348575712143932"/>
    <n v="19.82"/>
    <n v="3.15"/>
    <n v="4.25"/>
    <n v="16.245228215767636"/>
    <s v="NO"/>
    <n v="-0.79656006340933361"/>
    <n v="0.87345522593273817"/>
    <n v="-0.273032182971573"/>
    <n v="-1.6588068323408931"/>
    <n v="1.4207909665490588"/>
    <n v="-0.3769854979994729"/>
    <x v="0"/>
    <x v="0"/>
    <x v="0"/>
    <x v="0"/>
    <x v="0"/>
    <x v="0"/>
  </r>
  <r>
    <x v="0"/>
    <s v="CHX"/>
    <n v="4608"/>
    <n v="25.1"/>
    <n v="1.8"/>
    <n v="10.01"/>
    <n v="1.51"/>
    <n v="13.944444444444445"/>
    <n v="2.5074925074925076"/>
    <n v="16.829999999999998"/>
    <n v="9.44"/>
    <n v="1.83"/>
    <n v="16.622516556291391"/>
    <s v="NO"/>
    <n v="-0.25621947290514668"/>
    <n v="0.42910047101892129"/>
    <n v="-0.34026432026496428"/>
    <n v="1.0530567090299239"/>
    <n v="-0.75382795484507292"/>
    <n v="-0.35692550944154794"/>
    <x v="0"/>
    <x v="0"/>
    <x v="0"/>
    <x v="0"/>
    <x v="0"/>
    <x v="0"/>
  </r>
  <r>
    <x v="0"/>
    <s v="PTEN"/>
    <n v="2131"/>
    <n v="5.93"/>
    <n v="1.03"/>
    <n v="8.8800000000000008"/>
    <n v="-2.61"/>
    <n v="5.7572815533980579"/>
    <n v="0.66779279279279269"/>
    <n v="-24.84"/>
    <n v="0.57999999999999996"/>
    <n v="1.68"/>
    <n v="-2.2720306513409962"/>
    <s v="NO"/>
    <n v="-0.87313606038963054"/>
    <n v="-1.4837356151156207"/>
    <n v="-1.2772419660895842"/>
    <n v="-2.7668337482904959"/>
    <n v="-0.88861838385710601"/>
    <n v="-1.3615269245452146"/>
    <x v="0"/>
    <x v="0"/>
    <x v="1"/>
    <x v="1"/>
    <x v="0"/>
    <x v="0"/>
  </r>
  <r>
    <x v="0"/>
    <s v="AROC"/>
    <n v="4403"/>
    <n v="25.99"/>
    <n v="-0.12"/>
    <n v="7.69"/>
    <n v="1.2"/>
    <n v="-216.58333333333331"/>
    <n v="3.379713914174252"/>
    <n v="18.149999999999999"/>
    <n v="7.79"/>
    <n v="2.94"/>
    <n v="21.658333333333331"/>
    <s v="NO"/>
    <n v="-17.626877890191341"/>
    <n v="1.3359966174219227"/>
    <n v="-0.31058324293142697"/>
    <n v="0.34167756065761107"/>
    <n v="0.24362121984397087"/>
    <n v="-8.9176904257955103E-2"/>
    <x v="1"/>
    <x v="0"/>
    <x v="0"/>
    <x v="0"/>
    <x v="0"/>
    <x v="0"/>
  </r>
  <r>
    <x v="0"/>
    <s v="USAC"/>
    <n v="2963"/>
    <n v="25.67"/>
    <n v="1.6"/>
    <n v="-1.54"/>
    <n v="0.67"/>
    <n v="16.043749999999999"/>
    <n v="-16.668831168831169"/>
    <n v="148.57"/>
    <n v="7.11"/>
    <n v="-15.01"/>
    <n v="38.313432835820898"/>
    <s v="NO"/>
    <n v="-9.8033244457574206E-2"/>
    <n v="-19.509568668501718"/>
    <n v="2.6219971402806421"/>
    <n v="4.8503123752658008E-2"/>
    <n v="-15.886300118595972"/>
    <n v="0.79635564357323396"/>
    <x v="0"/>
    <x v="1"/>
    <x v="0"/>
    <x v="1"/>
    <x v="1"/>
    <x v="0"/>
  </r>
  <r>
    <x v="1"/>
    <s v="CHRD"/>
    <n v="5198"/>
    <n v="97.49"/>
    <n v="19.21"/>
    <n v="148.09"/>
    <n v="15.19"/>
    <n v="5.0749609578344606"/>
    <n v="0.65831588898642712"/>
    <n v="12.69"/>
    <n v="7.82"/>
    <n v="1.52"/>
    <n v="6.4180381830151418"/>
    <s v="YES"/>
    <n v="-0.20931207543423755"/>
    <n v="-0.95573721138177492"/>
    <n v="-0.16036664097820449"/>
    <n v="0.54152031155065583"/>
    <n v="-0.81336725862549786"/>
    <n v="-0.25242798966478036"/>
    <x v="0"/>
    <x v="0"/>
    <x v="0"/>
    <x v="0"/>
    <x v="0"/>
    <x v="0"/>
  </r>
  <r>
    <x v="1"/>
    <s v="DELKY"/>
    <n v="3275"/>
    <n v="18.295000000000002"/>
    <n v="42.16"/>
    <n v="117.56"/>
    <n v="15.65"/>
    <n v="0.43394212523719172"/>
    <n v="0.15562266076896905"/>
    <n v="11.14"/>
    <n v="6.74"/>
    <n v="6.12"/>
    <n v="1.1690095846645367"/>
    <s v="NO"/>
    <n v="-0.66396354427117121"/>
    <n v="-1.3574779045616208"/>
    <n v="-0.1809390712419382"/>
    <n v="0.30762096085688362"/>
    <n v="4.798256866746371"/>
    <n v="-0.7048949386738228"/>
    <x v="0"/>
    <x v="0"/>
    <x v="0"/>
    <x v="0"/>
    <x v="1"/>
    <x v="0"/>
  </r>
  <r>
    <x v="1"/>
    <s v="GPOR"/>
    <n v="3402"/>
    <n v="188.13"/>
    <n v="10.63"/>
    <n v="92.92"/>
    <n v="-17.28"/>
    <n v="17.698024459078081"/>
    <n v="2.0246448557899268"/>
    <n v="-16.02"/>
    <n v="1.34"/>
    <n v="1.78"/>
    <n v="-10.887152777777777"/>
    <s v="NO"/>
    <n v="1.0272901813272393"/>
    <n v="0.13620100346501388"/>
    <n v="-0.54142113960516924"/>
    <n v="-0.86187579261197778"/>
    <n v="-0.49618850371317486"/>
    <n v="-1.7441377049651028"/>
    <x v="0"/>
    <x v="0"/>
    <x v="0"/>
    <x v="0"/>
    <x v="0"/>
    <x v="0"/>
  </r>
  <r>
    <x v="1"/>
    <s v="CNR"/>
    <n v="3649"/>
    <n v="67.86"/>
    <n v="2.5499999999999998"/>
    <n v="74.010000000000005"/>
    <n v="3.3"/>
    <n v="26.611764705882354"/>
    <n v="0.91690312119983775"/>
    <n v="4.3600000000000003"/>
    <n v="2.81"/>
    <n v="1.6"/>
    <n v="20.563636363636366"/>
    <s v="NO"/>
    <n v="1.9005133338763658"/>
    <n v="-0.74908033182672717"/>
    <n v="-0.27092686297620577"/>
    <n v="-0.54351278750100995"/>
    <n v="-0.71577379557555221"/>
    <n v="0.96692441636035364"/>
    <x v="0"/>
    <x v="0"/>
    <x v="0"/>
    <x v="0"/>
    <x v="0"/>
    <x v="0"/>
  </r>
  <r>
    <x v="1"/>
    <s v="CIVI"/>
    <n v="2534"/>
    <n v="29.46"/>
    <n v="9"/>
    <n v="72.42"/>
    <n v="8.73"/>
    <n v="3.2733333333333334"/>
    <n v="0.40679370339685172"/>
    <n v="12.72"/>
    <n v="6.5"/>
    <n v="2.29"/>
    <n v="3.3745704467353952"/>
    <s v="NO"/>
    <n v="-0.38580621935440562"/>
    <n v="-1.1567478706006702"/>
    <n v="-0.15996846490858382"/>
    <n v="0.25564332736937861"/>
    <n v="0.12596982323022796"/>
    <n v="-0.51477530502798263"/>
    <x v="0"/>
    <x v="0"/>
    <x v="0"/>
    <x v="0"/>
    <x v="0"/>
    <x v="0"/>
  </r>
  <r>
    <x v="1"/>
    <s v="STNG"/>
    <n v="2027"/>
    <n v="39.67"/>
    <n v="14.01"/>
    <n v="61.85"/>
    <n v="10.31"/>
    <n v="2.8315488936473949"/>
    <n v="0.64139046079223927"/>
    <n v="18.059999999999999"/>
    <n v="6.34"/>
    <n v="1.36"/>
    <n v="3.8477206595538314"/>
    <s v="YES"/>
    <n v="-0.42908506644757871"/>
    <n v="-0.96926361848936637"/>
    <n v="-8.9093124516107652E-2"/>
    <n v="0.22099157171104195"/>
    <n v="-1.0085541847253889"/>
    <n v="-0.47398969504212579"/>
    <x v="0"/>
    <x v="0"/>
    <x v="0"/>
    <x v="0"/>
    <x v="0"/>
    <x v="0"/>
  </r>
  <r>
    <x v="1"/>
    <s v="DINO"/>
    <n v="6807"/>
    <n v="36.69"/>
    <n v="1.25"/>
    <n v="48.76"/>
    <n v="-0.75"/>
    <n v="29.351999999999997"/>
    <n v="0.75246103363412631"/>
    <n v="-1.38"/>
    <n v="-0.18"/>
    <n v="1.8"/>
    <n v="-48.919999999999995"/>
    <s v="NO"/>
    <n v="2.1689569766124959"/>
    <n v="-0.88049860949250836"/>
    <n v="-0.34711121763029068"/>
    <n v="-1.1910674713661757"/>
    <n v="-0.47179013795068847"/>
    <n v="-5.0225740903514122"/>
    <x v="0"/>
    <x v="0"/>
    <x v="0"/>
    <x v="0"/>
    <x v="0"/>
    <x v="1"/>
  </r>
  <r>
    <x v="1"/>
    <s v="PBF"/>
    <n v="2203"/>
    <n v="19"/>
    <n v="-8.68"/>
    <n v="44.22"/>
    <n v="-9.16"/>
    <n v="-2.1889400921658986"/>
    <n v="0.42966983265490727"/>
    <n v="-17.79"/>
    <n v="-5.43"/>
    <n v="2.5499999999999998"/>
    <n v="-2.0742358078602621"/>
    <s v="NO"/>
    <n v="-0.92091084307392712"/>
    <n v="-1.1384658021153009"/>
    <n v="-0.56491352771278769"/>
    <n v="-2.3280782039053465"/>
    <n v="0.44314857814255071"/>
    <n v="-0.98446311403191633"/>
    <x v="0"/>
    <x v="0"/>
    <x v="1"/>
    <x v="0"/>
    <x v="0"/>
    <x v="0"/>
  </r>
  <r>
    <x v="1"/>
    <s v="MTDR"/>
    <n v="5385"/>
    <n v="46.66"/>
    <n v="4.4000000000000004"/>
    <n v="42.23"/>
    <n v="7.44"/>
    <n v="10.604545454545454"/>
    <n v="1.1049017286289369"/>
    <n v="19.850000000000001"/>
    <n v="9.74"/>
    <n v="2.1"/>
    <n v="6.2715053763440851"/>
    <s v="NO"/>
    <n v="0.33238659120975278"/>
    <n v="-0.5988362333867534"/>
    <n v="-6.5335285695408668E-2"/>
    <n v="0.95734137945069542"/>
    <n v="-0.10581465151339263"/>
    <n v="-0.26505913668977821"/>
    <x v="0"/>
    <x v="0"/>
    <x v="0"/>
    <x v="0"/>
    <x v="0"/>
    <x v="0"/>
  </r>
  <r>
    <x v="1"/>
    <s v="CRC"/>
    <n v="3939"/>
    <n v="44.76"/>
    <n v="5.35"/>
    <n v="39.43"/>
    <n v="5.76"/>
    <n v="8.3663551401869167"/>
    <n v="1.1351762617296475"/>
    <n v="17.86"/>
    <n v="10.26"/>
    <n v="1.94"/>
    <n v="7.770833333333333"/>
    <s v="NO"/>
    <n v="0.11312514223385496"/>
    <n v="-0.57464153325780254"/>
    <n v="-9.1747631646911992E-2"/>
    <n v="1.0699595853402895"/>
    <n v="-0.30100157761328389"/>
    <n v="-0.13581687146835086"/>
    <x v="0"/>
    <x v="0"/>
    <x v="0"/>
    <x v="0"/>
    <x v="0"/>
    <x v="0"/>
  </r>
  <r>
    <x v="1"/>
    <s v="OVV"/>
    <n v="9307"/>
    <n v="38.81"/>
    <n v="5.34"/>
    <n v="38.61"/>
    <n v="2.38"/>
    <n v="7.2677902621722854"/>
    <n v="1.0051800051800053"/>
    <n v="6.17"/>
    <n v="6.96"/>
    <n v="1.95"/>
    <n v="16.306722689075631"/>
    <s v="NO"/>
    <n v="5.5056402628831901E-3"/>
    <n v="-0.67853150687496577"/>
    <n v="-0.24690357344242639"/>
    <n v="0.35526712488709644"/>
    <n v="-0.28880239473204067"/>
    <n v="0.59997790303241949"/>
    <x v="0"/>
    <x v="0"/>
    <x v="0"/>
    <x v="0"/>
    <x v="0"/>
    <x v="0"/>
  </r>
  <r>
    <x v="1"/>
    <s v="SM"/>
    <n v="2681"/>
    <n v="25.59"/>
    <n v="-13.29"/>
    <n v="38.47"/>
    <n v="7.14"/>
    <n v="-1.9255079006772011"/>
    <n v="0.66519365739537306"/>
    <n v="20.28"/>
    <n v="9.66"/>
    <n v="2"/>
    <n v="3.5840336134453783"/>
    <s v="NO"/>
    <n v="-0.89510404566167856"/>
    <n v="-0.95024065942316138"/>
    <n v="-5.9628095364179311E-2"/>
    <n v="0.94001550162152714"/>
    <n v="-0.22780648032582468"/>
    <n v="-0.49671955276920865"/>
    <x v="0"/>
    <x v="0"/>
    <x v="0"/>
    <x v="0"/>
    <x v="0"/>
    <x v="0"/>
  </r>
  <r>
    <x v="1"/>
    <s v="MUR"/>
    <n v="2987"/>
    <n v="23.02"/>
    <n v="4.07"/>
    <n v="35.880000000000003"/>
    <n v="2.63"/>
    <n v="5.6560196560196552"/>
    <n v="0.64158305462653287"/>
    <n v="8.61"/>
    <n v="3.51"/>
    <n v="1.92"/>
    <n v="8.7528517110266169"/>
    <s v="NO"/>
    <n v="-0.15238940389607195"/>
    <n v="-0.96910970199288682"/>
    <n v="-0.21451858644661329"/>
    <n v="-0.39191135649578723"/>
    <n v="-0.32539994337577027"/>
    <n v="-5.1166759376122771E-2"/>
    <x v="0"/>
    <x v="0"/>
    <x v="0"/>
    <x v="0"/>
    <x v="0"/>
    <x v="0"/>
  </r>
  <r>
    <x v="1"/>
    <s v="SUN"/>
    <n v="7354"/>
    <n v="52.45"/>
    <n v="0.11"/>
    <n v="30.49"/>
    <n v="5.21"/>
    <n v="476.81818181818187"/>
    <n v="1.7202361429977044"/>
    <n v="32.25"/>
    <n v="5.4"/>
    <n v="3.45"/>
    <n v="10.067178502879079"/>
    <s v="NO"/>
    <n v="46.004408664413191"/>
    <n v="-0.10707533371737128"/>
    <n v="9.924415641446116E-2"/>
    <n v="1.7412507218314353E-2"/>
    <n v="1.5410750374544384"/>
    <n v="6.212838130899271E-2"/>
    <x v="1"/>
    <x v="0"/>
    <x v="0"/>
    <x v="0"/>
    <x v="0"/>
    <x v="0"/>
  </r>
  <r>
    <x v="1"/>
    <s v="CNX"/>
    <n v="4672"/>
    <n v="31.99"/>
    <n v="2.29"/>
    <n v="25.92"/>
    <n v="-1.97"/>
    <n v="13.969432314410479"/>
    <n v="1.2341820987654319"/>
    <n v="-7.3"/>
    <n v="-2.11"/>
    <n v="2.4"/>
    <n v="-16.238578680203045"/>
    <s v="NO"/>
    <n v="0.66202342495032507"/>
    <n v="-0.49551837947940919"/>
    <n v="-0.4256846287020995"/>
    <n v="-1.6090542739948612"/>
    <n v="0.26016083492390291"/>
    <n v="-2.2054313149254634"/>
    <x v="0"/>
    <x v="0"/>
    <x v="0"/>
    <x v="0"/>
    <x v="0"/>
    <x v="0"/>
  </r>
  <r>
    <x v="1"/>
    <s v="NOG"/>
    <n v="2624"/>
    <n v="29.81"/>
    <n v="-1.22"/>
    <n v="24.45"/>
    <n v="6.43"/>
    <n v="-24.434426229508198"/>
    <n v="1.2192229038854805"/>
    <n v="29.41"/>
    <n v="12.36"/>
    <n v="2.36"/>
    <n v="4.6360808709175743"/>
    <s v="NO"/>
    <n v="-3.1001614154475412"/>
    <n v="-0.50747341882178199"/>
    <n v="6.1550155157039356E-2"/>
    <n v="1.5247638783559576"/>
    <n v="0.21136410339893011"/>
    <n v="-0.40603294211683894"/>
    <x v="1"/>
    <x v="0"/>
    <x v="0"/>
    <x v="0"/>
    <x v="0"/>
    <x v="0"/>
  </r>
  <r>
    <x v="1"/>
    <s v="VNOM"/>
    <n v="5203"/>
    <n v="41.31"/>
    <n v="-4.45"/>
    <n v="20.36"/>
    <n v="3.82"/>
    <n v="-9.2831460674157302"/>
    <n v="2.0289783889980355"/>
    <n v="16.059999999999999"/>
    <n v="7.72"/>
    <n v="2.33"/>
    <n v="10.814136125654452"/>
    <s v="NO"/>
    <n v="-1.6158856499471088"/>
    <n v="0.13966426204344526"/>
    <n v="-0.11563819582415118"/>
    <n v="0.51986296426419532"/>
    <n v="0.17476655475520078"/>
    <n v="0.12651622570412918"/>
    <x v="0"/>
    <x v="0"/>
    <x v="0"/>
    <x v="0"/>
    <x v="0"/>
    <x v="0"/>
  </r>
  <r>
    <x v="1"/>
    <s v="STHRF"/>
    <n v="4542"/>
    <n v="21.84"/>
    <n v="2.27"/>
    <n v="19.38"/>
    <n v="2.2999999999999998"/>
    <n v="9.6211453744493394"/>
    <n v="1.126934984520124"/>
    <n v="12.43"/>
    <n v="6.91"/>
    <n v="1.93"/>
    <n v="9.4956521739130437"/>
    <s v="NO"/>
    <n v="0.23604906124117861"/>
    <n v="-0.58122776962024858"/>
    <n v="-0.16381750024825015"/>
    <n v="0.34443845124386624"/>
    <n v="-0.31320076049452711"/>
    <n v="1.286273729500147E-2"/>
    <x v="0"/>
    <x v="0"/>
    <x v="0"/>
    <x v="0"/>
    <x v="0"/>
    <x v="0"/>
  </r>
  <r>
    <x v="1"/>
    <s v="GLNG"/>
    <n v="4309"/>
    <n v="41.71"/>
    <n v="-0.82"/>
    <n v="19.05"/>
    <n v="0.03"/>
    <n v="-50.865853658536587"/>
    <n v="2.1895013123359579"/>
    <n v="1.08"/>
    <n v="0.52"/>
    <n v="2.19"/>
    <n v="1390.3333333333335"/>
    <s v="NO"/>
    <n v="-5.6894823679202569"/>
    <n v="0.26795043514688588"/>
    <n v="-0.31446077992139709"/>
    <n v="-1.039466040360953"/>
    <n v="3.9779944177959249E-3"/>
    <n v="119.04125074555404"/>
    <x v="1"/>
    <x v="0"/>
    <x v="0"/>
    <x v="0"/>
    <x v="0"/>
    <x v="1"/>
  </r>
  <r>
    <x v="1"/>
    <s v="VIST"/>
    <n v="5223"/>
    <n v="49.31"/>
    <n v="-2.41"/>
    <n v="16.73"/>
    <n v="4.66"/>
    <n v="-20.460580912863069"/>
    <n v="2.9473998804542738"/>
    <n v="32.69"/>
    <n v="10.95"/>
    <n v="2.73"/>
    <n v="10.581545064377682"/>
    <s v="NO"/>
    <n v="-2.710868746033317"/>
    <n v="0.87364527849208329"/>
    <n v="0.1050840721022307"/>
    <n v="1.2193952816168661"/>
    <n v="0.66273387000492834"/>
    <n v="0.10646684592064991"/>
    <x v="0"/>
    <x v="0"/>
    <x v="0"/>
    <x v="0"/>
    <x v="0"/>
    <x v="0"/>
  </r>
  <r>
    <x v="1"/>
    <s v="CRGY"/>
    <n v="2142"/>
    <n v="9.08"/>
    <n v="-5.01"/>
    <n v="16.7"/>
    <n v="-0.6"/>
    <n v="-1.8123752495009982"/>
    <n v="0.54371257485029945"/>
    <n v="-2.4900000000000002"/>
    <n v="1.4"/>
    <n v="3.03"/>
    <n v="-15.133333333333335"/>
    <s v="NO"/>
    <n v="-0.88402115031348361"/>
    <n v="-1.0473255047530932"/>
    <n v="-0.36184373220625482"/>
    <n v="-0.84888138424010151"/>
    <n v="1.0287093564422238"/>
    <n v="-2.110159022036505"/>
    <x v="0"/>
    <x v="0"/>
    <x v="0"/>
    <x v="0"/>
    <x v="0"/>
    <x v="0"/>
  </r>
  <r>
    <x v="1"/>
    <s v="RRC"/>
    <n v="9091"/>
    <n v="38.81"/>
    <n v="1.29"/>
    <n v="16.420000000000002"/>
    <n v="1.1100000000000001"/>
    <n v="30.085271317829459"/>
    <n v="2.3635809987819729"/>
    <n v="6.99"/>
    <n v="3.44"/>
    <n v="1.87"/>
    <n v="34.963963963963963"/>
    <s v="NO"/>
    <n v="2.2407909625824658"/>
    <n v="0.40707085685883188"/>
    <n v="-0.23602009420612854"/>
    <n v="-0.40707149959630945"/>
    <n v="-0.38639585778198604"/>
    <n v="2.2082345315497323"/>
    <x v="0"/>
    <x v="0"/>
    <x v="0"/>
    <x v="0"/>
    <x v="0"/>
    <x v="0"/>
  </r>
  <r>
    <x v="1"/>
    <s v="NATKY"/>
    <n v="9892"/>
    <n v="41.21"/>
    <n v="3.55"/>
    <n v="16.14"/>
    <n v="4.3"/>
    <n v="11.608450704225353"/>
    <n v="2.5532837670384136"/>
    <n v="31.62"/>
    <n v="15.05"/>
    <n v="1.78"/>
    <n v="9.583720930232559"/>
    <s v="NO"/>
    <n v="0.43073288386735942"/>
    <n v="0.55867688085028733"/>
    <n v="9.0882458952427456E-2"/>
    <n v="2.1073465203617423"/>
    <n v="-0.49618850371317486"/>
    <n v="2.0454275563136139E-2"/>
    <x v="0"/>
    <x v="0"/>
    <x v="0"/>
    <x v="0"/>
    <x v="0"/>
    <x v="0"/>
  </r>
  <r>
    <x v="1"/>
    <s v="ARLP"/>
    <n v="3343"/>
    <n v="25.83"/>
    <n v="2.5299999999999998"/>
    <n v="14.1"/>
    <n v="2.13"/>
    <n v="10.209486166007904"/>
    <n v="1.8319148936170213"/>
    <n v="15"/>
    <n v="7.49"/>
    <n v="1.6"/>
    <n v="12.126760563380282"/>
    <s v="NO"/>
    <n v="0.29368511373465439"/>
    <n v="-1.78242832380218E-2"/>
    <n v="-0.12970708361741423"/>
    <n v="0.47005106550533654"/>
    <n v="-0.71577379557555221"/>
    <n v="0.23966462324175028"/>
    <x v="0"/>
    <x v="0"/>
    <x v="0"/>
    <x v="0"/>
    <x v="0"/>
    <x v="0"/>
  </r>
  <r>
    <x v="1"/>
    <s v="PR"/>
    <n v="8837"/>
    <n v="13.78"/>
    <n v="0.92"/>
    <n v="13.31"/>
    <n v="1.62"/>
    <n v="14.978260869565217"/>
    <n v="1.0353117956423741"/>
    <n v="14.01"/>
    <n v="8.01"/>
    <n v="1.82"/>
    <n v="8.5061728395061724"/>
    <s v="NO"/>
    <n v="0.76085202292631271"/>
    <n v="-0.65445088333041024"/>
    <n v="-0.14284689391489577"/>
    <n v="0.58266927139493052"/>
    <n v="-0.44739177218820203"/>
    <n v="-7.2430510237933926E-2"/>
    <x v="0"/>
    <x v="0"/>
    <x v="0"/>
    <x v="0"/>
    <x v="0"/>
    <x v="0"/>
  </r>
  <r>
    <x v="1"/>
    <s v="PKIUF"/>
    <n v="4901"/>
    <n v="28.21"/>
    <n v="4.05"/>
    <n v="12.59"/>
    <n v="0.77"/>
    <n v="6.965432098765433"/>
    <n v="2.2406671961874505"/>
    <n v="6.21"/>
    <n v="3.78"/>
    <n v="4.42"/>
    <n v="36.636363636363633"/>
    <s v="NO"/>
    <n v="-2.4114490158098443E-2"/>
    <n v="0.30884101511062895"/>
    <n v="-0.2463726720162655"/>
    <n v="-0.33343651882234415"/>
    <n v="2.7243957769350278"/>
    <n v="2.352395601186918"/>
    <x v="0"/>
    <x v="0"/>
    <x v="0"/>
    <x v="0"/>
    <x v="0"/>
    <x v="0"/>
  </r>
  <r>
    <x v="1"/>
    <s v="LEU"/>
    <n v="2162"/>
    <n v="146.08000000000001"/>
    <n v="3.83"/>
    <n v="12.56"/>
    <n v="6.39"/>
    <n v="38.140992167101828"/>
    <n v="11.630573248407645"/>
    <n v="85.99"/>
    <n v="5.71"/>
    <n v="6.05"/>
    <n v="22.860719874804385"/>
    <s v="NO"/>
    <n v="3.0299593432270906"/>
    <n v="7.8130347351834262"/>
    <n v="0.81251022246159044"/>
    <n v="8.4550283806341497E-2"/>
    <n v="4.7128625865776677"/>
    <n v="1.1649333142817266"/>
    <x v="1"/>
    <x v="1"/>
    <x v="0"/>
    <x v="1"/>
    <x v="1"/>
    <x v="0"/>
  </r>
  <r>
    <x v="1"/>
    <s v="MEGEF"/>
    <n v="4455"/>
    <n v="18.55"/>
    <n v="1.93"/>
    <n v="12.52"/>
    <n v="1.62"/>
    <n v="9.6113989637305703"/>
    <n v="1.4816293929712461"/>
    <n v="13.62"/>
    <n v="8.91"/>
    <n v="1.47"/>
    <n v="11.450617283950617"/>
    <s v="NO"/>
    <n v="0.2350942665917683"/>
    <n v="-0.29776427833063102"/>
    <n v="-0.14802318281996427"/>
    <n v="0.77758539697307416"/>
    <n v="-0.87436317303171385"/>
    <n v="0.18138098446854151"/>
    <x v="0"/>
    <x v="0"/>
    <x v="0"/>
    <x v="0"/>
    <x v="0"/>
    <x v="0"/>
  </r>
  <r>
    <x v="1"/>
    <s v="SOBO"/>
    <n v="5414"/>
    <n v="26.43"/>
    <n v="1.93"/>
    <n v="12.49"/>
    <n v="1.4"/>
    <n v="13.694300518134716"/>
    <n v="2.1160928742994396"/>
    <n v="10.29"/>
    <n v="3.67"/>
    <n v="4.3"/>
    <n v="18.87857142857143"/>
    <s v="NO"/>
    <n v="0.63507049073210398"/>
    <n v="0.20928412510603692"/>
    <n v="-0.19222072654785674"/>
    <n v="-0.35725960083745056"/>
    <n v="2.5780055823601096"/>
    <n v="0.8216715994314211"/>
    <x v="0"/>
    <x v="0"/>
    <x v="0"/>
    <x v="0"/>
    <x v="0"/>
    <x v="0"/>
  </r>
  <r>
    <x v="1"/>
    <s v="FRO"/>
    <n v="4070"/>
    <n v="17.48"/>
    <n v="3.08"/>
    <n v="10.46"/>
    <n v="1.56"/>
    <n v="5.6753246753246751"/>
    <n v="1.6711281070745696"/>
    <n v="14.79"/>
    <n v="5.43"/>
    <n v="2.64"/>
    <n v="11.205128205128204"/>
    <s v="NO"/>
    <n v="-0.15049821239275266"/>
    <n v="-0.14632132965493064"/>
    <n v="-0.13249431610475881"/>
    <n v="2.3909711404252333E-2"/>
    <n v="0.5529412240737398"/>
    <n v="0.16021979389230412"/>
    <x v="0"/>
    <x v="0"/>
    <x v="0"/>
    <x v="0"/>
    <x v="0"/>
    <x v="0"/>
  </r>
  <r>
    <x v="1"/>
    <s v="MGY"/>
    <n v="4019"/>
    <n v="23.2"/>
    <n v="2.4"/>
    <n v="10.3"/>
    <n v="2.0099999999999998"/>
    <n v="9.6666666666666661"/>
    <n v="2.2524271844660193"/>
    <n v="20.91"/>
    <n v="11.52"/>
    <n v="1.48"/>
    <n v="11.542288557213931"/>
    <s v="NO"/>
    <n v="0.2405084963601653"/>
    <n v="0.31823932321907905"/>
    <n v="-5.1266397902145613E-2"/>
    <n v="1.3428421611496903"/>
    <n v="-0.86216399015047074"/>
    <n v="0.18928306016655916"/>
    <x v="0"/>
    <x v="0"/>
    <x v="0"/>
    <x v="0"/>
    <x v="0"/>
    <x v="0"/>
  </r>
  <r>
    <x v="1"/>
    <s v="PEYUF"/>
    <n v="2683"/>
    <n v="14.275"/>
    <n v="0.9"/>
    <n v="9.0500000000000007"/>
    <n v="1.03"/>
    <n v="15.861111111111111"/>
    <n v="1.5773480662983426"/>
    <n v="11.17"/>
    <n v="5.6"/>
    <n v="2.0699999999999998"/>
    <n v="13.859223300970873"/>
    <s v="NO"/>
    <n v="0.84733931667798479"/>
    <n v="-0.22126814905305842"/>
    <n v="-0.18054089517231756"/>
    <n v="6.0727201791234989E-2"/>
    <n v="-0.14241220015712253"/>
    <n v="0.3890031369232696"/>
    <x v="0"/>
    <x v="0"/>
    <x v="0"/>
    <x v="0"/>
    <x v="0"/>
    <x v="0"/>
  </r>
  <r>
    <x v="1"/>
    <s v="KEYUF"/>
    <n v="6982"/>
    <n v="30.61"/>
    <n v="2.38"/>
    <n v="8.6199999999999992"/>
    <n v="1.65"/>
    <n v="12.861344537815127"/>
    <n v="3.5510440835266825"/>
    <n v="19.55"/>
    <n v="6.52"/>
    <n v="3.05"/>
    <n v="18.551515151515151"/>
    <s v="NO"/>
    <n v="0.55347102441042273"/>
    <n v="1.3560636341883319"/>
    <n v="-6.9317046391615206E-2"/>
    <n v="0.25997479682667057"/>
    <n v="1.0531077222047103"/>
    <n v="0.79347930574103986"/>
    <x v="0"/>
    <x v="0"/>
    <x v="0"/>
    <x v="0"/>
    <x v="0"/>
    <x v="0"/>
  </r>
  <r>
    <x v="1"/>
    <s v="NUVSF"/>
    <n v="2035"/>
    <n v="10.955"/>
    <n v="0.75"/>
    <n v="8.41"/>
    <n v="1.28"/>
    <n v="14.606666666666667"/>
    <n v="1.302615933412604"/>
    <n v="16.739999999999998"/>
    <n v="9.91"/>
    <n v="1.47"/>
    <n v="8.55859375"/>
    <s v="NO"/>
    <n v="0.72444927252752422"/>
    <n v="-0.44082765634076981"/>
    <n v="-0.10661287157941637"/>
    <n v="0.99415886983767809"/>
    <n v="-0.87436317303171385"/>
    <n v="-6.791182092409187E-2"/>
    <x v="0"/>
    <x v="0"/>
    <x v="0"/>
    <x v="0"/>
    <x v="0"/>
    <x v="0"/>
  </r>
  <r>
    <x v="1"/>
    <s v="PREKF"/>
    <n v="3970"/>
    <n v="16.986000000000001"/>
    <n v="0.84"/>
    <n v="7.81"/>
    <n v="0.66"/>
    <n v="20.221428571428572"/>
    <n v="2.1749039692701668"/>
    <n v="8.3699999999999992"/>
    <n v="5.81"/>
    <n v="1.23"/>
    <n v="25.736363636363635"/>
    <s v="NO"/>
    <n v="1.2744922349132315"/>
    <n v="0.25628457932736387"/>
    <n v="-0.21770399500357848"/>
    <n v="0.1062076310928018"/>
    <n v="-1.1671435621815505"/>
    <n v="1.4128141811603054"/>
    <x v="0"/>
    <x v="0"/>
    <x v="0"/>
    <x v="0"/>
    <x v="0"/>
    <x v="0"/>
  </r>
  <r>
    <x v="1"/>
    <s v="CRK"/>
    <n v="6825"/>
    <n v="24.24"/>
    <n v="-1.45"/>
    <n v="7.24"/>
    <n v="-1.1200000000000001"/>
    <n v="-16.717241379310344"/>
    <n v="3.3480662983425411"/>
    <n v="-13.44"/>
    <n v="-0.28999999999999998"/>
    <n v="3.11"/>
    <n v="-21.642857142857139"/>
    <s v="NO"/>
    <n v="-2.3441572805828184"/>
    <n v="1.1938485265586904"/>
    <n v="-0.50717799761779314"/>
    <n v="-1.2148905533812822"/>
    <n v="1.1263028194921696"/>
    <n v="-2.6712808224630575"/>
    <x v="0"/>
    <x v="0"/>
    <x v="0"/>
    <x v="0"/>
    <x v="0"/>
    <x v="1"/>
  </r>
  <r>
    <x v="1"/>
    <s v="SPGYF"/>
    <n v="7671"/>
    <n v="6.44"/>
    <n v="0.75"/>
    <n v="6.87"/>
    <n v="1.07"/>
    <n v="8.5866666666666678"/>
    <n v="0.93740902474526933"/>
    <n v="16.28"/>
    <n v="6.75"/>
    <n v="1.68"/>
    <n v="6.018691588785047"/>
    <s v="NO"/>
    <n v="0.13470767889847568"/>
    <n v="-0.73269249240061685"/>
    <n v="-0.11271823798026635"/>
    <n v="0.30978669558552957"/>
    <n v="-0.61818033252560689"/>
    <n v="-0.28685171811335869"/>
    <x v="0"/>
    <x v="0"/>
    <x v="0"/>
    <x v="0"/>
    <x v="0"/>
    <x v="0"/>
  </r>
  <r>
    <x v="1"/>
    <s v="PAGP"/>
    <n v="3480"/>
    <n v="18.579999999999998"/>
    <n v="10.32"/>
    <n v="6.86"/>
    <n v="0.74"/>
    <n v="1.8003875968992247"/>
    <n v="2.7084548104956263"/>
    <n v="8.4700000000000006"/>
    <n v="3.26"/>
    <n v="20.84"/>
    <n v="25.108108108108105"/>
    <s v="NO"/>
    <n v="-0.5301014628649976"/>
    <n v="0.6826859564867187"/>
    <n v="-0.21637674143817628"/>
    <n v="-0.44605472471193819"/>
    <n v="22.755454067936348"/>
    <n v="1.3586584727770119"/>
    <x v="0"/>
    <x v="0"/>
    <x v="0"/>
    <x v="0"/>
    <x v="1"/>
    <x v="0"/>
  </r>
  <r>
    <x v="1"/>
    <s v="TPZEF"/>
    <n v="2822"/>
    <n v="18.87"/>
    <n v="-0.73"/>
    <n v="5.78"/>
    <n v="0.25"/>
    <n v="-25.849315068493151"/>
    <n v="3.2647058823529411"/>
    <n v="4.22"/>
    <n v="3.81"/>
    <n v="1.45"/>
    <n v="75.48"/>
    <s v="NO"/>
    <n v="-3.2387691893197901"/>
    <n v="1.1272288280555405"/>
    <n v="-0.27278501796776883"/>
    <n v="-0.32693931463640596"/>
    <n v="-0.89876153879420029"/>
    <n v="5.7007221161908488"/>
    <x v="1"/>
    <x v="0"/>
    <x v="0"/>
    <x v="0"/>
    <x v="0"/>
    <x v="1"/>
  </r>
  <r>
    <x v="1"/>
    <s v="CVI"/>
    <n v="2351"/>
    <n v="23.82"/>
    <n v="-2.34"/>
    <n v="5.77"/>
    <n v="-1.97"/>
    <n v="-10.179487179487181"/>
    <n v="4.1282495667244374"/>
    <n v="-16.32"/>
    <n v="-2.94"/>
    <n v="7.33"/>
    <n v="-12.091370558375635"/>
    <s v="NO"/>
    <n v="-1.7036945595597754"/>
    <n v="1.8173527821431217"/>
    <n v="-0.54540290030137573"/>
    <n v="-1.7888102564724824"/>
    <n v="6.2743579953767972"/>
    <n v="-1.8479414345353258"/>
    <x v="0"/>
    <x v="0"/>
    <x v="0"/>
    <x v="0"/>
    <x v="1"/>
    <x v="0"/>
  </r>
  <r>
    <x v="1"/>
    <s v="PTRRY"/>
    <n v="5640"/>
    <n v="7.49"/>
    <n v="-1.4"/>
    <n v="5.72"/>
    <n v="2.39"/>
    <n v="-5.3500000000000005"/>
    <n v="1.3094405594405596"/>
    <n v="53.95"/>
    <n v="8.39"/>
    <n v="2.06"/>
    <n v="3.1338912133891212"/>
    <s v="NO"/>
    <n v="-1.2305800303833918"/>
    <n v="-0.43537357453249437"/>
    <n v="0.38725818010673341"/>
    <n v="0.66496719108348012"/>
    <n v="-0.15461138303836544"/>
    <n v="-0.53552188629756137"/>
    <x v="0"/>
    <x v="0"/>
    <x v="0"/>
    <x v="1"/>
    <x v="0"/>
    <x v="0"/>
  </r>
  <r>
    <x v="1"/>
    <s v="HESM"/>
    <n v="4311"/>
    <n v="38.82"/>
    <n v="6.75"/>
    <n v="5.15"/>
    <n v="2.5499999999999998"/>
    <n v="5.7511111111111113"/>
    <n v="7.5378640776699024"/>
    <n v="147.22"/>
    <n v="14.37"/>
    <n v="7.09"/>
    <n v="15.223529411764707"/>
    <s v="NO"/>
    <n v="-0.14307389122727784"/>
    <n v="4.542237105650945"/>
    <n v="1.625187580557343"/>
    <n v="1.9600765588138114"/>
    <n v="5.9815776062269599"/>
    <n v="0.50660650141232055"/>
    <x v="0"/>
    <x v="1"/>
    <x v="0"/>
    <x v="1"/>
    <x v="1"/>
    <x v="0"/>
  </r>
  <r>
    <x v="1"/>
    <s v="HAFN"/>
    <n v="2520"/>
    <n v="5.25"/>
    <n v="1.69"/>
    <n v="4.57"/>
    <n v="1.2"/>
    <n v="3.1065088757396451"/>
    <n v="1.1487964989059081"/>
    <n v="26.66"/>
    <n v="10.199999999999999"/>
    <n v="1.62"/>
    <n v="4.375"/>
    <s v="YES"/>
    <n v="-0.40214896378590126"/>
    <n v="-0.56375655765574839"/>
    <n v="2.5050682108479515E-2"/>
    <n v="1.056965176968413"/>
    <n v="-0.69137542981306588"/>
    <n v="-0.42853814720294159"/>
    <x v="0"/>
    <x v="0"/>
    <x v="0"/>
    <x v="0"/>
    <x v="0"/>
    <x v="0"/>
  </r>
  <r>
    <x v="1"/>
    <s v="AM"/>
    <n v="9000"/>
    <n v="18.399999999999999"/>
    <n v="1.24"/>
    <n v="4.3600000000000003"/>
    <n v="0.87"/>
    <n v="14.838709677419354"/>
    <n v="4.2201834862385317"/>
    <n v="19.71"/>
    <n v="7.3"/>
    <n v="2.75"/>
    <n v="21.149425287356319"/>
    <s v="NO"/>
    <n v="0.7471810690311409"/>
    <n v="1.8908242245241904"/>
    <n v="-6.7193440686971723E-2"/>
    <n v="0.42890210566106174"/>
    <n v="0.68713223576741478"/>
    <n v="1.0174194979002302"/>
    <x v="0"/>
    <x v="0"/>
    <x v="0"/>
    <x v="0"/>
    <x v="0"/>
    <x v="0"/>
  </r>
  <r>
    <x v="1"/>
    <s v="GBNXF"/>
    <n v="2704"/>
    <n v="17.14"/>
    <n v="1.55"/>
    <n v="4.04"/>
    <n v="0.68"/>
    <n v="11.058064516129033"/>
    <n v="4.2425742574257423"/>
    <n v="17.11"/>
    <n v="4.3499999999999996"/>
    <n v="4.9000000000000004"/>
    <n v="25.205882352941174"/>
    <s v="NO"/>
    <n v="0.37681500551530933"/>
    <n v="1.9087184061694822"/>
    <n v="-0.10170203338742831"/>
    <n v="-0.20998963928951994"/>
    <n v="3.3099565552347014"/>
    <n v="1.3670866254194234"/>
    <x v="0"/>
    <x v="0"/>
    <x v="0"/>
    <x v="0"/>
    <x v="0"/>
    <x v="0"/>
  </r>
  <r>
    <x v="1"/>
    <s v="BSM"/>
    <n v="2825"/>
    <n v="13.68"/>
    <n v="1.02"/>
    <n v="3.61"/>
    <n v="0.92"/>
    <n v="13.411764705882353"/>
    <n v="3.7894736842105265"/>
    <n v="19.940000000000001"/>
    <n v="11.45"/>
    <n v="1.62"/>
    <n v="14.869565217391303"/>
    <s v="NO"/>
    <n v="0.60739223156682387"/>
    <n v="1.5466110051823276"/>
    <n v="-6.4140757486546698E-2"/>
    <n v="1.327682018049168"/>
    <n v="-0.69137542981306588"/>
    <n v="0.47609474174370231"/>
    <x v="0"/>
    <x v="0"/>
    <x v="0"/>
    <x v="0"/>
    <x v="0"/>
    <x v="0"/>
  </r>
  <r>
    <x v="1"/>
    <s v="SOC"/>
    <n v="2861"/>
    <n v="24.29"/>
    <n v="-4.25"/>
    <n v="3.14"/>
    <n v="-7.48"/>
    <n v="-5.7152941176470584"/>
    <n v="7.7356687898089165"/>
    <n v="-200.53"/>
    <n v="-6.54"/>
    <n v="5.57"/>
    <n v="-3.2473262032085559"/>
    <s v="NO"/>
    <n v="-1.2663656009954338"/>
    <n v="4.7003180140625291"/>
    <n v="-2.9903366931287243"/>
    <n v="-2.5684747587850572"/>
    <n v="4.1273018082779958"/>
    <n v="-1.0855836589384238"/>
    <x v="0"/>
    <x v="1"/>
    <x v="1"/>
    <x v="1"/>
    <x v="1"/>
    <x v="0"/>
  </r>
  <r>
    <x v="1"/>
    <s v="TGS"/>
    <n v="4218"/>
    <n v="27.25"/>
    <n v="0.38"/>
    <n v="3.13"/>
    <n v="0.48"/>
    <n v="71.71052631578948"/>
    <n v="8.7060702875399372"/>
    <n v="20.09"/>
    <n v="12.17"/>
    <n v="1.48"/>
    <n v="56.770833333333336"/>
    <s v="NO"/>
    <n v="6.3185557828004821"/>
    <n v="5.4758402381108251"/>
    <n v="-6.2149877138443457E-2"/>
    <n v="1.4836149185116829"/>
    <n v="-0.86216399015047074"/>
    <n v="4.0879895121375229"/>
    <x v="1"/>
    <x v="1"/>
    <x v="0"/>
    <x v="0"/>
    <x v="0"/>
    <x v="1"/>
  </r>
  <r>
    <x v="1"/>
    <s v="SECYF"/>
    <n v="2476"/>
    <n v="11.18"/>
    <n v="1.25"/>
    <n v="2.93"/>
    <n v="0.56000000000000005"/>
    <n v="8.9439999999999991"/>
    <n v="3.8156996587030712"/>
    <n v="16.22"/>
    <n v="6.41"/>
    <n v="2.4700000000000002"/>
    <n v="19.964285714285712"/>
    <s v="NO"/>
    <n v="0.16971338146604692"/>
    <n v="1.5675701917807079"/>
    <n v="-0.11351459011950769"/>
    <n v="0.2361517148115643"/>
    <n v="0.34555511509260561"/>
    <n v="0.91526031230432059"/>
    <x v="0"/>
    <x v="0"/>
    <x v="0"/>
    <x v="0"/>
    <x v="0"/>
    <x v="0"/>
  </r>
  <r>
    <x v="1"/>
    <s v="UGP"/>
    <n v="3056"/>
    <n v="2.98"/>
    <n v="0.39"/>
    <n v="2.48"/>
    <n v="0.36"/>
    <n v="7.6410256410256405"/>
    <n v="1.2016129032258065"/>
    <n v="16.079999999999998"/>
    <n v="6.47"/>
    <n v="2.48"/>
    <n v="8.2777777777777786"/>
    <s v="NO"/>
    <n v="4.2069166363168799E-2"/>
    <n v="-0.52154692026321092"/>
    <n v="-0.11537274511107075"/>
    <n v="0.24914612318344043"/>
    <n v="0.35775429797384856"/>
    <n v="-9.2118194313698165E-2"/>
    <x v="0"/>
    <x v="0"/>
    <x v="0"/>
    <x v="0"/>
    <x v="0"/>
    <x v="0"/>
  </r>
  <r>
    <x v="1"/>
    <s v="UEC"/>
    <n v="2542"/>
    <n v="6.61"/>
    <n v="-0.12"/>
    <n v="2.0499999999999998"/>
    <n v="-0.16"/>
    <n v="-55.083333333333336"/>
    <n v="3.2243902439024397"/>
    <n v="-7.92"/>
    <n v="-3.34"/>
    <n v="1.1200000000000001"/>
    <n v="-41.3125"/>
    <s v="NO"/>
    <n v="-6.1026423653476254"/>
    <n v="1.0950095109294182"/>
    <n v="-0.43391360080759295"/>
    <n v="-1.8754396456183242"/>
    <n v="-1.3013345738752256"/>
    <n v="-4.3668065992640308"/>
    <x v="1"/>
    <x v="0"/>
    <x v="0"/>
    <x v="0"/>
    <x v="0"/>
    <x v="1"/>
  </r>
  <r>
    <x v="1"/>
    <s v="DKL"/>
    <n v="2233"/>
    <n v="42.53"/>
    <n v="0.28999999999999998"/>
    <n v="1.82"/>
    <n v="2.98"/>
    <n v="146.65517241379311"/>
    <n v="23.368131868131869"/>
    <n v="542.39"/>
    <n v="5.41"/>
    <n v="24.58"/>
    <n v="14.271812080536913"/>
    <s v="NO"/>
    <n v="13.660412099046615"/>
    <n v="17.193417583880258"/>
    <n v="6.8700954949571225"/>
    <n v="1.9578241946960347E-2"/>
    <n v="27.317948465521301"/>
    <n v="0.42456834347296746"/>
    <x v="1"/>
    <x v="1"/>
    <x v="0"/>
    <x v="1"/>
    <x v="1"/>
    <x v="0"/>
  </r>
  <r>
    <x v="1"/>
    <s v="NXE"/>
    <n v="3521"/>
    <n v="6.55"/>
    <n v="-0.17"/>
    <n v="1.35"/>
    <n v="-0.12"/>
    <n v="-38.529411764705877"/>
    <n v="4.8518518518518512"/>
    <n v="-9.24"/>
    <n v="-3.56"/>
    <n v="1.42"/>
    <n v="-54.583333333333336"/>
    <s v="NO"/>
    <n v="-4.4809586300166222"/>
    <n v="2.3956388367303831"/>
    <n v="-0.45143334787090167"/>
    <n v="-1.923085809648537"/>
    <n v="-0.93535908743792995"/>
    <n v="-5.5107541614906221"/>
    <x v="1"/>
    <x v="0"/>
    <x v="0"/>
    <x v="0"/>
    <x v="0"/>
    <x v="1"/>
  </r>
  <r>
    <x v="1"/>
    <s v="NEXT"/>
    <n v="2160"/>
    <n v="8.2899999999999991"/>
    <n v="-10.4"/>
    <n v="1.1599999999999999"/>
    <n v="-0.69"/>
    <n v="-0.79711538461538456"/>
    <n v="7.1465517241379306"/>
    <n v="-10.83"/>
    <n v="-2.09"/>
    <n v="22.79"/>
    <n v="-12.014492753623188"/>
    <s v="NO"/>
    <n v="-0.78456251731261073"/>
    <n v="4.2295094074577122"/>
    <n v="-0.47253667956079631"/>
    <n v="-1.6047228045375692"/>
    <n v="25.13429472977877"/>
    <n v="-1.8413145577502037"/>
    <x v="0"/>
    <x v="1"/>
    <x v="0"/>
    <x v="0"/>
    <x v="1"/>
    <x v="0"/>
  </r>
  <r>
    <x v="1"/>
    <s v="CSAN"/>
    <n v="2709"/>
    <n v="5.72"/>
    <n v="0.4"/>
    <n v="0.74"/>
    <n v="-1.06"/>
    <n v="14.299999999999999"/>
    <n v="7.7297297297297298"/>
    <n v="-24.82"/>
    <n v="4.71"/>
    <n v="16.16"/>
    <n v="-5.3962264150943389"/>
    <s v="NO"/>
    <n v="0.69440706510013073"/>
    <n v="4.6955716558879628"/>
    <n v="-0.65821945336056076"/>
    <n v="-0.13202318905826244"/>
    <n v="17.046236479514533"/>
    <n v="-1.2708191371566928"/>
    <x v="0"/>
    <x v="1"/>
    <x v="0"/>
    <x v="1"/>
    <x v="1"/>
    <x v="0"/>
  </r>
  <r>
    <x v="1"/>
    <s v="KNTK"/>
    <n v="2713"/>
    <n v="43.28"/>
    <n v="6.07"/>
    <n v="-41.85"/>
    <n v="0.94"/>
    <n v="7.1301482701812189"/>
    <n v="-1.0341696535244922"/>
    <n v="8.2200000000000006"/>
    <n v="1.67"/>
    <n v="-2.76"/>
    <n v="46.042553191489368"/>
    <s v="NO"/>
    <n v="-7.97828128314477E-3"/>
    <n v="-2.3083321477732226"/>
    <n v="-0.21969487535168172"/>
    <n v="-0.79040654656665843"/>
    <n v="-6.0346175317975836"/>
    <n v="3.1632103662552238"/>
    <x v="0"/>
    <x v="0"/>
    <x v="0"/>
    <x v="0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s v="OMSE"/>
    <n v="361"/>
    <n v="7.15"/>
    <m/>
    <m/>
    <m/>
    <s v=""/>
    <s v=""/>
    <n v="147.54"/>
    <n v="21.38"/>
    <n v="1.77"/>
    <s v=""/>
    <s v="NO"/>
    <e v="#VALUE!"/>
    <e v="#VALUE!"/>
    <n v="19.336142403631811"/>
    <n v="6.6562887735215286"/>
    <n v="-0.3908834092961968"/>
    <e v="#VALUE!"/>
    <x v="0"/>
    <x v="0"/>
    <x v="0"/>
    <x v="0"/>
    <x v="0"/>
    <x v="0"/>
  </r>
  <r>
    <x v="0"/>
    <s v="PDS"/>
    <n v="582"/>
    <n v="48.7"/>
    <n v="12.8"/>
    <n v="87.16"/>
    <n v="5.2"/>
    <n v="3.8046875"/>
    <n v="0.55874254245066546"/>
    <n v="6.58"/>
    <n v="4.43"/>
    <n v="1.72"/>
    <n v="9.365384615384615"/>
    <s v="NO"/>
    <n v="-0.26635225703949661"/>
    <n v="-1.0648320513011866"/>
    <n v="-0.48093780378882678"/>
    <n v="-0.17581128557416092"/>
    <n v="-0.4698255911002025"/>
    <n v="-0.20110212718535225"/>
    <x v="1"/>
    <x v="1"/>
    <x v="1"/>
    <x v="1"/>
    <x v="0"/>
    <x v="1"/>
  </r>
  <r>
    <x v="0"/>
    <s v="SDRL"/>
    <n v="1444"/>
    <n v="27.04"/>
    <n v="-2.2400000000000002"/>
    <n v="46.78"/>
    <n v="5.56"/>
    <n v="-12.071428571428569"/>
    <n v="0.57802479692176145"/>
    <n v="12.75"/>
    <n v="2.11"/>
    <n v="1.4"/>
    <n v="4.8633093525179856"/>
    <s v="NO"/>
    <n v="-1.5779948561839308"/>
    <n v="-1.0361562202034063"/>
    <n v="0.38648121493836773"/>
    <n v="-1.1109423851082021"/>
    <n v="-0.9750555546458386"/>
    <n v="-0.79587838659126797"/>
    <x v="1"/>
    <x v="1"/>
    <x v="1"/>
    <x v="1"/>
    <x v="0"/>
    <x v="1"/>
  </r>
  <r>
    <x v="0"/>
    <s v="VTOL"/>
    <n v="842"/>
    <n v="30.98"/>
    <n v="-3.24"/>
    <n v="32.380000000000003"/>
    <n v="3.89"/>
    <n v="-9.5617283950617278"/>
    <n v="0.9567634342186534"/>
    <n v="13.2"/>
    <n v="4.91"/>
    <n v="2.33"/>
    <n v="7.964010282776349"/>
    <s v="NO"/>
    <n v="-1.3706500844782625"/>
    <n v="-0.47291060960277442"/>
    <n v="0.44974516281960547"/>
    <n v="1.7664114329433992E-2"/>
    <n v="0.49326902690866625"/>
    <n v="-0.3862398991926298"/>
    <x v="1"/>
    <x v="1"/>
    <x v="1"/>
    <x v="1"/>
    <x v="0"/>
    <x v="1"/>
  </r>
  <r>
    <x v="0"/>
    <s v="HP"/>
    <n v="1516"/>
    <n v="17.61"/>
    <n v="0.76"/>
    <n v="29.52"/>
    <n v="2.2000000000000002"/>
    <n v="23.171052631578945"/>
    <n v="0.59654471544715448"/>
    <n v="7.58"/>
    <n v="4.1900000000000004"/>
    <n v="2.4700000000000002"/>
    <n v="8.004545454545454"/>
    <s v="NO"/>
    <n v="1.3336454617274107"/>
    <n v="-1.0086141059566045"/>
    <n v="-0.34035125294163154"/>
    <n v="-0.27254898552595802"/>
    <n v="0.71430713595988216"/>
    <n v="-0.38088473375635645"/>
    <x v="1"/>
    <x v="1"/>
    <x v="1"/>
    <x v="1"/>
    <x v="0"/>
    <x v="1"/>
  </r>
  <r>
    <x v="0"/>
    <s v="NBR"/>
    <n v="405"/>
    <n v="32.07"/>
    <n v="-6.96"/>
    <n v="23.58"/>
    <n v="-14.66"/>
    <n v="-4.6077586206896548"/>
    <n v="1.3600508905852418"/>
    <n v="-1.6"/>
    <n v="3.05"/>
    <n v="14.74"/>
    <n v="-2.1875852660300135"/>
    <s v="NO"/>
    <n v="-0.9613662418995238"/>
    <n v="0.12684306546447957"/>
    <n v="-1.6309357897188836"/>
    <n v="-0.73205306029699579"/>
    <n v="20.086718550662862"/>
    <n v="-1.727383188671143"/>
    <x v="1"/>
    <x v="1"/>
    <x v="1"/>
    <x v="1"/>
    <x v="1"/>
    <x v="1"/>
  </r>
  <r>
    <x v="0"/>
    <s v="TDW"/>
    <n v="1965"/>
    <n v="45.51"/>
    <n v="5.32"/>
    <n v="21.9"/>
    <n v="3.34"/>
    <n v="8.5545112781954877"/>
    <n v="2.0780821917808221"/>
    <n v="16.149999999999999"/>
    <n v="8.9700000000000006"/>
    <n v="1.86"/>
    <n v="13.625748502994012"/>
    <s v="NO"/>
    <n v="0.12606558482311767"/>
    <n v="1.1946717442566066"/>
    <n v="0.86447548781883132"/>
    <n v="1.6541435385140064"/>
    <n v="-0.24878748204898657"/>
    <n v="0.36174126143603191"/>
    <x v="1"/>
    <x v="1"/>
    <x v="1"/>
    <x v="1"/>
    <x v="0"/>
    <x v="1"/>
  </r>
  <r>
    <x v="0"/>
    <s v="NGS"/>
    <n v="300"/>
    <n v="24.91"/>
    <n v="0.15"/>
    <n v="20.86"/>
    <n v="1.34"/>
    <n v="166.06666666666666"/>
    <n v="1.1941514860977949"/>
    <n v="6.77"/>
    <n v="4.62"/>
    <n v="1.93"/>
    <n v="18.589552238805968"/>
    <s v="NO"/>
    <n v="13.139302069178576"/>
    <n v="-0.11987618146982319"/>
    <n v="-0.45422635912785975"/>
    <n v="-9.9227273112321171E-2"/>
    <n v="-0.13826842752337895"/>
    <n v="1.0175171972055905"/>
    <x v="0"/>
    <x v="1"/>
    <x v="1"/>
    <x v="1"/>
    <x v="0"/>
    <x v="1"/>
  </r>
  <r>
    <x v="0"/>
    <s v="INVX"/>
    <n v="952"/>
    <n v="16.02"/>
    <n v="1.58"/>
    <n v="14.11"/>
    <n v="2.31"/>
    <n v="10.139240506329113"/>
    <n v="1.1353649893692417"/>
    <n v="21.21"/>
    <n v="6.37"/>
    <n v="1.22"/>
    <n v="6.9350649350649345"/>
    <s v="NO"/>
    <n v="0.25699171022919776"/>
    <n v="-0.20730121019481748"/>
    <n v="1.5758434351056394"/>
    <n v="0.60615178903620126"/>
    <n v="-1.2592474091402588"/>
    <n v="-0.52217549096131055"/>
    <x v="1"/>
    <x v="1"/>
    <x v="1"/>
    <x v="1"/>
    <x v="0"/>
    <x v="1"/>
  </r>
  <r>
    <x v="0"/>
    <s v="XPRO"/>
    <n v="960"/>
    <n v="8.9"/>
    <n v="0.3"/>
    <n v="12.93"/>
    <n v="0.57999999999999996"/>
    <n v="29.666666666666668"/>
    <n v="0.68832173240525918"/>
    <n v="4.91"/>
    <n v="3.84"/>
    <n v="1.53"/>
    <n v="15.344827586206899"/>
    <s v="NO"/>
    <n v="1.8702958639850762"/>
    <n v="-0.8721268377850443"/>
    <n v="-0.71571734370364282"/>
    <n v="-0.4136247979556627"/>
    <n v="-0.76980588195542377"/>
    <n v="0.58885150883009052"/>
    <x v="1"/>
    <x v="1"/>
    <x v="1"/>
    <x v="1"/>
    <x v="0"/>
    <x v="1"/>
  </r>
  <r>
    <x v="0"/>
    <s v="ARIS"/>
    <n v="719"/>
    <n v="24.57"/>
    <n v="0.82"/>
    <n v="12.51"/>
    <n v="0.83"/>
    <n v="29.963414634146343"/>
    <n v="1.9640287769784173"/>
    <n v="8.0299999999999994"/>
    <n v="4.91"/>
    <n v="3.54"/>
    <n v="29.602409638554217"/>
    <s v="NO"/>
    <n v="1.8948123939477377"/>
    <n v="1.0250558695205152"/>
    <n v="-0.27708730506039381"/>
    <n v="1.7664114329433992E-2"/>
    <n v="2.4036698265656025"/>
    <n v="2.4724431473822408"/>
    <x v="1"/>
    <x v="1"/>
    <x v="1"/>
    <x v="1"/>
    <x v="0"/>
    <x v="1"/>
  </r>
  <r>
    <x v="0"/>
    <s v="LBRT"/>
    <n v="1877"/>
    <n v="12.27"/>
    <n v="1.35"/>
    <n v="12.28"/>
    <n v="1.51"/>
    <n v="9.0888888888888886"/>
    <n v="0.999185667752443"/>
    <n v="13.18"/>
    <n v="5.86"/>
    <n v="1.7"/>
    <n v="8.1258278145695364"/>
    <s v="NO"/>
    <n v="0.17021444560625851"/>
    <n v="-0.40982188699364863"/>
    <n v="0.44693343180266165"/>
    <n v="0.40058417663863199"/>
    <n v="-0.50140246382180476"/>
    <n v="-0.36486193000138017"/>
    <x v="1"/>
    <x v="1"/>
    <x v="1"/>
    <x v="1"/>
    <x v="0"/>
    <x v="1"/>
  </r>
  <r>
    <x v="0"/>
    <s v="OIS"/>
    <n v="269"/>
    <n v="4.83"/>
    <n v="0.49"/>
    <n v="11.05"/>
    <n v="0.08"/>
    <n v="9.8571428571428577"/>
    <n v="0.43710407239819005"/>
    <n v="0.77"/>
    <n v="0.81"/>
    <n v="1.45"/>
    <n v="60.375"/>
    <s v="NO"/>
    <n v="0.23368555070463468"/>
    <n v="-1.2457281299960217"/>
    <n v="-1.297745664211031"/>
    <n v="-1.6349382598471043"/>
    <n v="-0.8961133728418329"/>
    <n v="6.5378585655503549"/>
    <x v="1"/>
    <x v="1"/>
    <x v="1"/>
    <x v="1"/>
    <x v="0"/>
    <x v="0"/>
  </r>
  <r>
    <x v="0"/>
    <s v="NOA"/>
    <n v="504"/>
    <n v="17.97"/>
    <n v="-1.31"/>
    <n v="10.85"/>
    <n v="0.94"/>
    <n v="-13.717557251908396"/>
    <n v="1.6562211981566819"/>
    <n v="9.36"/>
    <n v="5.37"/>
    <n v="3.88"/>
    <n v="19.117021276595743"/>
    <s v="NO"/>
    <n v="-1.7139936414835948"/>
    <n v="0.56729621521557216"/>
    <n v="-9.0107192433624153E-2"/>
    <n v="0.20307803923704559"/>
    <n v="2.9404766628328405"/>
    <n v="1.0872019632148731"/>
    <x v="1"/>
    <x v="1"/>
    <x v="1"/>
    <x v="1"/>
    <x v="1"/>
    <x v="1"/>
  </r>
  <r>
    <x v="0"/>
    <s v="TOTZF"/>
    <n v="279"/>
    <n v="7.7294999999999998"/>
    <n v="1.62"/>
    <n v="10.74"/>
    <n v="1.1399999999999999"/>
    <n v="4.7712962962962955"/>
    <n v="0.7196927374301676"/>
    <n v="11.36"/>
    <n v="5.43"/>
    <n v="1.71"/>
    <n v="6.780263157894737"/>
    <s v="YES"/>
    <n v="-0.18649360217543814"/>
    <n v="-0.82547307938711534"/>
    <n v="0.1910659092607663"/>
    <n v="0.2272624642249948"/>
    <n v="-0.48561402746100363"/>
    <n v="-0.54262659775068323"/>
    <x v="1"/>
    <x v="1"/>
    <x v="1"/>
    <x v="1"/>
    <x v="0"/>
    <x v="1"/>
  </r>
  <r>
    <x v="0"/>
    <s v="AESI"/>
    <n v="1502"/>
    <n v="13.46"/>
    <n v="-1.08"/>
    <n v="10.52"/>
    <n v="0.3"/>
    <n v="-12.462962962962964"/>
    <n v="1.2794676806083651"/>
    <n v="2.9"/>
    <n v="3.11"/>
    <n v="1.76"/>
    <n v="44.866666666666674"/>
    <s v="NO"/>
    <n v="-1.6103423890853072"/>
    <n v="7.0027987530450406E-3"/>
    <n v="-0.99829631090650517"/>
    <n v="-0.70786863530904642"/>
    <n v="-0.40667184565699793"/>
    <n v="4.4890282037614151"/>
    <x v="1"/>
    <x v="1"/>
    <x v="1"/>
    <x v="1"/>
    <x v="0"/>
    <x v="0"/>
  </r>
  <r>
    <x v="0"/>
    <s v="HLX"/>
    <n v="938"/>
    <n v="6.82"/>
    <n v="0.75"/>
    <n v="10.199999999999999"/>
    <n v="0.55000000000000004"/>
    <n v="9.0933333333333337"/>
    <n v="0.66862745098039222"/>
    <n v="5.64"/>
    <n v="3.27"/>
    <n v="1.71"/>
    <n v="12.4"/>
    <s v="NO"/>
    <n v="0.17058163381757149"/>
    <n v="-0.90141541960405291"/>
    <n v="-0.61308916158519033"/>
    <n v="-0.6433768353411814"/>
    <n v="-0.48561402746100363"/>
    <n v="0.19980569461057415"/>
    <x v="1"/>
    <x v="1"/>
    <x v="1"/>
    <x v="1"/>
    <x v="0"/>
    <x v="1"/>
  </r>
  <r>
    <x v="0"/>
    <s v="SEI"/>
    <n v="1108"/>
    <n v="29.1"/>
    <n v="-8.52"/>
    <n v="9.4"/>
    <n v="0.5"/>
    <n v="-3.4154929577464794"/>
    <n v="3.0957446808510638"/>
    <n v="7.07"/>
    <n v="4.68"/>
    <n v="3.13"/>
    <n v="58.2"/>
    <s v="NO"/>
    <n v="-0.86286441525769253"/>
    <n v="2.7081004615712394"/>
    <n v="-0.41205039387370107"/>
    <n v="-7.5042848124371994E-2"/>
    <n v="1.7563439357727559"/>
    <n v="6.2505158871909181"/>
    <x v="1"/>
    <x v="1"/>
    <x v="1"/>
    <x v="1"/>
    <x v="0"/>
    <x v="0"/>
  </r>
  <r>
    <x v="0"/>
    <s v="NESR"/>
    <n v="596"/>
    <n v="6.11"/>
    <n v="1.41"/>
    <n v="8.92"/>
    <n v="0.48"/>
    <n v="4.3333333333333339"/>
    <n v="0.68497757847533636"/>
    <n v="1.55"/>
    <n v="2.78"/>
    <n v="2.1"/>
    <n v="12.729166666666668"/>
    <s v="NO"/>
    <n v="-0.22267694049856532"/>
    <n v="-0.87710013556011479"/>
    <n v="-1.1880881545502187"/>
    <n v="-0.8408829727427678"/>
    <n v="0.13013499061024042"/>
    <n v="0.24329242179524013"/>
    <x v="1"/>
    <x v="1"/>
    <x v="1"/>
    <x v="1"/>
    <x v="0"/>
    <x v="1"/>
  </r>
  <r>
    <x v="0"/>
    <s v="EFXT"/>
    <n v="868"/>
    <n v="7.71"/>
    <n v="1.97"/>
    <n v="8.66"/>
    <n v="0.6"/>
    <n v="3.9137055837563453"/>
    <n v="0.89030023094688215"/>
    <n v="7.05"/>
    <n v="5.25"/>
    <n v="2.57"/>
    <n v="12.85"/>
    <s v="NO"/>
    <n v="-0.25734547212506437"/>
    <n v="-0.57175214258304297"/>
    <n v="-0.41486212489064506"/>
    <n v="0.15470918926114688"/>
    <n v="0.87219149956789288"/>
    <n v="0.25925590392631981"/>
    <x v="1"/>
    <x v="1"/>
    <x v="1"/>
    <x v="1"/>
    <x v="0"/>
    <x v="1"/>
  </r>
  <r>
    <x v="0"/>
    <s v="MTTRF"/>
    <n v="428"/>
    <n v="7.3935000000000004"/>
    <n v="-0.76"/>
    <n v="8.66"/>
    <n v="0.47"/>
    <n v="-9.7282894736842103"/>
    <n v="0.85375288683602779"/>
    <n v="5.84"/>
    <n v="3.11"/>
    <n v="2.2200000000000002"/>
    <n v="15.730851063829789"/>
    <s v="NO"/>
    <n v="-1.3844109189983538"/>
    <n v="-0.62610395441948086"/>
    <n v="-0.58497185141575125"/>
    <n v="-0.70786863530904642"/>
    <n v="0.31959622693985407"/>
    <n v="0.63984967893114142"/>
    <x v="1"/>
    <x v="1"/>
    <x v="1"/>
    <x v="1"/>
    <x v="0"/>
    <x v="1"/>
  </r>
  <r>
    <x v="0"/>
    <s v="PUMP"/>
    <n v="561"/>
    <n v="6.08"/>
    <n v="0.82"/>
    <n v="7.96"/>
    <n v="-1.42"/>
    <n v="7.4146341463414638"/>
    <n v="0.76381909547738691"/>
    <n v="-16.239999999999998"/>
    <n v="2.08"/>
    <n v="1.51"/>
    <n v="-4.2816901408450709"/>
    <s v="NO"/>
    <n v="3.1891959661672166E-2"/>
    <n v="-0.75985004800253231"/>
    <n v="-3.6891228941218217"/>
    <n v="-1.1230345976021767"/>
    <n v="-0.80138275467702602"/>
    <n v="-2.0040386845308733"/>
    <x v="1"/>
    <x v="1"/>
    <x v="0"/>
    <x v="1"/>
    <x v="0"/>
    <x v="1"/>
  </r>
  <r>
    <x v="0"/>
    <s v="OII"/>
    <n v="1918"/>
    <n v="20.25"/>
    <n v="0.84"/>
    <n v="7.69"/>
    <n v="1.78"/>
    <n v="24.107142857142858"/>
    <n v="2.6332899869960986"/>
    <n v="25.95"/>
    <n v="7.86"/>
    <n v="2.94"/>
    <n v="11.376404494382022"/>
    <s v="NO"/>
    <n v="1.410982753226683"/>
    <n v="2.0203555346883713"/>
    <n v="2.2422236861213447"/>
    <n v="1.2067316762369433"/>
    <n v="1.4563636449175346"/>
    <n v="6.4576878913584448E-2"/>
    <x v="1"/>
    <x v="1"/>
    <x v="1"/>
    <x v="1"/>
    <x v="0"/>
    <x v="1"/>
  </r>
  <r>
    <x v="0"/>
    <s v="WTTR"/>
    <n v="836"/>
    <n v="8.83"/>
    <n v="0.1"/>
    <n v="7.63"/>
    <n v="0.34"/>
    <n v="88.3"/>
    <n v="1.1572739187418086"/>
    <n v="4.5599999999999996"/>
    <n v="2.94"/>
    <n v="1.95"/>
    <n v="25.970588235294116"/>
    <s v="NO"/>
    <n v="6.7144263417307668"/>
    <n v="-0.17471908868186445"/>
    <n v="-0.76492263650016123"/>
    <n v="-0.77639117277490277"/>
    <n v="-0.10669155480177667"/>
    <n v="1.9926374971128666"/>
    <x v="0"/>
    <x v="1"/>
    <x v="1"/>
    <x v="1"/>
    <x v="0"/>
    <x v="1"/>
  </r>
  <r>
    <x v="0"/>
    <s v="ACDC"/>
    <n v="1336"/>
    <n v="8.73"/>
    <n v="0.5"/>
    <n v="6.17"/>
    <n v="-1.5"/>
    <n v="17.46"/>
    <n v="1.4149108589951378"/>
    <n v="-18.41"/>
    <n v="0.26"/>
    <n v="3.06"/>
    <n v="-5.82"/>
    <s v="NO"/>
    <n v="0.86181344161414253"/>
    <n v="0.20842871150550163"/>
    <n v="-3.9941957094602354"/>
    <n v="-1.8566288222366403"/>
    <n v="1.6458248812471483"/>
    <n v="-2.2072672247958418"/>
    <x v="1"/>
    <x v="1"/>
    <x v="0"/>
    <x v="1"/>
    <x v="0"/>
    <x v="1"/>
  </r>
  <r>
    <x v="0"/>
    <s v="CLB"/>
    <n v="504"/>
    <n v="11.67"/>
    <n v="0.94"/>
    <n v="5.43"/>
    <n v="0.59"/>
    <n v="12.414893617021278"/>
    <n v="2.1491712707182322"/>
    <n v="11.57"/>
    <n v="5.3"/>
    <n v="2.33"/>
    <n v="19.779661016949152"/>
    <s v="NO"/>
    <n v="0.44500013416803869"/>
    <n v="1.300392702537793"/>
    <n v="0.2205890849386774"/>
    <n v="0.1748628767511046"/>
    <n v="0.49326902690866625"/>
    <n v="1.174744343803632"/>
    <x v="1"/>
    <x v="1"/>
    <x v="1"/>
    <x v="1"/>
    <x v="0"/>
    <x v="1"/>
  </r>
  <r>
    <x v="0"/>
    <s v="ESVIF"/>
    <n v="268"/>
    <n v="1.742"/>
    <n v="1.02"/>
    <n v="5.18"/>
    <n v="-0.06"/>
    <n v="1.7078431372549019"/>
    <n v="0.33629343629343633"/>
    <n v="-1.1399999999999999"/>
    <n v="1.7"/>
    <n v="2.08"/>
    <n v="-29.033333333333335"/>
    <s v="NO"/>
    <n v="-0.43958797650503562"/>
    <n v="-1.3956498509303175"/>
    <n v="-1.566265976329174"/>
    <n v="-1.2762026225258558"/>
    <n v="9.8558117888638136E-2"/>
    <n v="-5.2740172816466071"/>
    <x v="1"/>
    <x v="1"/>
    <x v="1"/>
    <x v="1"/>
    <x v="0"/>
    <x v="0"/>
  </r>
  <r>
    <x v="0"/>
    <s v="RES"/>
    <n v="979"/>
    <n v="4.76"/>
    <n v="0.63"/>
    <n v="5.09"/>
    <n v="0.35"/>
    <n v="7.5555555555555554"/>
    <n v="0.93516699410609039"/>
    <n v="7.19"/>
    <n v="3.27"/>
    <n v="1.24"/>
    <n v="13.6"/>
    <s v="NO"/>
    <n v="4.3534512703301276E-2"/>
    <n v="-0.50502800904429257"/>
    <n v="-0.39518000777203766"/>
    <n v="-0.6433768353411814"/>
    <n v="-1.2276705364186564"/>
    <n v="0.35833958611922934"/>
    <x v="1"/>
    <x v="1"/>
    <x v="1"/>
    <x v="1"/>
    <x v="0"/>
    <x v="1"/>
  </r>
  <r>
    <x v="0"/>
    <s v="PSYTF"/>
    <n v="699"/>
    <n v="9.1456"/>
    <n v="0.6"/>
    <n v="4.47"/>
    <n v="0.63"/>
    <n v="15.242666666666667"/>
    <n v="2.0459955257270694"/>
    <n v="14.57"/>
    <n v="10.19"/>
    <n v="1.22"/>
    <n v="14.516825396825396"/>
    <s v="NO"/>
    <n v="0.67862324299012688"/>
    <n v="1.1469536821582385"/>
    <n v="0.64234873748026311"/>
    <n v="2.1458935132689758"/>
    <n v="-1.2592474091402588"/>
    <n v="0.47946283444647708"/>
    <x v="1"/>
    <x v="1"/>
    <x v="1"/>
    <x v="1"/>
    <x v="0"/>
    <x v="1"/>
  </r>
  <r>
    <x v="0"/>
    <s v="BORR"/>
    <n v="419"/>
    <n v="2.06"/>
    <n v="-0.9"/>
    <n v="4.07"/>
    <n v="0.2"/>
    <n v="-2.2888888888888888"/>
    <n v="0.50614250614250611"/>
    <n v="5.17"/>
    <n v="6.52"/>
    <n v="3.49"/>
    <n v="10.299999999999999"/>
    <s v="NO"/>
    <n v="-0.76978737535481556"/>
    <n v="-1.1430568127869822"/>
    <n v="-0.67916484048337211"/>
    <n v="0.66661285150607441"/>
    <n v="2.3247276447615968"/>
    <n v="-7.7628615529572759E-2"/>
    <x v="1"/>
    <x v="1"/>
    <x v="1"/>
    <x v="1"/>
    <x v="0"/>
    <x v="1"/>
  </r>
  <r>
    <x v="0"/>
    <s v="NPKI"/>
    <n v="684"/>
    <n v="8.36"/>
    <n v="-0.05"/>
    <n v="3.86"/>
    <n v="0.49"/>
    <n v="-167.2"/>
    <n v="2.1658031088082899"/>
    <n v="11.2"/>
    <n v="4.67"/>
    <n v="1.19"/>
    <n v="17.061224489795919"/>
    <s v="NO"/>
    <n v="-14.394305956120693"/>
    <n v="1.3251269358003528"/>
    <n v="0.16857206112521503"/>
    <n v="-7.9073585622363468E-2"/>
    <n v="-1.3066127182226621"/>
    <n v="0.81560740924623509"/>
    <x v="0"/>
    <x v="1"/>
    <x v="1"/>
    <x v="1"/>
    <x v="0"/>
    <x v="1"/>
  </r>
  <r>
    <x v="0"/>
    <s v="PHXHF"/>
    <n v="264"/>
    <n v="5.9189999999999996"/>
    <n v="0.19"/>
    <n v="3.56"/>
    <n v="0.85"/>
    <n v="31.152631578947364"/>
    <n v="1.6626404494382021"/>
    <n v="25.15"/>
    <n v="8.11"/>
    <n v="1.93"/>
    <n v="6.9635294117647053"/>
    <s v="NO"/>
    <n v="1.9930623435832502"/>
    <n v="0.57684268011670792"/>
    <n v="2.1297544454435884"/>
    <n v="1.3075001136867319"/>
    <n v="-0.13826842752337895"/>
    <n v="-0.51841500407716712"/>
    <x v="1"/>
    <x v="1"/>
    <x v="1"/>
    <x v="1"/>
    <x v="0"/>
    <x v="1"/>
  </r>
  <r>
    <x v="0"/>
    <s v="CESDF"/>
    <n v="1013"/>
    <n v="4.8929999999999998"/>
    <n v="0.52"/>
    <n v="2.57"/>
    <n v="0.53"/>
    <n v="9.4096153846153836"/>
    <n v="1.9038910505836577"/>
    <n v="23.52"/>
    <n v="11.14"/>
    <n v="1.92"/>
    <n v="9.2320754716981117"/>
    <s v="NO"/>
    <n v="0.1967120179707148"/>
    <n v="0.93562134373486716"/>
    <n v="1.9005983675626603"/>
    <n v="2.528813575578174"/>
    <n v="-0.15405686388418008"/>
    <n v="-0.21871380828727546"/>
    <x v="1"/>
    <x v="1"/>
    <x v="1"/>
    <x v="1"/>
    <x v="0"/>
    <x v="1"/>
  </r>
  <r>
    <x v="0"/>
    <s v="TTI"/>
    <n v="357"/>
    <n v="3.06"/>
    <n v="-0.06"/>
    <n v="2.0499999999999998"/>
    <n v="0.88"/>
    <n v="-51"/>
    <n v="1.4926829268292685"/>
    <n v="55.88"/>
    <n v="6.84"/>
    <n v="2.25"/>
    <n v="3.4772727272727275"/>
    <s v="NO"/>
    <n v="-4.7941701713444136"/>
    <n v="0.32408835517837647"/>
    <n v="6.4499791529778978"/>
    <n v="0.79559645144180435"/>
    <n v="0.36696153602225712"/>
    <n v="-0.97898986990264669"/>
    <x v="0"/>
    <x v="1"/>
    <x v="0"/>
    <x v="1"/>
    <x v="0"/>
    <x v="1"/>
  </r>
  <r>
    <x v="0"/>
    <s v="TOLWF"/>
    <n v="584"/>
    <n v="3.31"/>
    <n v="0.41"/>
    <n v="1.86"/>
    <n v="0.36"/>
    <n v="8.073170731707318"/>
    <n v="1.7795698924731183"/>
    <n v="19.47"/>
    <n v="12.27"/>
    <n v="1.35"/>
    <n v="9.1944444444444446"/>
    <s v="NO"/>
    <n v="8.6298505606208456E-2"/>
    <n v="0.75073567400147412"/>
    <n v="1.3312228366315195"/>
    <n v="2.9842869128512199"/>
    <n v="-1.0539977364498438"/>
    <n v="-0.22368530261393554"/>
    <x v="1"/>
    <x v="1"/>
    <x v="1"/>
    <x v="0"/>
    <x v="0"/>
    <x v="1"/>
  </r>
  <r>
    <x v="0"/>
    <s v="FLOC"/>
    <n v="1558"/>
    <n v="16.96"/>
    <n v="3.5"/>
    <n v="-14.39"/>
    <n v="2.69"/>
    <n v="4.8457142857142861"/>
    <n v="-1.1785962473940237"/>
    <n v="12.52"/>
    <n v="7.5"/>
    <n v="-4.34"/>
    <n v="6.3048327137546476"/>
    <s v="NO"/>
    <n v="-0.18034538528006161"/>
    <n v="-3.6485358278428808"/>
    <n v="0.35414630824351279"/>
    <n v="1.0616251263092471"/>
    <n v="-10.037618025745685"/>
    <n v="-0.60543646312669708"/>
    <x v="1"/>
    <x v="0"/>
    <x v="1"/>
    <x v="1"/>
    <x v="1"/>
    <x v="1"/>
  </r>
  <r>
    <x v="1"/>
    <s v="KWTEF"/>
    <n v="566"/>
    <n v="12.88"/>
    <m/>
    <m/>
    <m/>
    <s v=""/>
    <s v=""/>
    <n v="6.02"/>
    <n v="5.77"/>
    <n v="1.64"/>
    <s v=""/>
    <s v="NO"/>
    <e v="#VALUE!"/>
    <e v="#VALUE!"/>
    <n v="3.6415431218035074E-2"/>
    <n v="0.39633915843303186"/>
    <n v="-0.10036472993461638"/>
    <e v="#VALUE!"/>
    <x v="0"/>
    <x v="0"/>
    <x v="1"/>
    <x v="1"/>
    <x v="0"/>
    <x v="0"/>
  </r>
  <r>
    <x v="1"/>
    <s v="PNRG"/>
    <n v="321"/>
    <n v="151.26"/>
    <n v="6.39"/>
    <n v="122.55"/>
    <n v="21.32"/>
    <n v="23.671361502347416"/>
    <n v="1.2342717258261933"/>
    <n v="28.43"/>
    <n v="12.31"/>
    <n v="1.66"/>
    <n v="7.0947467166979354"/>
    <s v="NO"/>
    <n v="2.2663281794626844"/>
    <n v="0.11471634778086709"/>
    <n v="1.357333803008123"/>
    <n v="1.6483225265697774"/>
    <n v="-5.7879046710760593E-2"/>
    <n v="0.23488106228328892"/>
    <x v="1"/>
    <x v="1"/>
    <x v="1"/>
    <x v="1"/>
    <x v="0"/>
    <x v="1"/>
  </r>
  <r>
    <x v="1"/>
    <s v="VTLE"/>
    <n v="577"/>
    <n v="17.899999999999999"/>
    <n v="-15.42"/>
    <n v="73.37"/>
    <n v="-3.4"/>
    <n v="-1.1608300907911802"/>
    <n v="0.24396892462859476"/>
    <n v="-4.6100000000000003"/>
    <n v="5.1100000000000003"/>
    <n v="2.13"/>
    <n v="-5.2647058823529411"/>
    <s v="NO"/>
    <n v="-7.9634349071006541E-2"/>
    <n v="-1.5831288812551545"/>
    <n v="-0.59015138235307774"/>
    <n v="0.26999221302473658"/>
    <n v="0.94053450904984959"/>
    <n v="-0.91912891969143451"/>
    <x v="1"/>
    <x v="1"/>
    <x v="1"/>
    <x v="1"/>
    <x v="0"/>
    <x v="1"/>
  </r>
  <r>
    <x v="1"/>
    <s v="TEN"/>
    <n v="547"/>
    <n v="17.57"/>
    <n v="2.2400000000000002"/>
    <n v="56.99"/>
    <n v="4.95"/>
    <n v="7.8437499999999991"/>
    <n v="0.30829970170205301"/>
    <n v="10.86"/>
    <n v="5.03"/>
    <n v="2.08"/>
    <n v="3.5494949494949495"/>
    <s v="NO"/>
    <n v="0.77105204318498388"/>
    <n v="-1.4728356428615401"/>
    <n v="0.32170079130121337"/>
    <n v="0.25467743176312502"/>
    <n v="0.83432030099021059"/>
    <n v="-9.6141359233984064E-2"/>
    <x v="1"/>
    <x v="1"/>
    <x v="1"/>
    <x v="1"/>
    <x v="0"/>
    <x v="1"/>
  </r>
  <r>
    <x v="1"/>
    <s v="NC"/>
    <n v="267"/>
    <n v="36.71"/>
    <n v="-1.73"/>
    <n v="54.97"/>
    <n v="4.6100000000000003"/>
    <n v="-21.219653179190754"/>
    <n v="0.66781881026014189"/>
    <n v="8.6199999999999992"/>
    <n v="-4.5599999999999996"/>
    <n v="1.55"/>
    <n v="7.9631236442516267"/>
    <s v="NO"/>
    <n v="-1.9746441856121466"/>
    <n v="-0.85645063165642887"/>
    <n v="0.1896678973784201"/>
    <n v="-1.5811819719725613"/>
    <n v="-0.291550304441967"/>
    <n v="0.31596197055834124"/>
    <x v="1"/>
    <x v="1"/>
    <x v="1"/>
    <x v="1"/>
    <x v="0"/>
    <x v="1"/>
  </r>
  <r>
    <x v="1"/>
    <s v="TNK"/>
    <n v="1524"/>
    <n v="43.89"/>
    <n v="9.2899999999999991"/>
    <n v="52.98"/>
    <n v="9.52"/>
    <n v="4.7244348762109798"/>
    <n v="0.82842582106455276"/>
    <n v="18.96"/>
    <n v="8.11"/>
    <n v="1.1100000000000001"/>
    <n v="4.6102941176470589"/>
    <s v="NO"/>
    <n v="0.47636212958430685"/>
    <n v="-0.581094602455825"/>
    <n v="0.7991411666470285"/>
    <n v="0.84429651033517017"/>
    <n v="-1.2262353353667934"/>
    <n v="2.9061365274403381E-3"/>
    <x v="1"/>
    <x v="1"/>
    <x v="1"/>
    <x v="1"/>
    <x v="0"/>
    <x v="1"/>
  </r>
  <r>
    <x v="1"/>
    <s v="NRP"/>
    <n v="1288"/>
    <n v="97.2"/>
    <n v="15.86"/>
    <n v="42.19"/>
    <n v="10.41"/>
    <n v="6.1286254728877685"/>
    <n v="2.3038634747570517"/>
    <n v="30.6"/>
    <n v="12.91"/>
    <n v="1.39"/>
    <n v="9.337175792507205"/>
    <s v="NO"/>
    <n v="0.60901971280113931"/>
    <n v="1.9485001619258089"/>
    <n v="1.4852406689958293"/>
    <n v="1.7631833860318642"/>
    <n v="-0.63143577023281328"/>
    <n v="0.44425809711677139"/>
    <x v="1"/>
    <x v="1"/>
    <x v="1"/>
    <x v="1"/>
    <x v="0"/>
    <x v="1"/>
  </r>
  <r>
    <x v="1"/>
    <s v="SMC"/>
    <n v="308"/>
    <n v="24.8"/>
    <n v="0.77"/>
    <n v="41.97"/>
    <n v="-25.29"/>
    <n v="32.20779220779221"/>
    <n v="0.59089826066237794"/>
    <n v="-23.24"/>
    <n v="1.45"/>
    <n v="5.44"/>
    <n v="-0.98062475286674577"/>
    <s v="NO"/>
    <n v="3.0727872665426728"/>
    <n v="-0.98832866733547087"/>
    <n v="-1.688264245648452"/>
    <n v="-0.43065902969399261"/>
    <n v="7.9719150825979783"/>
    <n v="-0.51912152879806495"/>
    <x v="0"/>
    <x v="1"/>
    <x v="1"/>
    <x v="1"/>
    <x v="1"/>
    <x v="1"/>
  </r>
  <r>
    <x v="1"/>
    <s v="INSW"/>
    <n v="1828"/>
    <n v="36.729999999999997"/>
    <n v="2.52"/>
    <n v="37.92"/>
    <n v="6.47"/>
    <n v="14.575396825396824"/>
    <n v="0.96861814345991548"/>
    <n v="17.57"/>
    <n v="7.78"/>
    <n v="1.36"/>
    <n v="5.6769706336939718"/>
    <s v="NO"/>
    <n v="1.4070084447161029"/>
    <n v="-0.34073896028395911"/>
    <n v="0.71721004050743797"/>
    <n v="0.78112303763102242"/>
    <n v="-0.69516429506859656"/>
    <n v="0.10250240401510302"/>
    <x v="1"/>
    <x v="1"/>
    <x v="1"/>
    <x v="1"/>
    <x v="0"/>
    <x v="1"/>
  </r>
  <r>
    <x v="1"/>
    <s v="WKC"/>
    <n v="1551"/>
    <n v="28.07"/>
    <n v="3.4"/>
    <n v="33.94"/>
    <n v="0.32"/>
    <n v="8.2558823529411764"/>
    <n v="0.82704773129051268"/>
    <n v="1"/>
    <n v="2.15"/>
    <n v="3.43"/>
    <n v="87.71875"/>
    <s v="NO"/>
    <n v="0.80998727180425611"/>
    <n v="-0.58345729712376659"/>
    <n v="-0.25947971498393912"/>
    <n v="-0.29665469365489139"/>
    <n v="3.7021039186004741"/>
    <n v="7.7627957356919142"/>
    <x v="1"/>
    <x v="1"/>
    <x v="1"/>
    <x v="1"/>
    <x v="1"/>
    <x v="0"/>
  </r>
  <r>
    <x v="1"/>
    <s v="REX"/>
    <n v="694"/>
    <n v="43.79"/>
    <n v="0.55000000000000004"/>
    <n v="32.56"/>
    <n v="3.24"/>
    <n v="79.61818181818181"/>
    <n v="1.3449017199017197"/>
    <n v="11.48"/>
    <n v="5.9"/>
    <n v="1.29"/>
    <n v="13.51543209876543"/>
    <s v="NO"/>
    <n v="7.5517716152253369"/>
    <n v="0.30438824147062049"/>
    <n v="0.35824561015484374"/>
    <n v="0.4212256779831508"/>
    <n v="-0.84386418635209182"/>
    <n v="0.83438455668514322"/>
    <x v="0"/>
    <x v="1"/>
    <x v="1"/>
    <x v="1"/>
    <x v="0"/>
    <x v="1"/>
  </r>
  <r>
    <x v="1"/>
    <s v="BTU"/>
    <n v="1600"/>
    <n v="13.46"/>
    <n v="1.6"/>
    <n v="30.16"/>
    <n v="2.72"/>
    <n v="8.4124999999999996"/>
    <n v="0.44628647214854111"/>
    <n v="11.04"/>
    <n v="3.82"/>
    <n v="1.58"/>
    <n v="4.9485294117647056"/>
    <s v="NO"/>
    <n v="0.82478335333129438"/>
    <n v="-1.2362613550888129"/>
    <n v="0.33231057742000925"/>
    <n v="2.3041365181250023E-2"/>
    <n v="-0.2278217796061833"/>
    <n v="3.4487381937766626E-2"/>
    <x v="1"/>
    <x v="1"/>
    <x v="1"/>
    <x v="1"/>
    <x v="0"/>
    <x v="1"/>
  </r>
  <r>
    <x v="1"/>
    <s v="LPG"/>
    <n v="913"/>
    <n v="22.31"/>
    <n v="5.92"/>
    <n v="24.47"/>
    <n v="2.14"/>
    <n v="3.7685810810810807"/>
    <n v="0.91172864732325298"/>
    <n v="8.7100000000000009"/>
    <n v="3.89"/>
    <n v="1.7"/>
    <n v="10.425233644859812"/>
    <s v="NO"/>
    <n v="0.38606010458096152"/>
    <n v="-0.43827433984775249"/>
    <n v="0.19497279043781815"/>
    <n v="3.6441798785160191E-2"/>
    <n v="2.7092319736950993E-2"/>
    <n v="0.54585075362951307"/>
    <x v="1"/>
    <x v="1"/>
    <x v="1"/>
    <x v="1"/>
    <x v="0"/>
    <x v="1"/>
  </r>
  <r>
    <x v="1"/>
    <s v="REPX"/>
    <n v="565"/>
    <n v="27.21"/>
    <n v="6.02"/>
    <n v="24.33"/>
    <n v="4.67"/>
    <n v="4.5199335548172765"/>
    <n v="1.1183723797780518"/>
    <n v="20.43"/>
    <n v="10.6"/>
    <n v="1.87"/>
    <n v="5.8265524625267666"/>
    <s v="NO"/>
    <n v="0.4570423512543984"/>
    <n v="-8.3989695964805239E-2"/>
    <n v="0.8857877532838615"/>
    <n v="1.3209690771028302"/>
    <n v="0.38822062713972522"/>
    <n v="0.11646895489684156"/>
    <x v="1"/>
    <x v="1"/>
    <x v="1"/>
    <x v="1"/>
    <x v="0"/>
    <x v="1"/>
  </r>
  <r>
    <x v="1"/>
    <s v="FECCF"/>
    <n v="325"/>
    <n v="4.62"/>
    <n v="2.25"/>
    <n v="22.31"/>
    <n v="0.14000000000000001"/>
    <n v="2.0533333333333332"/>
    <n v="0.20708202599731063"/>
    <n v="0.64"/>
    <n v="2.08"/>
    <n v="1.66"/>
    <n v="33"/>
    <s v="NO"/>
    <n v="0.22401613321921218"/>
    <n v="-1.6463703916086778"/>
    <n v="-0.28069928722153092"/>
    <n v="-0.31005512725880147"/>
    <n v="-5.7879046710760593E-2"/>
    <n v="2.653671104555047"/>
    <x v="1"/>
    <x v="1"/>
    <x v="1"/>
    <x v="1"/>
    <x v="0"/>
    <x v="1"/>
  </r>
  <r>
    <x v="1"/>
    <s v="TRMD"/>
    <n v="1565"/>
    <n v="17.010000000000002"/>
    <n v="3.7"/>
    <n v="21.9"/>
    <n v="4.74"/>
    <n v="4.5972972972972972"/>
    <n v="0.77671232876712337"/>
    <n v="22.11"/>
    <n v="8.48"/>
    <n v="1.63"/>
    <n v="3.5886075949367089"/>
    <s v="NO"/>
    <n v="0.46435110772257127"/>
    <n v="-0.6697558746119785"/>
    <n v="0.98481242372595634"/>
    <n v="0.91512737367012387"/>
    <n v="-0.12160757154654428"/>
    <n v="-9.2489386551577818E-2"/>
    <x v="1"/>
    <x v="1"/>
    <x v="1"/>
    <x v="1"/>
    <x v="0"/>
    <x v="1"/>
  </r>
  <r>
    <x v="1"/>
    <s v="PARR"/>
    <n v="1114"/>
    <n v="21.34"/>
    <n v="-1.75"/>
    <n v="21.25"/>
    <n v="-1.0900000000000001"/>
    <n v="-12.194285714285714"/>
    <n v="1.0042352941176471"/>
    <n v="-4.95"/>
    <n v="0.16"/>
    <n v="3.38"/>
    <n v="-19.577981651376145"/>
    <s v="NO"/>
    <n v="-1.1219939553858016"/>
    <n v="-0.27967439574576325"/>
    <n v="-0.61019208946635883"/>
    <n v="-0.67760987753747903"/>
    <n v="3.5958897105408343"/>
    <n v="-2.2555686187666315"/>
    <x v="1"/>
    <x v="1"/>
    <x v="1"/>
    <x v="1"/>
    <x v="1"/>
    <x v="1"/>
  </r>
  <r>
    <x v="1"/>
    <s v="EE"/>
    <n v="900"/>
    <n v="31.83"/>
    <n v="7.65"/>
    <n v="20.8"/>
    <n v="1.53"/>
    <n v="4.1607843137254896"/>
    <n v="1.5302884615384613"/>
    <n v="9.42"/>
    <n v="5.0999999999999996"/>
    <n v="5.84"/>
    <n v="20.803921568627448"/>
    <s v="NO"/>
    <n v="0.42311257672795466"/>
    <n v="0.62222839544557684"/>
    <n v="0.23682250235084631"/>
    <n v="0.26807786536703504"/>
    <n v="8.821628747075092"/>
    <n v="1.5149154729479184"/>
    <x v="1"/>
    <x v="1"/>
    <x v="1"/>
    <x v="1"/>
    <x v="1"/>
    <x v="1"/>
  </r>
  <r>
    <x v="1"/>
    <s v="PARXF"/>
    <n v="959"/>
    <n v="10.6"/>
    <n v="2.25"/>
    <n v="19.23"/>
    <n v="0.81"/>
    <n v="4.7111111111111112"/>
    <n v="0.55122204888195525"/>
    <n v="4.22"/>
    <n v="9.66"/>
    <n v="1.17"/>
    <n v="13.086419753086419"/>
    <s v="NO"/>
    <n v="0.47510339841086047"/>
    <n v="-1.0563523736161644"/>
    <n v="-6.9682429969923798E-2"/>
    <n v="1.1410203972788944"/>
    <n v="-1.0987782856952266"/>
    <n v="0.79432739999990387"/>
    <x v="1"/>
    <x v="1"/>
    <x v="1"/>
    <x v="1"/>
    <x v="0"/>
    <x v="1"/>
  </r>
  <r>
    <x v="1"/>
    <s v="GLP"/>
    <n v="1781"/>
    <n v="54"/>
    <n v="-4.6399999999999997"/>
    <n v="18.29"/>
    <n v="3.13"/>
    <n v="-11.63793103448276"/>
    <n v="2.9524330235101148"/>
    <n v="18.09"/>
    <n v="4.67"/>
    <n v="6.16"/>
    <n v="17.252396166134186"/>
    <s v="NO"/>
    <n v="-1.0694336637781641"/>
    <n v="3.0604537105947207"/>
    <n v="0.747860533739515"/>
    <n v="0.18576091608587292"/>
    <n v="9.5013996786567851"/>
    <n v="1.1833072780972207"/>
    <x v="1"/>
    <x v="1"/>
    <x v="1"/>
    <x v="1"/>
    <x v="1"/>
    <x v="1"/>
  </r>
  <r>
    <x v="1"/>
    <s v="STR"/>
    <n v="1323"/>
    <n v="19.95"/>
    <n v="1.42"/>
    <n v="18.28"/>
    <n v="0.52"/>
    <n v="14.049295774647888"/>
    <n v="1.0913566739606126"/>
    <n v="3"/>
    <n v="2.87"/>
    <n v="3.28"/>
    <n v="38.365384615384613"/>
    <s v="NO"/>
    <n v="1.357306293109789"/>
    <n v="-0.13030733454535842"/>
    <n v="-0.14159320255287369"/>
    <n v="-0.15882166230038725"/>
    <n v="3.3834612944215552"/>
    <n v="3.1546404924519624"/>
    <x v="1"/>
    <x v="1"/>
    <x v="1"/>
    <x v="1"/>
    <x v="1"/>
    <x v="0"/>
  </r>
  <r>
    <x v="1"/>
    <s v="BKV"/>
    <n v="1821"/>
    <n v="22.54"/>
    <n v="-0.22"/>
    <n v="17.54"/>
    <n v="-2.41"/>
    <n v="-102.45454545454545"/>
    <n v="1.2850627137970354"/>
    <n v="-13.36"/>
    <n v="-5.5"/>
    <n v="1.52"/>
    <n v="-9.3526970954356834"/>
    <s v="NO"/>
    <n v="-9.6491183685558202"/>
    <n v="0.20179601321252477"/>
    <n v="-1.105904874238989"/>
    <n v="-1.7611306517964971"/>
    <n v="-0.35527882927775067"/>
    <n v="-1.3008272698663219"/>
    <x v="0"/>
    <x v="1"/>
    <x v="1"/>
    <x v="1"/>
    <x v="0"/>
    <x v="1"/>
  </r>
  <r>
    <x v="1"/>
    <s v="VTS"/>
    <n v="808"/>
    <n v="23.24"/>
    <n v="0.64"/>
    <n v="16.440000000000001"/>
    <n v="0.76"/>
    <n v="36.3125"/>
    <n v="1.4136253041362528"/>
    <n v="4.3499999999999996"/>
    <n v="3.74"/>
    <n v="1.46"/>
    <n v="30.578947368421051"/>
    <s v="NO"/>
    <n v="3.4605698202887729"/>
    <n v="0.42221281944187389"/>
    <n v="-6.2019806661904556E-2"/>
    <n v="7.7265839196385289E-3"/>
    <n v="-0.48273587894931802"/>
    <n v="2.4276158742495535"/>
    <x v="0"/>
    <x v="1"/>
    <x v="1"/>
    <x v="1"/>
    <x v="0"/>
    <x v="1"/>
  </r>
  <r>
    <x v="1"/>
    <s v="TALO"/>
    <n v="1435"/>
    <n v="8.2799999999999994"/>
    <n v="3.55"/>
    <n v="15.31"/>
    <n v="0.14000000000000001"/>
    <n v="2.3323943661971831"/>
    <n v="0.54082299150881774"/>
    <n v="0.95"/>
    <n v="1.97"/>
    <n v="2.25"/>
    <n v="59.142857142857132"/>
    <s v="NO"/>
    <n v="0.25037976382414806"/>
    <n v="-1.0741812537587849"/>
    <n v="-0.26242687779471574"/>
    <n v="-0.33111295149351738"/>
    <n v="1.1954486083929843"/>
    <n v="5.0946463709283423"/>
    <x v="1"/>
    <x v="1"/>
    <x v="1"/>
    <x v="1"/>
    <x v="0"/>
    <x v="0"/>
  </r>
  <r>
    <x v="1"/>
    <s v="ASC"/>
    <n v="390"/>
    <n v="9.59"/>
    <n v="1.99"/>
    <n v="15.03"/>
    <n v="2.2999999999999998"/>
    <n v="4.8190954773869343"/>
    <n v="0.63805721889554223"/>
    <n v="16.09"/>
    <n v="8.42"/>
    <n v="1.1299999999999999"/>
    <n v="4.1695652173913045"/>
    <s v="NO"/>
    <n v="0.48530496583999289"/>
    <n v="-0.90747601080894391"/>
    <n v="0.62997402130844948"/>
    <n v="0.90364128772391505"/>
    <n v="-1.1837496521429383"/>
    <n v="-3.8245002340873323E-2"/>
    <x v="1"/>
    <x v="1"/>
    <x v="1"/>
    <x v="1"/>
    <x v="0"/>
    <x v="1"/>
  </r>
  <r>
    <x v="1"/>
    <s v="FLNG"/>
    <n v="1293"/>
    <n v="23.64"/>
    <n v="3.49"/>
    <n v="14.51"/>
    <n v="1.91"/>
    <n v="6.7736389684813751"/>
    <n v="1.6292212267401793"/>
    <n v="12.69"/>
    <n v="4.55"/>
    <n v="3.35"/>
    <n v="12.37696335078534"/>
    <s v="NO"/>
    <n v="0.66995583619506638"/>
    <n v="0.79184573187029905"/>
    <n v="0.42956695017563828"/>
    <n v="0.16278874419345554"/>
    <n v="3.5321611857050512"/>
    <n v="0.7280850026550415"/>
    <x v="1"/>
    <x v="1"/>
    <x v="1"/>
    <x v="1"/>
    <x v="1"/>
    <x v="1"/>
  </r>
  <r>
    <x v="1"/>
    <s v="CLCO"/>
    <n v="322"/>
    <n v="6.86"/>
    <n v="-3.87"/>
    <n v="14.35"/>
    <n v="1.31"/>
    <n v="-1.772609819121447"/>
    <n v="0.47804878048780491"/>
    <n v="9.17"/>
    <n v="4.3600000000000003"/>
    <n v="3.05"/>
    <n v="5.2366412213740459"/>
    <s v="NO"/>
    <n v="-0.13743079095960298"/>
    <n v="-1.1818058051178604"/>
    <n v="0.22208668829696315"/>
    <n v="0.12641613869712817"/>
    <n v="2.8948759373472144"/>
    <n v="6.1388565590472427E-2"/>
    <x v="1"/>
    <x v="1"/>
    <x v="1"/>
    <x v="1"/>
    <x v="0"/>
    <x v="1"/>
  </r>
  <r>
    <x v="1"/>
    <s v="TXO"/>
    <n v="793"/>
    <n v="15.03"/>
    <n v="-4.7"/>
    <n v="14.3"/>
    <n v="0.4"/>
    <n v="-3.1978723404255316"/>
    <n v="1.0510489510489509"/>
    <n v="2.97"/>
    <n v="-0.95"/>
    <n v="1.76"/>
    <n v="37.574999999999996"/>
    <s v="NO"/>
    <n v="-0.2720790943830797"/>
    <n v="-0.19941374821611557"/>
    <n v="-0.14336150023933966"/>
    <n v="-0.89010246754233946"/>
    <n v="0.15454936940851838"/>
    <n v="3.0808417761703732"/>
    <x v="1"/>
    <x v="1"/>
    <x v="1"/>
    <x v="1"/>
    <x v="0"/>
    <x v="0"/>
  </r>
  <r>
    <x v="1"/>
    <s v="OBE"/>
    <n v="338"/>
    <n v="5.36"/>
    <n v="-0.38"/>
    <n v="13.46"/>
    <n v="-1.85"/>
    <n v="-14.105263157894738"/>
    <n v="0.39821693907875183"/>
    <n v="-13.02"/>
    <n v="-6.09"/>
    <n v="1.54"/>
    <n v="-2.8972972972972975"/>
    <s v="NO"/>
    <n v="-1.3025290265157536"/>
    <n v="-1.3186751655777182"/>
    <n v="-1.0858641671257077"/>
    <n v="-1.8740771636008824"/>
    <n v="-0.31279314605389485"/>
    <n v="-0.69808246826714826"/>
    <x v="1"/>
    <x v="1"/>
    <x v="1"/>
    <x v="1"/>
    <x v="0"/>
    <x v="1"/>
  </r>
  <r>
    <x v="1"/>
    <s v="VET"/>
    <n v="1006"/>
    <n v="7.31"/>
    <n v="-3.64"/>
    <n v="12.99"/>
    <n v="-0.15"/>
    <n v="-2.0082417582417582"/>
    <n v="0.56274056966897612"/>
    <n v="-1.1599999999999999"/>
    <n v="1.47"/>
    <n v="2.46"/>
    <n v="-48.733333333333334"/>
    <s v="NO"/>
    <n v="-0.15969156072004254"/>
    <n v="-1.0366042061464318"/>
    <n v="-0.38679714840948981"/>
    <n v="-0.42683033437858964"/>
    <n v="1.6415482822434697"/>
    <n v="-4.9778224240480968"/>
    <x v="1"/>
    <x v="1"/>
    <x v="1"/>
    <x v="1"/>
    <x v="0"/>
    <x v="0"/>
  </r>
  <r>
    <x v="1"/>
    <s v="HPK"/>
    <n v="1247"/>
    <n v="11.13"/>
    <n v="0.19"/>
    <n v="12.96"/>
    <n v="0.88"/>
    <n v="58.578947368421055"/>
    <n v="0.85879629629629628"/>
    <n v="7.85"/>
    <n v="6.6"/>
    <n v="1.89"/>
    <n v="12.647727272727273"/>
    <s v="NO"/>
    <n v="5.564139735733403"/>
    <n v="-0.5290253096966665"/>
    <n v="0.14428159009245994"/>
    <n v="0.55523001402225181"/>
    <n v="0.43070631036358054"/>
    <n v="0.75336640295780333"/>
    <x v="0"/>
    <x v="1"/>
    <x v="1"/>
    <x v="1"/>
    <x v="0"/>
    <x v="1"/>
  </r>
  <r>
    <x v="1"/>
    <s v="PRMRF"/>
    <n v="1990"/>
    <n v="14.8156"/>
    <n v="-0.38"/>
    <n v="12.84"/>
    <n v="7.26"/>
    <n v="-38.98842105263158"/>
    <n v="1.1538629283489097"/>
    <n v="50.23"/>
    <n v="5.64"/>
    <n v="1.37"/>
    <n v="2.0407162534435264"/>
    <s v="NO"/>
    <n v="-3.6533064757671334"/>
    <n v="-2.3142187006907358E-2"/>
    <n v="2.6422967885067359"/>
    <n v="0.37145263888291308"/>
    <n v="-0.67392145345666865"/>
    <n v="-0.23701698959708428"/>
    <x v="0"/>
    <x v="1"/>
    <x v="1"/>
    <x v="1"/>
    <x v="0"/>
    <x v="1"/>
  </r>
  <r>
    <x v="1"/>
    <s v="ECO"/>
    <n v="751"/>
    <n v="21.88"/>
    <n v="3.12"/>
    <n v="12.79"/>
    <n v="2.48"/>
    <n v="7.0128205128205119"/>
    <n v="1.7107114933541829"/>
    <n v="19.010000000000002"/>
    <n v="7.34"/>
    <n v="2.6"/>
    <n v="8.82258064516129"/>
    <s v="NO"/>
    <n v="0.69255194650743512"/>
    <n v="0.93155841390668204"/>
    <n v="0.80208832945780517"/>
    <n v="0.69689174069215887"/>
    <n v="1.9389480648104602"/>
    <n v="0.39621001958633589"/>
    <x v="1"/>
    <x v="1"/>
    <x v="1"/>
    <x v="1"/>
    <x v="0"/>
    <x v="1"/>
  </r>
  <r>
    <x v="1"/>
    <s v="SD"/>
    <n v="360"/>
    <n v="10.71"/>
    <n v="-2.31"/>
    <n v="12.66"/>
    <n v="1.74"/>
    <n v="-4.6363636363636367"/>
    <n v="0.84597156398104267"/>
    <n v="14.68"/>
    <n v="4.2"/>
    <n v="1.27"/>
    <n v="6.1551724137931041"/>
    <s v="NO"/>
    <n v="-0.40797715498056292"/>
    <n v="-0.55101293868124079"/>
    <n v="0.54686403004454842"/>
    <n v="9.5786576173905014E-2"/>
    <n v="-0.88634986957594764"/>
    <n v="0.14715240960474044"/>
    <x v="1"/>
    <x v="1"/>
    <x v="1"/>
    <x v="1"/>
    <x v="0"/>
    <x v="1"/>
  </r>
  <r>
    <x v="1"/>
    <s v="GPRE"/>
    <n v="272"/>
    <n v="4.25"/>
    <n v="-1.94"/>
    <n v="12.2"/>
    <n v="-1.63"/>
    <n v="-2.1907216494845363"/>
    <n v="0.34836065573770492"/>
    <n v="-12.03"/>
    <n v="-2.91"/>
    <n v="2.09"/>
    <n v="-2.6073619631901841"/>
    <s v="NO"/>
    <n v="-0.17693091655622845"/>
    <n v="-1.4041523072213622"/>
    <n v="-1.0275103434723303"/>
    <n v="-1.2653146084518228"/>
    <n v="0.85556314260213806"/>
    <n v="-0.67101102096757459"/>
    <x v="1"/>
    <x v="1"/>
    <x v="1"/>
    <x v="1"/>
    <x v="0"/>
    <x v="1"/>
  </r>
  <r>
    <x v="1"/>
    <s v="BWLP"/>
    <n v="1583"/>
    <n v="11.11"/>
    <n v="-1.2"/>
    <n v="11.72"/>
    <n v="1.86"/>
    <n v="-9.2583333333333329"/>
    <n v="0.94795221843003408"/>
    <n v="17.41"/>
    <n v="7.1"/>
    <n v="1.89"/>
    <n v="5.9731182795698921"/>
    <s v="NO"/>
    <n v="-0.84462680293612868"/>
    <n v="-0.37617008516128753"/>
    <n v="0.70777911951295269"/>
    <n v="0.65094739690732417"/>
    <n v="0.43070631036358054"/>
    <n v="0.13015389883174014"/>
    <x v="1"/>
    <x v="1"/>
    <x v="1"/>
    <x v="1"/>
    <x v="0"/>
    <x v="1"/>
  </r>
  <r>
    <x v="1"/>
    <s v="MNR"/>
    <n v="1576"/>
    <n v="13.42"/>
    <n v="1.3"/>
    <n v="11.65"/>
    <n v="1.56"/>
    <n v="10.323076923076922"/>
    <n v="1.1519313304721031"/>
    <n v="12.64"/>
    <n v="7.55"/>
    <n v="1.63"/>
    <n v="8.6025641025641022"/>
    <s v="NO"/>
    <n v="1.0052805862319185"/>
    <n v="-2.64538551508187E-2"/>
    <n v="0.42661978736486172"/>
    <n v="0.73709304150388921"/>
    <n v="-0.12160757154654428"/>
    <n v="0.37566693450049482"/>
    <x v="1"/>
    <x v="1"/>
    <x v="1"/>
    <x v="1"/>
    <x v="0"/>
    <x v="1"/>
  </r>
  <r>
    <x v="1"/>
    <s v="FRVWY"/>
    <n v="1368"/>
    <n v="17.100000000000001"/>
    <n v="4.47"/>
    <n v="11.55"/>
    <n v="2.31"/>
    <n v="3.8255033557046985"/>
    <n v="1.4805194805194806"/>
    <n v="24.48"/>
    <n v="11.34"/>
    <n v="1.89"/>
    <n v="7.4025974025974026"/>
    <s v="NO"/>
    <n v="0.39143770175377041"/>
    <n v="0.53690093108329018"/>
    <n v="1.1245079409567691"/>
    <n v="1.4626308037727371"/>
    <n v="0.43070631036358054"/>
    <n v="0.26362527742053798"/>
    <x v="1"/>
    <x v="1"/>
    <x v="1"/>
    <x v="1"/>
    <x v="0"/>
    <x v="1"/>
  </r>
  <r>
    <x v="1"/>
    <s v="DEC"/>
    <n v="829"/>
    <n v="14.33"/>
    <n v="0.11"/>
    <n v="8.82"/>
    <n v="-1.84"/>
    <n v="130.27272727272728"/>
    <n v="1.6247165532879819"/>
    <n v="-16.37"/>
    <n v="-0.91"/>
    <n v="8.84"/>
    <n v="-7.7880434782608692"/>
    <s v="NO"/>
    <n v="12.33723990909535"/>
    <n v="0.78412260080379159"/>
    <n v="-1.2833240754477424"/>
    <n v="-0.88244507691153362"/>
    <n v="15.194481230653455"/>
    <n v="-1.1547345624359577"/>
    <x v="0"/>
    <x v="1"/>
    <x v="1"/>
    <x v="1"/>
    <x v="1"/>
    <x v="1"/>
  </r>
  <r>
    <x v="1"/>
    <s v="TK"/>
    <n v="706"/>
    <n v="8.39"/>
    <n v="5.0599999999999996"/>
    <n v="8.44"/>
    <n v="1.85"/>
    <n v="1.6581027667984192"/>
    <n v="0.99407582938388639"/>
    <n v="21.5"/>
    <n v="9.56"/>
    <n v="3.03"/>
    <n v="4.5351351351351354"/>
    <s v="NO"/>
    <n v="0.18667766086793389"/>
    <n v="-0.29709250130591663"/>
    <n v="0.94885703743448135"/>
    <n v="1.1218769207018799"/>
    <n v="2.8523902541233586"/>
    <n v="-4.1115056665581183E-3"/>
    <x v="1"/>
    <x v="1"/>
    <x v="1"/>
    <x v="1"/>
    <x v="0"/>
    <x v="1"/>
  </r>
  <r>
    <x v="1"/>
    <s v="GFR"/>
    <n v="294"/>
    <n v="4.54"/>
    <n v="0.8"/>
    <n v="8.33"/>
    <n v="1.78"/>
    <n v="5.6749999999999998"/>
    <n v="0.54501800720288118"/>
    <n v="24.83"/>
    <n v="8.1199999999999992"/>
    <n v="1.52"/>
    <n v="2.5505617977528088"/>
    <s v="NO"/>
    <n v="0.56616451987982153"/>
    <n v="-1.0669890218744731"/>
    <n v="1.1451380806322053"/>
    <n v="0.84621085799287155"/>
    <n v="-0.35527882927775067"/>
    <n v="-0.18941238553529671"/>
    <x v="1"/>
    <x v="1"/>
    <x v="1"/>
    <x v="1"/>
    <x v="0"/>
    <x v="1"/>
  </r>
  <r>
    <x v="1"/>
    <s v="IPCFF"/>
    <n v="1643"/>
    <n v="15.11"/>
    <n v="-0.99"/>
    <n v="7.76"/>
    <n v="0.68"/>
    <n v="-15.262626262626263"/>
    <n v="1.9471649484536082"/>
    <n v="8.92"/>
    <n v="5.45"/>
    <n v="2.13"/>
    <n v="22.220588235294116"/>
    <s v="NO"/>
    <n v="-1.4118681666163717"/>
    <n v="1.3369509566159876"/>
    <n v="0.20735087424307996"/>
    <n v="0.33508003338658571"/>
    <n v="0.94053450904984959"/>
    <n v="1.6471905443042125"/>
    <x v="1"/>
    <x v="1"/>
    <x v="1"/>
    <x v="1"/>
    <x v="0"/>
    <x v="1"/>
  </r>
  <r>
    <x v="1"/>
    <s v="DMLP"/>
    <n v="1267"/>
    <n v="27.65"/>
    <n v="3.16"/>
    <n v="7.3"/>
    <n v="2.0299999999999998"/>
    <n v="8.75"/>
    <n v="3.7876712328767121"/>
    <n v="35.19"/>
    <n v="21.52"/>
    <n v="1.01"/>
    <n v="13.620689655172415"/>
    <s v="NO"/>
    <n v="0.85666786704448972"/>
    <n v="4.492445225883495"/>
    <n v="1.7557902150251241"/>
    <n v="3.4114367193128081"/>
    <n v="-1.4386637514860725"/>
    <n v="0.84421252194480645"/>
    <x v="1"/>
    <x v="0"/>
    <x v="1"/>
    <x v="0"/>
    <x v="0"/>
    <x v="1"/>
  </r>
  <r>
    <x v="1"/>
    <s v="AAVVF"/>
    <n v="1359"/>
    <n v="8.49"/>
    <n v="-0.28000000000000003"/>
    <n v="6.7"/>
    <n v="-0.13"/>
    <n v="-30.321428571428569"/>
    <n v="1.2671641791044777"/>
    <n v="-2.0299999999999998"/>
    <n v="0.66"/>
    <n v="1.84"/>
    <n v="-65.307692307692307"/>
    <s v="NO"/>
    <n v="-2.8345128739328285"/>
    <n v="0.17110949824180594"/>
    <n v="-0.4380777813170032"/>
    <n v="-0.58189249465240667"/>
    <n v="0.32449210230394154"/>
    <n v="-6.5253809059432744"/>
    <x v="1"/>
    <x v="1"/>
    <x v="1"/>
    <x v="1"/>
    <x v="0"/>
    <x v="0"/>
  </r>
  <r>
    <x v="1"/>
    <s v="CMBT"/>
    <n v="1715"/>
    <n v="9.74"/>
    <n v="-4.84"/>
    <n v="6.59"/>
    <n v="2.16"/>
    <n v="-2.0123966942148761"/>
    <n v="1.4779969650986344"/>
    <n v="18.23"/>
    <n v="3.37"/>
    <n v="6.43"/>
    <n v="4.5092592592592586"/>
    <s v="NO"/>
    <n v="-0.16008408846230129"/>
    <n v="0.53257615206895836"/>
    <n v="0.75611258960968952"/>
    <n v="-6.3104279415314976E-2"/>
    <n v="10.074956402178836"/>
    <n v="-6.5275527215380375E-3"/>
    <x v="1"/>
    <x v="1"/>
    <x v="1"/>
    <x v="1"/>
    <x v="1"/>
    <x v="1"/>
  </r>
  <r>
    <x v="1"/>
    <s v="DHT"/>
    <n v="1860"/>
    <n v="11.29"/>
    <n v="1.05"/>
    <n v="6.58"/>
    <n v="1.1000000000000001"/>
    <n v="10.752380952380951"/>
    <n v="1.71580547112462"/>
    <n v="16.95"/>
    <n v="7.52"/>
    <n v="1.38"/>
    <n v="10.263636363636362"/>
    <s v="NO"/>
    <n v="1.0458380683340647"/>
    <n v="0.94029189001509339"/>
    <n v="0.68066522165380761"/>
    <n v="0.73134999853078486"/>
    <n v="-0.65267861184474119"/>
    <n v="0.53076231228493775"/>
    <x v="1"/>
    <x v="1"/>
    <x v="1"/>
    <x v="1"/>
    <x v="0"/>
    <x v="1"/>
  </r>
  <r>
    <x v="1"/>
    <s v="NFE"/>
    <n v="683"/>
    <n v="2.88"/>
    <n v="-9.35"/>
    <n v="6.39"/>
    <n v="-2.3199999999999998"/>
    <n v="-0.30802139037433157"/>
    <n v="0.45070422535211269"/>
    <n v="-26.07"/>
    <n v="1.91"/>
    <n v="7.45"/>
    <n v="-1.2413793103448276"/>
    <s v="NO"/>
    <n v="9.3273449395130017E-4"/>
    <n v="-1.2286872462499083"/>
    <n v="-1.8550736607384097"/>
    <n v="-0.34259903743972608"/>
    <n v="12.241726246595482"/>
    <n v="-0.5434683483488123"/>
    <x v="1"/>
    <x v="1"/>
    <x v="1"/>
    <x v="1"/>
    <x v="1"/>
    <x v="1"/>
  </r>
  <r>
    <x v="1"/>
    <s v="KRP"/>
    <n v="1223"/>
    <n v="13.61"/>
    <n v="3.03"/>
    <n v="6.37"/>
    <n v="7.0000000000000007E-2"/>
    <n v="4.4917491749174916"/>
    <n v="2.1365777080062793"/>
    <n v="2.77"/>
    <n v="5.21"/>
    <n v="2.23"/>
    <n v="194.42857142857139"/>
    <s v="NO"/>
    <n v="0.4543796986694722"/>
    <n v="1.6616936007205367"/>
    <n v="-0.15515015148244621"/>
    <n v="0.28913568960175096"/>
    <n v="1.1529629251691285"/>
    <n v="17.726359907843705"/>
    <x v="1"/>
    <x v="1"/>
    <x v="1"/>
    <x v="1"/>
    <x v="0"/>
    <x v="0"/>
  </r>
  <r>
    <x v="1"/>
    <s v="BIREF"/>
    <n v="1288"/>
    <n v="5.13"/>
    <n v="-7.0000000000000007E-2"/>
    <n v="5.76"/>
    <n v="0.35"/>
    <n v="-73.285714285714278"/>
    <n v="0.890625"/>
    <n v="6.16"/>
    <n v="4.1900000000000004"/>
    <n v="1.56"/>
    <n v="14.657142857142858"/>
    <s v="NO"/>
    <n v="-6.8934620799618171"/>
    <n v="-0.4744559268125807"/>
    <n v="4.4667487088209688E-2"/>
    <n v="9.387222851620361E-2"/>
    <n v="-0.27030746283003909"/>
    <n v="0.9409868192964066"/>
    <x v="0"/>
    <x v="1"/>
    <x v="1"/>
    <x v="1"/>
    <x v="0"/>
    <x v="1"/>
  </r>
  <r>
    <x v="1"/>
    <s v="KGEI"/>
    <n v="258"/>
    <n v="6.75"/>
    <n v="0.21"/>
    <n v="5.42"/>
    <n v="0.56999999999999995"/>
    <n v="32.142857142857146"/>
    <n v="1.2453874538745389"/>
    <n v="11.12"/>
    <n v="7.55"/>
    <n v="1.3"/>
    <n v="11.842105263157896"/>
    <s v="NO"/>
    <n v="3.0666526799696672"/>
    <n v="0.13377393886444489"/>
    <n v="0.33702603791725189"/>
    <n v="0.73709304150388921"/>
    <n v="-0.82262134474016391"/>
    <n v="0.67814496145051584"/>
    <x v="0"/>
    <x v="1"/>
    <x v="1"/>
    <x v="1"/>
    <x v="0"/>
    <x v="1"/>
  </r>
  <r>
    <x v="1"/>
    <s v="ZPTAF"/>
    <n v="381"/>
    <n v="4.1449999999999996"/>
    <n v="0.66"/>
    <n v="5.1100000000000003"/>
    <n v="-0.28999999999999998"/>
    <n v="6.2803030303030294"/>
    <n v="0.81115459882583152"/>
    <n v="-5.35"/>
    <n v="1.5"/>
    <n v="1.89"/>
    <n v="-14.293103448275861"/>
    <s v="NO"/>
    <n v="0.6233490910511863"/>
    <n v="-0.61070560854625666"/>
    <n v="-0.63376939195257187"/>
    <n v="-0.42108729140548529"/>
    <n v="0.43070631036358054"/>
    <n v="-1.7621161659964564"/>
    <x v="1"/>
    <x v="1"/>
    <x v="1"/>
    <x v="1"/>
    <x v="0"/>
    <x v="1"/>
  </r>
  <r>
    <x v="1"/>
    <s v="VLERF"/>
    <n v="511"/>
    <n v="5.47"/>
    <n v="0.83"/>
    <n v="5.07"/>
    <n v="2.16"/>
    <n v="6.5903614457831328"/>
    <n v="1.0788954635108481"/>
    <n v="55.9"/>
    <n v="18.96"/>
    <n v="1.53"/>
    <n v="2.532407407407407"/>
    <s v="NO"/>
    <n v="0.65264112601494029"/>
    <n v="-0.15167171590887737"/>
    <n v="2.9765050512488065"/>
    <n v="2.9213637189412389"/>
    <n v="-0.33403598766582276"/>
    <n v="-0.19110747255532123"/>
    <x v="1"/>
    <x v="1"/>
    <x v="0"/>
    <x v="0"/>
    <x v="0"/>
    <x v="1"/>
  </r>
  <r>
    <x v="1"/>
    <s v="ISOU"/>
    <n v="358"/>
    <n v="7.73"/>
    <n v="-0.52"/>
    <n v="4.87"/>
    <n v="-0.56000000000000005"/>
    <n v="-14.865384615384615"/>
    <n v="1.5872689938398359"/>
    <n v="-9.66"/>
    <n v="-2.85"/>
    <n v="1.1000000000000001"/>
    <n v="-13.803571428571429"/>
    <s v="NO"/>
    <n v="-1.3743397021751016"/>
    <n v="0.71991985385489021"/>
    <n v="-0.88781482624151786"/>
    <n v="-1.2538285225056141"/>
    <n v="-1.2474781769787213"/>
    <n v="-1.7164082486993311"/>
    <x v="1"/>
    <x v="1"/>
    <x v="1"/>
    <x v="1"/>
    <x v="0"/>
    <x v="1"/>
  </r>
  <r>
    <x v="1"/>
    <s v="EGY"/>
    <n v="333"/>
    <n v="3.56"/>
    <n v="-0.2"/>
    <n v="4.8600000000000003"/>
    <n v="0.56000000000000005"/>
    <n v="-17.8"/>
    <n v="0.73251028806584362"/>
    <n v="11.99"/>
    <n v="9.4"/>
    <n v="1.84"/>
    <n v="6.3571428571428568"/>
    <s v="NO"/>
    <n v="-1.6515805450602075"/>
    <n v="-0.74553898239231209"/>
    <n v="0.38830667082476539"/>
    <n v="1.0912473581786568"/>
    <n v="0.32449210230394154"/>
    <n v="0.16601051887952933"/>
    <x v="1"/>
    <x v="1"/>
    <x v="1"/>
    <x v="1"/>
    <x v="0"/>
    <x v="1"/>
  </r>
  <r>
    <x v="1"/>
    <s v="GRNT"/>
    <n v="737"/>
    <n v="5.82"/>
    <n v="-0.71"/>
    <n v="4.8099999999999996"/>
    <n v="0.09"/>
    <n v="-8.1971830985915499"/>
    <n v="1.2099792099792102"/>
    <n v="1.89"/>
    <n v="6.37"/>
    <n v="1.72"/>
    <n v="64.666666666666671"/>
    <s v="NO"/>
    <n v="-0.74437714601350702"/>
    <n v="7.306753886888212E-2"/>
    <n v="-0.20702021695211503"/>
    <n v="0.51120001789511871"/>
    <n v="6.9578002960806781E-2"/>
    <n v="5.6104079936957429"/>
    <x v="1"/>
    <x v="1"/>
    <x v="1"/>
    <x v="1"/>
    <x v="0"/>
    <x v="0"/>
  </r>
  <r>
    <x v="1"/>
    <s v="FRHLF"/>
    <n v="1459"/>
    <n v="9.1449999999999996"/>
    <n v="-0.32"/>
    <n v="4.63"/>
    <n v="0.68"/>
    <n v="-28.578124999999996"/>
    <n v="1.9751619870410366"/>
    <n v="15.16"/>
    <n v="8.89"/>
    <n v="1.35"/>
    <n v="13.448529411764705"/>
    <s v="NO"/>
    <n v="-2.6698183950306755"/>
    <n v="1.3849510615690563"/>
    <n v="0.57515679302800415"/>
    <n v="0.99361562763588318"/>
    <n v="-0.71640713668052447"/>
    <n v="0.82813781007553222"/>
    <x v="1"/>
    <x v="1"/>
    <x v="1"/>
    <x v="1"/>
    <x v="0"/>
    <x v="1"/>
  </r>
  <r>
    <x v="1"/>
    <s v="GPRK"/>
    <n v="322"/>
    <n v="6.92"/>
    <n v="2.69"/>
    <n v="4.1100000000000003"/>
    <n v="1.51"/>
    <n v="2.5724907063197024"/>
    <n v="1.6836982968369829"/>
    <n v="38.79"/>
    <n v="13.25"/>
    <n v="5.69"/>
    <n v="4.5827814569536427"/>
    <s v="NO"/>
    <n v="0.27306229730303538"/>
    <n v="0.8852450774481001"/>
    <n v="1.967985937401042"/>
    <n v="1.8282712063937132"/>
    <n v="8.5029861228961749"/>
    <n v="3.3726182878871094E-4"/>
    <x v="1"/>
    <x v="1"/>
    <x v="1"/>
    <x v="1"/>
    <x v="1"/>
    <x v="1"/>
  </r>
  <r>
    <x v="1"/>
    <s v="CRLFF"/>
    <n v="719"/>
    <n v="4.74"/>
    <n v="0.22"/>
    <n v="3.96"/>
    <n v="0.49"/>
    <n v="21.545454545454547"/>
    <n v="1.196969696969697"/>
    <n v="12.42"/>
    <n v="7.44"/>
    <n v="1.48"/>
    <n v="9.6734693877551035"/>
    <s v="NO"/>
    <n v="2.0654881512551939"/>
    <n v="5.0763108780860364E-2"/>
    <n v="0.41365227099744445"/>
    <n v="0.71603521726917341"/>
    <n v="-0.44025019572546226"/>
    <n v="0.47565804486365176"/>
    <x v="1"/>
    <x v="1"/>
    <x v="1"/>
    <x v="1"/>
    <x v="0"/>
    <x v="1"/>
  </r>
  <r>
    <x v="1"/>
    <s v="KELTF"/>
    <n v="989"/>
    <n v="5.202"/>
    <n v="-0.44"/>
    <n v="3.82"/>
    <n v="0.18"/>
    <n v="-11.822727272727272"/>
    <n v="1.3617801047120419"/>
    <n v="4.99"/>
    <n v="3.53"/>
    <n v="1.39"/>
    <n v="28.900000000000002"/>
    <s v="NO"/>
    <n v="-1.0868918510150649"/>
    <n v="0.3333257392636027"/>
    <n v="-2.4296122683963584E-2"/>
    <n v="-3.2474716892091908E-2"/>
    <n v="-0.63143577023281328"/>
    <n v="2.2708514862768312"/>
    <x v="1"/>
    <x v="1"/>
    <x v="1"/>
    <x v="1"/>
    <x v="0"/>
    <x v="1"/>
  </r>
  <r>
    <x v="1"/>
    <s v="BTE"/>
    <n v="1237"/>
    <n v="1.83"/>
    <n v="0.6"/>
    <n v="3.79"/>
    <n v="0.28000000000000003"/>
    <n v="3.0500000000000003"/>
    <n v="0.48284960422163592"/>
    <n v="7.9"/>
    <n v="6.52"/>
    <n v="1.86"/>
    <n v="6.5357142857142856"/>
    <s v="NO"/>
    <n v="0.31817385766608031"/>
    <n v="-1.1735749330431064"/>
    <n v="0.14722875290323661"/>
    <n v="0.53991523276064024"/>
    <n v="0.36697778552779731"/>
    <n v="0.18268384720175132"/>
    <x v="1"/>
    <x v="1"/>
    <x v="1"/>
    <x v="1"/>
    <x v="0"/>
    <x v="1"/>
  </r>
  <r>
    <x v="1"/>
    <s v="TNEYF"/>
    <n v="1615"/>
    <n v="3.3835820000000001"/>
    <n v="0.52"/>
    <n v="2.88"/>
    <n v="0.33"/>
    <n v="6.5068884615384617"/>
    <n v="1.1748548611111111"/>
    <n v="12.32"/>
    <n v="7.28"/>
    <n v="1.89"/>
    <n v="10.253278787878788"/>
    <s v="NO"/>
    <n v="0.6447552133902571"/>
    <n v="1.284786860582752E-2"/>
    <n v="0.40775794537589122"/>
    <n v="0.68540565474595028"/>
    <n v="0.43070631036358054"/>
    <n v="0.52979521882205927"/>
    <x v="1"/>
    <x v="1"/>
    <x v="1"/>
    <x v="1"/>
    <x v="0"/>
    <x v="1"/>
  </r>
  <r>
    <x v="1"/>
    <s v="UUUU"/>
    <n v="1060"/>
    <n v="5.65"/>
    <n v="-0.56999999999999995"/>
    <n v="2.7"/>
    <n v="-0.43"/>
    <n v="-9.912280701754387"/>
    <n v="2.0925925925925926"/>
    <n v="-15.99"/>
    <n v="-7.74"/>
    <n v="1.1200000000000001"/>
    <n v="-13.13953488372093"/>
    <s v="NO"/>
    <n v="-0.90640693282095552"/>
    <n v="1.5862824050100788"/>
    <n v="-1.26092563808584"/>
    <n v="-2.1899445271216211"/>
    <n v="-1.2049924937548655"/>
    <n v="-1.6544067324499518"/>
    <x v="1"/>
    <x v="1"/>
    <x v="1"/>
    <x v="1"/>
    <x v="0"/>
    <x v="1"/>
  </r>
  <r>
    <x v="1"/>
    <s v="HNRG"/>
    <n v="741"/>
    <n v="16.899999999999999"/>
    <n v="0.91"/>
    <n v="2.68"/>
    <n v="-5.17"/>
    <n v="18.571428571428569"/>
    <n v="6.3059701492537306"/>
    <n v="-107.44"/>
    <n v="1.54"/>
    <n v="3.17"/>
    <n v="-3.2688588007736943"/>
    <s v="NO"/>
    <n v="1.7845240862115486"/>
    <n v="8.8099951664538061"/>
    <n v="-6.6512864189963068"/>
    <n v="-0.4134299007746795"/>
    <n v="3.1497900366903488"/>
    <n v="-0.73277540312756639"/>
    <x v="1"/>
    <x v="0"/>
    <x v="0"/>
    <x v="1"/>
    <x v="0"/>
    <x v="1"/>
  </r>
  <r>
    <x v="1"/>
    <s v="CLNE"/>
    <n v="396"/>
    <n v="1.91"/>
    <n v="0.03"/>
    <n v="2.67"/>
    <n v="-0.89"/>
    <n v="63.666666666666664"/>
    <n v="0.71535580524344566"/>
    <n v="-30.03"/>
    <n v="-4.3"/>
    <n v="1.87"/>
    <n v="-2.1460674157303368"/>
    <s v="NO"/>
    <n v="6.0447899749446634"/>
    <n v="-0.7749498421630473"/>
    <n v="-2.0884889553519193"/>
    <n v="-1.5314089328723237"/>
    <n v="0.38822062713972522"/>
    <n v="-0.62793965448650102"/>
    <x v="0"/>
    <x v="1"/>
    <x v="1"/>
    <x v="1"/>
    <x v="0"/>
    <x v="1"/>
  </r>
  <r>
    <x v="1"/>
    <s v="LTBR"/>
    <n v="346"/>
    <n v="15.73"/>
    <n v="-0.68"/>
    <n v="2.66"/>
    <n v="-0.86"/>
    <n v="-23.132352941176471"/>
    <n v="5.9135338345864659"/>
    <n v="-32.19"/>
    <n v="-21.53"/>
    <n v="1.02"/>
    <n v="-18.290697674418606"/>
    <s v="NO"/>
    <n v="-2.1553419686943953"/>
    <n v="8.1371745667821447"/>
    <n v="-2.2158063887774699"/>
    <n v="-4.8298299470919153"/>
    <n v="-1.4174209098741446"/>
    <n v="-2.1353740917728388"/>
    <x v="1"/>
    <x v="0"/>
    <x v="1"/>
    <x v="0"/>
    <x v="0"/>
    <x v="1"/>
  </r>
  <r>
    <x v="1"/>
    <s v="DK"/>
    <n v="1169"/>
    <n v="18.96"/>
    <n v="-13.06"/>
    <n v="2.56"/>
    <n v="-12.66"/>
    <n v="-1.451761102603369"/>
    <n v="7.40625"/>
    <n v="-103.33"/>
    <n v="-3.6"/>
    <n v="44.29"/>
    <n v="-1.4976303317535546"/>
    <s v="NO"/>
    <n v="-0.10711936784350884"/>
    <n v="10.696392834858734"/>
    <n v="-6.4090296359504668"/>
    <n v="-1.3974045968332225"/>
    <n v="90.500354744937781"/>
    <n v="-0.56739466986078602"/>
    <x v="1"/>
    <x v="0"/>
    <x v="0"/>
    <x v="1"/>
    <x v="1"/>
    <x v="1"/>
  </r>
  <r>
    <x v="1"/>
    <s v="ATHOF"/>
    <n v="1883"/>
    <n v="3.9"/>
    <n v="0.45"/>
    <n v="2.41"/>
    <n v="0.65"/>
    <n v="8.6666666666666661"/>
    <n v="1.6182572614107882"/>
    <n v="28.66"/>
    <n v="12.61"/>
    <n v="1.4"/>
    <n v="6"/>
    <s v="NO"/>
    <n v="0.84879514760913277"/>
    <n v="0.773048333535859"/>
    <n v="1.3708907519376958"/>
    <n v="1.7057529563008207"/>
    <n v="-0.61019292862088548"/>
    <n v="0.13266386223508542"/>
    <x v="1"/>
    <x v="1"/>
    <x v="1"/>
    <x v="1"/>
    <x v="0"/>
    <x v="1"/>
  </r>
  <r>
    <x v="1"/>
    <s v="NAT"/>
    <n v="561"/>
    <n v="2.71"/>
    <n v="0.6"/>
    <n v="2.4"/>
    <n v="0.22"/>
    <n v="4.5166666666666666"/>
    <n v="1.1291666666666667"/>
    <n v="8.91"/>
    <n v="5.7"/>
    <n v="1.61"/>
    <n v="12.318181818181818"/>
    <s v="NO"/>
    <n v="0.45673371972836108"/>
    <n v="-6.5483206361304738E-2"/>
    <n v="0.20676144168092464"/>
    <n v="0.38293872482912183"/>
    <n v="-0.1640932547703996"/>
    <n v="0.72259653341770269"/>
    <x v="1"/>
    <x v="1"/>
    <x v="1"/>
    <x v="1"/>
    <x v="0"/>
    <x v="1"/>
  </r>
  <r>
    <x v="1"/>
    <s v="KOS"/>
    <n v="793"/>
    <n v="1.97"/>
    <n v="-0.64"/>
    <n v="2.2999999999999998"/>
    <n v="-0.03"/>
    <n v="-3.078125"/>
    <n v="0.85652173913043483"/>
    <n v="-1.1499999999999999"/>
    <n v="2.76"/>
    <n v="4.8"/>
    <n v="-65.666666666666671"/>
    <s v="NO"/>
    <n v="-0.26076624781147517"/>
    <n v="-0.5329249715249047"/>
    <n v="-0.38620771584733449"/>
    <n v="-0.17987948653510322"/>
    <n v="6.612373219434593"/>
    <n v="-6.5588985710833319"/>
    <x v="1"/>
    <x v="1"/>
    <x v="1"/>
    <x v="1"/>
    <x v="1"/>
    <x v="0"/>
  </r>
  <r>
    <x v="1"/>
    <s v="ATUUF"/>
    <n v="360"/>
    <n v="13.513"/>
    <n v="-0.76"/>
    <n v="2.2400000000000002"/>
    <n v="-0.32"/>
    <n v="-17.780263157894737"/>
    <n v="6.0325892857142849"/>
    <n v="-13.52"/>
    <n v="-3.38"/>
    <n v="4.45"/>
    <n v="-42.228124999999999"/>
    <s v="NO"/>
    <n v="-1.6497159536149912"/>
    <n v="8.3412916605070624"/>
    <n v="-1.1153357952334739"/>
    <n v="-1.3552889483637909"/>
    <n v="5.8688737630171177"/>
    <n v="-4.3704269677098182"/>
    <x v="1"/>
    <x v="0"/>
    <x v="1"/>
    <x v="1"/>
    <x v="1"/>
    <x v="0"/>
  </r>
  <r>
    <x v="1"/>
    <s v="CDDRF"/>
    <n v="1079"/>
    <n v="4.91"/>
    <n v="0.33"/>
    <n v="2.11"/>
    <n v="0.59"/>
    <n v="14.878787878787879"/>
    <n v="2.3270142180094791"/>
    <n v="29.71"/>
    <n v="17.52"/>
    <n v="1.34"/>
    <n v="8.3220338983050848"/>
    <s v="NO"/>
    <n v="1.4356705964266445"/>
    <n v="1.9881914350719996"/>
    <n v="1.432781170964005"/>
    <n v="2.6456976562322305"/>
    <n v="-0.73764997829245238"/>
    <n v="0.34947365018099552"/>
    <x v="1"/>
    <x v="1"/>
    <x v="1"/>
    <x v="1"/>
    <x v="0"/>
    <x v="1"/>
  </r>
  <r>
    <x v="1"/>
    <s v="GEVO"/>
    <n v="304"/>
    <n v="1.18"/>
    <n v="-0.46"/>
    <n v="2.02"/>
    <n v="-0.36"/>
    <n v="-2.5652173913043477"/>
    <n v="0.58415841584158412"/>
    <n v="-16.04"/>
    <n v="-7.05"/>
    <n v="1.44"/>
    <n v="-3.2777777777777777"/>
    <s v="NO"/>
    <n v="-0.21231051541722704"/>
    <n v="-0.99988393443114043"/>
    <n v="-1.2638728008966167"/>
    <n v="-2.0578545387402212"/>
    <n v="-0.52522156217317384"/>
    <n v="-0.73360817370613596"/>
    <x v="1"/>
    <x v="1"/>
    <x v="1"/>
    <x v="1"/>
    <x v="0"/>
    <x v="1"/>
  </r>
  <r>
    <x v="1"/>
    <s v="DALXF"/>
    <n v="453"/>
    <n v="2.5594999999999999"/>
    <n v="-7.0000000000000007E-2"/>
    <n v="1.96"/>
    <n v="7.0000000000000007E-2"/>
    <n v="-36.56428571428571"/>
    <n v="1.3058673469387754"/>
    <n v="3.56"/>
    <n v="1.8"/>
    <n v="1.73"/>
    <n v="36.56428571428571"/>
    <s v="NO"/>
    <n v="-3.4242920270615622"/>
    <n v="0.23746494909640881"/>
    <n v="-0.10858497907217537"/>
    <n v="-0.36365686167444194"/>
    <n v="9.0820844572734677E-2"/>
    <n v="2.9864707378665969"/>
    <x v="0"/>
    <x v="1"/>
    <x v="1"/>
    <x v="1"/>
    <x v="0"/>
    <x v="0"/>
  </r>
  <r>
    <x v="1"/>
    <s v="UROY"/>
    <n v="295"/>
    <n v="2.39"/>
    <n v="-0.27"/>
    <n v="1.53"/>
    <n v="0"/>
    <n v="-8.8518518518518512"/>
    <n v="1.5620915032679739"/>
    <n v="0.4"/>
    <n v="-7.0000000000000007E-2"/>
    <n v="1"/>
    <s v=""/>
    <s v="NO"/>
    <n v="-0.80622542702366573"/>
    <n v="0.67675378162441713"/>
    <n v="-0.29484566871325874"/>
    <n v="-0.72163987366461224"/>
    <n v="-1.4599065930980004"/>
    <e v="#VALUE!"/>
    <x v="1"/>
    <x v="1"/>
    <x v="1"/>
    <x v="1"/>
    <x v="0"/>
    <x v="0"/>
  </r>
  <r>
    <x v="1"/>
    <s v="EU"/>
    <n v="374"/>
    <n v="2.2650000000000001"/>
    <n v="-0.4"/>
    <n v="1.44"/>
    <n v="-0.43"/>
    <n v="-5.6624999999999996"/>
    <n v="1.5729166666666667"/>
    <n v="-24.84"/>
    <n v="-11.99"/>
    <n v="1.35"/>
    <n v="-5.2674418604651168"/>
    <s v="NO"/>
    <n v="-0.50491895930047992"/>
    <n v="0.69531320810264119"/>
    <n v="-1.7825734555933044"/>
    <n v="-3.0035422816447355"/>
    <n v="-0.71640713668052447"/>
    <n v="-0.91938437971497622"/>
    <x v="1"/>
    <x v="1"/>
    <x v="1"/>
    <x v="0"/>
    <x v="0"/>
    <x v="1"/>
  </r>
  <r>
    <x v="1"/>
    <s v="AOIFF"/>
    <n v="878"/>
    <n v="1.3149999999999999"/>
    <n v="-0.01"/>
    <n v="1.37"/>
    <n v="-0.51"/>
    <n v="-131.5"/>
    <n v="0.95985401459854003"/>
    <n v="-25.82"/>
    <n v="-1"/>
    <n v="2.72"/>
    <n v="-2.5784313725490193"/>
    <s v="NO"/>
    <n v="-12.393118942661113"/>
    <n v="-0.35576480324426202"/>
    <n v="-1.8403378466845266"/>
    <n v="-0.89967420583084656"/>
    <n v="2.1938621641535949"/>
    <n v="-0.66830975324420527"/>
    <x v="0"/>
    <x v="1"/>
    <x v="1"/>
    <x v="1"/>
    <x v="0"/>
    <x v="1"/>
  </r>
  <r>
    <x v="1"/>
    <s v="PTALF"/>
    <n v="381"/>
    <n v="0.4844"/>
    <n v="0.11"/>
    <n v="0.57999999999999996"/>
    <n v="0.1"/>
    <n v="4.4036363636363633"/>
    <n v="0.83517241379310347"/>
    <n v="18.62"/>
    <n v="10.98"/>
    <n v="1.55"/>
    <n v="4.8439999999999994"/>
    <s v="NO"/>
    <n v="0.44605544936694974"/>
    <n v="-0.56952776626939139"/>
    <n v="0.7791004595337474"/>
    <n v="1.3937142880954851"/>
    <n v="-0.291550304441967"/>
    <n v="2.4727404008349229E-2"/>
    <x v="1"/>
    <x v="1"/>
    <x v="1"/>
    <x v="1"/>
    <x v="0"/>
    <x v="1"/>
  </r>
  <r>
    <x v="1"/>
    <s v="DNN"/>
    <n v="1425"/>
    <n v="1.72"/>
    <n v="-0.05"/>
    <n v="0.4"/>
    <n v="-0.09"/>
    <n v="-34.4"/>
    <n v="4.3"/>
    <n v="-20.12"/>
    <n v="-6.18"/>
    <n v="1.18"/>
    <n v="-19.111111111111111"/>
    <s v="NO"/>
    <n v="-3.2198262565832945"/>
    <n v="5.3708179336111144"/>
    <n v="-1.5043612862559901"/>
    <n v="-1.8913062925201953"/>
    <n v="-1.0775354440832987"/>
    <n v="-2.2119766182764837"/>
    <x v="0"/>
    <x v="0"/>
    <x v="1"/>
    <x v="1"/>
    <x v="0"/>
    <x v="1"/>
  </r>
  <r>
    <x v="1"/>
    <s v="URG"/>
    <n v="298"/>
    <n v="0.98140000000000005"/>
    <n v="-0.2"/>
    <n v="0.34"/>
    <n v="-0.13"/>
    <n v="-4.907"/>
    <n v="2.8864705882352939"/>
    <n v="-45.54"/>
    <n v="-25.44"/>
    <n v="1.49"/>
    <n v="-7.5492307692307694"/>
    <s v="NO"/>
    <n v="-0.43354488489953458"/>
    <n v="2.9473630418704531"/>
    <n v="-3.0026988592548318"/>
    <n v="-5.5783398812531804"/>
    <n v="-0.41900735411353435"/>
    <n v="-1.1324364672869602"/>
    <x v="1"/>
    <x v="1"/>
    <x v="0"/>
    <x v="0"/>
    <x v="0"/>
    <x v="1"/>
  </r>
  <r>
    <x v="1"/>
    <s v="LOECF"/>
    <n v="265"/>
    <n v="0.44600000000000001"/>
    <n v="-0.3"/>
    <n v="0.32"/>
    <n v="0.01"/>
    <n v="-1.4866666666666668"/>
    <n v="1.39375"/>
    <n v="2.74"/>
    <n v="1.49"/>
    <n v="1.67"/>
    <n v="44.6"/>
    <s v="NO"/>
    <n v="-0.11041698839474744"/>
    <n v="0.3881371909951325"/>
    <n v="-0.15691844916891221"/>
    <n v="-0.42300163906318677"/>
    <n v="-3.6636205098832697E-2"/>
    <n v="3.7367705123665864"/>
    <x v="1"/>
    <x v="1"/>
    <x v="1"/>
    <x v="1"/>
    <x v="0"/>
    <x v="0"/>
  </r>
  <r>
    <x v="1"/>
    <s v="CEIEF"/>
    <n v="345"/>
    <n v="0.63"/>
    <n v="-0.16"/>
    <n v="0.32"/>
    <n v="-0.02"/>
    <n v="-3.9375"/>
    <n v="1.96875"/>
    <n v="-6.69"/>
    <n v="-3.13"/>
    <n v="1.39"/>
    <n v="-31.5"/>
    <s v="NO"/>
    <n v="-0.34195366698859281"/>
    <n v="1.3739578970610902"/>
    <n v="-0.71275335528138561"/>
    <n v="-1.3074302569212546"/>
    <n v="-0.63143577023281328"/>
    <n v="-3.3687350854315281"/>
    <x v="1"/>
    <x v="1"/>
    <x v="1"/>
    <x v="1"/>
    <x v="0"/>
    <x v="0"/>
  </r>
  <r>
    <x v="1"/>
    <s v="TBN"/>
    <n v="289"/>
    <n v="22.37"/>
    <n v="-0.05"/>
    <n v="0.08"/>
    <n v="-0.01"/>
    <n v="-447.4"/>
    <n v="279.625"/>
    <n v="-14.58"/>
    <n v="-5.88"/>
    <n v="1.59"/>
    <n v="-2237"/>
    <s v="NO"/>
    <n v="-42.237023778211913"/>
    <n v="477.40748905988909"/>
    <n v="-1.1778156468219387"/>
    <n v="-1.8338758627891523"/>
    <n v="-0.20657893799425539"/>
    <n v="-209.29767852753062"/>
    <x v="0"/>
    <x v="0"/>
    <x v="1"/>
    <x v="1"/>
    <x v="0"/>
    <x v="0"/>
  </r>
  <r>
    <x v="1"/>
    <s v="SHASF"/>
    <n v="415"/>
    <n v="0.14008000000000001"/>
    <n v="0.04"/>
    <n v="0.08"/>
    <n v="0.03"/>
    <n v="3.5020000000000002"/>
    <n v="1.7510000000000001"/>
    <n v="45.09"/>
    <n v="4.78"/>
    <n v="2.11"/>
    <n v="4.6693333333333342"/>
    <s v="NO"/>
    <n v="0.36087548788345591"/>
    <n v="1.000631881850895"/>
    <n v="2.3393284515588983"/>
    <n v="0.20681874032058886"/>
    <n v="0.89804882582599377"/>
    <n v="8.4186657987733171E-3"/>
    <x v="1"/>
    <x v="1"/>
    <x v="1"/>
    <x v="1"/>
    <x v="0"/>
    <x v="1"/>
  </r>
  <r>
    <x v="1"/>
    <s v="NXXT"/>
    <n v="345"/>
    <n v="3.02"/>
    <n v="-3.28"/>
    <n v="-0.05"/>
    <n v="-4.97"/>
    <n v="-0.92073170731707321"/>
    <n v="-60.4"/>
    <n v="497.59"/>
    <n v="-43.78"/>
    <n v="-4.68"/>
    <n v="-0.60764587525150904"/>
    <s v="NO"/>
    <n v="-5.6951622551314141E-2"/>
    <n v="-105.55544238372362"/>
    <n v="29.011151889087451"/>
    <n v="-9.0892534854776308"/>
    <n v="-13.525840628673034"/>
    <n v="-0.48429625280916189"/>
    <x v="1"/>
    <x v="0"/>
    <x v="0"/>
    <x v="0"/>
    <x v="1"/>
    <x v="1"/>
  </r>
  <r>
    <x v="1"/>
    <s v="NGL"/>
    <n v="461"/>
    <n v="4.07"/>
    <n v="-3.03"/>
    <n v="-1.17"/>
    <n v="-2.5299999999999998"/>
    <n v="-1.3432343234323434"/>
    <n v="-3.4786324786324792"/>
    <n v="-19.600000000000001"/>
    <n v="3.04"/>
    <n v="-31.46"/>
    <n v="-1.6086956521739133"/>
    <s v="NO"/>
    <n v="-9.6866557239871823E-2"/>
    <n v="-7.9654202617159502"/>
    <n v="-1.4737107930239133"/>
    <n v="-0.12627775211946268"/>
    <n v="-70.414170465415893"/>
    <n v="-0.57776490975524197"/>
    <x v="1"/>
    <x v="0"/>
    <x v="1"/>
    <x v="1"/>
    <x v="1"/>
    <x v="1"/>
  </r>
  <r>
    <x v="1"/>
    <s v="GEL"/>
    <n v="1931"/>
    <n v="16.440000000000001"/>
    <n v="-2.42"/>
    <n v="-1.94"/>
    <n v="-1.69"/>
    <n v="-6.793388429752067"/>
    <n v="-8.4742268041237114"/>
    <n v="-6.66"/>
    <n v="2.2599999999999998"/>
    <n v="-21.92"/>
    <n v="-9.7278106508875748"/>
    <s v="NO"/>
    <n v="-0.61175696714203154"/>
    <n v="-16.530220827237446"/>
    <n v="-0.7109850575949197"/>
    <n v="-0.27559686942017547"/>
    <n v="-50.148499567636698"/>
    <n v="-1.3358518620880482"/>
    <x v="1"/>
    <x v="0"/>
    <x v="1"/>
    <x v="1"/>
    <x v="1"/>
    <x v="1"/>
  </r>
  <r>
    <x v="1"/>
    <s v="CAPL"/>
    <n v="823"/>
    <n v="21.78"/>
    <n v="1.75"/>
    <n v="-2.2599999999999998"/>
    <n v="0.8"/>
    <n v="12.445714285714287"/>
    <n v="-9.6371681415929213"/>
    <n v="-113.09"/>
    <n v="3.49"/>
    <n v="-12.64"/>
    <n v="27.225000000000001"/>
    <s v="NO"/>
    <n v="1.2058117272605162"/>
    <n v="-18.524049784484724"/>
    <n v="-6.9843158166140666"/>
    <n v="-4.0132107522897607E-2"/>
    <n v="-30.435142551767626"/>
    <n v="2.1144556666143886"/>
    <x v="1"/>
    <x v="0"/>
    <x v="0"/>
    <x v="1"/>
    <x v="1"/>
    <x v="1"/>
  </r>
  <r>
    <x v="1"/>
    <s v="INR"/>
    <n v="254"/>
    <n v="16.75"/>
    <n v="-6.87"/>
    <n v="-3.43"/>
    <n v="1.89"/>
    <n v="-2.4381368267831149"/>
    <n v="-4.8833819241982503"/>
    <n v="-10.48"/>
    <n v="-3.3"/>
    <n v="-18.260000000000002"/>
    <n v="8.8624338624338623"/>
    <s v="NO"/>
    <n v="-0.20030487985527787"/>
    <n v="-10.373822157843621"/>
    <n v="-0.93614829633825469"/>
    <n v="-1.3399741671021792"/>
    <n v="-42.373619537671097"/>
    <n v="0.39993113993351759"/>
    <x v="1"/>
    <x v="0"/>
    <x v="1"/>
    <x v="1"/>
    <x v="1"/>
    <x v="1"/>
  </r>
  <r>
    <x v="1"/>
    <s v="CLMT"/>
    <n v="1211"/>
    <n v="13.17"/>
    <n v="-1.62"/>
    <n v="-9.9499999999999993"/>
    <n v="-4.05"/>
    <n v="-8.1296296296296298"/>
    <n v="-1.3236180904522614"/>
    <n v="76.02"/>
    <n v="-1.35"/>
    <n v="-3.27"/>
    <n v="-3.251851851851852"/>
    <s v="NO"/>
    <n v="-0.7379951919172395"/>
    <n v="-4.2707110343453056"/>
    <n v="4.1624433663053244"/>
    <n v="-0.96667637385039729"/>
    <n v="-10.530599961391205"/>
    <n v="-0.73118745344602076"/>
    <x v="1"/>
    <x v="0"/>
    <x v="0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6" firstHeaderRow="0" firstDataRow="1" firstDataCol="1" rowPageCount="1" colPageCount="1"/>
  <pivotFields count="26">
    <pivotField axis="axisRow" showAll="0">
      <items count="59">
        <item m="1" x="27"/>
        <item m="1" x="28"/>
        <item m="1" x="29"/>
        <item m="1" x="30"/>
        <item m="1" x="31"/>
        <item m="1" x="32"/>
        <item m="1" x="14"/>
        <item m="1" x="15"/>
        <item m="1" x="16"/>
        <item m="1" x="17"/>
        <item m="1" x="18"/>
        <item m="1" x="19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x="0"/>
        <item x="1"/>
        <item m="1" x="26"/>
        <item m="1" x="20"/>
        <item m="1" x="21"/>
        <item m="1" x="22"/>
        <item m="1" x="23"/>
        <item m="1" x="24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2">
    <i>
      <x v="49"/>
    </i>
    <i>
      <x v="50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6" firstHeaderRow="0" firstDataRow="1" firstDataCol="1" rowPageCount="1" colPageCount="1"/>
  <pivotFields count="26">
    <pivotField axis="axisRow" showAll="0">
      <items count="60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51"/>
    </i>
    <i>
      <x v="5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2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2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2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6" firstHeaderRow="0" firstDataRow="1" firstDataCol="1" rowPageCount="1" colPageCount="1"/>
  <pivotFields count="26">
    <pivotField axis="axisRow" showAll="0">
      <items count="61">
        <item m="1" x="28"/>
        <item m="1" x="29"/>
        <item m="1" x="30"/>
        <item m="1" x="31"/>
        <item m="1" x="32"/>
        <item m="1" x="33"/>
        <item m="1" x="16"/>
        <item m="1" x="17"/>
        <item m="1" x="18"/>
        <item m="1" x="19"/>
        <item m="1" x="20"/>
        <item m="1" x="21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x="0"/>
        <item x="1"/>
        <item m="1" x="22"/>
        <item m="1" x="23"/>
        <item m="1" x="24"/>
        <item m="1" x="25"/>
        <item m="1" x="26"/>
        <item m="1" x="2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 v="52"/>
    </i>
    <i>
      <x v="53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55" tableType="queryTable" totalsRowShown="0">
  <autoFilter ref="A1:Z55" xr:uid="{1B3BB95A-07C7-4768-8185-A2A759A39458}"/>
  <sortState xmlns:xlrd2="http://schemas.microsoft.com/office/spreadsheetml/2017/richdata2" ref="A2:Z55">
    <sortCondition ref="A1:A55"/>
  </sortState>
  <tableColumns count="26">
    <tableColumn id="1" xr3:uid="{FDA9EBBF-F574-44F1-B885-6A5ED1C1C8A3}" uniqueName="1" name="Industry" queryTableFieldId="1" dataDxfId="143"/>
    <tableColumn id="2" xr3:uid="{8F96E341-8F97-4BC1-90E1-73E9D5DAC8C9}" uniqueName="2" name="Symbol" queryTableFieldId="2" dataDxfId="142"/>
    <tableColumn id="3" xr3:uid="{F543FE77-4EA4-4170-A3F2-7D6D401D6817}" uniqueName="3" name="Market Cap (M)" queryTableFieldId="44" dataDxfId="141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40"/>
    <tableColumn id="9" xr3:uid="{92CA53A2-ADA4-45CE-B0FD-3AD68E123166}" uniqueName="9" name="P/B" queryTableFieldId="46" dataDxfId="139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8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7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6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5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4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3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2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67" tableType="queryTable" totalsRowShown="0">
  <autoFilter ref="A1:Z67" xr:uid="{8A05384F-F989-4428-B033-1A9B3ACA4EBB}"/>
  <sortState xmlns:xlrd2="http://schemas.microsoft.com/office/spreadsheetml/2017/richdata2" ref="A2:Z67">
    <sortCondition ref="A1:A67"/>
  </sortState>
  <tableColumns count="26">
    <tableColumn id="1" xr3:uid="{3547F496-7B67-42E8-9760-1F3941836443}" uniqueName="1" name="Industry" queryTableFieldId="1" dataDxfId="131"/>
    <tableColumn id="2" xr3:uid="{0A09E186-076D-4A57-B743-EBD7817F4082}" uniqueName="2" name="Symbol" queryTableFieldId="2" dataDxfId="130"/>
    <tableColumn id="3" xr3:uid="{C567BD69-49B3-415C-87A5-73BCB80F1796}" uniqueName="3" name="Market Cap (M)" queryTableFieldId="43" dataDxfId="129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8"/>
    <tableColumn id="9" xr3:uid="{F1DC44A8-3710-4CCA-B495-699F6ACADE85}" uniqueName="9" name="P/B" queryTableFieldId="45" dataDxfId="127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6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5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4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3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2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1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0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26" tableType="queryTable" totalsRowShown="0">
  <autoFilter ref="A1:Z126" xr:uid="{DE7CBD96-9DC7-4F09-9B11-F8C87451A82B}"/>
  <sortState xmlns:xlrd2="http://schemas.microsoft.com/office/spreadsheetml/2017/richdata2" ref="A2:Z126">
    <sortCondition ref="A1:A126"/>
  </sortState>
  <tableColumns count="26">
    <tableColumn id="1" xr3:uid="{261FC5A1-AB9E-4068-9D87-D85D75FE0DD5}" uniqueName="1" name="Industry" queryTableFieldId="1" dataDxfId="83"/>
    <tableColumn id="2" xr3:uid="{4D1C6415-A4DE-450C-A6A0-32BD8F91DEB2}" uniqueName="2" name="Symbol" queryTableFieldId="2" dataDxfId="82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4" tableType="queryTable" totalsRowShown="0">
  <autoFilter ref="A2:Y4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8:Y10" tableType="queryTable" totalsRowShown="0">
  <autoFilter ref="A8:Y10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71"/>
    <tableColumn id="3" xr3:uid="{BB549C0D-7552-41A2-B049-C1E0C569FC5B}" uniqueName="3" name="P/FCF Q3" queryTableFieldId="3" dataDxfId="70"/>
    <tableColumn id="4" xr3:uid="{F8874757-4F98-4408-A256-B3DBB97E40A5}" uniqueName="4" name="P/FCF LB" queryTableFieldId="4" dataDxfId="69"/>
    <tableColumn id="5" xr3:uid="{7F92E8F9-91DF-48EA-A8F2-F3E13D8104D3}" uniqueName="5" name="P/FCF UB" queryTableFieldId="5" dataDxfId="68"/>
    <tableColumn id="6" xr3:uid="{837AC52A-2B15-4BFB-A555-2456F010C7C9}" uniqueName="6" name="P/B Q1" queryTableFieldId="6" dataDxfId="67"/>
    <tableColumn id="7" xr3:uid="{C672A3A3-8D6C-4E08-B6E3-1D85CD510A41}" uniqueName="7" name="P/B Q3" queryTableFieldId="7" dataDxfId="66"/>
    <tableColumn id="8" xr3:uid="{47FBFC34-1D36-49FE-8583-28072989EA1C}" uniqueName="8" name="P/B LB" queryTableFieldId="8" dataDxfId="65"/>
    <tableColumn id="9" xr3:uid="{98DADD72-A76B-4DE4-AB34-515EBE2E4A04}" uniqueName="9" name="P/B UB" queryTableFieldId="9" dataDxfId="64"/>
    <tableColumn id="10" xr3:uid="{C06AFB5F-1921-4B19-AFA7-04514BD3BC35}" uniqueName="10" name="ROE Q1" queryTableFieldId="10" dataDxfId="63"/>
    <tableColumn id="11" xr3:uid="{38FF7E38-2AC1-4486-B824-BCBE4156ADA7}" uniqueName="11" name="ROE Q3" queryTableFieldId="11" dataDxfId="62"/>
    <tableColumn id="12" xr3:uid="{1BBD6DC1-3C0C-48AF-9986-81D1F4A26368}" uniqueName="12" name="ROE LB" queryTableFieldId="12" dataDxfId="61"/>
    <tableColumn id="13" xr3:uid="{5775303C-3550-4762-86D0-7A82C106A3F0}" uniqueName="13" name="ROE UB" queryTableFieldId="13" dataDxfId="60"/>
    <tableColumn id="14" xr3:uid="{9FE06177-2E94-4066-A65B-77414C97B4DC}" uniqueName="14" name="ROA Q1" queryTableFieldId="14" dataDxfId="59"/>
    <tableColumn id="15" xr3:uid="{386179E5-15F0-4AED-9E0C-1EB211C80CEE}" uniqueName="15" name="ROA Q3" queryTableFieldId="15" dataDxfId="58"/>
    <tableColumn id="16" xr3:uid="{C7DC1506-2223-42A0-AC4B-68B0E14D2B9D}" uniqueName="16" name="ROA LB" queryTableFieldId="16" dataDxfId="57"/>
    <tableColumn id="17" xr3:uid="{C45AE1E6-1326-44B3-972F-838B081A78FC}" uniqueName="17" name="ROA UB" queryTableFieldId="17" dataDxfId="56"/>
    <tableColumn id="18" xr3:uid="{17D85B47-F40C-47C3-996F-C47242CFB7D2}" uniqueName="18" name="P/E Q1" queryTableFieldId="18" dataDxfId="55"/>
    <tableColumn id="19" xr3:uid="{44248722-1EBA-4DF8-B99D-B6B2F31E253B}" uniqueName="19" name="P/E Q3" queryTableFieldId="19" dataDxfId="54"/>
    <tableColumn id="20" xr3:uid="{93299C7A-5544-43AE-ACC5-72F0CB129F08}" uniqueName="20" name="P/E LB" queryTableFieldId="20" dataDxfId="53"/>
    <tableColumn id="21" xr3:uid="{3E027012-2DA9-4754-8880-25FEEDEFA94A}" uniqueName="21" name="P/E UB" queryTableFieldId="21" dataDxfId="52"/>
    <tableColumn id="22" xr3:uid="{FF2638EF-6EA0-401C-B7D8-A2BC49ECD2B0}" uniqueName="22" name="A/E Q1" queryTableFieldId="22" dataDxfId="51"/>
    <tableColumn id="23" xr3:uid="{546FB46A-BFEC-4020-A8E1-97073EBE991F}" uniqueName="23" name="A/E Q3" queryTableFieldId="23" dataDxfId="50"/>
    <tableColumn id="24" xr3:uid="{41F03CE5-975A-469D-B609-D8C5D8D172FA}" uniqueName="24" name="A/E LB" queryTableFieldId="24" dataDxfId="49"/>
    <tableColumn id="25" xr3:uid="{1863137D-3C8C-4A15-9A63-5E253392AFAD}" uniqueName="25" name="A/E UB" queryTableFieldId="25" dataDxf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14:Y16" tableType="queryTable" totalsRowShown="0">
  <autoFilter ref="A14:Y16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47"/>
    <tableColumn id="3" xr3:uid="{6D66145B-6613-41BC-8233-7356853CCFEF}" uniqueName="3" name="P/FCF Q3" queryTableFieldId="3" dataDxfId="46"/>
    <tableColumn id="4" xr3:uid="{90A69125-3CA2-4D0A-8F1A-65993DFA9D46}" uniqueName="4" name="P/FCF LB" queryTableFieldId="4" dataDxfId="45"/>
    <tableColumn id="5" xr3:uid="{BED6E3D4-DC60-428F-B5E8-4C3C64096FD7}" uniqueName="5" name="P/FCF UB" queryTableFieldId="5" dataDxfId="44"/>
    <tableColumn id="6" xr3:uid="{FC33B186-B76E-4D86-8EBD-E25B773D256E}" uniqueName="6" name="P/B Q1" queryTableFieldId="6" dataDxfId="43"/>
    <tableColumn id="7" xr3:uid="{D82D1432-7C03-4449-BD2D-F895D50A5F32}" uniqueName="7" name="P/B Q3" queryTableFieldId="7" dataDxfId="42"/>
    <tableColumn id="8" xr3:uid="{D3389429-24FB-4947-AACF-CAA92D678F94}" uniqueName="8" name="P/B LB" queryTableFieldId="8" dataDxfId="41"/>
    <tableColumn id="9" xr3:uid="{452E932D-DD5B-4C62-A8B3-25C90C8C7751}" uniqueName="9" name="P/B UB" queryTableFieldId="9" dataDxfId="40"/>
    <tableColumn id="10" xr3:uid="{99E11285-9679-47B1-9540-1BD10239596C}" uniqueName="10" name="ROE Q1" queryTableFieldId="10" dataDxfId="39"/>
    <tableColumn id="11" xr3:uid="{B4F1825A-C678-4C01-BB96-B04FAB1938BD}" uniqueName="11" name="ROE Q3" queryTableFieldId="11" dataDxfId="38"/>
    <tableColumn id="12" xr3:uid="{9F07026D-928C-42B1-8DD2-9BD3176C8B6A}" uniqueName="12" name="ROE LB" queryTableFieldId="12" dataDxfId="37"/>
    <tableColumn id="13" xr3:uid="{47360B1B-7AC4-49FA-9F18-2F1F1B72CA28}" uniqueName="13" name="ROE UB" queryTableFieldId="13" dataDxfId="36"/>
    <tableColumn id="14" xr3:uid="{58B0248D-BCFF-4737-ADF5-EE087C03D561}" uniqueName="14" name="ROA Q1" queryTableFieldId="14" dataDxfId="35"/>
    <tableColumn id="15" xr3:uid="{CCD6E6AE-6BBB-4675-8C50-0F87AF280A3C}" uniqueName="15" name="ROA Q3" queryTableFieldId="15" dataDxfId="34"/>
    <tableColumn id="16" xr3:uid="{BB86731C-A605-4988-A848-B35835CAF73E}" uniqueName="16" name="ROA LB" queryTableFieldId="16" dataDxfId="33"/>
    <tableColumn id="17" xr3:uid="{9760AC7A-70E9-4457-8DC8-4BDA6646C74E}" uniqueName="17" name="ROA UB" queryTableFieldId="17" dataDxfId="32"/>
    <tableColumn id="18" xr3:uid="{931D5CA9-41B9-424B-87E6-FA364034B249}" uniqueName="18" name="P/E Q1" queryTableFieldId="18" dataDxfId="31"/>
    <tableColumn id="19" xr3:uid="{23E1DD3D-5F02-4A6D-9773-5EA3466661AF}" uniqueName="19" name="P/E Q3" queryTableFieldId="19" dataDxfId="30"/>
    <tableColumn id="20" xr3:uid="{478DC28A-5ACD-47E8-8720-6EEE2D43205B}" uniqueName="20" name="P/E LB" queryTableFieldId="20" dataDxfId="29"/>
    <tableColumn id="21" xr3:uid="{AC7D613F-0AC5-4542-BBED-886B4C332840}" uniqueName="21" name="P/E UB" queryTableFieldId="21" dataDxfId="28"/>
    <tableColumn id="22" xr3:uid="{1E3F527B-4B19-4D38-9A78-D4BBA95224B9}" uniqueName="22" name="A/E Q1" queryTableFieldId="22" dataDxfId="27"/>
    <tableColumn id="23" xr3:uid="{1256121C-1427-4F44-988A-E08E26F80A67}" uniqueName="23" name="A/E Q3" queryTableFieldId="23" dataDxfId="26"/>
    <tableColumn id="24" xr3:uid="{3F6A6F05-B80E-47C0-9039-80E1A481FF30}" uniqueName="24" name="A/E LB" queryTableFieldId="24" dataDxfId="25"/>
    <tableColumn id="25" xr3:uid="{08969B40-89DA-4EAE-925B-3C841EB86C63}" uniqueName="25" name="A/E UB" queryTableFieldId="25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55"/>
  <sheetViews>
    <sheetView workbookViewId="0">
      <selection activeCell="B24" sqref="B24"/>
    </sheetView>
  </sheetViews>
  <sheetFormatPr defaultRowHeight="15" x14ac:dyDescent="0.25"/>
  <cols>
    <col min="1" max="1" width="27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106</v>
      </c>
      <c r="B2" s="67" t="s">
        <v>300</v>
      </c>
      <c r="C2" s="2">
        <v>1124975</v>
      </c>
      <c r="D2">
        <f>RTD("tos.rtd", , "LAST", Main_L[[#This Row],[Symbol]])</f>
        <v>24.5</v>
      </c>
      <c r="E2">
        <v>2.48</v>
      </c>
      <c r="F2">
        <v>20.9</v>
      </c>
      <c r="G2">
        <v>3.26</v>
      </c>
      <c r="H2" s="1">
        <f>IF(ISNUMBER(Main_L[[#This Row],[Free CF]]),IF(Main_L[[#This Row],[Free CF]]&lt;&gt;0,Main_L[[#This Row],[Current Price]]/Main_L[[#This Row],[Free CF]],""),"")</f>
        <v>9.879032258064516</v>
      </c>
      <c r="I2" s="1">
        <f>IF(ISNUMBER(Main_L[[#This Row],[BVPS]]),IF(Main_L[[#This Row],[BVPS]]&lt;&gt;0,Main_L[[#This Row],[Current Price]]/Main_L[[#This Row],[BVPS]],""),"")</f>
        <v>1.1722488038277512</v>
      </c>
      <c r="J2">
        <v>20.47</v>
      </c>
      <c r="K2">
        <v>8.17</v>
      </c>
      <c r="L2">
        <v>1.51</v>
      </c>
      <c r="M2" s="1">
        <f>IF(ISNUMBER(Main_L[[#This Row],[EPS]]),IF(Main_L[[#This Row],[EPS]]&lt;&gt;0,Main_L[[#This Row],[Current Price]]/Main_L[[#This Row],[EPS]],""),"")</f>
        <v>7.515337423312884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" s="1">
        <f>(Main_L[[#This Row],[P/FCF]]-VLOOKUP(Main_L[[#This Row],[Industry]], Mean_PFCF_L, 2, FALSE))/(VLOOKUP(Main_L[[#This Row],[Industry]], Mean_PFCF_L, 3, FALSE))</f>
        <v>-0.73947438860780146</v>
      </c>
      <c r="P2" s="1">
        <f>(Main_L[[#This Row],[P/B]]-VLOOKUP(Main_L[[#This Row],[Industry]], Mean_PB_L, 2, FALSE))/(VLOOKUP(Main_L[[#This Row],[Industry]], Mean_PB_L, 3, FALSE))</f>
        <v>-1.7531375161901019</v>
      </c>
      <c r="Q2" s="1">
        <f>(Main_L[[#This Row],[ROE]]-VLOOKUP(Main_L[[#This Row],[Industry]], Mean_ROE_L, 2, FALSE))/(VLOOKUP(Main_L[[#This Row],[Industry]], Mean_ROE_L, 3, FALSE))</f>
        <v>0.48132103460632719</v>
      </c>
      <c r="R2" s="1">
        <f>(Main_L[[#This Row],[ROA]]-VLOOKUP(Main_L[[#This Row],[Industry]], Mean_ROA_L, 2, FALSE))/(VLOOKUP(Main_L[[#This Row],[Industry]], Mean_ROA_L, 3, FALSE))</f>
        <v>0.50215306546888727</v>
      </c>
      <c r="S2" s="1">
        <f>(Main_L[[#This Row],[A/E]]-VLOOKUP(Main_L[[#This Row],[Industry]], Mean_AE_L, 2, FALSE))/(VLOOKUP(Main_L[[#This Row],[Industry]], Mean_AE_L, 3, FALSE))</f>
        <v>-0.89073241594853692</v>
      </c>
      <c r="T2" s="1">
        <f>(Main_L[[#This Row],[P/E]]-VLOOKUP(Main_L[[#This Row],[Industry]], Mean_PE_L, 2, FALSE))/(VLOOKUP(Main_L[[#This Row],[Industry]], Mean_PE_L, 3, FALSE))</f>
        <v>-1.2282675331813107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7" t="s">
        <v>106</v>
      </c>
      <c r="B3" s="67" t="s">
        <v>108</v>
      </c>
      <c r="C3" s="2">
        <v>36707</v>
      </c>
      <c r="D3">
        <f>RTD("tos.rtd", , "LAST", Main_L[[#This Row],[Symbol]])</f>
        <v>38.33</v>
      </c>
      <c r="E3">
        <v>2.0299999999999998</v>
      </c>
      <c r="F3">
        <v>17.21</v>
      </c>
      <c r="G3">
        <v>2.93</v>
      </c>
      <c r="H3" s="1">
        <f>IF(ISNUMBER(Main_L[[#This Row],[Free CF]]),IF(Main_L[[#This Row],[Free CF]]&lt;&gt;0,Main_L[[#This Row],[Current Price]]/Main_L[[#This Row],[Free CF]],""),"")</f>
        <v>18.881773399014779</v>
      </c>
      <c r="I3" s="1">
        <f>IF(ISNUMBER(Main_L[[#This Row],[BVPS]]),IF(Main_L[[#This Row],[BVPS]]&lt;&gt;0,Main_L[[#This Row],[Current Price]]/Main_L[[#This Row],[BVPS]],""),"")</f>
        <v>2.227193492155723</v>
      </c>
      <c r="J3">
        <v>18.04</v>
      </c>
      <c r="K3">
        <v>5.79</v>
      </c>
      <c r="L3">
        <v>2.2400000000000002</v>
      </c>
      <c r="M3" s="1">
        <f>IF(ISNUMBER(Main_L[[#This Row],[EPS]]),IF(Main_L[[#This Row],[EPS]]&lt;&gt;0,Main_L[[#This Row],[Current Price]]/Main_L[[#This Row],[EPS]],""),"")</f>
        <v>13.081911262798634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1.2081455502813427</v>
      </c>
      <c r="P3" s="1">
        <f>(Main_L[[#This Row],[P/B]]-VLOOKUP(Main_L[[#This Row],[Industry]], Mean_PB_L, 2, FALSE))/(VLOOKUP(Main_L[[#This Row],[Industry]], Mean_PB_L, 3, FALSE))</f>
        <v>0.63445163399524251</v>
      </c>
      <c r="Q3" s="1">
        <f>(Main_L[[#This Row],[ROE]]-VLOOKUP(Main_L[[#This Row],[Industry]], Mean_ROE_L, 2, FALSE))/(VLOOKUP(Main_L[[#This Row],[Industry]], Mean_ROE_L, 3, FALSE))</f>
        <v>-1.6746423093445928</v>
      </c>
      <c r="R3" s="1">
        <f>(Main_L[[#This Row],[ROA]]-VLOOKUP(Main_L[[#This Row],[Industry]], Mean_ROA_L, 2, FALSE))/(VLOOKUP(Main_L[[#This Row],[Industry]], Mean_ROA_L, 3, FALSE))</f>
        <v>-1.4963825462634737</v>
      </c>
      <c r="S3" s="1">
        <f>(Main_L[[#This Row],[A/E]]-VLOOKUP(Main_L[[#This Row],[Industry]], Mean_AE_L, 2, FALSE))/(VLOOKUP(Main_L[[#This Row],[Industry]], Mean_AE_L, 3, FALSE))</f>
        <v>0.49865789097973628</v>
      </c>
      <c r="T3" s="1">
        <f>(Main_L[[#This Row],[P/E]]-VLOOKUP(Main_L[[#This Row],[Industry]], Mean_PE_L, 2, FALSE))/(VLOOKUP(Main_L[[#This Row],[Industry]], Mean_PE_L, 3, FALSE))</f>
        <v>1.3010171046759365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s="67" t="s">
        <v>106</v>
      </c>
      <c r="B4" s="67" t="s">
        <v>111</v>
      </c>
      <c r="C4" s="2">
        <v>17929</v>
      </c>
      <c r="D4">
        <f>RTD("tos.rtd", , "LAST", Main_L[[#This Row],[Symbol]])</f>
        <v>35.43</v>
      </c>
      <c r="E4">
        <v>1.89</v>
      </c>
      <c r="F4">
        <v>16.010000000000002</v>
      </c>
      <c r="G4">
        <v>1.63</v>
      </c>
      <c r="H4" s="1">
        <f>IF(ISNUMBER(Main_L[[#This Row],[Free CF]]),IF(Main_L[[#This Row],[Free CF]]&lt;&gt;0,Main_L[[#This Row],[Current Price]]/Main_L[[#This Row],[Free CF]],""),"")</f>
        <v>18.746031746031747</v>
      </c>
      <c r="I4" s="1">
        <f>IF(ISNUMBER(Main_L[[#This Row],[BVPS]]),IF(Main_L[[#This Row],[BVPS]]&lt;&gt;0,Main_L[[#This Row],[Current Price]]/Main_L[[#This Row],[BVPS]],""),"")</f>
        <v>2.2129918800749531</v>
      </c>
      <c r="J4">
        <v>10.54</v>
      </c>
      <c r="K4">
        <v>6.65</v>
      </c>
      <c r="L4">
        <v>1.2</v>
      </c>
      <c r="M4" s="1">
        <f>IF(ISNUMBER(Main_L[[#This Row],[EPS]]),IF(Main_L[[#This Row],[EPS]]&lt;&gt;0,Main_L[[#This Row],[Current Price]]/Main_L[[#This Row],[EPS]],""),"")</f>
        <v>21.736196319018408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1.1787796998421931</v>
      </c>
      <c r="P4" s="1">
        <f>(Main_L[[#This Row],[P/B]]-VLOOKUP(Main_L[[#This Row],[Industry]], Mean_PB_L, 2, FALSE))/(VLOOKUP(Main_L[[#This Row],[Industry]], Mean_PB_L, 3, FALSE))</f>
        <v>0.60231002951650048</v>
      </c>
      <c r="Q4" s="1">
        <f>(Main_L[[#This Row],[ROE]]-VLOOKUP(Main_L[[#This Row],[Industry]], Mean_ROE_L, 2, FALSE))/(VLOOKUP(Main_L[[#This Row],[Industry]], Mean_ROE_L, 3, FALSE))</f>
        <v>-8.3288501610449632</v>
      </c>
      <c r="R4" s="1">
        <f>(Main_L[[#This Row],[ROA]]-VLOOKUP(Main_L[[#This Row],[Industry]], Mean_ROA_L, 2, FALSE))/(VLOOKUP(Main_L[[#This Row],[Industry]], Mean_ROA_L, 3, FALSE))</f>
        <v>-0.77422261933497316</v>
      </c>
      <c r="S4" s="1">
        <f>(Main_L[[#This Row],[A/E]]-VLOOKUP(Main_L[[#This Row],[Industry]], Mean_AE_L, 2, FALSE))/(VLOOKUP(Main_L[[#This Row],[Industry]], Mean_AE_L, 3, FALSE))</f>
        <v>-1.4807474777947898</v>
      </c>
      <c r="T4" s="1">
        <f>(Main_L[[#This Row],[P/E]]-VLOOKUP(Main_L[[#This Row],[Industry]], Mean_PE_L, 2, FALSE))/(VLOOKUP(Main_L[[#This Row],[Industry]], Mean_PE_L, 3, FALSE))</f>
        <v>5.233265355667676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" spans="1:26" x14ac:dyDescent="0.25">
      <c r="A5" s="67" t="s">
        <v>106</v>
      </c>
      <c r="B5" s="67" t="s">
        <v>110</v>
      </c>
      <c r="C5" s="2">
        <v>44649</v>
      </c>
      <c r="D5">
        <f>RTD("tos.rtd", , "LAST", Main_L[[#This Row],[Symbol]])</f>
        <v>34.119999999999997</v>
      </c>
      <c r="E5">
        <v>3.07</v>
      </c>
      <c r="F5">
        <v>14.35</v>
      </c>
      <c r="G5">
        <v>2.96</v>
      </c>
      <c r="H5" s="1">
        <f>IF(ISNUMBER(Main_L[[#This Row],[Free CF]]),IF(Main_L[[#This Row],[Free CF]]&lt;&gt;0,Main_L[[#This Row],[Current Price]]/Main_L[[#This Row],[Free CF]],""),"")</f>
        <v>11.11400651465798</v>
      </c>
      <c r="I5" s="1">
        <f>IF(ISNUMBER(Main_L[[#This Row],[BVPS]]),IF(Main_L[[#This Row],[BVPS]]&lt;&gt;0,Main_L[[#This Row],[Current Price]]/Main_L[[#This Row],[BVPS]],""),"")</f>
        <v>2.3777003484320556</v>
      </c>
      <c r="J5">
        <v>20.2</v>
      </c>
      <c r="K5">
        <v>8.1300000000000008</v>
      </c>
      <c r="L5">
        <v>2.5099999999999998</v>
      </c>
      <c r="M5" s="1">
        <f>IF(ISNUMBER(Main_L[[#This Row],[EPS]]),IF(Main_L[[#This Row],[EPS]]&lt;&gt;0,Main_L[[#This Row],[Current Price]]/Main_L[[#This Row],[EPS]],""),"")</f>
        <v>11.527027027027026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-0.47230459570821942</v>
      </c>
      <c r="P5" s="1">
        <f>(Main_L[[#This Row],[P/B]]-VLOOKUP(Main_L[[#This Row],[Industry]], Mean_PB_L, 2, FALSE))/(VLOOKUP(Main_L[[#This Row],[Industry]], Mean_PB_L, 3, FALSE))</f>
        <v>0.97508421980732329</v>
      </c>
      <c r="Q5" s="1">
        <f>(Main_L[[#This Row],[ROE]]-VLOOKUP(Main_L[[#This Row],[Industry]], Mean_ROE_L, 2, FALSE))/(VLOOKUP(Main_L[[#This Row],[Industry]], Mean_ROE_L, 3, FALSE))</f>
        <v>0.24176955194511424</v>
      </c>
      <c r="R5" s="1">
        <f>(Main_L[[#This Row],[ROA]]-VLOOKUP(Main_L[[#This Row],[Industry]], Mean_ROA_L, 2, FALSE))/(VLOOKUP(Main_L[[#This Row],[Industry]], Mean_ROA_L, 3, FALSE))</f>
        <v>0.46856423165826</v>
      </c>
      <c r="S5" s="1">
        <f>(Main_L[[#This Row],[A/E]]-VLOOKUP(Main_L[[#This Row],[Industry]], Mean_AE_L, 2, FALSE))/(VLOOKUP(Main_L[[#This Row],[Industry]], Mean_AE_L, 3, FALSE))</f>
        <v>1.012541977103891</v>
      </c>
      <c r="T5" s="1">
        <f>(Main_L[[#This Row],[P/E]]-VLOOKUP(Main_L[[#This Row],[Industry]], Mean_PE_L, 2, FALSE))/(VLOOKUP(Main_L[[#This Row],[Industry]], Mean_PE_L, 3, FALSE))</f>
        <v>0.59452421971910141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7" t="s">
        <v>106</v>
      </c>
      <c r="B6" s="67" t="s">
        <v>109</v>
      </c>
      <c r="C6" s="2">
        <v>16842</v>
      </c>
      <c r="D6">
        <f>RTD("tos.rtd", , "LAST", Main_L[[#This Row],[Symbol]])</f>
        <v>21</v>
      </c>
      <c r="E6">
        <v>2.67</v>
      </c>
      <c r="F6">
        <v>12.04</v>
      </c>
      <c r="G6">
        <v>2.4</v>
      </c>
      <c r="H6" s="1">
        <f>IF(ISNUMBER(Main_L[[#This Row],[Free CF]]),IF(Main_L[[#This Row],[Free CF]]&lt;&gt;0,Main_L[[#This Row],[Current Price]]/Main_L[[#This Row],[Free CF]],""),"")</f>
        <v>7.8651685393258433</v>
      </c>
      <c r="I6" s="1">
        <f>IF(ISNUMBER(Main_L[[#This Row],[BVPS]]),IF(Main_L[[#This Row],[BVPS]]&lt;&gt;0,Main_L[[#This Row],[Current Price]]/Main_L[[#This Row],[BVPS]],""),"")</f>
        <v>1.7441860465116281</v>
      </c>
      <c r="J6">
        <v>21</v>
      </c>
      <c r="K6">
        <v>9.1199999999999992</v>
      </c>
      <c r="L6">
        <v>2.4300000000000002</v>
      </c>
      <c r="M6" s="1">
        <f>IF(ISNUMBER(Main_L[[#This Row],[EPS]]),IF(Main_L[[#This Row],[EPS]]&lt;&gt;0,Main_L[[#This Row],[Current Price]]/Main_L[[#This Row],[EPS]],""),"")</f>
        <v>8.75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-1.1751462658075136</v>
      </c>
      <c r="P6" s="1">
        <f>(Main_L[[#This Row],[P/B]]-VLOOKUP(Main_L[[#This Row],[Industry]], Mean_PB_L, 2, FALSE))/(VLOOKUP(Main_L[[#This Row],[Industry]], Mean_PB_L, 3, FALSE))</f>
        <v>-0.45870836712896129</v>
      </c>
      <c r="Q6" s="1">
        <f>(Main_L[[#This Row],[ROE]]-VLOOKUP(Main_L[[#This Row],[Industry]], Mean_ROE_L, 2, FALSE))/(VLOOKUP(Main_L[[#This Row],[Industry]], Mean_ROE_L, 3, FALSE))</f>
        <v>0.95155172279315436</v>
      </c>
      <c r="R6" s="1">
        <f>(Main_L[[#This Row],[ROA]]-VLOOKUP(Main_L[[#This Row],[Industry]], Mean_ROA_L, 2, FALSE))/(VLOOKUP(Main_L[[#This Row],[Industry]], Mean_ROA_L, 3, FALSE))</f>
        <v>1.2998878684712996</v>
      </c>
      <c r="S6" s="1">
        <f>(Main_L[[#This Row],[A/E]]-VLOOKUP(Main_L[[#This Row],[Industry]], Mean_AE_L, 2, FALSE))/(VLOOKUP(Main_L[[#This Row],[Industry]], Mean_AE_L, 3, FALSE))</f>
        <v>0.86028002565969752</v>
      </c>
      <c r="T6" s="1">
        <f>(Main_L[[#This Row],[P/E]]-VLOOKUP(Main_L[[#This Row],[Industry]], Mean_PE_L, 2, FALSE))/(VLOOKUP(Main_L[[#This Row],[Industry]], Mean_PE_L, 3, FALSE))</f>
        <v>-0.66727379121372743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7" t="s">
        <v>107</v>
      </c>
      <c r="B7" s="67" t="s">
        <v>134</v>
      </c>
      <c r="C7" s="2">
        <v>39311</v>
      </c>
      <c r="D7">
        <f>RTD("tos.rtd", , "LAST", Main_L[[#This Row],[Symbol]])</f>
        <v>142.13</v>
      </c>
      <c r="E7">
        <v>8.4</v>
      </c>
      <c r="F7">
        <v>133.91999999999999</v>
      </c>
      <c r="G7">
        <v>16.37</v>
      </c>
      <c r="H7" s="1">
        <f>IF(ISNUMBER(Main_L[[#This Row],[Free CF]]),IF(Main_L[[#This Row],[Free CF]]&lt;&gt;0,Main_L[[#This Row],[Current Price]]/Main_L[[#This Row],[Free CF]],""),"")</f>
        <v>16.920238095238094</v>
      </c>
      <c r="I7" s="1">
        <f>IF(ISNUMBER(Main_L[[#This Row],[BVPS]]),IF(Main_L[[#This Row],[BVPS]]&lt;&gt;0,Main_L[[#This Row],[Current Price]]/Main_L[[#This Row],[BVPS]],""),"")</f>
        <v>1.0613052568697732</v>
      </c>
      <c r="J7">
        <v>14.67</v>
      </c>
      <c r="K7">
        <v>7.13</v>
      </c>
      <c r="L7">
        <v>1.82</v>
      </c>
      <c r="M7" s="1">
        <f>IF(ISNUMBER(Main_L[[#This Row],[EPS]]),IF(Main_L[[#This Row],[EPS]]&lt;&gt;0,Main_L[[#This Row],[Current Price]]/Main_L[[#This Row],[EPS]],""),"")</f>
        <v>8.6823457544288321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" s="1">
        <f>(Main_L[[#This Row],[P/FCF]]-VLOOKUP(Main_L[[#This Row],[Industry]], Mean_PFCF_L, 2, FALSE))/(VLOOKUP(Main_L[[#This Row],[Industry]], Mean_PFCF_L, 3, FALSE))</f>
        <v>-0.11532620935545675</v>
      </c>
      <c r="P7" s="1">
        <f>(Main_L[[#This Row],[P/B]]-VLOOKUP(Main_L[[#This Row],[Industry]], Mean_PB_L, 2, FALSE))/(VLOOKUP(Main_L[[#This Row],[Industry]], Mean_PB_L, 3, FALSE))</f>
        <v>-1.1534321922513868</v>
      </c>
      <c r="Q7" s="1">
        <f>(Main_L[[#This Row],[ROE]]-VLOOKUP(Main_L[[#This Row],[Industry]], Mean_ROE_L, 2, FALSE))/(VLOOKUP(Main_L[[#This Row],[Industry]], Mean_ROE_L, 3, FALSE))</f>
        <v>0.2691997557831996</v>
      </c>
      <c r="R7" s="1">
        <f>(Main_L[[#This Row],[ROA]]-VLOOKUP(Main_L[[#This Row],[Industry]], Mean_ROA_L, 2, FALSE))/(VLOOKUP(Main_L[[#This Row],[Industry]], Mean_ROA_L, 3, FALSE))</f>
        <v>0.44159615226204463</v>
      </c>
      <c r="S7" s="1">
        <f>(Main_L[[#This Row],[A/E]]-VLOOKUP(Main_L[[#This Row],[Industry]], Mean_AE_L, 2, FALSE))/(VLOOKUP(Main_L[[#This Row],[Industry]], Mean_AE_L, 3, FALSE))</f>
        <v>-0.77879217395249889</v>
      </c>
      <c r="T7" s="1">
        <f>(Main_L[[#This Row],[P/E]]-VLOOKUP(Main_L[[#This Row],[Industry]], Mean_PE_L, 2, FALSE))/(VLOOKUP(Main_L[[#This Row],[Industry]], Mean_PE_L, 3, FALSE))</f>
        <v>-1.0168542738107524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s="67" t="s">
        <v>107</v>
      </c>
      <c r="B8" s="67" t="s">
        <v>114</v>
      </c>
      <c r="C8" s="2">
        <v>236764</v>
      </c>
      <c r="D8">
        <f>RTD("tos.rtd", , "LAST", Main_L[[#This Row],[Symbol]])</f>
        <v>140.76</v>
      </c>
      <c r="E8">
        <v>7.6</v>
      </c>
      <c r="F8">
        <v>85.46</v>
      </c>
      <c r="G8">
        <v>8.74</v>
      </c>
      <c r="H8" s="1">
        <f>IF(ISNUMBER(Main_L[[#This Row],[Free CF]]),IF(Main_L[[#This Row],[Free CF]]&lt;&gt;0,Main_L[[#This Row],[Current Price]]/Main_L[[#This Row],[Free CF]],""),"")</f>
        <v>18.521052631578947</v>
      </c>
      <c r="I8" s="1">
        <f>IF(ISNUMBER(Main_L[[#This Row],[BVPS]]),IF(Main_L[[#This Row],[BVPS]]&lt;&gt;0,Main_L[[#This Row],[Current Price]]/Main_L[[#This Row],[BVPS]],""),"")</f>
        <v>1.6470863561900304</v>
      </c>
      <c r="J8">
        <v>10.08</v>
      </c>
      <c r="K8">
        <v>5.23</v>
      </c>
      <c r="L8">
        <v>1.72</v>
      </c>
      <c r="M8" s="1">
        <f>IF(ISNUMBER(Main_L[[#This Row],[EPS]]),IF(Main_L[[#This Row],[EPS]]&lt;&gt;0,Main_L[[#This Row],[Current Price]]/Main_L[[#This Row],[EPS]],""),"")</f>
        <v>16.105263157894736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8.7020014293385534E-3</v>
      </c>
      <c r="P8" s="1">
        <f>(Main_L[[#This Row],[P/B]]-VLOOKUP(Main_L[[#This Row],[Industry]], Mean_PB_L, 2, FALSE))/(VLOOKUP(Main_L[[#This Row],[Industry]], Mean_PB_L, 3, FALSE))</f>
        <v>-0.39374251938628591</v>
      </c>
      <c r="Q8" s="1">
        <f>(Main_L[[#This Row],[ROE]]-VLOOKUP(Main_L[[#This Row],[Industry]], Mean_ROE_L, 2, FALSE))/(VLOOKUP(Main_L[[#This Row],[Industry]], Mean_ROE_L, 3, FALSE))</f>
        <v>-0.35044445071298158</v>
      </c>
      <c r="R8" s="1">
        <f>(Main_L[[#This Row],[ROA]]-VLOOKUP(Main_L[[#This Row],[Industry]], Mean_ROA_L, 2, FALSE))/(VLOOKUP(Main_L[[#This Row],[Industry]], Mean_ROA_L, 3, FALSE))</f>
        <v>-0.15005316588542802</v>
      </c>
      <c r="S8" s="1">
        <f>(Main_L[[#This Row],[A/E]]-VLOOKUP(Main_L[[#This Row],[Industry]], Mean_AE_L, 2, FALSE))/(VLOOKUP(Main_L[[#This Row],[Industry]], Mean_AE_L, 3, FALSE))</f>
        <v>-0.88087678749127696</v>
      </c>
      <c r="T8" s="1">
        <f>(Main_L[[#This Row],[P/E]]-VLOOKUP(Main_L[[#This Row],[Industry]], Mean_PE_L, 2, FALSE))/(VLOOKUP(Main_L[[#This Row],[Industry]], Mean_PE_L, 3, FALSE))</f>
        <v>-0.17238902418321636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7" t="s">
        <v>107</v>
      </c>
      <c r="B9" s="67" t="s">
        <v>141</v>
      </c>
      <c r="C9" s="2">
        <v>40394</v>
      </c>
      <c r="D9">
        <f>RTD("tos.rtd", , "LAST", Main_L[[#This Row],[Symbol]])</f>
        <v>128.26</v>
      </c>
      <c r="E9">
        <v>15.21</v>
      </c>
      <c r="F9">
        <v>75</v>
      </c>
      <c r="G9">
        <v>2.91</v>
      </c>
      <c r="H9" s="1">
        <f>IF(ISNUMBER(Main_L[[#This Row],[Free CF]]),IF(Main_L[[#This Row],[Free CF]]&lt;&gt;0,Main_L[[#This Row],[Current Price]]/Main_L[[#This Row],[Free CF]],""),"")</f>
        <v>8.4326101249178169</v>
      </c>
      <c r="I9" s="1">
        <f>IF(ISNUMBER(Main_L[[#This Row],[BVPS]]),IF(Main_L[[#This Row],[BVPS]]&lt;&gt;0,Main_L[[#This Row],[Current Price]]/Main_L[[#This Row],[BVPS]],""),"")</f>
        <v>1.7101333333333333</v>
      </c>
      <c r="J9">
        <v>3.71</v>
      </c>
      <c r="K9">
        <v>2.46</v>
      </c>
      <c r="L9">
        <v>2.52</v>
      </c>
      <c r="M9" s="1">
        <f>IF(ISNUMBER(Main_L[[#This Row],[EPS]]),IF(Main_L[[#This Row],[EPS]]&lt;&gt;0,Main_L[[#This Row],[Current Price]]/Main_L[[#This Row],[EPS]],""),"")</f>
        <v>44.075601374570439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-0.77293225119718389</v>
      </c>
      <c r="P9" s="1">
        <f>(Main_L[[#This Row],[P/B]]-VLOOKUP(Main_L[[#This Row],[Industry]], Mean_PB_L, 2, FALSE))/(VLOOKUP(Main_L[[#This Row],[Industry]], Mean_PB_L, 3, FALSE))</f>
        <v>-0.3119779532425368</v>
      </c>
      <c r="Q9" s="1">
        <f>(Main_L[[#This Row],[ROE]]-VLOOKUP(Main_L[[#This Row],[Industry]], Mean_ROE_L, 2, FALSE))/(VLOOKUP(Main_L[[#This Row],[Industry]], Mean_ROE_L, 3, FALSE))</f>
        <v>-1.2103864104909063</v>
      </c>
      <c r="R9" s="1">
        <f>(Main_L[[#This Row],[ROA]]-VLOOKUP(Main_L[[#This Row],[Industry]], Mean_ROA_L, 2, FALSE))/(VLOOKUP(Main_L[[#This Row],[Industry]], Mean_ROA_L, 3, FALSE))</f>
        <v>-1.0126155928688492</v>
      </c>
      <c r="S9" s="1">
        <f>(Main_L[[#This Row],[A/E]]-VLOOKUP(Main_L[[#This Row],[Industry]], Mean_AE_L, 2, FALSE))/(VLOOKUP(Main_L[[#This Row],[Industry]], Mean_AE_L, 3, FALSE))</f>
        <v>-6.4199879181053549E-2</v>
      </c>
      <c r="T9" s="1">
        <f>(Main_L[[#This Row],[P/E]]-VLOOKUP(Main_L[[#This Row],[Industry]], Mean_PE_L, 2, FALSE))/(VLOOKUP(Main_L[[#This Row],[Industry]], Mean_PE_L, 3, FALSE))</f>
        <v>3.0096453917302668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s="67" t="s">
        <v>107</v>
      </c>
      <c r="B10" s="67" t="s">
        <v>133</v>
      </c>
      <c r="C10" s="2">
        <v>27637</v>
      </c>
      <c r="D10">
        <f>RTD("tos.rtd", , "LAST", Main_L[[#This Row],[Symbol]])</f>
        <v>114.94</v>
      </c>
      <c r="E10">
        <v>2.2400000000000002</v>
      </c>
      <c r="F10">
        <v>72.39</v>
      </c>
      <c r="G10">
        <v>-5.41</v>
      </c>
      <c r="H10" s="1">
        <f>IF(ISNUMBER(Main_L[[#This Row],[Free CF]]),IF(Main_L[[#This Row],[Free CF]]&lt;&gt;0,Main_L[[#This Row],[Current Price]]/Main_L[[#This Row],[Free CF]],""),"")</f>
        <v>51.312499999999993</v>
      </c>
      <c r="I10" s="1">
        <f>IF(ISNUMBER(Main_L[[#This Row],[BVPS]]),IF(Main_L[[#This Row],[BVPS]]&lt;&gt;0,Main_L[[#This Row],[Current Price]]/Main_L[[#This Row],[BVPS]],""),"")</f>
        <v>1.5877883685591931</v>
      </c>
      <c r="J10">
        <v>-7.1</v>
      </c>
      <c r="K10">
        <v>-2.2599999999999998</v>
      </c>
      <c r="L10">
        <v>1.62</v>
      </c>
      <c r="M10" s="1">
        <f>IF(ISNUMBER(Main_L[[#This Row],[EPS]]),IF(Main_L[[#This Row],[EPS]]&lt;&gt;0,Main_L[[#This Row],[Current Price]]/Main_L[[#This Row],[EPS]],""),"")</f>
        <v>-21.245841035120147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2.5493239497067184</v>
      </c>
      <c r="P10" s="1">
        <f>(Main_L[[#This Row],[P/B]]-VLOOKUP(Main_L[[#This Row],[Industry]], Mean_PB_L, 2, FALSE))/(VLOOKUP(Main_L[[#This Row],[Industry]], Mean_PB_L, 3, FALSE))</f>
        <v>-0.47064508397415589</v>
      </c>
      <c r="Q10" s="1">
        <f>(Main_L[[#This Row],[ROE]]-VLOOKUP(Main_L[[#This Row],[Industry]], Mean_ROE_L, 2, FALSE))/(VLOOKUP(Main_L[[#This Row],[Industry]], Mean_ROE_L, 3, FALSE))</f>
        <v>-2.6697227660952021</v>
      </c>
      <c r="R10" s="1">
        <f>(Main_L[[#This Row],[ROA]]-VLOOKUP(Main_L[[#This Row],[Industry]], Mean_ROA_L, 2, FALSE))/(VLOOKUP(Main_L[[#This Row],[Industry]], Mean_ROA_L, 3, FALSE))</f>
        <v>-2.4823970568983604</v>
      </c>
      <c r="S10" s="1">
        <f>(Main_L[[#This Row],[A/E]]-VLOOKUP(Main_L[[#This Row],[Industry]], Mean_AE_L, 2, FALSE))/(VLOOKUP(Main_L[[#This Row],[Industry]], Mean_AE_L, 3, FALSE))</f>
        <v>-0.98296140103005469</v>
      </c>
      <c r="T10" s="1">
        <f>(Main_L[[#This Row],[P/E]]-VLOOKUP(Main_L[[#This Row],[Industry]], Mean_PE_L, 2, FALSE))/(VLOOKUP(Main_L[[#This Row],[Industry]], Mean_PE_L, 3, FALSE))</f>
        <v>-4.4216225548555341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" spans="1:26" x14ac:dyDescent="0.25">
      <c r="A11" s="67" t="s">
        <v>107</v>
      </c>
      <c r="B11" s="67" t="s">
        <v>140</v>
      </c>
      <c r="C11" s="2">
        <v>46236</v>
      </c>
      <c r="D11">
        <f>RTD("tos.rtd", , "LAST", Main_L[[#This Row],[Symbol]])</f>
        <v>116.1</v>
      </c>
      <c r="E11">
        <v>7.13</v>
      </c>
      <c r="F11">
        <v>66.91</v>
      </c>
      <c r="G11">
        <v>4.42</v>
      </c>
      <c r="H11" s="1">
        <f>IF(ISNUMBER(Main_L[[#This Row],[Free CF]]),IF(Main_L[[#This Row],[Free CF]]&lt;&gt;0,Main_L[[#This Row],[Current Price]]/Main_L[[#This Row],[Free CF]],""),"")</f>
        <v>16.283309957924264</v>
      </c>
      <c r="I11" s="1">
        <f>IF(ISNUMBER(Main_L[[#This Row],[BVPS]]),IF(Main_L[[#This Row],[BVPS]]&lt;&gt;0,Main_L[[#This Row],[Current Price]]/Main_L[[#This Row],[BVPS]],""),"")</f>
        <v>1.7351666417575848</v>
      </c>
      <c r="J11">
        <v>6.56</v>
      </c>
      <c r="K11">
        <v>0.95</v>
      </c>
      <c r="L11">
        <v>2.63</v>
      </c>
      <c r="M11" s="1">
        <f>IF(ISNUMBER(Main_L[[#This Row],[EPS]]),IF(Main_L[[#This Row],[EPS]]&lt;&gt;0,Main_L[[#This Row],[Current Price]]/Main_L[[#This Row],[EPS]],""),"")</f>
        <v>26.266968325791854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-0.16467424779225068</v>
      </c>
      <c r="P11" s="1">
        <f>(Main_L[[#This Row],[P/B]]-VLOOKUP(Main_L[[#This Row],[Industry]], Mean_PB_L, 2, FALSE))/(VLOOKUP(Main_L[[#This Row],[Industry]], Mean_PB_L, 3, FALSE))</f>
        <v>-0.27951267583836847</v>
      </c>
      <c r="Q11" s="1">
        <f>(Main_L[[#This Row],[ROE]]-VLOOKUP(Main_L[[#This Row],[Industry]], Mean_ROE_L, 2, FALSE))/(VLOOKUP(Main_L[[#This Row],[Industry]], Mean_ROE_L, 3, FALSE))</f>
        <v>-0.82564000776451929</v>
      </c>
      <c r="R11" s="1">
        <f>(Main_L[[#This Row],[ROA]]-VLOOKUP(Main_L[[#This Row],[Industry]], Mean_ROA_L, 2, FALSE))/(VLOOKUP(Main_L[[#This Row],[Industry]], Mean_ROA_L, 3, FALSE))</f>
        <v>-1.4828211036071037</v>
      </c>
      <c r="S11" s="1">
        <f>(Main_L[[#This Row],[A/E]]-VLOOKUP(Main_L[[#This Row],[Industry]], Mean_AE_L, 2, FALSE))/(VLOOKUP(Main_L[[#This Row],[Industry]], Mean_AE_L, 3, FALSE))</f>
        <v>4.8093195711602033E-2</v>
      </c>
      <c r="T11" s="1">
        <f>(Main_L[[#This Row],[P/E]]-VLOOKUP(Main_L[[#This Row],[Industry]], Mean_PE_L, 2, FALSE))/(VLOOKUP(Main_L[[#This Row],[Industry]], Mean_PE_L, 3, FALSE))</f>
        <v>0.98365332747260703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7" t="s">
        <v>107</v>
      </c>
      <c r="B12" s="67" t="s">
        <v>124</v>
      </c>
      <c r="C12" s="2">
        <v>440876</v>
      </c>
      <c r="D12">
        <f>RTD("tos.rtd", , "LAST", Main_L[[#This Row],[Symbol]])</f>
        <v>104.97</v>
      </c>
      <c r="E12">
        <v>6.42</v>
      </c>
      <c r="F12">
        <v>60.96</v>
      </c>
      <c r="G12">
        <v>7.55</v>
      </c>
      <c r="H12" s="1">
        <f>IF(ISNUMBER(Main_L[[#This Row],[Free CF]]),IF(Main_L[[#This Row],[Free CF]]&lt;&gt;0,Main_L[[#This Row],[Current Price]]/Main_L[[#This Row],[Free CF]],""),"")</f>
        <v>16.350467289719628</v>
      </c>
      <c r="I12" s="1">
        <f>IF(ISNUMBER(Main_L[[#This Row],[BVPS]]),IF(Main_L[[#This Row],[BVPS]]&lt;&gt;0,Main_L[[#This Row],[Current Price]]/Main_L[[#This Row],[BVPS]],""),"")</f>
        <v>1.7219488188976377</v>
      </c>
      <c r="J12">
        <v>14.3</v>
      </c>
      <c r="K12">
        <v>6.2</v>
      </c>
      <c r="L12">
        <v>1.72</v>
      </c>
      <c r="M12" s="1">
        <f>IF(ISNUMBER(Main_L[[#This Row],[EPS]]),IF(Main_L[[#This Row],[EPS]]&lt;&gt;0,Main_L[[#This Row],[Current Price]]/Main_L[[#This Row],[EPS]],""),"")</f>
        <v>13.903311258278146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2" s="1">
        <f>(Main_L[[#This Row],[P/FCF]]-VLOOKUP(Main_L[[#This Row],[Industry]], Mean_PFCF_L, 2, FALSE))/(VLOOKUP(Main_L[[#This Row],[Industry]], Mean_PFCF_L, 3, FALSE))</f>
        <v>-0.15947101936411603</v>
      </c>
      <c r="P12" s="1">
        <f>(Main_L[[#This Row],[P/B]]-VLOOKUP(Main_L[[#This Row],[Industry]], Mean_PB_L, 2, FALSE))/(VLOOKUP(Main_L[[#This Row],[Industry]], Mean_PB_L, 3, FALSE))</f>
        <v>-0.29665464838769484</v>
      </c>
      <c r="Q12" s="1">
        <f>(Main_L[[#This Row],[ROE]]-VLOOKUP(Main_L[[#This Row],[Industry]], Mean_ROE_L, 2, FALSE))/(VLOOKUP(Main_L[[#This Row],[Industry]], Mean_ROE_L, 3, FALSE))</f>
        <v>0.21925022279766873</v>
      </c>
      <c r="R12" s="1">
        <f>(Main_L[[#This Row],[ROA]]-VLOOKUP(Main_L[[#This Row],[Industry]], Mean_ROA_L, 2, FALSE))/(VLOOKUP(Main_L[[#This Row],[Industry]], Mean_ROA_L, 3, FALSE))</f>
        <v>0.1519993807477554</v>
      </c>
      <c r="S12" s="1">
        <f>(Main_L[[#This Row],[A/E]]-VLOOKUP(Main_L[[#This Row],[Industry]], Mean_AE_L, 2, FALSE))/(VLOOKUP(Main_L[[#This Row],[Industry]], Mean_AE_L, 3, FALSE))</f>
        <v>-0.88087678749127696</v>
      </c>
      <c r="T12" s="1">
        <f>(Main_L[[#This Row],[P/E]]-VLOOKUP(Main_L[[#This Row],[Industry]], Mean_PE_L, 2, FALSE))/(VLOOKUP(Main_L[[#This Row],[Industry]], Mean_PE_L, 3, FALSE))</f>
        <v>-0.4228932073106384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s="67" t="s">
        <v>107</v>
      </c>
      <c r="B13" s="67" t="s">
        <v>131</v>
      </c>
      <c r="C13" s="2">
        <v>59256</v>
      </c>
      <c r="D13">
        <f>RTD("tos.rtd", , "LAST", Main_L[[#This Row],[Symbol]])</f>
        <v>114.33</v>
      </c>
      <c r="E13">
        <v>9.84</v>
      </c>
      <c r="F13">
        <v>53.55</v>
      </c>
      <c r="G13">
        <v>10.8</v>
      </c>
      <c r="H13" s="1">
        <f>IF(ISNUMBER(Main_L[[#This Row],[Free CF]]),IF(Main_L[[#This Row],[Free CF]]&lt;&gt;0,Main_L[[#This Row],[Current Price]]/Main_L[[#This Row],[Free CF]],""),"")</f>
        <v>11.61890243902439</v>
      </c>
      <c r="I13" s="1">
        <f>IF(ISNUMBER(Main_L[[#This Row],[BVPS]]),IF(Main_L[[#This Row],[BVPS]]&lt;&gt;0,Main_L[[#This Row],[Current Price]]/Main_L[[#This Row],[BVPS]],""),"")</f>
        <v>2.1350140056022409</v>
      </c>
      <c r="J13">
        <v>20.9</v>
      </c>
      <c r="K13">
        <v>10.51</v>
      </c>
      <c r="L13">
        <v>1.59</v>
      </c>
      <c r="M13" s="1">
        <f>IF(ISNUMBER(Main_L[[#This Row],[EPS]]),IF(Main_L[[#This Row],[EPS]]&lt;&gt;0,Main_L[[#This Row],[Current Price]]/Main_L[[#This Row],[EPS]],""),"")</f>
        <v>10.58611111111111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-0.52606409390314135</v>
      </c>
      <c r="P13" s="1">
        <f>(Main_L[[#This Row],[P/B]]-VLOOKUP(Main_L[[#This Row],[Industry]], Mean_PB_L, 2, FALSE))/(VLOOKUP(Main_L[[#This Row],[Industry]], Mean_PB_L, 3, FALSE))</f>
        <v>0.23904265718211296</v>
      </c>
      <c r="Q13" s="1">
        <f>(Main_L[[#This Row],[ROE]]-VLOOKUP(Main_L[[#This Row],[Industry]], Mean_ROE_L, 2, FALSE))/(VLOOKUP(Main_L[[#This Row],[Industry]], Mean_ROE_L, 3, FALSE))</f>
        <v>1.1102418922693016</v>
      </c>
      <c r="R13" s="1">
        <f>(Main_L[[#This Row],[ROA]]-VLOOKUP(Main_L[[#This Row],[Industry]], Mean_ROA_L, 2, FALSE))/(VLOOKUP(Main_L[[#This Row],[Industry]], Mean_ROA_L, 3, FALSE))</f>
        <v>1.4941091498086017</v>
      </c>
      <c r="S13" s="1">
        <f>(Main_L[[#This Row],[A/E]]-VLOOKUP(Main_L[[#This Row],[Industry]], Mean_AE_L, 2, FALSE))/(VLOOKUP(Main_L[[#This Row],[Industry]], Mean_AE_L, 3, FALSE))</f>
        <v>-1.0135867850916882</v>
      </c>
      <c r="T13" s="1">
        <f>(Main_L[[#This Row],[P/E]]-VLOOKUP(Main_L[[#This Row],[Industry]], Mean_PE_L, 2, FALSE))/(VLOOKUP(Main_L[[#This Row],[Industry]], Mean_PE_L, 3, FALSE))</f>
        <v>-0.80027316428469109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7" t="s">
        <v>107</v>
      </c>
      <c r="B14" s="67" t="s">
        <v>123</v>
      </c>
      <c r="C14" s="2">
        <v>129310</v>
      </c>
      <c r="D14">
        <f>RTD("tos.rtd", , "LAST", Main_L[[#This Row],[Symbol]])</f>
        <v>59.65</v>
      </c>
      <c r="E14">
        <v>6.82</v>
      </c>
      <c r="F14">
        <v>53.12</v>
      </c>
      <c r="G14">
        <v>5.94</v>
      </c>
      <c r="H14" s="1">
        <f>IF(ISNUMBER(Main_L[[#This Row],[Free CF]]),IF(Main_L[[#This Row],[Free CF]]&lt;&gt;0,Main_L[[#This Row],[Current Price]]/Main_L[[#This Row],[Free CF]],""),"")</f>
        <v>8.7463343108504397</v>
      </c>
      <c r="I14" s="1">
        <f>IF(ISNUMBER(Main_L[[#This Row],[BVPS]]),IF(Main_L[[#This Row],[BVPS]]&lt;&gt;0,Main_L[[#This Row],[Current Price]]/Main_L[[#This Row],[BVPS]],""),"")</f>
        <v>1.1229292168674698</v>
      </c>
      <c r="J14">
        <v>11.71</v>
      </c>
      <c r="K14">
        <v>5.26</v>
      </c>
      <c r="L14">
        <v>2.4700000000000002</v>
      </c>
      <c r="M14" s="1">
        <f>IF(ISNUMBER(Main_L[[#This Row],[EPS]]),IF(Main_L[[#This Row],[EPS]]&lt;&gt;0,Main_L[[#This Row],[Current Price]]/Main_L[[#This Row],[EPS]],""),"")</f>
        <v>10.042087542087542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4" s="1">
        <f>(Main_L[[#This Row],[P/FCF]]-VLOOKUP(Main_L[[#This Row],[Industry]], Mean_PFCF_L, 2, FALSE))/(VLOOKUP(Main_L[[#This Row],[Industry]], Mean_PFCF_L, 3, FALSE))</f>
        <v>-0.74862546950710651</v>
      </c>
      <c r="P14" s="1">
        <f>(Main_L[[#This Row],[P/B]]-VLOOKUP(Main_L[[#This Row],[Industry]], Mean_PB_L, 2, FALSE))/(VLOOKUP(Main_L[[#This Row],[Industry]], Mean_PB_L, 3, FALSE))</f>
        <v>-1.0735131131523399</v>
      </c>
      <c r="Q14" s="1">
        <f>(Main_L[[#This Row],[ROE]]-VLOOKUP(Main_L[[#This Row],[Industry]], Mean_ROE_L, 2, FALSE))/(VLOOKUP(Main_L[[#This Row],[Industry]], Mean_ROE_L, 3, FALSE))</f>
        <v>-0.13039650810104786</v>
      </c>
      <c r="R14" s="1">
        <f>(Main_L[[#This Row],[ROA]]-VLOOKUP(Main_L[[#This Row],[Industry]], Mean_ROA_L, 2, FALSE))/(VLOOKUP(Main_L[[#This Row],[Industry]], Mean_ROA_L, 3, FALSE))</f>
        <v>-0.14071133454625759</v>
      </c>
      <c r="S14" s="1">
        <f>(Main_L[[#This Row],[A/E]]-VLOOKUP(Main_L[[#This Row],[Industry]], Mean_AE_L, 2, FALSE))/(VLOOKUP(Main_L[[#This Row],[Industry]], Mean_AE_L, 3, FALSE))</f>
        <v>-0.11524218595044233</v>
      </c>
      <c r="T14" s="1">
        <f>(Main_L[[#This Row],[P/E]]-VLOOKUP(Main_L[[#This Row],[Industry]], Mean_PE_L, 2, FALSE))/(VLOOKUP(Main_L[[#This Row],[Industry]], Mean_PE_L, 3, FALSE))</f>
        <v>-0.86216378949954853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s="67" t="s">
        <v>107</v>
      </c>
      <c r="B15" s="67" t="s">
        <v>139</v>
      </c>
      <c r="C15" s="2">
        <v>49382</v>
      </c>
      <c r="D15">
        <f>RTD("tos.rtd", , "LAST", Main_L[[#This Row],[Symbol]])</f>
        <v>160.27000000000001</v>
      </c>
      <c r="E15">
        <v>13.59</v>
      </c>
      <c r="F15">
        <v>53.06</v>
      </c>
      <c r="G15">
        <v>7.39</v>
      </c>
      <c r="H15" s="1">
        <f>IF(ISNUMBER(Main_L[[#This Row],[Free CF]]),IF(Main_L[[#This Row],[Free CF]]&lt;&gt;0,Main_L[[#This Row],[Current Price]]/Main_L[[#This Row],[Free CF]],""),"")</f>
        <v>11.793230316409126</v>
      </c>
      <c r="I15" s="1">
        <f>IF(ISNUMBER(Main_L[[#This Row],[BVPS]]),IF(Main_L[[#This Row],[BVPS]]&lt;&gt;0,Main_L[[#This Row],[Current Price]]/Main_L[[#This Row],[BVPS]],""),"")</f>
        <v>3.020542781756502</v>
      </c>
      <c r="J15">
        <v>15.52</v>
      </c>
      <c r="K15">
        <v>3.47</v>
      </c>
      <c r="L15">
        <v>4.9800000000000004</v>
      </c>
      <c r="M15" s="1">
        <f>IF(ISNUMBER(Main_L[[#This Row],[EPS]]),IF(Main_L[[#This Row],[EPS]]&lt;&gt;0,Main_L[[#This Row],[Current Price]]/Main_L[[#This Row],[EPS]],""),"")</f>
        <v>21.687415426251693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-0.512557485716435</v>
      </c>
      <c r="P15" s="1">
        <f>(Main_L[[#This Row],[P/B]]-VLOOKUP(Main_L[[#This Row],[Industry]], Mean_PB_L, 2, FALSE))/(VLOOKUP(Main_L[[#This Row],[Industry]], Mean_PB_L, 3, FALSE))</f>
        <v>1.3874700595853298</v>
      </c>
      <c r="Q15" s="1">
        <f>(Main_L[[#This Row],[ROE]]-VLOOKUP(Main_L[[#This Row],[Industry]], Mean_ROE_L, 2, FALSE))/(VLOOKUP(Main_L[[#This Row],[Industry]], Mean_ROE_L, 3, FALSE))</f>
        <v>0.38394868291212197</v>
      </c>
      <c r="R15" s="1">
        <f>(Main_L[[#This Row],[ROA]]-VLOOKUP(Main_L[[#This Row],[Industry]], Mean_ROA_L, 2, FALSE))/(VLOOKUP(Main_L[[#This Row],[Industry]], Mean_ROA_L, 3, FALSE))</f>
        <v>-0.6981072711167714</v>
      </c>
      <c r="S15" s="1">
        <f>(Main_L[[#This Row],[A/E]]-VLOOKUP(Main_L[[#This Row],[Industry]], Mean_AE_L, 2, FALSE))/(VLOOKUP(Main_L[[#This Row],[Industry]], Mean_AE_L, 3, FALSE))</f>
        <v>2.4470816138728835</v>
      </c>
      <c r="T15" s="1">
        <f>(Main_L[[#This Row],[P/E]]-VLOOKUP(Main_L[[#This Row],[Industry]], Mean_PE_L, 2, FALSE))/(VLOOKUP(Main_L[[#This Row],[Industry]], Mean_PE_L, 3, FALSE))</f>
        <v>0.46266231109850814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7" t="s">
        <v>107</v>
      </c>
      <c r="B16" s="67" t="s">
        <v>136</v>
      </c>
      <c r="C16" s="2">
        <v>25609</v>
      </c>
      <c r="D16">
        <f>RTD("tos.rtd", , "LAST", Main_L[[#This Row],[Symbol]])</f>
        <v>1105.04</v>
      </c>
      <c r="E16">
        <v>2.81</v>
      </c>
      <c r="F16">
        <v>52.48</v>
      </c>
      <c r="G16">
        <v>19.989999999999998</v>
      </c>
      <c r="H16" s="1">
        <f>IF(ISNUMBER(Main_L[[#This Row],[Free CF]]),IF(Main_L[[#This Row],[Free CF]]&lt;&gt;0,Main_L[[#This Row],[Current Price]]/Main_L[[#This Row],[Free CF]],""),"")</f>
        <v>393.25266903914587</v>
      </c>
      <c r="I16" s="1">
        <f>IF(ISNUMBER(Main_L[[#This Row],[BVPS]]),IF(Main_L[[#This Row],[BVPS]]&lt;&gt;0,Main_L[[#This Row],[Current Price]]/Main_L[[#This Row],[BVPS]],""),"")</f>
        <v>21.056402439024392</v>
      </c>
      <c r="J16">
        <v>39.520000000000003</v>
      </c>
      <c r="K16">
        <v>26.72</v>
      </c>
      <c r="L16">
        <v>1.1200000000000001</v>
      </c>
      <c r="M16" s="1">
        <f>IF(ISNUMBER(Main_L[[#This Row],[EPS]]),IF(Main_L[[#This Row],[EPS]]&lt;&gt;0,Main_L[[#This Row],[Current Price]]/Main_L[[#This Row],[EPS]],""),"")</f>
        <v>55.27963981990996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29.042228904403824</v>
      </c>
      <c r="P16" s="1">
        <f>(Main_L[[#This Row],[P/B]]-VLOOKUP(Main_L[[#This Row],[Industry]], Mean_PB_L, 2, FALSE))/(VLOOKUP(Main_L[[#This Row],[Industry]], Mean_PB_L, 3, FALSE))</f>
        <v>24.777873639984513</v>
      </c>
      <c r="Q16" s="1">
        <f>(Main_L[[#This Row],[ROE]]-VLOOKUP(Main_L[[#This Row],[Industry]], Mean_ROE_L, 2, FALSE))/(VLOOKUP(Main_L[[#This Row],[Industry]], Mean_ROE_L, 3, FALSE))</f>
        <v>3.6239183900816974</v>
      </c>
      <c r="R16" s="1">
        <f>(Main_L[[#This Row],[ROA]]-VLOOKUP(Main_L[[#This Row],[Industry]], Mean_ROA_L, 2, FALSE))/(VLOOKUP(Main_L[[#This Row],[Industry]], Mean_ROA_L, 3, FALSE))</f>
        <v>6.5418120167404616</v>
      </c>
      <c r="S16" s="1">
        <f>(Main_L[[#This Row],[A/E]]-VLOOKUP(Main_L[[#This Row],[Industry]], Mean_AE_L, 2, FALSE))/(VLOOKUP(Main_L[[#This Row],[Industry]], Mean_AE_L, 3, FALSE))</f>
        <v>-1.4933844687239444</v>
      </c>
      <c r="T16" s="1">
        <f>(Main_L[[#This Row],[P/E]]-VLOOKUP(Main_L[[#This Row],[Industry]], Mean_PE_L, 2, FALSE))/(VLOOKUP(Main_L[[#This Row],[Industry]], Mean_PE_L, 3, FALSE))</f>
        <v>4.2842683746240846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7" spans="1:26" x14ac:dyDescent="0.25">
      <c r="A17" s="67" t="s">
        <v>107</v>
      </c>
      <c r="B17" s="67" t="s">
        <v>128</v>
      </c>
      <c r="C17" s="2">
        <v>107747</v>
      </c>
      <c r="D17">
        <f>RTD("tos.rtd", , "LAST", Main_L[[#This Row],[Symbol]])</f>
        <v>88.04</v>
      </c>
      <c r="E17">
        <v>7.21</v>
      </c>
      <c r="F17">
        <v>51.68</v>
      </c>
      <c r="G17">
        <v>7.91</v>
      </c>
      <c r="H17" s="1">
        <f>IF(ISNUMBER(Main_L[[#This Row],[Free CF]]),IF(Main_L[[#This Row],[Free CF]]&lt;&gt;0,Main_L[[#This Row],[Current Price]]/Main_L[[#This Row],[Free CF]],""),"")</f>
        <v>12.210818307905688</v>
      </c>
      <c r="I17" s="1">
        <f>IF(ISNUMBER(Main_L[[#This Row],[BVPS]]),IF(Main_L[[#This Row],[BVPS]]&lt;&gt;0,Main_L[[#This Row],[Current Price]]/Main_L[[#This Row],[BVPS]],""),"")</f>
        <v>1.703560371517028</v>
      </c>
      <c r="J17">
        <v>16.66</v>
      </c>
      <c r="K17">
        <v>8.7799999999999994</v>
      </c>
      <c r="L17">
        <v>1.9</v>
      </c>
      <c r="M17" s="1">
        <f>IF(ISNUMBER(Main_L[[#This Row],[EPS]]),IF(Main_L[[#This Row],[EPS]]&lt;&gt;0,Main_L[[#This Row],[Current Price]]/Main_L[[#This Row],[EPS]],""),"")</f>
        <v>11.130214917825539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7" s="1">
        <f>(Main_L[[#This Row],[P/FCF]]-VLOOKUP(Main_L[[#This Row],[Industry]], Mean_PFCF_L, 2, FALSE))/(VLOOKUP(Main_L[[#This Row],[Industry]], Mean_PFCF_L, 3, FALSE))</f>
        <v>-0.48020352449559123</v>
      </c>
      <c r="P17" s="1">
        <f>(Main_L[[#This Row],[P/B]]-VLOOKUP(Main_L[[#This Row],[Industry]], Mean_PB_L, 2, FALSE))/(VLOOKUP(Main_L[[#This Row],[Industry]], Mean_PB_L, 3, FALSE))</f>
        <v>-0.32050231706680177</v>
      </c>
      <c r="Q17" s="1">
        <f>(Main_L[[#This Row],[ROE]]-VLOOKUP(Main_L[[#This Row],[Industry]], Mean_ROE_L, 2, FALSE))/(VLOOKUP(Main_L[[#This Row],[Industry]], Mean_ROE_L, 3, FALSE))</f>
        <v>0.53784724400267681</v>
      </c>
      <c r="R17" s="1">
        <f>(Main_L[[#This Row],[ROA]]-VLOOKUP(Main_L[[#This Row],[Industry]], Mean_ROA_L, 2, FALSE))/(VLOOKUP(Main_L[[#This Row],[Industry]], Mean_ROA_L, 3, FALSE))</f>
        <v>0.95539687591642886</v>
      </c>
      <c r="S17" s="1">
        <f>(Main_L[[#This Row],[A/E]]-VLOOKUP(Main_L[[#This Row],[Industry]], Mean_AE_L, 2, FALSE))/(VLOOKUP(Main_L[[#This Row],[Industry]], Mean_AE_L, 3, FALSE))</f>
        <v>-0.69712448312147679</v>
      </c>
      <c r="T17" s="1">
        <f>(Main_L[[#This Row],[P/E]]-VLOOKUP(Main_L[[#This Row],[Industry]], Mean_PE_L, 2, FALSE))/(VLOOKUP(Main_L[[#This Row],[Industry]], Mean_PE_L, 3, FALSE))</f>
        <v>-0.73837341086080766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7" t="s">
        <v>107</v>
      </c>
      <c r="B18" s="67" t="s">
        <v>143</v>
      </c>
      <c r="C18" s="2">
        <v>10641</v>
      </c>
      <c r="D18">
        <f>RTD("tos.rtd", , "LAST", Main_L[[#This Row],[Symbol]])</f>
        <v>105.74</v>
      </c>
      <c r="E18">
        <v>4.5199999999999996</v>
      </c>
      <c r="F18">
        <v>45.69</v>
      </c>
      <c r="G18">
        <v>3.68</v>
      </c>
      <c r="H18" s="1">
        <f>IF(ISNUMBER(Main_L[[#This Row],[Free CF]]),IF(Main_L[[#This Row],[Free CF]]&lt;&gt;0,Main_L[[#This Row],[Current Price]]/Main_L[[#This Row],[Free CF]],""),"")</f>
        <v>23.393805309734514</v>
      </c>
      <c r="I18" s="1">
        <f>IF(ISNUMBER(Main_L[[#This Row],[BVPS]]),IF(Main_L[[#This Row],[BVPS]]&lt;&gt;0,Main_L[[#This Row],[Current Price]]/Main_L[[#This Row],[BVPS]],""),"")</f>
        <v>2.3142919676077915</v>
      </c>
      <c r="J18">
        <v>8.32</v>
      </c>
      <c r="K18">
        <v>3.4</v>
      </c>
      <c r="L18">
        <v>2.14</v>
      </c>
      <c r="M18" s="1">
        <f>IF(ISNUMBER(Main_L[[#This Row],[EPS]]),IF(Main_L[[#This Row],[EPS]]&lt;&gt;0,Main_L[[#This Row],[Current Price]]/Main_L[[#This Row],[EPS]],""),"")</f>
        <v>28.73369565217391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0.38623405311216502</v>
      </c>
      <c r="P18" s="1">
        <f>(Main_L[[#This Row],[P/B]]-VLOOKUP(Main_L[[#This Row],[Industry]], Mean_PB_L, 2, FALSE))/(VLOOKUP(Main_L[[#This Row],[Industry]], Mean_PB_L, 3, FALSE))</f>
        <v>0.47154523615907329</v>
      </c>
      <c r="Q18" s="1">
        <f>(Main_L[[#This Row],[ROE]]-VLOOKUP(Main_L[[#This Row],[Industry]], Mean_ROE_L, 2, FALSE))/(VLOOKUP(Main_L[[#This Row],[Industry]], Mean_ROE_L, 3, FALSE))</f>
        <v>-0.58804222923875038</v>
      </c>
      <c r="R18" s="1">
        <f>(Main_L[[#This Row],[ROA]]-VLOOKUP(Main_L[[#This Row],[Industry]], Mean_ROA_L, 2, FALSE))/(VLOOKUP(Main_L[[#This Row],[Industry]], Mean_ROA_L, 3, FALSE))</f>
        <v>-0.71990487757483623</v>
      </c>
      <c r="S18" s="1">
        <f>(Main_L[[#This Row],[A/E]]-VLOOKUP(Main_L[[#This Row],[Industry]], Mean_AE_L, 2, FALSE))/(VLOOKUP(Main_L[[#This Row],[Industry]], Mean_AE_L, 3, FALSE))</f>
        <v>-0.45212141062840955</v>
      </c>
      <c r="T18" s="1">
        <f>(Main_L[[#This Row],[P/E]]-VLOOKUP(Main_L[[#This Row],[Industry]], Mean_PE_L, 2, FALSE))/(VLOOKUP(Main_L[[#This Row],[Industry]], Mean_PE_L, 3, FALSE))</f>
        <v>1.2642795818431141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7" t="s">
        <v>107</v>
      </c>
      <c r="B19" s="67" t="s">
        <v>135</v>
      </c>
      <c r="C19" s="2">
        <v>40883</v>
      </c>
      <c r="D19">
        <f>RTD("tos.rtd", , "LAST", Main_L[[#This Row],[Symbol]])</f>
        <v>136.63</v>
      </c>
      <c r="E19">
        <v>3.63</v>
      </c>
      <c r="F19">
        <v>37.4</v>
      </c>
      <c r="G19">
        <v>7.21</v>
      </c>
      <c r="H19" s="1">
        <f>IF(ISNUMBER(Main_L[[#This Row],[Free CF]]),IF(Main_L[[#This Row],[Free CF]]&lt;&gt;0,Main_L[[#This Row],[Current Price]]/Main_L[[#This Row],[Free CF]],""),"")</f>
        <v>37.639118457300277</v>
      </c>
      <c r="I19" s="1">
        <f>IF(ISNUMBER(Main_L[[#This Row],[BVPS]]),IF(Main_L[[#This Row],[BVPS]]&lt;&gt;0,Main_L[[#This Row],[Current Price]]/Main_L[[#This Row],[BVPS]],""),"")</f>
        <v>3.6532085561497327</v>
      </c>
      <c r="J19">
        <v>22.75</v>
      </c>
      <c r="K19">
        <v>9.68</v>
      </c>
      <c r="L19">
        <v>2.36</v>
      </c>
      <c r="M19" s="1">
        <f>IF(ISNUMBER(Main_L[[#This Row],[EPS]]),IF(Main_L[[#This Row],[EPS]]&lt;&gt;0,Main_L[[#This Row],[Current Price]]/Main_L[[#This Row],[EPS]],""),"")</f>
        <v>18.950069348127599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1.4899351138236121</v>
      </c>
      <c r="P19" s="1">
        <f>(Main_L[[#This Row],[P/B]]-VLOOKUP(Main_L[[#This Row],[Industry]], Mean_PB_L, 2, FALSE))/(VLOOKUP(Main_L[[#This Row],[Industry]], Mean_PB_L, 3, FALSE))</f>
        <v>2.2079636803925968</v>
      </c>
      <c r="Q19" s="1">
        <f>(Main_L[[#This Row],[ROE]]-VLOOKUP(Main_L[[#This Row],[Industry]], Mean_ROE_L, 2, FALSE))/(VLOOKUP(Main_L[[#This Row],[Industry]], Mean_ROE_L, 3, FALSE))</f>
        <v>1.3599895571969565</v>
      </c>
      <c r="R19" s="1">
        <f>(Main_L[[#This Row],[ROA]]-VLOOKUP(Main_L[[#This Row],[Industry]], Mean_ROA_L, 2, FALSE))/(VLOOKUP(Main_L[[#This Row],[Industry]], Mean_ROA_L, 3, FALSE))</f>
        <v>1.2356518160915477</v>
      </c>
      <c r="S19" s="1">
        <f>(Main_L[[#This Row],[A/E]]-VLOOKUP(Main_L[[#This Row],[Industry]], Mean_AE_L, 2, FALSE))/(VLOOKUP(Main_L[[#This Row],[Industry]], Mean_AE_L, 3, FALSE))</f>
        <v>-0.22753526084309836</v>
      </c>
      <c r="T19" s="1">
        <f>(Main_L[[#This Row],[P/E]]-VLOOKUP(Main_L[[#This Row],[Industry]], Mean_PE_L, 2, FALSE))/(VLOOKUP(Main_L[[#This Row],[Industry]], Mean_PE_L, 3, FALSE))</f>
        <v>0.15124922194023568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7" t="s">
        <v>107</v>
      </c>
      <c r="B20" s="67" t="s">
        <v>132</v>
      </c>
      <c r="C20" s="2">
        <v>33002</v>
      </c>
      <c r="D20">
        <f>RTD("tos.rtd", , "LAST", Main_L[[#This Row],[Symbol]])</f>
        <v>54.9</v>
      </c>
      <c r="E20">
        <v>2.16</v>
      </c>
      <c r="F20">
        <v>34.61</v>
      </c>
      <c r="G20">
        <v>0.66</v>
      </c>
      <c r="H20" s="1">
        <f>IF(ISNUMBER(Main_L[[#This Row],[Free CF]]),IF(Main_L[[#This Row],[Free CF]]&lt;&gt;0,Main_L[[#This Row],[Current Price]]/Main_L[[#This Row],[Free CF]],""),"")</f>
        <v>25.416666666666664</v>
      </c>
      <c r="I20" s="1">
        <f>IF(ISNUMBER(Main_L[[#This Row],[BVPS]]),IF(Main_L[[#This Row],[BVPS]]&lt;&gt;0,Main_L[[#This Row],[Current Price]]/Main_L[[#This Row],[BVPS]],""),"")</f>
        <v>1.5862467494943657</v>
      </c>
      <c r="J20">
        <v>2.2999999999999998</v>
      </c>
      <c r="K20">
        <v>1.25</v>
      </c>
      <c r="L20">
        <v>1.92</v>
      </c>
      <c r="M20" s="1">
        <f>IF(ISNUMBER(Main_L[[#This Row],[EPS]]),IF(Main_L[[#This Row],[EPS]]&lt;&gt;0,Main_L[[#This Row],[Current Price]]/Main_L[[#This Row],[EPS]],""),"")</f>
        <v>83.181818181818173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0.54296168711996662</v>
      </c>
      <c r="P20" s="1">
        <f>(Main_L[[#This Row],[P/B]]-VLOOKUP(Main_L[[#This Row],[Industry]], Mean_PB_L, 2, FALSE))/(VLOOKUP(Main_L[[#This Row],[Industry]], Mean_PB_L, 3, FALSE))</f>
        <v>-0.47264438385665525</v>
      </c>
      <c r="Q20" s="1">
        <f>(Main_L[[#This Row],[ROE]]-VLOOKUP(Main_L[[#This Row],[Industry]], Mean_ROE_L, 2, FALSE))/(VLOOKUP(Main_L[[#This Row],[Industry]], Mean_ROE_L, 3, FALSE))</f>
        <v>-1.4007346307871189</v>
      </c>
      <c r="R20" s="1">
        <f>(Main_L[[#This Row],[ROA]]-VLOOKUP(Main_L[[#This Row],[Industry]], Mean_ROA_L, 2, FALSE))/(VLOOKUP(Main_L[[#This Row],[Industry]], Mean_ROA_L, 3, FALSE))</f>
        <v>-1.3894027902153976</v>
      </c>
      <c r="S20" s="1">
        <f>(Main_L[[#This Row],[A/E]]-VLOOKUP(Main_L[[#This Row],[Industry]], Mean_AE_L, 2, FALSE))/(VLOOKUP(Main_L[[#This Row],[Industry]], Mean_AE_L, 3, FALSE))</f>
        <v>-0.67670756041372115</v>
      </c>
      <c r="T20" s="1">
        <f>(Main_L[[#This Row],[P/E]]-VLOOKUP(Main_L[[#This Row],[Industry]], Mean_PE_L, 2, FALSE))/(VLOOKUP(Main_L[[#This Row],[Industry]], Mean_PE_L, 3, FALSE))</f>
        <v>7.4585486117366653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1" spans="1:26" x14ac:dyDescent="0.25">
      <c r="A21" s="67" t="s">
        <v>107</v>
      </c>
      <c r="B21" s="67" t="s">
        <v>150</v>
      </c>
      <c r="C21" s="2">
        <v>50495</v>
      </c>
      <c r="D21">
        <f>RTD("tos.rtd", , "LAST", Main_L[[#This Row],[Symbol]])</f>
        <v>81.12</v>
      </c>
      <c r="E21">
        <v>5.17</v>
      </c>
      <c r="F21">
        <v>34.200000000000003</v>
      </c>
      <c r="G21">
        <v>5.1100000000000003</v>
      </c>
      <c r="H21" s="1">
        <f>IF(ISNUMBER(Main_L[[#This Row],[Free CF]]),IF(Main_L[[#This Row],[Free CF]]&lt;&gt;0,Main_L[[#This Row],[Current Price]]/Main_L[[#This Row],[Free CF]],""),"")</f>
        <v>15.690522243713735</v>
      </c>
      <c r="I21" s="1">
        <f>IF(ISNUMBER(Main_L[[#This Row],[BVPS]]),IF(Main_L[[#This Row],[BVPS]]&lt;&gt;0,Main_L[[#This Row],[Current Price]]/Main_L[[#This Row],[BVPS]],""),"")</f>
        <v>2.3719298245614033</v>
      </c>
      <c r="J21">
        <v>16.41</v>
      </c>
      <c r="K21">
        <v>6.05</v>
      </c>
      <c r="L21">
        <v>3.01</v>
      </c>
      <c r="M21" s="1">
        <f>IF(ISNUMBER(Main_L[[#This Row],[EPS]]),IF(Main_L[[#This Row],[EPS]]&lt;&gt;0,Main_L[[#This Row],[Current Price]]/Main_L[[#This Row],[EPS]],""),"")</f>
        <v>15.874755381604697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-0.21060236619677128</v>
      </c>
      <c r="P21" s="1">
        <f>(Main_L[[#This Row],[P/B]]-VLOOKUP(Main_L[[#This Row],[Industry]], Mean_PB_L, 2, FALSE))/(VLOOKUP(Main_L[[#This Row],[Industry]], Mean_PB_L, 3, FALSE))</f>
        <v>0.5462948051440496</v>
      </c>
      <c r="Q21" s="1">
        <f>(Main_L[[#This Row],[ROE]]-VLOOKUP(Main_L[[#This Row],[Industry]], Mean_ROE_L, 2, FALSE))/(VLOOKUP(Main_L[[#This Row],[Industry]], Mean_ROE_L, 3, FALSE))</f>
        <v>0.50409755955299373</v>
      </c>
      <c r="R21" s="1">
        <f>(Main_L[[#This Row],[ROA]]-VLOOKUP(Main_L[[#This Row],[Industry]], Mean_ROA_L, 2, FALSE))/(VLOOKUP(Main_L[[#This Row],[Industry]], Mean_ROA_L, 3, FALSE))</f>
        <v>0.10529022405190218</v>
      </c>
      <c r="S21" s="1">
        <f>(Main_L[[#This Row],[A/E]]-VLOOKUP(Main_L[[#This Row],[Industry]], Mean_AE_L, 2, FALSE))/(VLOOKUP(Main_L[[#This Row],[Industry]], Mean_AE_L, 3, FALSE))</f>
        <v>0.436014727158958</v>
      </c>
      <c r="T21" s="1">
        <f>(Main_L[[#This Row],[P/E]]-VLOOKUP(Main_L[[#This Row],[Industry]], Mean_PE_L, 2, FALSE))/(VLOOKUP(Main_L[[#This Row],[Industry]], Mean_PE_L, 3, FALSE))</f>
        <v>-0.19861264978289878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s="67" t="s">
        <v>107</v>
      </c>
      <c r="B22" s="67" t="s">
        <v>118</v>
      </c>
      <c r="C22" s="2">
        <v>36320</v>
      </c>
      <c r="D22">
        <f>RTD("tos.rtd", , "LAST", Main_L[[#This Row],[Symbol]])</f>
        <v>73.41</v>
      </c>
      <c r="E22">
        <v>6.2</v>
      </c>
      <c r="F22">
        <v>33.33</v>
      </c>
      <c r="G22">
        <v>6.47</v>
      </c>
      <c r="H22" s="1">
        <f>IF(ISNUMBER(Main_L[[#This Row],[Free CF]]),IF(Main_L[[#This Row],[Free CF]]&lt;&gt;0,Main_L[[#This Row],[Current Price]]/Main_L[[#This Row],[Free CF]],""),"")</f>
        <v>11.840322580645161</v>
      </c>
      <c r="I22" s="1">
        <f>IF(ISNUMBER(Main_L[[#This Row],[BVPS]]),IF(Main_L[[#This Row],[BVPS]]&lt;&gt;0,Main_L[[#This Row],[Current Price]]/Main_L[[#This Row],[BVPS]],""),"")</f>
        <v>2.2025202520252027</v>
      </c>
      <c r="J22">
        <v>20.55</v>
      </c>
      <c r="K22">
        <v>9.18</v>
      </c>
      <c r="L22">
        <v>1.8</v>
      </c>
      <c r="M22" s="1">
        <f>IF(ISNUMBER(Main_L[[#This Row],[EPS]]),IF(Main_L[[#This Row],[EPS]]&lt;&gt;0,Main_L[[#This Row],[Current Price]]/Main_L[[#This Row],[EPS]],""),"")</f>
        <v>11.346213292117465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-0.50890886237974853</v>
      </c>
      <c r="P22" s="1">
        <f>(Main_L[[#This Row],[P/B]]-VLOOKUP(Main_L[[#This Row],[Industry]], Mean_PB_L, 2, FALSE))/(VLOOKUP(Main_L[[#This Row],[Industry]], Mean_PB_L, 3, FALSE))</f>
        <v>0.32659037478672792</v>
      </c>
      <c r="Q22" s="1">
        <f>(Main_L[[#This Row],[ROE]]-VLOOKUP(Main_L[[#This Row],[Industry]], Mean_ROE_L, 2, FALSE))/(VLOOKUP(Main_L[[#This Row],[Industry]], Mean_ROE_L, 3, FALSE))</f>
        <v>1.0629923340397456</v>
      </c>
      <c r="R22" s="1">
        <f>(Main_L[[#This Row],[ROA]]-VLOOKUP(Main_L[[#This Row],[Industry]], Mean_ROA_L, 2, FALSE))/(VLOOKUP(Main_L[[#This Row],[Industry]], Mean_ROA_L, 3, FALSE))</f>
        <v>1.0799546271053706</v>
      </c>
      <c r="S22" s="1">
        <f>(Main_L[[#This Row],[A/E]]-VLOOKUP(Main_L[[#This Row],[Industry]], Mean_AE_L, 2, FALSE))/(VLOOKUP(Main_L[[#This Row],[Industry]], Mean_AE_L, 3, FALSE))</f>
        <v>-0.79920909666025453</v>
      </c>
      <c r="T22" s="1">
        <f>(Main_L[[#This Row],[P/E]]-VLOOKUP(Main_L[[#This Row],[Industry]], Mean_PE_L, 2, FALSE))/(VLOOKUP(Main_L[[#This Row],[Industry]], Mean_PE_L, 3, FALSE))</f>
        <v>-0.71380044161553413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7" t="s">
        <v>107</v>
      </c>
      <c r="B23" s="67" t="s">
        <v>121</v>
      </c>
      <c r="C23" s="2">
        <v>195780</v>
      </c>
      <c r="D23">
        <f>RTD("tos.rtd", , "LAST", Main_L[[#This Row],[Symbol]])</f>
        <v>68.260000000000005</v>
      </c>
      <c r="E23">
        <v>5.05</v>
      </c>
      <c r="F23">
        <v>29.72</v>
      </c>
      <c r="G23">
        <v>2.17</v>
      </c>
      <c r="H23" s="1">
        <f>IF(ISNUMBER(Main_L[[#This Row],[Free CF]]),IF(Main_L[[#This Row],[Free CF]]&lt;&gt;0,Main_L[[#This Row],[Current Price]]/Main_L[[#This Row],[Free CF]],""),"")</f>
        <v>13.516831683168318</v>
      </c>
      <c r="I23" s="1">
        <f>IF(ISNUMBER(Main_L[[#This Row],[BVPS]]),IF(Main_L[[#This Row],[BVPS]]&lt;&gt;0,Main_L[[#This Row],[Current Price]]/Main_L[[#This Row],[BVPS]],""),"")</f>
        <v>2.2967698519515483</v>
      </c>
      <c r="J23">
        <v>7.56</v>
      </c>
      <c r="K23">
        <v>5.17</v>
      </c>
      <c r="L23">
        <v>2.1800000000000002</v>
      </c>
      <c r="M23" s="1">
        <f>IF(ISNUMBER(Main_L[[#This Row],[EPS]]),IF(Main_L[[#This Row],[EPS]]&lt;&gt;0,Main_L[[#This Row],[Current Price]]/Main_L[[#This Row],[EPS]],""),"")</f>
        <v>31.456221198156687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-0.37901597370966722</v>
      </c>
      <c r="P23" s="1">
        <f>(Main_L[[#This Row],[P/B]]-VLOOKUP(Main_L[[#This Row],[Industry]], Mean_PB_L, 2, FALSE))/(VLOOKUP(Main_L[[#This Row],[Industry]], Mean_PB_L, 3, FALSE))</f>
        <v>0.44882109854821067</v>
      </c>
      <c r="Q23" s="1">
        <f>(Main_L[[#This Row],[ROE]]-VLOOKUP(Main_L[[#This Row],[Industry]], Mean_ROE_L, 2, FALSE))/(VLOOKUP(Main_L[[#This Row],[Industry]], Mean_ROE_L, 3, FALSE))</f>
        <v>-0.69064126996578701</v>
      </c>
      <c r="R23" s="1">
        <f>(Main_L[[#This Row],[ROA]]-VLOOKUP(Main_L[[#This Row],[Industry]], Mean_ROA_L, 2, FALSE))/(VLOOKUP(Main_L[[#This Row],[Industry]], Mean_ROA_L, 3, FALSE))</f>
        <v>-0.16873682856376943</v>
      </c>
      <c r="S23" s="1">
        <f>(Main_L[[#This Row],[A/E]]-VLOOKUP(Main_L[[#This Row],[Industry]], Mean_AE_L, 2, FALSE))/(VLOOKUP(Main_L[[#This Row],[Industry]], Mean_AE_L, 3, FALSE))</f>
        <v>-0.41128756521289833</v>
      </c>
      <c r="T23" s="1">
        <f>(Main_L[[#This Row],[P/E]]-VLOOKUP(Main_L[[#This Row],[Industry]], Mean_PE_L, 2, FALSE))/(VLOOKUP(Main_L[[#This Row],[Industry]], Mean_PE_L, 3, FALSE))</f>
        <v>1.5740066190498336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7" t="s">
        <v>107</v>
      </c>
      <c r="B24" s="67" t="s">
        <v>125</v>
      </c>
      <c r="C24" s="2">
        <v>13915</v>
      </c>
      <c r="D24">
        <f>RTD("tos.rtd", , "LAST", Main_L[[#This Row],[Symbol]])</f>
        <v>33.71</v>
      </c>
      <c r="E24">
        <v>-0.33</v>
      </c>
      <c r="F24">
        <v>29.67</v>
      </c>
      <c r="G24">
        <v>3.61</v>
      </c>
      <c r="H24" s="1">
        <f>IF(ISNUMBER(Main_L[[#This Row],[Free CF]]),IF(Main_L[[#This Row],[Free CF]]&lt;&gt;0,Main_L[[#This Row],[Current Price]]/Main_L[[#This Row],[Free CF]],""),"")</f>
        <v>-102.15151515151516</v>
      </c>
      <c r="I24" s="1">
        <f>IF(ISNUMBER(Main_L[[#This Row],[BVPS]]),IF(Main_L[[#This Row],[BVPS]]&lt;&gt;0,Main_L[[#This Row],[Current Price]]/Main_L[[#This Row],[BVPS]],""),"")</f>
        <v>1.1361644759015841</v>
      </c>
      <c r="J24">
        <v>14.7</v>
      </c>
      <c r="K24">
        <v>3.73</v>
      </c>
      <c r="L24">
        <v>2.54</v>
      </c>
      <c r="M24" s="1">
        <f>IF(ISNUMBER(Main_L[[#This Row],[EPS]]),IF(Main_L[[#This Row],[EPS]]&lt;&gt;0,Main_L[[#This Row],[Current Price]]/Main_L[[#This Row],[EPS]],""),"")</f>
        <v>9.337950138504155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-9.3407899810430752</v>
      </c>
      <c r="P24" s="1">
        <f>(Main_L[[#This Row],[P/B]]-VLOOKUP(Main_L[[#This Row],[Industry]], Mean_PB_L, 2, FALSE))/(VLOOKUP(Main_L[[#This Row],[Industry]], Mean_PB_L, 3, FALSE))</f>
        <v>-1.056348527921477</v>
      </c>
      <c r="Q24" s="1">
        <f>(Main_L[[#This Row],[ROE]]-VLOOKUP(Main_L[[#This Row],[Industry]], Mean_ROE_L, 2, FALSE))/(VLOOKUP(Main_L[[#This Row],[Industry]], Mean_ROE_L, 3, FALSE))</f>
        <v>0.27324971791716146</v>
      </c>
      <c r="R24" s="1">
        <f>(Main_L[[#This Row],[ROA]]-VLOOKUP(Main_L[[#This Row],[Industry]], Mean_ROA_L, 2, FALSE))/(VLOOKUP(Main_L[[#This Row],[Industry]], Mean_ROA_L, 3, FALSE))</f>
        <v>-0.61714473284395932</v>
      </c>
      <c r="S24" s="1">
        <f>(Main_L[[#This Row],[A/E]]-VLOOKUP(Main_L[[#This Row],[Industry]], Mean_AE_L, 2, FALSE))/(VLOOKUP(Main_L[[#This Row],[Industry]], Mean_AE_L, 3, FALSE))</f>
        <v>-4.3782956473297947E-2</v>
      </c>
      <c r="T24" s="1">
        <f>(Main_L[[#This Row],[P/E]]-VLOOKUP(Main_L[[#This Row],[Industry]], Mean_PE_L, 2, FALSE))/(VLOOKUP(Main_L[[#This Row],[Industry]], Mean_PE_L, 3, FALSE))</f>
        <v>-0.94226970149736899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7" t="s">
        <v>107</v>
      </c>
      <c r="B25" s="67" t="s">
        <v>299</v>
      </c>
      <c r="C25" s="2">
        <v>16884</v>
      </c>
      <c r="D25">
        <f>RTD("tos.rtd", , "LAST", Main_L[[#This Row],[Symbol]])</f>
        <v>47.12</v>
      </c>
      <c r="E25">
        <v>1.25</v>
      </c>
      <c r="F25">
        <v>28.75</v>
      </c>
      <c r="G25">
        <v>2.34</v>
      </c>
      <c r="H25" s="1">
        <f>IF(ISNUMBER(Main_L[[#This Row],[Free CF]]),IF(Main_L[[#This Row],[Free CF]]&lt;&gt;0,Main_L[[#This Row],[Current Price]]/Main_L[[#This Row],[Free CF]],""),"")</f>
        <v>37.695999999999998</v>
      </c>
      <c r="I25" s="1">
        <f>IF(ISNUMBER(Main_L[[#This Row],[BVPS]]),IF(Main_L[[#This Row],[BVPS]]&lt;&gt;0,Main_L[[#This Row],[Current Price]]/Main_L[[#This Row],[BVPS]],""),"")</f>
        <v>1.6389565217391304</v>
      </c>
      <c r="J25">
        <v>8.35</v>
      </c>
      <c r="K25">
        <v>4.58</v>
      </c>
      <c r="L25">
        <v>1.45</v>
      </c>
      <c r="M25" s="1">
        <f>IF(ISNUMBER(Main_L[[#This Row],[EPS]]),IF(Main_L[[#This Row],[EPS]]&lt;&gt;0,Main_L[[#This Row],[Current Price]]/Main_L[[#This Row],[EPS]],""),"")</f>
        <v>20.136752136752136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1.4943421927247393</v>
      </c>
      <c r="P25" s="1">
        <f>(Main_L[[#This Row],[P/B]]-VLOOKUP(Main_L[[#This Row],[Industry]], Mean_PB_L, 2, FALSE))/(VLOOKUP(Main_L[[#This Row],[Industry]], Mean_PB_L, 3, FALSE))</f>
        <v>-0.404285965191585</v>
      </c>
      <c r="Q25" s="1">
        <f>(Main_L[[#This Row],[ROE]]-VLOOKUP(Main_L[[#This Row],[Industry]], Mean_ROE_L, 2, FALSE))/(VLOOKUP(Main_L[[#This Row],[Industry]], Mean_ROE_L, 3, FALSE))</f>
        <v>-0.58399226710478847</v>
      </c>
      <c r="R25" s="1">
        <f>(Main_L[[#This Row],[ROA]]-VLOOKUP(Main_L[[#This Row],[Industry]], Mean_ROA_L, 2, FALSE))/(VLOOKUP(Main_L[[#This Row],[Industry]], Mean_ROA_L, 3, FALSE))</f>
        <v>-0.35245951156745831</v>
      </c>
      <c r="S25" s="1">
        <f>(Main_L[[#This Row],[A/E]]-VLOOKUP(Main_L[[#This Row],[Industry]], Mean_AE_L, 2, FALSE))/(VLOOKUP(Main_L[[#This Row],[Industry]], Mean_AE_L, 3, FALSE))</f>
        <v>-1.1565052440459773</v>
      </c>
      <c r="T25" s="1">
        <f>(Main_L[[#This Row],[P/E]]-VLOOKUP(Main_L[[#This Row],[Industry]], Mean_PE_L, 2, FALSE))/(VLOOKUP(Main_L[[#This Row],[Industry]], Mean_PE_L, 3, FALSE))</f>
        <v>0.28625171797455967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7" t="s">
        <v>107</v>
      </c>
      <c r="B26" s="67" t="s">
        <v>119</v>
      </c>
      <c r="C26" s="2">
        <v>40133</v>
      </c>
      <c r="D26">
        <f>RTD("tos.rtd", , "LAST", Main_L[[#This Row],[Symbol]])</f>
        <v>43.24</v>
      </c>
      <c r="E26">
        <v>4.53</v>
      </c>
      <c r="F26">
        <v>28.05</v>
      </c>
      <c r="G26">
        <v>2.4700000000000002</v>
      </c>
      <c r="H26" s="1">
        <f>IF(ISNUMBER(Main_L[[#This Row],[Free CF]]),IF(Main_L[[#This Row],[Free CF]]&lt;&gt;0,Main_L[[#This Row],[Current Price]]/Main_L[[#This Row],[Free CF]],""),"")</f>
        <v>9.5452538631346577</v>
      </c>
      <c r="I26" s="1">
        <f>IF(ISNUMBER(Main_L[[#This Row],[BVPS]]),IF(Main_L[[#This Row],[BVPS]]&lt;&gt;0,Main_L[[#This Row],[Current Price]]/Main_L[[#This Row],[BVPS]],""),"")</f>
        <v>1.5415329768270944</v>
      </c>
      <c r="J26">
        <v>9.49</v>
      </c>
      <c r="K26">
        <v>4.51</v>
      </c>
      <c r="L26">
        <v>3.22</v>
      </c>
      <c r="M26" s="1">
        <f>IF(ISNUMBER(Main_L[[#This Row],[EPS]]),IF(Main_L[[#This Row],[EPS]]&lt;&gt;0,Main_L[[#This Row],[Current Price]]/Main_L[[#This Row],[EPS]],""),"")</f>
        <v>17.506072874493928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-0.68672662964693232</v>
      </c>
      <c r="P26" s="1">
        <f>(Main_L[[#This Row],[P/B]]-VLOOKUP(Main_L[[#This Row],[Industry]], Mean_PB_L, 2, FALSE))/(VLOOKUP(Main_L[[#This Row],[Industry]], Mean_PB_L, 3, FALSE))</f>
        <v>-0.53063292491675618</v>
      </c>
      <c r="Q26" s="1">
        <f>(Main_L[[#This Row],[ROE]]-VLOOKUP(Main_L[[#This Row],[Industry]], Mean_ROE_L, 2, FALSE))/(VLOOKUP(Main_L[[#This Row],[Industry]], Mean_ROE_L, 3, FALSE))</f>
        <v>-0.43009370601423363</v>
      </c>
      <c r="R26" s="1">
        <f>(Main_L[[#This Row],[ROA]]-VLOOKUP(Main_L[[#This Row],[Industry]], Mean_ROA_L, 2, FALSE))/(VLOOKUP(Main_L[[#This Row],[Industry]], Mean_ROA_L, 3, FALSE))</f>
        <v>-0.37425711802552319</v>
      </c>
      <c r="S26" s="1">
        <f>(Main_L[[#This Row],[A/E]]-VLOOKUP(Main_L[[#This Row],[Industry]], Mean_AE_L, 2, FALSE))/(VLOOKUP(Main_L[[#This Row],[Industry]], Mean_AE_L, 3, FALSE))</f>
        <v>0.65039241559039207</v>
      </c>
      <c r="T26" s="1">
        <f>(Main_L[[#This Row],[P/E]]-VLOOKUP(Main_L[[#This Row],[Industry]], Mean_PE_L, 2, FALSE))/(VLOOKUP(Main_L[[#This Row],[Industry]], Mean_PE_L, 3, FALSE))</f>
        <v>-1.302646325046523E-2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s="67" t="s">
        <v>107</v>
      </c>
      <c r="B27" s="67" t="s">
        <v>122</v>
      </c>
      <c r="C27" s="2">
        <v>43640</v>
      </c>
      <c r="D27">
        <f>RTD("tos.rtd", , "LAST", Main_L[[#This Row],[Symbol]])</f>
        <v>36.979999999999997</v>
      </c>
      <c r="E27">
        <v>4.96</v>
      </c>
      <c r="F27">
        <v>25.28</v>
      </c>
      <c r="G27">
        <v>3.35</v>
      </c>
      <c r="H27" s="1">
        <f>IF(ISNUMBER(Main_L[[#This Row],[Free CF]]),IF(Main_L[[#This Row],[Free CF]]&lt;&gt;0,Main_L[[#This Row],[Current Price]]/Main_L[[#This Row],[Free CF]],""),"")</f>
        <v>7.4556451612903221</v>
      </c>
      <c r="I27" s="1">
        <f>IF(ISNUMBER(Main_L[[#This Row],[BVPS]]),IF(Main_L[[#This Row],[BVPS]]&lt;&gt;0,Main_L[[#This Row],[Current Price]]/Main_L[[#This Row],[BVPS]],""),"")</f>
        <v>1.4628164556962024</v>
      </c>
      <c r="J27">
        <v>13.68</v>
      </c>
      <c r="K27">
        <v>6.48</v>
      </c>
      <c r="L27">
        <v>2</v>
      </c>
      <c r="M27" s="1">
        <f>IF(ISNUMBER(Main_L[[#This Row],[EPS]]),IF(Main_L[[#This Row],[EPS]]&lt;&gt;0,Main_L[[#This Row],[Current Price]]/Main_L[[#This Row],[EPS]],""),"")</f>
        <v>11.038805970149253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7" s="1">
        <f>(Main_L[[#This Row],[P/FCF]]-VLOOKUP(Main_L[[#This Row],[Industry]], Mean_PFCF_L, 2, FALSE))/(VLOOKUP(Main_L[[#This Row],[Industry]], Mean_PFCF_L, 3, FALSE))</f>
        <v>-0.84862572704175265</v>
      </c>
      <c r="P27" s="1">
        <f>(Main_L[[#This Row],[P/B]]-VLOOKUP(Main_L[[#This Row],[Industry]], Mean_PB_L, 2, FALSE))/(VLOOKUP(Main_L[[#This Row],[Industry]], Mean_PB_L, 3, FALSE))</f>
        <v>-0.6327190595776363</v>
      </c>
      <c r="Q27" s="1">
        <f>(Main_L[[#This Row],[ROE]]-VLOOKUP(Main_L[[#This Row],[Industry]], Mean_ROE_L, 2, FALSE))/(VLOOKUP(Main_L[[#This Row],[Industry]], Mean_ROE_L, 3, FALSE))</f>
        <v>0.1355510053624546</v>
      </c>
      <c r="R27" s="1">
        <f>(Main_L[[#This Row],[ROA]]-VLOOKUP(Main_L[[#This Row],[Industry]], Mean_ROA_L, 2, FALSE))/(VLOOKUP(Main_L[[#This Row],[Industry]], Mean_ROA_L, 3, FALSE))</f>
        <v>0.23918980658001462</v>
      </c>
      <c r="S27" s="1">
        <f>(Main_L[[#This Row],[A/E]]-VLOOKUP(Main_L[[#This Row],[Industry]], Mean_AE_L, 2, FALSE))/(VLOOKUP(Main_L[[#This Row],[Industry]], Mean_AE_L, 3, FALSE))</f>
        <v>-0.59503986958269872</v>
      </c>
      <c r="T27" s="1">
        <f>(Main_L[[#This Row],[P/E]]-VLOOKUP(Main_L[[#This Row],[Industry]], Mean_PE_L, 2, FALSE))/(VLOOKUP(Main_L[[#This Row],[Industry]], Mean_PE_L, 3, FALSE))</f>
        <v>-0.7487725134807024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7" t="s">
        <v>107</v>
      </c>
      <c r="B28" s="67" t="s">
        <v>148</v>
      </c>
      <c r="C28" s="2">
        <v>52561</v>
      </c>
      <c r="D28">
        <f>RTD("tos.rtd", , "LAST", Main_L[[#This Row],[Symbol]])</f>
        <v>228.78</v>
      </c>
      <c r="E28">
        <v>14.02</v>
      </c>
      <c r="F28">
        <v>25.05</v>
      </c>
      <c r="G28">
        <v>13.71</v>
      </c>
      <c r="H28" s="1">
        <f>IF(ISNUMBER(Main_L[[#This Row],[Free CF]]),IF(Main_L[[#This Row],[Free CF]]&lt;&gt;0,Main_L[[#This Row],[Current Price]]/Main_L[[#This Row],[Free CF]],""),"")</f>
        <v>16.318116975748932</v>
      </c>
      <c r="I28" s="1">
        <f>IF(ISNUMBER(Main_L[[#This Row],[BVPS]]),IF(Main_L[[#This Row],[BVPS]]&lt;&gt;0,Main_L[[#This Row],[Current Price]]/Main_L[[#This Row],[BVPS]],""),"")</f>
        <v>9.1329341317365262</v>
      </c>
      <c r="J28">
        <v>46.98</v>
      </c>
      <c r="K28">
        <v>8.56</v>
      </c>
      <c r="L28">
        <v>7.8</v>
      </c>
      <c r="M28" s="1">
        <f>IF(ISNUMBER(Main_L[[#This Row],[EPS]]),IF(Main_L[[#This Row],[EPS]]&lt;&gt;0,Main_L[[#This Row],[Current Price]]/Main_L[[#This Row],[EPS]],""),"")</f>
        <v>16.687089715536104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-0.16197746309574482</v>
      </c>
      <c r="P28" s="1">
        <f>(Main_L[[#This Row],[P/B]]-VLOOKUP(Main_L[[#This Row],[Industry]], Mean_PB_L, 2, FALSE))/(VLOOKUP(Main_L[[#This Row],[Industry]], Mean_PB_L, 3, FALSE))</f>
        <v>9.3145277787199294</v>
      </c>
      <c r="Q28" s="1">
        <f>(Main_L[[#This Row],[ROE]]-VLOOKUP(Main_L[[#This Row],[Industry]], Mean_ROE_L, 2, FALSE))/(VLOOKUP(Main_L[[#This Row],[Industry]], Mean_ROE_L, 3, FALSE))</f>
        <v>4.6310089740602391</v>
      </c>
      <c r="R28" s="1">
        <f>(Main_L[[#This Row],[ROA]]-VLOOKUP(Main_L[[#This Row],[Industry]], Mean_ROA_L, 2, FALSE))/(VLOOKUP(Main_L[[#This Row],[Industry]], Mean_ROA_L, 3, FALSE))</f>
        <v>0.88689011276251128</v>
      </c>
      <c r="S28" s="1">
        <f>(Main_L[[#This Row],[A/E]]-VLOOKUP(Main_L[[#This Row],[Industry]], Mean_AE_L, 2, FALSE))/(VLOOKUP(Main_L[[#This Row],[Industry]], Mean_AE_L, 3, FALSE))</f>
        <v>5.32586771566642</v>
      </c>
      <c r="T28" s="1">
        <f>(Main_L[[#This Row],[P/E]]-VLOOKUP(Main_L[[#This Row],[Industry]], Mean_PE_L, 2, FALSE))/(VLOOKUP(Main_L[[#This Row],[Industry]], Mean_PE_L, 3, FALSE))</f>
        <v>-0.10619775698561364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7" t="s">
        <v>107</v>
      </c>
      <c r="B29" s="67" t="s">
        <v>126</v>
      </c>
      <c r="C29" s="2">
        <v>11629</v>
      </c>
      <c r="D29">
        <f>RTD("tos.rtd", , "LAST", Main_L[[#This Row],[Symbol]])</f>
        <v>38.92</v>
      </c>
      <c r="E29">
        <v>1.1100000000000001</v>
      </c>
      <c r="F29">
        <v>23.17</v>
      </c>
      <c r="G29">
        <v>0.77</v>
      </c>
      <c r="H29" s="1">
        <f>IF(ISNUMBER(Main_L[[#This Row],[Free CF]]),IF(Main_L[[#This Row],[Free CF]]&lt;&gt;0,Main_L[[#This Row],[Current Price]]/Main_L[[#This Row],[Free CF]],""),"")</f>
        <v>35.063063063063062</v>
      </c>
      <c r="I29" s="1">
        <f>IF(ISNUMBER(Main_L[[#This Row],[BVPS]]),IF(Main_L[[#This Row],[BVPS]]&lt;&gt;0,Main_L[[#This Row],[Current Price]]/Main_L[[#This Row],[BVPS]],""),"")</f>
        <v>1.6797583081570997</v>
      </c>
      <c r="J29">
        <v>3.79</v>
      </c>
      <c r="K29">
        <v>1.06</v>
      </c>
      <c r="L29">
        <v>1.81</v>
      </c>
      <c r="M29" s="1">
        <f>IF(ISNUMBER(Main_L[[#This Row],[EPS]]),IF(Main_L[[#This Row],[EPS]]&lt;&gt;0,Main_L[[#This Row],[Current Price]]/Main_L[[#This Row],[EPS]],""),"")</f>
        <v>50.545454545454547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1.2903470077834929</v>
      </c>
      <c r="P29" s="1">
        <f>(Main_L[[#This Row],[P/B]]-VLOOKUP(Main_L[[#This Row],[Industry]], Mean_PB_L, 2, FALSE))/(VLOOKUP(Main_L[[#This Row],[Industry]], Mean_PB_L, 3, FALSE))</f>
        <v>-0.35137081341876836</v>
      </c>
      <c r="Q29" s="1">
        <f>(Main_L[[#This Row],[ROE]]-VLOOKUP(Main_L[[#This Row],[Industry]], Mean_ROE_L, 2, FALSE))/(VLOOKUP(Main_L[[#This Row],[Industry]], Mean_ROE_L, 3, FALSE))</f>
        <v>-1.1995865114670075</v>
      </c>
      <c r="R29" s="1">
        <f>(Main_L[[#This Row],[ROA]]-VLOOKUP(Main_L[[#This Row],[Industry]], Mean_ROA_L, 2, FALSE))/(VLOOKUP(Main_L[[#This Row],[Industry]], Mean_ROA_L, 3, FALSE))</f>
        <v>-1.4485677220301449</v>
      </c>
      <c r="S29" s="1">
        <f>(Main_L[[#This Row],[A/E]]-VLOOKUP(Main_L[[#This Row],[Industry]], Mean_AE_L, 2, FALSE))/(VLOOKUP(Main_L[[#This Row],[Industry]], Mean_AE_L, 3, FALSE))</f>
        <v>-0.78900063530637676</v>
      </c>
      <c r="T29" s="1">
        <f>(Main_L[[#This Row],[P/E]]-VLOOKUP(Main_L[[#This Row],[Industry]], Mean_PE_L, 2, FALSE))/(VLOOKUP(Main_L[[#This Row],[Industry]], Mean_PE_L, 3, FALSE))</f>
        <v>3.7456856675459593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0" spans="1:26" x14ac:dyDescent="0.25">
      <c r="A30" s="67" t="s">
        <v>107</v>
      </c>
      <c r="B30" s="67" t="s">
        <v>130</v>
      </c>
      <c r="C30" s="2">
        <v>19430</v>
      </c>
      <c r="D30">
        <f>RTD("tos.rtd", , "LAST", Main_L[[#This Row],[Symbol]])</f>
        <v>32.65</v>
      </c>
      <c r="E30">
        <v>-1.08</v>
      </c>
      <c r="F30">
        <v>22.59</v>
      </c>
      <c r="G30">
        <v>4.38</v>
      </c>
      <c r="H30" s="1">
        <f>IF(ISNUMBER(Main_L[[#This Row],[Free CF]]),IF(Main_L[[#This Row],[Free CF]]&lt;&gt;0,Main_L[[#This Row],[Current Price]]/Main_L[[#This Row],[Free CF]],""),"")</f>
        <v>-30.231481481481477</v>
      </c>
      <c r="I30" s="1">
        <f>IF(ISNUMBER(Main_L[[#This Row],[BVPS]]),IF(Main_L[[#This Row],[BVPS]]&lt;&gt;0,Main_L[[#This Row],[Current Price]]/Main_L[[#This Row],[BVPS]],""),"")</f>
        <v>1.4453297919433377</v>
      </c>
      <c r="J30">
        <v>20.96</v>
      </c>
      <c r="K30">
        <v>9.56</v>
      </c>
      <c r="L30">
        <v>2.13</v>
      </c>
      <c r="M30" s="1">
        <f>IF(ISNUMBER(Main_L[[#This Row],[EPS]]),IF(Main_L[[#This Row],[EPS]]&lt;&gt;0,Main_L[[#This Row],[Current Price]]/Main_L[[#This Row],[EPS]],""),"")</f>
        <v>7.4543378995433791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-3.7685560381491414</v>
      </c>
      <c r="P30" s="1">
        <f>(Main_L[[#This Row],[P/B]]-VLOOKUP(Main_L[[#This Row],[Industry]], Mean_PB_L, 2, FALSE))/(VLOOKUP(Main_L[[#This Row],[Industry]], Mean_PB_L, 3, FALSE))</f>
        <v>-0.65539722021021929</v>
      </c>
      <c r="Q30" s="1">
        <f>(Main_L[[#This Row],[ROE]]-VLOOKUP(Main_L[[#This Row],[Industry]], Mean_ROE_L, 2, FALSE))/(VLOOKUP(Main_L[[#This Row],[Industry]], Mean_ROE_L, 3, FALSE))</f>
        <v>1.1183418165372259</v>
      </c>
      <c r="R30" s="1">
        <f>(Main_L[[#This Row],[ROA]]-VLOOKUP(Main_L[[#This Row],[Industry]], Mean_ROA_L, 2, FALSE))/(VLOOKUP(Main_L[[#This Row],[Industry]], Mean_ROA_L, 3, FALSE))</f>
        <v>1.1982844907348653</v>
      </c>
      <c r="S30" s="1">
        <f>(Main_L[[#This Row],[A/E]]-VLOOKUP(Main_L[[#This Row],[Industry]], Mean_AE_L, 2, FALSE))/(VLOOKUP(Main_L[[#This Row],[Industry]], Mean_AE_L, 3, FALSE))</f>
        <v>-0.46232987198228753</v>
      </c>
      <c r="T30" s="1">
        <f>(Main_L[[#This Row],[P/E]]-VLOOKUP(Main_L[[#This Row],[Industry]], Mean_PE_L, 2, FALSE))/(VLOOKUP(Main_L[[#This Row],[Industry]], Mean_PE_L, 3, FALSE))</f>
        <v>-1.1565580995917342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7" t="s">
        <v>107</v>
      </c>
      <c r="B31" s="67" t="s">
        <v>301</v>
      </c>
      <c r="C31" s="2">
        <v>14726</v>
      </c>
      <c r="D31">
        <f>RTD("tos.rtd", , "LAST", Main_L[[#This Row],[Symbol]])</f>
        <v>12.24</v>
      </c>
      <c r="E31">
        <v>2.57</v>
      </c>
      <c r="F31">
        <v>19.95</v>
      </c>
      <c r="G31">
        <v>2.5499999999999998</v>
      </c>
      <c r="H31" s="1">
        <f>IF(ISNUMBER(Main_L[[#This Row],[Free CF]]),IF(Main_L[[#This Row],[Free CF]]&lt;&gt;0,Main_L[[#This Row],[Current Price]]/Main_L[[#This Row],[Free CF]],""),"")</f>
        <v>4.7626459143968871</v>
      </c>
      <c r="I31" s="1">
        <f>IF(ISNUMBER(Main_L[[#This Row],[BVPS]]),IF(Main_L[[#This Row],[BVPS]]&lt;&gt;0,Main_L[[#This Row],[Current Price]]/Main_L[[#This Row],[BVPS]],""),"")</f>
        <v>0.61353383458646615</v>
      </c>
      <c r="J31">
        <v>12.84</v>
      </c>
      <c r="K31">
        <v>12.66</v>
      </c>
      <c r="L31">
        <v>3.43</v>
      </c>
      <c r="M31" s="1">
        <f>IF(ISNUMBER(Main_L[[#This Row],[EPS]]),IF(Main_L[[#This Row],[EPS]]&lt;&gt;0,Main_L[[#This Row],[Current Price]]/Main_L[[#This Row],[EPS]],""),"")</f>
        <v>4.8000000000000007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-1.0572744309699855</v>
      </c>
      <c r="P31" s="1">
        <f>(Main_L[[#This Row],[P/B]]-VLOOKUP(Main_L[[#This Row],[Industry]], Mean_PB_L, 2, FALSE))/(VLOOKUP(Main_L[[#This Row],[Industry]], Mean_PB_L, 3, FALSE))</f>
        <v>-1.7341394320504824</v>
      </c>
      <c r="Q31" s="1">
        <f>(Main_L[[#This Row],[ROE]]-VLOOKUP(Main_L[[#This Row],[Industry]], Mean_ROE_L, 2, FALSE))/(VLOOKUP(Main_L[[#This Row],[Industry]], Mean_ROE_L, 3, FALSE))</f>
        <v>2.215206561151949E-2</v>
      </c>
      <c r="R31" s="1">
        <f>(Main_L[[#This Row],[ROA]]-VLOOKUP(Main_L[[#This Row],[Industry]], Mean_ROA_L, 2, FALSE))/(VLOOKUP(Main_L[[#This Row],[Industry]], Mean_ROA_L, 3, FALSE))</f>
        <v>2.163607062449163</v>
      </c>
      <c r="S31" s="1">
        <f>(Main_L[[#This Row],[A/E]]-VLOOKUP(Main_L[[#This Row],[Industry]], Mean_AE_L, 2, FALSE))/(VLOOKUP(Main_L[[#This Row],[Industry]], Mean_AE_L, 3, FALSE))</f>
        <v>0.86477010402182564</v>
      </c>
      <c r="T31" s="1">
        <f>(Main_L[[#This Row],[P/E]]-VLOOKUP(Main_L[[#This Row],[Industry]], Mean_PE_L, 2, FALSE))/(VLOOKUP(Main_L[[#This Row],[Industry]], Mean_PE_L, 3, FALSE))</f>
        <v>-1.4585277962890368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7" t="s">
        <v>107</v>
      </c>
      <c r="B32" s="67" t="s">
        <v>144</v>
      </c>
      <c r="C32" s="2">
        <v>101328</v>
      </c>
      <c r="D32">
        <f>RTD("tos.rtd", , "LAST", Main_L[[#This Row],[Symbol]])</f>
        <v>45.82</v>
      </c>
      <c r="E32">
        <v>1.48</v>
      </c>
      <c r="F32">
        <v>19.59</v>
      </c>
      <c r="G32">
        <v>1.88</v>
      </c>
      <c r="H32" s="1">
        <f>IF(ISNUMBER(Main_L[[#This Row],[Free CF]]),IF(Main_L[[#This Row],[Free CF]]&lt;&gt;0,Main_L[[#This Row],[Current Price]]/Main_L[[#This Row],[Free CF]],""),"")</f>
        <v>30.95945945945946</v>
      </c>
      <c r="I32" s="1">
        <f>IF(ISNUMBER(Main_L[[#This Row],[BVPS]]),IF(Main_L[[#This Row],[BVPS]]&lt;&gt;0,Main_L[[#This Row],[Current Price]]/Main_L[[#This Row],[BVPS]],""),"")</f>
        <v>2.3389484430832059</v>
      </c>
      <c r="J32">
        <v>9.4600000000000009</v>
      </c>
      <c r="K32">
        <v>3.35</v>
      </c>
      <c r="L32">
        <v>3.58</v>
      </c>
      <c r="M32" s="1">
        <f>IF(ISNUMBER(Main_L[[#This Row],[EPS]]),IF(Main_L[[#This Row],[EPS]]&lt;&gt;0,Main_L[[#This Row],[Current Price]]/Main_L[[#This Row],[EPS]],""),"")</f>
        <v>24.372340425531917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0.97240723326821299</v>
      </c>
      <c r="P32" s="1">
        <f>(Main_L[[#This Row],[P/B]]-VLOOKUP(Main_L[[#This Row],[Industry]], Mean_PB_L, 2, FALSE))/(VLOOKUP(Main_L[[#This Row],[Industry]], Mean_PB_L, 3, FALSE))</f>
        <v>0.50352180523864887</v>
      </c>
      <c r="Q32" s="1">
        <f>(Main_L[[#This Row],[ROE]]-VLOOKUP(Main_L[[#This Row],[Industry]], Mean_ROE_L, 2, FALSE))/(VLOOKUP(Main_L[[#This Row],[Industry]], Mean_ROE_L, 3, FALSE))</f>
        <v>-0.43414366814819549</v>
      </c>
      <c r="R32" s="1">
        <f>(Main_L[[#This Row],[ROA]]-VLOOKUP(Main_L[[#This Row],[Industry]], Mean_ROA_L, 2, FALSE))/(VLOOKUP(Main_L[[#This Row],[Industry]], Mean_ROA_L, 3, FALSE))</f>
        <v>-0.73547459647345392</v>
      </c>
      <c r="S32" s="1">
        <f>(Main_L[[#This Row],[A/E]]-VLOOKUP(Main_L[[#This Row],[Industry]], Mean_AE_L, 2, FALSE))/(VLOOKUP(Main_L[[#This Row],[Industry]], Mean_AE_L, 3, FALSE))</f>
        <v>1.0178970243299925</v>
      </c>
      <c r="T32" s="1">
        <f>(Main_L[[#This Row],[P/E]]-VLOOKUP(Main_L[[#This Row],[Industry]], Mean_PE_L, 2, FALSE))/(VLOOKUP(Main_L[[#This Row],[Industry]], Mean_PE_L, 3, FALSE))</f>
        <v>0.76811173704654945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7" t="s">
        <v>107</v>
      </c>
      <c r="B33" s="67" t="s">
        <v>115</v>
      </c>
      <c r="C33" s="2">
        <v>45110</v>
      </c>
      <c r="D33">
        <f>RTD("tos.rtd", , "LAST", Main_L[[#This Row],[Symbol]])</f>
        <v>30.64</v>
      </c>
      <c r="E33">
        <v>1.8</v>
      </c>
      <c r="F33">
        <v>18.920000000000002</v>
      </c>
      <c r="G33">
        <v>0.83</v>
      </c>
      <c r="H33" s="1">
        <f>IF(ISNUMBER(Main_L[[#This Row],[Free CF]]),IF(Main_L[[#This Row],[Free CF]]&lt;&gt;0,Main_L[[#This Row],[Current Price]]/Main_L[[#This Row],[Free CF]],""),"")</f>
        <v>17.022222222222222</v>
      </c>
      <c r="I33" s="1">
        <f>IF(ISNUMBER(Main_L[[#This Row],[BVPS]]),IF(Main_L[[#This Row],[BVPS]]&lt;&gt;0,Main_L[[#This Row],[Current Price]]/Main_L[[#This Row],[BVPS]],""),"")</f>
        <v>1.6194503171247356</v>
      </c>
      <c r="J33">
        <v>4.84</v>
      </c>
      <c r="K33">
        <v>2.4900000000000002</v>
      </c>
      <c r="L33">
        <v>2.7</v>
      </c>
      <c r="M33" s="1">
        <f>IF(ISNUMBER(Main_L[[#This Row],[EPS]]),IF(Main_L[[#This Row],[EPS]]&lt;&gt;0,Main_L[[#This Row],[Current Price]]/Main_L[[#This Row],[EPS]],""),"")</f>
        <v>36.915662650602414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-0.10742466391646813</v>
      </c>
      <c r="P33" s="1">
        <f>(Main_L[[#This Row],[P/B]]-VLOOKUP(Main_L[[#This Row],[Industry]], Mean_PB_L, 2, FALSE))/(VLOOKUP(Main_L[[#This Row],[Industry]], Mean_PB_L, 3, FALSE))</f>
        <v>-0.42958323446084773</v>
      </c>
      <c r="Q33" s="1">
        <f>(Main_L[[#This Row],[ROE]]-VLOOKUP(Main_L[[#This Row],[Industry]], Mean_ROE_L, 2, FALSE))/(VLOOKUP(Main_L[[#This Row],[Industry]], Mean_ROE_L, 3, FALSE))</f>
        <v>-1.0578378367783388</v>
      </c>
      <c r="R33" s="1">
        <f>(Main_L[[#This Row],[ROA]]-VLOOKUP(Main_L[[#This Row],[Industry]], Mean_ROA_L, 2, FALSE))/(VLOOKUP(Main_L[[#This Row],[Industry]], Mean_ROA_L, 3, FALSE))</f>
        <v>-1.0032737615296785</v>
      </c>
      <c r="S33" s="1">
        <f>(Main_L[[#This Row],[A/E]]-VLOOKUP(Main_L[[#This Row],[Industry]], Mean_AE_L, 2, FALSE))/(VLOOKUP(Main_L[[#This Row],[Industry]], Mean_AE_L, 3, FALSE))</f>
        <v>0.11955242518874687</v>
      </c>
      <c r="T33" s="1">
        <f>(Main_L[[#This Row],[P/E]]-VLOOKUP(Main_L[[#This Row],[Industry]], Mean_PE_L, 2, FALSE))/(VLOOKUP(Main_L[[#This Row],[Industry]], Mean_PE_L, 3, FALSE))</f>
        <v>2.1950978071066825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7" t="s">
        <v>107</v>
      </c>
      <c r="B34" s="67" t="s">
        <v>138</v>
      </c>
      <c r="C34" s="2">
        <v>27209</v>
      </c>
      <c r="D34">
        <f>RTD("tos.rtd", , "LAST", Main_L[[#This Row],[Symbol]])</f>
        <v>15.01</v>
      </c>
      <c r="E34">
        <v>-0.05</v>
      </c>
      <c r="F34">
        <v>18.64</v>
      </c>
      <c r="G34">
        <v>1.87</v>
      </c>
      <c r="H34" s="1">
        <f>IF(ISNUMBER(Main_L[[#This Row],[Free CF]]),IF(Main_L[[#This Row],[Free CF]]&lt;&gt;0,Main_L[[#This Row],[Current Price]]/Main_L[[#This Row],[Free CF]],""),"")</f>
        <v>-300.2</v>
      </c>
      <c r="I34" s="1">
        <f>IF(ISNUMBER(Main_L[[#This Row],[BVPS]]),IF(Main_L[[#This Row],[BVPS]]&lt;&gt;0,Main_L[[#This Row],[Current Price]]/Main_L[[#This Row],[BVPS]],""),"")</f>
        <v>0.80525751072961371</v>
      </c>
      <c r="J34">
        <v>10.220000000000001</v>
      </c>
      <c r="K34">
        <v>3.86</v>
      </c>
      <c r="L34">
        <v>1.73</v>
      </c>
      <c r="M34" s="1">
        <f>IF(ISNUMBER(Main_L[[#This Row],[EPS]]),IF(Main_L[[#This Row],[EPS]]&lt;&gt;0,Main_L[[#This Row],[Current Price]]/Main_L[[#This Row],[EPS]],""),"")</f>
        <v>8.0267379679144373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-24.68522786985984</v>
      </c>
      <c r="P34" s="1">
        <f>(Main_L[[#This Row],[P/B]]-VLOOKUP(Main_L[[#This Row],[Industry]], Mean_PB_L, 2, FALSE))/(VLOOKUP(Main_L[[#This Row],[Industry]], Mean_PB_L, 3, FALSE))</f>
        <v>-1.4854962153630613</v>
      </c>
      <c r="Q34" s="1">
        <f>(Main_L[[#This Row],[ROE]]-VLOOKUP(Main_L[[#This Row],[Industry]], Mean_ROE_L, 2, FALSE))/(VLOOKUP(Main_L[[#This Row],[Industry]], Mean_ROE_L, 3, FALSE))</f>
        <v>-0.33154462742115898</v>
      </c>
      <c r="R34" s="1">
        <f>(Main_L[[#This Row],[ROA]]-VLOOKUP(Main_L[[#This Row],[Industry]], Mean_ROA_L, 2, FALSE))/(VLOOKUP(Main_L[[#This Row],[Industry]], Mean_ROA_L, 3, FALSE))</f>
        <v>-0.57666346370755339</v>
      </c>
      <c r="S34" s="1">
        <f>(Main_L[[#This Row],[A/E]]-VLOOKUP(Main_L[[#This Row],[Industry]], Mean_AE_L, 2, FALSE))/(VLOOKUP(Main_L[[#This Row],[Industry]], Mean_AE_L, 3, FALSE))</f>
        <v>-0.8706683261373992</v>
      </c>
      <c r="T34" s="1">
        <f>(Main_L[[#This Row],[P/E]]-VLOOKUP(Main_L[[#This Row],[Industry]], Mean_PE_L, 2, FALSE))/(VLOOKUP(Main_L[[#This Row],[Industry]], Mean_PE_L, 3, FALSE))</f>
        <v>-1.091439233201265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7" t="s">
        <v>107</v>
      </c>
      <c r="B35" s="67" t="s">
        <v>129</v>
      </c>
      <c r="C35" s="2">
        <v>18555</v>
      </c>
      <c r="D35">
        <f>RTD("tos.rtd", , "LAST", Main_L[[#This Row],[Symbol]])</f>
        <v>25.95</v>
      </c>
      <c r="E35">
        <v>1.7</v>
      </c>
      <c r="F35">
        <v>18.62</v>
      </c>
      <c r="G35">
        <v>1.71</v>
      </c>
      <c r="H35" s="1">
        <f>IF(ISNUMBER(Main_L[[#This Row],[Free CF]]),IF(Main_L[[#This Row],[Free CF]]&lt;&gt;0,Main_L[[#This Row],[Current Price]]/Main_L[[#This Row],[Free CF]],""),"")</f>
        <v>15.264705882352942</v>
      </c>
      <c r="I35" s="1">
        <f>IF(ISNUMBER(Main_L[[#This Row],[BVPS]]),IF(Main_L[[#This Row],[BVPS]]&lt;&gt;0,Main_L[[#This Row],[Current Price]]/Main_L[[#This Row],[BVPS]],""),"")</f>
        <v>1.3936627282491942</v>
      </c>
      <c r="J35">
        <v>9.4</v>
      </c>
      <c r="K35">
        <v>4.62</v>
      </c>
      <c r="L35">
        <v>1.68</v>
      </c>
      <c r="M35" s="1">
        <f>IF(ISNUMBER(Main_L[[#This Row],[EPS]]),IF(Main_L[[#This Row],[EPS]]&lt;&gt;0,Main_L[[#This Row],[Current Price]]/Main_L[[#This Row],[EPS]],""),"")</f>
        <v>15.175438596491228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-0.24359384661098071</v>
      </c>
      <c r="P35" s="1">
        <f>(Main_L[[#This Row],[P/B]]-VLOOKUP(Main_L[[#This Row],[Industry]], Mean_PB_L, 2, FALSE))/(VLOOKUP(Main_L[[#This Row],[Industry]], Mean_PB_L, 3, FALSE))</f>
        <v>-0.7224033676623155</v>
      </c>
      <c r="Q35" s="1">
        <f>(Main_L[[#This Row],[ROE]]-VLOOKUP(Main_L[[#This Row],[Industry]], Mean_ROE_L, 2, FALSE))/(VLOOKUP(Main_L[[#This Row],[Industry]], Mean_ROE_L, 3, FALSE))</f>
        <v>-0.44224359241611949</v>
      </c>
      <c r="R35" s="1">
        <f>(Main_L[[#This Row],[ROA]]-VLOOKUP(Main_L[[#This Row],[Industry]], Mean_ROA_L, 2, FALSE))/(VLOOKUP(Main_L[[#This Row],[Industry]], Mean_ROA_L, 3, FALSE))</f>
        <v>-0.34000373644856413</v>
      </c>
      <c r="S35" s="1">
        <f>(Main_L[[#This Row],[A/E]]-VLOOKUP(Main_L[[#This Row],[Industry]], Mean_AE_L, 2, FALSE))/(VLOOKUP(Main_L[[#This Row],[Industry]], Mean_AE_L, 3, FALSE))</f>
        <v>-0.92171063290678812</v>
      </c>
      <c r="T35" s="1">
        <f>(Main_L[[#This Row],[P/E]]-VLOOKUP(Main_L[[#This Row],[Industry]], Mean_PE_L, 2, FALSE))/(VLOOKUP(Main_L[[#This Row],[Industry]], Mean_PE_L, 3, FALSE))</f>
        <v>-0.27817014603549517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7" t="s">
        <v>107</v>
      </c>
      <c r="B36" s="67" t="s">
        <v>152</v>
      </c>
      <c r="C36" s="2">
        <v>21772</v>
      </c>
      <c r="D36">
        <f>RTD("tos.rtd", , "LAST", Main_L[[#This Row],[Symbol]])</f>
        <v>37.31</v>
      </c>
      <c r="E36">
        <v>3.01</v>
      </c>
      <c r="F36">
        <v>18.43</v>
      </c>
      <c r="G36">
        <v>2.13</v>
      </c>
      <c r="H36" s="1">
        <f>IF(ISNUMBER(Main_L[[#This Row],[Free CF]]),IF(Main_L[[#This Row],[Free CF]]&lt;&gt;0,Main_L[[#This Row],[Current Price]]/Main_L[[#This Row],[Free CF]],""),"")</f>
        <v>12.395348837209305</v>
      </c>
      <c r="I36" s="1">
        <f>IF(ISNUMBER(Main_L[[#This Row],[BVPS]]),IF(Main_L[[#This Row],[BVPS]]&lt;&gt;0,Main_L[[#This Row],[Current Price]]/Main_L[[#This Row],[BVPS]],""),"")</f>
        <v>2.0244167118827998</v>
      </c>
      <c r="J36">
        <v>11.57</v>
      </c>
      <c r="K36">
        <v>5.15</v>
      </c>
      <c r="L36">
        <v>2.3199999999999998</v>
      </c>
      <c r="M36" s="1">
        <f>IF(ISNUMBER(Main_L[[#This Row],[EPS]]),IF(Main_L[[#This Row],[EPS]]&lt;&gt;0,Main_L[[#This Row],[Current Price]]/Main_L[[#This Row],[EPS]],""),"")</f>
        <v>17.516431924882632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-0.46590643331786247</v>
      </c>
      <c r="P36" s="1">
        <f>(Main_L[[#This Row],[P/B]]-VLOOKUP(Main_L[[#This Row],[Industry]], Mean_PB_L, 2, FALSE))/(VLOOKUP(Main_L[[#This Row],[Industry]], Mean_PB_L, 3, FALSE))</f>
        <v>9.561088380638548E-2</v>
      </c>
      <c r="Q36" s="1">
        <f>(Main_L[[#This Row],[ROE]]-VLOOKUP(Main_L[[#This Row],[Industry]], Mean_ROE_L, 2, FALSE))/(VLOOKUP(Main_L[[#This Row],[Industry]], Mean_ROE_L, 3, FALSE))</f>
        <v>-0.14929633139287046</v>
      </c>
      <c r="R36" s="1">
        <f>(Main_L[[#This Row],[ROA]]-VLOOKUP(Main_L[[#This Row],[Industry]], Mean_ROA_L, 2, FALSE))/(VLOOKUP(Main_L[[#This Row],[Industry]], Mean_ROA_L, 3, FALSE))</f>
        <v>-0.17496471612321637</v>
      </c>
      <c r="S36" s="1">
        <f>(Main_L[[#This Row],[A/E]]-VLOOKUP(Main_L[[#This Row],[Industry]], Mean_AE_L, 2, FALSE))/(VLOOKUP(Main_L[[#This Row],[Industry]], Mean_AE_L, 3, FALSE))</f>
        <v>-0.26836910625860955</v>
      </c>
      <c r="T36" s="1">
        <f>(Main_L[[#This Row],[P/E]]-VLOOKUP(Main_L[[#This Row],[Industry]], Mean_PE_L, 2, FALSE))/(VLOOKUP(Main_L[[#This Row],[Industry]], Mean_PE_L, 3, FALSE))</f>
        <v>-1.1847969998160322E-2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7" t="s">
        <v>107</v>
      </c>
      <c r="B37" s="67" t="s">
        <v>117</v>
      </c>
      <c r="C37" s="2">
        <v>63531</v>
      </c>
      <c r="D37">
        <f>RTD("tos.rtd", , "LAST", Main_L[[#This Row],[Symbol]])</f>
        <v>24.7</v>
      </c>
      <c r="E37">
        <v>2.64</v>
      </c>
      <c r="F37">
        <v>16.850000000000001</v>
      </c>
      <c r="G37">
        <v>3.15</v>
      </c>
      <c r="H37" s="1">
        <f>IF(ISNUMBER(Main_L[[#This Row],[Free CF]]),IF(Main_L[[#This Row],[Free CF]]&lt;&gt;0,Main_L[[#This Row],[Current Price]]/Main_L[[#This Row],[Free CF]],""),"")</f>
        <v>9.3560606060606055</v>
      </c>
      <c r="I37" s="1">
        <f>IF(ISNUMBER(Main_L[[#This Row],[BVPS]]),IF(Main_L[[#This Row],[BVPS]]&lt;&gt;0,Main_L[[#This Row],[Current Price]]/Main_L[[#This Row],[BVPS]],""),"")</f>
        <v>1.4658753709198811</v>
      </c>
      <c r="J37">
        <v>18.32</v>
      </c>
      <c r="K37">
        <v>13.63</v>
      </c>
      <c r="L37">
        <v>3.01</v>
      </c>
      <c r="M37" s="1">
        <f>IF(ISNUMBER(Main_L[[#This Row],[EPS]]),IF(Main_L[[#This Row],[EPS]]&lt;&gt;0,Main_L[[#This Row],[Current Price]]/Main_L[[#This Row],[EPS]],""),"")</f>
        <v>7.8412698412698409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-0.70138498052690346</v>
      </c>
      <c r="P37" s="1">
        <f>(Main_L[[#This Row],[P/B]]-VLOOKUP(Main_L[[#This Row],[Industry]], Mean_PB_L, 2, FALSE))/(VLOOKUP(Main_L[[#This Row],[Industry]], Mean_PB_L, 3, FALSE))</f>
        <v>-0.62875200378103402</v>
      </c>
      <c r="Q37" s="1">
        <f>(Main_L[[#This Row],[ROE]]-VLOOKUP(Main_L[[#This Row],[Industry]], Mean_ROE_L, 2, FALSE))/(VLOOKUP(Main_L[[#This Row],[Industry]], Mean_ROE_L, 3, FALSE))</f>
        <v>0.76194514874857244</v>
      </c>
      <c r="R37" s="1">
        <f>(Main_L[[#This Row],[ROA]]-VLOOKUP(Main_L[[#This Row],[Industry]], Mean_ROA_L, 2, FALSE))/(VLOOKUP(Main_L[[#This Row],[Industry]], Mean_ROA_L, 3, FALSE))</f>
        <v>2.4656596090823468</v>
      </c>
      <c r="S37" s="1">
        <f>(Main_L[[#This Row],[A/E]]-VLOOKUP(Main_L[[#This Row],[Industry]], Mean_AE_L, 2, FALSE))/(VLOOKUP(Main_L[[#This Row],[Industry]], Mean_AE_L, 3, FALSE))</f>
        <v>0.436014727158958</v>
      </c>
      <c r="T37" s="1">
        <f>(Main_L[[#This Row],[P/E]]-VLOOKUP(Main_L[[#This Row],[Industry]], Mean_PE_L, 2, FALSE))/(VLOOKUP(Main_L[[#This Row],[Industry]], Mean_PE_L, 3, FALSE))</f>
        <v>-1.112538940951179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7" t="s">
        <v>107</v>
      </c>
      <c r="B38" s="67" t="s">
        <v>154</v>
      </c>
      <c r="C38" s="2">
        <v>52647</v>
      </c>
      <c r="D38">
        <f>RTD("tos.rtd", , "LAST", Main_L[[#This Row],[Symbol]])</f>
        <v>49.45</v>
      </c>
      <c r="E38">
        <v>0.39</v>
      </c>
      <c r="F38">
        <v>16.84</v>
      </c>
      <c r="G38">
        <v>2.8</v>
      </c>
      <c r="H38" s="1">
        <f>IF(ISNUMBER(Main_L[[#This Row],[Free CF]]),IF(Main_L[[#This Row],[Free CF]]&lt;&gt;0,Main_L[[#This Row],[Current Price]]/Main_L[[#This Row],[Free CF]],""),"")</f>
        <v>126.7948717948718</v>
      </c>
      <c r="I38" s="1">
        <f>IF(ISNUMBER(Main_L[[#This Row],[BVPS]]),IF(Main_L[[#This Row],[BVPS]]&lt;&gt;0,Main_L[[#This Row],[Current Price]]/Main_L[[#This Row],[BVPS]],""),"")</f>
        <v>2.9364608076009504</v>
      </c>
      <c r="J38">
        <v>12.74</v>
      </c>
      <c r="K38">
        <v>2.95</v>
      </c>
      <c r="L38">
        <v>4.78</v>
      </c>
      <c r="M38" s="1">
        <f>IF(ISNUMBER(Main_L[[#This Row],[EPS]]),IF(Main_L[[#This Row],[EPS]]&lt;&gt;0,Main_L[[#This Row],[Current Price]]/Main_L[[#This Row],[EPS]],""),"")</f>
        <v>17.660714285714288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8.3975613981935435</v>
      </c>
      <c r="P38" s="1">
        <f>(Main_L[[#This Row],[P/B]]-VLOOKUP(Main_L[[#This Row],[Industry]], Mean_PB_L, 2, FALSE))/(VLOOKUP(Main_L[[#This Row],[Industry]], Mean_PB_L, 3, FALSE))</f>
        <v>1.2784255589788658</v>
      </c>
      <c r="Q38" s="1">
        <f>(Main_L[[#This Row],[ROE]]-VLOOKUP(Main_L[[#This Row],[Industry]], Mean_ROE_L, 2, FALSE))/(VLOOKUP(Main_L[[#This Row],[Industry]], Mean_ROE_L, 3, FALSE))</f>
        <v>8.6521918316463074E-3</v>
      </c>
      <c r="R38" s="1">
        <f>(Main_L[[#This Row],[ROA]]-VLOOKUP(Main_L[[#This Row],[Industry]], Mean_ROA_L, 2, FALSE))/(VLOOKUP(Main_L[[#This Row],[Industry]], Mean_ROA_L, 3, FALSE))</f>
        <v>-0.86003234766239556</v>
      </c>
      <c r="S38" s="1">
        <f>(Main_L[[#This Row],[A/E]]-VLOOKUP(Main_L[[#This Row],[Industry]], Mean_AE_L, 2, FALSE))/(VLOOKUP(Main_L[[#This Row],[Industry]], Mean_AE_L, 3, FALSE))</f>
        <v>2.2429123867953278</v>
      </c>
      <c r="T38" s="1">
        <f>(Main_L[[#This Row],[P/E]]-VLOOKUP(Main_L[[#This Row],[Industry]], Mean_PE_L, 2, FALSE))/(VLOOKUP(Main_L[[#This Row],[Industry]], Mean_PE_L, 3, FALSE))</f>
        <v>4.5662554652221689E-3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7" t="s">
        <v>107</v>
      </c>
      <c r="B39" s="67" t="s">
        <v>147</v>
      </c>
      <c r="C39" s="2">
        <v>62327</v>
      </c>
      <c r="D39">
        <f>RTD("tos.rtd", , "LAST", Main_L[[#This Row],[Symbol]])</f>
        <v>27.53</v>
      </c>
      <c r="E39">
        <v>0.96</v>
      </c>
      <c r="F39">
        <v>13.77</v>
      </c>
      <c r="G39">
        <v>1.1599999999999999</v>
      </c>
      <c r="H39" s="1">
        <f>IF(ISNUMBER(Main_L[[#This Row],[Free CF]]),IF(Main_L[[#This Row],[Free CF]]&lt;&gt;0,Main_L[[#This Row],[Current Price]]/Main_L[[#This Row],[Free CF]],""),"")</f>
        <v>28.677083333333336</v>
      </c>
      <c r="I39" s="1">
        <f>IF(ISNUMBER(Main_L[[#This Row],[BVPS]]),IF(Main_L[[#This Row],[BVPS]]&lt;&gt;0,Main_L[[#This Row],[Current Price]]/Main_L[[#This Row],[BVPS]],""),"")</f>
        <v>1.9992737835875092</v>
      </c>
      <c r="J39">
        <v>8.4499999999999993</v>
      </c>
      <c r="K39">
        <v>3.73</v>
      </c>
      <c r="L39">
        <v>2.36</v>
      </c>
      <c r="M39" s="1">
        <f>IF(ISNUMBER(Main_L[[#This Row],[EPS]]),IF(Main_L[[#This Row],[EPS]]&lt;&gt;0,Main_L[[#This Row],[Current Price]]/Main_L[[#This Row],[EPS]],""),"")</f>
        <v>23.732758620689658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0.79557286499191127</v>
      </c>
      <c r="P39" s="1">
        <f>(Main_L[[#This Row],[P/B]]-VLOOKUP(Main_L[[#This Row],[Industry]], Mean_PB_L, 2, FALSE))/(VLOOKUP(Main_L[[#This Row],[Industry]], Mean_PB_L, 3, FALSE))</f>
        <v>6.3003442231905349E-2</v>
      </c>
      <c r="Q39" s="1">
        <f>(Main_L[[#This Row],[ROE]]-VLOOKUP(Main_L[[#This Row],[Industry]], Mean_ROE_L, 2, FALSE))/(VLOOKUP(Main_L[[#This Row],[Industry]], Mean_ROE_L, 3, FALSE))</f>
        <v>-0.5704923933249153</v>
      </c>
      <c r="R39" s="1">
        <f>(Main_L[[#This Row],[ROA]]-VLOOKUP(Main_L[[#This Row],[Industry]], Mean_ROA_L, 2, FALSE))/(VLOOKUP(Main_L[[#This Row],[Industry]], Mean_ROA_L, 3, FALSE))</f>
        <v>-0.61714473284395932</v>
      </c>
      <c r="S39" s="1">
        <f>(Main_L[[#This Row],[A/E]]-VLOOKUP(Main_L[[#This Row],[Industry]], Mean_AE_L, 2, FALSE))/(VLOOKUP(Main_L[[#This Row],[Industry]], Mean_AE_L, 3, FALSE))</f>
        <v>-0.22753526084309836</v>
      </c>
      <c r="T39" s="1">
        <f>(Main_L[[#This Row],[P/E]]-VLOOKUP(Main_L[[#This Row],[Industry]], Mean_PE_L, 2, FALSE))/(VLOOKUP(Main_L[[#This Row],[Industry]], Mean_PE_L, 3, FALSE))</f>
        <v>0.69534996709459462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7" t="s">
        <v>107</v>
      </c>
      <c r="B40" s="67" t="s">
        <v>149</v>
      </c>
      <c r="C40" s="2">
        <v>52061</v>
      </c>
      <c r="D40">
        <f>RTD("tos.rtd", , "LAST", Main_L[[#This Row],[Symbol]])</f>
        <v>51.06</v>
      </c>
      <c r="E40">
        <v>4.72</v>
      </c>
      <c r="F40">
        <v>13.55</v>
      </c>
      <c r="G40">
        <v>4.33</v>
      </c>
      <c r="H40" s="1">
        <f>IF(ISNUMBER(Main_L[[#This Row],[Free CF]]),IF(Main_L[[#This Row],[Free CF]]&lt;&gt;0,Main_L[[#This Row],[Current Price]]/Main_L[[#This Row],[Free CF]],""),"")</f>
        <v>10.817796610169493</v>
      </c>
      <c r="I40" s="1">
        <f>IF(ISNUMBER(Main_L[[#This Row],[BVPS]]),IF(Main_L[[#This Row],[BVPS]]&lt;&gt;0,Main_L[[#This Row],[Current Price]]/Main_L[[#This Row],[BVPS]],""),"")</f>
        <v>3.7682656826568266</v>
      </c>
      <c r="J40">
        <v>32.32</v>
      </c>
      <c r="K40">
        <v>7.58</v>
      </c>
      <c r="L40">
        <v>2.82</v>
      </c>
      <c r="M40" s="1">
        <f>IF(ISNUMBER(Main_L[[#This Row],[EPS]]),IF(Main_L[[#This Row],[EPS]]&lt;&gt;0,Main_L[[#This Row],[Current Price]]/Main_L[[#This Row],[EPS]],""),"")</f>
        <v>11.792147806004619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-0.58813232251209702</v>
      </c>
      <c r="P40" s="1">
        <f>(Main_L[[#This Row],[P/B]]-VLOOKUP(Main_L[[#This Row],[Industry]], Mean_PB_L, 2, FALSE))/(VLOOKUP(Main_L[[#This Row],[Industry]], Mean_PB_L, 3, FALSE))</f>
        <v>2.3571793360332465</v>
      </c>
      <c r="Q40" s="1">
        <f>(Main_L[[#This Row],[ROE]]-VLOOKUP(Main_L[[#This Row],[Industry]], Mean_ROE_L, 2, FALSE))/(VLOOKUP(Main_L[[#This Row],[Industry]], Mean_ROE_L, 3, FALSE))</f>
        <v>2.6519274779308248</v>
      </c>
      <c r="R40" s="1">
        <f>(Main_L[[#This Row],[ROA]]-VLOOKUP(Main_L[[#This Row],[Industry]], Mean_ROA_L, 2, FALSE))/(VLOOKUP(Main_L[[#This Row],[Industry]], Mean_ROA_L, 3, FALSE))</f>
        <v>0.58172362234960406</v>
      </c>
      <c r="S40" s="1">
        <f>(Main_L[[#This Row],[A/E]]-VLOOKUP(Main_L[[#This Row],[Industry]], Mean_AE_L, 2, FALSE))/(VLOOKUP(Main_L[[#This Row],[Industry]], Mean_AE_L, 3, FALSE))</f>
        <v>0.24205396143528002</v>
      </c>
      <c r="T40" s="1">
        <f>(Main_L[[#This Row],[P/E]]-VLOOKUP(Main_L[[#This Row],[Industry]], Mean_PE_L, 2, FALSE))/(VLOOKUP(Main_L[[#This Row],[Industry]], Mean_PE_L, 3, FALSE))</f>
        <v>-0.66306887879207888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7" t="s">
        <v>107</v>
      </c>
      <c r="B41" s="67" t="s">
        <v>127</v>
      </c>
      <c r="C41" s="2">
        <v>63573</v>
      </c>
      <c r="D41">
        <f>RTD("tos.rtd", , "LAST", Main_L[[#This Row],[Symbol]])</f>
        <v>31.62</v>
      </c>
      <c r="E41">
        <v>3.03</v>
      </c>
      <c r="F41">
        <v>13.4</v>
      </c>
      <c r="G41">
        <v>2.4700000000000002</v>
      </c>
      <c r="H41" s="1">
        <f>IF(ISNUMBER(Main_L[[#This Row],[Free CF]]),IF(Main_L[[#This Row],[Free CF]]&lt;&gt;0,Main_L[[#This Row],[Current Price]]/Main_L[[#This Row],[Free CF]],""),"")</f>
        <v>10.435643564356436</v>
      </c>
      <c r="I41" s="1">
        <f>IF(ISNUMBER(Main_L[[#This Row],[BVPS]]),IF(Main_L[[#This Row],[BVPS]]&lt;&gt;0,Main_L[[#This Row],[Current Price]]/Main_L[[#This Row],[BVPS]],""),"")</f>
        <v>2.3597014925373134</v>
      </c>
      <c r="J41">
        <v>18.95</v>
      </c>
      <c r="K41">
        <v>8.76</v>
      </c>
      <c r="L41">
        <v>2.1</v>
      </c>
      <c r="M41" s="1">
        <f>IF(ISNUMBER(Main_L[[#This Row],[EPS]]),IF(Main_L[[#This Row],[EPS]]&lt;&gt;0,Main_L[[#This Row],[Current Price]]/Main_L[[#This Row],[EPS]],""),"")</f>
        <v>12.801619433198381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-0.6177408483232727</v>
      </c>
      <c r="P41" s="1">
        <f>(Main_L[[#This Row],[P/B]]-VLOOKUP(Main_L[[#This Row],[Industry]], Mean_PB_L, 2, FALSE))/(VLOOKUP(Main_L[[#This Row],[Industry]], Mean_PB_L, 3, FALSE))</f>
        <v>0.530436086646907</v>
      </c>
      <c r="Q41" s="1">
        <f>(Main_L[[#This Row],[ROE]]-VLOOKUP(Main_L[[#This Row],[Industry]], Mean_ROE_L, 2, FALSE))/(VLOOKUP(Main_L[[#This Row],[Industry]], Mean_ROE_L, 3, FALSE))</f>
        <v>0.84699435356177366</v>
      </c>
      <c r="R41" s="1">
        <f>(Main_L[[#This Row],[ROA]]-VLOOKUP(Main_L[[#This Row],[Industry]], Mean_ROA_L, 2, FALSE))/(VLOOKUP(Main_L[[#This Row],[Industry]], Mean_ROA_L, 3, FALSE))</f>
        <v>0.94916898835698182</v>
      </c>
      <c r="S41" s="1">
        <f>(Main_L[[#This Row],[A/E]]-VLOOKUP(Main_L[[#This Row],[Industry]], Mean_AE_L, 2, FALSE))/(VLOOKUP(Main_L[[#This Row],[Industry]], Mean_AE_L, 3, FALSE))</f>
        <v>-0.49295525604392071</v>
      </c>
      <c r="T41" s="1">
        <f>(Main_L[[#This Row],[P/E]]-VLOOKUP(Main_L[[#This Row],[Industry]], Mean_PE_L, 2, FALSE))/(VLOOKUP(Main_L[[#This Row],[Industry]], Mean_PE_L, 3, FALSE))</f>
        <v>-0.54822674014022443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7" t="s">
        <v>107</v>
      </c>
      <c r="B42" s="67" t="s">
        <v>145</v>
      </c>
      <c r="C42" s="2">
        <v>66846</v>
      </c>
      <c r="D42">
        <f>RTD("tos.rtd", , "LAST", Main_L[[#This Row],[Symbol]])</f>
        <v>31.72</v>
      </c>
      <c r="E42">
        <v>1.73</v>
      </c>
      <c r="F42">
        <v>13.33</v>
      </c>
      <c r="G42">
        <v>2.66</v>
      </c>
      <c r="H42" s="1">
        <f>IF(ISNUMBER(Main_L[[#This Row],[Free CF]]),IF(Main_L[[#This Row],[Free CF]]&lt;&gt;0,Main_L[[#This Row],[Current Price]]/Main_L[[#This Row],[Free CF]],""),"")</f>
        <v>18.335260115606935</v>
      </c>
      <c r="I42" s="1">
        <f>IF(ISNUMBER(Main_L[[#This Row],[BVPS]]),IF(Main_L[[#This Row],[BVPS]]&lt;&gt;0,Main_L[[#This Row],[Current Price]]/Main_L[[#This Row],[BVPS]],""),"")</f>
        <v>2.3795948987246809</v>
      </c>
      <c r="J42">
        <v>20.2</v>
      </c>
      <c r="K42">
        <v>5.89</v>
      </c>
      <c r="L42">
        <v>2.61</v>
      </c>
      <c r="M42" s="1">
        <f>IF(ISNUMBER(Main_L[[#This Row],[EPS]]),IF(Main_L[[#This Row],[EPS]]&lt;&gt;0,Main_L[[#This Row],[Current Price]]/Main_L[[#This Row],[EPS]],""),"")</f>
        <v>11.924812030075186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-5.6928661896718186E-3</v>
      </c>
      <c r="P42" s="1">
        <f>(Main_L[[#This Row],[P/B]]-VLOOKUP(Main_L[[#This Row],[Industry]], Mean_PB_L, 2, FALSE))/(VLOOKUP(Main_L[[#This Row],[Industry]], Mean_PB_L, 3, FALSE))</f>
        <v>0.5562355111353221</v>
      </c>
      <c r="Q42" s="1">
        <f>(Main_L[[#This Row],[ROE]]-VLOOKUP(Main_L[[#This Row],[Industry]], Mean_ROE_L, 2, FALSE))/(VLOOKUP(Main_L[[#This Row],[Industry]], Mean_ROE_L, 3, FALSE))</f>
        <v>1.0157427758101891</v>
      </c>
      <c r="R42" s="1">
        <f>(Main_L[[#This Row],[ROA]]-VLOOKUP(Main_L[[#This Row],[Industry]], Mean_ROA_L, 2, FALSE))/(VLOOKUP(Main_L[[#This Row],[Industry]], Mean_ROA_L, 3, FALSE))</f>
        <v>5.5467123576325467E-2</v>
      </c>
      <c r="S42" s="1">
        <f>(Main_L[[#This Row],[A/E]]-VLOOKUP(Main_L[[#This Row],[Industry]], Mean_AE_L, 2, FALSE))/(VLOOKUP(Main_L[[#This Row],[Industry]], Mean_AE_L, 3, FALSE))</f>
        <v>2.7676273003846431E-2</v>
      </c>
      <c r="T42" s="1">
        <f>(Main_L[[#This Row],[P/E]]-VLOOKUP(Main_L[[#This Row],[Industry]], Mean_PE_L, 2, FALSE))/(VLOOKUP(Main_L[[#This Row],[Industry]], Mean_PE_L, 3, FALSE))</f>
        <v>-0.64797638604197971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7" t="s">
        <v>107</v>
      </c>
      <c r="B43" s="67" t="s">
        <v>113</v>
      </c>
      <c r="C43" s="2">
        <v>23906</v>
      </c>
      <c r="D43">
        <f>RTD("tos.rtd", , "LAST", Main_L[[#This Row],[Symbol]])</f>
        <v>13.73</v>
      </c>
      <c r="E43">
        <v>1.27</v>
      </c>
      <c r="F43">
        <v>11.38</v>
      </c>
      <c r="G43">
        <v>1.05</v>
      </c>
      <c r="H43" s="1">
        <f>IF(ISNUMBER(Main_L[[#This Row],[Free CF]]),IF(Main_L[[#This Row],[Free CF]]&lt;&gt;0,Main_L[[#This Row],[Current Price]]/Main_L[[#This Row],[Free CF]],""),"")</f>
        <v>10.811023622047244</v>
      </c>
      <c r="I43" s="1">
        <f>IF(ISNUMBER(Main_L[[#This Row],[BVPS]]),IF(Main_L[[#This Row],[BVPS]]&lt;&gt;0,Main_L[[#This Row],[Current Price]]/Main_L[[#This Row],[BVPS]],""),"")</f>
        <v>1.2065026362038664</v>
      </c>
      <c r="J43">
        <v>9.4499999999999993</v>
      </c>
      <c r="K43">
        <v>4.9400000000000004</v>
      </c>
      <c r="L43">
        <v>1.89</v>
      </c>
      <c r="M43" s="1">
        <f>IF(ISNUMBER(Main_L[[#This Row],[EPS]]),IF(Main_L[[#This Row],[EPS]]&lt;&gt;0,Main_L[[#This Row],[Current Price]]/Main_L[[#This Row],[EPS]],""),"")</f>
        <v>13.076190476190476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-0.58865708136416828</v>
      </c>
      <c r="P43" s="1">
        <f>(Main_L[[#This Row],[P/B]]-VLOOKUP(Main_L[[#This Row],[Industry]], Mean_PB_L, 2, FALSE))/(VLOOKUP(Main_L[[#This Row],[Industry]], Mean_PB_L, 3, FALSE))</f>
        <v>-0.96512814875256858</v>
      </c>
      <c r="Q43" s="1">
        <f>(Main_L[[#This Row],[ROE]]-VLOOKUP(Main_L[[#This Row],[Industry]], Mean_ROE_L, 2, FALSE))/(VLOOKUP(Main_L[[#This Row],[Industry]], Mean_ROE_L, 3, FALSE))</f>
        <v>-0.43549365552618302</v>
      </c>
      <c r="R43" s="1">
        <f>(Main_L[[#This Row],[ROA]]-VLOOKUP(Main_L[[#This Row],[Industry]], Mean_ROA_L, 2, FALSE))/(VLOOKUP(Main_L[[#This Row],[Industry]], Mean_ROA_L, 3, FALSE))</f>
        <v>-0.24035753549741073</v>
      </c>
      <c r="S43" s="1">
        <f>(Main_L[[#This Row],[A/E]]-VLOOKUP(Main_L[[#This Row],[Industry]], Mean_AE_L, 2, FALSE))/(VLOOKUP(Main_L[[#This Row],[Industry]], Mean_AE_L, 3, FALSE))</f>
        <v>-0.70733294447535455</v>
      </c>
      <c r="T43" s="1">
        <f>(Main_L[[#This Row],[P/E]]-VLOOKUP(Main_L[[#This Row],[Industry]], Mean_PE_L, 2, FALSE))/(VLOOKUP(Main_L[[#This Row],[Industry]], Mean_PE_L, 3, FALSE))</f>
        <v>-0.5169902745084568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7" t="s">
        <v>107</v>
      </c>
      <c r="B44" s="67" t="s">
        <v>153</v>
      </c>
      <c r="C44" s="2">
        <v>34260</v>
      </c>
      <c r="D44">
        <f>RTD("tos.rtd", , "LAST", Main_L[[#This Row],[Symbol]])</f>
        <v>162.80000000000001</v>
      </c>
      <c r="E44">
        <v>2.92</v>
      </c>
      <c r="F44">
        <v>11.27</v>
      </c>
      <c r="G44">
        <v>5.44</v>
      </c>
      <c r="H44" s="1">
        <f>IF(ISNUMBER(Main_L[[#This Row],[Free CF]]),IF(Main_L[[#This Row],[Free CF]]&lt;&gt;0,Main_L[[#This Row],[Current Price]]/Main_L[[#This Row],[Free CF]],""),"")</f>
        <v>55.753424657534254</v>
      </c>
      <c r="I44" s="1">
        <f>IF(ISNUMBER(Main_L[[#This Row],[BVPS]]),IF(Main_L[[#This Row],[BVPS]]&lt;&gt;0,Main_L[[#This Row],[Current Price]]/Main_L[[#This Row],[BVPS]],""),"")</f>
        <v>14.445430346051465</v>
      </c>
      <c r="J44">
        <v>41.98</v>
      </c>
      <c r="K44">
        <v>7.44</v>
      </c>
      <c r="L44">
        <v>9.3000000000000007</v>
      </c>
      <c r="M44" s="1">
        <f>IF(ISNUMBER(Main_L[[#This Row],[EPS]]),IF(Main_L[[#This Row],[EPS]]&lt;&gt;0,Main_L[[#This Row],[Current Price]]/Main_L[[#This Row],[EPS]],""),"")</f>
        <v>29.926470588235293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2.8933987485045067</v>
      </c>
      <c r="P44" s="1">
        <f>(Main_L[[#This Row],[P/B]]-VLOOKUP(Main_L[[#This Row],[Industry]], Mean_PB_L, 2, FALSE))/(VLOOKUP(Main_L[[#This Row],[Industry]], Mean_PB_L, 3, FALSE))</f>
        <v>16.204214926074492</v>
      </c>
      <c r="Q44" s="1">
        <f>(Main_L[[#This Row],[ROE]]-VLOOKUP(Main_L[[#This Row],[Industry]], Mean_ROE_L, 2, FALSE))/(VLOOKUP(Main_L[[#This Row],[Industry]], Mean_ROE_L, 3, FALSE))</f>
        <v>3.9560152850665782</v>
      </c>
      <c r="R44" s="1">
        <f>(Main_L[[#This Row],[ROA]]-VLOOKUP(Main_L[[#This Row],[Industry]], Mean_ROA_L, 2, FALSE))/(VLOOKUP(Main_L[[#This Row],[Industry]], Mean_ROA_L, 3, FALSE))</f>
        <v>0.53812840943347462</v>
      </c>
      <c r="S44" s="1">
        <f>(Main_L[[#This Row],[A/E]]-VLOOKUP(Main_L[[#This Row],[Industry]], Mean_AE_L, 2, FALSE))/(VLOOKUP(Main_L[[#This Row],[Industry]], Mean_AE_L, 3, FALSE))</f>
        <v>6.8571369187480906</v>
      </c>
      <c r="T44" s="1">
        <f>(Main_L[[#This Row],[P/E]]-VLOOKUP(Main_L[[#This Row],[Industry]], Mean_PE_L, 2, FALSE))/(VLOOKUP(Main_L[[#This Row],[Industry]], Mean_PE_L, 3, FALSE))</f>
        <v>1.3999751486104659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7" t="s">
        <v>107</v>
      </c>
      <c r="B45" s="67" t="s">
        <v>151</v>
      </c>
      <c r="C45" s="2">
        <v>11633</v>
      </c>
      <c r="D45">
        <f>RTD("tos.rtd", , "LAST", Main_L[[#This Row],[Symbol]])</f>
        <v>17.399999999999999</v>
      </c>
      <c r="E45">
        <v>2.57</v>
      </c>
      <c r="F45">
        <v>10.8</v>
      </c>
      <c r="G45">
        <v>0.93</v>
      </c>
      <c r="H45" s="1">
        <f>IF(ISNUMBER(Main_L[[#This Row],[Free CF]]),IF(Main_L[[#This Row],[Free CF]]&lt;&gt;0,Main_L[[#This Row],[Current Price]]/Main_L[[#This Row],[Free CF]],""),"")</f>
        <v>6.7704280155642023</v>
      </c>
      <c r="I45" s="1">
        <f>IF(ISNUMBER(Main_L[[#This Row],[BVPS]]),IF(Main_L[[#This Row],[BVPS]]&lt;&gt;0,Main_L[[#This Row],[Current Price]]/Main_L[[#This Row],[BVPS]],""),"")</f>
        <v>1.6111111111111109</v>
      </c>
      <c r="J45">
        <v>9.64</v>
      </c>
      <c r="K45">
        <v>4.21</v>
      </c>
      <c r="L45">
        <v>3.56</v>
      </c>
      <c r="M45" s="1">
        <f>IF(ISNUMBER(Main_L[[#This Row],[EPS]]),IF(Main_L[[#This Row],[EPS]]&lt;&gt;0,Main_L[[#This Row],[Current Price]]/Main_L[[#This Row],[EPS]],""),"")</f>
        <v>18.709677419354836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-0.90171511038639462</v>
      </c>
      <c r="P45" s="1">
        <f>(Main_L[[#This Row],[P/B]]-VLOOKUP(Main_L[[#This Row],[Industry]], Mean_PB_L, 2, FALSE))/(VLOOKUP(Main_L[[#This Row],[Industry]], Mean_PB_L, 3, FALSE))</f>
        <v>-0.4403982107306465</v>
      </c>
      <c r="Q45" s="1">
        <f>(Main_L[[#This Row],[ROE]]-VLOOKUP(Main_L[[#This Row],[Industry]], Mean_ROE_L, 2, FALSE))/(VLOOKUP(Main_L[[#This Row],[Industry]], Mean_ROE_L, 3, FALSE))</f>
        <v>-0.40984389534442373</v>
      </c>
      <c r="R45" s="1">
        <f>(Main_L[[#This Row],[ROA]]-VLOOKUP(Main_L[[#This Row],[Industry]], Mean_ROA_L, 2, FALSE))/(VLOOKUP(Main_L[[#This Row],[Industry]], Mean_ROA_L, 3, FALSE))</f>
        <v>-0.46767543141722939</v>
      </c>
      <c r="S45" s="1">
        <f>(Main_L[[#This Row],[A/E]]-VLOOKUP(Main_L[[#This Row],[Industry]], Mean_AE_L, 2, FALSE))/(VLOOKUP(Main_L[[#This Row],[Industry]], Mean_AE_L, 3, FALSE))</f>
        <v>0.99748010162223688</v>
      </c>
      <c r="T45" s="1">
        <f>(Main_L[[#This Row],[P/E]]-VLOOKUP(Main_L[[#This Row],[Industry]], Mean_PE_L, 2, FALSE))/(VLOOKUP(Main_L[[#This Row],[Industry]], Mean_PE_L, 3, FALSE))</f>
        <v>0.1239011296598676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s="67" t="s">
        <v>107</v>
      </c>
      <c r="B46" s="67" t="s">
        <v>157</v>
      </c>
      <c r="C46" s="2">
        <v>25479</v>
      </c>
      <c r="D46">
        <f>RTD("tos.rtd", , "LAST", Main_L[[#This Row],[Symbol]])</f>
        <v>66.91</v>
      </c>
      <c r="E46">
        <v>1.1599999999999999</v>
      </c>
      <c r="F46">
        <v>10.36</v>
      </c>
      <c r="G46">
        <v>0.4</v>
      </c>
      <c r="H46" s="1">
        <f>IF(ISNUMBER(Main_L[[#This Row],[Free CF]]),IF(Main_L[[#This Row],[Free CF]]&lt;&gt;0,Main_L[[#This Row],[Current Price]]/Main_L[[#This Row],[Free CF]],""),"")</f>
        <v>57.681034482758619</v>
      </c>
      <c r="I46" s="1">
        <f>IF(ISNUMBER(Main_L[[#This Row],[BVPS]]),IF(Main_L[[#This Row],[BVPS]]&lt;&gt;0,Main_L[[#This Row],[Current Price]]/Main_L[[#This Row],[BVPS]],""),"")</f>
        <v>6.4584942084942085</v>
      </c>
      <c r="J46">
        <v>3.95</v>
      </c>
      <c r="K46">
        <v>3.54</v>
      </c>
      <c r="L46">
        <v>1.45</v>
      </c>
      <c r="M46" s="1">
        <f>IF(ISNUMBER(Main_L[[#This Row],[EPS]]),IF(Main_L[[#This Row],[EPS]]&lt;&gt;0,Main_L[[#This Row],[Current Price]]/Main_L[[#This Row],[EPS]],""),"")</f>
        <v>167.27499999999998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3.0427464663608523</v>
      </c>
      <c r="P46" s="1">
        <f>(Main_L[[#This Row],[P/B]]-VLOOKUP(Main_L[[#This Row],[Industry]], Mean_PB_L, 2, FALSE))/(VLOOKUP(Main_L[[#This Row],[Industry]], Mean_PB_L, 3, FALSE))</f>
        <v>5.8460915441897168</v>
      </c>
      <c r="Q46" s="1">
        <f>(Main_L[[#This Row],[ROE]]-VLOOKUP(Main_L[[#This Row],[Industry]], Mean_ROE_L, 2, FALSE))/(VLOOKUP(Main_L[[#This Row],[Industry]], Mean_ROE_L, 3, FALSE))</f>
        <v>-1.1779867134192104</v>
      </c>
      <c r="R46" s="1">
        <f>(Main_L[[#This Row],[ROA]]-VLOOKUP(Main_L[[#This Row],[Industry]], Mean_ROA_L, 2, FALSE))/(VLOOKUP(Main_L[[#This Row],[Industry]], Mean_ROA_L, 3, FALSE))</f>
        <v>-0.67630966465870668</v>
      </c>
      <c r="S46" s="1">
        <f>(Main_L[[#This Row],[A/E]]-VLOOKUP(Main_L[[#This Row],[Industry]], Mean_AE_L, 2, FALSE))/(VLOOKUP(Main_L[[#This Row],[Industry]], Mean_AE_L, 3, FALSE))</f>
        <v>-1.1565052440459773</v>
      </c>
      <c r="T46" s="1">
        <f>(Main_L[[#This Row],[P/E]]-VLOOKUP(Main_L[[#This Row],[Industry]], Mean_PE_L, 2, FALSE))/(VLOOKUP(Main_L[[#This Row],[Industry]], Mean_PE_L, 3, FALSE))</f>
        <v>17.025376034995745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7" spans="1:26" x14ac:dyDescent="0.25">
      <c r="A47" s="67" t="s">
        <v>107</v>
      </c>
      <c r="B47" s="67" t="s">
        <v>156</v>
      </c>
      <c r="C47" s="2">
        <v>73883</v>
      </c>
      <c r="D47">
        <f>RTD("tos.rtd", , "LAST", Main_L[[#This Row],[Symbol]])</f>
        <v>59.66</v>
      </c>
      <c r="E47">
        <v>1.66</v>
      </c>
      <c r="F47">
        <v>10.199999999999999</v>
      </c>
      <c r="G47">
        <v>1.86</v>
      </c>
      <c r="H47" s="1">
        <f>IF(ISNUMBER(Main_L[[#This Row],[Free CF]]),IF(Main_L[[#This Row],[Free CF]]&lt;&gt;0,Main_L[[#This Row],[Current Price]]/Main_L[[#This Row],[Free CF]],""),"")</f>
        <v>35.939759036144579</v>
      </c>
      <c r="I47" s="1">
        <f>IF(ISNUMBER(Main_L[[#This Row],[BVPS]]),IF(Main_L[[#This Row],[BVPS]]&lt;&gt;0,Main_L[[#This Row],[Current Price]]/Main_L[[#This Row],[BVPS]],""),"")</f>
        <v>5.8490196078431369</v>
      </c>
      <c r="J47">
        <v>16.2</v>
      </c>
      <c r="K47">
        <v>3.99</v>
      </c>
      <c r="L47">
        <v>4.41</v>
      </c>
      <c r="M47" s="1">
        <f>IF(ISNUMBER(Main_L[[#This Row],[EPS]]),IF(Main_L[[#This Row],[EPS]]&lt;&gt;0,Main_L[[#This Row],[Current Price]]/Main_L[[#This Row],[EPS]],""),"")</f>
        <v>32.075268817204297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1.3582718238537435</v>
      </c>
      <c r="P47" s="1">
        <f>(Main_L[[#This Row],[P/B]]-VLOOKUP(Main_L[[#This Row],[Industry]], Mean_PB_L, 2, FALSE))/(VLOOKUP(Main_L[[#This Row],[Industry]], Mean_PB_L, 3, FALSE))</f>
        <v>5.0556741672455283</v>
      </c>
      <c r="Q47" s="1">
        <f>(Main_L[[#This Row],[ROE]]-VLOOKUP(Main_L[[#This Row],[Industry]], Mean_ROE_L, 2, FALSE))/(VLOOKUP(Main_L[[#This Row],[Industry]], Mean_ROE_L, 3, FALSE))</f>
        <v>0.47574782461525988</v>
      </c>
      <c r="R47" s="1">
        <f>(Main_L[[#This Row],[ROA]]-VLOOKUP(Main_L[[#This Row],[Industry]], Mean_ROA_L, 2, FALSE))/(VLOOKUP(Main_L[[#This Row],[Industry]], Mean_ROA_L, 3, FALSE))</f>
        <v>-0.53618219457114724</v>
      </c>
      <c r="S47" s="1">
        <f>(Main_L[[#This Row],[A/E]]-VLOOKUP(Main_L[[#This Row],[Industry]], Mean_AE_L, 2, FALSE))/(VLOOKUP(Main_L[[#This Row],[Industry]], Mean_AE_L, 3, FALSE))</f>
        <v>1.8651993167018492</v>
      </c>
      <c r="T47" s="1">
        <f>(Main_L[[#This Row],[P/E]]-VLOOKUP(Main_L[[#This Row],[Industry]], Mean_PE_L, 2, FALSE))/(VLOOKUP(Main_L[[#This Row],[Industry]], Mean_PE_L, 3, FALSE))</f>
        <v>1.6444323255121314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7" t="s">
        <v>107</v>
      </c>
      <c r="B48" s="67" t="s">
        <v>302</v>
      </c>
      <c r="C48" s="2">
        <v>12198</v>
      </c>
      <c r="D48">
        <f>RTD("tos.rtd", , "LAST", Main_L[[#This Row],[Symbol]])</f>
        <v>21.53</v>
      </c>
      <c r="E48">
        <v>1.1000000000000001</v>
      </c>
      <c r="F48">
        <v>9.6199999999999992</v>
      </c>
      <c r="G48">
        <v>1.57</v>
      </c>
      <c r="H48" s="1">
        <f>IF(ISNUMBER(Main_L[[#This Row],[Free CF]]),IF(Main_L[[#This Row],[Free CF]]&lt;&gt;0,Main_L[[#This Row],[Current Price]]/Main_L[[#This Row],[Free CF]],""),"")</f>
        <v>19.572727272727271</v>
      </c>
      <c r="I48" s="1">
        <f>IF(ISNUMBER(Main_L[[#This Row],[BVPS]]),IF(Main_L[[#This Row],[BVPS]]&lt;&gt;0,Main_L[[#This Row],[Current Price]]/Main_L[[#This Row],[BVPS]],""),"")</f>
        <v>2.2380457380457384</v>
      </c>
      <c r="J48">
        <v>17.23</v>
      </c>
      <c r="K48">
        <v>8.7200000000000006</v>
      </c>
      <c r="L48">
        <v>1.61</v>
      </c>
      <c r="M48" s="1">
        <f>IF(ISNUMBER(Main_L[[#This Row],[EPS]]),IF(Main_L[[#This Row],[EPS]]&lt;&gt;0,Main_L[[#This Row],[Current Price]]/Main_L[[#This Row],[EPS]],""),"")</f>
        <v>13.713375796178344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9.0183847769591305E-2</v>
      </c>
      <c r="P48" s="1">
        <f>(Main_L[[#This Row],[P/B]]-VLOOKUP(Main_L[[#This Row],[Industry]], Mean_PB_L, 2, FALSE))/(VLOOKUP(Main_L[[#This Row],[Industry]], Mean_PB_L, 3, FALSE))</f>
        <v>0.3726627811594016</v>
      </c>
      <c r="Q48" s="1">
        <f>(Main_L[[#This Row],[ROE]]-VLOOKUP(Main_L[[#This Row],[Industry]], Mean_ROE_L, 2, FALSE))/(VLOOKUP(Main_L[[#This Row],[Industry]], Mean_ROE_L, 3, FALSE))</f>
        <v>0.6147965245479543</v>
      </c>
      <c r="R48" s="1">
        <f>(Main_L[[#This Row],[ROA]]-VLOOKUP(Main_L[[#This Row],[Industry]], Mean_ROA_L, 2, FALSE))/(VLOOKUP(Main_L[[#This Row],[Industry]], Mean_ROA_L, 3, FALSE))</f>
        <v>0.93671321323808798</v>
      </c>
      <c r="S48" s="1">
        <f>(Main_L[[#This Row],[A/E]]-VLOOKUP(Main_L[[#This Row],[Industry]], Mean_AE_L, 2, FALSE))/(VLOOKUP(Main_L[[#This Row],[Industry]], Mean_AE_L, 3, FALSE))</f>
        <v>-0.99316986238393257</v>
      </c>
      <c r="T48" s="1">
        <f>(Main_L[[#This Row],[P/E]]-VLOOKUP(Main_L[[#This Row],[Industry]], Mean_PE_L, 2, FALSE))/(VLOOKUP(Main_L[[#This Row],[Industry]], Mean_PE_L, 3, FALSE))</f>
        <v>-0.4445011397039505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7" t="s">
        <v>107</v>
      </c>
      <c r="B49" s="67" t="s">
        <v>146</v>
      </c>
      <c r="C49" s="2">
        <v>59987</v>
      </c>
      <c r="D49">
        <f>RTD("tos.rtd", , "LAST", Main_L[[#This Row],[Symbol]])</f>
        <v>17.71</v>
      </c>
      <c r="E49">
        <v>1.68</v>
      </c>
      <c r="F49">
        <v>9.16</v>
      </c>
      <c r="G49">
        <v>1.32</v>
      </c>
      <c r="H49" s="1">
        <f>IF(ISNUMBER(Main_L[[#This Row],[Free CF]]),IF(Main_L[[#This Row],[Free CF]]&lt;&gt;0,Main_L[[#This Row],[Current Price]]/Main_L[[#This Row],[Free CF]],""),"")</f>
        <v>10.541666666666668</v>
      </c>
      <c r="I49" s="1">
        <f>IF(ISNUMBER(Main_L[[#This Row],[BVPS]]),IF(Main_L[[#This Row],[BVPS]]&lt;&gt;0,Main_L[[#This Row],[Current Price]]/Main_L[[#This Row],[BVPS]],""),"")</f>
        <v>1.9334061135371179</v>
      </c>
      <c r="J49">
        <v>14.48</v>
      </c>
      <c r="K49">
        <v>4.8</v>
      </c>
      <c r="L49">
        <v>4.0199999999999996</v>
      </c>
      <c r="M49" s="1">
        <f>IF(ISNUMBER(Main_L[[#This Row],[EPS]]),IF(Main_L[[#This Row],[EPS]]&lt;&gt;0,Main_L[[#This Row],[Current Price]]/Main_L[[#This Row],[EPS]],""),"")</f>
        <v>13.416666666666666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-0.60952637039165092</v>
      </c>
      <c r="P49" s="1">
        <f>(Main_L[[#This Row],[P/B]]-VLOOKUP(Main_L[[#This Row],[Industry]], Mean_PB_L, 2, FALSE))/(VLOOKUP(Main_L[[#This Row],[Industry]], Mean_PB_L, 3, FALSE))</f>
        <v>-2.2419233185641596E-2</v>
      </c>
      <c r="Q49" s="1">
        <f>(Main_L[[#This Row],[ROE]]-VLOOKUP(Main_L[[#This Row],[Industry]], Mean_ROE_L, 2, FALSE))/(VLOOKUP(Main_L[[#This Row],[Industry]], Mean_ROE_L, 3, FALSE))</f>
        <v>0.24354999560144053</v>
      </c>
      <c r="R49" s="1">
        <f>(Main_L[[#This Row],[ROA]]-VLOOKUP(Main_L[[#This Row],[Industry]], Mean_ROA_L, 2, FALSE))/(VLOOKUP(Main_L[[#This Row],[Industry]], Mean_ROA_L, 3, FALSE))</f>
        <v>-0.28395274841354051</v>
      </c>
      <c r="S49" s="1">
        <f>(Main_L[[#This Row],[A/E]]-VLOOKUP(Main_L[[#This Row],[Industry]], Mean_AE_L, 2, FALSE))/(VLOOKUP(Main_L[[#This Row],[Industry]], Mean_AE_L, 3, FALSE))</f>
        <v>1.4670693239006147</v>
      </c>
      <c r="T49" s="1">
        <f>(Main_L[[#This Row],[P/E]]-VLOOKUP(Main_L[[#This Row],[Industry]], Mean_PE_L, 2, FALSE))/(VLOOKUP(Main_L[[#This Row],[Industry]], Mean_PE_L, 3, FALSE))</f>
        <v>-0.47825613595419247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s="67" t="s">
        <v>107</v>
      </c>
      <c r="B50" s="67" t="s">
        <v>155</v>
      </c>
      <c r="C50" s="2">
        <v>14262</v>
      </c>
      <c r="D50">
        <f>RTD("tos.rtd", , "LAST", Main_L[[#This Row],[Symbol]])</f>
        <v>37.340000000000003</v>
      </c>
      <c r="E50">
        <v>3.9</v>
      </c>
      <c r="F50">
        <v>8.35</v>
      </c>
      <c r="G50">
        <v>3.34</v>
      </c>
      <c r="H50" s="1">
        <f>IF(ISNUMBER(Main_L[[#This Row],[Free CF]]),IF(Main_L[[#This Row],[Free CF]]&lt;&gt;0,Main_L[[#This Row],[Current Price]]/Main_L[[#This Row],[Free CF]],""),"")</f>
        <v>9.5743589743589759</v>
      </c>
      <c r="I50" s="1">
        <f>IF(ISNUMBER(Main_L[[#This Row],[BVPS]]),IF(Main_L[[#This Row],[BVPS]]&lt;&gt;0,Main_L[[#This Row],[Current Price]]/Main_L[[#This Row],[BVPS]],""),"")</f>
        <v>4.4718562874251502</v>
      </c>
      <c r="J50">
        <v>39.99</v>
      </c>
      <c r="K50">
        <v>7.86</v>
      </c>
      <c r="L50">
        <v>3.91</v>
      </c>
      <c r="M50" s="1">
        <f>IF(ISNUMBER(Main_L[[#This Row],[EPS]]),IF(Main_L[[#This Row],[EPS]]&lt;&gt;0,Main_L[[#This Row],[Current Price]]/Main_L[[#This Row],[EPS]],""),"")</f>
        <v>11.179640718562876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-0.68447161834618786</v>
      </c>
      <c r="P50" s="1">
        <f>(Main_L[[#This Row],[P/B]]-VLOOKUP(Main_L[[#This Row],[Industry]], Mean_PB_L, 2, FALSE))/(VLOOKUP(Main_L[[#This Row],[Industry]], Mean_PB_L, 3, FALSE))</f>
        <v>3.2696541785770812</v>
      </c>
      <c r="Q50" s="1">
        <f>(Main_L[[#This Row],[ROE]]-VLOOKUP(Main_L[[#This Row],[Industry]], Mean_ROE_L, 2, FALSE))/(VLOOKUP(Main_L[[#This Row],[Industry]], Mean_ROE_L, 3, FALSE))</f>
        <v>3.6873677968471017</v>
      </c>
      <c r="R50" s="1">
        <f>(Main_L[[#This Row],[ROA]]-VLOOKUP(Main_L[[#This Row],[Industry]], Mean_ROA_L, 2, FALSE))/(VLOOKUP(Main_L[[#This Row],[Industry]], Mean_ROA_L, 3, FALSE))</f>
        <v>0.66891404818186329</v>
      </c>
      <c r="S50" s="1">
        <f>(Main_L[[#This Row],[A/E]]-VLOOKUP(Main_L[[#This Row],[Industry]], Mean_AE_L, 2, FALSE))/(VLOOKUP(Main_L[[#This Row],[Industry]], Mean_AE_L, 3, FALSE))</f>
        <v>1.3547762490079596</v>
      </c>
      <c r="T50" s="1">
        <f>(Main_L[[#This Row],[P/E]]-VLOOKUP(Main_L[[#This Row],[Industry]], Mean_PE_L, 2, FALSE))/(VLOOKUP(Main_L[[#This Row],[Industry]], Mean_PE_L, 3, FALSE))</f>
        <v>-0.73275050427448252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7" t="s">
        <v>107</v>
      </c>
      <c r="B51" s="67" t="s">
        <v>120</v>
      </c>
      <c r="C51" s="2">
        <v>74368</v>
      </c>
      <c r="D51">
        <f>RTD("tos.rtd", , "LAST", Main_L[[#This Row],[Symbol]])</f>
        <v>11.23</v>
      </c>
      <c r="E51">
        <v>1.6</v>
      </c>
      <c r="F51">
        <v>5.38</v>
      </c>
      <c r="G51">
        <v>0.65</v>
      </c>
      <c r="H51" s="1">
        <f>IF(ISNUMBER(Main_L[[#This Row],[Free CF]]),IF(Main_L[[#This Row],[Free CF]]&lt;&gt;0,Main_L[[#This Row],[Current Price]]/Main_L[[#This Row],[Free CF]],""),"")</f>
        <v>7.0187499999999998</v>
      </c>
      <c r="I51" s="1">
        <f>IF(ISNUMBER(Main_L[[#This Row],[BVPS]]),IF(Main_L[[#This Row],[BVPS]]&lt;&gt;0,Main_L[[#This Row],[Current Price]]/Main_L[[#This Row],[BVPS]],""),"")</f>
        <v>2.0873605947955394</v>
      </c>
      <c r="J51">
        <v>12.02</v>
      </c>
      <c r="K51">
        <v>8.66</v>
      </c>
      <c r="L51">
        <v>2.9</v>
      </c>
      <c r="M51" s="1">
        <f>IF(ISNUMBER(Main_L[[#This Row],[EPS]]),IF(Main_L[[#This Row],[EPS]]&lt;&gt;0,Main_L[[#This Row],[Current Price]]/Main_L[[#This Row],[EPS]],""),"")</f>
        <v>17.276923076923076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-0.88247557280791789</v>
      </c>
      <c r="P51" s="1">
        <f>(Main_L[[#This Row],[P/B]]-VLOOKUP(Main_L[[#This Row],[Industry]], Mean_PB_L, 2, FALSE))/(VLOOKUP(Main_L[[#This Row],[Industry]], Mean_PB_L, 3, FALSE))</f>
        <v>0.17724174877339502</v>
      </c>
      <c r="Q51" s="1">
        <f>(Main_L[[#This Row],[ROE]]-VLOOKUP(Main_L[[#This Row],[Industry]], Mean_ROE_L, 2, FALSE))/(VLOOKUP(Main_L[[#This Row],[Industry]], Mean_ROE_L, 3, FALSE))</f>
        <v>-8.8546899383441027E-2</v>
      </c>
      <c r="R51" s="1">
        <f>(Main_L[[#This Row],[ROA]]-VLOOKUP(Main_L[[#This Row],[Industry]], Mean_ROA_L, 2, FALSE))/(VLOOKUP(Main_L[[#This Row],[Industry]], Mean_ROA_L, 3, FALSE))</f>
        <v>0.91802955055974655</v>
      </c>
      <c r="S51" s="1">
        <f>(Main_L[[#This Row],[A/E]]-VLOOKUP(Main_L[[#This Row],[Industry]], Mean_AE_L, 2, FALSE))/(VLOOKUP(Main_L[[#This Row],[Industry]], Mean_AE_L, 3, FALSE))</f>
        <v>0.32372165226630245</v>
      </c>
      <c r="T51" s="1">
        <f>(Main_L[[#This Row],[P/E]]-VLOOKUP(Main_L[[#This Row],[Industry]], Mean_PE_L, 2, FALSE))/(VLOOKUP(Main_L[[#This Row],[Industry]], Mean_PE_L, 3, FALSE))</f>
        <v>-3.9095598940620618E-2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s="67" t="s">
        <v>107</v>
      </c>
      <c r="B52" s="67" t="s">
        <v>142</v>
      </c>
      <c r="C52" s="2">
        <v>27770</v>
      </c>
      <c r="D52">
        <f>RTD("tos.rtd", , "LAST", Main_L[[#This Row],[Symbol]])</f>
        <v>56.74</v>
      </c>
      <c r="E52">
        <v>5.76</v>
      </c>
      <c r="F52">
        <v>4.24</v>
      </c>
      <c r="G52">
        <v>4.16</v>
      </c>
      <c r="H52" s="1">
        <f>IF(ISNUMBER(Main_L[[#This Row],[Free CF]]),IF(Main_L[[#This Row],[Free CF]]&lt;&gt;0,Main_L[[#This Row],[Current Price]]/Main_L[[#This Row],[Free CF]],""),"")</f>
        <v>9.8506944444444446</v>
      </c>
      <c r="I52" s="1">
        <f>IF(ISNUMBER(Main_L[[#This Row],[BVPS]]),IF(Main_L[[#This Row],[BVPS]]&lt;&gt;0,Main_L[[#This Row],[Current Price]]/Main_L[[#This Row],[BVPS]],""),"")</f>
        <v>13.382075471698114</v>
      </c>
      <c r="J52">
        <v>-410.82</v>
      </c>
      <c r="K52">
        <v>11.68</v>
      </c>
      <c r="L52">
        <v>8.33</v>
      </c>
      <c r="M52" s="1">
        <f>IF(ISNUMBER(Main_L[[#This Row],[EPS]]),IF(Main_L[[#This Row],[EPS]]&lt;&gt;0,Main_L[[#This Row],[Current Price]]/Main_L[[#This Row],[EPS]],""),"")</f>
        <v>13.639423076923077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-0.66306164663927281</v>
      </c>
      <c r="P52" s="1">
        <f>(Main_L[[#This Row],[P/B]]-VLOOKUP(Main_L[[#This Row],[Industry]], Mean_PB_L, 2, FALSE))/(VLOOKUP(Main_L[[#This Row],[Industry]], Mean_PB_L, 3, FALSE))</f>
        <v>14.825167842489165</v>
      </c>
      <c r="Q52" s="1">
        <f>(Main_L[[#This Row],[ROE]]-VLOOKUP(Main_L[[#This Row],[Industry]], Mean_ROE_L, 2, FALSE))/(VLOOKUP(Main_L[[#This Row],[Industry]], Mean_ROE_L, 3, FALSE))</f>
        <v>-57.171413190199402</v>
      </c>
      <c r="R52" s="1">
        <f>(Main_L[[#This Row],[ROA]]-VLOOKUP(Main_L[[#This Row],[Industry]], Mean_ROA_L, 2, FALSE))/(VLOOKUP(Main_L[[#This Row],[Industry]], Mean_ROA_L, 3, FALSE))</f>
        <v>1.8584405720362558</v>
      </c>
      <c r="S52" s="1">
        <f>(Main_L[[#This Row],[A/E]]-VLOOKUP(Main_L[[#This Row],[Industry]], Mean_AE_L, 2, FALSE))/(VLOOKUP(Main_L[[#This Row],[Industry]], Mean_AE_L, 3, FALSE))</f>
        <v>5.8669161674219437</v>
      </c>
      <c r="T52" s="1">
        <f>(Main_L[[#This Row],[P/E]]-VLOOKUP(Main_L[[#This Row],[Industry]], Mean_PE_L, 2, FALSE))/(VLOOKUP(Main_L[[#This Row],[Industry]], Mean_PE_L, 3, FALSE))</f>
        <v>-0.45291434143207088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s="67" t="s">
        <v>107</v>
      </c>
      <c r="B53" s="67" t="s">
        <v>112</v>
      </c>
      <c r="C53" s="2">
        <v>75667</v>
      </c>
      <c r="D53">
        <f>RTD("tos.rtd", , "LAST", Main_L[[#This Row],[Symbol]])</f>
        <v>29.46</v>
      </c>
      <c r="E53">
        <v>0.63</v>
      </c>
      <c r="F53">
        <v>3.69</v>
      </c>
      <c r="G53">
        <v>-7.0000000000000007E-2</v>
      </c>
      <c r="H53" s="1">
        <f>IF(ISNUMBER(Main_L[[#This Row],[Free CF]]),IF(Main_L[[#This Row],[Free CF]]&lt;&gt;0,Main_L[[#This Row],[Current Price]]/Main_L[[#This Row],[Free CF]],""),"")</f>
        <v>46.761904761904766</v>
      </c>
      <c r="I53" s="1">
        <f>IF(ISNUMBER(Main_L[[#This Row],[BVPS]]),IF(Main_L[[#This Row],[BVPS]]&lt;&gt;0,Main_L[[#This Row],[Current Price]]/Main_L[[#This Row],[BVPS]],""),"")</f>
        <v>7.9837398373983746</v>
      </c>
      <c r="J53">
        <v>-0.24</v>
      </c>
      <c r="K53">
        <v>2.0299999999999998</v>
      </c>
      <c r="L53">
        <v>4.83</v>
      </c>
      <c r="M53" s="1">
        <f>IF(ISNUMBER(Main_L[[#This Row],[EPS]]),IF(Main_L[[#This Row],[EPS]]&lt;&gt;0,Main_L[[#This Row],[Current Price]]/Main_L[[#This Row],[EPS]],""),"")</f>
        <v>-420.85714285714283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2.1967520729689713</v>
      </c>
      <c r="P53" s="1">
        <f>(Main_L[[#This Row],[P/B]]-VLOOKUP(Main_L[[#This Row],[Industry]], Mean_PB_L, 2, FALSE))/(VLOOKUP(Main_L[[#This Row],[Industry]], Mean_PB_L, 3, FALSE))</f>
        <v>7.8241569925384375</v>
      </c>
      <c r="Q53" s="1">
        <f>(Main_L[[#This Row],[ROE]]-VLOOKUP(Main_L[[#This Row],[Industry]], Mean_ROE_L, 2, FALSE))/(VLOOKUP(Main_L[[#This Row],[Industry]], Mean_ROE_L, 3, FALSE))</f>
        <v>-1.7436314247958988</v>
      </c>
      <c r="R53" s="1">
        <f>(Main_L[[#This Row],[ROA]]-VLOOKUP(Main_L[[#This Row],[Industry]], Mean_ROA_L, 2, FALSE))/(VLOOKUP(Main_L[[#This Row],[Industry]], Mean_ROA_L, 3, FALSE))</f>
        <v>-1.1465151753969614</v>
      </c>
      <c r="S53" s="1">
        <f>(Main_L[[#This Row],[A/E]]-VLOOKUP(Main_L[[#This Row],[Industry]], Mean_AE_L, 2, FALSE))/(VLOOKUP(Main_L[[#This Row],[Industry]], Mean_AE_L, 3, FALSE))</f>
        <v>2.2939546935647166</v>
      </c>
      <c r="T53" s="1">
        <f>(Main_L[[#This Row],[P/E]]-VLOOKUP(Main_L[[#This Row],[Industry]], Mean_PE_L, 2, FALSE))/(VLOOKUP(Main_L[[#This Row],[Industry]], Mean_PE_L, 3, FALSE))</f>
        <v>-49.883243559765731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4" spans="1:26" x14ac:dyDescent="0.25">
      <c r="A54" s="67" t="s">
        <v>107</v>
      </c>
      <c r="B54" s="67" t="s">
        <v>137</v>
      </c>
      <c r="C54" s="2">
        <v>27998</v>
      </c>
      <c r="D54">
        <f>RTD("tos.rtd", , "LAST", Main_L[[#This Row],[Symbol]])</f>
        <v>15.74</v>
      </c>
      <c r="E54">
        <v>-4.8899999999999997</v>
      </c>
      <c r="F54">
        <v>2.02</v>
      </c>
      <c r="G54">
        <v>0.47</v>
      </c>
      <c r="H54" s="1">
        <f>IF(ISNUMBER(Main_L[[#This Row],[Free CF]]),IF(Main_L[[#This Row],[Free CF]]&lt;&gt;0,Main_L[[#This Row],[Current Price]]/Main_L[[#This Row],[Free CF]],""),"")</f>
        <v>-3.2188139059304706</v>
      </c>
      <c r="I54" s="1">
        <f>IF(ISNUMBER(Main_L[[#This Row],[BVPS]]),IF(Main_L[[#This Row],[BVPS]]&lt;&gt;0,Main_L[[#This Row],[Current Price]]/Main_L[[#This Row],[BVPS]],""),"")</f>
        <v>7.7920792079207919</v>
      </c>
      <c r="J54">
        <v>30.72</v>
      </c>
      <c r="K54">
        <v>3.06</v>
      </c>
      <c r="L54">
        <v>9.23</v>
      </c>
      <c r="M54" s="1">
        <f>IF(ISNUMBER(Main_L[[#This Row],[EPS]]),IF(Main_L[[#This Row],[EPS]]&lt;&gt;0,Main_L[[#This Row],[Current Price]]/Main_L[[#This Row],[EPS]],""),"")</f>
        <v>33.48936170212766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-1.6756634813522446</v>
      </c>
      <c r="P54" s="1">
        <f>(Main_L[[#This Row],[P/B]]-VLOOKUP(Main_L[[#This Row],[Industry]], Mean_PB_L, 2, FALSE))/(VLOOKUP(Main_L[[#This Row],[Industry]], Mean_PB_L, 3, FALSE))</f>
        <v>7.5755955400130786</v>
      </c>
      <c r="Q54" s="1">
        <f>(Main_L[[#This Row],[ROE]]-VLOOKUP(Main_L[[#This Row],[Industry]], Mean_ROE_L, 2, FALSE))/(VLOOKUP(Main_L[[#This Row],[Industry]], Mean_ROE_L, 3, FALSE))</f>
        <v>2.4359294974528529</v>
      </c>
      <c r="R54" s="1">
        <f>(Main_L[[#This Row],[ROA]]-VLOOKUP(Main_L[[#This Row],[Industry]], Mean_ROA_L, 2, FALSE))/(VLOOKUP(Main_L[[#This Row],[Industry]], Mean_ROA_L, 3, FALSE))</f>
        <v>-0.82577896608543655</v>
      </c>
      <c r="S54" s="1">
        <f>(Main_L[[#This Row],[A/E]]-VLOOKUP(Main_L[[#This Row],[Industry]], Mean_AE_L, 2, FALSE))/(VLOOKUP(Main_L[[#This Row],[Industry]], Mean_AE_L, 3, FALSE))</f>
        <v>6.7856776892709458</v>
      </c>
      <c r="T54" s="1">
        <f>(Main_L[[#This Row],[P/E]]-VLOOKUP(Main_L[[#This Row],[Industry]], Mean_PE_L, 2, FALSE))/(VLOOKUP(Main_L[[#This Row],[Industry]], Mean_PE_L, 3, FALSE))</f>
        <v>1.8053060408125006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7" t="s">
        <v>107</v>
      </c>
      <c r="B55" s="67" t="s">
        <v>116</v>
      </c>
      <c r="C55" s="2">
        <v>17413</v>
      </c>
      <c r="D55">
        <f>RTD("tos.rtd", , "LAST", Main_L[[#This Row],[Symbol]])</f>
        <v>8.93</v>
      </c>
      <c r="E55">
        <v>0.14000000000000001</v>
      </c>
      <c r="F55">
        <v>0.45</v>
      </c>
      <c r="G55">
        <v>0.08</v>
      </c>
      <c r="H55" s="1">
        <f>IF(ISNUMBER(Main_L[[#This Row],[Free CF]]),IF(Main_L[[#This Row],[Free CF]]&lt;&gt;0,Main_L[[#This Row],[Current Price]]/Main_L[[#This Row],[Free CF]],""),"")</f>
        <v>63.785714285714278</v>
      </c>
      <c r="I55" s="1">
        <f>IF(ISNUMBER(Main_L[[#This Row],[BVPS]]),IF(Main_L[[#This Row],[BVPS]]&lt;&gt;0,Main_L[[#This Row],[Current Price]]/Main_L[[#This Row],[BVPS]],""),"")</f>
        <v>19.844444444444445</v>
      </c>
      <c r="J55">
        <v>19.11</v>
      </c>
      <c r="K55">
        <v>7.63</v>
      </c>
      <c r="L55">
        <v>3.88</v>
      </c>
      <c r="M55" s="1">
        <f>IF(ISNUMBER(Main_L[[#This Row],[EPS]]),IF(Main_L[[#This Row],[EPS]]&lt;&gt;0,Main_L[[#This Row],[Current Price]]/Main_L[[#This Row],[EPS]],""),"")</f>
        <v>111.625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3.5157260003332067</v>
      </c>
      <c r="P55" s="1">
        <f>(Main_L[[#This Row],[P/B]]-VLOOKUP(Main_L[[#This Row],[Industry]], Mean_PB_L, 2, FALSE))/(VLOOKUP(Main_L[[#This Row],[Industry]], Mean_PB_L, 3, FALSE))</f>
        <v>23.206105664716819</v>
      </c>
      <c r="Q55" s="1">
        <f>(Main_L[[#This Row],[ROE]]-VLOOKUP(Main_L[[#This Row],[Industry]], Mean_ROE_L, 2, FALSE))/(VLOOKUP(Main_L[[#This Row],[Industry]], Mean_ROE_L, 3, FALSE))</f>
        <v>0.86859415160957087</v>
      </c>
      <c r="R55" s="1">
        <f>(Main_L[[#This Row],[ROA]]-VLOOKUP(Main_L[[#This Row],[Industry]], Mean_ROA_L, 2, FALSE))/(VLOOKUP(Main_L[[#This Row],[Industry]], Mean_ROA_L, 3, FALSE))</f>
        <v>0.59729334124822175</v>
      </c>
      <c r="S55" s="1">
        <f>(Main_L[[#This Row],[A/E]]-VLOOKUP(Main_L[[#This Row],[Industry]], Mean_AE_L, 2, FALSE))/(VLOOKUP(Main_L[[#This Row],[Industry]], Mean_AE_L, 3, FALSE))</f>
        <v>1.3241508649463261</v>
      </c>
      <c r="T55" s="1">
        <f>(Main_L[[#This Row],[P/E]]-VLOOKUP(Main_L[[#This Row],[Industry]], Mean_PE_L, 2, FALSE))/(VLOOKUP(Main_L[[#This Row],[Industry]], Mean_PE_L, 3, FALSE))</f>
        <v>10.694375892136854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67"/>
  <sheetViews>
    <sheetView topLeftCell="H1" workbookViewId="0">
      <selection activeCell="B24" sqref="B24"/>
    </sheetView>
  </sheetViews>
  <sheetFormatPr defaultRowHeight="15" x14ac:dyDescent="0.25"/>
  <cols>
    <col min="1" max="1" width="27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106</v>
      </c>
      <c r="B2" s="67" t="s">
        <v>159</v>
      </c>
      <c r="C2" s="2">
        <v>2674</v>
      </c>
      <c r="D2">
        <f>RTD("tos.rtd", , "LAST", Main_M[[#This Row],[Symbol]])</f>
        <v>43.58</v>
      </c>
      <c r="E2">
        <v>1.1299999999999999</v>
      </c>
      <c r="F2">
        <v>31.04</v>
      </c>
      <c r="G2">
        <v>4.29</v>
      </c>
      <c r="H2" s="1">
        <f>IF(ISNUMBER(Main_M[[#This Row],[Free CF]]),IF(Main_M[[#This Row],[Free CF]]&lt;&gt;0,Main_M[[#This Row],[Current Price]]/Main_M[[#This Row],[Free CF]],""),"")</f>
        <v>38.56637168141593</v>
      </c>
      <c r="I2" s="1">
        <f>IF(ISNUMBER(Main_M[[#This Row],[BVPS]]),IF(Main_M[[#This Row],[BVPS]]&lt;&gt;0,Main_M[[#This Row],[Current Price]]/Main_M[[#This Row],[BVPS]],""),"")</f>
        <v>1.4039948453608246</v>
      </c>
      <c r="J2">
        <v>14.38</v>
      </c>
      <c r="K2">
        <v>6.95</v>
      </c>
      <c r="L2">
        <v>1.99</v>
      </c>
      <c r="M2" s="1">
        <f>IF(ISNUMBER(Main_M[[#This Row],[EPS]]),IF(Main_M[[#This Row],[EPS]]&lt;&gt;0,Main_M[[#This Row],[Current Price]]/Main_M[[#This Row],[EPS]],""),"")</f>
        <v>10.158508158508159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1.5990844376760622</v>
      </c>
      <c r="P2" s="1">
        <f>(Main_M[[#This Row],[P/B]]-VLOOKUP(Main_M[[#This Row],[Industry]], Mean_PB_M, 2, FALSE))/(VLOOKUP(Main_M[[#This Row],[Industry]], Mean_PB_M, 3, FALSE))</f>
        <v>-0.71826620639295335</v>
      </c>
      <c r="Q2" s="1">
        <f>(Main_M[[#This Row],[ROE]]-VLOOKUP(Main_M[[#This Row],[Industry]], Mean_ROE_M, 2, FALSE))/(VLOOKUP(Main_M[[#This Row],[Industry]], Mean_ROE_M, 3, FALSE))</f>
        <v>-0.39535419864918109</v>
      </c>
      <c r="R2" s="1">
        <f>(Main_M[[#This Row],[ROA]]-VLOOKUP(Main_M[[#This Row],[Industry]], Mean_ROA_M, 2, FALSE))/(VLOOKUP(Main_M[[#This Row],[Industry]], Mean_ROA_M, 3, FALSE))</f>
        <v>-2.0479096695566339E-2</v>
      </c>
      <c r="S2" s="1">
        <f>(Main_M[[#This Row],[A/E]]-VLOOKUP(Main_M[[#This Row],[Industry]], Mean_AE_M, 2, FALSE))/(VLOOKUP(Main_M[[#This Row],[Industry]], Mean_AE_M, 3, FALSE))</f>
        <v>-0.61005149723223784</v>
      </c>
      <c r="T2" s="1">
        <f>(Main_M[[#This Row],[P/E]]-VLOOKUP(Main_M[[#This Row],[Industry]], Mean_PE_M, 2, FALSE))/(VLOOKUP(Main_M[[#This Row],[Industry]], Mean_PE_M, 3, FALSE))</f>
        <v>-0.70060942588024888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7" t="s">
        <v>106</v>
      </c>
      <c r="B3" s="67" t="s">
        <v>163</v>
      </c>
      <c r="C3" s="2">
        <v>4509</v>
      </c>
      <c r="D3">
        <f>RTD("tos.rtd", , "LAST", Main_M[[#This Row],[Symbol]])</f>
        <v>12.85</v>
      </c>
      <c r="E3">
        <v>2.96</v>
      </c>
      <c r="F3">
        <v>17.03</v>
      </c>
      <c r="G3">
        <v>1.5</v>
      </c>
      <c r="H3" s="1">
        <f>IF(ISNUMBER(Main_M[[#This Row],[Free CF]]),IF(Main_M[[#This Row],[Free CF]]&lt;&gt;0,Main_M[[#This Row],[Current Price]]/Main_M[[#This Row],[Free CF]],""),"")</f>
        <v>4.3412162162162158</v>
      </c>
      <c r="I3" s="1">
        <f>IF(ISNUMBER(Main_M[[#This Row],[BVPS]]),IF(Main_M[[#This Row],[BVPS]]&lt;&gt;0,Main_M[[#This Row],[Current Price]]/Main_M[[#This Row],[BVPS]],""),"")</f>
        <v>0.7545507927187316</v>
      </c>
      <c r="J3">
        <v>9.18</v>
      </c>
      <c r="K3">
        <v>5.46</v>
      </c>
      <c r="L3">
        <v>1.75</v>
      </c>
      <c r="M3" s="1">
        <f>IF(ISNUMBER(Main_M[[#This Row],[EPS]]),IF(Main_M[[#This Row],[EPS]]&lt;&gt;0,Main_M[[#This Row],[Current Price]]/Main_M[[#This Row],[EPS]],""),"")</f>
        <v>8.5666666666666664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-0.97983898142527581</v>
      </c>
      <c r="P3" s="1">
        <f>(Main_M[[#This Row],[P/B]]-VLOOKUP(Main_M[[#This Row],[Industry]], Mean_PB_M, 2, FALSE))/(VLOOKUP(Main_M[[#This Row],[Industry]], Mean_PB_M, 3, FALSE))</f>
        <v>-1.3935285929080417</v>
      </c>
      <c r="Q3" s="1">
        <f>(Main_M[[#This Row],[ROE]]-VLOOKUP(Main_M[[#This Row],[Industry]], Mean_ROE_M, 2, FALSE))/(VLOOKUP(Main_M[[#This Row],[Industry]], Mean_ROE_M, 3, FALSE))</f>
        <v>-0.51227965481160076</v>
      </c>
      <c r="R3" s="1">
        <f>(Main_M[[#This Row],[ROA]]-VLOOKUP(Main_M[[#This Row],[Industry]], Mean_ROA_M, 2, FALSE))/(VLOOKUP(Main_M[[#This Row],[Industry]], Mean_ROA_M, 3, FALSE))</f>
        <v>-0.66287602461965511</v>
      </c>
      <c r="S3" s="1">
        <f>(Main_M[[#This Row],[A/E]]-VLOOKUP(Main_M[[#This Row],[Industry]], Mean_AE_M, 2, FALSE))/(VLOOKUP(Main_M[[#This Row],[Industry]], Mean_AE_M, 3, FALSE))</f>
        <v>-0.82571618365149058</v>
      </c>
      <c r="T3" s="1">
        <f>(Main_M[[#This Row],[P/E]]-VLOOKUP(Main_M[[#This Row],[Industry]], Mean_PE_M, 2, FALSE))/(VLOOKUP(Main_M[[#This Row],[Industry]], Mean_PE_M, 3, FALSE))</f>
        <v>-0.78524581318032238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s="67" t="s">
        <v>106</v>
      </c>
      <c r="B4" s="67" t="s">
        <v>165</v>
      </c>
      <c r="C4" s="2">
        <v>2807</v>
      </c>
      <c r="D4">
        <f>RTD("tos.rtd", , "LAST", Main_M[[#This Row],[Symbol]])</f>
        <v>45.67</v>
      </c>
      <c r="E4">
        <v>3.43</v>
      </c>
      <c r="F4">
        <v>16.2</v>
      </c>
      <c r="G4">
        <v>2.83</v>
      </c>
      <c r="H4" s="1">
        <f>IF(ISNUMBER(Main_M[[#This Row],[Free CF]]),IF(Main_M[[#This Row],[Free CF]]&lt;&gt;0,Main_M[[#This Row],[Current Price]]/Main_M[[#This Row],[Free CF]],""),"")</f>
        <v>13.314868804664723</v>
      </c>
      <c r="I4" s="1">
        <f>IF(ISNUMBER(Main_M[[#This Row],[BVPS]]),IF(Main_M[[#This Row],[BVPS]]&lt;&gt;0,Main_M[[#This Row],[Current Price]]/Main_M[[#This Row],[BVPS]],""),"")</f>
        <v>2.8191358024691362</v>
      </c>
      <c r="J4">
        <v>19.7</v>
      </c>
      <c r="K4">
        <v>11.16</v>
      </c>
      <c r="L4">
        <v>1.6</v>
      </c>
      <c r="M4" s="1">
        <f>IF(ISNUMBER(Main_M[[#This Row],[EPS]]),IF(Main_M[[#This Row],[EPS]]&lt;&gt;0,Main_M[[#This Row],[Current Price]]/Main_M[[#This Row],[EPS]],""),"")</f>
        <v>16.137809187279153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-0.30365906344768029</v>
      </c>
      <c r="P4" s="1">
        <f>(Main_M[[#This Row],[P/B]]-VLOOKUP(Main_M[[#This Row],[Industry]], Mean_PB_M, 2, FALSE))/(VLOOKUP(Main_M[[#This Row],[Industry]], Mean_PB_M, 3, FALSE))</f>
        <v>0.75313299429974856</v>
      </c>
      <c r="Q4" s="1">
        <f>(Main_M[[#This Row],[ROE]]-VLOOKUP(Main_M[[#This Row],[Industry]], Mean_ROE_M, 2, FALSE))/(VLOOKUP(Main_M[[#This Row],[Industry]], Mean_ROE_M, 3, FALSE))</f>
        <v>-0.27573046272916729</v>
      </c>
      <c r="R4" s="1">
        <f>(Main_M[[#This Row],[ROA]]-VLOOKUP(Main_M[[#This Row],[Industry]], Mean_ROA_M, 2, FALSE))/(VLOOKUP(Main_M[[#This Row],[Industry]], Mean_ROA_M, 3, FALSE))</f>
        <v>1.7946155788483351</v>
      </c>
      <c r="S4" s="1">
        <f>(Main_M[[#This Row],[A/E]]-VLOOKUP(Main_M[[#This Row],[Industry]], Mean_AE_M, 2, FALSE))/(VLOOKUP(Main_M[[#This Row],[Industry]], Mean_AE_M, 3, FALSE))</f>
        <v>-0.96050661266352344</v>
      </c>
      <c r="T4" s="1">
        <f>(Main_M[[#This Row],[P/E]]-VLOOKUP(Main_M[[#This Row],[Industry]], Mean_PE_M, 2, FALSE))/(VLOOKUP(Main_M[[#This Row],[Industry]], Mean_PE_M, 3, FALSE))</f>
        <v>-0.38269684460348147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7" t="s">
        <v>106</v>
      </c>
      <c r="B5" s="67" t="s">
        <v>162</v>
      </c>
      <c r="C5" s="2">
        <v>3102</v>
      </c>
      <c r="D5">
        <f>RTD("tos.rtd", , "LAST", Main_M[[#This Row],[Symbol]])</f>
        <v>35.049999999999997</v>
      </c>
      <c r="E5">
        <v>0.42</v>
      </c>
      <c r="F5">
        <v>15.3</v>
      </c>
      <c r="G5">
        <v>0.54</v>
      </c>
      <c r="H5" s="1">
        <f>IF(ISNUMBER(Main_M[[#This Row],[Free CF]]),IF(Main_M[[#This Row],[Free CF]]&lt;&gt;0,Main_M[[#This Row],[Current Price]]/Main_M[[#This Row],[Free CF]],""),"")</f>
        <v>83.452380952380949</v>
      </c>
      <c r="I5" s="1">
        <f>IF(ISNUMBER(Main_M[[#This Row],[BVPS]]),IF(Main_M[[#This Row],[BVPS]]&lt;&gt;0,Main_M[[#This Row],[Current Price]]/Main_M[[#This Row],[BVPS]],""),"")</f>
        <v>2.2908496732026142</v>
      </c>
      <c r="J5">
        <v>4.09</v>
      </c>
      <c r="K5">
        <v>6.11</v>
      </c>
      <c r="L5">
        <v>3.3</v>
      </c>
      <c r="M5" s="1">
        <f>IF(ISNUMBER(Main_M[[#This Row],[EPS]]),IF(Main_M[[#This Row],[EPS]]&lt;&gt;0,Main_M[[#This Row],[Current Price]]/Main_M[[#This Row],[EPS]],""),"")</f>
        <v>64.907407407407405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4.9813212434838334</v>
      </c>
      <c r="P5" s="1">
        <f>(Main_M[[#This Row],[P/B]]-VLOOKUP(Main_M[[#This Row],[Industry]], Mean_PB_M, 2, FALSE))/(VLOOKUP(Main_M[[#This Row],[Industry]], Mean_PB_M, 3, FALSE))</f>
        <v>0.20384510574328193</v>
      </c>
      <c r="Q5" s="1">
        <f>(Main_M[[#This Row],[ROE]]-VLOOKUP(Main_M[[#This Row],[Industry]], Mean_ROE_M, 2, FALSE))/(VLOOKUP(Main_M[[#This Row],[Industry]], Mean_ROE_M, 3, FALSE))</f>
        <v>-0.62673168786289224</v>
      </c>
      <c r="R5" s="1">
        <f>(Main_M[[#This Row],[ROA]]-VLOOKUP(Main_M[[#This Row],[Industry]], Mean_ROA_M, 2, FALSE))/(VLOOKUP(Main_M[[#This Row],[Industry]], Mean_ROA_M, 3, FALSE))</f>
        <v>-0.38263575404874378</v>
      </c>
      <c r="S5" s="1">
        <f>(Main_M[[#This Row],[A/E]]-VLOOKUP(Main_M[[#This Row],[Industry]], Mean_AE_M, 2, FALSE))/(VLOOKUP(Main_M[[#This Row],[Industry]], Mean_AE_M, 3, FALSE))</f>
        <v>0.56711824947284983</v>
      </c>
      <c r="T5" s="1">
        <f>(Main_M[[#This Row],[P/E]]-VLOOKUP(Main_M[[#This Row],[Industry]], Mean_PE_M, 2, FALSE))/(VLOOKUP(Main_M[[#This Row],[Industry]], Mean_PE_M, 3, FALSE))</f>
        <v>2.2103267853137862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106</v>
      </c>
      <c r="B6" s="67" t="s">
        <v>306</v>
      </c>
      <c r="C6" s="2">
        <v>2536</v>
      </c>
      <c r="D6">
        <f>RTD("tos.rtd", , "LAST", Main_M[[#This Row],[Symbol]])</f>
        <v>120.45</v>
      </c>
      <c r="E6">
        <v>3.01</v>
      </c>
      <c r="F6">
        <v>15.14</v>
      </c>
      <c r="G6">
        <v>2.8</v>
      </c>
      <c r="H6" s="1">
        <f>IF(ISNUMBER(Main_M[[#This Row],[Free CF]]),IF(Main_M[[#This Row],[Free CF]]&lt;&gt;0,Main_M[[#This Row],[Current Price]]/Main_M[[#This Row],[Free CF]],""),"")</f>
        <v>40.016611295681066</v>
      </c>
      <c r="I6" s="1">
        <f>IF(ISNUMBER(Main_M[[#This Row],[BVPS]]),IF(Main_M[[#This Row],[BVPS]]&lt;&gt;0,Main_M[[#This Row],[Current Price]]/Main_M[[#This Row],[BVPS]],""),"")</f>
        <v>7.9557463672391018</v>
      </c>
      <c r="J6">
        <v>24.68</v>
      </c>
      <c r="K6">
        <v>5.92</v>
      </c>
      <c r="L6">
        <v>4.68</v>
      </c>
      <c r="M6" s="1">
        <f>IF(ISNUMBER(Main_M[[#This Row],[EPS]]),IF(Main_M[[#This Row],[EPS]]&lt;&gt;0,Main_M[[#This Row],[Current Price]]/Main_M[[#This Row],[EPS]],""),"")</f>
        <v>43.017857142857146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1.7083624483585778</v>
      </c>
      <c r="P6" s="1">
        <f>(Main_M[[#This Row],[P/B]]-VLOOKUP(Main_M[[#This Row],[Industry]], Mean_PB_M, 2, FALSE))/(VLOOKUP(Main_M[[#This Row],[Industry]], Mean_PB_M, 3, FALSE))</f>
        <v>6.0939470250915555</v>
      </c>
      <c r="Q6" s="1">
        <f>(Main_M[[#This Row],[ROE]]-VLOOKUP(Main_M[[#This Row],[Industry]], Mean_ROE_M, 2, FALSE))/(VLOOKUP(Main_M[[#This Row],[Industry]], Mean_ROE_M, 3, FALSE))</f>
        <v>-0.16375185278900392</v>
      </c>
      <c r="R6" s="1">
        <f>(Main_M[[#This Row],[ROA]]-VLOOKUP(Main_M[[#This Row],[Industry]], Mean_ROA_M, 2, FALSE))/(VLOOKUP(Main_M[[#This Row],[Industry]], Mean_ROA_M, 3, FALSE))</f>
        <v>-0.46455214083101026</v>
      </c>
      <c r="S6" s="1">
        <f>(Main_M[[#This Row],[A/E]]-VLOOKUP(Main_M[[#This Row],[Industry]], Mean_AE_M, 2, FALSE))/(VLOOKUP(Main_M[[#This Row],[Industry]], Mean_AE_M, 3, FALSE))</f>
        <v>1.807190196383553</v>
      </c>
      <c r="T6" s="1">
        <f>(Main_M[[#This Row],[P/E]]-VLOOKUP(Main_M[[#This Row],[Industry]], Mean_PE_M, 2, FALSE))/(VLOOKUP(Main_M[[#This Row],[Industry]], Mean_PE_M, 3, FALSE))</f>
        <v>1.0464844910212225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106</v>
      </c>
      <c r="B7" s="67" t="s">
        <v>307</v>
      </c>
      <c r="C7" s="2">
        <v>6725</v>
      </c>
      <c r="D7">
        <f>RTD("tos.rtd", , "LAST", Main_M[[#This Row],[Symbol]])</f>
        <v>39.151000000000003</v>
      </c>
      <c r="E7">
        <v>5.78</v>
      </c>
      <c r="F7">
        <v>13.34</v>
      </c>
      <c r="G7">
        <v>2.41</v>
      </c>
      <c r="H7" s="1">
        <f>IF(ISNUMBER(Main_M[[#This Row],[Free CF]]),IF(Main_M[[#This Row],[Free CF]]&lt;&gt;0,Main_M[[#This Row],[Current Price]]/Main_M[[#This Row],[Free CF]],""),"")</f>
        <v>6.7735294117647058</v>
      </c>
      <c r="I7" s="1">
        <f>IF(ISNUMBER(Main_M[[#This Row],[BVPS]]),IF(Main_M[[#This Row],[BVPS]]&lt;&gt;0,Main_M[[#This Row],[Current Price]]/Main_M[[#This Row],[BVPS]],""),"")</f>
        <v>2.9348575712143932</v>
      </c>
      <c r="J7">
        <v>19.82</v>
      </c>
      <c r="K7">
        <v>3.15</v>
      </c>
      <c r="L7">
        <v>4.25</v>
      </c>
      <c r="M7" s="1">
        <f>IF(ISNUMBER(Main_M[[#This Row],[EPS]]),IF(Main_M[[#This Row],[EPS]]&lt;&gt;0,Main_M[[#This Row],[Current Price]]/Main_M[[#This Row],[EPS]],""),"")</f>
        <v>16.245228215767636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-0.79656006340933361</v>
      </c>
      <c r="P7" s="1">
        <f>(Main_M[[#This Row],[P/B]]-VLOOKUP(Main_M[[#This Row],[Industry]], Mean_PB_M, 2, FALSE))/(VLOOKUP(Main_M[[#This Row],[Industry]], Mean_PB_M, 3, FALSE))</f>
        <v>0.87345522593273817</v>
      </c>
      <c r="Q7" s="1">
        <f>(Main_M[[#This Row],[ROE]]-VLOOKUP(Main_M[[#This Row],[Industry]], Mean_ROE_M, 2, FALSE))/(VLOOKUP(Main_M[[#This Row],[Industry]], Mean_ROE_M, 3, FALSE))</f>
        <v>-0.273032182971573</v>
      </c>
      <c r="R7" s="1">
        <f>(Main_M[[#This Row],[ROA]]-VLOOKUP(Main_M[[#This Row],[Industry]], Mean_ROA_M, 2, FALSE))/(VLOOKUP(Main_M[[#This Row],[Industry]], Mean_ROA_M, 3, FALSE))</f>
        <v>-1.6588068323408931</v>
      </c>
      <c r="S7" s="1">
        <f>(Main_M[[#This Row],[A/E]]-VLOOKUP(Main_M[[#This Row],[Industry]], Mean_AE_M, 2, FALSE))/(VLOOKUP(Main_M[[#This Row],[Industry]], Mean_AE_M, 3, FALSE))</f>
        <v>1.4207909665490588</v>
      </c>
      <c r="T7" s="1">
        <f>(Main_M[[#This Row],[P/E]]-VLOOKUP(Main_M[[#This Row],[Industry]], Mean_PE_M, 2, FALSE))/(VLOOKUP(Main_M[[#This Row],[Industry]], Mean_PE_M, 3, FALSE))</f>
        <v>-0.3769854979994729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106</v>
      </c>
      <c r="B8" s="67" t="s">
        <v>161</v>
      </c>
      <c r="C8" s="2">
        <v>4608</v>
      </c>
      <c r="D8">
        <f>RTD("tos.rtd", , "LAST", Main_M[[#This Row],[Symbol]])</f>
        <v>25.1</v>
      </c>
      <c r="E8">
        <v>1.8</v>
      </c>
      <c r="F8">
        <v>10.01</v>
      </c>
      <c r="G8">
        <v>1.51</v>
      </c>
      <c r="H8" s="1">
        <f>IF(ISNUMBER(Main_M[[#This Row],[Free CF]]),IF(Main_M[[#This Row],[Free CF]]&lt;&gt;0,Main_M[[#This Row],[Current Price]]/Main_M[[#This Row],[Free CF]],""),"")</f>
        <v>13.944444444444445</v>
      </c>
      <c r="I8" s="1">
        <f>IF(ISNUMBER(Main_M[[#This Row],[BVPS]]),IF(Main_M[[#This Row],[BVPS]]&lt;&gt;0,Main_M[[#This Row],[Current Price]]/Main_M[[#This Row],[BVPS]],""),"")</f>
        <v>2.5074925074925076</v>
      </c>
      <c r="J8">
        <v>16.829999999999998</v>
      </c>
      <c r="K8">
        <v>9.44</v>
      </c>
      <c r="L8">
        <v>1.83</v>
      </c>
      <c r="M8" s="1">
        <f>IF(ISNUMBER(Main_M[[#This Row],[EPS]]),IF(Main_M[[#This Row],[EPS]]&lt;&gt;0,Main_M[[#This Row],[Current Price]]/Main_M[[#This Row],[EPS]],""),"")</f>
        <v>16.622516556291391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-0.25621947290514668</v>
      </c>
      <c r="P8" s="1">
        <f>(Main_M[[#This Row],[P/B]]-VLOOKUP(Main_M[[#This Row],[Industry]], Mean_PB_M, 2, FALSE))/(VLOOKUP(Main_M[[#This Row],[Industry]], Mean_PB_M, 3, FALSE))</f>
        <v>0.42910047101892129</v>
      </c>
      <c r="Q8" s="1">
        <f>(Main_M[[#This Row],[ROE]]-VLOOKUP(Main_M[[#This Row],[Industry]], Mean_ROE_M, 2, FALSE))/(VLOOKUP(Main_M[[#This Row],[Industry]], Mean_ROE_M, 3, FALSE))</f>
        <v>-0.34026432026496428</v>
      </c>
      <c r="R8" s="1">
        <f>(Main_M[[#This Row],[ROA]]-VLOOKUP(Main_M[[#This Row],[Industry]], Mean_ROA_M, 2, FALSE))/(VLOOKUP(Main_M[[#This Row],[Industry]], Mean_ROA_M, 3, FALSE))</f>
        <v>1.0530567090299239</v>
      </c>
      <c r="S8" s="1">
        <f>(Main_M[[#This Row],[A/E]]-VLOOKUP(Main_M[[#This Row],[Industry]], Mean_AE_M, 2, FALSE))/(VLOOKUP(Main_M[[#This Row],[Industry]], Mean_AE_M, 3, FALSE))</f>
        <v>-0.75382795484507292</v>
      </c>
      <c r="T8" s="1">
        <f>(Main_M[[#This Row],[P/E]]-VLOOKUP(Main_M[[#This Row],[Industry]], Mean_PE_M, 2, FALSE))/(VLOOKUP(Main_M[[#This Row],[Industry]], Mean_PE_M, 3, FALSE))</f>
        <v>-0.35692550944154794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7" t="s">
        <v>106</v>
      </c>
      <c r="B9" s="67" t="s">
        <v>158</v>
      </c>
      <c r="C9" s="2">
        <v>2131</v>
      </c>
      <c r="D9">
        <f>RTD("tos.rtd", , "LAST", Main_M[[#This Row],[Symbol]])</f>
        <v>5.93</v>
      </c>
      <c r="E9">
        <v>1.03</v>
      </c>
      <c r="F9">
        <v>8.8800000000000008</v>
      </c>
      <c r="G9">
        <v>-2.61</v>
      </c>
      <c r="H9" s="1">
        <f>IF(ISNUMBER(Main_M[[#This Row],[Free CF]]),IF(Main_M[[#This Row],[Free CF]]&lt;&gt;0,Main_M[[#This Row],[Current Price]]/Main_M[[#This Row],[Free CF]],""),"")</f>
        <v>5.7572815533980579</v>
      </c>
      <c r="I9" s="1">
        <f>IF(ISNUMBER(Main_M[[#This Row],[BVPS]]),IF(Main_M[[#This Row],[BVPS]]&lt;&gt;0,Main_M[[#This Row],[Current Price]]/Main_M[[#This Row],[BVPS]],""),"")</f>
        <v>0.66779279279279269</v>
      </c>
      <c r="J9">
        <v>-24.84</v>
      </c>
      <c r="K9">
        <v>0.57999999999999996</v>
      </c>
      <c r="L9">
        <v>1.68</v>
      </c>
      <c r="M9" s="1">
        <f>IF(ISNUMBER(Main_M[[#This Row],[EPS]]),IF(Main_M[[#This Row],[EPS]]&lt;&gt;0,Main_M[[#This Row],[Current Price]]/Main_M[[#This Row],[EPS]],""),"")</f>
        <v>-2.2720306513409962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-0.87313606038963054</v>
      </c>
      <c r="P9" s="1">
        <f>(Main_M[[#This Row],[P/B]]-VLOOKUP(Main_M[[#This Row],[Industry]], Mean_PB_M, 2, FALSE))/(VLOOKUP(Main_M[[#This Row],[Industry]], Mean_PB_M, 3, FALSE))</f>
        <v>-1.4837356151156207</v>
      </c>
      <c r="Q9" s="1">
        <f>(Main_M[[#This Row],[ROE]]-VLOOKUP(Main_M[[#This Row],[Industry]], Mean_ROE_M, 2, FALSE))/(VLOOKUP(Main_M[[#This Row],[Industry]], Mean_ROE_M, 3, FALSE))</f>
        <v>-1.2772419660895842</v>
      </c>
      <c r="R9" s="1">
        <f>(Main_M[[#This Row],[ROA]]-VLOOKUP(Main_M[[#This Row],[Industry]], Mean_ROA_M, 2, FALSE))/(VLOOKUP(Main_M[[#This Row],[Industry]], Mean_ROA_M, 3, FALSE))</f>
        <v>-2.7668337482904959</v>
      </c>
      <c r="S9" s="1">
        <f>(Main_M[[#This Row],[A/E]]-VLOOKUP(Main_M[[#This Row],[Industry]], Mean_AE_M, 2, FALSE))/(VLOOKUP(Main_M[[#This Row],[Industry]], Mean_AE_M, 3, FALSE))</f>
        <v>-0.88861838385710601</v>
      </c>
      <c r="T9" s="1">
        <f>(Main_M[[#This Row],[P/E]]-VLOOKUP(Main_M[[#This Row],[Industry]], Mean_PE_M, 2, FALSE))/(VLOOKUP(Main_M[[#This Row],[Industry]], Mean_PE_M, 3, FALSE))</f>
        <v>-1.3615269245452146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s="67" t="s">
        <v>106</v>
      </c>
      <c r="B10" s="67" t="s">
        <v>160</v>
      </c>
      <c r="C10" s="2">
        <v>4403</v>
      </c>
      <c r="D10">
        <f>RTD("tos.rtd", , "LAST", Main_M[[#This Row],[Symbol]])</f>
        <v>25.99</v>
      </c>
      <c r="E10">
        <v>-0.12</v>
      </c>
      <c r="F10">
        <v>7.69</v>
      </c>
      <c r="G10">
        <v>1.2</v>
      </c>
      <c r="H10" s="1">
        <f>IF(ISNUMBER(Main_M[[#This Row],[Free CF]]),IF(Main_M[[#This Row],[Free CF]]&lt;&gt;0,Main_M[[#This Row],[Current Price]]/Main_M[[#This Row],[Free CF]],""),"")</f>
        <v>-216.58333333333331</v>
      </c>
      <c r="I10" s="1">
        <f>IF(ISNUMBER(Main_M[[#This Row],[BVPS]]),IF(Main_M[[#This Row],[BVPS]]&lt;&gt;0,Main_M[[#This Row],[Current Price]]/Main_M[[#This Row],[BVPS]],""),"")</f>
        <v>3.379713914174252</v>
      </c>
      <c r="J10">
        <v>18.149999999999999</v>
      </c>
      <c r="K10">
        <v>7.79</v>
      </c>
      <c r="L10">
        <v>2.94</v>
      </c>
      <c r="M10" s="1">
        <f>IF(ISNUMBER(Main_M[[#This Row],[EPS]]),IF(Main_M[[#This Row],[EPS]]&lt;&gt;0,Main_M[[#This Row],[Current Price]]/Main_M[[#This Row],[EPS]],""),"")</f>
        <v>21.658333333333331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-17.626877890191341</v>
      </c>
      <c r="P10" s="1">
        <f>(Main_M[[#This Row],[P/B]]-VLOOKUP(Main_M[[#This Row],[Industry]], Mean_PB_M, 2, FALSE))/(VLOOKUP(Main_M[[#This Row],[Industry]], Mean_PB_M, 3, FALSE))</f>
        <v>1.3359966174219227</v>
      </c>
      <c r="Q10" s="1">
        <f>(Main_M[[#This Row],[ROE]]-VLOOKUP(Main_M[[#This Row],[Industry]], Mean_ROE_M, 2, FALSE))/(VLOOKUP(Main_M[[#This Row],[Industry]], Mean_ROE_M, 3, FALSE))</f>
        <v>-0.31058324293142697</v>
      </c>
      <c r="R10" s="1">
        <f>(Main_M[[#This Row],[ROA]]-VLOOKUP(Main_M[[#This Row],[Industry]], Mean_ROA_M, 2, FALSE))/(VLOOKUP(Main_M[[#This Row],[Industry]], Mean_ROA_M, 3, FALSE))</f>
        <v>0.34167756065761107</v>
      </c>
      <c r="S10" s="1">
        <f>(Main_M[[#This Row],[A/E]]-VLOOKUP(Main_M[[#This Row],[Industry]], Mean_AE_M, 2, FALSE))/(VLOOKUP(Main_M[[#This Row],[Industry]], Mean_AE_M, 3, FALSE))</f>
        <v>0.24362121984397087</v>
      </c>
      <c r="T10" s="1">
        <f>(Main_M[[#This Row],[P/E]]-VLOOKUP(Main_M[[#This Row],[Industry]], Mean_PE_M, 2, FALSE))/(VLOOKUP(Main_M[[#This Row],[Industry]], Mean_PE_M, 3, FALSE))</f>
        <v>-8.9176904257955103E-2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7" t="s">
        <v>106</v>
      </c>
      <c r="B11" s="67" t="s">
        <v>164</v>
      </c>
      <c r="C11" s="2">
        <v>2963</v>
      </c>
      <c r="D11">
        <f>RTD("tos.rtd", , "LAST", Main_M[[#This Row],[Symbol]])</f>
        <v>25.67</v>
      </c>
      <c r="E11">
        <v>1.6</v>
      </c>
      <c r="F11">
        <v>-1.54</v>
      </c>
      <c r="G11">
        <v>0.67</v>
      </c>
      <c r="H11" s="1">
        <f>IF(ISNUMBER(Main_M[[#This Row],[Free CF]]),IF(Main_M[[#This Row],[Free CF]]&lt;&gt;0,Main_M[[#This Row],[Current Price]]/Main_M[[#This Row],[Free CF]],""),"")</f>
        <v>16.043749999999999</v>
      </c>
      <c r="I11" s="1">
        <f>IF(ISNUMBER(Main_M[[#This Row],[BVPS]]),IF(Main_M[[#This Row],[BVPS]]&lt;&gt;0,Main_M[[#This Row],[Current Price]]/Main_M[[#This Row],[BVPS]],""),"")</f>
        <v>-16.668831168831169</v>
      </c>
      <c r="J11">
        <v>148.57</v>
      </c>
      <c r="K11">
        <v>7.11</v>
      </c>
      <c r="L11">
        <v>-15.01</v>
      </c>
      <c r="M11" s="1">
        <f>IF(ISNUMBER(Main_M[[#This Row],[EPS]]),IF(Main_M[[#This Row],[EPS]]&lt;&gt;0,Main_M[[#This Row],[Current Price]]/Main_M[[#This Row],[EPS]],""),"")</f>
        <v>38.313432835820898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-9.8033244457574206E-2</v>
      </c>
      <c r="P11" s="1">
        <f>(Main_M[[#This Row],[P/B]]-VLOOKUP(Main_M[[#This Row],[Industry]], Mean_PB_M, 2, FALSE))/(VLOOKUP(Main_M[[#This Row],[Industry]], Mean_PB_M, 3, FALSE))</f>
        <v>-19.509568668501718</v>
      </c>
      <c r="Q11" s="1">
        <f>(Main_M[[#This Row],[ROE]]-VLOOKUP(Main_M[[#This Row],[Industry]], Mean_ROE_M, 2, FALSE))/(VLOOKUP(Main_M[[#This Row],[Industry]], Mean_ROE_M, 3, FALSE))</f>
        <v>2.6219971402806421</v>
      </c>
      <c r="R11" s="1">
        <f>(Main_M[[#This Row],[ROA]]-VLOOKUP(Main_M[[#This Row],[Industry]], Mean_ROA_M, 2, FALSE))/(VLOOKUP(Main_M[[#This Row],[Industry]], Mean_ROA_M, 3, FALSE))</f>
        <v>4.8503123752658008E-2</v>
      </c>
      <c r="S11" s="1">
        <f>(Main_M[[#This Row],[A/E]]-VLOOKUP(Main_M[[#This Row],[Industry]], Mean_AE_M, 2, FALSE))/(VLOOKUP(Main_M[[#This Row],[Industry]], Mean_AE_M, 3, FALSE))</f>
        <v>-15.886300118595972</v>
      </c>
      <c r="T11" s="1">
        <f>(Main_M[[#This Row],[P/E]]-VLOOKUP(Main_M[[#This Row],[Industry]], Mean_PE_M, 2, FALSE))/(VLOOKUP(Main_M[[#This Row],[Industry]], Mean_PE_M, 3, FALSE))</f>
        <v>0.79635564357323396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107</v>
      </c>
      <c r="B12" s="67" t="s">
        <v>167</v>
      </c>
      <c r="C12" s="2">
        <v>5198</v>
      </c>
      <c r="D12">
        <f>RTD("tos.rtd", , "LAST", Main_M[[#This Row],[Symbol]])</f>
        <v>97.49</v>
      </c>
      <c r="E12">
        <v>19.21</v>
      </c>
      <c r="F12">
        <v>148.09</v>
      </c>
      <c r="G12">
        <v>15.19</v>
      </c>
      <c r="H12" s="1">
        <f>IF(ISNUMBER(Main_M[[#This Row],[Free CF]]),IF(Main_M[[#This Row],[Free CF]]&lt;&gt;0,Main_M[[#This Row],[Current Price]]/Main_M[[#This Row],[Free CF]],""),"")</f>
        <v>5.0749609578344606</v>
      </c>
      <c r="I12" s="1">
        <f>IF(ISNUMBER(Main_M[[#This Row],[BVPS]]),IF(Main_M[[#This Row],[BVPS]]&lt;&gt;0,Main_M[[#This Row],[Current Price]]/Main_M[[#This Row],[BVPS]],""),"")</f>
        <v>0.65831588898642712</v>
      </c>
      <c r="J12">
        <v>12.69</v>
      </c>
      <c r="K12">
        <v>7.82</v>
      </c>
      <c r="L12">
        <v>1.52</v>
      </c>
      <c r="M12" s="1">
        <f>IF(ISNUMBER(Main_M[[#This Row],[EPS]]),IF(Main_M[[#This Row],[EPS]]&lt;&gt;0,Main_M[[#This Row],[Current Price]]/Main_M[[#This Row],[EPS]],""),"")</f>
        <v>6.4180381830151418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2" s="1">
        <f>(Main_M[[#This Row],[P/FCF]]-VLOOKUP(Main_M[[#This Row],[Industry]], Mean_PFCF_M, 2, FALSE))/(VLOOKUP(Main_M[[#This Row],[Industry]], Mean_PFCF_M, 3, FALSE))</f>
        <v>-0.20931207543423755</v>
      </c>
      <c r="P12" s="1">
        <f>(Main_M[[#This Row],[P/B]]-VLOOKUP(Main_M[[#This Row],[Industry]], Mean_PB_M, 2, FALSE))/(VLOOKUP(Main_M[[#This Row],[Industry]], Mean_PB_M, 3, FALSE))</f>
        <v>-0.95573721138177492</v>
      </c>
      <c r="Q12" s="1">
        <f>(Main_M[[#This Row],[ROE]]-VLOOKUP(Main_M[[#This Row],[Industry]], Mean_ROE_M, 2, FALSE))/(VLOOKUP(Main_M[[#This Row],[Industry]], Mean_ROE_M, 3, FALSE))</f>
        <v>-0.16036664097820449</v>
      </c>
      <c r="R12" s="1">
        <f>(Main_M[[#This Row],[ROA]]-VLOOKUP(Main_M[[#This Row],[Industry]], Mean_ROA_M, 2, FALSE))/(VLOOKUP(Main_M[[#This Row],[Industry]], Mean_ROA_M, 3, FALSE))</f>
        <v>0.54152031155065583</v>
      </c>
      <c r="S12" s="1">
        <f>(Main_M[[#This Row],[A/E]]-VLOOKUP(Main_M[[#This Row],[Industry]], Mean_AE_M, 2, FALSE))/(VLOOKUP(Main_M[[#This Row],[Industry]], Mean_AE_M, 3, FALSE))</f>
        <v>-0.81336725862549786</v>
      </c>
      <c r="T12" s="1">
        <f>(Main_M[[#This Row],[P/E]]-VLOOKUP(Main_M[[#This Row],[Industry]], Mean_PE_M, 2, FALSE))/(VLOOKUP(Main_M[[#This Row],[Industry]], Mean_PE_M, 3, FALSE))</f>
        <v>-0.25242798966478036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7" t="s">
        <v>107</v>
      </c>
      <c r="B13" s="67" t="s">
        <v>303</v>
      </c>
      <c r="C13" s="2">
        <v>3275</v>
      </c>
      <c r="D13">
        <f>RTD("tos.rtd", , "LAST", Main_M[[#This Row],[Symbol]])</f>
        <v>18.295000000000002</v>
      </c>
      <c r="E13">
        <v>42.16</v>
      </c>
      <c r="F13">
        <v>117.56</v>
      </c>
      <c r="G13">
        <v>15.65</v>
      </c>
      <c r="H13" s="1">
        <f>IF(ISNUMBER(Main_M[[#This Row],[Free CF]]),IF(Main_M[[#This Row],[Free CF]]&lt;&gt;0,Main_M[[#This Row],[Current Price]]/Main_M[[#This Row],[Free CF]],""),"")</f>
        <v>0.43394212523719172</v>
      </c>
      <c r="I13" s="1">
        <f>IF(ISNUMBER(Main_M[[#This Row],[BVPS]]),IF(Main_M[[#This Row],[BVPS]]&lt;&gt;0,Main_M[[#This Row],[Current Price]]/Main_M[[#This Row],[BVPS]],""),"")</f>
        <v>0.15562266076896905</v>
      </c>
      <c r="J13">
        <v>11.14</v>
      </c>
      <c r="K13">
        <v>6.74</v>
      </c>
      <c r="L13">
        <v>6.12</v>
      </c>
      <c r="M13" s="1">
        <f>IF(ISNUMBER(Main_M[[#This Row],[EPS]]),IF(Main_M[[#This Row],[EPS]]&lt;&gt;0,Main_M[[#This Row],[Current Price]]/Main_M[[#This Row],[EPS]],""),"")</f>
        <v>1.1690095846645367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-0.66396354427117121</v>
      </c>
      <c r="P13" s="1">
        <f>(Main_M[[#This Row],[P/B]]-VLOOKUP(Main_M[[#This Row],[Industry]], Mean_PB_M, 2, FALSE))/(VLOOKUP(Main_M[[#This Row],[Industry]], Mean_PB_M, 3, FALSE))</f>
        <v>-1.3574779045616208</v>
      </c>
      <c r="Q13" s="1">
        <f>(Main_M[[#This Row],[ROE]]-VLOOKUP(Main_M[[#This Row],[Industry]], Mean_ROE_M, 2, FALSE))/(VLOOKUP(Main_M[[#This Row],[Industry]], Mean_ROE_M, 3, FALSE))</f>
        <v>-0.1809390712419382</v>
      </c>
      <c r="R13" s="1">
        <f>(Main_M[[#This Row],[ROA]]-VLOOKUP(Main_M[[#This Row],[Industry]], Mean_ROA_M, 2, FALSE))/(VLOOKUP(Main_M[[#This Row],[Industry]], Mean_ROA_M, 3, FALSE))</f>
        <v>0.30762096085688362</v>
      </c>
      <c r="S13" s="1">
        <f>(Main_M[[#This Row],[A/E]]-VLOOKUP(Main_M[[#This Row],[Industry]], Mean_AE_M, 2, FALSE))/(VLOOKUP(Main_M[[#This Row],[Industry]], Mean_AE_M, 3, FALSE))</f>
        <v>4.798256866746371</v>
      </c>
      <c r="T13" s="1">
        <f>(Main_M[[#This Row],[P/E]]-VLOOKUP(Main_M[[#This Row],[Industry]], Mean_PE_M, 2, FALSE))/(VLOOKUP(Main_M[[#This Row],[Industry]], Mean_PE_M, 3, FALSE))</f>
        <v>-0.7048949386738228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7" t="s">
        <v>107</v>
      </c>
      <c r="B14" s="67" t="s">
        <v>173</v>
      </c>
      <c r="C14" s="2">
        <v>3402</v>
      </c>
      <c r="D14">
        <f>RTD("tos.rtd", , "LAST", Main_M[[#This Row],[Symbol]])</f>
        <v>188.13</v>
      </c>
      <c r="E14">
        <v>10.63</v>
      </c>
      <c r="F14">
        <v>92.92</v>
      </c>
      <c r="G14">
        <v>-17.28</v>
      </c>
      <c r="H14" s="1">
        <f>IF(ISNUMBER(Main_M[[#This Row],[Free CF]]),IF(Main_M[[#This Row],[Free CF]]&lt;&gt;0,Main_M[[#This Row],[Current Price]]/Main_M[[#This Row],[Free CF]],""),"")</f>
        <v>17.698024459078081</v>
      </c>
      <c r="I14" s="1">
        <f>IF(ISNUMBER(Main_M[[#This Row],[BVPS]]),IF(Main_M[[#This Row],[BVPS]]&lt;&gt;0,Main_M[[#This Row],[Current Price]]/Main_M[[#This Row],[BVPS]],""),"")</f>
        <v>2.0246448557899268</v>
      </c>
      <c r="J14">
        <v>-16.02</v>
      </c>
      <c r="K14">
        <v>1.34</v>
      </c>
      <c r="L14">
        <v>1.78</v>
      </c>
      <c r="M14" s="1">
        <f>IF(ISNUMBER(Main_M[[#This Row],[EPS]]),IF(Main_M[[#This Row],[EPS]]&lt;&gt;0,Main_M[[#This Row],[Current Price]]/Main_M[[#This Row],[EPS]],""),"")</f>
        <v>-10.887152777777777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1.0272901813272393</v>
      </c>
      <c r="P14" s="1">
        <f>(Main_M[[#This Row],[P/B]]-VLOOKUP(Main_M[[#This Row],[Industry]], Mean_PB_M, 2, FALSE))/(VLOOKUP(Main_M[[#This Row],[Industry]], Mean_PB_M, 3, FALSE))</f>
        <v>0.13620100346501388</v>
      </c>
      <c r="Q14" s="1">
        <f>(Main_M[[#This Row],[ROE]]-VLOOKUP(Main_M[[#This Row],[Industry]], Mean_ROE_M, 2, FALSE))/(VLOOKUP(Main_M[[#This Row],[Industry]], Mean_ROE_M, 3, FALSE))</f>
        <v>-0.54142113960516924</v>
      </c>
      <c r="R14" s="1">
        <f>(Main_M[[#This Row],[ROA]]-VLOOKUP(Main_M[[#This Row],[Industry]], Mean_ROA_M, 2, FALSE))/(VLOOKUP(Main_M[[#This Row],[Industry]], Mean_ROA_M, 3, FALSE))</f>
        <v>-0.86187579261197778</v>
      </c>
      <c r="S14" s="1">
        <f>(Main_M[[#This Row],[A/E]]-VLOOKUP(Main_M[[#This Row],[Industry]], Mean_AE_M, 2, FALSE))/(VLOOKUP(Main_M[[#This Row],[Industry]], Mean_AE_M, 3, FALSE))</f>
        <v>-0.49618850371317486</v>
      </c>
      <c r="T14" s="1">
        <f>(Main_M[[#This Row],[P/E]]-VLOOKUP(Main_M[[#This Row],[Industry]], Mean_PE_M, 2, FALSE))/(VLOOKUP(Main_M[[#This Row],[Industry]], Mean_PE_M, 3, FALSE))</f>
        <v>-1.7441377049651028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s="67" t="s">
        <v>107</v>
      </c>
      <c r="B15" s="67" t="s">
        <v>203</v>
      </c>
      <c r="C15" s="2">
        <v>3649</v>
      </c>
      <c r="D15">
        <f>RTD("tos.rtd", , "LAST", Main_M[[#This Row],[Symbol]])</f>
        <v>67.86</v>
      </c>
      <c r="E15">
        <v>2.5499999999999998</v>
      </c>
      <c r="F15">
        <v>74.010000000000005</v>
      </c>
      <c r="G15">
        <v>3.3</v>
      </c>
      <c r="H15" s="1">
        <f>IF(ISNUMBER(Main_M[[#This Row],[Free CF]]),IF(Main_M[[#This Row],[Free CF]]&lt;&gt;0,Main_M[[#This Row],[Current Price]]/Main_M[[#This Row],[Free CF]],""),"")</f>
        <v>26.611764705882354</v>
      </c>
      <c r="I15" s="1">
        <f>IF(ISNUMBER(Main_M[[#This Row],[BVPS]]),IF(Main_M[[#This Row],[BVPS]]&lt;&gt;0,Main_M[[#This Row],[Current Price]]/Main_M[[#This Row],[BVPS]],""),"")</f>
        <v>0.91690312119983775</v>
      </c>
      <c r="J15">
        <v>4.3600000000000003</v>
      </c>
      <c r="K15">
        <v>2.81</v>
      </c>
      <c r="L15">
        <v>1.6</v>
      </c>
      <c r="M15" s="1">
        <f>IF(ISNUMBER(Main_M[[#This Row],[EPS]]),IF(Main_M[[#This Row],[EPS]]&lt;&gt;0,Main_M[[#This Row],[Current Price]]/Main_M[[#This Row],[EPS]],""),"")</f>
        <v>20.563636363636366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1.9005133338763658</v>
      </c>
      <c r="P15" s="1">
        <f>(Main_M[[#This Row],[P/B]]-VLOOKUP(Main_M[[#This Row],[Industry]], Mean_PB_M, 2, FALSE))/(VLOOKUP(Main_M[[#This Row],[Industry]], Mean_PB_M, 3, FALSE))</f>
        <v>-0.74908033182672717</v>
      </c>
      <c r="Q15" s="1">
        <f>(Main_M[[#This Row],[ROE]]-VLOOKUP(Main_M[[#This Row],[Industry]], Mean_ROE_M, 2, FALSE))/(VLOOKUP(Main_M[[#This Row],[Industry]], Mean_ROE_M, 3, FALSE))</f>
        <v>-0.27092686297620577</v>
      </c>
      <c r="R15" s="1">
        <f>(Main_M[[#This Row],[ROA]]-VLOOKUP(Main_M[[#This Row],[Industry]], Mean_ROA_M, 2, FALSE))/(VLOOKUP(Main_M[[#This Row],[Industry]], Mean_ROA_M, 3, FALSE))</f>
        <v>-0.54351278750100995</v>
      </c>
      <c r="S15" s="1">
        <f>(Main_M[[#This Row],[A/E]]-VLOOKUP(Main_M[[#This Row],[Industry]], Mean_AE_M, 2, FALSE))/(VLOOKUP(Main_M[[#This Row],[Industry]], Mean_AE_M, 3, FALSE))</f>
        <v>-0.71577379557555221</v>
      </c>
      <c r="T15" s="1">
        <f>(Main_M[[#This Row],[P/E]]-VLOOKUP(Main_M[[#This Row],[Industry]], Mean_PE_M, 2, FALSE))/(VLOOKUP(Main_M[[#This Row],[Industry]], Mean_PE_M, 3, FALSE))</f>
        <v>0.96692441636035364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107</v>
      </c>
      <c r="B16" s="67" t="s">
        <v>168</v>
      </c>
      <c r="C16" s="2">
        <v>2534</v>
      </c>
      <c r="D16">
        <f>RTD("tos.rtd", , "LAST", Main_M[[#This Row],[Symbol]])</f>
        <v>29.46</v>
      </c>
      <c r="E16">
        <v>9</v>
      </c>
      <c r="F16">
        <v>72.42</v>
      </c>
      <c r="G16">
        <v>8.73</v>
      </c>
      <c r="H16" s="1">
        <f>IF(ISNUMBER(Main_M[[#This Row],[Free CF]]),IF(Main_M[[#This Row],[Free CF]]&lt;&gt;0,Main_M[[#This Row],[Current Price]]/Main_M[[#This Row],[Free CF]],""),"")</f>
        <v>3.2733333333333334</v>
      </c>
      <c r="I16" s="1">
        <f>IF(ISNUMBER(Main_M[[#This Row],[BVPS]]),IF(Main_M[[#This Row],[BVPS]]&lt;&gt;0,Main_M[[#This Row],[Current Price]]/Main_M[[#This Row],[BVPS]],""),"")</f>
        <v>0.40679370339685172</v>
      </c>
      <c r="J16">
        <v>12.72</v>
      </c>
      <c r="K16">
        <v>6.5</v>
      </c>
      <c r="L16">
        <v>2.29</v>
      </c>
      <c r="M16" s="1">
        <f>IF(ISNUMBER(Main_M[[#This Row],[EPS]]),IF(Main_M[[#This Row],[EPS]]&lt;&gt;0,Main_M[[#This Row],[Current Price]]/Main_M[[#This Row],[EPS]],""),"")</f>
        <v>3.3745704467353952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-0.38580621935440562</v>
      </c>
      <c r="P16" s="1">
        <f>(Main_M[[#This Row],[P/B]]-VLOOKUP(Main_M[[#This Row],[Industry]], Mean_PB_M, 2, FALSE))/(VLOOKUP(Main_M[[#This Row],[Industry]], Mean_PB_M, 3, FALSE))</f>
        <v>-1.1567478706006702</v>
      </c>
      <c r="Q16" s="1">
        <f>(Main_M[[#This Row],[ROE]]-VLOOKUP(Main_M[[#This Row],[Industry]], Mean_ROE_M, 2, FALSE))/(VLOOKUP(Main_M[[#This Row],[Industry]], Mean_ROE_M, 3, FALSE))</f>
        <v>-0.15996846490858382</v>
      </c>
      <c r="R16" s="1">
        <f>(Main_M[[#This Row],[ROA]]-VLOOKUP(Main_M[[#This Row],[Industry]], Mean_ROA_M, 2, FALSE))/(VLOOKUP(Main_M[[#This Row],[Industry]], Mean_ROA_M, 3, FALSE))</f>
        <v>0.25564332736937861</v>
      </c>
      <c r="S16" s="1">
        <f>(Main_M[[#This Row],[A/E]]-VLOOKUP(Main_M[[#This Row],[Industry]], Mean_AE_M, 2, FALSE))/(VLOOKUP(Main_M[[#This Row],[Industry]], Mean_AE_M, 3, FALSE))</f>
        <v>0.12596982323022796</v>
      </c>
      <c r="T16" s="1">
        <f>(Main_M[[#This Row],[P/E]]-VLOOKUP(Main_M[[#This Row],[Industry]], Mean_PE_M, 2, FALSE))/(VLOOKUP(Main_M[[#This Row],[Industry]], Mean_PE_M, 3, FALSE))</f>
        <v>-0.51477530502798263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107</v>
      </c>
      <c r="B17" s="67" t="s">
        <v>199</v>
      </c>
      <c r="C17" s="2">
        <v>2027</v>
      </c>
      <c r="D17">
        <f>RTD("tos.rtd", , "LAST", Main_M[[#This Row],[Symbol]])</f>
        <v>39.67</v>
      </c>
      <c r="E17">
        <v>14.01</v>
      </c>
      <c r="F17">
        <v>61.85</v>
      </c>
      <c r="G17">
        <v>10.31</v>
      </c>
      <c r="H17" s="1">
        <f>IF(ISNUMBER(Main_M[[#This Row],[Free CF]]),IF(Main_M[[#This Row],[Free CF]]&lt;&gt;0,Main_M[[#This Row],[Current Price]]/Main_M[[#This Row],[Free CF]],""),"")</f>
        <v>2.8315488936473949</v>
      </c>
      <c r="I17" s="1">
        <f>IF(ISNUMBER(Main_M[[#This Row],[BVPS]]),IF(Main_M[[#This Row],[BVPS]]&lt;&gt;0,Main_M[[#This Row],[Current Price]]/Main_M[[#This Row],[BVPS]],""),"")</f>
        <v>0.64139046079223927</v>
      </c>
      <c r="J17">
        <v>18.059999999999999</v>
      </c>
      <c r="K17">
        <v>6.34</v>
      </c>
      <c r="L17">
        <v>1.36</v>
      </c>
      <c r="M17" s="1">
        <f>IF(ISNUMBER(Main_M[[#This Row],[EPS]]),IF(Main_M[[#This Row],[EPS]]&lt;&gt;0,Main_M[[#This Row],[Current Price]]/Main_M[[#This Row],[EPS]],""),"")</f>
        <v>3.8477206595538314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7" s="1">
        <f>(Main_M[[#This Row],[P/FCF]]-VLOOKUP(Main_M[[#This Row],[Industry]], Mean_PFCF_M, 2, FALSE))/(VLOOKUP(Main_M[[#This Row],[Industry]], Mean_PFCF_M, 3, FALSE))</f>
        <v>-0.42908506644757871</v>
      </c>
      <c r="P17" s="1">
        <f>(Main_M[[#This Row],[P/B]]-VLOOKUP(Main_M[[#This Row],[Industry]], Mean_PB_M, 2, FALSE))/(VLOOKUP(Main_M[[#This Row],[Industry]], Mean_PB_M, 3, FALSE))</f>
        <v>-0.96926361848936637</v>
      </c>
      <c r="Q17" s="1">
        <f>(Main_M[[#This Row],[ROE]]-VLOOKUP(Main_M[[#This Row],[Industry]], Mean_ROE_M, 2, FALSE))/(VLOOKUP(Main_M[[#This Row],[Industry]], Mean_ROE_M, 3, FALSE))</f>
        <v>-8.9093124516107652E-2</v>
      </c>
      <c r="R17" s="1">
        <f>(Main_M[[#This Row],[ROA]]-VLOOKUP(Main_M[[#This Row],[Industry]], Mean_ROA_M, 2, FALSE))/(VLOOKUP(Main_M[[#This Row],[Industry]], Mean_ROA_M, 3, FALSE))</f>
        <v>0.22099157171104195</v>
      </c>
      <c r="S17" s="1">
        <f>(Main_M[[#This Row],[A/E]]-VLOOKUP(Main_M[[#This Row],[Industry]], Mean_AE_M, 2, FALSE))/(VLOOKUP(Main_M[[#This Row],[Industry]], Mean_AE_M, 3, FALSE))</f>
        <v>-1.0085541847253889</v>
      </c>
      <c r="T17" s="1">
        <f>(Main_M[[#This Row],[P/E]]-VLOOKUP(Main_M[[#This Row],[Industry]], Mean_PE_M, 2, FALSE))/(VLOOKUP(Main_M[[#This Row],[Industry]], Mean_PE_M, 3, FALSE))</f>
        <v>-0.47398969504212579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7" t="s">
        <v>107</v>
      </c>
      <c r="B18" s="67" t="s">
        <v>187</v>
      </c>
      <c r="C18" s="2">
        <v>6807</v>
      </c>
      <c r="D18">
        <f>RTD("tos.rtd", , "LAST", Main_M[[#This Row],[Symbol]])</f>
        <v>36.69</v>
      </c>
      <c r="E18">
        <v>1.25</v>
      </c>
      <c r="F18">
        <v>48.76</v>
      </c>
      <c r="G18">
        <v>-0.75</v>
      </c>
      <c r="H18" s="1">
        <f>IF(ISNUMBER(Main_M[[#This Row],[Free CF]]),IF(Main_M[[#This Row],[Free CF]]&lt;&gt;0,Main_M[[#This Row],[Current Price]]/Main_M[[#This Row],[Free CF]],""),"")</f>
        <v>29.351999999999997</v>
      </c>
      <c r="I18" s="1">
        <f>IF(ISNUMBER(Main_M[[#This Row],[BVPS]]),IF(Main_M[[#This Row],[BVPS]]&lt;&gt;0,Main_M[[#This Row],[Current Price]]/Main_M[[#This Row],[BVPS]],""),"")</f>
        <v>0.75246103363412631</v>
      </c>
      <c r="J18">
        <v>-1.38</v>
      </c>
      <c r="K18">
        <v>-0.18</v>
      </c>
      <c r="L18">
        <v>1.8</v>
      </c>
      <c r="M18" s="1">
        <f>IF(ISNUMBER(Main_M[[#This Row],[EPS]]),IF(Main_M[[#This Row],[EPS]]&lt;&gt;0,Main_M[[#This Row],[Current Price]]/Main_M[[#This Row],[EPS]],""),"")</f>
        <v>-48.919999999999995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2.1689569766124959</v>
      </c>
      <c r="P18" s="1">
        <f>(Main_M[[#This Row],[P/B]]-VLOOKUP(Main_M[[#This Row],[Industry]], Mean_PB_M, 2, FALSE))/(VLOOKUP(Main_M[[#This Row],[Industry]], Mean_PB_M, 3, FALSE))</f>
        <v>-0.88049860949250836</v>
      </c>
      <c r="Q18" s="1">
        <f>(Main_M[[#This Row],[ROE]]-VLOOKUP(Main_M[[#This Row],[Industry]], Mean_ROE_M, 2, FALSE))/(VLOOKUP(Main_M[[#This Row],[Industry]], Mean_ROE_M, 3, FALSE))</f>
        <v>-0.34711121763029068</v>
      </c>
      <c r="R18" s="1">
        <f>(Main_M[[#This Row],[ROA]]-VLOOKUP(Main_M[[#This Row],[Industry]], Mean_ROA_M, 2, FALSE))/(VLOOKUP(Main_M[[#This Row],[Industry]], Mean_ROA_M, 3, FALSE))</f>
        <v>-1.1910674713661757</v>
      </c>
      <c r="S18" s="1">
        <f>(Main_M[[#This Row],[A/E]]-VLOOKUP(Main_M[[#This Row],[Industry]], Mean_AE_M, 2, FALSE))/(VLOOKUP(Main_M[[#This Row],[Industry]], Mean_AE_M, 3, FALSE))</f>
        <v>-0.47179013795068847</v>
      </c>
      <c r="T18" s="1">
        <f>(Main_M[[#This Row],[P/E]]-VLOOKUP(Main_M[[#This Row],[Industry]], Mean_PE_M, 2, FALSE))/(VLOOKUP(Main_M[[#This Row],[Industry]], Mean_PE_M, 3, FALSE))</f>
        <v>-5.0225740903514122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s="67" t="s">
        <v>107</v>
      </c>
      <c r="B19" s="67" t="s">
        <v>188</v>
      </c>
      <c r="C19" s="2">
        <v>2203</v>
      </c>
      <c r="D19">
        <f>RTD("tos.rtd", , "LAST", Main_M[[#This Row],[Symbol]])</f>
        <v>19</v>
      </c>
      <c r="E19">
        <v>-8.68</v>
      </c>
      <c r="F19">
        <v>44.22</v>
      </c>
      <c r="G19">
        <v>-9.16</v>
      </c>
      <c r="H19" s="1">
        <f>IF(ISNUMBER(Main_M[[#This Row],[Free CF]]),IF(Main_M[[#This Row],[Free CF]]&lt;&gt;0,Main_M[[#This Row],[Current Price]]/Main_M[[#This Row],[Free CF]],""),"")</f>
        <v>-2.1889400921658986</v>
      </c>
      <c r="I19" s="1">
        <f>IF(ISNUMBER(Main_M[[#This Row],[BVPS]]),IF(Main_M[[#This Row],[BVPS]]&lt;&gt;0,Main_M[[#This Row],[Current Price]]/Main_M[[#This Row],[BVPS]],""),"")</f>
        <v>0.42966983265490727</v>
      </c>
      <c r="J19">
        <v>-17.79</v>
      </c>
      <c r="K19">
        <v>-5.43</v>
      </c>
      <c r="L19">
        <v>2.5499999999999998</v>
      </c>
      <c r="M19" s="1">
        <f>IF(ISNUMBER(Main_M[[#This Row],[EPS]]),IF(Main_M[[#This Row],[EPS]]&lt;&gt;0,Main_M[[#This Row],[Current Price]]/Main_M[[#This Row],[EPS]],""),"")</f>
        <v>-2.0742358078602621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-0.92091084307392712</v>
      </c>
      <c r="P19" s="1">
        <f>(Main_M[[#This Row],[P/B]]-VLOOKUP(Main_M[[#This Row],[Industry]], Mean_PB_M, 2, FALSE))/(VLOOKUP(Main_M[[#This Row],[Industry]], Mean_PB_M, 3, FALSE))</f>
        <v>-1.1384658021153009</v>
      </c>
      <c r="Q19" s="1">
        <f>(Main_M[[#This Row],[ROE]]-VLOOKUP(Main_M[[#This Row],[Industry]], Mean_ROE_M, 2, FALSE))/(VLOOKUP(Main_M[[#This Row],[Industry]], Mean_ROE_M, 3, FALSE))</f>
        <v>-0.56491352771278769</v>
      </c>
      <c r="R19" s="1">
        <f>(Main_M[[#This Row],[ROA]]-VLOOKUP(Main_M[[#This Row],[Industry]], Mean_ROA_M, 2, FALSE))/(VLOOKUP(Main_M[[#This Row],[Industry]], Mean_ROA_M, 3, FALSE))</f>
        <v>-2.3280782039053465</v>
      </c>
      <c r="S19" s="1">
        <f>(Main_M[[#This Row],[A/E]]-VLOOKUP(Main_M[[#This Row],[Industry]], Mean_AE_M, 2, FALSE))/(VLOOKUP(Main_M[[#This Row],[Industry]], Mean_AE_M, 3, FALSE))</f>
        <v>0.44314857814255071</v>
      </c>
      <c r="T19" s="1">
        <f>(Main_M[[#This Row],[P/E]]-VLOOKUP(Main_M[[#This Row],[Industry]], Mean_PE_M, 2, FALSE))/(VLOOKUP(Main_M[[#This Row],[Industry]], Mean_PE_M, 3, FALSE))</f>
        <v>-0.98446311403191633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107</v>
      </c>
      <c r="B20" s="67" t="s">
        <v>175</v>
      </c>
      <c r="C20" s="2">
        <v>5385</v>
      </c>
      <c r="D20">
        <f>RTD("tos.rtd", , "LAST", Main_M[[#This Row],[Symbol]])</f>
        <v>46.66</v>
      </c>
      <c r="E20">
        <v>4.4000000000000004</v>
      </c>
      <c r="F20">
        <v>42.23</v>
      </c>
      <c r="G20">
        <v>7.44</v>
      </c>
      <c r="H20" s="1">
        <f>IF(ISNUMBER(Main_M[[#This Row],[Free CF]]),IF(Main_M[[#This Row],[Free CF]]&lt;&gt;0,Main_M[[#This Row],[Current Price]]/Main_M[[#This Row],[Free CF]],""),"")</f>
        <v>10.604545454545454</v>
      </c>
      <c r="I20" s="1">
        <f>IF(ISNUMBER(Main_M[[#This Row],[BVPS]]),IF(Main_M[[#This Row],[BVPS]]&lt;&gt;0,Main_M[[#This Row],[Current Price]]/Main_M[[#This Row],[BVPS]],""),"")</f>
        <v>1.1049017286289369</v>
      </c>
      <c r="J20">
        <v>19.850000000000001</v>
      </c>
      <c r="K20">
        <v>9.74</v>
      </c>
      <c r="L20">
        <v>2.1</v>
      </c>
      <c r="M20" s="1">
        <f>IF(ISNUMBER(Main_M[[#This Row],[EPS]]),IF(Main_M[[#This Row],[EPS]]&lt;&gt;0,Main_M[[#This Row],[Current Price]]/Main_M[[#This Row],[EPS]],""),"")</f>
        <v>6.2715053763440851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0.33238659120975278</v>
      </c>
      <c r="P20" s="1">
        <f>(Main_M[[#This Row],[P/B]]-VLOOKUP(Main_M[[#This Row],[Industry]], Mean_PB_M, 2, FALSE))/(VLOOKUP(Main_M[[#This Row],[Industry]], Mean_PB_M, 3, FALSE))</f>
        <v>-0.5988362333867534</v>
      </c>
      <c r="Q20" s="1">
        <f>(Main_M[[#This Row],[ROE]]-VLOOKUP(Main_M[[#This Row],[Industry]], Mean_ROE_M, 2, FALSE))/(VLOOKUP(Main_M[[#This Row],[Industry]], Mean_ROE_M, 3, FALSE))</f>
        <v>-6.5335285695408668E-2</v>
      </c>
      <c r="R20" s="1">
        <f>(Main_M[[#This Row],[ROA]]-VLOOKUP(Main_M[[#This Row],[Industry]], Mean_ROA_M, 2, FALSE))/(VLOOKUP(Main_M[[#This Row],[Industry]], Mean_ROA_M, 3, FALSE))</f>
        <v>0.95734137945069542</v>
      </c>
      <c r="S20" s="1">
        <f>(Main_M[[#This Row],[A/E]]-VLOOKUP(Main_M[[#This Row],[Industry]], Mean_AE_M, 2, FALSE))/(VLOOKUP(Main_M[[#This Row],[Industry]], Mean_AE_M, 3, FALSE))</f>
        <v>-0.10581465151339263</v>
      </c>
      <c r="T20" s="1">
        <f>(Main_M[[#This Row],[P/E]]-VLOOKUP(Main_M[[#This Row],[Industry]], Mean_PE_M, 2, FALSE))/(VLOOKUP(Main_M[[#This Row],[Industry]], Mean_PE_M, 3, FALSE))</f>
        <v>-0.26505913668977821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7" t="s">
        <v>107</v>
      </c>
      <c r="B21" s="67" t="s">
        <v>170</v>
      </c>
      <c r="C21" s="2">
        <v>3939</v>
      </c>
      <c r="D21">
        <f>RTD("tos.rtd", , "LAST", Main_M[[#This Row],[Symbol]])</f>
        <v>44.76</v>
      </c>
      <c r="E21">
        <v>5.35</v>
      </c>
      <c r="F21">
        <v>39.43</v>
      </c>
      <c r="G21">
        <v>5.76</v>
      </c>
      <c r="H21" s="1">
        <f>IF(ISNUMBER(Main_M[[#This Row],[Free CF]]),IF(Main_M[[#This Row],[Free CF]]&lt;&gt;0,Main_M[[#This Row],[Current Price]]/Main_M[[#This Row],[Free CF]],""),"")</f>
        <v>8.3663551401869167</v>
      </c>
      <c r="I21" s="1">
        <f>IF(ISNUMBER(Main_M[[#This Row],[BVPS]]),IF(Main_M[[#This Row],[BVPS]]&lt;&gt;0,Main_M[[#This Row],[Current Price]]/Main_M[[#This Row],[BVPS]],""),"")</f>
        <v>1.1351762617296475</v>
      </c>
      <c r="J21">
        <v>17.86</v>
      </c>
      <c r="K21">
        <v>10.26</v>
      </c>
      <c r="L21">
        <v>1.94</v>
      </c>
      <c r="M21" s="1">
        <f>IF(ISNUMBER(Main_M[[#This Row],[EPS]]),IF(Main_M[[#This Row],[EPS]]&lt;&gt;0,Main_M[[#This Row],[Current Price]]/Main_M[[#This Row],[EPS]],""),"")</f>
        <v>7.770833333333333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0.11312514223385496</v>
      </c>
      <c r="P21" s="1">
        <f>(Main_M[[#This Row],[P/B]]-VLOOKUP(Main_M[[#This Row],[Industry]], Mean_PB_M, 2, FALSE))/(VLOOKUP(Main_M[[#This Row],[Industry]], Mean_PB_M, 3, FALSE))</f>
        <v>-0.57464153325780254</v>
      </c>
      <c r="Q21" s="1">
        <f>(Main_M[[#This Row],[ROE]]-VLOOKUP(Main_M[[#This Row],[Industry]], Mean_ROE_M, 2, FALSE))/(VLOOKUP(Main_M[[#This Row],[Industry]], Mean_ROE_M, 3, FALSE))</f>
        <v>-9.1747631646911992E-2</v>
      </c>
      <c r="R21" s="1">
        <f>(Main_M[[#This Row],[ROA]]-VLOOKUP(Main_M[[#This Row],[Industry]], Mean_ROA_M, 2, FALSE))/(VLOOKUP(Main_M[[#This Row],[Industry]], Mean_ROA_M, 3, FALSE))</f>
        <v>1.0699595853402895</v>
      </c>
      <c r="S21" s="1">
        <f>(Main_M[[#This Row],[A/E]]-VLOOKUP(Main_M[[#This Row],[Industry]], Mean_AE_M, 2, FALSE))/(VLOOKUP(Main_M[[#This Row],[Industry]], Mean_AE_M, 3, FALSE))</f>
        <v>-0.30100157761328389</v>
      </c>
      <c r="T21" s="1">
        <f>(Main_M[[#This Row],[P/E]]-VLOOKUP(Main_M[[#This Row],[Industry]], Mean_PE_M, 2, FALSE))/(VLOOKUP(Main_M[[#This Row],[Industry]], Mean_PE_M, 3, FALSE))</f>
        <v>-0.13581687146835086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107</v>
      </c>
      <c r="B22" s="67" t="s">
        <v>178</v>
      </c>
      <c r="C22" s="2">
        <v>9307</v>
      </c>
      <c r="D22">
        <f>RTD("tos.rtd", , "LAST", Main_M[[#This Row],[Symbol]])</f>
        <v>38.81</v>
      </c>
      <c r="E22">
        <v>5.34</v>
      </c>
      <c r="F22">
        <v>38.61</v>
      </c>
      <c r="G22">
        <v>2.38</v>
      </c>
      <c r="H22" s="1">
        <f>IF(ISNUMBER(Main_M[[#This Row],[Free CF]]),IF(Main_M[[#This Row],[Free CF]]&lt;&gt;0,Main_M[[#This Row],[Current Price]]/Main_M[[#This Row],[Free CF]],""),"")</f>
        <v>7.2677902621722854</v>
      </c>
      <c r="I22" s="1">
        <f>IF(ISNUMBER(Main_M[[#This Row],[BVPS]]),IF(Main_M[[#This Row],[BVPS]]&lt;&gt;0,Main_M[[#This Row],[Current Price]]/Main_M[[#This Row],[BVPS]],""),"")</f>
        <v>1.0051800051800053</v>
      </c>
      <c r="J22">
        <v>6.17</v>
      </c>
      <c r="K22">
        <v>6.96</v>
      </c>
      <c r="L22">
        <v>1.95</v>
      </c>
      <c r="M22" s="1">
        <f>IF(ISNUMBER(Main_M[[#This Row],[EPS]]),IF(Main_M[[#This Row],[EPS]]&lt;&gt;0,Main_M[[#This Row],[Current Price]]/Main_M[[#This Row],[EPS]],""),"")</f>
        <v>16.306722689075631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5.5056402628831901E-3</v>
      </c>
      <c r="P22" s="1">
        <f>(Main_M[[#This Row],[P/B]]-VLOOKUP(Main_M[[#This Row],[Industry]], Mean_PB_M, 2, FALSE))/(VLOOKUP(Main_M[[#This Row],[Industry]], Mean_PB_M, 3, FALSE))</f>
        <v>-0.67853150687496577</v>
      </c>
      <c r="Q22" s="1">
        <f>(Main_M[[#This Row],[ROE]]-VLOOKUP(Main_M[[#This Row],[Industry]], Mean_ROE_M, 2, FALSE))/(VLOOKUP(Main_M[[#This Row],[Industry]], Mean_ROE_M, 3, FALSE))</f>
        <v>-0.24690357344242639</v>
      </c>
      <c r="R22" s="1">
        <f>(Main_M[[#This Row],[ROA]]-VLOOKUP(Main_M[[#This Row],[Industry]], Mean_ROA_M, 2, FALSE))/(VLOOKUP(Main_M[[#This Row],[Industry]], Mean_ROA_M, 3, FALSE))</f>
        <v>0.35526712488709644</v>
      </c>
      <c r="S22" s="1">
        <f>(Main_M[[#This Row],[A/E]]-VLOOKUP(Main_M[[#This Row],[Industry]], Mean_AE_M, 2, FALSE))/(VLOOKUP(Main_M[[#This Row],[Industry]], Mean_AE_M, 3, FALSE))</f>
        <v>-0.28880239473204067</v>
      </c>
      <c r="T22" s="1">
        <f>(Main_M[[#This Row],[P/E]]-VLOOKUP(Main_M[[#This Row],[Industry]], Mean_PE_M, 2, FALSE))/(VLOOKUP(Main_M[[#This Row],[Industry]], Mean_PE_M, 3, FALSE))</f>
        <v>0.59997790303241949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107</v>
      </c>
      <c r="B23" s="67" t="s">
        <v>181</v>
      </c>
      <c r="C23" s="2">
        <v>2681</v>
      </c>
      <c r="D23">
        <f>RTD("tos.rtd", , "LAST", Main_M[[#This Row],[Symbol]])</f>
        <v>25.59</v>
      </c>
      <c r="E23">
        <v>-13.29</v>
      </c>
      <c r="F23">
        <v>38.47</v>
      </c>
      <c r="G23">
        <v>7.14</v>
      </c>
      <c r="H23" s="1">
        <f>IF(ISNUMBER(Main_M[[#This Row],[Free CF]]),IF(Main_M[[#This Row],[Free CF]]&lt;&gt;0,Main_M[[#This Row],[Current Price]]/Main_M[[#This Row],[Free CF]],""),"")</f>
        <v>-1.9255079006772011</v>
      </c>
      <c r="I23" s="1">
        <f>IF(ISNUMBER(Main_M[[#This Row],[BVPS]]),IF(Main_M[[#This Row],[BVPS]]&lt;&gt;0,Main_M[[#This Row],[Current Price]]/Main_M[[#This Row],[BVPS]],""),"")</f>
        <v>0.66519365739537306</v>
      </c>
      <c r="J23">
        <v>20.28</v>
      </c>
      <c r="K23">
        <v>9.66</v>
      </c>
      <c r="L23">
        <v>2</v>
      </c>
      <c r="M23" s="1">
        <f>IF(ISNUMBER(Main_M[[#This Row],[EPS]]),IF(Main_M[[#This Row],[EPS]]&lt;&gt;0,Main_M[[#This Row],[Current Price]]/Main_M[[#This Row],[EPS]],""),"")</f>
        <v>3.5840336134453783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-0.89510404566167856</v>
      </c>
      <c r="P23" s="1">
        <f>(Main_M[[#This Row],[P/B]]-VLOOKUP(Main_M[[#This Row],[Industry]], Mean_PB_M, 2, FALSE))/(VLOOKUP(Main_M[[#This Row],[Industry]], Mean_PB_M, 3, FALSE))</f>
        <v>-0.95024065942316138</v>
      </c>
      <c r="Q23" s="1">
        <f>(Main_M[[#This Row],[ROE]]-VLOOKUP(Main_M[[#This Row],[Industry]], Mean_ROE_M, 2, FALSE))/(VLOOKUP(Main_M[[#This Row],[Industry]], Mean_ROE_M, 3, FALSE))</f>
        <v>-5.9628095364179311E-2</v>
      </c>
      <c r="R23" s="1">
        <f>(Main_M[[#This Row],[ROA]]-VLOOKUP(Main_M[[#This Row],[Industry]], Mean_ROA_M, 2, FALSE))/(VLOOKUP(Main_M[[#This Row],[Industry]], Mean_ROA_M, 3, FALSE))</f>
        <v>0.94001550162152714</v>
      </c>
      <c r="S23" s="1">
        <f>(Main_M[[#This Row],[A/E]]-VLOOKUP(Main_M[[#This Row],[Industry]], Mean_AE_M, 2, FALSE))/(VLOOKUP(Main_M[[#This Row],[Industry]], Mean_AE_M, 3, FALSE))</f>
        <v>-0.22780648032582468</v>
      </c>
      <c r="T23" s="1">
        <f>(Main_M[[#This Row],[P/E]]-VLOOKUP(Main_M[[#This Row],[Industry]], Mean_PE_M, 2, FALSE))/(VLOOKUP(Main_M[[#This Row],[Industry]], Mean_PE_M, 3, FALSE))</f>
        <v>-0.49671955276920865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107</v>
      </c>
      <c r="B24" s="67" t="s">
        <v>176</v>
      </c>
      <c r="C24" s="2">
        <v>2987</v>
      </c>
      <c r="D24">
        <f>RTD("tos.rtd", , "LAST", Main_M[[#This Row],[Symbol]])</f>
        <v>23.02</v>
      </c>
      <c r="E24">
        <v>4.07</v>
      </c>
      <c r="F24">
        <v>35.880000000000003</v>
      </c>
      <c r="G24">
        <v>2.63</v>
      </c>
      <c r="H24" s="1">
        <f>IF(ISNUMBER(Main_M[[#This Row],[Free CF]]),IF(Main_M[[#This Row],[Free CF]]&lt;&gt;0,Main_M[[#This Row],[Current Price]]/Main_M[[#This Row],[Free CF]],""),"")</f>
        <v>5.6560196560196552</v>
      </c>
      <c r="I24" s="1">
        <f>IF(ISNUMBER(Main_M[[#This Row],[BVPS]]),IF(Main_M[[#This Row],[BVPS]]&lt;&gt;0,Main_M[[#This Row],[Current Price]]/Main_M[[#This Row],[BVPS]],""),"")</f>
        <v>0.64158305462653287</v>
      </c>
      <c r="J24">
        <v>8.61</v>
      </c>
      <c r="K24">
        <v>3.51</v>
      </c>
      <c r="L24">
        <v>1.92</v>
      </c>
      <c r="M24" s="1">
        <f>IF(ISNUMBER(Main_M[[#This Row],[EPS]]),IF(Main_M[[#This Row],[EPS]]&lt;&gt;0,Main_M[[#This Row],[Current Price]]/Main_M[[#This Row],[EPS]],""),"")</f>
        <v>8.7528517110266169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-0.15238940389607195</v>
      </c>
      <c r="P24" s="1">
        <f>(Main_M[[#This Row],[P/B]]-VLOOKUP(Main_M[[#This Row],[Industry]], Mean_PB_M, 2, FALSE))/(VLOOKUP(Main_M[[#This Row],[Industry]], Mean_PB_M, 3, FALSE))</f>
        <v>-0.96910970199288682</v>
      </c>
      <c r="Q24" s="1">
        <f>(Main_M[[#This Row],[ROE]]-VLOOKUP(Main_M[[#This Row],[Industry]], Mean_ROE_M, 2, FALSE))/(VLOOKUP(Main_M[[#This Row],[Industry]], Mean_ROE_M, 3, FALSE))</f>
        <v>-0.21451858644661329</v>
      </c>
      <c r="R24" s="1">
        <f>(Main_M[[#This Row],[ROA]]-VLOOKUP(Main_M[[#This Row],[Industry]], Mean_ROA_M, 2, FALSE))/(VLOOKUP(Main_M[[#This Row],[Industry]], Mean_ROA_M, 3, FALSE))</f>
        <v>-0.39191135649578723</v>
      </c>
      <c r="S24" s="1">
        <f>(Main_M[[#This Row],[A/E]]-VLOOKUP(Main_M[[#This Row],[Industry]], Mean_AE_M, 2, FALSE))/(VLOOKUP(Main_M[[#This Row],[Industry]], Mean_AE_M, 3, FALSE))</f>
        <v>-0.32539994337577027</v>
      </c>
      <c r="T24" s="1">
        <f>(Main_M[[#This Row],[P/E]]-VLOOKUP(Main_M[[#This Row],[Industry]], Mean_PE_M, 2, FALSE))/(VLOOKUP(Main_M[[#This Row],[Industry]], Mean_PE_M, 3, FALSE))</f>
        <v>-5.1166759376122771E-2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s="67" t="s">
        <v>107</v>
      </c>
      <c r="B25" s="67" t="s">
        <v>189</v>
      </c>
      <c r="C25" s="2">
        <v>7354</v>
      </c>
      <c r="D25">
        <f>RTD("tos.rtd", , "LAST", Main_M[[#This Row],[Symbol]])</f>
        <v>52.45</v>
      </c>
      <c r="E25">
        <v>0.11</v>
      </c>
      <c r="F25">
        <v>30.49</v>
      </c>
      <c r="G25">
        <v>5.21</v>
      </c>
      <c r="H25" s="1">
        <f>IF(ISNUMBER(Main_M[[#This Row],[Free CF]]),IF(Main_M[[#This Row],[Free CF]]&lt;&gt;0,Main_M[[#This Row],[Current Price]]/Main_M[[#This Row],[Free CF]],""),"")</f>
        <v>476.81818181818187</v>
      </c>
      <c r="I25" s="1">
        <f>IF(ISNUMBER(Main_M[[#This Row],[BVPS]]),IF(Main_M[[#This Row],[BVPS]]&lt;&gt;0,Main_M[[#This Row],[Current Price]]/Main_M[[#This Row],[BVPS]],""),"")</f>
        <v>1.7202361429977044</v>
      </c>
      <c r="J25">
        <v>32.25</v>
      </c>
      <c r="K25">
        <v>5.4</v>
      </c>
      <c r="L25">
        <v>3.45</v>
      </c>
      <c r="M25" s="1">
        <f>IF(ISNUMBER(Main_M[[#This Row],[EPS]]),IF(Main_M[[#This Row],[EPS]]&lt;&gt;0,Main_M[[#This Row],[Current Price]]/Main_M[[#This Row],[EPS]],""),"")</f>
        <v>10.067178502879079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46.004408664413191</v>
      </c>
      <c r="P25" s="1">
        <f>(Main_M[[#This Row],[P/B]]-VLOOKUP(Main_M[[#This Row],[Industry]], Mean_PB_M, 2, FALSE))/(VLOOKUP(Main_M[[#This Row],[Industry]], Mean_PB_M, 3, FALSE))</f>
        <v>-0.10707533371737128</v>
      </c>
      <c r="Q25" s="1">
        <f>(Main_M[[#This Row],[ROE]]-VLOOKUP(Main_M[[#This Row],[Industry]], Mean_ROE_M, 2, FALSE))/(VLOOKUP(Main_M[[#This Row],[Industry]], Mean_ROE_M, 3, FALSE))</f>
        <v>9.924415641446116E-2</v>
      </c>
      <c r="R25" s="1">
        <f>(Main_M[[#This Row],[ROA]]-VLOOKUP(Main_M[[#This Row],[Industry]], Mean_ROA_M, 2, FALSE))/(VLOOKUP(Main_M[[#This Row],[Industry]], Mean_ROA_M, 3, FALSE))</f>
        <v>1.7412507218314353E-2</v>
      </c>
      <c r="S25" s="1">
        <f>(Main_M[[#This Row],[A/E]]-VLOOKUP(Main_M[[#This Row],[Industry]], Mean_AE_M, 2, FALSE))/(VLOOKUP(Main_M[[#This Row],[Industry]], Mean_AE_M, 3, FALSE))</f>
        <v>1.5410750374544384</v>
      </c>
      <c r="T25" s="1">
        <f>(Main_M[[#This Row],[P/E]]-VLOOKUP(Main_M[[#This Row],[Industry]], Mean_PE_M, 2, FALSE))/(VLOOKUP(Main_M[[#This Row],[Industry]], Mean_PE_M, 3, FALSE))</f>
        <v>6.212838130899271E-2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107</v>
      </c>
      <c r="B26" s="67" t="s">
        <v>169</v>
      </c>
      <c r="C26" s="2">
        <v>4672</v>
      </c>
      <c r="D26">
        <f>RTD("tos.rtd", , "LAST", Main_M[[#This Row],[Symbol]])</f>
        <v>31.99</v>
      </c>
      <c r="E26">
        <v>2.29</v>
      </c>
      <c r="F26">
        <v>25.92</v>
      </c>
      <c r="G26">
        <v>-1.97</v>
      </c>
      <c r="H26" s="1">
        <f>IF(ISNUMBER(Main_M[[#This Row],[Free CF]]),IF(Main_M[[#This Row],[Free CF]]&lt;&gt;0,Main_M[[#This Row],[Current Price]]/Main_M[[#This Row],[Free CF]],""),"")</f>
        <v>13.969432314410479</v>
      </c>
      <c r="I26" s="1">
        <f>IF(ISNUMBER(Main_M[[#This Row],[BVPS]]),IF(Main_M[[#This Row],[BVPS]]&lt;&gt;0,Main_M[[#This Row],[Current Price]]/Main_M[[#This Row],[BVPS]],""),"")</f>
        <v>1.2341820987654319</v>
      </c>
      <c r="J26">
        <v>-7.3</v>
      </c>
      <c r="K26">
        <v>-2.11</v>
      </c>
      <c r="L26">
        <v>2.4</v>
      </c>
      <c r="M26" s="1">
        <f>IF(ISNUMBER(Main_M[[#This Row],[EPS]]),IF(Main_M[[#This Row],[EPS]]&lt;&gt;0,Main_M[[#This Row],[Current Price]]/Main_M[[#This Row],[EPS]],""),"")</f>
        <v>-16.238578680203045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0.66202342495032507</v>
      </c>
      <c r="P26" s="1">
        <f>(Main_M[[#This Row],[P/B]]-VLOOKUP(Main_M[[#This Row],[Industry]], Mean_PB_M, 2, FALSE))/(VLOOKUP(Main_M[[#This Row],[Industry]], Mean_PB_M, 3, FALSE))</f>
        <v>-0.49551837947940919</v>
      </c>
      <c r="Q26" s="1">
        <f>(Main_M[[#This Row],[ROE]]-VLOOKUP(Main_M[[#This Row],[Industry]], Mean_ROE_M, 2, FALSE))/(VLOOKUP(Main_M[[#This Row],[Industry]], Mean_ROE_M, 3, FALSE))</f>
        <v>-0.4256846287020995</v>
      </c>
      <c r="R26" s="1">
        <f>(Main_M[[#This Row],[ROA]]-VLOOKUP(Main_M[[#This Row],[Industry]], Mean_ROA_M, 2, FALSE))/(VLOOKUP(Main_M[[#This Row],[Industry]], Mean_ROA_M, 3, FALSE))</f>
        <v>-1.6090542739948612</v>
      </c>
      <c r="S26" s="1">
        <f>(Main_M[[#This Row],[A/E]]-VLOOKUP(Main_M[[#This Row],[Industry]], Mean_AE_M, 2, FALSE))/(VLOOKUP(Main_M[[#This Row],[Industry]], Mean_AE_M, 3, FALSE))</f>
        <v>0.26016083492390291</v>
      </c>
      <c r="T26" s="1">
        <f>(Main_M[[#This Row],[P/E]]-VLOOKUP(Main_M[[#This Row],[Industry]], Mean_PE_M, 2, FALSE))/(VLOOKUP(Main_M[[#This Row],[Industry]], Mean_PE_M, 3, FALSE))</f>
        <v>-2.2054313149254634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107</v>
      </c>
      <c r="B27" s="67" t="s">
        <v>177</v>
      </c>
      <c r="C27" s="2">
        <v>2624</v>
      </c>
      <c r="D27">
        <f>RTD("tos.rtd", , "LAST", Main_M[[#This Row],[Symbol]])</f>
        <v>29.81</v>
      </c>
      <c r="E27">
        <v>-1.22</v>
      </c>
      <c r="F27">
        <v>24.45</v>
      </c>
      <c r="G27">
        <v>6.43</v>
      </c>
      <c r="H27" s="1">
        <f>IF(ISNUMBER(Main_M[[#This Row],[Free CF]]),IF(Main_M[[#This Row],[Free CF]]&lt;&gt;0,Main_M[[#This Row],[Current Price]]/Main_M[[#This Row],[Free CF]],""),"")</f>
        <v>-24.434426229508198</v>
      </c>
      <c r="I27" s="1">
        <f>IF(ISNUMBER(Main_M[[#This Row],[BVPS]]),IF(Main_M[[#This Row],[BVPS]]&lt;&gt;0,Main_M[[#This Row],[Current Price]]/Main_M[[#This Row],[BVPS]],""),"")</f>
        <v>1.2192229038854805</v>
      </c>
      <c r="J27">
        <v>29.41</v>
      </c>
      <c r="K27">
        <v>12.36</v>
      </c>
      <c r="L27">
        <v>2.36</v>
      </c>
      <c r="M27" s="1">
        <f>IF(ISNUMBER(Main_M[[#This Row],[EPS]]),IF(Main_M[[#This Row],[EPS]]&lt;&gt;0,Main_M[[#This Row],[Current Price]]/Main_M[[#This Row],[EPS]],""),"")</f>
        <v>4.6360808709175743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-3.1001614154475412</v>
      </c>
      <c r="P27" s="1">
        <f>(Main_M[[#This Row],[P/B]]-VLOOKUP(Main_M[[#This Row],[Industry]], Mean_PB_M, 2, FALSE))/(VLOOKUP(Main_M[[#This Row],[Industry]], Mean_PB_M, 3, FALSE))</f>
        <v>-0.50747341882178199</v>
      </c>
      <c r="Q27" s="1">
        <f>(Main_M[[#This Row],[ROE]]-VLOOKUP(Main_M[[#This Row],[Industry]], Mean_ROE_M, 2, FALSE))/(VLOOKUP(Main_M[[#This Row],[Industry]], Mean_ROE_M, 3, FALSE))</f>
        <v>6.1550155157039356E-2</v>
      </c>
      <c r="R27" s="1">
        <f>(Main_M[[#This Row],[ROA]]-VLOOKUP(Main_M[[#This Row],[Industry]], Mean_ROA_M, 2, FALSE))/(VLOOKUP(Main_M[[#This Row],[Industry]], Mean_ROA_M, 3, FALSE))</f>
        <v>1.5247638783559576</v>
      </c>
      <c r="S27" s="1">
        <f>(Main_M[[#This Row],[A/E]]-VLOOKUP(Main_M[[#This Row],[Industry]], Mean_AE_M, 2, FALSE))/(VLOOKUP(Main_M[[#This Row],[Industry]], Mean_AE_M, 3, FALSE))</f>
        <v>0.21136410339893011</v>
      </c>
      <c r="T27" s="1">
        <f>(Main_M[[#This Row],[P/E]]-VLOOKUP(Main_M[[#This Row],[Industry]], Mean_PE_M, 2, FALSE))/(VLOOKUP(Main_M[[#This Row],[Industry]], Mean_PE_M, 3, FALSE))</f>
        <v>-0.40603294211683894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107</v>
      </c>
      <c r="B28" s="67" t="s">
        <v>184</v>
      </c>
      <c r="C28" s="2">
        <v>5203</v>
      </c>
      <c r="D28">
        <f>RTD("tos.rtd", , "LAST", Main_M[[#This Row],[Symbol]])</f>
        <v>41.31</v>
      </c>
      <c r="E28">
        <v>-4.45</v>
      </c>
      <c r="F28">
        <v>20.36</v>
      </c>
      <c r="G28">
        <v>3.82</v>
      </c>
      <c r="H28" s="1">
        <f>IF(ISNUMBER(Main_M[[#This Row],[Free CF]]),IF(Main_M[[#This Row],[Free CF]]&lt;&gt;0,Main_M[[#This Row],[Current Price]]/Main_M[[#This Row],[Free CF]],""),"")</f>
        <v>-9.2831460674157302</v>
      </c>
      <c r="I28" s="1">
        <f>IF(ISNUMBER(Main_M[[#This Row],[BVPS]]),IF(Main_M[[#This Row],[BVPS]]&lt;&gt;0,Main_M[[#This Row],[Current Price]]/Main_M[[#This Row],[BVPS]],""),"")</f>
        <v>2.0289783889980355</v>
      </c>
      <c r="J28">
        <v>16.059999999999999</v>
      </c>
      <c r="K28">
        <v>7.72</v>
      </c>
      <c r="L28">
        <v>2.33</v>
      </c>
      <c r="M28" s="1">
        <f>IF(ISNUMBER(Main_M[[#This Row],[EPS]]),IF(Main_M[[#This Row],[EPS]]&lt;&gt;0,Main_M[[#This Row],[Current Price]]/Main_M[[#This Row],[EPS]],""),"")</f>
        <v>10.814136125654452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-1.6158856499471088</v>
      </c>
      <c r="P28" s="1">
        <f>(Main_M[[#This Row],[P/B]]-VLOOKUP(Main_M[[#This Row],[Industry]], Mean_PB_M, 2, FALSE))/(VLOOKUP(Main_M[[#This Row],[Industry]], Mean_PB_M, 3, FALSE))</f>
        <v>0.13966426204344526</v>
      </c>
      <c r="Q28" s="1">
        <f>(Main_M[[#This Row],[ROE]]-VLOOKUP(Main_M[[#This Row],[Industry]], Mean_ROE_M, 2, FALSE))/(VLOOKUP(Main_M[[#This Row],[Industry]], Mean_ROE_M, 3, FALSE))</f>
        <v>-0.11563819582415118</v>
      </c>
      <c r="R28" s="1">
        <f>(Main_M[[#This Row],[ROA]]-VLOOKUP(Main_M[[#This Row],[Industry]], Mean_ROA_M, 2, FALSE))/(VLOOKUP(Main_M[[#This Row],[Industry]], Mean_ROA_M, 3, FALSE))</f>
        <v>0.51986296426419532</v>
      </c>
      <c r="S28" s="1">
        <f>(Main_M[[#This Row],[A/E]]-VLOOKUP(Main_M[[#This Row],[Industry]], Mean_AE_M, 2, FALSE))/(VLOOKUP(Main_M[[#This Row],[Industry]], Mean_AE_M, 3, FALSE))</f>
        <v>0.17476655475520078</v>
      </c>
      <c r="T28" s="1">
        <f>(Main_M[[#This Row],[P/E]]-VLOOKUP(Main_M[[#This Row],[Industry]], Mean_PE_M, 2, FALSE))/(VLOOKUP(Main_M[[#This Row],[Industry]], Mean_PE_M, 3, FALSE))</f>
        <v>0.12651622570412918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107</v>
      </c>
      <c r="B29" s="67" t="s">
        <v>304</v>
      </c>
      <c r="C29" s="2">
        <v>4542</v>
      </c>
      <c r="D29">
        <f>RTD("tos.rtd", , "LAST", Main_M[[#This Row],[Symbol]])</f>
        <v>21.84</v>
      </c>
      <c r="E29">
        <v>2.27</v>
      </c>
      <c r="F29">
        <v>19.38</v>
      </c>
      <c r="G29">
        <v>2.2999999999999998</v>
      </c>
      <c r="H29" s="1">
        <f>IF(ISNUMBER(Main_M[[#This Row],[Free CF]]),IF(Main_M[[#This Row],[Free CF]]&lt;&gt;0,Main_M[[#This Row],[Current Price]]/Main_M[[#This Row],[Free CF]],""),"")</f>
        <v>9.6211453744493394</v>
      </c>
      <c r="I29" s="1">
        <f>IF(ISNUMBER(Main_M[[#This Row],[BVPS]]),IF(Main_M[[#This Row],[BVPS]]&lt;&gt;0,Main_M[[#This Row],[Current Price]]/Main_M[[#This Row],[BVPS]],""),"")</f>
        <v>1.126934984520124</v>
      </c>
      <c r="J29">
        <v>12.43</v>
      </c>
      <c r="K29">
        <v>6.91</v>
      </c>
      <c r="L29">
        <v>1.93</v>
      </c>
      <c r="M29" s="1">
        <f>IF(ISNUMBER(Main_M[[#This Row],[EPS]]),IF(Main_M[[#This Row],[EPS]]&lt;&gt;0,Main_M[[#This Row],[Current Price]]/Main_M[[#This Row],[EPS]],""),"")</f>
        <v>9.4956521739130437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0.23604906124117861</v>
      </c>
      <c r="P29" s="1">
        <f>(Main_M[[#This Row],[P/B]]-VLOOKUP(Main_M[[#This Row],[Industry]], Mean_PB_M, 2, FALSE))/(VLOOKUP(Main_M[[#This Row],[Industry]], Mean_PB_M, 3, FALSE))</f>
        <v>-0.58122776962024858</v>
      </c>
      <c r="Q29" s="1">
        <f>(Main_M[[#This Row],[ROE]]-VLOOKUP(Main_M[[#This Row],[Industry]], Mean_ROE_M, 2, FALSE))/(VLOOKUP(Main_M[[#This Row],[Industry]], Mean_ROE_M, 3, FALSE))</f>
        <v>-0.16381750024825015</v>
      </c>
      <c r="R29" s="1">
        <f>(Main_M[[#This Row],[ROA]]-VLOOKUP(Main_M[[#This Row],[Industry]], Mean_ROA_M, 2, FALSE))/(VLOOKUP(Main_M[[#This Row],[Industry]], Mean_ROA_M, 3, FALSE))</f>
        <v>0.34443845124386624</v>
      </c>
      <c r="S29" s="1">
        <f>(Main_M[[#This Row],[A/E]]-VLOOKUP(Main_M[[#This Row],[Industry]], Mean_AE_M, 2, FALSE))/(VLOOKUP(Main_M[[#This Row],[Industry]], Mean_AE_M, 3, FALSE))</f>
        <v>-0.31320076049452711</v>
      </c>
      <c r="T29" s="1">
        <f>(Main_M[[#This Row],[P/E]]-VLOOKUP(Main_M[[#This Row],[Industry]], Mean_PE_M, 2, FALSE))/(VLOOKUP(Main_M[[#This Row],[Industry]], Mean_PE_M, 3, FALSE))</f>
        <v>1.286273729500147E-2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7" t="s">
        <v>107</v>
      </c>
      <c r="B30" s="67" t="s">
        <v>193</v>
      </c>
      <c r="C30" s="2">
        <v>4309</v>
      </c>
      <c r="D30">
        <f>RTD("tos.rtd", , "LAST", Main_M[[#This Row],[Symbol]])</f>
        <v>41.71</v>
      </c>
      <c r="E30">
        <v>-0.82</v>
      </c>
      <c r="F30">
        <v>19.05</v>
      </c>
      <c r="G30">
        <v>0.03</v>
      </c>
      <c r="H30" s="1">
        <f>IF(ISNUMBER(Main_M[[#This Row],[Free CF]]),IF(Main_M[[#This Row],[Free CF]]&lt;&gt;0,Main_M[[#This Row],[Current Price]]/Main_M[[#This Row],[Free CF]],""),"")</f>
        <v>-50.865853658536587</v>
      </c>
      <c r="I30" s="1">
        <f>IF(ISNUMBER(Main_M[[#This Row],[BVPS]]),IF(Main_M[[#This Row],[BVPS]]&lt;&gt;0,Main_M[[#This Row],[Current Price]]/Main_M[[#This Row],[BVPS]],""),"")</f>
        <v>2.1895013123359579</v>
      </c>
      <c r="J30">
        <v>1.08</v>
      </c>
      <c r="K30">
        <v>0.52</v>
      </c>
      <c r="L30">
        <v>2.19</v>
      </c>
      <c r="M30" s="1">
        <f>IF(ISNUMBER(Main_M[[#This Row],[EPS]]),IF(Main_M[[#This Row],[EPS]]&lt;&gt;0,Main_M[[#This Row],[Current Price]]/Main_M[[#This Row],[EPS]],""),"")</f>
        <v>1390.3333333333335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-5.6894823679202569</v>
      </c>
      <c r="P30" s="1">
        <f>(Main_M[[#This Row],[P/B]]-VLOOKUP(Main_M[[#This Row],[Industry]], Mean_PB_M, 2, FALSE))/(VLOOKUP(Main_M[[#This Row],[Industry]], Mean_PB_M, 3, FALSE))</f>
        <v>0.26795043514688588</v>
      </c>
      <c r="Q30" s="1">
        <f>(Main_M[[#This Row],[ROE]]-VLOOKUP(Main_M[[#This Row],[Industry]], Mean_ROE_M, 2, FALSE))/(VLOOKUP(Main_M[[#This Row],[Industry]], Mean_ROE_M, 3, FALSE))</f>
        <v>-0.31446077992139709</v>
      </c>
      <c r="R30" s="1">
        <f>(Main_M[[#This Row],[ROA]]-VLOOKUP(Main_M[[#This Row],[Industry]], Mean_ROA_M, 2, FALSE))/(VLOOKUP(Main_M[[#This Row],[Industry]], Mean_ROA_M, 3, FALSE))</f>
        <v>-1.039466040360953</v>
      </c>
      <c r="S30" s="1">
        <f>(Main_M[[#This Row],[A/E]]-VLOOKUP(Main_M[[#This Row],[Industry]], Mean_AE_M, 2, FALSE))/(VLOOKUP(Main_M[[#This Row],[Industry]], Mean_AE_M, 3, FALSE))</f>
        <v>3.9779944177959249E-3</v>
      </c>
      <c r="T30" s="1">
        <f>(Main_M[[#This Row],[P/E]]-VLOOKUP(Main_M[[#This Row],[Industry]], Mean_PE_M, 2, FALSE))/(VLOOKUP(Main_M[[#This Row],[Industry]], Mean_PE_M, 3, FALSE))</f>
        <v>119.04125074555404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1" spans="1:26" x14ac:dyDescent="0.25">
      <c r="A31" s="67" t="s">
        <v>107</v>
      </c>
      <c r="B31" s="67" t="s">
        <v>183</v>
      </c>
      <c r="C31" s="2">
        <v>5223</v>
      </c>
      <c r="D31">
        <f>RTD("tos.rtd", , "LAST", Main_M[[#This Row],[Symbol]])</f>
        <v>49.31</v>
      </c>
      <c r="E31">
        <v>-2.41</v>
      </c>
      <c r="F31">
        <v>16.73</v>
      </c>
      <c r="G31">
        <v>4.66</v>
      </c>
      <c r="H31" s="1">
        <f>IF(ISNUMBER(Main_M[[#This Row],[Free CF]]),IF(Main_M[[#This Row],[Free CF]]&lt;&gt;0,Main_M[[#This Row],[Current Price]]/Main_M[[#This Row],[Free CF]],""),"")</f>
        <v>-20.460580912863069</v>
      </c>
      <c r="I31" s="1">
        <f>IF(ISNUMBER(Main_M[[#This Row],[BVPS]]),IF(Main_M[[#This Row],[BVPS]]&lt;&gt;0,Main_M[[#This Row],[Current Price]]/Main_M[[#This Row],[BVPS]],""),"")</f>
        <v>2.9473998804542738</v>
      </c>
      <c r="J31">
        <v>32.69</v>
      </c>
      <c r="K31">
        <v>10.95</v>
      </c>
      <c r="L31">
        <v>2.73</v>
      </c>
      <c r="M31" s="1">
        <f>IF(ISNUMBER(Main_M[[#This Row],[EPS]]),IF(Main_M[[#This Row],[EPS]]&lt;&gt;0,Main_M[[#This Row],[Current Price]]/Main_M[[#This Row],[EPS]],""),"")</f>
        <v>10.581545064377682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-2.710868746033317</v>
      </c>
      <c r="P31" s="1">
        <f>(Main_M[[#This Row],[P/B]]-VLOOKUP(Main_M[[#This Row],[Industry]], Mean_PB_M, 2, FALSE))/(VLOOKUP(Main_M[[#This Row],[Industry]], Mean_PB_M, 3, FALSE))</f>
        <v>0.87364527849208329</v>
      </c>
      <c r="Q31" s="1">
        <f>(Main_M[[#This Row],[ROE]]-VLOOKUP(Main_M[[#This Row],[Industry]], Mean_ROE_M, 2, FALSE))/(VLOOKUP(Main_M[[#This Row],[Industry]], Mean_ROE_M, 3, FALSE))</f>
        <v>0.1050840721022307</v>
      </c>
      <c r="R31" s="1">
        <f>(Main_M[[#This Row],[ROA]]-VLOOKUP(Main_M[[#This Row],[Industry]], Mean_ROA_M, 2, FALSE))/(VLOOKUP(Main_M[[#This Row],[Industry]], Mean_ROA_M, 3, FALSE))</f>
        <v>1.2193952816168661</v>
      </c>
      <c r="S31" s="1">
        <f>(Main_M[[#This Row],[A/E]]-VLOOKUP(Main_M[[#This Row],[Industry]], Mean_AE_M, 2, FALSE))/(VLOOKUP(Main_M[[#This Row],[Industry]], Mean_AE_M, 3, FALSE))</f>
        <v>0.66273387000492834</v>
      </c>
      <c r="T31" s="1">
        <f>(Main_M[[#This Row],[P/E]]-VLOOKUP(Main_M[[#This Row],[Industry]], Mean_PE_M, 2, FALSE))/(VLOOKUP(Main_M[[#This Row],[Industry]], Mean_PE_M, 3, FALSE))</f>
        <v>0.10646684592064991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7" t="s">
        <v>107</v>
      </c>
      <c r="B32" s="67" t="s">
        <v>171</v>
      </c>
      <c r="C32" s="2">
        <v>2142</v>
      </c>
      <c r="D32">
        <f>RTD("tos.rtd", , "LAST", Main_M[[#This Row],[Symbol]])</f>
        <v>9.08</v>
      </c>
      <c r="E32">
        <v>-5.01</v>
      </c>
      <c r="F32">
        <v>16.7</v>
      </c>
      <c r="G32">
        <v>-0.6</v>
      </c>
      <c r="H32" s="1">
        <f>IF(ISNUMBER(Main_M[[#This Row],[Free CF]]),IF(Main_M[[#This Row],[Free CF]]&lt;&gt;0,Main_M[[#This Row],[Current Price]]/Main_M[[#This Row],[Free CF]],""),"")</f>
        <v>-1.8123752495009982</v>
      </c>
      <c r="I32" s="1">
        <f>IF(ISNUMBER(Main_M[[#This Row],[BVPS]]),IF(Main_M[[#This Row],[BVPS]]&lt;&gt;0,Main_M[[#This Row],[Current Price]]/Main_M[[#This Row],[BVPS]],""),"")</f>
        <v>0.54371257485029945</v>
      </c>
      <c r="J32">
        <v>-2.4900000000000002</v>
      </c>
      <c r="K32">
        <v>1.4</v>
      </c>
      <c r="L32">
        <v>3.03</v>
      </c>
      <c r="M32" s="1">
        <f>IF(ISNUMBER(Main_M[[#This Row],[EPS]]),IF(Main_M[[#This Row],[EPS]]&lt;&gt;0,Main_M[[#This Row],[Current Price]]/Main_M[[#This Row],[EPS]],""),"")</f>
        <v>-15.133333333333335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-0.88402115031348361</v>
      </c>
      <c r="P32" s="1">
        <f>(Main_M[[#This Row],[P/B]]-VLOOKUP(Main_M[[#This Row],[Industry]], Mean_PB_M, 2, FALSE))/(VLOOKUP(Main_M[[#This Row],[Industry]], Mean_PB_M, 3, FALSE))</f>
        <v>-1.0473255047530932</v>
      </c>
      <c r="Q32" s="1">
        <f>(Main_M[[#This Row],[ROE]]-VLOOKUP(Main_M[[#This Row],[Industry]], Mean_ROE_M, 2, FALSE))/(VLOOKUP(Main_M[[#This Row],[Industry]], Mean_ROE_M, 3, FALSE))</f>
        <v>-0.36184373220625482</v>
      </c>
      <c r="R32" s="1">
        <f>(Main_M[[#This Row],[ROA]]-VLOOKUP(Main_M[[#This Row],[Industry]], Mean_ROA_M, 2, FALSE))/(VLOOKUP(Main_M[[#This Row],[Industry]], Mean_ROA_M, 3, FALSE))</f>
        <v>-0.84888138424010151</v>
      </c>
      <c r="S32" s="1">
        <f>(Main_M[[#This Row],[A/E]]-VLOOKUP(Main_M[[#This Row],[Industry]], Mean_AE_M, 2, FALSE))/(VLOOKUP(Main_M[[#This Row],[Industry]], Mean_AE_M, 3, FALSE))</f>
        <v>1.0287093564422238</v>
      </c>
      <c r="T32" s="1">
        <f>(Main_M[[#This Row],[P/E]]-VLOOKUP(Main_M[[#This Row],[Industry]], Mean_PE_M, 2, FALSE))/(VLOOKUP(Main_M[[#This Row],[Industry]], Mean_PE_M, 3, FALSE))</f>
        <v>-2.110159022036505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s="67" t="s">
        <v>107</v>
      </c>
      <c r="B33" s="67" t="s">
        <v>180</v>
      </c>
      <c r="C33" s="2">
        <v>9091</v>
      </c>
      <c r="D33">
        <f>RTD("tos.rtd", , "LAST", Main_M[[#This Row],[Symbol]])</f>
        <v>38.81</v>
      </c>
      <c r="E33">
        <v>1.29</v>
      </c>
      <c r="F33">
        <v>16.420000000000002</v>
      </c>
      <c r="G33">
        <v>1.1100000000000001</v>
      </c>
      <c r="H33" s="1">
        <f>IF(ISNUMBER(Main_M[[#This Row],[Free CF]]),IF(Main_M[[#This Row],[Free CF]]&lt;&gt;0,Main_M[[#This Row],[Current Price]]/Main_M[[#This Row],[Free CF]],""),"")</f>
        <v>30.085271317829459</v>
      </c>
      <c r="I33" s="1">
        <f>IF(ISNUMBER(Main_M[[#This Row],[BVPS]]),IF(Main_M[[#This Row],[BVPS]]&lt;&gt;0,Main_M[[#This Row],[Current Price]]/Main_M[[#This Row],[BVPS]],""),"")</f>
        <v>2.3635809987819729</v>
      </c>
      <c r="J33">
        <v>6.99</v>
      </c>
      <c r="K33">
        <v>3.44</v>
      </c>
      <c r="L33">
        <v>1.87</v>
      </c>
      <c r="M33" s="1">
        <f>IF(ISNUMBER(Main_M[[#This Row],[EPS]]),IF(Main_M[[#This Row],[EPS]]&lt;&gt;0,Main_M[[#This Row],[Current Price]]/Main_M[[#This Row],[EPS]],""),"")</f>
        <v>34.963963963963963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2.2407909625824658</v>
      </c>
      <c r="P33" s="1">
        <f>(Main_M[[#This Row],[P/B]]-VLOOKUP(Main_M[[#This Row],[Industry]], Mean_PB_M, 2, FALSE))/(VLOOKUP(Main_M[[#This Row],[Industry]], Mean_PB_M, 3, FALSE))</f>
        <v>0.40707085685883188</v>
      </c>
      <c r="Q33" s="1">
        <f>(Main_M[[#This Row],[ROE]]-VLOOKUP(Main_M[[#This Row],[Industry]], Mean_ROE_M, 2, FALSE))/(VLOOKUP(Main_M[[#This Row],[Industry]], Mean_ROE_M, 3, FALSE))</f>
        <v>-0.23602009420612854</v>
      </c>
      <c r="R33" s="1">
        <f>(Main_M[[#This Row],[ROA]]-VLOOKUP(Main_M[[#This Row],[Industry]], Mean_ROA_M, 2, FALSE))/(VLOOKUP(Main_M[[#This Row],[Industry]], Mean_ROA_M, 3, FALSE))</f>
        <v>-0.40707149959630945</v>
      </c>
      <c r="S33" s="1">
        <f>(Main_M[[#This Row],[A/E]]-VLOOKUP(Main_M[[#This Row],[Industry]], Mean_AE_M, 2, FALSE))/(VLOOKUP(Main_M[[#This Row],[Industry]], Mean_AE_M, 3, FALSE))</f>
        <v>-0.38639585778198604</v>
      </c>
      <c r="T33" s="1">
        <f>(Main_M[[#This Row],[P/E]]-VLOOKUP(Main_M[[#This Row],[Industry]], Mean_PE_M, 2, FALSE))/(VLOOKUP(Main_M[[#This Row],[Industry]], Mean_PE_M, 3, FALSE))</f>
        <v>2.2082345315497323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7" t="s">
        <v>107</v>
      </c>
      <c r="B34" s="67" t="s">
        <v>305</v>
      </c>
      <c r="C34" s="2">
        <v>9892</v>
      </c>
      <c r="D34">
        <f>RTD("tos.rtd", , "LAST", Main_M[[#This Row],[Symbol]])</f>
        <v>41.21</v>
      </c>
      <c r="E34">
        <v>3.55</v>
      </c>
      <c r="F34">
        <v>16.14</v>
      </c>
      <c r="G34">
        <v>4.3</v>
      </c>
      <c r="H34" s="1">
        <f>IF(ISNUMBER(Main_M[[#This Row],[Free CF]]),IF(Main_M[[#This Row],[Free CF]]&lt;&gt;0,Main_M[[#This Row],[Current Price]]/Main_M[[#This Row],[Free CF]],""),"")</f>
        <v>11.608450704225353</v>
      </c>
      <c r="I34" s="1">
        <f>IF(ISNUMBER(Main_M[[#This Row],[BVPS]]),IF(Main_M[[#This Row],[BVPS]]&lt;&gt;0,Main_M[[#This Row],[Current Price]]/Main_M[[#This Row],[BVPS]],""),"")</f>
        <v>2.5532837670384136</v>
      </c>
      <c r="J34">
        <v>31.62</v>
      </c>
      <c r="K34">
        <v>15.05</v>
      </c>
      <c r="L34">
        <v>1.78</v>
      </c>
      <c r="M34" s="1">
        <f>IF(ISNUMBER(Main_M[[#This Row],[EPS]]),IF(Main_M[[#This Row],[EPS]]&lt;&gt;0,Main_M[[#This Row],[Current Price]]/Main_M[[#This Row],[EPS]],""),"")</f>
        <v>9.583720930232559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0.43073288386735942</v>
      </c>
      <c r="P34" s="1">
        <f>(Main_M[[#This Row],[P/B]]-VLOOKUP(Main_M[[#This Row],[Industry]], Mean_PB_M, 2, FALSE))/(VLOOKUP(Main_M[[#This Row],[Industry]], Mean_PB_M, 3, FALSE))</f>
        <v>0.55867688085028733</v>
      </c>
      <c r="Q34" s="1">
        <f>(Main_M[[#This Row],[ROE]]-VLOOKUP(Main_M[[#This Row],[Industry]], Mean_ROE_M, 2, FALSE))/(VLOOKUP(Main_M[[#This Row],[Industry]], Mean_ROE_M, 3, FALSE))</f>
        <v>9.0882458952427456E-2</v>
      </c>
      <c r="R34" s="1">
        <f>(Main_M[[#This Row],[ROA]]-VLOOKUP(Main_M[[#This Row],[Industry]], Mean_ROA_M, 2, FALSE))/(VLOOKUP(Main_M[[#This Row],[Industry]], Mean_ROA_M, 3, FALSE))</f>
        <v>2.1073465203617423</v>
      </c>
      <c r="S34" s="1">
        <f>(Main_M[[#This Row],[A/E]]-VLOOKUP(Main_M[[#This Row],[Industry]], Mean_AE_M, 2, FALSE))/(VLOOKUP(Main_M[[#This Row],[Industry]], Mean_AE_M, 3, FALSE))</f>
        <v>-0.49618850371317486</v>
      </c>
      <c r="T34" s="1">
        <f>(Main_M[[#This Row],[P/E]]-VLOOKUP(Main_M[[#This Row],[Industry]], Mean_PE_M, 2, FALSE))/(VLOOKUP(Main_M[[#This Row],[Industry]], Mean_PE_M, 3, FALSE))</f>
        <v>2.0454275563136139E-2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107</v>
      </c>
      <c r="B35" s="67" t="s">
        <v>202</v>
      </c>
      <c r="C35" s="2">
        <v>3343</v>
      </c>
      <c r="D35">
        <f>RTD("tos.rtd", , "LAST", Main_M[[#This Row],[Symbol]])</f>
        <v>25.83</v>
      </c>
      <c r="E35">
        <v>2.5299999999999998</v>
      </c>
      <c r="F35">
        <v>14.1</v>
      </c>
      <c r="G35">
        <v>2.13</v>
      </c>
      <c r="H35" s="1">
        <f>IF(ISNUMBER(Main_M[[#This Row],[Free CF]]),IF(Main_M[[#This Row],[Free CF]]&lt;&gt;0,Main_M[[#This Row],[Current Price]]/Main_M[[#This Row],[Free CF]],""),"")</f>
        <v>10.209486166007904</v>
      </c>
      <c r="I35" s="1">
        <f>IF(ISNUMBER(Main_M[[#This Row],[BVPS]]),IF(Main_M[[#This Row],[BVPS]]&lt;&gt;0,Main_M[[#This Row],[Current Price]]/Main_M[[#This Row],[BVPS]],""),"")</f>
        <v>1.8319148936170213</v>
      </c>
      <c r="J35">
        <v>15</v>
      </c>
      <c r="K35">
        <v>7.49</v>
      </c>
      <c r="L35">
        <v>1.6</v>
      </c>
      <c r="M35" s="1">
        <f>IF(ISNUMBER(Main_M[[#This Row],[EPS]]),IF(Main_M[[#This Row],[EPS]]&lt;&gt;0,Main_M[[#This Row],[Current Price]]/Main_M[[#This Row],[EPS]],""),"")</f>
        <v>12.126760563380282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0.29368511373465439</v>
      </c>
      <c r="P35" s="1">
        <f>(Main_M[[#This Row],[P/B]]-VLOOKUP(Main_M[[#This Row],[Industry]], Mean_PB_M, 2, FALSE))/(VLOOKUP(Main_M[[#This Row],[Industry]], Mean_PB_M, 3, FALSE))</f>
        <v>-1.78242832380218E-2</v>
      </c>
      <c r="Q35" s="1">
        <f>(Main_M[[#This Row],[ROE]]-VLOOKUP(Main_M[[#This Row],[Industry]], Mean_ROE_M, 2, FALSE))/(VLOOKUP(Main_M[[#This Row],[Industry]], Mean_ROE_M, 3, FALSE))</f>
        <v>-0.12970708361741423</v>
      </c>
      <c r="R35" s="1">
        <f>(Main_M[[#This Row],[ROA]]-VLOOKUP(Main_M[[#This Row],[Industry]], Mean_ROA_M, 2, FALSE))/(VLOOKUP(Main_M[[#This Row],[Industry]], Mean_ROA_M, 3, FALSE))</f>
        <v>0.47005106550533654</v>
      </c>
      <c r="S35" s="1">
        <f>(Main_M[[#This Row],[A/E]]-VLOOKUP(Main_M[[#This Row],[Industry]], Mean_AE_M, 2, FALSE))/(VLOOKUP(Main_M[[#This Row],[Industry]], Mean_AE_M, 3, FALSE))</f>
        <v>-0.71577379557555221</v>
      </c>
      <c r="T35" s="1">
        <f>(Main_M[[#This Row],[P/E]]-VLOOKUP(Main_M[[#This Row],[Industry]], Mean_PE_M, 2, FALSE))/(VLOOKUP(Main_M[[#This Row],[Industry]], Mean_PE_M, 3, FALSE))</f>
        <v>0.23966462324175028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107</v>
      </c>
      <c r="B36" s="67" t="s">
        <v>179</v>
      </c>
      <c r="C36" s="2">
        <v>8837</v>
      </c>
      <c r="D36">
        <f>RTD("tos.rtd", , "LAST", Main_M[[#This Row],[Symbol]])</f>
        <v>13.78</v>
      </c>
      <c r="E36">
        <v>0.92</v>
      </c>
      <c r="F36">
        <v>13.31</v>
      </c>
      <c r="G36">
        <v>1.62</v>
      </c>
      <c r="H36" s="1">
        <f>IF(ISNUMBER(Main_M[[#This Row],[Free CF]]),IF(Main_M[[#This Row],[Free CF]]&lt;&gt;0,Main_M[[#This Row],[Current Price]]/Main_M[[#This Row],[Free CF]],""),"")</f>
        <v>14.978260869565217</v>
      </c>
      <c r="I36" s="1">
        <f>IF(ISNUMBER(Main_M[[#This Row],[BVPS]]),IF(Main_M[[#This Row],[BVPS]]&lt;&gt;0,Main_M[[#This Row],[Current Price]]/Main_M[[#This Row],[BVPS]],""),"")</f>
        <v>1.0353117956423741</v>
      </c>
      <c r="J36">
        <v>14.01</v>
      </c>
      <c r="K36">
        <v>8.01</v>
      </c>
      <c r="L36">
        <v>1.82</v>
      </c>
      <c r="M36" s="1">
        <f>IF(ISNUMBER(Main_M[[#This Row],[EPS]]),IF(Main_M[[#This Row],[EPS]]&lt;&gt;0,Main_M[[#This Row],[Current Price]]/Main_M[[#This Row],[EPS]],""),"")</f>
        <v>8.5061728395061724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0.76085202292631271</v>
      </c>
      <c r="P36" s="1">
        <f>(Main_M[[#This Row],[P/B]]-VLOOKUP(Main_M[[#This Row],[Industry]], Mean_PB_M, 2, FALSE))/(VLOOKUP(Main_M[[#This Row],[Industry]], Mean_PB_M, 3, FALSE))</f>
        <v>-0.65445088333041024</v>
      </c>
      <c r="Q36" s="1">
        <f>(Main_M[[#This Row],[ROE]]-VLOOKUP(Main_M[[#This Row],[Industry]], Mean_ROE_M, 2, FALSE))/(VLOOKUP(Main_M[[#This Row],[Industry]], Mean_ROE_M, 3, FALSE))</f>
        <v>-0.14284689391489577</v>
      </c>
      <c r="R36" s="1">
        <f>(Main_M[[#This Row],[ROA]]-VLOOKUP(Main_M[[#This Row],[Industry]], Mean_ROA_M, 2, FALSE))/(VLOOKUP(Main_M[[#This Row],[Industry]], Mean_ROA_M, 3, FALSE))</f>
        <v>0.58266927139493052</v>
      </c>
      <c r="S36" s="1">
        <f>(Main_M[[#This Row],[A/E]]-VLOOKUP(Main_M[[#This Row],[Industry]], Mean_AE_M, 2, FALSE))/(VLOOKUP(Main_M[[#This Row],[Industry]], Mean_AE_M, 3, FALSE))</f>
        <v>-0.44739177218820203</v>
      </c>
      <c r="T36" s="1">
        <f>(Main_M[[#This Row],[P/E]]-VLOOKUP(Main_M[[#This Row],[Industry]], Mean_PE_M, 2, FALSE))/(VLOOKUP(Main_M[[#This Row],[Industry]], Mean_PE_M, 3, FALSE))</f>
        <v>-7.2430510237933926E-2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7" t="s">
        <v>107</v>
      </c>
      <c r="B37" s="67" t="s">
        <v>308</v>
      </c>
      <c r="C37" s="2">
        <v>4901</v>
      </c>
      <c r="D37">
        <f>RTD("tos.rtd", , "LAST", Main_M[[#This Row],[Symbol]])</f>
        <v>28.21</v>
      </c>
      <c r="E37">
        <v>4.05</v>
      </c>
      <c r="F37">
        <v>12.59</v>
      </c>
      <c r="G37">
        <v>0.77</v>
      </c>
      <c r="H37" s="1">
        <f>IF(ISNUMBER(Main_M[[#This Row],[Free CF]]),IF(Main_M[[#This Row],[Free CF]]&lt;&gt;0,Main_M[[#This Row],[Current Price]]/Main_M[[#This Row],[Free CF]],""),"")</f>
        <v>6.965432098765433</v>
      </c>
      <c r="I37" s="1">
        <f>IF(ISNUMBER(Main_M[[#This Row],[BVPS]]),IF(Main_M[[#This Row],[BVPS]]&lt;&gt;0,Main_M[[#This Row],[Current Price]]/Main_M[[#This Row],[BVPS]],""),"")</f>
        <v>2.2406671961874505</v>
      </c>
      <c r="J37">
        <v>6.21</v>
      </c>
      <c r="K37">
        <v>3.78</v>
      </c>
      <c r="L37">
        <v>4.42</v>
      </c>
      <c r="M37" s="1">
        <f>IF(ISNUMBER(Main_M[[#This Row],[EPS]]),IF(Main_M[[#This Row],[EPS]]&lt;&gt;0,Main_M[[#This Row],[Current Price]]/Main_M[[#This Row],[EPS]],""),"")</f>
        <v>36.636363636363633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-2.4114490158098443E-2</v>
      </c>
      <c r="P37" s="1">
        <f>(Main_M[[#This Row],[P/B]]-VLOOKUP(Main_M[[#This Row],[Industry]], Mean_PB_M, 2, FALSE))/(VLOOKUP(Main_M[[#This Row],[Industry]], Mean_PB_M, 3, FALSE))</f>
        <v>0.30884101511062895</v>
      </c>
      <c r="Q37" s="1">
        <f>(Main_M[[#This Row],[ROE]]-VLOOKUP(Main_M[[#This Row],[Industry]], Mean_ROE_M, 2, FALSE))/(VLOOKUP(Main_M[[#This Row],[Industry]], Mean_ROE_M, 3, FALSE))</f>
        <v>-0.2463726720162655</v>
      </c>
      <c r="R37" s="1">
        <f>(Main_M[[#This Row],[ROA]]-VLOOKUP(Main_M[[#This Row],[Industry]], Mean_ROA_M, 2, FALSE))/(VLOOKUP(Main_M[[#This Row],[Industry]], Mean_ROA_M, 3, FALSE))</f>
        <v>-0.33343651882234415</v>
      </c>
      <c r="S37" s="1">
        <f>(Main_M[[#This Row],[A/E]]-VLOOKUP(Main_M[[#This Row],[Industry]], Mean_AE_M, 2, FALSE))/(VLOOKUP(Main_M[[#This Row],[Industry]], Mean_AE_M, 3, FALSE))</f>
        <v>2.7243957769350278</v>
      </c>
      <c r="T37" s="1">
        <f>(Main_M[[#This Row],[P/E]]-VLOOKUP(Main_M[[#This Row],[Industry]], Mean_PE_M, 2, FALSE))/(VLOOKUP(Main_M[[#This Row],[Industry]], Mean_PE_M, 3, FALSE))</f>
        <v>2.352395601186918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107</v>
      </c>
      <c r="B38" s="67" t="s">
        <v>293</v>
      </c>
      <c r="C38" s="2">
        <v>2162</v>
      </c>
      <c r="D38">
        <f>RTD("tos.rtd", , "LAST", Main_M[[#This Row],[Symbol]])</f>
        <v>146.08000000000001</v>
      </c>
      <c r="E38">
        <v>3.83</v>
      </c>
      <c r="F38">
        <v>12.56</v>
      </c>
      <c r="G38">
        <v>6.39</v>
      </c>
      <c r="H38" s="1">
        <f>IF(ISNUMBER(Main_M[[#This Row],[Free CF]]),IF(Main_M[[#This Row],[Free CF]]&lt;&gt;0,Main_M[[#This Row],[Current Price]]/Main_M[[#This Row],[Free CF]],""),"")</f>
        <v>38.140992167101828</v>
      </c>
      <c r="I38" s="1">
        <f>IF(ISNUMBER(Main_M[[#This Row],[BVPS]]),IF(Main_M[[#This Row],[BVPS]]&lt;&gt;0,Main_M[[#This Row],[Current Price]]/Main_M[[#This Row],[BVPS]],""),"")</f>
        <v>11.630573248407645</v>
      </c>
      <c r="J38">
        <v>85.99</v>
      </c>
      <c r="K38">
        <v>5.71</v>
      </c>
      <c r="L38">
        <v>6.05</v>
      </c>
      <c r="M38" s="1">
        <f>IF(ISNUMBER(Main_M[[#This Row],[EPS]]),IF(Main_M[[#This Row],[EPS]]&lt;&gt;0,Main_M[[#This Row],[Current Price]]/Main_M[[#This Row],[EPS]],""),"")</f>
        <v>22.860719874804385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3.0299593432270906</v>
      </c>
      <c r="P38" s="1">
        <f>(Main_M[[#This Row],[P/B]]-VLOOKUP(Main_M[[#This Row],[Industry]], Mean_PB_M, 2, FALSE))/(VLOOKUP(Main_M[[#This Row],[Industry]], Mean_PB_M, 3, FALSE))</f>
        <v>7.8130347351834262</v>
      </c>
      <c r="Q38" s="1">
        <f>(Main_M[[#This Row],[ROE]]-VLOOKUP(Main_M[[#This Row],[Industry]], Mean_ROE_M, 2, FALSE))/(VLOOKUP(Main_M[[#This Row],[Industry]], Mean_ROE_M, 3, FALSE))</f>
        <v>0.81251022246159044</v>
      </c>
      <c r="R38" s="1">
        <f>(Main_M[[#This Row],[ROA]]-VLOOKUP(Main_M[[#This Row],[Industry]], Mean_ROA_M, 2, FALSE))/(VLOOKUP(Main_M[[#This Row],[Industry]], Mean_ROA_M, 3, FALSE))</f>
        <v>8.4550283806341497E-2</v>
      </c>
      <c r="S38" s="1">
        <f>(Main_M[[#This Row],[A/E]]-VLOOKUP(Main_M[[#This Row],[Industry]], Mean_AE_M, 2, FALSE))/(VLOOKUP(Main_M[[#This Row],[Industry]], Mean_AE_M, 3, FALSE))</f>
        <v>4.7128625865776677</v>
      </c>
      <c r="T38" s="1">
        <f>(Main_M[[#This Row],[P/E]]-VLOOKUP(Main_M[[#This Row],[Industry]], Mean_PE_M, 2, FALSE))/(VLOOKUP(Main_M[[#This Row],[Industry]], Mean_PE_M, 3, FALSE))</f>
        <v>1.1649333142817266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7" t="s">
        <v>107</v>
      </c>
      <c r="B39" s="67" t="s">
        <v>309</v>
      </c>
      <c r="C39" s="2">
        <v>4455</v>
      </c>
      <c r="D39">
        <f>RTD("tos.rtd", , "LAST", Main_M[[#This Row],[Symbol]])</f>
        <v>18.55</v>
      </c>
      <c r="E39">
        <v>1.93</v>
      </c>
      <c r="F39">
        <v>12.52</v>
      </c>
      <c r="G39">
        <v>1.62</v>
      </c>
      <c r="H39" s="1">
        <f>IF(ISNUMBER(Main_M[[#This Row],[Free CF]]),IF(Main_M[[#This Row],[Free CF]]&lt;&gt;0,Main_M[[#This Row],[Current Price]]/Main_M[[#This Row],[Free CF]],""),"")</f>
        <v>9.6113989637305703</v>
      </c>
      <c r="I39" s="1">
        <f>IF(ISNUMBER(Main_M[[#This Row],[BVPS]]),IF(Main_M[[#This Row],[BVPS]]&lt;&gt;0,Main_M[[#This Row],[Current Price]]/Main_M[[#This Row],[BVPS]],""),"")</f>
        <v>1.4816293929712461</v>
      </c>
      <c r="J39">
        <v>13.62</v>
      </c>
      <c r="K39">
        <v>8.91</v>
      </c>
      <c r="L39">
        <v>1.47</v>
      </c>
      <c r="M39" s="1">
        <f>IF(ISNUMBER(Main_M[[#This Row],[EPS]]),IF(Main_M[[#This Row],[EPS]]&lt;&gt;0,Main_M[[#This Row],[Current Price]]/Main_M[[#This Row],[EPS]],""),"")</f>
        <v>11.450617283950617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0.2350942665917683</v>
      </c>
      <c r="P39" s="1">
        <f>(Main_M[[#This Row],[P/B]]-VLOOKUP(Main_M[[#This Row],[Industry]], Mean_PB_M, 2, FALSE))/(VLOOKUP(Main_M[[#This Row],[Industry]], Mean_PB_M, 3, FALSE))</f>
        <v>-0.29776427833063102</v>
      </c>
      <c r="Q39" s="1">
        <f>(Main_M[[#This Row],[ROE]]-VLOOKUP(Main_M[[#This Row],[Industry]], Mean_ROE_M, 2, FALSE))/(VLOOKUP(Main_M[[#This Row],[Industry]], Mean_ROE_M, 3, FALSE))</f>
        <v>-0.14802318281996427</v>
      </c>
      <c r="R39" s="1">
        <f>(Main_M[[#This Row],[ROA]]-VLOOKUP(Main_M[[#This Row],[Industry]], Mean_ROA_M, 2, FALSE))/(VLOOKUP(Main_M[[#This Row],[Industry]], Mean_ROA_M, 3, FALSE))</f>
        <v>0.77758539697307416</v>
      </c>
      <c r="S39" s="1">
        <f>(Main_M[[#This Row],[A/E]]-VLOOKUP(Main_M[[#This Row],[Industry]], Mean_AE_M, 2, FALSE))/(VLOOKUP(Main_M[[#This Row],[Industry]], Mean_AE_M, 3, FALSE))</f>
        <v>-0.87436317303171385</v>
      </c>
      <c r="T39" s="1">
        <f>(Main_M[[#This Row],[P/E]]-VLOOKUP(Main_M[[#This Row],[Industry]], Mean_PE_M, 2, FALSE))/(VLOOKUP(Main_M[[#This Row],[Industry]], Mean_PE_M, 3, FALSE))</f>
        <v>0.18138098446854151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7" t="s">
        <v>107</v>
      </c>
      <c r="B40" s="67" t="s">
        <v>198</v>
      </c>
      <c r="C40" s="2">
        <v>5414</v>
      </c>
      <c r="D40">
        <f>RTD("tos.rtd", , "LAST", Main_M[[#This Row],[Symbol]])</f>
        <v>26.43</v>
      </c>
      <c r="E40">
        <v>1.93</v>
      </c>
      <c r="F40">
        <v>12.49</v>
      </c>
      <c r="G40">
        <v>1.4</v>
      </c>
      <c r="H40" s="1">
        <f>IF(ISNUMBER(Main_M[[#This Row],[Free CF]]),IF(Main_M[[#This Row],[Free CF]]&lt;&gt;0,Main_M[[#This Row],[Current Price]]/Main_M[[#This Row],[Free CF]],""),"")</f>
        <v>13.694300518134716</v>
      </c>
      <c r="I40" s="1">
        <f>IF(ISNUMBER(Main_M[[#This Row],[BVPS]]),IF(Main_M[[#This Row],[BVPS]]&lt;&gt;0,Main_M[[#This Row],[Current Price]]/Main_M[[#This Row],[BVPS]],""),"")</f>
        <v>2.1160928742994396</v>
      </c>
      <c r="J40">
        <v>10.29</v>
      </c>
      <c r="K40">
        <v>3.67</v>
      </c>
      <c r="L40">
        <v>4.3</v>
      </c>
      <c r="M40" s="1">
        <f>IF(ISNUMBER(Main_M[[#This Row],[EPS]]),IF(Main_M[[#This Row],[EPS]]&lt;&gt;0,Main_M[[#This Row],[Current Price]]/Main_M[[#This Row],[EPS]],""),"")</f>
        <v>18.87857142857143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0.63507049073210398</v>
      </c>
      <c r="P40" s="1">
        <f>(Main_M[[#This Row],[P/B]]-VLOOKUP(Main_M[[#This Row],[Industry]], Mean_PB_M, 2, FALSE))/(VLOOKUP(Main_M[[#This Row],[Industry]], Mean_PB_M, 3, FALSE))</f>
        <v>0.20928412510603692</v>
      </c>
      <c r="Q40" s="1">
        <f>(Main_M[[#This Row],[ROE]]-VLOOKUP(Main_M[[#This Row],[Industry]], Mean_ROE_M, 2, FALSE))/(VLOOKUP(Main_M[[#This Row],[Industry]], Mean_ROE_M, 3, FALSE))</f>
        <v>-0.19222072654785674</v>
      </c>
      <c r="R40" s="1">
        <f>(Main_M[[#This Row],[ROA]]-VLOOKUP(Main_M[[#This Row],[Industry]], Mean_ROA_M, 2, FALSE))/(VLOOKUP(Main_M[[#This Row],[Industry]], Mean_ROA_M, 3, FALSE))</f>
        <v>-0.35725960083745056</v>
      </c>
      <c r="S40" s="1">
        <f>(Main_M[[#This Row],[A/E]]-VLOOKUP(Main_M[[#This Row],[Industry]], Mean_AE_M, 2, FALSE))/(VLOOKUP(Main_M[[#This Row],[Industry]], Mean_AE_M, 3, FALSE))</f>
        <v>2.5780055823601096</v>
      </c>
      <c r="T40" s="1">
        <f>(Main_M[[#This Row],[P/E]]-VLOOKUP(Main_M[[#This Row],[Industry]], Mean_PE_M, 2, FALSE))/(VLOOKUP(Main_M[[#This Row],[Industry]], Mean_PE_M, 3, FALSE))</f>
        <v>0.8216715994314211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107</v>
      </c>
      <c r="B41" s="67" t="s">
        <v>192</v>
      </c>
      <c r="C41" s="2">
        <v>4070</v>
      </c>
      <c r="D41">
        <f>RTD("tos.rtd", , "LAST", Main_M[[#This Row],[Symbol]])</f>
        <v>17.48</v>
      </c>
      <c r="E41">
        <v>3.08</v>
      </c>
      <c r="F41">
        <v>10.46</v>
      </c>
      <c r="G41">
        <v>1.56</v>
      </c>
      <c r="H41" s="1">
        <f>IF(ISNUMBER(Main_M[[#This Row],[Free CF]]),IF(Main_M[[#This Row],[Free CF]]&lt;&gt;0,Main_M[[#This Row],[Current Price]]/Main_M[[#This Row],[Free CF]],""),"")</f>
        <v>5.6753246753246751</v>
      </c>
      <c r="I41" s="1">
        <f>IF(ISNUMBER(Main_M[[#This Row],[BVPS]]),IF(Main_M[[#This Row],[BVPS]]&lt;&gt;0,Main_M[[#This Row],[Current Price]]/Main_M[[#This Row],[BVPS]],""),"")</f>
        <v>1.6711281070745696</v>
      </c>
      <c r="J41">
        <v>14.79</v>
      </c>
      <c r="K41">
        <v>5.43</v>
      </c>
      <c r="L41">
        <v>2.64</v>
      </c>
      <c r="M41" s="1">
        <f>IF(ISNUMBER(Main_M[[#This Row],[EPS]]),IF(Main_M[[#This Row],[EPS]]&lt;&gt;0,Main_M[[#This Row],[Current Price]]/Main_M[[#This Row],[EPS]],""),"")</f>
        <v>11.205128205128204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-0.15049821239275266</v>
      </c>
      <c r="P41" s="1">
        <f>(Main_M[[#This Row],[P/B]]-VLOOKUP(Main_M[[#This Row],[Industry]], Mean_PB_M, 2, FALSE))/(VLOOKUP(Main_M[[#This Row],[Industry]], Mean_PB_M, 3, FALSE))</f>
        <v>-0.14632132965493064</v>
      </c>
      <c r="Q41" s="1">
        <f>(Main_M[[#This Row],[ROE]]-VLOOKUP(Main_M[[#This Row],[Industry]], Mean_ROE_M, 2, FALSE))/(VLOOKUP(Main_M[[#This Row],[Industry]], Mean_ROE_M, 3, FALSE))</f>
        <v>-0.13249431610475881</v>
      </c>
      <c r="R41" s="1">
        <f>(Main_M[[#This Row],[ROA]]-VLOOKUP(Main_M[[#This Row],[Industry]], Mean_ROA_M, 2, FALSE))/(VLOOKUP(Main_M[[#This Row],[Industry]], Mean_ROA_M, 3, FALSE))</f>
        <v>2.3909711404252333E-2</v>
      </c>
      <c r="S41" s="1">
        <f>(Main_M[[#This Row],[A/E]]-VLOOKUP(Main_M[[#This Row],[Industry]], Mean_AE_M, 2, FALSE))/(VLOOKUP(Main_M[[#This Row],[Industry]], Mean_AE_M, 3, FALSE))</f>
        <v>0.5529412240737398</v>
      </c>
      <c r="T41" s="1">
        <f>(Main_M[[#This Row],[P/E]]-VLOOKUP(Main_M[[#This Row],[Industry]], Mean_PE_M, 2, FALSE))/(VLOOKUP(Main_M[[#This Row],[Industry]], Mean_PE_M, 3, FALSE))</f>
        <v>0.16021979389230412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107</v>
      </c>
      <c r="B42" s="67" t="s">
        <v>174</v>
      </c>
      <c r="C42" s="2">
        <v>4019</v>
      </c>
      <c r="D42">
        <f>RTD("tos.rtd", , "LAST", Main_M[[#This Row],[Symbol]])</f>
        <v>23.2</v>
      </c>
      <c r="E42">
        <v>2.4</v>
      </c>
      <c r="F42">
        <v>10.3</v>
      </c>
      <c r="G42">
        <v>2.0099999999999998</v>
      </c>
      <c r="H42" s="1">
        <f>IF(ISNUMBER(Main_M[[#This Row],[Free CF]]),IF(Main_M[[#This Row],[Free CF]]&lt;&gt;0,Main_M[[#This Row],[Current Price]]/Main_M[[#This Row],[Free CF]],""),"")</f>
        <v>9.6666666666666661</v>
      </c>
      <c r="I42" s="1">
        <f>IF(ISNUMBER(Main_M[[#This Row],[BVPS]]),IF(Main_M[[#This Row],[BVPS]]&lt;&gt;0,Main_M[[#This Row],[Current Price]]/Main_M[[#This Row],[BVPS]],""),"")</f>
        <v>2.2524271844660193</v>
      </c>
      <c r="J42">
        <v>20.91</v>
      </c>
      <c r="K42">
        <v>11.52</v>
      </c>
      <c r="L42">
        <v>1.48</v>
      </c>
      <c r="M42" s="1">
        <f>IF(ISNUMBER(Main_M[[#This Row],[EPS]]),IF(Main_M[[#This Row],[EPS]]&lt;&gt;0,Main_M[[#This Row],[Current Price]]/Main_M[[#This Row],[EPS]],""),"")</f>
        <v>11.542288557213931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0.2405084963601653</v>
      </c>
      <c r="P42" s="1">
        <f>(Main_M[[#This Row],[P/B]]-VLOOKUP(Main_M[[#This Row],[Industry]], Mean_PB_M, 2, FALSE))/(VLOOKUP(Main_M[[#This Row],[Industry]], Mean_PB_M, 3, FALSE))</f>
        <v>0.31823932321907905</v>
      </c>
      <c r="Q42" s="1">
        <f>(Main_M[[#This Row],[ROE]]-VLOOKUP(Main_M[[#This Row],[Industry]], Mean_ROE_M, 2, FALSE))/(VLOOKUP(Main_M[[#This Row],[Industry]], Mean_ROE_M, 3, FALSE))</f>
        <v>-5.1266397902145613E-2</v>
      </c>
      <c r="R42" s="1">
        <f>(Main_M[[#This Row],[ROA]]-VLOOKUP(Main_M[[#This Row],[Industry]], Mean_ROA_M, 2, FALSE))/(VLOOKUP(Main_M[[#This Row],[Industry]], Mean_ROA_M, 3, FALSE))</f>
        <v>1.3428421611496903</v>
      </c>
      <c r="S42" s="1">
        <f>(Main_M[[#This Row],[A/E]]-VLOOKUP(Main_M[[#This Row],[Industry]], Mean_AE_M, 2, FALSE))/(VLOOKUP(Main_M[[#This Row],[Industry]], Mean_AE_M, 3, FALSE))</f>
        <v>-0.86216399015047074</v>
      </c>
      <c r="T42" s="1">
        <f>(Main_M[[#This Row],[P/E]]-VLOOKUP(Main_M[[#This Row],[Industry]], Mean_PE_M, 2, FALSE))/(VLOOKUP(Main_M[[#This Row],[Industry]], Mean_PE_M, 3, FALSE))</f>
        <v>0.18928306016655916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107</v>
      </c>
      <c r="B43" s="67" t="s">
        <v>310</v>
      </c>
      <c r="C43" s="2">
        <v>2683</v>
      </c>
      <c r="D43">
        <f>RTD("tos.rtd", , "LAST", Main_M[[#This Row],[Symbol]])</f>
        <v>14.275</v>
      </c>
      <c r="E43">
        <v>0.9</v>
      </c>
      <c r="F43">
        <v>9.0500000000000007</v>
      </c>
      <c r="G43">
        <v>1.03</v>
      </c>
      <c r="H43" s="1">
        <f>IF(ISNUMBER(Main_M[[#This Row],[Free CF]]),IF(Main_M[[#This Row],[Free CF]]&lt;&gt;0,Main_M[[#This Row],[Current Price]]/Main_M[[#This Row],[Free CF]],""),"")</f>
        <v>15.861111111111111</v>
      </c>
      <c r="I43" s="1">
        <f>IF(ISNUMBER(Main_M[[#This Row],[BVPS]]),IF(Main_M[[#This Row],[BVPS]]&lt;&gt;0,Main_M[[#This Row],[Current Price]]/Main_M[[#This Row],[BVPS]],""),"")</f>
        <v>1.5773480662983426</v>
      </c>
      <c r="J43">
        <v>11.17</v>
      </c>
      <c r="K43">
        <v>5.6</v>
      </c>
      <c r="L43">
        <v>2.0699999999999998</v>
      </c>
      <c r="M43" s="1">
        <f>IF(ISNUMBER(Main_M[[#This Row],[EPS]]),IF(Main_M[[#This Row],[EPS]]&lt;&gt;0,Main_M[[#This Row],[Current Price]]/Main_M[[#This Row],[EPS]],""),"")</f>
        <v>13.859223300970873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0.84733931667798479</v>
      </c>
      <c r="P43" s="1">
        <f>(Main_M[[#This Row],[P/B]]-VLOOKUP(Main_M[[#This Row],[Industry]], Mean_PB_M, 2, FALSE))/(VLOOKUP(Main_M[[#This Row],[Industry]], Mean_PB_M, 3, FALSE))</f>
        <v>-0.22126814905305842</v>
      </c>
      <c r="Q43" s="1">
        <f>(Main_M[[#This Row],[ROE]]-VLOOKUP(Main_M[[#This Row],[Industry]], Mean_ROE_M, 2, FALSE))/(VLOOKUP(Main_M[[#This Row],[Industry]], Mean_ROE_M, 3, FALSE))</f>
        <v>-0.18054089517231756</v>
      </c>
      <c r="R43" s="1">
        <f>(Main_M[[#This Row],[ROA]]-VLOOKUP(Main_M[[#This Row],[Industry]], Mean_ROA_M, 2, FALSE))/(VLOOKUP(Main_M[[#This Row],[Industry]], Mean_ROA_M, 3, FALSE))</f>
        <v>6.0727201791234989E-2</v>
      </c>
      <c r="S43" s="1">
        <f>(Main_M[[#This Row],[A/E]]-VLOOKUP(Main_M[[#This Row],[Industry]], Mean_AE_M, 2, FALSE))/(VLOOKUP(Main_M[[#This Row],[Industry]], Mean_AE_M, 3, FALSE))</f>
        <v>-0.14241220015712253</v>
      </c>
      <c r="T43" s="1">
        <f>(Main_M[[#This Row],[P/E]]-VLOOKUP(Main_M[[#This Row],[Industry]], Mean_PE_M, 2, FALSE))/(VLOOKUP(Main_M[[#This Row],[Industry]], Mean_PE_M, 3, FALSE))</f>
        <v>0.3890031369232696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7" t="s">
        <v>107</v>
      </c>
      <c r="B44" s="67" t="s">
        <v>311</v>
      </c>
      <c r="C44" s="2">
        <v>6982</v>
      </c>
      <c r="D44">
        <f>RTD("tos.rtd", , "LAST", Main_M[[#This Row],[Symbol]])</f>
        <v>30.61</v>
      </c>
      <c r="E44">
        <v>2.38</v>
      </c>
      <c r="F44">
        <v>8.6199999999999992</v>
      </c>
      <c r="G44">
        <v>1.65</v>
      </c>
      <c r="H44" s="1">
        <f>IF(ISNUMBER(Main_M[[#This Row],[Free CF]]),IF(Main_M[[#This Row],[Free CF]]&lt;&gt;0,Main_M[[#This Row],[Current Price]]/Main_M[[#This Row],[Free CF]],""),"")</f>
        <v>12.861344537815127</v>
      </c>
      <c r="I44" s="1">
        <f>IF(ISNUMBER(Main_M[[#This Row],[BVPS]]),IF(Main_M[[#This Row],[BVPS]]&lt;&gt;0,Main_M[[#This Row],[Current Price]]/Main_M[[#This Row],[BVPS]],""),"")</f>
        <v>3.5510440835266825</v>
      </c>
      <c r="J44">
        <v>19.55</v>
      </c>
      <c r="K44">
        <v>6.52</v>
      </c>
      <c r="L44">
        <v>3.05</v>
      </c>
      <c r="M44" s="1">
        <f>IF(ISNUMBER(Main_M[[#This Row],[EPS]]),IF(Main_M[[#This Row],[EPS]]&lt;&gt;0,Main_M[[#This Row],[Current Price]]/Main_M[[#This Row],[EPS]],""),"")</f>
        <v>18.551515151515151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0.55347102441042273</v>
      </c>
      <c r="P44" s="1">
        <f>(Main_M[[#This Row],[P/B]]-VLOOKUP(Main_M[[#This Row],[Industry]], Mean_PB_M, 2, FALSE))/(VLOOKUP(Main_M[[#This Row],[Industry]], Mean_PB_M, 3, FALSE))</f>
        <v>1.3560636341883319</v>
      </c>
      <c r="Q44" s="1">
        <f>(Main_M[[#This Row],[ROE]]-VLOOKUP(Main_M[[#This Row],[Industry]], Mean_ROE_M, 2, FALSE))/(VLOOKUP(Main_M[[#This Row],[Industry]], Mean_ROE_M, 3, FALSE))</f>
        <v>-6.9317046391615206E-2</v>
      </c>
      <c r="R44" s="1">
        <f>(Main_M[[#This Row],[ROA]]-VLOOKUP(Main_M[[#This Row],[Industry]], Mean_ROA_M, 2, FALSE))/(VLOOKUP(Main_M[[#This Row],[Industry]], Mean_ROA_M, 3, FALSE))</f>
        <v>0.25997479682667057</v>
      </c>
      <c r="S44" s="1">
        <f>(Main_M[[#This Row],[A/E]]-VLOOKUP(Main_M[[#This Row],[Industry]], Mean_AE_M, 2, FALSE))/(VLOOKUP(Main_M[[#This Row],[Industry]], Mean_AE_M, 3, FALSE))</f>
        <v>1.0531077222047103</v>
      </c>
      <c r="T44" s="1">
        <f>(Main_M[[#This Row],[P/E]]-VLOOKUP(Main_M[[#This Row],[Industry]], Mean_PE_M, 2, FALSE))/(VLOOKUP(Main_M[[#This Row],[Industry]], Mean_PE_M, 3, FALSE))</f>
        <v>0.79347930574103986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s="67" t="s">
        <v>107</v>
      </c>
      <c r="B45" s="67" t="s">
        <v>312</v>
      </c>
      <c r="C45" s="2">
        <v>2035</v>
      </c>
      <c r="D45">
        <f>RTD("tos.rtd", , "LAST", Main_M[[#This Row],[Symbol]])</f>
        <v>10.955</v>
      </c>
      <c r="E45">
        <v>0.75</v>
      </c>
      <c r="F45">
        <v>8.41</v>
      </c>
      <c r="G45">
        <v>1.28</v>
      </c>
      <c r="H45" s="1">
        <f>IF(ISNUMBER(Main_M[[#This Row],[Free CF]]),IF(Main_M[[#This Row],[Free CF]]&lt;&gt;0,Main_M[[#This Row],[Current Price]]/Main_M[[#This Row],[Free CF]],""),"")</f>
        <v>14.606666666666667</v>
      </c>
      <c r="I45" s="1">
        <f>IF(ISNUMBER(Main_M[[#This Row],[BVPS]]),IF(Main_M[[#This Row],[BVPS]]&lt;&gt;0,Main_M[[#This Row],[Current Price]]/Main_M[[#This Row],[BVPS]],""),"")</f>
        <v>1.302615933412604</v>
      </c>
      <c r="J45">
        <v>16.739999999999998</v>
      </c>
      <c r="K45">
        <v>9.91</v>
      </c>
      <c r="L45">
        <v>1.47</v>
      </c>
      <c r="M45" s="1">
        <f>IF(ISNUMBER(Main_M[[#This Row],[EPS]]),IF(Main_M[[#This Row],[EPS]]&lt;&gt;0,Main_M[[#This Row],[Current Price]]/Main_M[[#This Row],[EPS]],""),"")</f>
        <v>8.55859375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0.72444927252752422</v>
      </c>
      <c r="P45" s="1">
        <f>(Main_M[[#This Row],[P/B]]-VLOOKUP(Main_M[[#This Row],[Industry]], Mean_PB_M, 2, FALSE))/(VLOOKUP(Main_M[[#This Row],[Industry]], Mean_PB_M, 3, FALSE))</f>
        <v>-0.44082765634076981</v>
      </c>
      <c r="Q45" s="1">
        <f>(Main_M[[#This Row],[ROE]]-VLOOKUP(Main_M[[#This Row],[Industry]], Mean_ROE_M, 2, FALSE))/(VLOOKUP(Main_M[[#This Row],[Industry]], Mean_ROE_M, 3, FALSE))</f>
        <v>-0.10661287157941637</v>
      </c>
      <c r="R45" s="1">
        <f>(Main_M[[#This Row],[ROA]]-VLOOKUP(Main_M[[#This Row],[Industry]], Mean_ROA_M, 2, FALSE))/(VLOOKUP(Main_M[[#This Row],[Industry]], Mean_ROA_M, 3, FALSE))</f>
        <v>0.99415886983767809</v>
      </c>
      <c r="S45" s="1">
        <f>(Main_M[[#This Row],[A/E]]-VLOOKUP(Main_M[[#This Row],[Industry]], Mean_AE_M, 2, FALSE))/(VLOOKUP(Main_M[[#This Row],[Industry]], Mean_AE_M, 3, FALSE))</f>
        <v>-0.87436317303171385</v>
      </c>
      <c r="T45" s="1">
        <f>(Main_M[[#This Row],[P/E]]-VLOOKUP(Main_M[[#This Row],[Industry]], Mean_PE_M, 2, FALSE))/(VLOOKUP(Main_M[[#This Row],[Industry]], Mean_PE_M, 3, FALSE))</f>
        <v>-6.791182092409187E-2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s="67" t="s">
        <v>107</v>
      </c>
      <c r="B46" s="67" t="s">
        <v>313</v>
      </c>
      <c r="C46" s="2">
        <v>3970</v>
      </c>
      <c r="D46">
        <f>RTD("tos.rtd", , "LAST", Main_M[[#This Row],[Symbol]])</f>
        <v>16.986000000000001</v>
      </c>
      <c r="E46">
        <v>0.84</v>
      </c>
      <c r="F46">
        <v>7.81</v>
      </c>
      <c r="G46">
        <v>0.66</v>
      </c>
      <c r="H46" s="1">
        <f>IF(ISNUMBER(Main_M[[#This Row],[Free CF]]),IF(Main_M[[#This Row],[Free CF]]&lt;&gt;0,Main_M[[#This Row],[Current Price]]/Main_M[[#This Row],[Free CF]],""),"")</f>
        <v>20.221428571428572</v>
      </c>
      <c r="I46" s="1">
        <f>IF(ISNUMBER(Main_M[[#This Row],[BVPS]]),IF(Main_M[[#This Row],[BVPS]]&lt;&gt;0,Main_M[[#This Row],[Current Price]]/Main_M[[#This Row],[BVPS]],""),"")</f>
        <v>2.1749039692701668</v>
      </c>
      <c r="J46">
        <v>8.3699999999999992</v>
      </c>
      <c r="K46">
        <v>5.81</v>
      </c>
      <c r="L46">
        <v>1.23</v>
      </c>
      <c r="M46" s="1">
        <f>IF(ISNUMBER(Main_M[[#This Row],[EPS]]),IF(Main_M[[#This Row],[EPS]]&lt;&gt;0,Main_M[[#This Row],[Current Price]]/Main_M[[#This Row],[EPS]],""),"")</f>
        <v>25.736363636363635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1.2744922349132315</v>
      </c>
      <c r="P46" s="1">
        <f>(Main_M[[#This Row],[P/B]]-VLOOKUP(Main_M[[#This Row],[Industry]], Mean_PB_M, 2, FALSE))/(VLOOKUP(Main_M[[#This Row],[Industry]], Mean_PB_M, 3, FALSE))</f>
        <v>0.25628457932736387</v>
      </c>
      <c r="Q46" s="1">
        <f>(Main_M[[#This Row],[ROE]]-VLOOKUP(Main_M[[#This Row],[Industry]], Mean_ROE_M, 2, FALSE))/(VLOOKUP(Main_M[[#This Row],[Industry]], Mean_ROE_M, 3, FALSE))</f>
        <v>-0.21770399500357848</v>
      </c>
      <c r="R46" s="1">
        <f>(Main_M[[#This Row],[ROA]]-VLOOKUP(Main_M[[#This Row],[Industry]], Mean_ROA_M, 2, FALSE))/(VLOOKUP(Main_M[[#This Row],[Industry]], Mean_ROA_M, 3, FALSE))</f>
        <v>0.1062076310928018</v>
      </c>
      <c r="S46" s="1">
        <f>(Main_M[[#This Row],[A/E]]-VLOOKUP(Main_M[[#This Row],[Industry]], Mean_AE_M, 2, FALSE))/(VLOOKUP(Main_M[[#This Row],[Industry]], Mean_AE_M, 3, FALSE))</f>
        <v>-1.1671435621815505</v>
      </c>
      <c r="T46" s="1">
        <f>(Main_M[[#This Row],[P/E]]-VLOOKUP(Main_M[[#This Row],[Industry]], Mean_PE_M, 2, FALSE))/(VLOOKUP(Main_M[[#This Row],[Industry]], Mean_PE_M, 3, FALSE))</f>
        <v>1.4128141811603054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s="67" t="s">
        <v>107</v>
      </c>
      <c r="B47" s="67" t="s">
        <v>172</v>
      </c>
      <c r="C47" s="2">
        <v>6825</v>
      </c>
      <c r="D47">
        <f>RTD("tos.rtd", , "LAST", Main_M[[#This Row],[Symbol]])</f>
        <v>24.24</v>
      </c>
      <c r="E47">
        <v>-1.45</v>
      </c>
      <c r="F47">
        <v>7.24</v>
      </c>
      <c r="G47">
        <v>-1.1200000000000001</v>
      </c>
      <c r="H47" s="1">
        <f>IF(ISNUMBER(Main_M[[#This Row],[Free CF]]),IF(Main_M[[#This Row],[Free CF]]&lt;&gt;0,Main_M[[#This Row],[Current Price]]/Main_M[[#This Row],[Free CF]],""),"")</f>
        <v>-16.717241379310344</v>
      </c>
      <c r="I47" s="1">
        <f>IF(ISNUMBER(Main_M[[#This Row],[BVPS]]),IF(Main_M[[#This Row],[BVPS]]&lt;&gt;0,Main_M[[#This Row],[Current Price]]/Main_M[[#This Row],[BVPS]],""),"")</f>
        <v>3.3480662983425411</v>
      </c>
      <c r="J47">
        <v>-13.44</v>
      </c>
      <c r="K47">
        <v>-0.28999999999999998</v>
      </c>
      <c r="L47">
        <v>3.11</v>
      </c>
      <c r="M47" s="1">
        <f>IF(ISNUMBER(Main_M[[#This Row],[EPS]]),IF(Main_M[[#This Row],[EPS]]&lt;&gt;0,Main_M[[#This Row],[Current Price]]/Main_M[[#This Row],[EPS]],""),"")</f>
        <v>-21.642857142857139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-2.3441572805828184</v>
      </c>
      <c r="P47" s="1">
        <f>(Main_M[[#This Row],[P/B]]-VLOOKUP(Main_M[[#This Row],[Industry]], Mean_PB_M, 2, FALSE))/(VLOOKUP(Main_M[[#This Row],[Industry]], Mean_PB_M, 3, FALSE))</f>
        <v>1.1938485265586904</v>
      </c>
      <c r="Q47" s="1">
        <f>(Main_M[[#This Row],[ROE]]-VLOOKUP(Main_M[[#This Row],[Industry]], Mean_ROE_M, 2, FALSE))/(VLOOKUP(Main_M[[#This Row],[Industry]], Mean_ROE_M, 3, FALSE))</f>
        <v>-0.50717799761779314</v>
      </c>
      <c r="R47" s="1">
        <f>(Main_M[[#This Row],[ROA]]-VLOOKUP(Main_M[[#This Row],[Industry]], Mean_ROA_M, 2, FALSE))/(VLOOKUP(Main_M[[#This Row],[Industry]], Mean_ROA_M, 3, FALSE))</f>
        <v>-1.2148905533812822</v>
      </c>
      <c r="S47" s="1">
        <f>(Main_M[[#This Row],[A/E]]-VLOOKUP(Main_M[[#This Row],[Industry]], Mean_AE_M, 2, FALSE))/(VLOOKUP(Main_M[[#This Row],[Industry]], Mean_AE_M, 3, FALSE))</f>
        <v>1.1263028194921696</v>
      </c>
      <c r="T47" s="1">
        <f>(Main_M[[#This Row],[P/E]]-VLOOKUP(Main_M[[#This Row],[Industry]], Mean_PE_M, 2, FALSE))/(VLOOKUP(Main_M[[#This Row],[Industry]], Mean_PE_M, 3, FALSE))</f>
        <v>-2.6712808224630575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8" spans="1:26" x14ac:dyDescent="0.25">
      <c r="A48" s="67" t="s">
        <v>107</v>
      </c>
      <c r="B48" s="67" t="s">
        <v>314</v>
      </c>
      <c r="C48" s="2">
        <v>7671</v>
      </c>
      <c r="D48">
        <f>RTD("tos.rtd", , "LAST", Main_M[[#This Row],[Symbol]])</f>
        <v>6.44</v>
      </c>
      <c r="E48">
        <v>0.75</v>
      </c>
      <c r="F48">
        <v>6.87</v>
      </c>
      <c r="G48">
        <v>1.07</v>
      </c>
      <c r="H48" s="1">
        <f>IF(ISNUMBER(Main_M[[#This Row],[Free CF]]),IF(Main_M[[#This Row],[Free CF]]&lt;&gt;0,Main_M[[#This Row],[Current Price]]/Main_M[[#This Row],[Free CF]],""),"")</f>
        <v>8.5866666666666678</v>
      </c>
      <c r="I48" s="1">
        <f>IF(ISNUMBER(Main_M[[#This Row],[BVPS]]),IF(Main_M[[#This Row],[BVPS]]&lt;&gt;0,Main_M[[#This Row],[Current Price]]/Main_M[[#This Row],[BVPS]],""),"")</f>
        <v>0.93740902474526933</v>
      </c>
      <c r="J48">
        <v>16.28</v>
      </c>
      <c r="K48">
        <v>6.75</v>
      </c>
      <c r="L48">
        <v>1.68</v>
      </c>
      <c r="M48" s="1">
        <f>IF(ISNUMBER(Main_M[[#This Row],[EPS]]),IF(Main_M[[#This Row],[EPS]]&lt;&gt;0,Main_M[[#This Row],[Current Price]]/Main_M[[#This Row],[EPS]],""),"")</f>
        <v>6.018691588785047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0.13470767889847568</v>
      </c>
      <c r="P48" s="1">
        <f>(Main_M[[#This Row],[P/B]]-VLOOKUP(Main_M[[#This Row],[Industry]], Mean_PB_M, 2, FALSE))/(VLOOKUP(Main_M[[#This Row],[Industry]], Mean_PB_M, 3, FALSE))</f>
        <v>-0.73269249240061685</v>
      </c>
      <c r="Q48" s="1">
        <f>(Main_M[[#This Row],[ROE]]-VLOOKUP(Main_M[[#This Row],[Industry]], Mean_ROE_M, 2, FALSE))/(VLOOKUP(Main_M[[#This Row],[Industry]], Mean_ROE_M, 3, FALSE))</f>
        <v>-0.11271823798026635</v>
      </c>
      <c r="R48" s="1">
        <f>(Main_M[[#This Row],[ROA]]-VLOOKUP(Main_M[[#This Row],[Industry]], Mean_ROA_M, 2, FALSE))/(VLOOKUP(Main_M[[#This Row],[Industry]], Mean_ROA_M, 3, FALSE))</f>
        <v>0.30978669558552957</v>
      </c>
      <c r="S48" s="1">
        <f>(Main_M[[#This Row],[A/E]]-VLOOKUP(Main_M[[#This Row],[Industry]], Mean_AE_M, 2, FALSE))/(VLOOKUP(Main_M[[#This Row],[Industry]], Mean_AE_M, 3, FALSE))</f>
        <v>-0.61818033252560689</v>
      </c>
      <c r="T48" s="1">
        <f>(Main_M[[#This Row],[P/E]]-VLOOKUP(Main_M[[#This Row],[Industry]], Mean_PE_M, 2, FALSE))/(VLOOKUP(Main_M[[#This Row],[Industry]], Mean_PE_M, 3, FALSE))</f>
        <v>-0.28685171811335869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s="67" t="s">
        <v>107</v>
      </c>
      <c r="B49" s="67" t="s">
        <v>197</v>
      </c>
      <c r="C49" s="2">
        <v>3480</v>
      </c>
      <c r="D49">
        <f>RTD("tos.rtd", , "LAST", Main_M[[#This Row],[Symbol]])</f>
        <v>18.579999999999998</v>
      </c>
      <c r="E49">
        <v>10.32</v>
      </c>
      <c r="F49">
        <v>6.86</v>
      </c>
      <c r="G49">
        <v>0.74</v>
      </c>
      <c r="H49" s="1">
        <f>IF(ISNUMBER(Main_M[[#This Row],[Free CF]]),IF(Main_M[[#This Row],[Free CF]]&lt;&gt;0,Main_M[[#This Row],[Current Price]]/Main_M[[#This Row],[Free CF]],""),"")</f>
        <v>1.8003875968992247</v>
      </c>
      <c r="I49" s="1">
        <f>IF(ISNUMBER(Main_M[[#This Row],[BVPS]]),IF(Main_M[[#This Row],[BVPS]]&lt;&gt;0,Main_M[[#This Row],[Current Price]]/Main_M[[#This Row],[BVPS]],""),"")</f>
        <v>2.7084548104956263</v>
      </c>
      <c r="J49">
        <v>8.4700000000000006</v>
      </c>
      <c r="K49">
        <v>3.26</v>
      </c>
      <c r="L49">
        <v>20.84</v>
      </c>
      <c r="M49" s="1">
        <f>IF(ISNUMBER(Main_M[[#This Row],[EPS]]),IF(Main_M[[#This Row],[EPS]]&lt;&gt;0,Main_M[[#This Row],[Current Price]]/Main_M[[#This Row],[EPS]],""),"")</f>
        <v>25.108108108108105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-0.5301014628649976</v>
      </c>
      <c r="P49" s="1">
        <f>(Main_M[[#This Row],[P/B]]-VLOOKUP(Main_M[[#This Row],[Industry]], Mean_PB_M, 2, FALSE))/(VLOOKUP(Main_M[[#This Row],[Industry]], Mean_PB_M, 3, FALSE))</f>
        <v>0.6826859564867187</v>
      </c>
      <c r="Q49" s="1">
        <f>(Main_M[[#This Row],[ROE]]-VLOOKUP(Main_M[[#This Row],[Industry]], Mean_ROE_M, 2, FALSE))/(VLOOKUP(Main_M[[#This Row],[Industry]], Mean_ROE_M, 3, FALSE))</f>
        <v>-0.21637674143817628</v>
      </c>
      <c r="R49" s="1">
        <f>(Main_M[[#This Row],[ROA]]-VLOOKUP(Main_M[[#This Row],[Industry]], Mean_ROA_M, 2, FALSE))/(VLOOKUP(Main_M[[#This Row],[Industry]], Mean_ROA_M, 3, FALSE))</f>
        <v>-0.44605472471193819</v>
      </c>
      <c r="S49" s="1">
        <f>(Main_M[[#This Row],[A/E]]-VLOOKUP(Main_M[[#This Row],[Industry]], Mean_AE_M, 2, FALSE))/(VLOOKUP(Main_M[[#This Row],[Industry]], Mean_AE_M, 3, FALSE))</f>
        <v>22.755454067936348</v>
      </c>
      <c r="T49" s="1">
        <f>(Main_M[[#This Row],[P/E]]-VLOOKUP(Main_M[[#This Row],[Industry]], Mean_PE_M, 2, FALSE))/(VLOOKUP(Main_M[[#This Row],[Industry]], Mean_PE_M, 3, FALSE))</f>
        <v>1.3586584727770119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0" spans="1:26" x14ac:dyDescent="0.25">
      <c r="A50" s="67" t="s">
        <v>107</v>
      </c>
      <c r="B50" s="67" t="s">
        <v>182</v>
      </c>
      <c r="C50" s="2">
        <v>2822</v>
      </c>
      <c r="D50">
        <f>RTD("tos.rtd", , "LAST", Main_M[[#This Row],[Symbol]])</f>
        <v>18.87</v>
      </c>
      <c r="E50">
        <v>-0.73</v>
      </c>
      <c r="F50">
        <v>5.78</v>
      </c>
      <c r="G50">
        <v>0.25</v>
      </c>
      <c r="H50" s="1">
        <f>IF(ISNUMBER(Main_M[[#This Row],[Free CF]]),IF(Main_M[[#This Row],[Free CF]]&lt;&gt;0,Main_M[[#This Row],[Current Price]]/Main_M[[#This Row],[Free CF]],""),"")</f>
        <v>-25.849315068493151</v>
      </c>
      <c r="I50" s="1">
        <f>IF(ISNUMBER(Main_M[[#This Row],[BVPS]]),IF(Main_M[[#This Row],[BVPS]]&lt;&gt;0,Main_M[[#This Row],[Current Price]]/Main_M[[#This Row],[BVPS]],""),"")</f>
        <v>3.2647058823529411</v>
      </c>
      <c r="J50">
        <v>4.22</v>
      </c>
      <c r="K50">
        <v>3.81</v>
      </c>
      <c r="L50">
        <v>1.45</v>
      </c>
      <c r="M50" s="1">
        <f>IF(ISNUMBER(Main_M[[#This Row],[EPS]]),IF(Main_M[[#This Row],[EPS]]&lt;&gt;0,Main_M[[#This Row],[Current Price]]/Main_M[[#This Row],[EPS]],""),"")</f>
        <v>75.48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-3.2387691893197901</v>
      </c>
      <c r="P50" s="1">
        <f>(Main_M[[#This Row],[P/B]]-VLOOKUP(Main_M[[#This Row],[Industry]], Mean_PB_M, 2, FALSE))/(VLOOKUP(Main_M[[#This Row],[Industry]], Mean_PB_M, 3, FALSE))</f>
        <v>1.1272288280555405</v>
      </c>
      <c r="Q50" s="1">
        <f>(Main_M[[#This Row],[ROE]]-VLOOKUP(Main_M[[#This Row],[Industry]], Mean_ROE_M, 2, FALSE))/(VLOOKUP(Main_M[[#This Row],[Industry]], Mean_ROE_M, 3, FALSE))</f>
        <v>-0.27278501796776883</v>
      </c>
      <c r="R50" s="1">
        <f>(Main_M[[#This Row],[ROA]]-VLOOKUP(Main_M[[#This Row],[Industry]], Mean_ROA_M, 2, FALSE))/(VLOOKUP(Main_M[[#This Row],[Industry]], Mean_ROA_M, 3, FALSE))</f>
        <v>-0.32693931463640596</v>
      </c>
      <c r="S50" s="1">
        <f>(Main_M[[#This Row],[A/E]]-VLOOKUP(Main_M[[#This Row],[Industry]], Mean_AE_M, 2, FALSE))/(VLOOKUP(Main_M[[#This Row],[Industry]], Mean_AE_M, 3, FALSE))</f>
        <v>-0.89876153879420029</v>
      </c>
      <c r="T50" s="1">
        <f>(Main_M[[#This Row],[P/E]]-VLOOKUP(Main_M[[#This Row],[Industry]], Mean_PE_M, 2, FALSE))/(VLOOKUP(Main_M[[#This Row],[Industry]], Mean_PE_M, 3, FALSE))</f>
        <v>5.7007221161908488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1" spans="1:26" x14ac:dyDescent="0.25">
      <c r="A51" s="67" t="s">
        <v>107</v>
      </c>
      <c r="B51" s="67" t="s">
        <v>186</v>
      </c>
      <c r="C51" s="2">
        <v>2351</v>
      </c>
      <c r="D51">
        <f>RTD("tos.rtd", , "LAST", Main_M[[#This Row],[Symbol]])</f>
        <v>23.82</v>
      </c>
      <c r="E51">
        <v>-2.34</v>
      </c>
      <c r="F51">
        <v>5.77</v>
      </c>
      <c r="G51">
        <v>-1.97</v>
      </c>
      <c r="H51" s="1">
        <f>IF(ISNUMBER(Main_M[[#This Row],[Free CF]]),IF(Main_M[[#This Row],[Free CF]]&lt;&gt;0,Main_M[[#This Row],[Current Price]]/Main_M[[#This Row],[Free CF]],""),"")</f>
        <v>-10.179487179487181</v>
      </c>
      <c r="I51" s="1">
        <f>IF(ISNUMBER(Main_M[[#This Row],[BVPS]]),IF(Main_M[[#This Row],[BVPS]]&lt;&gt;0,Main_M[[#This Row],[Current Price]]/Main_M[[#This Row],[BVPS]],""),"")</f>
        <v>4.1282495667244374</v>
      </c>
      <c r="J51">
        <v>-16.32</v>
      </c>
      <c r="K51">
        <v>-2.94</v>
      </c>
      <c r="L51">
        <v>7.33</v>
      </c>
      <c r="M51" s="1">
        <f>IF(ISNUMBER(Main_M[[#This Row],[EPS]]),IF(Main_M[[#This Row],[EPS]]&lt;&gt;0,Main_M[[#This Row],[Current Price]]/Main_M[[#This Row],[EPS]],""),"")</f>
        <v>-12.091370558375635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-1.7036945595597754</v>
      </c>
      <c r="P51" s="1">
        <f>(Main_M[[#This Row],[P/B]]-VLOOKUP(Main_M[[#This Row],[Industry]], Mean_PB_M, 2, FALSE))/(VLOOKUP(Main_M[[#This Row],[Industry]], Mean_PB_M, 3, FALSE))</f>
        <v>1.8173527821431217</v>
      </c>
      <c r="Q51" s="1">
        <f>(Main_M[[#This Row],[ROE]]-VLOOKUP(Main_M[[#This Row],[Industry]], Mean_ROE_M, 2, FALSE))/(VLOOKUP(Main_M[[#This Row],[Industry]], Mean_ROE_M, 3, FALSE))</f>
        <v>-0.54540290030137573</v>
      </c>
      <c r="R51" s="1">
        <f>(Main_M[[#This Row],[ROA]]-VLOOKUP(Main_M[[#This Row],[Industry]], Mean_ROA_M, 2, FALSE))/(VLOOKUP(Main_M[[#This Row],[Industry]], Mean_ROA_M, 3, FALSE))</f>
        <v>-1.7888102564724824</v>
      </c>
      <c r="S51" s="1">
        <f>(Main_M[[#This Row],[A/E]]-VLOOKUP(Main_M[[#This Row],[Industry]], Mean_AE_M, 2, FALSE))/(VLOOKUP(Main_M[[#This Row],[Industry]], Mean_AE_M, 3, FALSE))</f>
        <v>6.2743579953767972</v>
      </c>
      <c r="T51" s="1">
        <f>(Main_M[[#This Row],[P/E]]-VLOOKUP(Main_M[[#This Row],[Industry]], Mean_PE_M, 2, FALSE))/(VLOOKUP(Main_M[[#This Row],[Industry]], Mean_PE_M, 3, FALSE))</f>
        <v>-1.8479414345353258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s="67" t="s">
        <v>107</v>
      </c>
      <c r="B52" s="67" t="s">
        <v>315</v>
      </c>
      <c r="C52" s="2">
        <v>5640</v>
      </c>
      <c r="D52">
        <f>RTD("tos.rtd", , "LAST", Main_M[[#This Row],[Symbol]])</f>
        <v>7.49</v>
      </c>
      <c r="E52">
        <v>-1.4</v>
      </c>
      <c r="F52">
        <v>5.72</v>
      </c>
      <c r="G52">
        <v>2.39</v>
      </c>
      <c r="H52" s="1">
        <f>IF(ISNUMBER(Main_M[[#This Row],[Free CF]]),IF(Main_M[[#This Row],[Free CF]]&lt;&gt;0,Main_M[[#This Row],[Current Price]]/Main_M[[#This Row],[Free CF]],""),"")</f>
        <v>-5.3500000000000005</v>
      </c>
      <c r="I52" s="1">
        <f>IF(ISNUMBER(Main_M[[#This Row],[BVPS]]),IF(Main_M[[#This Row],[BVPS]]&lt;&gt;0,Main_M[[#This Row],[Current Price]]/Main_M[[#This Row],[BVPS]],""),"")</f>
        <v>1.3094405594405596</v>
      </c>
      <c r="J52">
        <v>53.95</v>
      </c>
      <c r="K52">
        <v>8.39</v>
      </c>
      <c r="L52">
        <v>2.06</v>
      </c>
      <c r="M52" s="1">
        <f>IF(ISNUMBER(Main_M[[#This Row],[EPS]]),IF(Main_M[[#This Row],[EPS]]&lt;&gt;0,Main_M[[#This Row],[Current Price]]/Main_M[[#This Row],[EPS]],""),"")</f>
        <v>3.1338912133891212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-1.2305800303833918</v>
      </c>
      <c r="P52" s="1">
        <f>(Main_M[[#This Row],[P/B]]-VLOOKUP(Main_M[[#This Row],[Industry]], Mean_PB_M, 2, FALSE))/(VLOOKUP(Main_M[[#This Row],[Industry]], Mean_PB_M, 3, FALSE))</f>
        <v>-0.43537357453249437</v>
      </c>
      <c r="Q52" s="1">
        <f>(Main_M[[#This Row],[ROE]]-VLOOKUP(Main_M[[#This Row],[Industry]], Mean_ROE_M, 2, FALSE))/(VLOOKUP(Main_M[[#This Row],[Industry]], Mean_ROE_M, 3, FALSE))</f>
        <v>0.38725818010673341</v>
      </c>
      <c r="R52" s="1">
        <f>(Main_M[[#This Row],[ROA]]-VLOOKUP(Main_M[[#This Row],[Industry]], Mean_ROA_M, 2, FALSE))/(VLOOKUP(Main_M[[#This Row],[Industry]], Mean_ROA_M, 3, FALSE))</f>
        <v>0.66496719108348012</v>
      </c>
      <c r="S52" s="1">
        <f>(Main_M[[#This Row],[A/E]]-VLOOKUP(Main_M[[#This Row],[Industry]], Mean_AE_M, 2, FALSE))/(VLOOKUP(Main_M[[#This Row],[Industry]], Mean_AE_M, 3, FALSE))</f>
        <v>-0.15461138303836544</v>
      </c>
      <c r="T52" s="1">
        <f>(Main_M[[#This Row],[P/E]]-VLOOKUP(Main_M[[#This Row],[Industry]], Mean_PE_M, 2, FALSE))/(VLOOKUP(Main_M[[#This Row],[Industry]], Mean_PE_M, 3, FALSE))</f>
        <v>-0.53552188629756137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s="67" t="s">
        <v>107</v>
      </c>
      <c r="B53" s="67" t="s">
        <v>195</v>
      </c>
      <c r="C53" s="2">
        <v>4311</v>
      </c>
      <c r="D53">
        <f>RTD("tos.rtd", , "LAST", Main_M[[#This Row],[Symbol]])</f>
        <v>38.82</v>
      </c>
      <c r="E53">
        <v>6.75</v>
      </c>
      <c r="F53">
        <v>5.15</v>
      </c>
      <c r="G53">
        <v>2.5499999999999998</v>
      </c>
      <c r="H53" s="1">
        <f>IF(ISNUMBER(Main_M[[#This Row],[Free CF]]),IF(Main_M[[#This Row],[Free CF]]&lt;&gt;0,Main_M[[#This Row],[Current Price]]/Main_M[[#This Row],[Free CF]],""),"")</f>
        <v>5.7511111111111113</v>
      </c>
      <c r="I53" s="1">
        <f>IF(ISNUMBER(Main_M[[#This Row],[BVPS]]),IF(Main_M[[#This Row],[BVPS]]&lt;&gt;0,Main_M[[#This Row],[Current Price]]/Main_M[[#This Row],[BVPS]],""),"")</f>
        <v>7.5378640776699024</v>
      </c>
      <c r="J53">
        <v>147.22</v>
      </c>
      <c r="K53">
        <v>14.37</v>
      </c>
      <c r="L53">
        <v>7.09</v>
      </c>
      <c r="M53" s="1">
        <f>IF(ISNUMBER(Main_M[[#This Row],[EPS]]),IF(Main_M[[#This Row],[EPS]]&lt;&gt;0,Main_M[[#This Row],[Current Price]]/Main_M[[#This Row],[EPS]],""),"")</f>
        <v>15.223529411764707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-0.14307389122727784</v>
      </c>
      <c r="P53" s="1">
        <f>(Main_M[[#This Row],[P/B]]-VLOOKUP(Main_M[[#This Row],[Industry]], Mean_PB_M, 2, FALSE))/(VLOOKUP(Main_M[[#This Row],[Industry]], Mean_PB_M, 3, FALSE))</f>
        <v>4.542237105650945</v>
      </c>
      <c r="Q53" s="1">
        <f>(Main_M[[#This Row],[ROE]]-VLOOKUP(Main_M[[#This Row],[Industry]], Mean_ROE_M, 2, FALSE))/(VLOOKUP(Main_M[[#This Row],[Industry]], Mean_ROE_M, 3, FALSE))</f>
        <v>1.625187580557343</v>
      </c>
      <c r="R53" s="1">
        <f>(Main_M[[#This Row],[ROA]]-VLOOKUP(Main_M[[#This Row],[Industry]], Mean_ROA_M, 2, FALSE))/(VLOOKUP(Main_M[[#This Row],[Industry]], Mean_ROA_M, 3, FALSE))</f>
        <v>1.9600765588138114</v>
      </c>
      <c r="S53" s="1">
        <f>(Main_M[[#This Row],[A/E]]-VLOOKUP(Main_M[[#This Row],[Industry]], Mean_AE_M, 2, FALSE))/(VLOOKUP(Main_M[[#This Row],[Industry]], Mean_AE_M, 3, FALSE))</f>
        <v>5.9815776062269599</v>
      </c>
      <c r="T53" s="1">
        <f>(Main_M[[#This Row],[P/E]]-VLOOKUP(Main_M[[#This Row],[Industry]], Mean_PE_M, 2, FALSE))/(VLOOKUP(Main_M[[#This Row],[Industry]], Mean_PE_M, 3, FALSE))</f>
        <v>0.50660650141232055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s="67" t="s">
        <v>107</v>
      </c>
      <c r="B54" s="67" t="s">
        <v>194</v>
      </c>
      <c r="C54" s="2">
        <v>2520</v>
      </c>
      <c r="D54">
        <f>RTD("tos.rtd", , "LAST", Main_M[[#This Row],[Symbol]])</f>
        <v>5.25</v>
      </c>
      <c r="E54">
        <v>1.69</v>
      </c>
      <c r="F54">
        <v>4.57</v>
      </c>
      <c r="G54">
        <v>1.2</v>
      </c>
      <c r="H54" s="1">
        <f>IF(ISNUMBER(Main_M[[#This Row],[Free CF]]),IF(Main_M[[#This Row],[Free CF]]&lt;&gt;0,Main_M[[#This Row],[Current Price]]/Main_M[[#This Row],[Free CF]],""),"")</f>
        <v>3.1065088757396451</v>
      </c>
      <c r="I54" s="1">
        <f>IF(ISNUMBER(Main_M[[#This Row],[BVPS]]),IF(Main_M[[#This Row],[BVPS]]&lt;&gt;0,Main_M[[#This Row],[Current Price]]/Main_M[[#This Row],[BVPS]],""),"")</f>
        <v>1.1487964989059081</v>
      </c>
      <c r="J54">
        <v>26.66</v>
      </c>
      <c r="K54">
        <v>10.199999999999999</v>
      </c>
      <c r="L54">
        <v>1.62</v>
      </c>
      <c r="M54" s="1">
        <f>IF(ISNUMBER(Main_M[[#This Row],[EPS]]),IF(Main_M[[#This Row],[EPS]]&lt;&gt;0,Main_M[[#This Row],[Current Price]]/Main_M[[#This Row],[EPS]],""),"")</f>
        <v>4.375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54" s="1">
        <f>(Main_M[[#This Row],[P/FCF]]-VLOOKUP(Main_M[[#This Row],[Industry]], Mean_PFCF_M, 2, FALSE))/(VLOOKUP(Main_M[[#This Row],[Industry]], Mean_PFCF_M, 3, FALSE))</f>
        <v>-0.40214896378590126</v>
      </c>
      <c r="P54" s="1">
        <f>(Main_M[[#This Row],[P/B]]-VLOOKUP(Main_M[[#This Row],[Industry]], Mean_PB_M, 2, FALSE))/(VLOOKUP(Main_M[[#This Row],[Industry]], Mean_PB_M, 3, FALSE))</f>
        <v>-0.56375655765574839</v>
      </c>
      <c r="Q54" s="1">
        <f>(Main_M[[#This Row],[ROE]]-VLOOKUP(Main_M[[#This Row],[Industry]], Mean_ROE_M, 2, FALSE))/(VLOOKUP(Main_M[[#This Row],[Industry]], Mean_ROE_M, 3, FALSE))</f>
        <v>2.5050682108479515E-2</v>
      </c>
      <c r="R54" s="1">
        <f>(Main_M[[#This Row],[ROA]]-VLOOKUP(Main_M[[#This Row],[Industry]], Mean_ROA_M, 2, FALSE))/(VLOOKUP(Main_M[[#This Row],[Industry]], Mean_ROA_M, 3, FALSE))</f>
        <v>1.056965176968413</v>
      </c>
      <c r="S54" s="1">
        <f>(Main_M[[#This Row],[A/E]]-VLOOKUP(Main_M[[#This Row],[Industry]], Mean_AE_M, 2, FALSE))/(VLOOKUP(Main_M[[#This Row],[Industry]], Mean_AE_M, 3, FALSE))</f>
        <v>-0.69137542981306588</v>
      </c>
      <c r="T54" s="1">
        <f>(Main_M[[#This Row],[P/E]]-VLOOKUP(Main_M[[#This Row],[Industry]], Mean_PE_M, 2, FALSE))/(VLOOKUP(Main_M[[#This Row],[Industry]], Mean_PE_M, 3, FALSE))</f>
        <v>-0.42853814720294159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s="67" t="s">
        <v>107</v>
      </c>
      <c r="B55" s="67" t="s">
        <v>190</v>
      </c>
      <c r="C55" s="2">
        <v>9000</v>
      </c>
      <c r="D55">
        <f>RTD("tos.rtd", , "LAST", Main_M[[#This Row],[Symbol]])</f>
        <v>18.399999999999999</v>
      </c>
      <c r="E55">
        <v>1.24</v>
      </c>
      <c r="F55">
        <v>4.3600000000000003</v>
      </c>
      <c r="G55">
        <v>0.87</v>
      </c>
      <c r="H55" s="1">
        <f>IF(ISNUMBER(Main_M[[#This Row],[Free CF]]),IF(Main_M[[#This Row],[Free CF]]&lt;&gt;0,Main_M[[#This Row],[Current Price]]/Main_M[[#This Row],[Free CF]],""),"")</f>
        <v>14.838709677419354</v>
      </c>
      <c r="I55" s="1">
        <f>IF(ISNUMBER(Main_M[[#This Row],[BVPS]]),IF(Main_M[[#This Row],[BVPS]]&lt;&gt;0,Main_M[[#This Row],[Current Price]]/Main_M[[#This Row],[BVPS]],""),"")</f>
        <v>4.2201834862385317</v>
      </c>
      <c r="J55">
        <v>19.71</v>
      </c>
      <c r="K55">
        <v>7.3</v>
      </c>
      <c r="L55">
        <v>2.75</v>
      </c>
      <c r="M55" s="1">
        <f>IF(ISNUMBER(Main_M[[#This Row],[EPS]]),IF(Main_M[[#This Row],[EPS]]&lt;&gt;0,Main_M[[#This Row],[Current Price]]/Main_M[[#This Row],[EPS]],""),"")</f>
        <v>21.149425287356319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0.7471810690311409</v>
      </c>
      <c r="P55" s="1">
        <f>(Main_M[[#This Row],[P/B]]-VLOOKUP(Main_M[[#This Row],[Industry]], Mean_PB_M, 2, FALSE))/(VLOOKUP(Main_M[[#This Row],[Industry]], Mean_PB_M, 3, FALSE))</f>
        <v>1.8908242245241904</v>
      </c>
      <c r="Q55" s="1">
        <f>(Main_M[[#This Row],[ROE]]-VLOOKUP(Main_M[[#This Row],[Industry]], Mean_ROE_M, 2, FALSE))/(VLOOKUP(Main_M[[#This Row],[Industry]], Mean_ROE_M, 3, FALSE))</f>
        <v>-6.7193440686971723E-2</v>
      </c>
      <c r="R55" s="1">
        <f>(Main_M[[#This Row],[ROA]]-VLOOKUP(Main_M[[#This Row],[Industry]], Mean_ROA_M, 2, FALSE))/(VLOOKUP(Main_M[[#This Row],[Industry]], Mean_ROA_M, 3, FALSE))</f>
        <v>0.42890210566106174</v>
      </c>
      <c r="S55" s="1">
        <f>(Main_M[[#This Row],[A/E]]-VLOOKUP(Main_M[[#This Row],[Industry]], Mean_AE_M, 2, FALSE))/(VLOOKUP(Main_M[[#This Row],[Industry]], Mean_AE_M, 3, FALSE))</f>
        <v>0.68713223576741478</v>
      </c>
      <c r="T55" s="1">
        <f>(Main_M[[#This Row],[P/E]]-VLOOKUP(Main_M[[#This Row],[Industry]], Mean_PE_M, 2, FALSE))/(VLOOKUP(Main_M[[#This Row],[Industry]], Mean_PE_M, 3, FALSE))</f>
        <v>1.0174194979002302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s="67" t="s">
        <v>107</v>
      </c>
      <c r="B56" s="67" t="s">
        <v>316</v>
      </c>
      <c r="C56" s="2">
        <v>2704</v>
      </c>
      <c r="D56">
        <f>RTD("tos.rtd", , "LAST", Main_M[[#This Row],[Symbol]])</f>
        <v>17.14</v>
      </c>
      <c r="E56">
        <v>1.55</v>
      </c>
      <c r="F56">
        <v>4.04</v>
      </c>
      <c r="G56">
        <v>0.68</v>
      </c>
      <c r="H56" s="1">
        <f>IF(ISNUMBER(Main_M[[#This Row],[Free CF]]),IF(Main_M[[#This Row],[Free CF]]&lt;&gt;0,Main_M[[#This Row],[Current Price]]/Main_M[[#This Row],[Free CF]],""),"")</f>
        <v>11.058064516129033</v>
      </c>
      <c r="I56" s="1">
        <f>IF(ISNUMBER(Main_M[[#This Row],[BVPS]]),IF(Main_M[[#This Row],[BVPS]]&lt;&gt;0,Main_M[[#This Row],[Current Price]]/Main_M[[#This Row],[BVPS]],""),"")</f>
        <v>4.2425742574257423</v>
      </c>
      <c r="J56">
        <v>17.11</v>
      </c>
      <c r="K56">
        <v>4.3499999999999996</v>
      </c>
      <c r="L56">
        <v>4.9000000000000004</v>
      </c>
      <c r="M56" s="1">
        <f>IF(ISNUMBER(Main_M[[#This Row],[EPS]]),IF(Main_M[[#This Row],[EPS]]&lt;&gt;0,Main_M[[#This Row],[Current Price]]/Main_M[[#This Row],[EPS]],""),"")</f>
        <v>25.205882352941174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0.37681500551530933</v>
      </c>
      <c r="P56" s="1">
        <f>(Main_M[[#This Row],[P/B]]-VLOOKUP(Main_M[[#This Row],[Industry]], Mean_PB_M, 2, FALSE))/(VLOOKUP(Main_M[[#This Row],[Industry]], Mean_PB_M, 3, FALSE))</f>
        <v>1.9087184061694822</v>
      </c>
      <c r="Q56" s="1">
        <f>(Main_M[[#This Row],[ROE]]-VLOOKUP(Main_M[[#This Row],[Industry]], Mean_ROE_M, 2, FALSE))/(VLOOKUP(Main_M[[#This Row],[Industry]], Mean_ROE_M, 3, FALSE))</f>
        <v>-0.10170203338742831</v>
      </c>
      <c r="R56" s="1">
        <f>(Main_M[[#This Row],[ROA]]-VLOOKUP(Main_M[[#This Row],[Industry]], Mean_ROA_M, 2, FALSE))/(VLOOKUP(Main_M[[#This Row],[Industry]], Mean_ROA_M, 3, FALSE))</f>
        <v>-0.20998963928951994</v>
      </c>
      <c r="S56" s="1">
        <f>(Main_M[[#This Row],[A/E]]-VLOOKUP(Main_M[[#This Row],[Industry]], Mean_AE_M, 2, FALSE))/(VLOOKUP(Main_M[[#This Row],[Industry]], Mean_AE_M, 3, FALSE))</f>
        <v>3.3099565552347014</v>
      </c>
      <c r="T56" s="1">
        <f>(Main_M[[#This Row],[P/E]]-VLOOKUP(Main_M[[#This Row],[Industry]], Mean_PE_M, 2, FALSE))/(VLOOKUP(Main_M[[#This Row],[Industry]], Mean_PE_M, 3, FALSE))</f>
        <v>1.3670866254194234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s="67" t="s">
        <v>107</v>
      </c>
      <c r="B57" s="67" t="s">
        <v>166</v>
      </c>
      <c r="C57" s="2">
        <v>2825</v>
      </c>
      <c r="D57">
        <f>RTD("tos.rtd", , "LAST", Main_M[[#This Row],[Symbol]])</f>
        <v>13.68</v>
      </c>
      <c r="E57">
        <v>1.02</v>
      </c>
      <c r="F57">
        <v>3.61</v>
      </c>
      <c r="G57">
        <v>0.92</v>
      </c>
      <c r="H57" s="1">
        <f>IF(ISNUMBER(Main_M[[#This Row],[Free CF]]),IF(Main_M[[#This Row],[Free CF]]&lt;&gt;0,Main_M[[#This Row],[Current Price]]/Main_M[[#This Row],[Free CF]],""),"")</f>
        <v>13.411764705882353</v>
      </c>
      <c r="I57" s="1">
        <f>IF(ISNUMBER(Main_M[[#This Row],[BVPS]]),IF(Main_M[[#This Row],[BVPS]]&lt;&gt;0,Main_M[[#This Row],[Current Price]]/Main_M[[#This Row],[BVPS]],""),"")</f>
        <v>3.7894736842105265</v>
      </c>
      <c r="J57">
        <v>19.940000000000001</v>
      </c>
      <c r="K57">
        <v>11.45</v>
      </c>
      <c r="L57">
        <v>1.62</v>
      </c>
      <c r="M57" s="1">
        <f>IF(ISNUMBER(Main_M[[#This Row],[EPS]]),IF(Main_M[[#This Row],[EPS]]&lt;&gt;0,Main_M[[#This Row],[Current Price]]/Main_M[[#This Row],[EPS]],""),"")</f>
        <v>14.869565217391303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0.60739223156682387</v>
      </c>
      <c r="P57" s="1">
        <f>(Main_M[[#This Row],[P/B]]-VLOOKUP(Main_M[[#This Row],[Industry]], Mean_PB_M, 2, FALSE))/(VLOOKUP(Main_M[[#This Row],[Industry]], Mean_PB_M, 3, FALSE))</f>
        <v>1.5466110051823276</v>
      </c>
      <c r="Q57" s="1">
        <f>(Main_M[[#This Row],[ROE]]-VLOOKUP(Main_M[[#This Row],[Industry]], Mean_ROE_M, 2, FALSE))/(VLOOKUP(Main_M[[#This Row],[Industry]], Mean_ROE_M, 3, FALSE))</f>
        <v>-6.4140757486546698E-2</v>
      </c>
      <c r="R57" s="1">
        <f>(Main_M[[#This Row],[ROA]]-VLOOKUP(Main_M[[#This Row],[Industry]], Mean_ROA_M, 2, FALSE))/(VLOOKUP(Main_M[[#This Row],[Industry]], Mean_ROA_M, 3, FALSE))</f>
        <v>1.327682018049168</v>
      </c>
      <c r="S57" s="1">
        <f>(Main_M[[#This Row],[A/E]]-VLOOKUP(Main_M[[#This Row],[Industry]], Mean_AE_M, 2, FALSE))/(VLOOKUP(Main_M[[#This Row],[Industry]], Mean_AE_M, 3, FALSE))</f>
        <v>-0.69137542981306588</v>
      </c>
      <c r="T57" s="1">
        <f>(Main_M[[#This Row],[P/E]]-VLOOKUP(Main_M[[#This Row],[Industry]], Mean_PE_M, 2, FALSE))/(VLOOKUP(Main_M[[#This Row],[Industry]], Mean_PE_M, 3, FALSE))</f>
        <v>0.47609474174370231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s="67" t="s">
        <v>107</v>
      </c>
      <c r="B58" s="67" t="s">
        <v>251</v>
      </c>
      <c r="C58" s="2">
        <v>2861</v>
      </c>
      <c r="D58">
        <f>RTD("tos.rtd", , "LAST", Main_M[[#This Row],[Symbol]])</f>
        <v>24.29</v>
      </c>
      <c r="E58">
        <v>-4.25</v>
      </c>
      <c r="F58">
        <v>3.14</v>
      </c>
      <c r="G58">
        <v>-7.48</v>
      </c>
      <c r="H58" s="1">
        <f>IF(ISNUMBER(Main_M[[#This Row],[Free CF]]),IF(Main_M[[#This Row],[Free CF]]&lt;&gt;0,Main_M[[#This Row],[Current Price]]/Main_M[[#This Row],[Free CF]],""),"")</f>
        <v>-5.7152941176470584</v>
      </c>
      <c r="I58" s="1">
        <f>IF(ISNUMBER(Main_M[[#This Row],[BVPS]]),IF(Main_M[[#This Row],[BVPS]]&lt;&gt;0,Main_M[[#This Row],[Current Price]]/Main_M[[#This Row],[BVPS]],""),"")</f>
        <v>7.7356687898089165</v>
      </c>
      <c r="J58">
        <v>-200.53</v>
      </c>
      <c r="K58">
        <v>-6.54</v>
      </c>
      <c r="L58">
        <v>5.57</v>
      </c>
      <c r="M58" s="1">
        <f>IF(ISNUMBER(Main_M[[#This Row],[EPS]]),IF(Main_M[[#This Row],[EPS]]&lt;&gt;0,Main_M[[#This Row],[Current Price]]/Main_M[[#This Row],[EPS]],""),"")</f>
        <v>-3.2473262032085559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-1.2663656009954338</v>
      </c>
      <c r="P58" s="1">
        <f>(Main_M[[#This Row],[P/B]]-VLOOKUP(Main_M[[#This Row],[Industry]], Mean_PB_M, 2, FALSE))/(VLOOKUP(Main_M[[#This Row],[Industry]], Mean_PB_M, 3, FALSE))</f>
        <v>4.7003180140625291</v>
      </c>
      <c r="Q58" s="1">
        <f>(Main_M[[#This Row],[ROE]]-VLOOKUP(Main_M[[#This Row],[Industry]], Mean_ROE_M, 2, FALSE))/(VLOOKUP(Main_M[[#This Row],[Industry]], Mean_ROE_M, 3, FALSE))</f>
        <v>-2.9903366931287243</v>
      </c>
      <c r="R58" s="1">
        <f>(Main_M[[#This Row],[ROA]]-VLOOKUP(Main_M[[#This Row],[Industry]], Mean_ROA_M, 2, FALSE))/(VLOOKUP(Main_M[[#This Row],[Industry]], Mean_ROA_M, 3, FALSE))</f>
        <v>-2.5684747587850572</v>
      </c>
      <c r="S58" s="1">
        <f>(Main_M[[#This Row],[A/E]]-VLOOKUP(Main_M[[#This Row],[Industry]], Mean_AE_M, 2, FALSE))/(VLOOKUP(Main_M[[#This Row],[Industry]], Mean_AE_M, 3, FALSE))</f>
        <v>4.1273018082779958</v>
      </c>
      <c r="T58" s="1">
        <f>(Main_M[[#This Row],[P/E]]-VLOOKUP(Main_M[[#This Row],[Industry]], Mean_PE_M, 2, FALSE))/(VLOOKUP(Main_M[[#This Row],[Industry]], Mean_PE_M, 3, FALSE))</f>
        <v>-1.0855836589384238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s="67" t="s">
        <v>107</v>
      </c>
      <c r="B59" s="67" t="s">
        <v>200</v>
      </c>
      <c r="C59" s="2">
        <v>4218</v>
      </c>
      <c r="D59">
        <f>RTD("tos.rtd", , "LAST", Main_M[[#This Row],[Symbol]])</f>
        <v>27.25</v>
      </c>
      <c r="E59">
        <v>0.38</v>
      </c>
      <c r="F59">
        <v>3.13</v>
      </c>
      <c r="G59">
        <v>0.48</v>
      </c>
      <c r="H59" s="1">
        <f>IF(ISNUMBER(Main_M[[#This Row],[Free CF]]),IF(Main_M[[#This Row],[Free CF]]&lt;&gt;0,Main_M[[#This Row],[Current Price]]/Main_M[[#This Row],[Free CF]],""),"")</f>
        <v>71.71052631578948</v>
      </c>
      <c r="I59" s="1">
        <f>IF(ISNUMBER(Main_M[[#This Row],[BVPS]]),IF(Main_M[[#This Row],[BVPS]]&lt;&gt;0,Main_M[[#This Row],[Current Price]]/Main_M[[#This Row],[BVPS]],""),"")</f>
        <v>8.7060702875399372</v>
      </c>
      <c r="J59">
        <v>20.09</v>
      </c>
      <c r="K59">
        <v>12.17</v>
      </c>
      <c r="L59">
        <v>1.48</v>
      </c>
      <c r="M59" s="1">
        <f>IF(ISNUMBER(Main_M[[#This Row],[EPS]]),IF(Main_M[[#This Row],[EPS]]&lt;&gt;0,Main_M[[#This Row],[Current Price]]/Main_M[[#This Row],[EPS]],""),"")</f>
        <v>56.770833333333336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6.3185557828004821</v>
      </c>
      <c r="P59" s="1">
        <f>(Main_M[[#This Row],[P/B]]-VLOOKUP(Main_M[[#This Row],[Industry]], Mean_PB_M, 2, FALSE))/(VLOOKUP(Main_M[[#This Row],[Industry]], Mean_PB_M, 3, FALSE))</f>
        <v>5.4758402381108251</v>
      </c>
      <c r="Q59" s="1">
        <f>(Main_M[[#This Row],[ROE]]-VLOOKUP(Main_M[[#This Row],[Industry]], Mean_ROE_M, 2, FALSE))/(VLOOKUP(Main_M[[#This Row],[Industry]], Mean_ROE_M, 3, FALSE))</f>
        <v>-6.2149877138443457E-2</v>
      </c>
      <c r="R59" s="1">
        <f>(Main_M[[#This Row],[ROA]]-VLOOKUP(Main_M[[#This Row],[Industry]], Mean_ROA_M, 2, FALSE))/(VLOOKUP(Main_M[[#This Row],[Industry]], Mean_ROA_M, 3, FALSE))</f>
        <v>1.4836149185116829</v>
      </c>
      <c r="S59" s="1">
        <f>(Main_M[[#This Row],[A/E]]-VLOOKUP(Main_M[[#This Row],[Industry]], Mean_AE_M, 2, FALSE))/(VLOOKUP(Main_M[[#This Row],[Industry]], Mean_AE_M, 3, FALSE))</f>
        <v>-0.86216399015047074</v>
      </c>
      <c r="T59" s="1">
        <f>(Main_M[[#This Row],[P/E]]-VLOOKUP(Main_M[[#This Row],[Industry]], Mean_PE_M, 2, FALSE))/(VLOOKUP(Main_M[[#This Row],[Industry]], Mean_PE_M, 3, FALSE))</f>
        <v>4.0879895121375229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0" spans="1:26" x14ac:dyDescent="0.25">
      <c r="A60" s="67" t="s">
        <v>107</v>
      </c>
      <c r="B60" s="67" t="s">
        <v>317</v>
      </c>
      <c r="C60" s="2">
        <v>2476</v>
      </c>
      <c r="D60">
        <f>RTD("tos.rtd", , "LAST", Main_M[[#This Row],[Symbol]])</f>
        <v>11.18</v>
      </c>
      <c r="E60">
        <v>1.25</v>
      </c>
      <c r="F60">
        <v>2.93</v>
      </c>
      <c r="G60">
        <v>0.56000000000000005</v>
      </c>
      <c r="H60" s="1">
        <f>IF(ISNUMBER(Main_M[[#This Row],[Free CF]]),IF(Main_M[[#This Row],[Free CF]]&lt;&gt;0,Main_M[[#This Row],[Current Price]]/Main_M[[#This Row],[Free CF]],""),"")</f>
        <v>8.9439999999999991</v>
      </c>
      <c r="I60" s="1">
        <f>IF(ISNUMBER(Main_M[[#This Row],[BVPS]]),IF(Main_M[[#This Row],[BVPS]]&lt;&gt;0,Main_M[[#This Row],[Current Price]]/Main_M[[#This Row],[BVPS]],""),"")</f>
        <v>3.8156996587030712</v>
      </c>
      <c r="J60">
        <v>16.22</v>
      </c>
      <c r="K60">
        <v>6.41</v>
      </c>
      <c r="L60">
        <v>2.4700000000000002</v>
      </c>
      <c r="M60" s="1">
        <f>IF(ISNUMBER(Main_M[[#This Row],[EPS]]),IF(Main_M[[#This Row],[EPS]]&lt;&gt;0,Main_M[[#This Row],[Current Price]]/Main_M[[#This Row],[EPS]],""),"")</f>
        <v>19.964285714285712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0.16971338146604692</v>
      </c>
      <c r="P60" s="1">
        <f>(Main_M[[#This Row],[P/B]]-VLOOKUP(Main_M[[#This Row],[Industry]], Mean_PB_M, 2, FALSE))/(VLOOKUP(Main_M[[#This Row],[Industry]], Mean_PB_M, 3, FALSE))</f>
        <v>1.5675701917807079</v>
      </c>
      <c r="Q60" s="1">
        <f>(Main_M[[#This Row],[ROE]]-VLOOKUP(Main_M[[#This Row],[Industry]], Mean_ROE_M, 2, FALSE))/(VLOOKUP(Main_M[[#This Row],[Industry]], Mean_ROE_M, 3, FALSE))</f>
        <v>-0.11351459011950769</v>
      </c>
      <c r="R60" s="1">
        <f>(Main_M[[#This Row],[ROA]]-VLOOKUP(Main_M[[#This Row],[Industry]], Mean_ROA_M, 2, FALSE))/(VLOOKUP(Main_M[[#This Row],[Industry]], Mean_ROA_M, 3, FALSE))</f>
        <v>0.2361517148115643</v>
      </c>
      <c r="S60" s="1">
        <f>(Main_M[[#This Row],[A/E]]-VLOOKUP(Main_M[[#This Row],[Industry]], Mean_AE_M, 2, FALSE))/(VLOOKUP(Main_M[[#This Row],[Industry]], Mean_AE_M, 3, FALSE))</f>
        <v>0.34555511509260561</v>
      </c>
      <c r="T60" s="1">
        <f>(Main_M[[#This Row],[P/E]]-VLOOKUP(Main_M[[#This Row],[Industry]], Mean_PE_M, 2, FALSE))/(VLOOKUP(Main_M[[#This Row],[Industry]], Mean_PE_M, 3, FALSE))</f>
        <v>0.91526031230432059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s="67" t="s">
        <v>107</v>
      </c>
      <c r="B61" s="67" t="s">
        <v>201</v>
      </c>
      <c r="C61" s="2">
        <v>3056</v>
      </c>
      <c r="D61">
        <f>RTD("tos.rtd", , "LAST", Main_M[[#This Row],[Symbol]])</f>
        <v>2.98</v>
      </c>
      <c r="E61">
        <v>0.39</v>
      </c>
      <c r="F61">
        <v>2.48</v>
      </c>
      <c r="G61">
        <v>0.36</v>
      </c>
      <c r="H61" s="1">
        <f>IF(ISNUMBER(Main_M[[#This Row],[Free CF]]),IF(Main_M[[#This Row],[Free CF]]&lt;&gt;0,Main_M[[#This Row],[Current Price]]/Main_M[[#This Row],[Free CF]],""),"")</f>
        <v>7.6410256410256405</v>
      </c>
      <c r="I61" s="1">
        <f>IF(ISNUMBER(Main_M[[#This Row],[BVPS]]),IF(Main_M[[#This Row],[BVPS]]&lt;&gt;0,Main_M[[#This Row],[Current Price]]/Main_M[[#This Row],[BVPS]],""),"")</f>
        <v>1.2016129032258065</v>
      </c>
      <c r="J61">
        <v>16.079999999999998</v>
      </c>
      <c r="K61">
        <v>6.47</v>
      </c>
      <c r="L61">
        <v>2.48</v>
      </c>
      <c r="M61" s="1">
        <f>IF(ISNUMBER(Main_M[[#This Row],[EPS]]),IF(Main_M[[#This Row],[EPS]]&lt;&gt;0,Main_M[[#This Row],[Current Price]]/Main_M[[#This Row],[EPS]],""),"")</f>
        <v>8.2777777777777786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4.2069166363168799E-2</v>
      </c>
      <c r="P61" s="1">
        <f>(Main_M[[#This Row],[P/B]]-VLOOKUP(Main_M[[#This Row],[Industry]], Mean_PB_M, 2, FALSE))/(VLOOKUP(Main_M[[#This Row],[Industry]], Mean_PB_M, 3, FALSE))</f>
        <v>-0.52154692026321092</v>
      </c>
      <c r="Q61" s="1">
        <f>(Main_M[[#This Row],[ROE]]-VLOOKUP(Main_M[[#This Row],[Industry]], Mean_ROE_M, 2, FALSE))/(VLOOKUP(Main_M[[#This Row],[Industry]], Mean_ROE_M, 3, FALSE))</f>
        <v>-0.11537274511107075</v>
      </c>
      <c r="R61" s="1">
        <f>(Main_M[[#This Row],[ROA]]-VLOOKUP(Main_M[[#This Row],[Industry]], Mean_ROA_M, 2, FALSE))/(VLOOKUP(Main_M[[#This Row],[Industry]], Mean_ROA_M, 3, FALSE))</f>
        <v>0.24914612318344043</v>
      </c>
      <c r="S61" s="1">
        <f>(Main_M[[#This Row],[A/E]]-VLOOKUP(Main_M[[#This Row],[Industry]], Mean_AE_M, 2, FALSE))/(VLOOKUP(Main_M[[#This Row],[Industry]], Mean_AE_M, 3, FALSE))</f>
        <v>0.35775429797384856</v>
      </c>
      <c r="T61" s="1">
        <f>(Main_M[[#This Row],[P/E]]-VLOOKUP(Main_M[[#This Row],[Industry]], Mean_PE_M, 2, FALSE))/(VLOOKUP(Main_M[[#This Row],[Industry]], Mean_PE_M, 3, FALSE))</f>
        <v>-9.2118194313698165E-2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s="67" t="s">
        <v>107</v>
      </c>
      <c r="B62" s="67" t="s">
        <v>205</v>
      </c>
      <c r="C62" s="2">
        <v>2542</v>
      </c>
      <c r="D62">
        <f>RTD("tos.rtd", , "LAST", Main_M[[#This Row],[Symbol]])</f>
        <v>6.61</v>
      </c>
      <c r="E62">
        <v>-0.12</v>
      </c>
      <c r="F62">
        <v>2.0499999999999998</v>
      </c>
      <c r="G62">
        <v>-0.16</v>
      </c>
      <c r="H62" s="1">
        <f>IF(ISNUMBER(Main_M[[#This Row],[Free CF]]),IF(Main_M[[#This Row],[Free CF]]&lt;&gt;0,Main_M[[#This Row],[Current Price]]/Main_M[[#This Row],[Free CF]],""),"")</f>
        <v>-55.083333333333336</v>
      </c>
      <c r="I62" s="1">
        <f>IF(ISNUMBER(Main_M[[#This Row],[BVPS]]),IF(Main_M[[#This Row],[BVPS]]&lt;&gt;0,Main_M[[#This Row],[Current Price]]/Main_M[[#This Row],[BVPS]],""),"")</f>
        <v>3.2243902439024397</v>
      </c>
      <c r="J62">
        <v>-7.92</v>
      </c>
      <c r="K62">
        <v>-3.34</v>
      </c>
      <c r="L62">
        <v>1.1200000000000001</v>
      </c>
      <c r="M62" s="1">
        <f>IF(ISNUMBER(Main_M[[#This Row],[EPS]]),IF(Main_M[[#This Row],[EPS]]&lt;&gt;0,Main_M[[#This Row],[Current Price]]/Main_M[[#This Row],[EPS]],""),"")</f>
        <v>-41.3125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-6.1026423653476254</v>
      </c>
      <c r="P62" s="1">
        <f>(Main_M[[#This Row],[P/B]]-VLOOKUP(Main_M[[#This Row],[Industry]], Mean_PB_M, 2, FALSE))/(VLOOKUP(Main_M[[#This Row],[Industry]], Mean_PB_M, 3, FALSE))</f>
        <v>1.0950095109294182</v>
      </c>
      <c r="Q62" s="1">
        <f>(Main_M[[#This Row],[ROE]]-VLOOKUP(Main_M[[#This Row],[Industry]], Mean_ROE_M, 2, FALSE))/(VLOOKUP(Main_M[[#This Row],[Industry]], Mean_ROE_M, 3, FALSE))</f>
        <v>-0.43391360080759295</v>
      </c>
      <c r="R62" s="1">
        <f>(Main_M[[#This Row],[ROA]]-VLOOKUP(Main_M[[#This Row],[Industry]], Mean_ROA_M, 2, FALSE))/(VLOOKUP(Main_M[[#This Row],[Industry]], Mean_ROA_M, 3, FALSE))</f>
        <v>-1.8754396456183242</v>
      </c>
      <c r="S62" s="1">
        <f>(Main_M[[#This Row],[A/E]]-VLOOKUP(Main_M[[#This Row],[Industry]], Mean_AE_M, 2, FALSE))/(VLOOKUP(Main_M[[#This Row],[Industry]], Mean_AE_M, 3, FALSE))</f>
        <v>-1.3013345738752256</v>
      </c>
      <c r="T62" s="1">
        <f>(Main_M[[#This Row],[P/E]]-VLOOKUP(Main_M[[#This Row],[Industry]], Mean_PE_M, 2, FALSE))/(VLOOKUP(Main_M[[#This Row],[Industry]], Mean_PE_M, 3, FALSE))</f>
        <v>-4.3668065992640308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3" spans="1:26" x14ac:dyDescent="0.25">
      <c r="A63" s="67" t="s">
        <v>107</v>
      </c>
      <c r="B63" s="67" t="s">
        <v>191</v>
      </c>
      <c r="C63" s="2">
        <v>2233</v>
      </c>
      <c r="D63">
        <f>RTD("tos.rtd", , "LAST", Main_M[[#This Row],[Symbol]])</f>
        <v>42.53</v>
      </c>
      <c r="E63">
        <v>0.28999999999999998</v>
      </c>
      <c r="F63">
        <v>1.82</v>
      </c>
      <c r="G63">
        <v>2.98</v>
      </c>
      <c r="H63" s="1">
        <f>IF(ISNUMBER(Main_M[[#This Row],[Free CF]]),IF(Main_M[[#This Row],[Free CF]]&lt;&gt;0,Main_M[[#This Row],[Current Price]]/Main_M[[#This Row],[Free CF]],""),"")</f>
        <v>146.65517241379311</v>
      </c>
      <c r="I63" s="1">
        <f>IF(ISNUMBER(Main_M[[#This Row],[BVPS]]),IF(Main_M[[#This Row],[BVPS]]&lt;&gt;0,Main_M[[#This Row],[Current Price]]/Main_M[[#This Row],[BVPS]],""),"")</f>
        <v>23.368131868131869</v>
      </c>
      <c r="J63">
        <v>542.39</v>
      </c>
      <c r="K63">
        <v>5.41</v>
      </c>
      <c r="L63">
        <v>24.58</v>
      </c>
      <c r="M63" s="1">
        <f>IF(ISNUMBER(Main_M[[#This Row],[EPS]]),IF(Main_M[[#This Row],[EPS]]&lt;&gt;0,Main_M[[#This Row],[Current Price]]/Main_M[[#This Row],[EPS]],""),"")</f>
        <v>14.271812080536913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13.660412099046615</v>
      </c>
      <c r="P63" s="1">
        <f>(Main_M[[#This Row],[P/B]]-VLOOKUP(Main_M[[#This Row],[Industry]], Mean_PB_M, 2, FALSE))/(VLOOKUP(Main_M[[#This Row],[Industry]], Mean_PB_M, 3, FALSE))</f>
        <v>17.193417583880258</v>
      </c>
      <c r="Q63" s="1">
        <f>(Main_M[[#This Row],[ROE]]-VLOOKUP(Main_M[[#This Row],[Industry]], Mean_ROE_M, 2, FALSE))/(VLOOKUP(Main_M[[#This Row],[Industry]], Mean_ROE_M, 3, FALSE))</f>
        <v>6.8700954949571225</v>
      </c>
      <c r="R63" s="1">
        <f>(Main_M[[#This Row],[ROA]]-VLOOKUP(Main_M[[#This Row],[Industry]], Mean_ROA_M, 2, FALSE))/(VLOOKUP(Main_M[[#This Row],[Industry]], Mean_ROA_M, 3, FALSE))</f>
        <v>1.9578241946960347E-2</v>
      </c>
      <c r="S63" s="1">
        <f>(Main_M[[#This Row],[A/E]]-VLOOKUP(Main_M[[#This Row],[Industry]], Mean_AE_M, 2, FALSE))/(VLOOKUP(Main_M[[#This Row],[Industry]], Mean_AE_M, 3, FALSE))</f>
        <v>27.317948465521301</v>
      </c>
      <c r="T63" s="1">
        <f>(Main_M[[#This Row],[P/E]]-VLOOKUP(Main_M[[#This Row],[Industry]], Mean_PE_M, 2, FALSE))/(VLOOKUP(Main_M[[#This Row],[Industry]], Mean_PE_M, 3, FALSE))</f>
        <v>0.42456834347296746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s="67" t="s">
        <v>107</v>
      </c>
      <c r="B64" s="67" t="s">
        <v>204</v>
      </c>
      <c r="C64" s="2">
        <v>3521</v>
      </c>
      <c r="D64">
        <f>RTD("tos.rtd", , "LAST", Main_M[[#This Row],[Symbol]])</f>
        <v>6.55</v>
      </c>
      <c r="E64">
        <v>-0.17</v>
      </c>
      <c r="F64">
        <v>1.35</v>
      </c>
      <c r="G64">
        <v>-0.12</v>
      </c>
      <c r="H64" s="1">
        <f>IF(ISNUMBER(Main_M[[#This Row],[Free CF]]),IF(Main_M[[#This Row],[Free CF]]&lt;&gt;0,Main_M[[#This Row],[Current Price]]/Main_M[[#This Row],[Free CF]],""),"")</f>
        <v>-38.529411764705877</v>
      </c>
      <c r="I64" s="1">
        <f>IF(ISNUMBER(Main_M[[#This Row],[BVPS]]),IF(Main_M[[#This Row],[BVPS]]&lt;&gt;0,Main_M[[#This Row],[Current Price]]/Main_M[[#This Row],[BVPS]],""),"")</f>
        <v>4.8518518518518512</v>
      </c>
      <c r="J64">
        <v>-9.24</v>
      </c>
      <c r="K64">
        <v>-3.56</v>
      </c>
      <c r="L64">
        <v>1.42</v>
      </c>
      <c r="M64" s="1">
        <f>IF(ISNUMBER(Main_M[[#This Row],[EPS]]),IF(Main_M[[#This Row],[EPS]]&lt;&gt;0,Main_M[[#This Row],[Current Price]]/Main_M[[#This Row],[EPS]],""),"")</f>
        <v>-54.583333333333336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-4.4809586300166222</v>
      </c>
      <c r="P64" s="1">
        <f>(Main_M[[#This Row],[P/B]]-VLOOKUP(Main_M[[#This Row],[Industry]], Mean_PB_M, 2, FALSE))/(VLOOKUP(Main_M[[#This Row],[Industry]], Mean_PB_M, 3, FALSE))</f>
        <v>2.3956388367303831</v>
      </c>
      <c r="Q64" s="1">
        <f>(Main_M[[#This Row],[ROE]]-VLOOKUP(Main_M[[#This Row],[Industry]], Mean_ROE_M, 2, FALSE))/(VLOOKUP(Main_M[[#This Row],[Industry]], Mean_ROE_M, 3, FALSE))</f>
        <v>-0.45143334787090167</v>
      </c>
      <c r="R64" s="1">
        <f>(Main_M[[#This Row],[ROA]]-VLOOKUP(Main_M[[#This Row],[Industry]], Mean_ROA_M, 2, FALSE))/(VLOOKUP(Main_M[[#This Row],[Industry]], Mean_ROA_M, 3, FALSE))</f>
        <v>-1.923085809648537</v>
      </c>
      <c r="S64" s="1">
        <f>(Main_M[[#This Row],[A/E]]-VLOOKUP(Main_M[[#This Row],[Industry]], Mean_AE_M, 2, FALSE))/(VLOOKUP(Main_M[[#This Row],[Industry]], Mean_AE_M, 3, FALSE))</f>
        <v>-0.93535908743792995</v>
      </c>
      <c r="T64" s="1">
        <f>(Main_M[[#This Row],[P/E]]-VLOOKUP(Main_M[[#This Row],[Industry]], Mean_PE_M, 2, FALSE))/(VLOOKUP(Main_M[[#This Row],[Industry]], Mean_PE_M, 3, FALSE))</f>
        <v>-5.5107541614906221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5" spans="1:26" x14ac:dyDescent="0.25">
      <c r="A65" s="67" t="s">
        <v>107</v>
      </c>
      <c r="B65" s="67" t="s">
        <v>280</v>
      </c>
      <c r="C65" s="2">
        <v>2160</v>
      </c>
      <c r="D65">
        <f>RTD("tos.rtd", , "LAST", Main_M[[#This Row],[Symbol]])</f>
        <v>8.2899999999999991</v>
      </c>
      <c r="E65">
        <v>-10.4</v>
      </c>
      <c r="F65">
        <v>1.1599999999999999</v>
      </c>
      <c r="G65">
        <v>-0.69</v>
      </c>
      <c r="H65" s="1">
        <f>IF(ISNUMBER(Main_M[[#This Row],[Free CF]]),IF(Main_M[[#This Row],[Free CF]]&lt;&gt;0,Main_M[[#This Row],[Current Price]]/Main_M[[#This Row],[Free CF]],""),"")</f>
        <v>-0.79711538461538456</v>
      </c>
      <c r="I65" s="1">
        <f>IF(ISNUMBER(Main_M[[#This Row],[BVPS]]),IF(Main_M[[#This Row],[BVPS]]&lt;&gt;0,Main_M[[#This Row],[Current Price]]/Main_M[[#This Row],[BVPS]],""),"")</f>
        <v>7.1465517241379306</v>
      </c>
      <c r="J65">
        <v>-10.83</v>
      </c>
      <c r="K65">
        <v>-2.09</v>
      </c>
      <c r="L65">
        <v>22.79</v>
      </c>
      <c r="M65" s="1">
        <f>IF(ISNUMBER(Main_M[[#This Row],[EPS]]),IF(Main_M[[#This Row],[EPS]]&lt;&gt;0,Main_M[[#This Row],[Current Price]]/Main_M[[#This Row],[EPS]],""),"")</f>
        <v>-12.014492753623188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-0.78456251731261073</v>
      </c>
      <c r="P65" s="1">
        <f>(Main_M[[#This Row],[P/B]]-VLOOKUP(Main_M[[#This Row],[Industry]], Mean_PB_M, 2, FALSE))/(VLOOKUP(Main_M[[#This Row],[Industry]], Mean_PB_M, 3, FALSE))</f>
        <v>4.2295094074577122</v>
      </c>
      <c r="Q65" s="1">
        <f>(Main_M[[#This Row],[ROE]]-VLOOKUP(Main_M[[#This Row],[Industry]], Mean_ROE_M, 2, FALSE))/(VLOOKUP(Main_M[[#This Row],[Industry]], Mean_ROE_M, 3, FALSE))</f>
        <v>-0.47253667956079631</v>
      </c>
      <c r="R65" s="1">
        <f>(Main_M[[#This Row],[ROA]]-VLOOKUP(Main_M[[#This Row],[Industry]], Mean_ROA_M, 2, FALSE))/(VLOOKUP(Main_M[[#This Row],[Industry]], Mean_ROA_M, 3, FALSE))</f>
        <v>-1.6047228045375692</v>
      </c>
      <c r="S65" s="1">
        <f>(Main_M[[#This Row],[A/E]]-VLOOKUP(Main_M[[#This Row],[Industry]], Mean_AE_M, 2, FALSE))/(VLOOKUP(Main_M[[#This Row],[Industry]], Mean_AE_M, 3, FALSE))</f>
        <v>25.13429472977877</v>
      </c>
      <c r="T65" s="1">
        <f>(Main_M[[#This Row],[P/E]]-VLOOKUP(Main_M[[#This Row],[Industry]], Mean_PE_M, 2, FALSE))/(VLOOKUP(Main_M[[#This Row],[Industry]], Mean_PE_M, 3, FALSE))</f>
        <v>-1.8413145577502037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s="67" t="s">
        <v>107</v>
      </c>
      <c r="B66" s="67" t="s">
        <v>185</v>
      </c>
      <c r="C66" s="2">
        <v>2709</v>
      </c>
      <c r="D66">
        <f>RTD("tos.rtd", , "LAST", Main_M[[#This Row],[Symbol]])</f>
        <v>5.72</v>
      </c>
      <c r="E66">
        <v>0.4</v>
      </c>
      <c r="F66">
        <v>0.74</v>
      </c>
      <c r="G66">
        <v>-1.06</v>
      </c>
      <c r="H66" s="1">
        <f>IF(ISNUMBER(Main_M[[#This Row],[Free CF]]),IF(Main_M[[#This Row],[Free CF]]&lt;&gt;0,Main_M[[#This Row],[Current Price]]/Main_M[[#This Row],[Free CF]],""),"")</f>
        <v>14.299999999999999</v>
      </c>
      <c r="I66" s="1">
        <f>IF(ISNUMBER(Main_M[[#This Row],[BVPS]]),IF(Main_M[[#This Row],[BVPS]]&lt;&gt;0,Main_M[[#This Row],[Current Price]]/Main_M[[#This Row],[BVPS]],""),"")</f>
        <v>7.7297297297297298</v>
      </c>
      <c r="J66">
        <v>-24.82</v>
      </c>
      <c r="K66">
        <v>4.71</v>
      </c>
      <c r="L66">
        <v>16.16</v>
      </c>
      <c r="M66" s="1">
        <f>IF(ISNUMBER(Main_M[[#This Row],[EPS]]),IF(Main_M[[#This Row],[EPS]]&lt;&gt;0,Main_M[[#This Row],[Current Price]]/Main_M[[#This Row],[EPS]],""),"")</f>
        <v>-5.3962264150943389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0.69440706510013073</v>
      </c>
      <c r="P66" s="1">
        <f>(Main_M[[#This Row],[P/B]]-VLOOKUP(Main_M[[#This Row],[Industry]], Mean_PB_M, 2, FALSE))/(VLOOKUP(Main_M[[#This Row],[Industry]], Mean_PB_M, 3, FALSE))</f>
        <v>4.6955716558879628</v>
      </c>
      <c r="Q66" s="1">
        <f>(Main_M[[#This Row],[ROE]]-VLOOKUP(Main_M[[#This Row],[Industry]], Mean_ROE_M, 2, FALSE))/(VLOOKUP(Main_M[[#This Row],[Industry]], Mean_ROE_M, 3, FALSE))</f>
        <v>-0.65821945336056076</v>
      </c>
      <c r="R66" s="1">
        <f>(Main_M[[#This Row],[ROA]]-VLOOKUP(Main_M[[#This Row],[Industry]], Mean_ROA_M, 2, FALSE))/(VLOOKUP(Main_M[[#This Row],[Industry]], Mean_ROA_M, 3, FALSE))</f>
        <v>-0.13202318905826244</v>
      </c>
      <c r="S66" s="1">
        <f>(Main_M[[#This Row],[A/E]]-VLOOKUP(Main_M[[#This Row],[Industry]], Mean_AE_M, 2, FALSE))/(VLOOKUP(Main_M[[#This Row],[Industry]], Mean_AE_M, 3, FALSE))</f>
        <v>17.046236479514533</v>
      </c>
      <c r="T66" s="1">
        <f>(Main_M[[#This Row],[P/E]]-VLOOKUP(Main_M[[#This Row],[Industry]], Mean_PE_M, 2, FALSE))/(VLOOKUP(Main_M[[#This Row],[Industry]], Mean_PE_M, 3, FALSE))</f>
        <v>-1.2708191371566928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s="67" t="s">
        <v>107</v>
      </c>
      <c r="B67" s="67" t="s">
        <v>196</v>
      </c>
      <c r="C67" s="2">
        <v>2713</v>
      </c>
      <c r="D67">
        <f>RTD("tos.rtd", , "LAST", Main_M[[#This Row],[Symbol]])</f>
        <v>43.28</v>
      </c>
      <c r="E67">
        <v>6.07</v>
      </c>
      <c r="F67">
        <v>-41.85</v>
      </c>
      <c r="G67">
        <v>0.94</v>
      </c>
      <c r="H67" s="1">
        <f>IF(ISNUMBER(Main_M[[#This Row],[Free CF]]),IF(Main_M[[#This Row],[Free CF]]&lt;&gt;0,Main_M[[#This Row],[Current Price]]/Main_M[[#This Row],[Free CF]],""),"")</f>
        <v>7.1301482701812189</v>
      </c>
      <c r="I67" s="1">
        <f>IF(ISNUMBER(Main_M[[#This Row],[BVPS]]),IF(Main_M[[#This Row],[BVPS]]&lt;&gt;0,Main_M[[#This Row],[Current Price]]/Main_M[[#This Row],[BVPS]],""),"")</f>
        <v>-1.0341696535244922</v>
      </c>
      <c r="J67">
        <v>8.2200000000000006</v>
      </c>
      <c r="K67">
        <v>1.67</v>
      </c>
      <c r="L67">
        <v>-2.76</v>
      </c>
      <c r="M67" s="1">
        <f>IF(ISNUMBER(Main_M[[#This Row],[EPS]]),IF(Main_M[[#This Row],[EPS]]&lt;&gt;0,Main_M[[#This Row],[Current Price]]/Main_M[[#This Row],[EPS]],""),"")</f>
        <v>46.042553191489368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-7.97828128314477E-3</v>
      </c>
      <c r="P67" s="1">
        <f>(Main_M[[#This Row],[P/B]]-VLOOKUP(Main_M[[#This Row],[Industry]], Mean_PB_M, 2, FALSE))/(VLOOKUP(Main_M[[#This Row],[Industry]], Mean_PB_M, 3, FALSE))</f>
        <v>-2.3083321477732226</v>
      </c>
      <c r="Q67" s="1">
        <f>(Main_M[[#This Row],[ROE]]-VLOOKUP(Main_M[[#This Row],[Industry]], Mean_ROE_M, 2, FALSE))/(VLOOKUP(Main_M[[#This Row],[Industry]], Mean_ROE_M, 3, FALSE))</f>
        <v>-0.21969487535168172</v>
      </c>
      <c r="R67" s="1">
        <f>(Main_M[[#This Row],[ROA]]-VLOOKUP(Main_M[[#This Row],[Industry]], Mean_ROA_M, 2, FALSE))/(VLOOKUP(Main_M[[#This Row],[Industry]], Mean_ROA_M, 3, FALSE))</f>
        <v>-0.79040654656665843</v>
      </c>
      <c r="S67" s="1">
        <f>(Main_M[[#This Row],[A/E]]-VLOOKUP(Main_M[[#This Row],[Industry]], Mean_AE_M, 2, FALSE))/(VLOOKUP(Main_M[[#This Row],[Industry]], Mean_AE_M, 3, FALSE))</f>
        <v>-6.0346175317975836</v>
      </c>
      <c r="T67" s="1">
        <f>(Main_M[[#This Row],[P/E]]-VLOOKUP(Main_M[[#This Row],[Industry]], Mean_PE_M, 2, FALSE))/(VLOOKUP(Main_M[[#This Row],[Industry]], Mean_PE_M, 3, FALSE))</f>
        <v>3.1632103662552238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26"/>
  <sheetViews>
    <sheetView workbookViewId="0">
      <selection activeCell="B24" sqref="B24"/>
    </sheetView>
  </sheetViews>
  <sheetFormatPr defaultRowHeight="15" x14ac:dyDescent="0.25"/>
  <cols>
    <col min="1" max="1" width="27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106</v>
      </c>
      <c r="B2" s="67" t="s">
        <v>319</v>
      </c>
      <c r="C2" s="2">
        <v>361</v>
      </c>
      <c r="D2">
        <f>RTD("tos.rtd", , "LAST", Main_S[[#This Row],[Symbol]])</f>
        <v>7.15</v>
      </c>
      <c r="H2" s="1" t="str">
        <f>IF(ISNUMBER(Main_S[[#This Row],[Free CF]]),IF(Main_S[[#This Row],[Free CF]]&lt;&gt;0,Main_S[[#This Row],[Current Price]]/Main_S[[#This Row],[Free CF]],""),"")</f>
        <v/>
      </c>
      <c r="I2" s="1" t="str">
        <f>IF(ISNUMBER(Main_S[[#This Row],[BVPS]]),IF(Main_S[[#This Row],[BVPS]]&lt;&gt;0,Main_S[[#This Row],[Current Price]]/Main_S[[#This Row],[BVPS]],""),"")</f>
        <v/>
      </c>
      <c r="J2">
        <v>147.54</v>
      </c>
      <c r="K2">
        <v>21.38</v>
      </c>
      <c r="L2">
        <v>1.77</v>
      </c>
      <c r="M2" s="1" t="str">
        <f>IF(ISNUMBER(Main_S[[#This Row],[EPS]]),IF(Main_S[[#This Row],[EPS]]&lt;&gt;0,Main_S[[#This Row],[Current Price]]/Main_S[[#This Row],[EPS]],""),"")</f>
        <v/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 t="e">
        <f>(Main_S[[#This Row],[P/FCF]]-VLOOKUP(Main_S[[#This Row],[Industry]], Mean_PFCF_S, 2, FALSE))/(VLOOKUP(Main_S[[#This Row],[Industry]], Mean_PFCF_S, 3, FALSE))</f>
        <v>#VALUE!</v>
      </c>
      <c r="P2" s="1" t="e">
        <f>(Main_S[[#This Row],[P/B]]-VLOOKUP(Main_S[[#This Row],[Industry]], Mean_PB_S, 2, FALSE))/(VLOOKUP(Main_S[[#This Row],[Industry]], Mean_PB_S, 3, FALSE))</f>
        <v>#VALUE!</v>
      </c>
      <c r="Q2" s="1">
        <f>(Main_S[[#This Row],[ROE]]-VLOOKUP(Main_S[[#This Row],[Industry]], Mean_ROE_S, 2, FALSE))/(VLOOKUP(Main_S[[#This Row],[Industry]], Mean_ROE_S, 3, FALSE))</f>
        <v>19.336142403631811</v>
      </c>
      <c r="R2" s="1">
        <f>(Main_S[[#This Row],[ROA]]-VLOOKUP(Main_S[[#This Row],[Industry]], Mean_ROA_S, 2, FALSE))/(VLOOKUP(Main_S[[#This Row],[Industry]], Mean_ROA_S, 3, FALSE))</f>
        <v>6.6562887735215286</v>
      </c>
      <c r="S2" s="1">
        <f>(Main_S[[#This Row],[A/E]]-VLOOKUP(Main_S[[#This Row],[Industry]], Mean_AE_S, 2, FALSE))/(VLOOKUP(Main_S[[#This Row],[Industry]], Mean_AE_S, 3, FALSE))</f>
        <v>-0.3908834092961968</v>
      </c>
      <c r="T2" s="1" t="e">
        <f>(Main_S[[#This Row],[P/E]]-VLOOKUP(Main_S[[#This Row],[Industry]], Mean_PE_S, 2, FALSE))/(VLOOKUP(Main_S[[#This Row],[Industry]], Mean_PE_S, 3, FALSE))</f>
        <v>#VALUE!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" spans="1:26" x14ac:dyDescent="0.25">
      <c r="A3" s="67" t="s">
        <v>106</v>
      </c>
      <c r="B3" s="67" t="s">
        <v>209</v>
      </c>
      <c r="C3" s="2">
        <v>582</v>
      </c>
      <c r="D3">
        <f>RTD("tos.rtd", , "LAST", Main_S[[#This Row],[Symbol]])</f>
        <v>48.7</v>
      </c>
      <c r="E3">
        <v>12.8</v>
      </c>
      <c r="F3">
        <v>87.16</v>
      </c>
      <c r="G3">
        <v>5.2</v>
      </c>
      <c r="H3" s="1">
        <f>IF(ISNUMBER(Main_S[[#This Row],[Free CF]]),IF(Main_S[[#This Row],[Free CF]]&lt;&gt;0,Main_S[[#This Row],[Current Price]]/Main_S[[#This Row],[Free CF]],""),"")</f>
        <v>3.8046875</v>
      </c>
      <c r="I3" s="1">
        <f>IF(ISNUMBER(Main_S[[#This Row],[BVPS]]),IF(Main_S[[#This Row],[BVPS]]&lt;&gt;0,Main_S[[#This Row],[Current Price]]/Main_S[[#This Row],[BVPS]],""),"")</f>
        <v>0.55874254245066546</v>
      </c>
      <c r="J3">
        <v>6.58</v>
      </c>
      <c r="K3">
        <v>4.43</v>
      </c>
      <c r="L3">
        <v>1.72</v>
      </c>
      <c r="M3" s="1">
        <f>IF(ISNUMBER(Main_S[[#This Row],[EPS]]),IF(Main_S[[#This Row],[EPS]]&lt;&gt;0,Main_S[[#This Row],[Current Price]]/Main_S[[#This Row],[EPS]],""),"")</f>
        <v>9.365384615384615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-0.26635225703949661</v>
      </c>
      <c r="P3" s="1">
        <f>(Main_S[[#This Row],[P/B]]-VLOOKUP(Main_S[[#This Row],[Industry]], Mean_PB_S, 2, FALSE))/(VLOOKUP(Main_S[[#This Row],[Industry]], Mean_PB_S, 3, FALSE))</f>
        <v>-1.0648320513011866</v>
      </c>
      <c r="Q3" s="1">
        <f>(Main_S[[#This Row],[ROE]]-VLOOKUP(Main_S[[#This Row],[Industry]], Mean_ROE_S, 2, FALSE))/(VLOOKUP(Main_S[[#This Row],[Industry]], Mean_ROE_S, 3, FALSE))</f>
        <v>-0.48093780378882678</v>
      </c>
      <c r="R3" s="1">
        <f>(Main_S[[#This Row],[ROA]]-VLOOKUP(Main_S[[#This Row],[Industry]], Mean_ROA_S, 2, FALSE))/(VLOOKUP(Main_S[[#This Row],[Industry]], Mean_ROA_S, 3, FALSE))</f>
        <v>-0.17581128557416092</v>
      </c>
      <c r="S3" s="1">
        <f>(Main_S[[#This Row],[A/E]]-VLOOKUP(Main_S[[#This Row],[Industry]], Mean_AE_S, 2, FALSE))/(VLOOKUP(Main_S[[#This Row],[Industry]], Mean_AE_S, 3, FALSE))</f>
        <v>-0.4698255911002025</v>
      </c>
      <c r="T3" s="1">
        <f>(Main_S[[#This Row],[P/E]]-VLOOKUP(Main_S[[#This Row],[Industry]], Mean_PE_S, 2, FALSE))/(VLOOKUP(Main_S[[#This Row],[Industry]], Mean_PE_S, 3, FALSE))</f>
        <v>-0.20110212718535225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7" t="s">
        <v>106</v>
      </c>
      <c r="B4" s="67" t="s">
        <v>210</v>
      </c>
      <c r="C4" s="2">
        <v>1444</v>
      </c>
      <c r="D4">
        <f>RTD("tos.rtd", , "LAST", Main_S[[#This Row],[Symbol]])</f>
        <v>27.04</v>
      </c>
      <c r="E4">
        <v>-2.2400000000000002</v>
      </c>
      <c r="F4">
        <v>46.78</v>
      </c>
      <c r="G4">
        <v>5.56</v>
      </c>
      <c r="H4" s="1">
        <f>IF(ISNUMBER(Main_S[[#This Row],[Free CF]]),IF(Main_S[[#This Row],[Free CF]]&lt;&gt;0,Main_S[[#This Row],[Current Price]]/Main_S[[#This Row],[Free CF]],""),"")</f>
        <v>-12.071428571428569</v>
      </c>
      <c r="I4" s="1">
        <f>IF(ISNUMBER(Main_S[[#This Row],[BVPS]]),IF(Main_S[[#This Row],[BVPS]]&lt;&gt;0,Main_S[[#This Row],[Current Price]]/Main_S[[#This Row],[BVPS]],""),"")</f>
        <v>0.57802479692176145</v>
      </c>
      <c r="J4">
        <v>12.75</v>
      </c>
      <c r="K4">
        <v>2.11</v>
      </c>
      <c r="L4">
        <v>1.4</v>
      </c>
      <c r="M4" s="1">
        <f>IF(ISNUMBER(Main_S[[#This Row],[EPS]]),IF(Main_S[[#This Row],[EPS]]&lt;&gt;0,Main_S[[#This Row],[Current Price]]/Main_S[[#This Row],[EPS]],""),"")</f>
        <v>4.8633093525179856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-1.5779948561839308</v>
      </c>
      <c r="P4" s="1">
        <f>(Main_S[[#This Row],[P/B]]-VLOOKUP(Main_S[[#This Row],[Industry]], Mean_PB_S, 2, FALSE))/(VLOOKUP(Main_S[[#This Row],[Industry]], Mean_PB_S, 3, FALSE))</f>
        <v>-1.0361562202034063</v>
      </c>
      <c r="Q4" s="1">
        <f>(Main_S[[#This Row],[ROE]]-VLOOKUP(Main_S[[#This Row],[Industry]], Mean_ROE_S, 2, FALSE))/(VLOOKUP(Main_S[[#This Row],[Industry]], Mean_ROE_S, 3, FALSE))</f>
        <v>0.38648121493836773</v>
      </c>
      <c r="R4" s="1">
        <f>(Main_S[[#This Row],[ROA]]-VLOOKUP(Main_S[[#This Row],[Industry]], Mean_ROA_S, 2, FALSE))/(VLOOKUP(Main_S[[#This Row],[Industry]], Mean_ROA_S, 3, FALSE))</f>
        <v>-1.1109423851082021</v>
      </c>
      <c r="S4" s="1">
        <f>(Main_S[[#This Row],[A/E]]-VLOOKUP(Main_S[[#This Row],[Industry]], Mean_AE_S, 2, FALSE))/(VLOOKUP(Main_S[[#This Row],[Industry]], Mean_AE_S, 3, FALSE))</f>
        <v>-0.9750555546458386</v>
      </c>
      <c r="T4" s="1">
        <f>(Main_S[[#This Row],[P/E]]-VLOOKUP(Main_S[[#This Row],[Industry]], Mean_PE_S, 2, FALSE))/(VLOOKUP(Main_S[[#This Row],[Industry]], Mean_PE_S, 3, FALSE))</f>
        <v>-0.79587838659126797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7" t="s">
        <v>106</v>
      </c>
      <c r="B5" s="67" t="s">
        <v>230</v>
      </c>
      <c r="C5" s="2">
        <v>842</v>
      </c>
      <c r="D5">
        <f>RTD("tos.rtd", , "LAST", Main_S[[#This Row],[Symbol]])</f>
        <v>30.98</v>
      </c>
      <c r="E5">
        <v>-3.24</v>
      </c>
      <c r="F5">
        <v>32.380000000000003</v>
      </c>
      <c r="G5">
        <v>3.89</v>
      </c>
      <c r="H5" s="1">
        <f>IF(ISNUMBER(Main_S[[#This Row],[Free CF]]),IF(Main_S[[#This Row],[Free CF]]&lt;&gt;0,Main_S[[#This Row],[Current Price]]/Main_S[[#This Row],[Free CF]],""),"")</f>
        <v>-9.5617283950617278</v>
      </c>
      <c r="I5" s="1">
        <f>IF(ISNUMBER(Main_S[[#This Row],[BVPS]]),IF(Main_S[[#This Row],[BVPS]]&lt;&gt;0,Main_S[[#This Row],[Current Price]]/Main_S[[#This Row],[BVPS]],""),"")</f>
        <v>0.9567634342186534</v>
      </c>
      <c r="J5">
        <v>13.2</v>
      </c>
      <c r="K5">
        <v>4.91</v>
      </c>
      <c r="L5">
        <v>2.33</v>
      </c>
      <c r="M5" s="1">
        <f>IF(ISNUMBER(Main_S[[#This Row],[EPS]]),IF(Main_S[[#This Row],[EPS]]&lt;&gt;0,Main_S[[#This Row],[Current Price]]/Main_S[[#This Row],[EPS]],""),"")</f>
        <v>7.964010282776349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-1.3706500844782625</v>
      </c>
      <c r="P5" s="1">
        <f>(Main_S[[#This Row],[P/B]]-VLOOKUP(Main_S[[#This Row],[Industry]], Mean_PB_S, 2, FALSE))/(VLOOKUP(Main_S[[#This Row],[Industry]], Mean_PB_S, 3, FALSE))</f>
        <v>-0.47291060960277442</v>
      </c>
      <c r="Q5" s="1">
        <f>(Main_S[[#This Row],[ROE]]-VLOOKUP(Main_S[[#This Row],[Industry]], Mean_ROE_S, 2, FALSE))/(VLOOKUP(Main_S[[#This Row],[Industry]], Mean_ROE_S, 3, FALSE))</f>
        <v>0.44974516281960547</v>
      </c>
      <c r="R5" s="1">
        <f>(Main_S[[#This Row],[ROA]]-VLOOKUP(Main_S[[#This Row],[Industry]], Mean_ROA_S, 2, FALSE))/(VLOOKUP(Main_S[[#This Row],[Industry]], Mean_ROA_S, 3, FALSE))</f>
        <v>1.7664114329433992E-2</v>
      </c>
      <c r="S5" s="1">
        <f>(Main_S[[#This Row],[A/E]]-VLOOKUP(Main_S[[#This Row],[Industry]], Mean_AE_S, 2, FALSE))/(VLOOKUP(Main_S[[#This Row],[Industry]], Mean_AE_S, 3, FALSE))</f>
        <v>0.49326902690866625</v>
      </c>
      <c r="T5" s="1">
        <f>(Main_S[[#This Row],[P/E]]-VLOOKUP(Main_S[[#This Row],[Industry]], Mean_PE_S, 2, FALSE))/(VLOOKUP(Main_S[[#This Row],[Industry]], Mean_PE_S, 3, FALSE))</f>
        <v>-0.3862398991926298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7" t="s">
        <v>106</v>
      </c>
      <c r="B6" s="67" t="s">
        <v>207</v>
      </c>
      <c r="C6" s="2">
        <v>1516</v>
      </c>
      <c r="D6">
        <f>RTD("tos.rtd", , "LAST", Main_S[[#This Row],[Symbol]])</f>
        <v>17.61</v>
      </c>
      <c r="E6">
        <v>0.76</v>
      </c>
      <c r="F6">
        <v>29.52</v>
      </c>
      <c r="G6">
        <v>2.2000000000000002</v>
      </c>
      <c r="H6" s="1">
        <f>IF(ISNUMBER(Main_S[[#This Row],[Free CF]]),IF(Main_S[[#This Row],[Free CF]]&lt;&gt;0,Main_S[[#This Row],[Current Price]]/Main_S[[#This Row],[Free CF]],""),"")</f>
        <v>23.171052631578945</v>
      </c>
      <c r="I6" s="1">
        <f>IF(ISNUMBER(Main_S[[#This Row],[BVPS]]),IF(Main_S[[#This Row],[BVPS]]&lt;&gt;0,Main_S[[#This Row],[Current Price]]/Main_S[[#This Row],[BVPS]],""),"")</f>
        <v>0.59654471544715448</v>
      </c>
      <c r="J6">
        <v>7.58</v>
      </c>
      <c r="K6">
        <v>4.1900000000000004</v>
      </c>
      <c r="L6">
        <v>2.4700000000000002</v>
      </c>
      <c r="M6" s="1">
        <f>IF(ISNUMBER(Main_S[[#This Row],[EPS]]),IF(Main_S[[#This Row],[EPS]]&lt;&gt;0,Main_S[[#This Row],[Current Price]]/Main_S[[#This Row],[EPS]],""),"")</f>
        <v>8.004545454545454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1.3336454617274107</v>
      </c>
      <c r="P6" s="1">
        <f>(Main_S[[#This Row],[P/B]]-VLOOKUP(Main_S[[#This Row],[Industry]], Mean_PB_S, 2, FALSE))/(VLOOKUP(Main_S[[#This Row],[Industry]], Mean_PB_S, 3, FALSE))</f>
        <v>-1.0086141059566045</v>
      </c>
      <c r="Q6" s="1">
        <f>(Main_S[[#This Row],[ROE]]-VLOOKUP(Main_S[[#This Row],[Industry]], Mean_ROE_S, 2, FALSE))/(VLOOKUP(Main_S[[#This Row],[Industry]], Mean_ROE_S, 3, FALSE))</f>
        <v>-0.34035125294163154</v>
      </c>
      <c r="R6" s="1">
        <f>(Main_S[[#This Row],[ROA]]-VLOOKUP(Main_S[[#This Row],[Industry]], Mean_ROA_S, 2, FALSE))/(VLOOKUP(Main_S[[#This Row],[Industry]], Mean_ROA_S, 3, FALSE))</f>
        <v>-0.27254898552595802</v>
      </c>
      <c r="S6" s="1">
        <f>(Main_S[[#This Row],[A/E]]-VLOOKUP(Main_S[[#This Row],[Industry]], Mean_AE_S, 2, FALSE))/(VLOOKUP(Main_S[[#This Row],[Industry]], Mean_AE_S, 3, FALSE))</f>
        <v>0.71430713595988216</v>
      </c>
      <c r="T6" s="1">
        <f>(Main_S[[#This Row],[P/E]]-VLOOKUP(Main_S[[#This Row],[Industry]], Mean_PE_S, 2, FALSE))/(VLOOKUP(Main_S[[#This Row],[Industry]], Mean_PE_S, 3, FALSE))</f>
        <v>-0.38088473375635645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7" t="s">
        <v>106</v>
      </c>
      <c r="B7" s="67" t="s">
        <v>208</v>
      </c>
      <c r="C7" s="2">
        <v>405</v>
      </c>
      <c r="D7">
        <f>RTD("tos.rtd", , "LAST", Main_S[[#This Row],[Symbol]])</f>
        <v>32.07</v>
      </c>
      <c r="E7">
        <v>-6.96</v>
      </c>
      <c r="F7">
        <v>23.58</v>
      </c>
      <c r="G7">
        <v>-14.66</v>
      </c>
      <c r="H7" s="1">
        <f>IF(ISNUMBER(Main_S[[#This Row],[Free CF]]),IF(Main_S[[#This Row],[Free CF]]&lt;&gt;0,Main_S[[#This Row],[Current Price]]/Main_S[[#This Row],[Free CF]],""),"")</f>
        <v>-4.6077586206896548</v>
      </c>
      <c r="I7" s="1">
        <f>IF(ISNUMBER(Main_S[[#This Row],[BVPS]]),IF(Main_S[[#This Row],[BVPS]]&lt;&gt;0,Main_S[[#This Row],[Current Price]]/Main_S[[#This Row],[BVPS]],""),"")</f>
        <v>1.3600508905852418</v>
      </c>
      <c r="J7">
        <v>-1.6</v>
      </c>
      <c r="K7">
        <v>3.05</v>
      </c>
      <c r="L7">
        <v>14.74</v>
      </c>
      <c r="M7" s="1">
        <f>IF(ISNUMBER(Main_S[[#This Row],[EPS]]),IF(Main_S[[#This Row],[EPS]]&lt;&gt;0,Main_S[[#This Row],[Current Price]]/Main_S[[#This Row],[EPS]],""),"")</f>
        <v>-2.1875852660300135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-0.9613662418995238</v>
      </c>
      <c r="P7" s="1">
        <f>(Main_S[[#This Row],[P/B]]-VLOOKUP(Main_S[[#This Row],[Industry]], Mean_PB_S, 2, FALSE))/(VLOOKUP(Main_S[[#This Row],[Industry]], Mean_PB_S, 3, FALSE))</f>
        <v>0.12684306546447957</v>
      </c>
      <c r="Q7" s="1">
        <f>(Main_S[[#This Row],[ROE]]-VLOOKUP(Main_S[[#This Row],[Industry]], Mean_ROE_S, 2, FALSE))/(VLOOKUP(Main_S[[#This Row],[Industry]], Mean_ROE_S, 3, FALSE))</f>
        <v>-1.6309357897188836</v>
      </c>
      <c r="R7" s="1">
        <f>(Main_S[[#This Row],[ROA]]-VLOOKUP(Main_S[[#This Row],[Industry]], Mean_ROA_S, 2, FALSE))/(VLOOKUP(Main_S[[#This Row],[Industry]], Mean_ROA_S, 3, FALSE))</f>
        <v>-0.73205306029699579</v>
      </c>
      <c r="S7" s="1">
        <f>(Main_S[[#This Row],[A/E]]-VLOOKUP(Main_S[[#This Row],[Industry]], Mean_AE_S, 2, FALSE))/(VLOOKUP(Main_S[[#This Row],[Industry]], Mean_AE_S, 3, FALSE))</f>
        <v>20.086718550662862</v>
      </c>
      <c r="T7" s="1">
        <f>(Main_S[[#This Row],[P/E]]-VLOOKUP(Main_S[[#This Row],[Industry]], Mean_PE_S, 2, FALSE))/(VLOOKUP(Main_S[[#This Row],[Industry]], Mean_PE_S, 3, FALSE))</f>
        <v>-1.727383188671143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7" t="s">
        <v>106</v>
      </c>
      <c r="B8" s="67" t="s">
        <v>228</v>
      </c>
      <c r="C8" s="2">
        <v>1965</v>
      </c>
      <c r="D8">
        <f>RTD("tos.rtd", , "LAST", Main_S[[#This Row],[Symbol]])</f>
        <v>45.51</v>
      </c>
      <c r="E8">
        <v>5.32</v>
      </c>
      <c r="F8">
        <v>21.9</v>
      </c>
      <c r="G8">
        <v>3.34</v>
      </c>
      <c r="H8" s="1">
        <f>IF(ISNUMBER(Main_S[[#This Row],[Free CF]]),IF(Main_S[[#This Row],[Free CF]]&lt;&gt;0,Main_S[[#This Row],[Current Price]]/Main_S[[#This Row],[Free CF]],""),"")</f>
        <v>8.5545112781954877</v>
      </c>
      <c r="I8" s="1">
        <f>IF(ISNUMBER(Main_S[[#This Row],[BVPS]]),IF(Main_S[[#This Row],[BVPS]]&lt;&gt;0,Main_S[[#This Row],[Current Price]]/Main_S[[#This Row],[BVPS]],""),"")</f>
        <v>2.0780821917808221</v>
      </c>
      <c r="J8">
        <v>16.149999999999999</v>
      </c>
      <c r="K8">
        <v>8.9700000000000006</v>
      </c>
      <c r="L8">
        <v>1.86</v>
      </c>
      <c r="M8" s="1">
        <f>IF(ISNUMBER(Main_S[[#This Row],[EPS]]),IF(Main_S[[#This Row],[EPS]]&lt;&gt;0,Main_S[[#This Row],[Current Price]]/Main_S[[#This Row],[EPS]],""),"")</f>
        <v>13.625748502994012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0.12606558482311767</v>
      </c>
      <c r="P8" s="1">
        <f>(Main_S[[#This Row],[P/B]]-VLOOKUP(Main_S[[#This Row],[Industry]], Mean_PB_S, 2, FALSE))/(VLOOKUP(Main_S[[#This Row],[Industry]], Mean_PB_S, 3, FALSE))</f>
        <v>1.1946717442566066</v>
      </c>
      <c r="Q8" s="1">
        <f>(Main_S[[#This Row],[ROE]]-VLOOKUP(Main_S[[#This Row],[Industry]], Mean_ROE_S, 2, FALSE))/(VLOOKUP(Main_S[[#This Row],[Industry]], Mean_ROE_S, 3, FALSE))</f>
        <v>0.86447548781883132</v>
      </c>
      <c r="R8" s="1">
        <f>(Main_S[[#This Row],[ROA]]-VLOOKUP(Main_S[[#This Row],[Industry]], Mean_ROA_S, 2, FALSE))/(VLOOKUP(Main_S[[#This Row],[Industry]], Mean_ROA_S, 3, FALSE))</f>
        <v>1.6541435385140064</v>
      </c>
      <c r="S8" s="1">
        <f>(Main_S[[#This Row],[A/E]]-VLOOKUP(Main_S[[#This Row],[Industry]], Mean_AE_S, 2, FALSE))/(VLOOKUP(Main_S[[#This Row],[Industry]], Mean_AE_S, 3, FALSE))</f>
        <v>-0.24878748204898657</v>
      </c>
      <c r="T8" s="1">
        <f>(Main_S[[#This Row],[P/E]]-VLOOKUP(Main_S[[#This Row],[Industry]], Mean_PE_S, 2, FALSE))/(VLOOKUP(Main_S[[#This Row],[Industry]], Mean_PE_S, 3, FALSE))</f>
        <v>0.36174126143603191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7" t="s">
        <v>106</v>
      </c>
      <c r="B9" s="67" t="s">
        <v>322</v>
      </c>
      <c r="C9" s="2">
        <v>300</v>
      </c>
      <c r="D9">
        <f>RTD("tos.rtd", , "LAST", Main_S[[#This Row],[Symbol]])</f>
        <v>24.91</v>
      </c>
      <c r="E9">
        <v>0.15</v>
      </c>
      <c r="F9">
        <v>20.86</v>
      </c>
      <c r="G9">
        <v>1.34</v>
      </c>
      <c r="H9" s="1">
        <f>IF(ISNUMBER(Main_S[[#This Row],[Free CF]]),IF(Main_S[[#This Row],[Free CF]]&lt;&gt;0,Main_S[[#This Row],[Current Price]]/Main_S[[#This Row],[Free CF]],""),"")</f>
        <v>166.06666666666666</v>
      </c>
      <c r="I9" s="1">
        <f>IF(ISNUMBER(Main_S[[#This Row],[BVPS]]),IF(Main_S[[#This Row],[BVPS]]&lt;&gt;0,Main_S[[#This Row],[Current Price]]/Main_S[[#This Row],[BVPS]],""),"")</f>
        <v>1.1941514860977949</v>
      </c>
      <c r="J9">
        <v>6.77</v>
      </c>
      <c r="K9">
        <v>4.62</v>
      </c>
      <c r="L9">
        <v>1.93</v>
      </c>
      <c r="M9" s="1">
        <f>IF(ISNUMBER(Main_S[[#This Row],[EPS]]),IF(Main_S[[#This Row],[EPS]]&lt;&gt;0,Main_S[[#This Row],[Current Price]]/Main_S[[#This Row],[EPS]],""),"")</f>
        <v>18.589552238805968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13.139302069178576</v>
      </c>
      <c r="P9" s="1">
        <f>(Main_S[[#This Row],[P/B]]-VLOOKUP(Main_S[[#This Row],[Industry]], Mean_PB_S, 2, FALSE))/(VLOOKUP(Main_S[[#This Row],[Industry]], Mean_PB_S, 3, FALSE))</f>
        <v>-0.11987618146982319</v>
      </c>
      <c r="Q9" s="1">
        <f>(Main_S[[#This Row],[ROE]]-VLOOKUP(Main_S[[#This Row],[Industry]], Mean_ROE_S, 2, FALSE))/(VLOOKUP(Main_S[[#This Row],[Industry]], Mean_ROE_S, 3, FALSE))</f>
        <v>-0.45422635912785975</v>
      </c>
      <c r="R9" s="1">
        <f>(Main_S[[#This Row],[ROA]]-VLOOKUP(Main_S[[#This Row],[Industry]], Mean_ROA_S, 2, FALSE))/(VLOOKUP(Main_S[[#This Row],[Industry]], Mean_ROA_S, 3, FALSE))</f>
        <v>-9.9227273112321171E-2</v>
      </c>
      <c r="S9" s="1">
        <f>(Main_S[[#This Row],[A/E]]-VLOOKUP(Main_S[[#This Row],[Industry]], Mean_AE_S, 2, FALSE))/(VLOOKUP(Main_S[[#This Row],[Industry]], Mean_AE_S, 3, FALSE))</f>
        <v>-0.13826842752337895</v>
      </c>
      <c r="T9" s="1">
        <f>(Main_S[[#This Row],[P/E]]-VLOOKUP(Main_S[[#This Row],[Industry]], Mean_PE_S, 2, FALSE))/(VLOOKUP(Main_S[[#This Row],[Industry]], Mean_PE_S, 3, FALSE))</f>
        <v>1.0175171972055905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7" t="s">
        <v>106</v>
      </c>
      <c r="B10" s="67" t="s">
        <v>217</v>
      </c>
      <c r="C10" s="2">
        <v>952</v>
      </c>
      <c r="D10">
        <f>RTD("tos.rtd", , "LAST", Main_S[[#This Row],[Symbol]])</f>
        <v>16.02</v>
      </c>
      <c r="E10">
        <v>1.58</v>
      </c>
      <c r="F10">
        <v>14.11</v>
      </c>
      <c r="G10">
        <v>2.31</v>
      </c>
      <c r="H10" s="1">
        <f>IF(ISNUMBER(Main_S[[#This Row],[Free CF]]),IF(Main_S[[#This Row],[Free CF]]&lt;&gt;0,Main_S[[#This Row],[Current Price]]/Main_S[[#This Row],[Free CF]],""),"")</f>
        <v>10.139240506329113</v>
      </c>
      <c r="I10" s="1">
        <f>IF(ISNUMBER(Main_S[[#This Row],[BVPS]]),IF(Main_S[[#This Row],[BVPS]]&lt;&gt;0,Main_S[[#This Row],[Current Price]]/Main_S[[#This Row],[BVPS]],""),"")</f>
        <v>1.1353649893692417</v>
      </c>
      <c r="J10">
        <v>21.21</v>
      </c>
      <c r="K10">
        <v>6.37</v>
      </c>
      <c r="L10">
        <v>1.22</v>
      </c>
      <c r="M10" s="1">
        <f>IF(ISNUMBER(Main_S[[#This Row],[EPS]]),IF(Main_S[[#This Row],[EPS]]&lt;&gt;0,Main_S[[#This Row],[Current Price]]/Main_S[[#This Row],[EPS]],""),"")</f>
        <v>6.9350649350649345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0.25699171022919776</v>
      </c>
      <c r="P10" s="1">
        <f>(Main_S[[#This Row],[P/B]]-VLOOKUP(Main_S[[#This Row],[Industry]], Mean_PB_S, 2, FALSE))/(VLOOKUP(Main_S[[#This Row],[Industry]], Mean_PB_S, 3, FALSE))</f>
        <v>-0.20730121019481748</v>
      </c>
      <c r="Q10" s="1">
        <f>(Main_S[[#This Row],[ROE]]-VLOOKUP(Main_S[[#This Row],[Industry]], Mean_ROE_S, 2, FALSE))/(VLOOKUP(Main_S[[#This Row],[Industry]], Mean_ROE_S, 3, FALSE))</f>
        <v>1.5758434351056394</v>
      </c>
      <c r="R10" s="1">
        <f>(Main_S[[#This Row],[ROA]]-VLOOKUP(Main_S[[#This Row],[Industry]], Mean_ROA_S, 2, FALSE))/(VLOOKUP(Main_S[[#This Row],[Industry]], Mean_ROA_S, 3, FALSE))</f>
        <v>0.60615178903620126</v>
      </c>
      <c r="S10" s="1">
        <f>(Main_S[[#This Row],[A/E]]-VLOOKUP(Main_S[[#This Row],[Industry]], Mean_AE_S, 2, FALSE))/(VLOOKUP(Main_S[[#This Row],[Industry]], Mean_AE_S, 3, FALSE))</f>
        <v>-1.2592474091402588</v>
      </c>
      <c r="T10" s="1">
        <f>(Main_S[[#This Row],[P/E]]-VLOOKUP(Main_S[[#This Row],[Industry]], Mean_PE_S, 2, FALSE))/(VLOOKUP(Main_S[[#This Row],[Industry]], Mean_PE_S, 3, FALSE))</f>
        <v>-0.52217549096131055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7" t="s">
        <v>106</v>
      </c>
      <c r="B11" s="67" t="s">
        <v>232</v>
      </c>
      <c r="C11" s="2">
        <v>960</v>
      </c>
      <c r="D11">
        <f>RTD("tos.rtd", , "LAST", Main_S[[#This Row],[Symbol]])</f>
        <v>8.9</v>
      </c>
      <c r="E11">
        <v>0.3</v>
      </c>
      <c r="F11">
        <v>12.93</v>
      </c>
      <c r="G11">
        <v>0.57999999999999996</v>
      </c>
      <c r="H11" s="1">
        <f>IF(ISNUMBER(Main_S[[#This Row],[Free CF]]),IF(Main_S[[#This Row],[Free CF]]&lt;&gt;0,Main_S[[#This Row],[Current Price]]/Main_S[[#This Row],[Free CF]],""),"")</f>
        <v>29.666666666666668</v>
      </c>
      <c r="I11" s="1">
        <f>IF(ISNUMBER(Main_S[[#This Row],[BVPS]]),IF(Main_S[[#This Row],[BVPS]]&lt;&gt;0,Main_S[[#This Row],[Current Price]]/Main_S[[#This Row],[BVPS]],""),"")</f>
        <v>0.68832173240525918</v>
      </c>
      <c r="J11">
        <v>4.91</v>
      </c>
      <c r="K11">
        <v>3.84</v>
      </c>
      <c r="L11">
        <v>1.53</v>
      </c>
      <c r="M11" s="1">
        <f>IF(ISNUMBER(Main_S[[#This Row],[EPS]]),IF(Main_S[[#This Row],[EPS]]&lt;&gt;0,Main_S[[#This Row],[Current Price]]/Main_S[[#This Row],[EPS]],""),"")</f>
        <v>15.344827586206899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1.8702958639850762</v>
      </c>
      <c r="P11" s="1">
        <f>(Main_S[[#This Row],[P/B]]-VLOOKUP(Main_S[[#This Row],[Industry]], Mean_PB_S, 2, FALSE))/(VLOOKUP(Main_S[[#This Row],[Industry]], Mean_PB_S, 3, FALSE))</f>
        <v>-0.8721268377850443</v>
      </c>
      <c r="Q11" s="1">
        <f>(Main_S[[#This Row],[ROE]]-VLOOKUP(Main_S[[#This Row],[Industry]], Mean_ROE_S, 2, FALSE))/(VLOOKUP(Main_S[[#This Row],[Industry]], Mean_ROE_S, 3, FALSE))</f>
        <v>-0.71571734370364282</v>
      </c>
      <c r="R11" s="1">
        <f>(Main_S[[#This Row],[ROA]]-VLOOKUP(Main_S[[#This Row],[Industry]], Mean_ROA_S, 2, FALSE))/(VLOOKUP(Main_S[[#This Row],[Industry]], Mean_ROA_S, 3, FALSE))</f>
        <v>-0.4136247979556627</v>
      </c>
      <c r="S11" s="1">
        <f>(Main_S[[#This Row],[A/E]]-VLOOKUP(Main_S[[#This Row],[Industry]], Mean_AE_S, 2, FALSE))/(VLOOKUP(Main_S[[#This Row],[Industry]], Mean_AE_S, 3, FALSE))</f>
        <v>-0.76980588195542377</v>
      </c>
      <c r="T11" s="1">
        <f>(Main_S[[#This Row],[P/E]]-VLOOKUP(Main_S[[#This Row],[Industry]], Mean_PE_S, 2, FALSE))/(VLOOKUP(Main_S[[#This Row],[Industry]], Mean_PE_S, 3, FALSE))</f>
        <v>0.58885150883009052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7" t="s">
        <v>106</v>
      </c>
      <c r="B12" s="67" t="s">
        <v>105</v>
      </c>
      <c r="C12" s="2">
        <v>719</v>
      </c>
      <c r="D12">
        <f>RTD("tos.rtd", , "LAST", Main_S[[#This Row],[Symbol]])</f>
        <v>24.57</v>
      </c>
      <c r="E12">
        <v>0.82</v>
      </c>
      <c r="F12">
        <v>12.51</v>
      </c>
      <c r="G12">
        <v>0.83</v>
      </c>
      <c r="H12" s="1">
        <f>IF(ISNUMBER(Main_S[[#This Row],[Free CF]]),IF(Main_S[[#This Row],[Free CF]]&lt;&gt;0,Main_S[[#This Row],[Current Price]]/Main_S[[#This Row],[Free CF]],""),"")</f>
        <v>29.963414634146343</v>
      </c>
      <c r="I12" s="1">
        <f>IF(ISNUMBER(Main_S[[#This Row],[BVPS]]),IF(Main_S[[#This Row],[BVPS]]&lt;&gt;0,Main_S[[#This Row],[Current Price]]/Main_S[[#This Row],[BVPS]],""),"")</f>
        <v>1.9640287769784173</v>
      </c>
      <c r="J12">
        <v>8.0299999999999994</v>
      </c>
      <c r="K12">
        <v>4.91</v>
      </c>
      <c r="L12">
        <v>3.54</v>
      </c>
      <c r="M12" s="1">
        <f>IF(ISNUMBER(Main_S[[#This Row],[EPS]]),IF(Main_S[[#This Row],[EPS]]&lt;&gt;0,Main_S[[#This Row],[Current Price]]/Main_S[[#This Row],[EPS]],""),"")</f>
        <v>29.602409638554217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1.8948123939477377</v>
      </c>
      <c r="P12" s="1">
        <f>(Main_S[[#This Row],[P/B]]-VLOOKUP(Main_S[[#This Row],[Industry]], Mean_PB_S, 2, FALSE))/(VLOOKUP(Main_S[[#This Row],[Industry]], Mean_PB_S, 3, FALSE))</f>
        <v>1.0250558695205152</v>
      </c>
      <c r="Q12" s="1">
        <f>(Main_S[[#This Row],[ROE]]-VLOOKUP(Main_S[[#This Row],[Industry]], Mean_ROE_S, 2, FALSE))/(VLOOKUP(Main_S[[#This Row],[Industry]], Mean_ROE_S, 3, FALSE))</f>
        <v>-0.27708730506039381</v>
      </c>
      <c r="R12" s="1">
        <f>(Main_S[[#This Row],[ROA]]-VLOOKUP(Main_S[[#This Row],[Industry]], Mean_ROA_S, 2, FALSE))/(VLOOKUP(Main_S[[#This Row],[Industry]], Mean_ROA_S, 3, FALSE))</f>
        <v>1.7664114329433992E-2</v>
      </c>
      <c r="S12" s="1">
        <f>(Main_S[[#This Row],[A/E]]-VLOOKUP(Main_S[[#This Row],[Industry]], Mean_AE_S, 2, FALSE))/(VLOOKUP(Main_S[[#This Row],[Industry]], Mean_AE_S, 3, FALSE))</f>
        <v>2.4036698265656025</v>
      </c>
      <c r="T12" s="1">
        <f>(Main_S[[#This Row],[P/E]]-VLOOKUP(Main_S[[#This Row],[Industry]], Mean_PE_S, 2, FALSE))/(VLOOKUP(Main_S[[#This Row],[Industry]], Mean_PE_S, 3, FALSE))</f>
        <v>2.4724431473822408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7" t="s">
        <v>106</v>
      </c>
      <c r="B13" s="67" t="s">
        <v>218</v>
      </c>
      <c r="C13" s="2">
        <v>1877</v>
      </c>
      <c r="D13">
        <f>RTD("tos.rtd", , "LAST", Main_S[[#This Row],[Symbol]])</f>
        <v>12.27</v>
      </c>
      <c r="E13">
        <v>1.35</v>
      </c>
      <c r="F13">
        <v>12.28</v>
      </c>
      <c r="G13">
        <v>1.51</v>
      </c>
      <c r="H13" s="1">
        <f>IF(ISNUMBER(Main_S[[#This Row],[Free CF]]),IF(Main_S[[#This Row],[Free CF]]&lt;&gt;0,Main_S[[#This Row],[Current Price]]/Main_S[[#This Row],[Free CF]],""),"")</f>
        <v>9.0888888888888886</v>
      </c>
      <c r="I13" s="1">
        <f>IF(ISNUMBER(Main_S[[#This Row],[BVPS]]),IF(Main_S[[#This Row],[BVPS]]&lt;&gt;0,Main_S[[#This Row],[Current Price]]/Main_S[[#This Row],[BVPS]],""),"")</f>
        <v>0.999185667752443</v>
      </c>
      <c r="J13">
        <v>13.18</v>
      </c>
      <c r="K13">
        <v>5.86</v>
      </c>
      <c r="L13">
        <v>1.7</v>
      </c>
      <c r="M13" s="1">
        <f>IF(ISNUMBER(Main_S[[#This Row],[EPS]]),IF(Main_S[[#This Row],[EPS]]&lt;&gt;0,Main_S[[#This Row],[Current Price]]/Main_S[[#This Row],[EPS]],""),"")</f>
        <v>8.1258278145695364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0.17021444560625851</v>
      </c>
      <c r="P13" s="1">
        <f>(Main_S[[#This Row],[P/B]]-VLOOKUP(Main_S[[#This Row],[Industry]], Mean_PB_S, 2, FALSE))/(VLOOKUP(Main_S[[#This Row],[Industry]], Mean_PB_S, 3, FALSE))</f>
        <v>-0.40982188699364863</v>
      </c>
      <c r="Q13" s="1">
        <f>(Main_S[[#This Row],[ROE]]-VLOOKUP(Main_S[[#This Row],[Industry]], Mean_ROE_S, 2, FALSE))/(VLOOKUP(Main_S[[#This Row],[Industry]], Mean_ROE_S, 3, FALSE))</f>
        <v>0.44693343180266165</v>
      </c>
      <c r="R13" s="1">
        <f>(Main_S[[#This Row],[ROA]]-VLOOKUP(Main_S[[#This Row],[Industry]], Mean_ROA_S, 2, FALSE))/(VLOOKUP(Main_S[[#This Row],[Industry]], Mean_ROA_S, 3, FALSE))</f>
        <v>0.40058417663863199</v>
      </c>
      <c r="S13" s="1">
        <f>(Main_S[[#This Row],[A/E]]-VLOOKUP(Main_S[[#This Row],[Industry]], Mean_AE_S, 2, FALSE))/(VLOOKUP(Main_S[[#This Row],[Industry]], Mean_AE_S, 3, FALSE))</f>
        <v>-0.50140246382180476</v>
      </c>
      <c r="T13" s="1">
        <f>(Main_S[[#This Row],[P/E]]-VLOOKUP(Main_S[[#This Row],[Industry]], Mean_PE_S, 2, FALSE))/(VLOOKUP(Main_S[[#This Row],[Industry]], Mean_PE_S, 3, FALSE))</f>
        <v>-0.36486193000138017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7" t="s">
        <v>106</v>
      </c>
      <c r="B14" s="67" t="s">
        <v>223</v>
      </c>
      <c r="C14" s="2">
        <v>269</v>
      </c>
      <c r="D14">
        <f>RTD("tos.rtd", , "LAST", Main_S[[#This Row],[Symbol]])</f>
        <v>4.83</v>
      </c>
      <c r="E14">
        <v>0.49</v>
      </c>
      <c r="F14">
        <v>11.05</v>
      </c>
      <c r="G14">
        <v>0.08</v>
      </c>
      <c r="H14" s="1">
        <f>IF(ISNUMBER(Main_S[[#This Row],[Free CF]]),IF(Main_S[[#This Row],[Free CF]]&lt;&gt;0,Main_S[[#This Row],[Current Price]]/Main_S[[#This Row],[Free CF]],""),"")</f>
        <v>9.8571428571428577</v>
      </c>
      <c r="I14" s="1">
        <f>IF(ISNUMBER(Main_S[[#This Row],[BVPS]]),IF(Main_S[[#This Row],[BVPS]]&lt;&gt;0,Main_S[[#This Row],[Current Price]]/Main_S[[#This Row],[BVPS]],""),"")</f>
        <v>0.43710407239819005</v>
      </c>
      <c r="J14">
        <v>0.77</v>
      </c>
      <c r="K14">
        <v>0.81</v>
      </c>
      <c r="L14">
        <v>1.45</v>
      </c>
      <c r="M14" s="1">
        <f>IF(ISNUMBER(Main_S[[#This Row],[EPS]]),IF(Main_S[[#This Row],[EPS]]&lt;&gt;0,Main_S[[#This Row],[Current Price]]/Main_S[[#This Row],[EPS]],""),"")</f>
        <v>60.375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0.23368555070463468</v>
      </c>
      <c r="P14" s="1">
        <f>(Main_S[[#This Row],[P/B]]-VLOOKUP(Main_S[[#This Row],[Industry]], Mean_PB_S, 2, FALSE))/(VLOOKUP(Main_S[[#This Row],[Industry]], Mean_PB_S, 3, FALSE))</f>
        <v>-1.2457281299960217</v>
      </c>
      <c r="Q14" s="1">
        <f>(Main_S[[#This Row],[ROE]]-VLOOKUP(Main_S[[#This Row],[Industry]], Mean_ROE_S, 2, FALSE))/(VLOOKUP(Main_S[[#This Row],[Industry]], Mean_ROE_S, 3, FALSE))</f>
        <v>-1.297745664211031</v>
      </c>
      <c r="R14" s="1">
        <f>(Main_S[[#This Row],[ROA]]-VLOOKUP(Main_S[[#This Row],[Industry]], Mean_ROA_S, 2, FALSE))/(VLOOKUP(Main_S[[#This Row],[Industry]], Mean_ROA_S, 3, FALSE))</f>
        <v>-1.6349382598471043</v>
      </c>
      <c r="S14" s="1">
        <f>(Main_S[[#This Row],[A/E]]-VLOOKUP(Main_S[[#This Row],[Industry]], Mean_AE_S, 2, FALSE))/(VLOOKUP(Main_S[[#This Row],[Industry]], Mean_AE_S, 3, FALSE))</f>
        <v>-0.8961133728418329</v>
      </c>
      <c r="T14" s="1">
        <f>(Main_S[[#This Row],[P/E]]-VLOOKUP(Main_S[[#This Row],[Industry]], Mean_PE_S, 2, FALSE))/(VLOOKUP(Main_S[[#This Row],[Industry]], Mean_PE_S, 3, FALSE))</f>
        <v>6.5378585655503549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s="67" t="s">
        <v>106</v>
      </c>
      <c r="B15" s="67" t="s">
        <v>220</v>
      </c>
      <c r="C15" s="2">
        <v>504</v>
      </c>
      <c r="D15">
        <f>RTD("tos.rtd", , "LAST", Main_S[[#This Row],[Symbol]])</f>
        <v>17.97</v>
      </c>
      <c r="E15">
        <v>-1.31</v>
      </c>
      <c r="F15">
        <v>10.85</v>
      </c>
      <c r="G15">
        <v>0.94</v>
      </c>
      <c r="H15" s="1">
        <f>IF(ISNUMBER(Main_S[[#This Row],[Free CF]]),IF(Main_S[[#This Row],[Free CF]]&lt;&gt;0,Main_S[[#This Row],[Current Price]]/Main_S[[#This Row],[Free CF]],""),"")</f>
        <v>-13.717557251908396</v>
      </c>
      <c r="I15" s="1">
        <f>IF(ISNUMBER(Main_S[[#This Row],[BVPS]]),IF(Main_S[[#This Row],[BVPS]]&lt;&gt;0,Main_S[[#This Row],[Current Price]]/Main_S[[#This Row],[BVPS]],""),"")</f>
        <v>1.6562211981566819</v>
      </c>
      <c r="J15">
        <v>9.36</v>
      </c>
      <c r="K15">
        <v>5.37</v>
      </c>
      <c r="L15">
        <v>3.88</v>
      </c>
      <c r="M15" s="1">
        <f>IF(ISNUMBER(Main_S[[#This Row],[EPS]]),IF(Main_S[[#This Row],[EPS]]&lt;&gt;0,Main_S[[#This Row],[Current Price]]/Main_S[[#This Row],[EPS]],""),"")</f>
        <v>19.117021276595743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-1.7139936414835948</v>
      </c>
      <c r="P15" s="1">
        <f>(Main_S[[#This Row],[P/B]]-VLOOKUP(Main_S[[#This Row],[Industry]], Mean_PB_S, 2, FALSE))/(VLOOKUP(Main_S[[#This Row],[Industry]], Mean_PB_S, 3, FALSE))</f>
        <v>0.56729621521557216</v>
      </c>
      <c r="Q15" s="1">
        <f>(Main_S[[#This Row],[ROE]]-VLOOKUP(Main_S[[#This Row],[Industry]], Mean_ROE_S, 2, FALSE))/(VLOOKUP(Main_S[[#This Row],[Industry]], Mean_ROE_S, 3, FALSE))</f>
        <v>-9.0107192433624153E-2</v>
      </c>
      <c r="R15" s="1">
        <f>(Main_S[[#This Row],[ROA]]-VLOOKUP(Main_S[[#This Row],[Industry]], Mean_ROA_S, 2, FALSE))/(VLOOKUP(Main_S[[#This Row],[Industry]], Mean_ROA_S, 3, FALSE))</f>
        <v>0.20307803923704559</v>
      </c>
      <c r="S15" s="1">
        <f>(Main_S[[#This Row],[A/E]]-VLOOKUP(Main_S[[#This Row],[Industry]], Mean_AE_S, 2, FALSE))/(VLOOKUP(Main_S[[#This Row],[Industry]], Mean_AE_S, 3, FALSE))</f>
        <v>2.9404766628328405</v>
      </c>
      <c r="T15" s="1">
        <f>(Main_S[[#This Row],[P/E]]-VLOOKUP(Main_S[[#This Row],[Industry]], Mean_PE_S, 2, FALSE))/(VLOOKUP(Main_S[[#This Row],[Industry]], Mean_PE_S, 3, FALSE))</f>
        <v>1.0872019632148731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7" t="s">
        <v>106</v>
      </c>
      <c r="B16" s="67" t="s">
        <v>326</v>
      </c>
      <c r="C16" s="2">
        <v>279</v>
      </c>
      <c r="D16">
        <f>RTD("tos.rtd", , "LAST", Main_S[[#This Row],[Symbol]])</f>
        <v>7.7294999999999998</v>
      </c>
      <c r="E16">
        <v>1.62</v>
      </c>
      <c r="F16">
        <v>10.74</v>
      </c>
      <c r="G16">
        <v>1.1399999999999999</v>
      </c>
      <c r="H16" s="1">
        <f>IF(ISNUMBER(Main_S[[#This Row],[Free CF]]),IF(Main_S[[#This Row],[Free CF]]&lt;&gt;0,Main_S[[#This Row],[Current Price]]/Main_S[[#This Row],[Free CF]],""),"")</f>
        <v>4.7712962962962955</v>
      </c>
      <c r="I16" s="1">
        <f>IF(ISNUMBER(Main_S[[#This Row],[BVPS]]),IF(Main_S[[#This Row],[BVPS]]&lt;&gt;0,Main_S[[#This Row],[Current Price]]/Main_S[[#This Row],[BVPS]],""),"")</f>
        <v>0.7196927374301676</v>
      </c>
      <c r="J16">
        <v>11.36</v>
      </c>
      <c r="K16">
        <v>5.43</v>
      </c>
      <c r="L16">
        <v>1.71</v>
      </c>
      <c r="M16" s="1">
        <f>IF(ISNUMBER(Main_S[[#This Row],[EPS]]),IF(Main_S[[#This Row],[EPS]]&lt;&gt;0,Main_S[[#This Row],[Current Price]]/Main_S[[#This Row],[EPS]],""),"")</f>
        <v>6.780263157894737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16" s="1">
        <f>(Main_S[[#This Row],[P/FCF]]-VLOOKUP(Main_S[[#This Row],[Industry]], Mean_PFCF_S, 2, FALSE))/(VLOOKUP(Main_S[[#This Row],[Industry]], Mean_PFCF_S, 3, FALSE))</f>
        <v>-0.18649360217543814</v>
      </c>
      <c r="P16" s="1">
        <f>(Main_S[[#This Row],[P/B]]-VLOOKUP(Main_S[[#This Row],[Industry]], Mean_PB_S, 2, FALSE))/(VLOOKUP(Main_S[[#This Row],[Industry]], Mean_PB_S, 3, FALSE))</f>
        <v>-0.82547307938711534</v>
      </c>
      <c r="Q16" s="1">
        <f>(Main_S[[#This Row],[ROE]]-VLOOKUP(Main_S[[#This Row],[Industry]], Mean_ROE_S, 2, FALSE))/(VLOOKUP(Main_S[[#This Row],[Industry]], Mean_ROE_S, 3, FALSE))</f>
        <v>0.1910659092607663</v>
      </c>
      <c r="R16" s="1">
        <f>(Main_S[[#This Row],[ROA]]-VLOOKUP(Main_S[[#This Row],[Industry]], Mean_ROA_S, 2, FALSE))/(VLOOKUP(Main_S[[#This Row],[Industry]], Mean_ROA_S, 3, FALSE))</f>
        <v>0.2272624642249948</v>
      </c>
      <c r="S16" s="1">
        <f>(Main_S[[#This Row],[A/E]]-VLOOKUP(Main_S[[#This Row],[Industry]], Mean_AE_S, 2, FALSE))/(VLOOKUP(Main_S[[#This Row],[Industry]], Mean_AE_S, 3, FALSE))</f>
        <v>-0.48561402746100363</v>
      </c>
      <c r="T16" s="1">
        <f>(Main_S[[#This Row],[P/E]]-VLOOKUP(Main_S[[#This Row],[Industry]], Mean_PE_S, 2, FALSE))/(VLOOKUP(Main_S[[#This Row],[Industry]], Mean_PE_S, 3, FALSE))</f>
        <v>-0.54262659775068323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7" t="s">
        <v>106</v>
      </c>
      <c r="B17" s="67" t="s">
        <v>212</v>
      </c>
      <c r="C17" s="2">
        <v>1502</v>
      </c>
      <c r="D17">
        <f>RTD("tos.rtd", , "LAST", Main_S[[#This Row],[Symbol]])</f>
        <v>13.46</v>
      </c>
      <c r="E17">
        <v>-1.08</v>
      </c>
      <c r="F17">
        <v>10.52</v>
      </c>
      <c r="G17">
        <v>0.3</v>
      </c>
      <c r="H17" s="1">
        <f>IF(ISNUMBER(Main_S[[#This Row],[Free CF]]),IF(Main_S[[#This Row],[Free CF]]&lt;&gt;0,Main_S[[#This Row],[Current Price]]/Main_S[[#This Row],[Free CF]],""),"")</f>
        <v>-12.462962962962964</v>
      </c>
      <c r="I17" s="1">
        <f>IF(ISNUMBER(Main_S[[#This Row],[BVPS]]),IF(Main_S[[#This Row],[BVPS]]&lt;&gt;0,Main_S[[#This Row],[Current Price]]/Main_S[[#This Row],[BVPS]],""),"")</f>
        <v>1.2794676806083651</v>
      </c>
      <c r="J17">
        <v>2.9</v>
      </c>
      <c r="K17">
        <v>3.11</v>
      </c>
      <c r="L17">
        <v>1.76</v>
      </c>
      <c r="M17" s="1">
        <f>IF(ISNUMBER(Main_S[[#This Row],[EPS]]),IF(Main_S[[#This Row],[EPS]]&lt;&gt;0,Main_S[[#This Row],[Current Price]]/Main_S[[#This Row],[EPS]],""),"")</f>
        <v>44.866666666666674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-1.6103423890853072</v>
      </c>
      <c r="P17" s="1">
        <f>(Main_S[[#This Row],[P/B]]-VLOOKUP(Main_S[[#This Row],[Industry]], Mean_PB_S, 2, FALSE))/(VLOOKUP(Main_S[[#This Row],[Industry]], Mean_PB_S, 3, FALSE))</f>
        <v>7.0027987530450406E-3</v>
      </c>
      <c r="Q17" s="1">
        <f>(Main_S[[#This Row],[ROE]]-VLOOKUP(Main_S[[#This Row],[Industry]], Mean_ROE_S, 2, FALSE))/(VLOOKUP(Main_S[[#This Row],[Industry]], Mean_ROE_S, 3, FALSE))</f>
        <v>-0.99829631090650517</v>
      </c>
      <c r="R17" s="1">
        <f>(Main_S[[#This Row],[ROA]]-VLOOKUP(Main_S[[#This Row],[Industry]], Mean_ROA_S, 2, FALSE))/(VLOOKUP(Main_S[[#This Row],[Industry]], Mean_ROA_S, 3, FALSE))</f>
        <v>-0.70786863530904642</v>
      </c>
      <c r="S17" s="1">
        <f>(Main_S[[#This Row],[A/E]]-VLOOKUP(Main_S[[#This Row],[Industry]], Mean_AE_S, 2, FALSE))/(VLOOKUP(Main_S[[#This Row],[Industry]], Mean_AE_S, 3, FALSE))</f>
        <v>-0.40667184565699793</v>
      </c>
      <c r="T17" s="1">
        <f>(Main_S[[#This Row],[P/E]]-VLOOKUP(Main_S[[#This Row],[Industry]], Mean_PE_S, 2, FALSE))/(VLOOKUP(Main_S[[#This Row],[Industry]], Mean_PE_S, 3, FALSE))</f>
        <v>4.4890282037614151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8" spans="1:26" x14ac:dyDescent="0.25">
      <c r="A18" s="67" t="s">
        <v>106</v>
      </c>
      <c r="B18" s="67" t="s">
        <v>216</v>
      </c>
      <c r="C18" s="2">
        <v>938</v>
      </c>
      <c r="D18">
        <f>RTD("tos.rtd", , "LAST", Main_S[[#This Row],[Symbol]])</f>
        <v>6.82</v>
      </c>
      <c r="E18">
        <v>0.75</v>
      </c>
      <c r="F18">
        <v>10.199999999999999</v>
      </c>
      <c r="G18">
        <v>0.55000000000000004</v>
      </c>
      <c r="H18" s="1">
        <f>IF(ISNUMBER(Main_S[[#This Row],[Free CF]]),IF(Main_S[[#This Row],[Free CF]]&lt;&gt;0,Main_S[[#This Row],[Current Price]]/Main_S[[#This Row],[Free CF]],""),"")</f>
        <v>9.0933333333333337</v>
      </c>
      <c r="I18" s="1">
        <f>IF(ISNUMBER(Main_S[[#This Row],[BVPS]]),IF(Main_S[[#This Row],[BVPS]]&lt;&gt;0,Main_S[[#This Row],[Current Price]]/Main_S[[#This Row],[BVPS]],""),"")</f>
        <v>0.66862745098039222</v>
      </c>
      <c r="J18">
        <v>5.64</v>
      </c>
      <c r="K18">
        <v>3.27</v>
      </c>
      <c r="L18">
        <v>1.71</v>
      </c>
      <c r="M18" s="1">
        <f>IF(ISNUMBER(Main_S[[#This Row],[EPS]]),IF(Main_S[[#This Row],[EPS]]&lt;&gt;0,Main_S[[#This Row],[Current Price]]/Main_S[[#This Row],[EPS]],""),"")</f>
        <v>12.4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0.17058163381757149</v>
      </c>
      <c r="P18" s="1">
        <f>(Main_S[[#This Row],[P/B]]-VLOOKUP(Main_S[[#This Row],[Industry]], Mean_PB_S, 2, FALSE))/(VLOOKUP(Main_S[[#This Row],[Industry]], Mean_PB_S, 3, FALSE))</f>
        <v>-0.90141541960405291</v>
      </c>
      <c r="Q18" s="1">
        <f>(Main_S[[#This Row],[ROE]]-VLOOKUP(Main_S[[#This Row],[Industry]], Mean_ROE_S, 2, FALSE))/(VLOOKUP(Main_S[[#This Row],[Industry]], Mean_ROE_S, 3, FALSE))</f>
        <v>-0.61308916158519033</v>
      </c>
      <c r="R18" s="1">
        <f>(Main_S[[#This Row],[ROA]]-VLOOKUP(Main_S[[#This Row],[Industry]], Mean_ROA_S, 2, FALSE))/(VLOOKUP(Main_S[[#This Row],[Industry]], Mean_ROA_S, 3, FALSE))</f>
        <v>-0.6433768353411814</v>
      </c>
      <c r="S18" s="1">
        <f>(Main_S[[#This Row],[A/E]]-VLOOKUP(Main_S[[#This Row],[Industry]], Mean_AE_S, 2, FALSE))/(VLOOKUP(Main_S[[#This Row],[Industry]], Mean_AE_S, 3, FALSE))</f>
        <v>-0.48561402746100363</v>
      </c>
      <c r="T18" s="1">
        <f>(Main_S[[#This Row],[P/E]]-VLOOKUP(Main_S[[#This Row],[Industry]], Mean_PE_S, 2, FALSE))/(VLOOKUP(Main_S[[#This Row],[Industry]], Mean_PE_S, 3, FALSE))</f>
        <v>0.19980569461057415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7" t="s">
        <v>106</v>
      </c>
      <c r="B19" s="67" t="s">
        <v>227</v>
      </c>
      <c r="C19" s="2">
        <v>1108</v>
      </c>
      <c r="D19">
        <f>RTD("tos.rtd", , "LAST", Main_S[[#This Row],[Symbol]])</f>
        <v>29.1</v>
      </c>
      <c r="E19">
        <v>-8.52</v>
      </c>
      <c r="F19">
        <v>9.4</v>
      </c>
      <c r="G19">
        <v>0.5</v>
      </c>
      <c r="H19" s="1">
        <f>IF(ISNUMBER(Main_S[[#This Row],[Free CF]]),IF(Main_S[[#This Row],[Free CF]]&lt;&gt;0,Main_S[[#This Row],[Current Price]]/Main_S[[#This Row],[Free CF]],""),"")</f>
        <v>-3.4154929577464794</v>
      </c>
      <c r="I19" s="1">
        <f>IF(ISNUMBER(Main_S[[#This Row],[BVPS]]),IF(Main_S[[#This Row],[BVPS]]&lt;&gt;0,Main_S[[#This Row],[Current Price]]/Main_S[[#This Row],[BVPS]],""),"")</f>
        <v>3.0957446808510638</v>
      </c>
      <c r="J19">
        <v>7.07</v>
      </c>
      <c r="K19">
        <v>4.68</v>
      </c>
      <c r="L19">
        <v>3.13</v>
      </c>
      <c r="M19" s="1">
        <f>IF(ISNUMBER(Main_S[[#This Row],[EPS]]),IF(Main_S[[#This Row],[EPS]]&lt;&gt;0,Main_S[[#This Row],[Current Price]]/Main_S[[#This Row],[EPS]],""),"")</f>
        <v>58.2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-0.86286441525769253</v>
      </c>
      <c r="P19" s="1">
        <f>(Main_S[[#This Row],[P/B]]-VLOOKUP(Main_S[[#This Row],[Industry]], Mean_PB_S, 2, FALSE))/(VLOOKUP(Main_S[[#This Row],[Industry]], Mean_PB_S, 3, FALSE))</f>
        <v>2.7081004615712394</v>
      </c>
      <c r="Q19" s="1">
        <f>(Main_S[[#This Row],[ROE]]-VLOOKUP(Main_S[[#This Row],[Industry]], Mean_ROE_S, 2, FALSE))/(VLOOKUP(Main_S[[#This Row],[Industry]], Mean_ROE_S, 3, FALSE))</f>
        <v>-0.41205039387370107</v>
      </c>
      <c r="R19" s="1">
        <f>(Main_S[[#This Row],[ROA]]-VLOOKUP(Main_S[[#This Row],[Industry]], Mean_ROA_S, 2, FALSE))/(VLOOKUP(Main_S[[#This Row],[Industry]], Mean_ROA_S, 3, FALSE))</f>
        <v>-7.5042848124371994E-2</v>
      </c>
      <c r="S19" s="1">
        <f>(Main_S[[#This Row],[A/E]]-VLOOKUP(Main_S[[#This Row],[Industry]], Mean_AE_S, 2, FALSE))/(VLOOKUP(Main_S[[#This Row],[Industry]], Mean_AE_S, 3, FALSE))</f>
        <v>1.7563439357727559</v>
      </c>
      <c r="T19" s="1">
        <f>(Main_S[[#This Row],[P/E]]-VLOOKUP(Main_S[[#This Row],[Industry]], Mean_PE_S, 2, FALSE))/(VLOOKUP(Main_S[[#This Row],[Industry]], Mean_PE_S, 3, FALSE))</f>
        <v>6.2505158871909181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" spans="1:26" x14ac:dyDescent="0.25">
      <c r="A20" s="67" t="s">
        <v>106</v>
      </c>
      <c r="B20" s="67" t="s">
        <v>219</v>
      </c>
      <c r="C20" s="2">
        <v>596</v>
      </c>
      <c r="D20">
        <f>RTD("tos.rtd", , "LAST", Main_S[[#This Row],[Symbol]])</f>
        <v>6.11</v>
      </c>
      <c r="E20">
        <v>1.41</v>
      </c>
      <c r="F20">
        <v>8.92</v>
      </c>
      <c r="G20">
        <v>0.48</v>
      </c>
      <c r="H20" s="1">
        <f>IF(ISNUMBER(Main_S[[#This Row],[Free CF]]),IF(Main_S[[#This Row],[Free CF]]&lt;&gt;0,Main_S[[#This Row],[Current Price]]/Main_S[[#This Row],[Free CF]],""),"")</f>
        <v>4.3333333333333339</v>
      </c>
      <c r="I20" s="1">
        <f>IF(ISNUMBER(Main_S[[#This Row],[BVPS]]),IF(Main_S[[#This Row],[BVPS]]&lt;&gt;0,Main_S[[#This Row],[Current Price]]/Main_S[[#This Row],[BVPS]],""),"")</f>
        <v>0.68497757847533636</v>
      </c>
      <c r="J20">
        <v>1.55</v>
      </c>
      <c r="K20">
        <v>2.78</v>
      </c>
      <c r="L20">
        <v>2.1</v>
      </c>
      <c r="M20" s="1">
        <f>IF(ISNUMBER(Main_S[[#This Row],[EPS]]),IF(Main_S[[#This Row],[EPS]]&lt;&gt;0,Main_S[[#This Row],[Current Price]]/Main_S[[#This Row],[EPS]],""),"")</f>
        <v>12.729166666666668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-0.22267694049856532</v>
      </c>
      <c r="P20" s="1">
        <f>(Main_S[[#This Row],[P/B]]-VLOOKUP(Main_S[[#This Row],[Industry]], Mean_PB_S, 2, FALSE))/(VLOOKUP(Main_S[[#This Row],[Industry]], Mean_PB_S, 3, FALSE))</f>
        <v>-0.87710013556011479</v>
      </c>
      <c r="Q20" s="1">
        <f>(Main_S[[#This Row],[ROE]]-VLOOKUP(Main_S[[#This Row],[Industry]], Mean_ROE_S, 2, FALSE))/(VLOOKUP(Main_S[[#This Row],[Industry]], Mean_ROE_S, 3, FALSE))</f>
        <v>-1.1880881545502187</v>
      </c>
      <c r="R20" s="1">
        <f>(Main_S[[#This Row],[ROA]]-VLOOKUP(Main_S[[#This Row],[Industry]], Mean_ROA_S, 2, FALSE))/(VLOOKUP(Main_S[[#This Row],[Industry]], Mean_ROA_S, 3, FALSE))</f>
        <v>-0.8408829727427678</v>
      </c>
      <c r="S20" s="1">
        <f>(Main_S[[#This Row],[A/E]]-VLOOKUP(Main_S[[#This Row],[Industry]], Mean_AE_S, 2, FALSE))/(VLOOKUP(Main_S[[#This Row],[Industry]], Mean_AE_S, 3, FALSE))</f>
        <v>0.13013499061024042</v>
      </c>
      <c r="T20" s="1">
        <f>(Main_S[[#This Row],[P/E]]-VLOOKUP(Main_S[[#This Row],[Industry]], Mean_PE_S, 2, FALSE))/(VLOOKUP(Main_S[[#This Row],[Industry]], Mean_PE_S, 3, FALSE))</f>
        <v>0.24329242179524013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7" t="s">
        <v>106</v>
      </c>
      <c r="B21" s="67" t="s">
        <v>214</v>
      </c>
      <c r="C21" s="2">
        <v>868</v>
      </c>
      <c r="D21">
        <f>RTD("tos.rtd", , "LAST", Main_S[[#This Row],[Symbol]])</f>
        <v>7.71</v>
      </c>
      <c r="E21">
        <v>1.97</v>
      </c>
      <c r="F21">
        <v>8.66</v>
      </c>
      <c r="G21">
        <v>0.6</v>
      </c>
      <c r="H21" s="1">
        <f>IF(ISNUMBER(Main_S[[#This Row],[Free CF]]),IF(Main_S[[#This Row],[Free CF]]&lt;&gt;0,Main_S[[#This Row],[Current Price]]/Main_S[[#This Row],[Free CF]],""),"")</f>
        <v>3.9137055837563453</v>
      </c>
      <c r="I21" s="1">
        <f>IF(ISNUMBER(Main_S[[#This Row],[BVPS]]),IF(Main_S[[#This Row],[BVPS]]&lt;&gt;0,Main_S[[#This Row],[Current Price]]/Main_S[[#This Row],[BVPS]],""),"")</f>
        <v>0.89030023094688215</v>
      </c>
      <c r="J21">
        <v>7.05</v>
      </c>
      <c r="K21">
        <v>5.25</v>
      </c>
      <c r="L21">
        <v>2.57</v>
      </c>
      <c r="M21" s="1">
        <f>IF(ISNUMBER(Main_S[[#This Row],[EPS]]),IF(Main_S[[#This Row],[EPS]]&lt;&gt;0,Main_S[[#This Row],[Current Price]]/Main_S[[#This Row],[EPS]],""),"")</f>
        <v>12.85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-0.25734547212506437</v>
      </c>
      <c r="P21" s="1">
        <f>(Main_S[[#This Row],[P/B]]-VLOOKUP(Main_S[[#This Row],[Industry]], Mean_PB_S, 2, FALSE))/(VLOOKUP(Main_S[[#This Row],[Industry]], Mean_PB_S, 3, FALSE))</f>
        <v>-0.57175214258304297</v>
      </c>
      <c r="Q21" s="1">
        <f>(Main_S[[#This Row],[ROE]]-VLOOKUP(Main_S[[#This Row],[Industry]], Mean_ROE_S, 2, FALSE))/(VLOOKUP(Main_S[[#This Row],[Industry]], Mean_ROE_S, 3, FALSE))</f>
        <v>-0.41486212489064506</v>
      </c>
      <c r="R21" s="1">
        <f>(Main_S[[#This Row],[ROA]]-VLOOKUP(Main_S[[#This Row],[Industry]], Mean_ROA_S, 2, FALSE))/(VLOOKUP(Main_S[[#This Row],[Industry]], Mean_ROA_S, 3, FALSE))</f>
        <v>0.15470918926114688</v>
      </c>
      <c r="S21" s="1">
        <f>(Main_S[[#This Row],[A/E]]-VLOOKUP(Main_S[[#This Row],[Industry]], Mean_AE_S, 2, FALSE))/(VLOOKUP(Main_S[[#This Row],[Industry]], Mean_AE_S, 3, FALSE))</f>
        <v>0.87219149956789288</v>
      </c>
      <c r="T21" s="1">
        <f>(Main_S[[#This Row],[P/E]]-VLOOKUP(Main_S[[#This Row],[Industry]], Mean_PE_S, 2, FALSE))/(VLOOKUP(Main_S[[#This Row],[Industry]], Mean_PE_S, 3, FALSE))</f>
        <v>0.25925590392631981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7" t="s">
        <v>106</v>
      </c>
      <c r="B22" s="67" t="s">
        <v>327</v>
      </c>
      <c r="C22" s="2">
        <v>428</v>
      </c>
      <c r="D22">
        <f>RTD("tos.rtd", , "LAST", Main_S[[#This Row],[Symbol]])</f>
        <v>7.3935000000000004</v>
      </c>
      <c r="E22">
        <v>-0.76</v>
      </c>
      <c r="F22">
        <v>8.66</v>
      </c>
      <c r="G22">
        <v>0.47</v>
      </c>
      <c r="H22" s="1">
        <f>IF(ISNUMBER(Main_S[[#This Row],[Free CF]]),IF(Main_S[[#This Row],[Free CF]]&lt;&gt;0,Main_S[[#This Row],[Current Price]]/Main_S[[#This Row],[Free CF]],""),"")</f>
        <v>-9.7282894736842103</v>
      </c>
      <c r="I22" s="1">
        <f>IF(ISNUMBER(Main_S[[#This Row],[BVPS]]),IF(Main_S[[#This Row],[BVPS]]&lt;&gt;0,Main_S[[#This Row],[Current Price]]/Main_S[[#This Row],[BVPS]],""),"")</f>
        <v>0.85375288683602779</v>
      </c>
      <c r="J22">
        <v>5.84</v>
      </c>
      <c r="K22">
        <v>3.11</v>
      </c>
      <c r="L22">
        <v>2.2200000000000002</v>
      </c>
      <c r="M22" s="1">
        <f>IF(ISNUMBER(Main_S[[#This Row],[EPS]]),IF(Main_S[[#This Row],[EPS]]&lt;&gt;0,Main_S[[#This Row],[Current Price]]/Main_S[[#This Row],[EPS]],""),"")</f>
        <v>15.730851063829789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-1.3844109189983538</v>
      </c>
      <c r="P22" s="1">
        <f>(Main_S[[#This Row],[P/B]]-VLOOKUP(Main_S[[#This Row],[Industry]], Mean_PB_S, 2, FALSE))/(VLOOKUP(Main_S[[#This Row],[Industry]], Mean_PB_S, 3, FALSE))</f>
        <v>-0.62610395441948086</v>
      </c>
      <c r="Q22" s="1">
        <f>(Main_S[[#This Row],[ROE]]-VLOOKUP(Main_S[[#This Row],[Industry]], Mean_ROE_S, 2, FALSE))/(VLOOKUP(Main_S[[#This Row],[Industry]], Mean_ROE_S, 3, FALSE))</f>
        <v>-0.58497185141575125</v>
      </c>
      <c r="R22" s="1">
        <f>(Main_S[[#This Row],[ROA]]-VLOOKUP(Main_S[[#This Row],[Industry]], Mean_ROA_S, 2, FALSE))/(VLOOKUP(Main_S[[#This Row],[Industry]], Mean_ROA_S, 3, FALSE))</f>
        <v>-0.70786863530904642</v>
      </c>
      <c r="S22" s="1">
        <f>(Main_S[[#This Row],[A/E]]-VLOOKUP(Main_S[[#This Row],[Industry]], Mean_AE_S, 2, FALSE))/(VLOOKUP(Main_S[[#This Row],[Industry]], Mean_AE_S, 3, FALSE))</f>
        <v>0.31959622693985407</v>
      </c>
      <c r="T22" s="1">
        <f>(Main_S[[#This Row],[P/E]]-VLOOKUP(Main_S[[#This Row],[Industry]], Mean_PE_S, 2, FALSE))/(VLOOKUP(Main_S[[#This Row],[Industry]], Mean_PE_S, 3, FALSE))</f>
        <v>0.63984967893114142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7" t="s">
        <v>106</v>
      </c>
      <c r="B23" s="67" t="s">
        <v>225</v>
      </c>
      <c r="C23" s="2">
        <v>561</v>
      </c>
      <c r="D23">
        <f>RTD("tos.rtd", , "LAST", Main_S[[#This Row],[Symbol]])</f>
        <v>6.08</v>
      </c>
      <c r="E23">
        <v>0.82</v>
      </c>
      <c r="F23">
        <v>7.96</v>
      </c>
      <c r="G23">
        <v>-1.42</v>
      </c>
      <c r="H23" s="1">
        <f>IF(ISNUMBER(Main_S[[#This Row],[Free CF]]),IF(Main_S[[#This Row],[Free CF]]&lt;&gt;0,Main_S[[#This Row],[Current Price]]/Main_S[[#This Row],[Free CF]],""),"")</f>
        <v>7.4146341463414638</v>
      </c>
      <c r="I23" s="1">
        <f>IF(ISNUMBER(Main_S[[#This Row],[BVPS]]),IF(Main_S[[#This Row],[BVPS]]&lt;&gt;0,Main_S[[#This Row],[Current Price]]/Main_S[[#This Row],[BVPS]],""),"")</f>
        <v>0.76381909547738691</v>
      </c>
      <c r="J23">
        <v>-16.239999999999998</v>
      </c>
      <c r="K23">
        <v>2.08</v>
      </c>
      <c r="L23">
        <v>1.51</v>
      </c>
      <c r="M23" s="1">
        <f>IF(ISNUMBER(Main_S[[#This Row],[EPS]]),IF(Main_S[[#This Row],[EPS]]&lt;&gt;0,Main_S[[#This Row],[Current Price]]/Main_S[[#This Row],[EPS]],""),"")</f>
        <v>-4.2816901408450709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3.1891959661672166E-2</v>
      </c>
      <c r="P23" s="1">
        <f>(Main_S[[#This Row],[P/B]]-VLOOKUP(Main_S[[#This Row],[Industry]], Mean_PB_S, 2, FALSE))/(VLOOKUP(Main_S[[#This Row],[Industry]], Mean_PB_S, 3, FALSE))</f>
        <v>-0.75985004800253231</v>
      </c>
      <c r="Q23" s="1">
        <f>(Main_S[[#This Row],[ROE]]-VLOOKUP(Main_S[[#This Row],[Industry]], Mean_ROE_S, 2, FALSE))/(VLOOKUP(Main_S[[#This Row],[Industry]], Mean_ROE_S, 3, FALSE))</f>
        <v>-3.6891228941218217</v>
      </c>
      <c r="R23" s="1">
        <f>(Main_S[[#This Row],[ROA]]-VLOOKUP(Main_S[[#This Row],[Industry]], Mean_ROA_S, 2, FALSE))/(VLOOKUP(Main_S[[#This Row],[Industry]], Mean_ROA_S, 3, FALSE))</f>
        <v>-1.1230345976021767</v>
      </c>
      <c r="S23" s="1">
        <f>(Main_S[[#This Row],[A/E]]-VLOOKUP(Main_S[[#This Row],[Industry]], Mean_AE_S, 2, FALSE))/(VLOOKUP(Main_S[[#This Row],[Industry]], Mean_AE_S, 3, FALSE))</f>
        <v>-0.80138275467702602</v>
      </c>
      <c r="T23" s="1">
        <f>(Main_S[[#This Row],[P/E]]-VLOOKUP(Main_S[[#This Row],[Industry]], Mean_PE_S, 2, FALSE))/(VLOOKUP(Main_S[[#This Row],[Industry]], Mean_PE_S, 3, FALSE))</f>
        <v>-2.0040386845308733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7" t="s">
        <v>106</v>
      </c>
      <c r="B24" s="67" t="s">
        <v>222</v>
      </c>
      <c r="C24" s="2">
        <v>1918</v>
      </c>
      <c r="D24">
        <f>RTD("tos.rtd", , "LAST", Main_S[[#This Row],[Symbol]])</f>
        <v>20.25</v>
      </c>
      <c r="E24">
        <v>0.84</v>
      </c>
      <c r="F24">
        <v>7.69</v>
      </c>
      <c r="G24">
        <v>1.78</v>
      </c>
      <c r="H24" s="1">
        <f>IF(ISNUMBER(Main_S[[#This Row],[Free CF]]),IF(Main_S[[#This Row],[Free CF]]&lt;&gt;0,Main_S[[#This Row],[Current Price]]/Main_S[[#This Row],[Free CF]],""),"")</f>
        <v>24.107142857142858</v>
      </c>
      <c r="I24" s="1">
        <f>IF(ISNUMBER(Main_S[[#This Row],[BVPS]]),IF(Main_S[[#This Row],[BVPS]]&lt;&gt;0,Main_S[[#This Row],[Current Price]]/Main_S[[#This Row],[BVPS]],""),"")</f>
        <v>2.6332899869960986</v>
      </c>
      <c r="J24">
        <v>25.95</v>
      </c>
      <c r="K24">
        <v>7.86</v>
      </c>
      <c r="L24">
        <v>2.94</v>
      </c>
      <c r="M24" s="1">
        <f>IF(ISNUMBER(Main_S[[#This Row],[EPS]]),IF(Main_S[[#This Row],[EPS]]&lt;&gt;0,Main_S[[#This Row],[Current Price]]/Main_S[[#This Row],[EPS]],""),"")</f>
        <v>11.376404494382022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1.410982753226683</v>
      </c>
      <c r="P24" s="1">
        <f>(Main_S[[#This Row],[P/B]]-VLOOKUP(Main_S[[#This Row],[Industry]], Mean_PB_S, 2, FALSE))/(VLOOKUP(Main_S[[#This Row],[Industry]], Mean_PB_S, 3, FALSE))</f>
        <v>2.0203555346883713</v>
      </c>
      <c r="Q24" s="1">
        <f>(Main_S[[#This Row],[ROE]]-VLOOKUP(Main_S[[#This Row],[Industry]], Mean_ROE_S, 2, FALSE))/(VLOOKUP(Main_S[[#This Row],[Industry]], Mean_ROE_S, 3, FALSE))</f>
        <v>2.2422236861213447</v>
      </c>
      <c r="R24" s="1">
        <f>(Main_S[[#This Row],[ROA]]-VLOOKUP(Main_S[[#This Row],[Industry]], Mean_ROA_S, 2, FALSE))/(VLOOKUP(Main_S[[#This Row],[Industry]], Mean_ROA_S, 3, FALSE))</f>
        <v>1.2067316762369433</v>
      </c>
      <c r="S24" s="1">
        <f>(Main_S[[#This Row],[A/E]]-VLOOKUP(Main_S[[#This Row],[Industry]], Mean_AE_S, 2, FALSE))/(VLOOKUP(Main_S[[#This Row],[Industry]], Mean_AE_S, 3, FALSE))</f>
        <v>1.4563636449175346</v>
      </c>
      <c r="T24" s="1">
        <f>(Main_S[[#This Row],[P/E]]-VLOOKUP(Main_S[[#This Row],[Industry]], Mean_PE_S, 2, FALSE))/(VLOOKUP(Main_S[[#This Row],[Industry]], Mean_PE_S, 3, FALSE))</f>
        <v>6.4576878913584448E-2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7" t="s">
        <v>106</v>
      </c>
      <c r="B25" s="67" t="s">
        <v>231</v>
      </c>
      <c r="C25" s="2">
        <v>836</v>
      </c>
      <c r="D25">
        <f>RTD("tos.rtd", , "LAST", Main_S[[#This Row],[Symbol]])</f>
        <v>8.83</v>
      </c>
      <c r="E25">
        <v>0.1</v>
      </c>
      <c r="F25">
        <v>7.63</v>
      </c>
      <c r="G25">
        <v>0.34</v>
      </c>
      <c r="H25" s="1">
        <f>IF(ISNUMBER(Main_S[[#This Row],[Free CF]]),IF(Main_S[[#This Row],[Free CF]]&lt;&gt;0,Main_S[[#This Row],[Current Price]]/Main_S[[#This Row],[Free CF]],""),"")</f>
        <v>88.3</v>
      </c>
      <c r="I25" s="1">
        <f>IF(ISNUMBER(Main_S[[#This Row],[BVPS]]),IF(Main_S[[#This Row],[BVPS]]&lt;&gt;0,Main_S[[#This Row],[Current Price]]/Main_S[[#This Row],[BVPS]],""),"")</f>
        <v>1.1572739187418086</v>
      </c>
      <c r="J25">
        <v>4.5599999999999996</v>
      </c>
      <c r="K25">
        <v>2.94</v>
      </c>
      <c r="L25">
        <v>1.95</v>
      </c>
      <c r="M25" s="1">
        <f>IF(ISNUMBER(Main_S[[#This Row],[EPS]]),IF(Main_S[[#This Row],[EPS]]&lt;&gt;0,Main_S[[#This Row],[Current Price]]/Main_S[[#This Row],[EPS]],""),"")</f>
        <v>25.970588235294116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6.7144263417307668</v>
      </c>
      <c r="P25" s="1">
        <f>(Main_S[[#This Row],[P/B]]-VLOOKUP(Main_S[[#This Row],[Industry]], Mean_PB_S, 2, FALSE))/(VLOOKUP(Main_S[[#This Row],[Industry]], Mean_PB_S, 3, FALSE))</f>
        <v>-0.17471908868186445</v>
      </c>
      <c r="Q25" s="1">
        <f>(Main_S[[#This Row],[ROE]]-VLOOKUP(Main_S[[#This Row],[Industry]], Mean_ROE_S, 2, FALSE))/(VLOOKUP(Main_S[[#This Row],[Industry]], Mean_ROE_S, 3, FALSE))</f>
        <v>-0.76492263650016123</v>
      </c>
      <c r="R25" s="1">
        <f>(Main_S[[#This Row],[ROA]]-VLOOKUP(Main_S[[#This Row],[Industry]], Mean_ROA_S, 2, FALSE))/(VLOOKUP(Main_S[[#This Row],[Industry]], Mean_ROA_S, 3, FALSE))</f>
        <v>-0.77639117277490277</v>
      </c>
      <c r="S25" s="1">
        <f>(Main_S[[#This Row],[A/E]]-VLOOKUP(Main_S[[#This Row],[Industry]], Mean_AE_S, 2, FALSE))/(VLOOKUP(Main_S[[#This Row],[Industry]], Mean_AE_S, 3, FALSE))</f>
        <v>-0.10669155480177667</v>
      </c>
      <c r="T25" s="1">
        <f>(Main_S[[#This Row],[P/E]]-VLOOKUP(Main_S[[#This Row],[Industry]], Mean_PE_S, 2, FALSE))/(VLOOKUP(Main_S[[#This Row],[Industry]], Mean_PE_S, 3, FALSE))</f>
        <v>1.9926374971128666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7" t="s">
        <v>106</v>
      </c>
      <c r="B26" s="67" t="s">
        <v>211</v>
      </c>
      <c r="C26" s="2">
        <v>1336</v>
      </c>
      <c r="D26">
        <f>RTD("tos.rtd", , "LAST", Main_S[[#This Row],[Symbol]])</f>
        <v>8.73</v>
      </c>
      <c r="E26">
        <v>0.5</v>
      </c>
      <c r="F26">
        <v>6.17</v>
      </c>
      <c r="G26">
        <v>-1.5</v>
      </c>
      <c r="H26" s="1">
        <f>IF(ISNUMBER(Main_S[[#This Row],[Free CF]]),IF(Main_S[[#This Row],[Free CF]]&lt;&gt;0,Main_S[[#This Row],[Current Price]]/Main_S[[#This Row],[Free CF]],""),"")</f>
        <v>17.46</v>
      </c>
      <c r="I26" s="1">
        <f>IF(ISNUMBER(Main_S[[#This Row],[BVPS]]),IF(Main_S[[#This Row],[BVPS]]&lt;&gt;0,Main_S[[#This Row],[Current Price]]/Main_S[[#This Row],[BVPS]],""),"")</f>
        <v>1.4149108589951378</v>
      </c>
      <c r="J26">
        <v>-18.41</v>
      </c>
      <c r="K26">
        <v>0.26</v>
      </c>
      <c r="L26">
        <v>3.06</v>
      </c>
      <c r="M26" s="1">
        <f>IF(ISNUMBER(Main_S[[#This Row],[EPS]]),IF(Main_S[[#This Row],[EPS]]&lt;&gt;0,Main_S[[#This Row],[Current Price]]/Main_S[[#This Row],[EPS]],""),"")</f>
        <v>-5.82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0.86181344161414253</v>
      </c>
      <c r="P26" s="1">
        <f>(Main_S[[#This Row],[P/B]]-VLOOKUP(Main_S[[#This Row],[Industry]], Mean_PB_S, 2, FALSE))/(VLOOKUP(Main_S[[#This Row],[Industry]], Mean_PB_S, 3, FALSE))</f>
        <v>0.20842871150550163</v>
      </c>
      <c r="Q26" s="1">
        <f>(Main_S[[#This Row],[ROE]]-VLOOKUP(Main_S[[#This Row],[Industry]], Mean_ROE_S, 2, FALSE))/(VLOOKUP(Main_S[[#This Row],[Industry]], Mean_ROE_S, 3, FALSE))</f>
        <v>-3.9941957094602354</v>
      </c>
      <c r="R26" s="1">
        <f>(Main_S[[#This Row],[ROA]]-VLOOKUP(Main_S[[#This Row],[Industry]], Mean_ROA_S, 2, FALSE))/(VLOOKUP(Main_S[[#This Row],[Industry]], Mean_ROA_S, 3, FALSE))</f>
        <v>-1.8566288222366403</v>
      </c>
      <c r="S26" s="1">
        <f>(Main_S[[#This Row],[A/E]]-VLOOKUP(Main_S[[#This Row],[Industry]], Mean_AE_S, 2, FALSE))/(VLOOKUP(Main_S[[#This Row],[Industry]], Mean_AE_S, 3, FALSE))</f>
        <v>1.6458248812471483</v>
      </c>
      <c r="T26" s="1">
        <f>(Main_S[[#This Row],[P/E]]-VLOOKUP(Main_S[[#This Row],[Industry]], Mean_PE_S, 2, FALSE))/(VLOOKUP(Main_S[[#This Row],[Industry]], Mean_PE_S, 3, FALSE))</f>
        <v>-2.2072672247958418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7" t="s">
        <v>106</v>
      </c>
      <c r="B27" s="67" t="s">
        <v>213</v>
      </c>
      <c r="C27" s="2">
        <v>504</v>
      </c>
      <c r="D27">
        <f>RTD("tos.rtd", , "LAST", Main_S[[#This Row],[Symbol]])</f>
        <v>11.67</v>
      </c>
      <c r="E27">
        <v>0.94</v>
      </c>
      <c r="F27">
        <v>5.43</v>
      </c>
      <c r="G27">
        <v>0.59</v>
      </c>
      <c r="H27" s="1">
        <f>IF(ISNUMBER(Main_S[[#This Row],[Free CF]]),IF(Main_S[[#This Row],[Free CF]]&lt;&gt;0,Main_S[[#This Row],[Current Price]]/Main_S[[#This Row],[Free CF]],""),"")</f>
        <v>12.414893617021278</v>
      </c>
      <c r="I27" s="1">
        <f>IF(ISNUMBER(Main_S[[#This Row],[BVPS]]),IF(Main_S[[#This Row],[BVPS]]&lt;&gt;0,Main_S[[#This Row],[Current Price]]/Main_S[[#This Row],[BVPS]],""),"")</f>
        <v>2.1491712707182322</v>
      </c>
      <c r="J27">
        <v>11.57</v>
      </c>
      <c r="K27">
        <v>5.3</v>
      </c>
      <c r="L27">
        <v>2.33</v>
      </c>
      <c r="M27" s="1">
        <f>IF(ISNUMBER(Main_S[[#This Row],[EPS]]),IF(Main_S[[#This Row],[EPS]]&lt;&gt;0,Main_S[[#This Row],[Current Price]]/Main_S[[#This Row],[EPS]],""),"")</f>
        <v>19.779661016949152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0.44500013416803869</v>
      </c>
      <c r="P27" s="1">
        <f>(Main_S[[#This Row],[P/B]]-VLOOKUP(Main_S[[#This Row],[Industry]], Mean_PB_S, 2, FALSE))/(VLOOKUP(Main_S[[#This Row],[Industry]], Mean_PB_S, 3, FALSE))</f>
        <v>1.300392702537793</v>
      </c>
      <c r="Q27" s="1">
        <f>(Main_S[[#This Row],[ROE]]-VLOOKUP(Main_S[[#This Row],[Industry]], Mean_ROE_S, 2, FALSE))/(VLOOKUP(Main_S[[#This Row],[Industry]], Mean_ROE_S, 3, FALSE))</f>
        <v>0.2205890849386774</v>
      </c>
      <c r="R27" s="1">
        <f>(Main_S[[#This Row],[ROA]]-VLOOKUP(Main_S[[#This Row],[Industry]], Mean_ROA_S, 2, FALSE))/(VLOOKUP(Main_S[[#This Row],[Industry]], Mean_ROA_S, 3, FALSE))</f>
        <v>0.1748628767511046</v>
      </c>
      <c r="S27" s="1">
        <f>(Main_S[[#This Row],[A/E]]-VLOOKUP(Main_S[[#This Row],[Industry]], Mean_AE_S, 2, FALSE))/(VLOOKUP(Main_S[[#This Row],[Industry]], Mean_AE_S, 3, FALSE))</f>
        <v>0.49326902690866625</v>
      </c>
      <c r="T27" s="1">
        <f>(Main_S[[#This Row],[P/E]]-VLOOKUP(Main_S[[#This Row],[Industry]], Mean_PE_S, 2, FALSE))/(VLOOKUP(Main_S[[#This Row],[Industry]], Mean_PE_S, 3, FALSE))</f>
        <v>1.174744343803632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7" t="s">
        <v>106</v>
      </c>
      <c r="B28" s="67" t="s">
        <v>332</v>
      </c>
      <c r="C28" s="2">
        <v>268</v>
      </c>
      <c r="D28">
        <f>RTD("tos.rtd", , "LAST", Main_S[[#This Row],[Symbol]])</f>
        <v>1.742</v>
      </c>
      <c r="E28">
        <v>1.02</v>
      </c>
      <c r="F28">
        <v>5.18</v>
      </c>
      <c r="G28">
        <v>-0.06</v>
      </c>
      <c r="H28" s="1">
        <f>IF(ISNUMBER(Main_S[[#This Row],[Free CF]]),IF(Main_S[[#This Row],[Free CF]]&lt;&gt;0,Main_S[[#This Row],[Current Price]]/Main_S[[#This Row],[Free CF]],""),"")</f>
        <v>1.7078431372549019</v>
      </c>
      <c r="I28" s="1">
        <f>IF(ISNUMBER(Main_S[[#This Row],[BVPS]]),IF(Main_S[[#This Row],[BVPS]]&lt;&gt;0,Main_S[[#This Row],[Current Price]]/Main_S[[#This Row],[BVPS]],""),"")</f>
        <v>0.33629343629343633</v>
      </c>
      <c r="J28">
        <v>-1.1399999999999999</v>
      </c>
      <c r="K28">
        <v>1.7</v>
      </c>
      <c r="L28">
        <v>2.08</v>
      </c>
      <c r="M28" s="1">
        <f>IF(ISNUMBER(Main_S[[#This Row],[EPS]]),IF(Main_S[[#This Row],[EPS]]&lt;&gt;0,Main_S[[#This Row],[Current Price]]/Main_S[[#This Row],[EPS]],""),"")</f>
        <v>-29.033333333333335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-0.43958797650503562</v>
      </c>
      <c r="P28" s="1">
        <f>(Main_S[[#This Row],[P/B]]-VLOOKUP(Main_S[[#This Row],[Industry]], Mean_PB_S, 2, FALSE))/(VLOOKUP(Main_S[[#This Row],[Industry]], Mean_PB_S, 3, FALSE))</f>
        <v>-1.3956498509303175</v>
      </c>
      <c r="Q28" s="1">
        <f>(Main_S[[#This Row],[ROE]]-VLOOKUP(Main_S[[#This Row],[Industry]], Mean_ROE_S, 2, FALSE))/(VLOOKUP(Main_S[[#This Row],[Industry]], Mean_ROE_S, 3, FALSE))</f>
        <v>-1.566265976329174</v>
      </c>
      <c r="R28" s="1">
        <f>(Main_S[[#This Row],[ROA]]-VLOOKUP(Main_S[[#This Row],[Industry]], Mean_ROA_S, 2, FALSE))/(VLOOKUP(Main_S[[#This Row],[Industry]], Mean_ROA_S, 3, FALSE))</f>
        <v>-1.2762026225258558</v>
      </c>
      <c r="S28" s="1">
        <f>(Main_S[[#This Row],[A/E]]-VLOOKUP(Main_S[[#This Row],[Industry]], Mean_AE_S, 2, FALSE))/(VLOOKUP(Main_S[[#This Row],[Industry]], Mean_AE_S, 3, FALSE))</f>
        <v>9.8558117888638136E-2</v>
      </c>
      <c r="T28" s="1">
        <f>(Main_S[[#This Row],[P/E]]-VLOOKUP(Main_S[[#This Row],[Industry]], Mean_PE_S, 2, FALSE))/(VLOOKUP(Main_S[[#This Row],[Industry]], Mean_PE_S, 3, FALSE))</f>
        <v>-5.2740172816466071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9" spans="1:26" x14ac:dyDescent="0.25">
      <c r="A29" s="67" t="s">
        <v>106</v>
      </c>
      <c r="B29" s="67" t="s">
        <v>226</v>
      </c>
      <c r="C29" s="2">
        <v>979</v>
      </c>
      <c r="D29">
        <f>RTD("tos.rtd", , "LAST", Main_S[[#This Row],[Symbol]])</f>
        <v>4.76</v>
      </c>
      <c r="E29">
        <v>0.63</v>
      </c>
      <c r="F29">
        <v>5.09</v>
      </c>
      <c r="G29">
        <v>0.35</v>
      </c>
      <c r="H29" s="1">
        <f>IF(ISNUMBER(Main_S[[#This Row],[Free CF]]),IF(Main_S[[#This Row],[Free CF]]&lt;&gt;0,Main_S[[#This Row],[Current Price]]/Main_S[[#This Row],[Free CF]],""),"")</f>
        <v>7.5555555555555554</v>
      </c>
      <c r="I29" s="1">
        <f>IF(ISNUMBER(Main_S[[#This Row],[BVPS]]),IF(Main_S[[#This Row],[BVPS]]&lt;&gt;0,Main_S[[#This Row],[Current Price]]/Main_S[[#This Row],[BVPS]],""),"")</f>
        <v>0.93516699410609039</v>
      </c>
      <c r="J29">
        <v>7.19</v>
      </c>
      <c r="K29">
        <v>3.27</v>
      </c>
      <c r="L29">
        <v>1.24</v>
      </c>
      <c r="M29" s="1">
        <f>IF(ISNUMBER(Main_S[[#This Row],[EPS]]),IF(Main_S[[#This Row],[EPS]]&lt;&gt;0,Main_S[[#This Row],[Current Price]]/Main_S[[#This Row],[EPS]],""),"")</f>
        <v>13.6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4.3534512703301276E-2</v>
      </c>
      <c r="P29" s="1">
        <f>(Main_S[[#This Row],[P/B]]-VLOOKUP(Main_S[[#This Row],[Industry]], Mean_PB_S, 2, FALSE))/(VLOOKUP(Main_S[[#This Row],[Industry]], Mean_PB_S, 3, FALSE))</f>
        <v>-0.50502800904429257</v>
      </c>
      <c r="Q29" s="1">
        <f>(Main_S[[#This Row],[ROE]]-VLOOKUP(Main_S[[#This Row],[Industry]], Mean_ROE_S, 2, FALSE))/(VLOOKUP(Main_S[[#This Row],[Industry]], Mean_ROE_S, 3, FALSE))</f>
        <v>-0.39518000777203766</v>
      </c>
      <c r="R29" s="1">
        <f>(Main_S[[#This Row],[ROA]]-VLOOKUP(Main_S[[#This Row],[Industry]], Mean_ROA_S, 2, FALSE))/(VLOOKUP(Main_S[[#This Row],[Industry]], Mean_ROA_S, 3, FALSE))</f>
        <v>-0.6433768353411814</v>
      </c>
      <c r="S29" s="1">
        <f>(Main_S[[#This Row],[A/E]]-VLOOKUP(Main_S[[#This Row],[Industry]], Mean_AE_S, 2, FALSE))/(VLOOKUP(Main_S[[#This Row],[Industry]], Mean_AE_S, 3, FALSE))</f>
        <v>-1.2276705364186564</v>
      </c>
      <c r="T29" s="1">
        <f>(Main_S[[#This Row],[P/E]]-VLOOKUP(Main_S[[#This Row],[Industry]], Mean_PE_S, 2, FALSE))/(VLOOKUP(Main_S[[#This Row],[Industry]], Mean_PE_S, 3, FALSE))</f>
        <v>0.35833958611922934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7" t="s">
        <v>106</v>
      </c>
      <c r="B30" s="67" t="s">
        <v>224</v>
      </c>
      <c r="C30" s="2">
        <v>699</v>
      </c>
      <c r="D30">
        <f>RTD("tos.rtd", , "LAST", Main_S[[#This Row],[Symbol]])</f>
        <v>9.1456</v>
      </c>
      <c r="E30">
        <v>0.6</v>
      </c>
      <c r="F30">
        <v>4.47</v>
      </c>
      <c r="G30">
        <v>0.63</v>
      </c>
      <c r="H30" s="1">
        <f>IF(ISNUMBER(Main_S[[#This Row],[Free CF]]),IF(Main_S[[#This Row],[Free CF]]&lt;&gt;0,Main_S[[#This Row],[Current Price]]/Main_S[[#This Row],[Free CF]],""),"")</f>
        <v>15.242666666666667</v>
      </c>
      <c r="I30" s="1">
        <f>IF(ISNUMBER(Main_S[[#This Row],[BVPS]]),IF(Main_S[[#This Row],[BVPS]]&lt;&gt;0,Main_S[[#This Row],[Current Price]]/Main_S[[#This Row],[BVPS]],""),"")</f>
        <v>2.0459955257270694</v>
      </c>
      <c r="J30">
        <v>14.57</v>
      </c>
      <c r="K30">
        <v>10.19</v>
      </c>
      <c r="L30">
        <v>1.22</v>
      </c>
      <c r="M30" s="1">
        <f>IF(ISNUMBER(Main_S[[#This Row],[EPS]]),IF(Main_S[[#This Row],[EPS]]&lt;&gt;0,Main_S[[#This Row],[Current Price]]/Main_S[[#This Row],[EPS]],""),"")</f>
        <v>14.516825396825396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0.67862324299012688</v>
      </c>
      <c r="P30" s="1">
        <f>(Main_S[[#This Row],[P/B]]-VLOOKUP(Main_S[[#This Row],[Industry]], Mean_PB_S, 2, FALSE))/(VLOOKUP(Main_S[[#This Row],[Industry]], Mean_PB_S, 3, FALSE))</f>
        <v>1.1469536821582385</v>
      </c>
      <c r="Q30" s="1">
        <f>(Main_S[[#This Row],[ROE]]-VLOOKUP(Main_S[[#This Row],[Industry]], Mean_ROE_S, 2, FALSE))/(VLOOKUP(Main_S[[#This Row],[Industry]], Mean_ROE_S, 3, FALSE))</f>
        <v>0.64234873748026311</v>
      </c>
      <c r="R30" s="1">
        <f>(Main_S[[#This Row],[ROA]]-VLOOKUP(Main_S[[#This Row],[Industry]], Mean_ROA_S, 2, FALSE))/(VLOOKUP(Main_S[[#This Row],[Industry]], Mean_ROA_S, 3, FALSE))</f>
        <v>2.1458935132689758</v>
      </c>
      <c r="S30" s="1">
        <f>(Main_S[[#This Row],[A/E]]-VLOOKUP(Main_S[[#This Row],[Industry]], Mean_AE_S, 2, FALSE))/(VLOOKUP(Main_S[[#This Row],[Industry]], Mean_AE_S, 3, FALSE))</f>
        <v>-1.2592474091402588</v>
      </c>
      <c r="T30" s="1">
        <f>(Main_S[[#This Row],[P/E]]-VLOOKUP(Main_S[[#This Row],[Industry]], Mean_PE_S, 2, FALSE))/(VLOOKUP(Main_S[[#This Row],[Industry]], Mean_PE_S, 3, FALSE))</f>
        <v>0.47946283444647708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7" t="s">
        <v>106</v>
      </c>
      <c r="B31" s="67" t="s">
        <v>206</v>
      </c>
      <c r="C31" s="2">
        <v>419</v>
      </c>
      <c r="D31">
        <f>RTD("tos.rtd", , "LAST", Main_S[[#This Row],[Symbol]])</f>
        <v>2.06</v>
      </c>
      <c r="E31">
        <v>-0.9</v>
      </c>
      <c r="F31">
        <v>4.07</v>
      </c>
      <c r="G31">
        <v>0.2</v>
      </c>
      <c r="H31" s="1">
        <f>IF(ISNUMBER(Main_S[[#This Row],[Free CF]]),IF(Main_S[[#This Row],[Free CF]]&lt;&gt;0,Main_S[[#This Row],[Current Price]]/Main_S[[#This Row],[Free CF]],""),"")</f>
        <v>-2.2888888888888888</v>
      </c>
      <c r="I31" s="1">
        <f>IF(ISNUMBER(Main_S[[#This Row],[BVPS]]),IF(Main_S[[#This Row],[BVPS]]&lt;&gt;0,Main_S[[#This Row],[Current Price]]/Main_S[[#This Row],[BVPS]],""),"")</f>
        <v>0.50614250614250611</v>
      </c>
      <c r="J31">
        <v>5.17</v>
      </c>
      <c r="K31">
        <v>6.52</v>
      </c>
      <c r="L31">
        <v>3.49</v>
      </c>
      <c r="M31" s="1">
        <f>IF(ISNUMBER(Main_S[[#This Row],[EPS]]),IF(Main_S[[#This Row],[EPS]]&lt;&gt;0,Main_S[[#This Row],[Current Price]]/Main_S[[#This Row],[EPS]],""),"")</f>
        <v>10.299999999999999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-0.76978737535481556</v>
      </c>
      <c r="P31" s="1">
        <f>(Main_S[[#This Row],[P/B]]-VLOOKUP(Main_S[[#This Row],[Industry]], Mean_PB_S, 2, FALSE))/(VLOOKUP(Main_S[[#This Row],[Industry]], Mean_PB_S, 3, FALSE))</f>
        <v>-1.1430568127869822</v>
      </c>
      <c r="Q31" s="1">
        <f>(Main_S[[#This Row],[ROE]]-VLOOKUP(Main_S[[#This Row],[Industry]], Mean_ROE_S, 2, FALSE))/(VLOOKUP(Main_S[[#This Row],[Industry]], Mean_ROE_S, 3, FALSE))</f>
        <v>-0.67916484048337211</v>
      </c>
      <c r="R31" s="1">
        <f>(Main_S[[#This Row],[ROA]]-VLOOKUP(Main_S[[#This Row],[Industry]], Mean_ROA_S, 2, FALSE))/(VLOOKUP(Main_S[[#This Row],[Industry]], Mean_ROA_S, 3, FALSE))</f>
        <v>0.66661285150607441</v>
      </c>
      <c r="S31" s="1">
        <f>(Main_S[[#This Row],[A/E]]-VLOOKUP(Main_S[[#This Row],[Industry]], Mean_AE_S, 2, FALSE))/(VLOOKUP(Main_S[[#This Row],[Industry]], Mean_AE_S, 3, FALSE))</f>
        <v>2.3247276447615968</v>
      </c>
      <c r="T31" s="1">
        <f>(Main_S[[#This Row],[P/E]]-VLOOKUP(Main_S[[#This Row],[Industry]], Mean_PE_S, 2, FALSE))/(VLOOKUP(Main_S[[#This Row],[Industry]], Mean_PE_S, 3, FALSE))</f>
        <v>-7.7628615529572759E-2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7" t="s">
        <v>106</v>
      </c>
      <c r="B32" s="67" t="s">
        <v>221</v>
      </c>
      <c r="C32" s="2">
        <v>684</v>
      </c>
      <c r="D32">
        <f>RTD("tos.rtd", , "LAST", Main_S[[#This Row],[Symbol]])</f>
        <v>8.36</v>
      </c>
      <c r="E32">
        <v>-0.05</v>
      </c>
      <c r="F32">
        <v>3.86</v>
      </c>
      <c r="G32">
        <v>0.49</v>
      </c>
      <c r="H32" s="1">
        <f>IF(ISNUMBER(Main_S[[#This Row],[Free CF]]),IF(Main_S[[#This Row],[Free CF]]&lt;&gt;0,Main_S[[#This Row],[Current Price]]/Main_S[[#This Row],[Free CF]],""),"")</f>
        <v>-167.2</v>
      </c>
      <c r="I32" s="1">
        <f>IF(ISNUMBER(Main_S[[#This Row],[BVPS]]),IF(Main_S[[#This Row],[BVPS]]&lt;&gt;0,Main_S[[#This Row],[Current Price]]/Main_S[[#This Row],[BVPS]],""),"")</f>
        <v>2.1658031088082899</v>
      </c>
      <c r="J32">
        <v>11.2</v>
      </c>
      <c r="K32">
        <v>4.67</v>
      </c>
      <c r="L32">
        <v>1.19</v>
      </c>
      <c r="M32" s="1">
        <f>IF(ISNUMBER(Main_S[[#This Row],[EPS]]),IF(Main_S[[#This Row],[EPS]]&lt;&gt;0,Main_S[[#This Row],[Current Price]]/Main_S[[#This Row],[EPS]],""),"")</f>
        <v>17.061224489795919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-14.394305956120693</v>
      </c>
      <c r="P32" s="1">
        <f>(Main_S[[#This Row],[P/B]]-VLOOKUP(Main_S[[#This Row],[Industry]], Mean_PB_S, 2, FALSE))/(VLOOKUP(Main_S[[#This Row],[Industry]], Mean_PB_S, 3, FALSE))</f>
        <v>1.3251269358003528</v>
      </c>
      <c r="Q32" s="1">
        <f>(Main_S[[#This Row],[ROE]]-VLOOKUP(Main_S[[#This Row],[Industry]], Mean_ROE_S, 2, FALSE))/(VLOOKUP(Main_S[[#This Row],[Industry]], Mean_ROE_S, 3, FALSE))</f>
        <v>0.16857206112521503</v>
      </c>
      <c r="R32" s="1">
        <f>(Main_S[[#This Row],[ROA]]-VLOOKUP(Main_S[[#This Row],[Industry]], Mean_ROA_S, 2, FALSE))/(VLOOKUP(Main_S[[#This Row],[Industry]], Mean_ROA_S, 3, FALSE))</f>
        <v>-7.9073585622363468E-2</v>
      </c>
      <c r="S32" s="1">
        <f>(Main_S[[#This Row],[A/E]]-VLOOKUP(Main_S[[#This Row],[Industry]], Mean_AE_S, 2, FALSE))/(VLOOKUP(Main_S[[#This Row],[Industry]], Mean_AE_S, 3, FALSE))</f>
        <v>-1.3066127182226621</v>
      </c>
      <c r="T32" s="1">
        <f>(Main_S[[#This Row],[P/E]]-VLOOKUP(Main_S[[#This Row],[Industry]], Mean_PE_S, 2, FALSE))/(VLOOKUP(Main_S[[#This Row],[Industry]], Mean_PE_S, 3, FALSE))</f>
        <v>0.81560740924623509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7" t="s">
        <v>106</v>
      </c>
      <c r="B33" s="67" t="s">
        <v>339</v>
      </c>
      <c r="C33" s="2">
        <v>264</v>
      </c>
      <c r="D33">
        <f>RTD("tos.rtd", , "LAST", Main_S[[#This Row],[Symbol]])</f>
        <v>5.9189999999999996</v>
      </c>
      <c r="E33">
        <v>0.19</v>
      </c>
      <c r="F33">
        <v>3.56</v>
      </c>
      <c r="G33">
        <v>0.85</v>
      </c>
      <c r="H33" s="1">
        <f>IF(ISNUMBER(Main_S[[#This Row],[Free CF]]),IF(Main_S[[#This Row],[Free CF]]&lt;&gt;0,Main_S[[#This Row],[Current Price]]/Main_S[[#This Row],[Free CF]],""),"")</f>
        <v>31.152631578947364</v>
      </c>
      <c r="I33" s="1">
        <f>IF(ISNUMBER(Main_S[[#This Row],[BVPS]]),IF(Main_S[[#This Row],[BVPS]]&lt;&gt;0,Main_S[[#This Row],[Current Price]]/Main_S[[#This Row],[BVPS]],""),"")</f>
        <v>1.6626404494382021</v>
      </c>
      <c r="J33">
        <v>25.15</v>
      </c>
      <c r="K33">
        <v>8.11</v>
      </c>
      <c r="L33">
        <v>1.93</v>
      </c>
      <c r="M33" s="1">
        <f>IF(ISNUMBER(Main_S[[#This Row],[EPS]]),IF(Main_S[[#This Row],[EPS]]&lt;&gt;0,Main_S[[#This Row],[Current Price]]/Main_S[[#This Row],[EPS]],""),"")</f>
        <v>6.9635294117647053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1.9930623435832502</v>
      </c>
      <c r="P33" s="1">
        <f>(Main_S[[#This Row],[P/B]]-VLOOKUP(Main_S[[#This Row],[Industry]], Mean_PB_S, 2, FALSE))/(VLOOKUP(Main_S[[#This Row],[Industry]], Mean_PB_S, 3, FALSE))</f>
        <v>0.57684268011670792</v>
      </c>
      <c r="Q33" s="1">
        <f>(Main_S[[#This Row],[ROE]]-VLOOKUP(Main_S[[#This Row],[Industry]], Mean_ROE_S, 2, FALSE))/(VLOOKUP(Main_S[[#This Row],[Industry]], Mean_ROE_S, 3, FALSE))</f>
        <v>2.1297544454435884</v>
      </c>
      <c r="R33" s="1">
        <f>(Main_S[[#This Row],[ROA]]-VLOOKUP(Main_S[[#This Row],[Industry]], Mean_ROA_S, 2, FALSE))/(VLOOKUP(Main_S[[#This Row],[Industry]], Mean_ROA_S, 3, FALSE))</f>
        <v>1.3075001136867319</v>
      </c>
      <c r="S33" s="1">
        <f>(Main_S[[#This Row],[A/E]]-VLOOKUP(Main_S[[#This Row],[Industry]], Mean_AE_S, 2, FALSE))/(VLOOKUP(Main_S[[#This Row],[Industry]], Mean_AE_S, 3, FALSE))</f>
        <v>-0.13826842752337895</v>
      </c>
      <c r="T33" s="1">
        <f>(Main_S[[#This Row],[P/E]]-VLOOKUP(Main_S[[#This Row],[Industry]], Mean_PE_S, 2, FALSE))/(VLOOKUP(Main_S[[#This Row],[Industry]], Mean_PE_S, 3, FALSE))</f>
        <v>-0.51841500407716712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7" t="s">
        <v>106</v>
      </c>
      <c r="B34" s="67" t="s">
        <v>342</v>
      </c>
      <c r="C34" s="2">
        <v>1013</v>
      </c>
      <c r="D34">
        <f>RTD("tos.rtd", , "LAST", Main_S[[#This Row],[Symbol]])</f>
        <v>4.8929999999999998</v>
      </c>
      <c r="E34">
        <v>0.52</v>
      </c>
      <c r="F34">
        <v>2.57</v>
      </c>
      <c r="G34">
        <v>0.53</v>
      </c>
      <c r="H34" s="1">
        <f>IF(ISNUMBER(Main_S[[#This Row],[Free CF]]),IF(Main_S[[#This Row],[Free CF]]&lt;&gt;0,Main_S[[#This Row],[Current Price]]/Main_S[[#This Row],[Free CF]],""),"")</f>
        <v>9.4096153846153836</v>
      </c>
      <c r="I34" s="1">
        <f>IF(ISNUMBER(Main_S[[#This Row],[BVPS]]),IF(Main_S[[#This Row],[BVPS]]&lt;&gt;0,Main_S[[#This Row],[Current Price]]/Main_S[[#This Row],[BVPS]],""),"")</f>
        <v>1.9038910505836577</v>
      </c>
      <c r="J34">
        <v>23.52</v>
      </c>
      <c r="K34">
        <v>11.14</v>
      </c>
      <c r="L34">
        <v>1.92</v>
      </c>
      <c r="M34" s="1">
        <f>IF(ISNUMBER(Main_S[[#This Row],[EPS]]),IF(Main_S[[#This Row],[EPS]]&lt;&gt;0,Main_S[[#This Row],[Current Price]]/Main_S[[#This Row],[EPS]],""),"")</f>
        <v>9.2320754716981117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0.1967120179707148</v>
      </c>
      <c r="P34" s="1">
        <f>(Main_S[[#This Row],[P/B]]-VLOOKUP(Main_S[[#This Row],[Industry]], Mean_PB_S, 2, FALSE))/(VLOOKUP(Main_S[[#This Row],[Industry]], Mean_PB_S, 3, FALSE))</f>
        <v>0.93562134373486716</v>
      </c>
      <c r="Q34" s="1">
        <f>(Main_S[[#This Row],[ROE]]-VLOOKUP(Main_S[[#This Row],[Industry]], Mean_ROE_S, 2, FALSE))/(VLOOKUP(Main_S[[#This Row],[Industry]], Mean_ROE_S, 3, FALSE))</f>
        <v>1.9005983675626603</v>
      </c>
      <c r="R34" s="1">
        <f>(Main_S[[#This Row],[ROA]]-VLOOKUP(Main_S[[#This Row],[Industry]], Mean_ROA_S, 2, FALSE))/(VLOOKUP(Main_S[[#This Row],[Industry]], Mean_ROA_S, 3, FALSE))</f>
        <v>2.528813575578174</v>
      </c>
      <c r="S34" s="1">
        <f>(Main_S[[#This Row],[A/E]]-VLOOKUP(Main_S[[#This Row],[Industry]], Mean_AE_S, 2, FALSE))/(VLOOKUP(Main_S[[#This Row],[Industry]], Mean_AE_S, 3, FALSE))</f>
        <v>-0.15405686388418008</v>
      </c>
      <c r="T34" s="1">
        <f>(Main_S[[#This Row],[P/E]]-VLOOKUP(Main_S[[#This Row],[Industry]], Mean_PE_S, 2, FALSE))/(VLOOKUP(Main_S[[#This Row],[Industry]], Mean_PE_S, 3, FALSE))</f>
        <v>-0.21871380828727546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7" t="s">
        <v>106</v>
      </c>
      <c r="B35" s="67" t="s">
        <v>229</v>
      </c>
      <c r="C35" s="2">
        <v>357</v>
      </c>
      <c r="D35">
        <f>RTD("tos.rtd", , "LAST", Main_S[[#This Row],[Symbol]])</f>
        <v>3.06</v>
      </c>
      <c r="E35">
        <v>-0.06</v>
      </c>
      <c r="F35">
        <v>2.0499999999999998</v>
      </c>
      <c r="G35">
        <v>0.88</v>
      </c>
      <c r="H35" s="1">
        <f>IF(ISNUMBER(Main_S[[#This Row],[Free CF]]),IF(Main_S[[#This Row],[Free CF]]&lt;&gt;0,Main_S[[#This Row],[Current Price]]/Main_S[[#This Row],[Free CF]],""),"")</f>
        <v>-51</v>
      </c>
      <c r="I35" s="1">
        <f>IF(ISNUMBER(Main_S[[#This Row],[BVPS]]),IF(Main_S[[#This Row],[BVPS]]&lt;&gt;0,Main_S[[#This Row],[Current Price]]/Main_S[[#This Row],[BVPS]],""),"")</f>
        <v>1.4926829268292685</v>
      </c>
      <c r="J35">
        <v>55.88</v>
      </c>
      <c r="K35">
        <v>6.84</v>
      </c>
      <c r="L35">
        <v>2.25</v>
      </c>
      <c r="M35" s="1">
        <f>IF(ISNUMBER(Main_S[[#This Row],[EPS]]),IF(Main_S[[#This Row],[EPS]]&lt;&gt;0,Main_S[[#This Row],[Current Price]]/Main_S[[#This Row],[EPS]],""),"")</f>
        <v>3.4772727272727275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-4.7941701713444136</v>
      </c>
      <c r="P35" s="1">
        <f>(Main_S[[#This Row],[P/B]]-VLOOKUP(Main_S[[#This Row],[Industry]], Mean_PB_S, 2, FALSE))/(VLOOKUP(Main_S[[#This Row],[Industry]], Mean_PB_S, 3, FALSE))</f>
        <v>0.32408835517837647</v>
      </c>
      <c r="Q35" s="1">
        <f>(Main_S[[#This Row],[ROE]]-VLOOKUP(Main_S[[#This Row],[Industry]], Mean_ROE_S, 2, FALSE))/(VLOOKUP(Main_S[[#This Row],[Industry]], Mean_ROE_S, 3, FALSE))</f>
        <v>6.4499791529778978</v>
      </c>
      <c r="R35" s="1">
        <f>(Main_S[[#This Row],[ROA]]-VLOOKUP(Main_S[[#This Row],[Industry]], Mean_ROA_S, 2, FALSE))/(VLOOKUP(Main_S[[#This Row],[Industry]], Mean_ROA_S, 3, FALSE))</f>
        <v>0.79559645144180435</v>
      </c>
      <c r="S35" s="1">
        <f>(Main_S[[#This Row],[A/E]]-VLOOKUP(Main_S[[#This Row],[Industry]], Mean_AE_S, 2, FALSE))/(VLOOKUP(Main_S[[#This Row],[Industry]], Mean_AE_S, 3, FALSE))</f>
        <v>0.36696153602225712</v>
      </c>
      <c r="T35" s="1">
        <f>(Main_S[[#This Row],[P/E]]-VLOOKUP(Main_S[[#This Row],[Industry]], Mean_PE_S, 2, FALSE))/(VLOOKUP(Main_S[[#This Row],[Industry]], Mean_PE_S, 3, FALSE))</f>
        <v>-0.97898986990264669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7" t="s">
        <v>106</v>
      </c>
      <c r="B36" s="67" t="s">
        <v>346</v>
      </c>
      <c r="C36" s="2">
        <v>584</v>
      </c>
      <c r="D36">
        <f>RTD("tos.rtd", , "LAST", Main_S[[#This Row],[Symbol]])</f>
        <v>3.31</v>
      </c>
      <c r="E36">
        <v>0.41</v>
      </c>
      <c r="F36">
        <v>1.86</v>
      </c>
      <c r="G36">
        <v>0.36</v>
      </c>
      <c r="H36" s="1">
        <f>IF(ISNUMBER(Main_S[[#This Row],[Free CF]]),IF(Main_S[[#This Row],[Free CF]]&lt;&gt;0,Main_S[[#This Row],[Current Price]]/Main_S[[#This Row],[Free CF]],""),"")</f>
        <v>8.073170731707318</v>
      </c>
      <c r="I36" s="1">
        <f>IF(ISNUMBER(Main_S[[#This Row],[BVPS]]),IF(Main_S[[#This Row],[BVPS]]&lt;&gt;0,Main_S[[#This Row],[Current Price]]/Main_S[[#This Row],[BVPS]],""),"")</f>
        <v>1.7795698924731183</v>
      </c>
      <c r="J36">
        <v>19.47</v>
      </c>
      <c r="K36">
        <v>12.27</v>
      </c>
      <c r="L36">
        <v>1.35</v>
      </c>
      <c r="M36" s="1">
        <f>IF(ISNUMBER(Main_S[[#This Row],[EPS]]),IF(Main_S[[#This Row],[EPS]]&lt;&gt;0,Main_S[[#This Row],[Current Price]]/Main_S[[#This Row],[EPS]],""),"")</f>
        <v>9.1944444444444446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8.6298505606208456E-2</v>
      </c>
      <c r="P36" s="1">
        <f>(Main_S[[#This Row],[P/B]]-VLOOKUP(Main_S[[#This Row],[Industry]], Mean_PB_S, 2, FALSE))/(VLOOKUP(Main_S[[#This Row],[Industry]], Mean_PB_S, 3, FALSE))</f>
        <v>0.75073567400147412</v>
      </c>
      <c r="Q36" s="1">
        <f>(Main_S[[#This Row],[ROE]]-VLOOKUP(Main_S[[#This Row],[Industry]], Mean_ROE_S, 2, FALSE))/(VLOOKUP(Main_S[[#This Row],[Industry]], Mean_ROE_S, 3, FALSE))</f>
        <v>1.3312228366315195</v>
      </c>
      <c r="R36" s="1">
        <f>(Main_S[[#This Row],[ROA]]-VLOOKUP(Main_S[[#This Row],[Industry]], Mean_ROA_S, 2, FALSE))/(VLOOKUP(Main_S[[#This Row],[Industry]], Mean_ROA_S, 3, FALSE))</f>
        <v>2.9842869128512199</v>
      </c>
      <c r="S36" s="1">
        <f>(Main_S[[#This Row],[A/E]]-VLOOKUP(Main_S[[#This Row],[Industry]], Mean_AE_S, 2, FALSE))/(VLOOKUP(Main_S[[#This Row],[Industry]], Mean_AE_S, 3, FALSE))</f>
        <v>-1.0539977364498438</v>
      </c>
      <c r="T36" s="1">
        <f>(Main_S[[#This Row],[P/E]]-VLOOKUP(Main_S[[#This Row],[Industry]], Mean_PE_S, 2, FALSE))/(VLOOKUP(Main_S[[#This Row],[Industry]], Mean_PE_S, 3, FALSE))</f>
        <v>-0.22368530261393554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7" t="s">
        <v>106</v>
      </c>
      <c r="B37" s="67" t="s">
        <v>215</v>
      </c>
      <c r="C37" s="2">
        <v>1558</v>
      </c>
      <c r="D37">
        <f>RTD("tos.rtd", , "LAST", Main_S[[#This Row],[Symbol]])</f>
        <v>16.96</v>
      </c>
      <c r="E37">
        <v>3.5</v>
      </c>
      <c r="F37">
        <v>-14.39</v>
      </c>
      <c r="G37">
        <v>2.69</v>
      </c>
      <c r="H37" s="1">
        <f>IF(ISNUMBER(Main_S[[#This Row],[Free CF]]),IF(Main_S[[#This Row],[Free CF]]&lt;&gt;0,Main_S[[#This Row],[Current Price]]/Main_S[[#This Row],[Free CF]],""),"")</f>
        <v>4.8457142857142861</v>
      </c>
      <c r="I37" s="1">
        <f>IF(ISNUMBER(Main_S[[#This Row],[BVPS]]),IF(Main_S[[#This Row],[BVPS]]&lt;&gt;0,Main_S[[#This Row],[Current Price]]/Main_S[[#This Row],[BVPS]],""),"")</f>
        <v>-1.1785962473940237</v>
      </c>
      <c r="J37">
        <v>12.52</v>
      </c>
      <c r="K37">
        <v>7.5</v>
      </c>
      <c r="L37">
        <v>-4.34</v>
      </c>
      <c r="M37" s="1">
        <f>IF(ISNUMBER(Main_S[[#This Row],[EPS]]),IF(Main_S[[#This Row],[EPS]]&lt;&gt;0,Main_S[[#This Row],[Current Price]]/Main_S[[#This Row],[EPS]],""),"")</f>
        <v>6.3048327137546476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-0.18034538528006161</v>
      </c>
      <c r="P37" s="1">
        <f>(Main_S[[#This Row],[P/B]]-VLOOKUP(Main_S[[#This Row],[Industry]], Mean_PB_S, 2, FALSE))/(VLOOKUP(Main_S[[#This Row],[Industry]], Mean_PB_S, 3, FALSE))</f>
        <v>-3.6485358278428808</v>
      </c>
      <c r="Q37" s="1">
        <f>(Main_S[[#This Row],[ROE]]-VLOOKUP(Main_S[[#This Row],[Industry]], Mean_ROE_S, 2, FALSE))/(VLOOKUP(Main_S[[#This Row],[Industry]], Mean_ROE_S, 3, FALSE))</f>
        <v>0.35414630824351279</v>
      </c>
      <c r="R37" s="1">
        <f>(Main_S[[#This Row],[ROA]]-VLOOKUP(Main_S[[#This Row],[Industry]], Mean_ROA_S, 2, FALSE))/(VLOOKUP(Main_S[[#This Row],[Industry]], Mean_ROA_S, 3, FALSE))</f>
        <v>1.0616251263092471</v>
      </c>
      <c r="S37" s="1">
        <f>(Main_S[[#This Row],[A/E]]-VLOOKUP(Main_S[[#This Row],[Industry]], Mean_AE_S, 2, FALSE))/(VLOOKUP(Main_S[[#This Row],[Industry]], Mean_AE_S, 3, FALSE))</f>
        <v>-10.037618025745685</v>
      </c>
      <c r="T37" s="1">
        <f>(Main_S[[#This Row],[P/E]]-VLOOKUP(Main_S[[#This Row],[Industry]], Mean_PE_S, 2, FALSE))/(VLOOKUP(Main_S[[#This Row],[Industry]], Mean_PE_S, 3, FALSE))</f>
        <v>-0.60543646312669708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7" t="s">
        <v>107</v>
      </c>
      <c r="B38" s="67" t="s">
        <v>318</v>
      </c>
      <c r="C38" s="2">
        <v>566</v>
      </c>
      <c r="D38">
        <f>RTD("tos.rtd", , "LAST", Main_S[[#This Row],[Symbol]])</f>
        <v>12.88</v>
      </c>
      <c r="H38" s="1" t="str">
        <f>IF(ISNUMBER(Main_S[[#This Row],[Free CF]]),IF(Main_S[[#This Row],[Free CF]]&lt;&gt;0,Main_S[[#This Row],[Current Price]]/Main_S[[#This Row],[Free CF]],""),"")</f>
        <v/>
      </c>
      <c r="I38" s="1" t="str">
        <f>IF(ISNUMBER(Main_S[[#This Row],[BVPS]]),IF(Main_S[[#This Row],[BVPS]]&lt;&gt;0,Main_S[[#This Row],[Current Price]]/Main_S[[#This Row],[BVPS]],""),"")</f>
        <v/>
      </c>
      <c r="J38">
        <v>6.02</v>
      </c>
      <c r="K38">
        <v>5.77</v>
      </c>
      <c r="L38">
        <v>1.64</v>
      </c>
      <c r="M38" s="1" t="str">
        <f>IF(ISNUMBER(Main_S[[#This Row],[EPS]]),IF(Main_S[[#This Row],[EPS]]&lt;&gt;0,Main_S[[#This Row],[Current Price]]/Main_S[[#This Row],[EPS]],""),"")</f>
        <v/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 t="e">
        <f>(Main_S[[#This Row],[P/FCF]]-VLOOKUP(Main_S[[#This Row],[Industry]], Mean_PFCF_S, 2, FALSE))/(VLOOKUP(Main_S[[#This Row],[Industry]], Mean_PFCF_S, 3, FALSE))</f>
        <v>#VALUE!</v>
      </c>
      <c r="P38" s="1" t="e">
        <f>(Main_S[[#This Row],[P/B]]-VLOOKUP(Main_S[[#This Row],[Industry]], Mean_PB_S, 2, FALSE))/(VLOOKUP(Main_S[[#This Row],[Industry]], Mean_PB_S, 3, FALSE))</f>
        <v>#VALUE!</v>
      </c>
      <c r="Q38" s="1">
        <f>(Main_S[[#This Row],[ROE]]-VLOOKUP(Main_S[[#This Row],[Industry]], Mean_ROE_S, 2, FALSE))/(VLOOKUP(Main_S[[#This Row],[Industry]], Mean_ROE_S, 3, FALSE))</f>
        <v>3.6415431218035074E-2</v>
      </c>
      <c r="R38" s="1">
        <f>(Main_S[[#This Row],[ROA]]-VLOOKUP(Main_S[[#This Row],[Industry]], Mean_ROA_S, 2, FALSE))/(VLOOKUP(Main_S[[#This Row],[Industry]], Mean_ROA_S, 3, FALSE))</f>
        <v>0.39633915843303186</v>
      </c>
      <c r="S38" s="1">
        <f>(Main_S[[#This Row],[A/E]]-VLOOKUP(Main_S[[#This Row],[Industry]], Mean_AE_S, 2, FALSE))/(VLOOKUP(Main_S[[#This Row],[Industry]], Mean_AE_S, 3, FALSE))</f>
        <v>-0.10036472993461638</v>
      </c>
      <c r="T38" s="1" t="e">
        <f>(Main_S[[#This Row],[P/E]]-VLOOKUP(Main_S[[#This Row],[Industry]], Mean_PE_S, 2, FALSE))/(VLOOKUP(Main_S[[#This Row],[Industry]], Mean_PE_S, 3, FALSE))</f>
        <v>#VALUE!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9" spans="1:26" x14ac:dyDescent="0.25">
      <c r="A39" s="67" t="s">
        <v>107</v>
      </c>
      <c r="B39" s="67" t="s">
        <v>247</v>
      </c>
      <c r="C39" s="2">
        <v>321</v>
      </c>
      <c r="D39">
        <f>RTD("tos.rtd", , "LAST", Main_S[[#This Row],[Symbol]])</f>
        <v>151.26</v>
      </c>
      <c r="E39">
        <v>6.39</v>
      </c>
      <c r="F39">
        <v>122.55</v>
      </c>
      <c r="G39">
        <v>21.32</v>
      </c>
      <c r="H39" s="1">
        <f>IF(ISNUMBER(Main_S[[#This Row],[Free CF]]),IF(Main_S[[#This Row],[Free CF]]&lt;&gt;0,Main_S[[#This Row],[Current Price]]/Main_S[[#This Row],[Free CF]],""),"")</f>
        <v>23.671361502347416</v>
      </c>
      <c r="I39" s="1">
        <f>IF(ISNUMBER(Main_S[[#This Row],[BVPS]]),IF(Main_S[[#This Row],[BVPS]]&lt;&gt;0,Main_S[[#This Row],[Current Price]]/Main_S[[#This Row],[BVPS]],""),"")</f>
        <v>1.2342717258261933</v>
      </c>
      <c r="J39">
        <v>28.43</v>
      </c>
      <c r="K39">
        <v>12.31</v>
      </c>
      <c r="L39">
        <v>1.66</v>
      </c>
      <c r="M39" s="1">
        <f>IF(ISNUMBER(Main_S[[#This Row],[EPS]]),IF(Main_S[[#This Row],[EPS]]&lt;&gt;0,Main_S[[#This Row],[Current Price]]/Main_S[[#This Row],[EPS]],""),"")</f>
        <v>7.0947467166979354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2.2663281794626844</v>
      </c>
      <c r="P39" s="1">
        <f>(Main_S[[#This Row],[P/B]]-VLOOKUP(Main_S[[#This Row],[Industry]], Mean_PB_S, 2, FALSE))/(VLOOKUP(Main_S[[#This Row],[Industry]], Mean_PB_S, 3, FALSE))</f>
        <v>0.11471634778086709</v>
      </c>
      <c r="Q39" s="1">
        <f>(Main_S[[#This Row],[ROE]]-VLOOKUP(Main_S[[#This Row],[Industry]], Mean_ROE_S, 2, FALSE))/(VLOOKUP(Main_S[[#This Row],[Industry]], Mean_ROE_S, 3, FALSE))</f>
        <v>1.357333803008123</v>
      </c>
      <c r="R39" s="1">
        <f>(Main_S[[#This Row],[ROA]]-VLOOKUP(Main_S[[#This Row],[Industry]], Mean_ROA_S, 2, FALSE))/(VLOOKUP(Main_S[[#This Row],[Industry]], Mean_ROA_S, 3, FALSE))</f>
        <v>1.6483225265697774</v>
      </c>
      <c r="S39" s="1">
        <f>(Main_S[[#This Row],[A/E]]-VLOOKUP(Main_S[[#This Row],[Industry]], Mean_AE_S, 2, FALSE))/(VLOOKUP(Main_S[[#This Row],[Industry]], Mean_AE_S, 3, FALSE))</f>
        <v>-5.7879046710760593E-2</v>
      </c>
      <c r="T39" s="1">
        <f>(Main_S[[#This Row],[P/E]]-VLOOKUP(Main_S[[#This Row],[Industry]], Mean_PE_S, 2, FALSE))/(VLOOKUP(Main_S[[#This Row],[Industry]], Mean_PE_S, 3, FALSE))</f>
        <v>0.23488106228328892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7" t="s">
        <v>107</v>
      </c>
      <c r="B40" s="67" t="s">
        <v>257</v>
      </c>
      <c r="C40" s="2">
        <v>577</v>
      </c>
      <c r="D40">
        <f>RTD("tos.rtd", , "LAST", Main_S[[#This Row],[Symbol]])</f>
        <v>17.899999999999999</v>
      </c>
      <c r="E40">
        <v>-15.42</v>
      </c>
      <c r="F40">
        <v>73.37</v>
      </c>
      <c r="G40">
        <v>-3.4</v>
      </c>
      <c r="H40" s="1">
        <f>IF(ISNUMBER(Main_S[[#This Row],[Free CF]]),IF(Main_S[[#This Row],[Free CF]]&lt;&gt;0,Main_S[[#This Row],[Current Price]]/Main_S[[#This Row],[Free CF]],""),"")</f>
        <v>-1.1608300907911802</v>
      </c>
      <c r="I40" s="1">
        <f>IF(ISNUMBER(Main_S[[#This Row],[BVPS]]),IF(Main_S[[#This Row],[BVPS]]&lt;&gt;0,Main_S[[#This Row],[Current Price]]/Main_S[[#This Row],[BVPS]],""),"")</f>
        <v>0.24396892462859476</v>
      </c>
      <c r="J40">
        <v>-4.6100000000000003</v>
      </c>
      <c r="K40">
        <v>5.1100000000000003</v>
      </c>
      <c r="L40">
        <v>2.13</v>
      </c>
      <c r="M40" s="1">
        <f>IF(ISNUMBER(Main_S[[#This Row],[EPS]]),IF(Main_S[[#This Row],[EPS]]&lt;&gt;0,Main_S[[#This Row],[Current Price]]/Main_S[[#This Row],[EPS]],""),"")</f>
        <v>-5.2647058823529411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-7.9634349071006541E-2</v>
      </c>
      <c r="P40" s="1">
        <f>(Main_S[[#This Row],[P/B]]-VLOOKUP(Main_S[[#This Row],[Industry]], Mean_PB_S, 2, FALSE))/(VLOOKUP(Main_S[[#This Row],[Industry]], Mean_PB_S, 3, FALSE))</f>
        <v>-1.5831288812551545</v>
      </c>
      <c r="Q40" s="1">
        <f>(Main_S[[#This Row],[ROE]]-VLOOKUP(Main_S[[#This Row],[Industry]], Mean_ROE_S, 2, FALSE))/(VLOOKUP(Main_S[[#This Row],[Industry]], Mean_ROE_S, 3, FALSE))</f>
        <v>-0.59015138235307774</v>
      </c>
      <c r="R40" s="1">
        <f>(Main_S[[#This Row],[ROA]]-VLOOKUP(Main_S[[#This Row],[Industry]], Mean_ROA_S, 2, FALSE))/(VLOOKUP(Main_S[[#This Row],[Industry]], Mean_ROA_S, 3, FALSE))</f>
        <v>0.26999221302473658</v>
      </c>
      <c r="S40" s="1">
        <f>(Main_S[[#This Row],[A/E]]-VLOOKUP(Main_S[[#This Row],[Industry]], Mean_AE_S, 2, FALSE))/(VLOOKUP(Main_S[[#This Row],[Industry]], Mean_AE_S, 3, FALSE))</f>
        <v>0.94053450904984959</v>
      </c>
      <c r="T40" s="1">
        <f>(Main_S[[#This Row],[P/E]]-VLOOKUP(Main_S[[#This Row],[Industry]], Mean_PE_S, 2, FALSE))/(VLOOKUP(Main_S[[#This Row],[Industry]], Mean_PE_S, 3, FALSE))</f>
        <v>-0.91912891969143451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7" t="s">
        <v>107</v>
      </c>
      <c r="B41" s="67" t="s">
        <v>285</v>
      </c>
      <c r="C41" s="2">
        <v>547</v>
      </c>
      <c r="D41">
        <f>RTD("tos.rtd", , "LAST", Main_S[[#This Row],[Symbol]])</f>
        <v>17.57</v>
      </c>
      <c r="E41">
        <v>2.2400000000000002</v>
      </c>
      <c r="F41">
        <v>56.99</v>
      </c>
      <c r="G41">
        <v>4.95</v>
      </c>
      <c r="H41" s="1">
        <f>IF(ISNUMBER(Main_S[[#This Row],[Free CF]]),IF(Main_S[[#This Row],[Free CF]]&lt;&gt;0,Main_S[[#This Row],[Current Price]]/Main_S[[#This Row],[Free CF]],""),"")</f>
        <v>7.8437499999999991</v>
      </c>
      <c r="I41" s="1">
        <f>IF(ISNUMBER(Main_S[[#This Row],[BVPS]]),IF(Main_S[[#This Row],[BVPS]]&lt;&gt;0,Main_S[[#This Row],[Current Price]]/Main_S[[#This Row],[BVPS]],""),"")</f>
        <v>0.30829970170205301</v>
      </c>
      <c r="J41">
        <v>10.86</v>
      </c>
      <c r="K41">
        <v>5.03</v>
      </c>
      <c r="L41">
        <v>2.08</v>
      </c>
      <c r="M41" s="1">
        <f>IF(ISNUMBER(Main_S[[#This Row],[EPS]]),IF(Main_S[[#This Row],[EPS]]&lt;&gt;0,Main_S[[#This Row],[Current Price]]/Main_S[[#This Row],[EPS]],""),"")</f>
        <v>3.5494949494949495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0.77105204318498388</v>
      </c>
      <c r="P41" s="1">
        <f>(Main_S[[#This Row],[P/B]]-VLOOKUP(Main_S[[#This Row],[Industry]], Mean_PB_S, 2, FALSE))/(VLOOKUP(Main_S[[#This Row],[Industry]], Mean_PB_S, 3, FALSE))</f>
        <v>-1.4728356428615401</v>
      </c>
      <c r="Q41" s="1">
        <f>(Main_S[[#This Row],[ROE]]-VLOOKUP(Main_S[[#This Row],[Industry]], Mean_ROE_S, 2, FALSE))/(VLOOKUP(Main_S[[#This Row],[Industry]], Mean_ROE_S, 3, FALSE))</f>
        <v>0.32170079130121337</v>
      </c>
      <c r="R41" s="1">
        <f>(Main_S[[#This Row],[ROA]]-VLOOKUP(Main_S[[#This Row],[Industry]], Mean_ROA_S, 2, FALSE))/(VLOOKUP(Main_S[[#This Row],[Industry]], Mean_ROA_S, 3, FALSE))</f>
        <v>0.25467743176312502</v>
      </c>
      <c r="S41" s="1">
        <f>(Main_S[[#This Row],[A/E]]-VLOOKUP(Main_S[[#This Row],[Industry]], Mean_AE_S, 2, FALSE))/(VLOOKUP(Main_S[[#This Row],[Industry]], Mean_AE_S, 3, FALSE))</f>
        <v>0.83432030099021059</v>
      </c>
      <c r="T41" s="1">
        <f>(Main_S[[#This Row],[P/E]]-VLOOKUP(Main_S[[#This Row],[Industry]], Mean_PE_S, 2, FALSE))/(VLOOKUP(Main_S[[#This Row],[Industry]], Mean_PE_S, 3, FALSE))</f>
        <v>-9.6141359233984064E-2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7" t="s">
        <v>107</v>
      </c>
      <c r="B42" s="67" t="s">
        <v>320</v>
      </c>
      <c r="C42" s="2">
        <v>267</v>
      </c>
      <c r="D42">
        <f>RTD("tos.rtd", , "LAST", Main_S[[#This Row],[Symbol]])</f>
        <v>36.71</v>
      </c>
      <c r="E42">
        <v>-1.73</v>
      </c>
      <c r="F42">
        <v>54.97</v>
      </c>
      <c r="G42">
        <v>4.6100000000000003</v>
      </c>
      <c r="H42" s="1">
        <f>IF(ISNUMBER(Main_S[[#This Row],[Free CF]]),IF(Main_S[[#This Row],[Free CF]]&lt;&gt;0,Main_S[[#This Row],[Current Price]]/Main_S[[#This Row],[Free CF]],""),"")</f>
        <v>-21.219653179190754</v>
      </c>
      <c r="I42" s="1">
        <f>IF(ISNUMBER(Main_S[[#This Row],[BVPS]]),IF(Main_S[[#This Row],[BVPS]]&lt;&gt;0,Main_S[[#This Row],[Current Price]]/Main_S[[#This Row],[BVPS]],""),"")</f>
        <v>0.66781881026014189</v>
      </c>
      <c r="J42">
        <v>8.6199999999999992</v>
      </c>
      <c r="K42">
        <v>-4.5599999999999996</v>
      </c>
      <c r="L42">
        <v>1.55</v>
      </c>
      <c r="M42" s="1">
        <f>IF(ISNUMBER(Main_S[[#This Row],[EPS]]),IF(Main_S[[#This Row],[EPS]]&lt;&gt;0,Main_S[[#This Row],[Current Price]]/Main_S[[#This Row],[EPS]],""),"")</f>
        <v>7.9631236442516267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-1.9746441856121466</v>
      </c>
      <c r="P42" s="1">
        <f>(Main_S[[#This Row],[P/B]]-VLOOKUP(Main_S[[#This Row],[Industry]], Mean_PB_S, 2, FALSE))/(VLOOKUP(Main_S[[#This Row],[Industry]], Mean_PB_S, 3, FALSE))</f>
        <v>-0.85645063165642887</v>
      </c>
      <c r="Q42" s="1">
        <f>(Main_S[[#This Row],[ROE]]-VLOOKUP(Main_S[[#This Row],[Industry]], Mean_ROE_S, 2, FALSE))/(VLOOKUP(Main_S[[#This Row],[Industry]], Mean_ROE_S, 3, FALSE))</f>
        <v>0.1896678973784201</v>
      </c>
      <c r="R42" s="1">
        <f>(Main_S[[#This Row],[ROA]]-VLOOKUP(Main_S[[#This Row],[Industry]], Mean_ROA_S, 2, FALSE))/(VLOOKUP(Main_S[[#This Row],[Industry]], Mean_ROA_S, 3, FALSE))</f>
        <v>-1.5811819719725613</v>
      </c>
      <c r="S42" s="1">
        <f>(Main_S[[#This Row],[A/E]]-VLOOKUP(Main_S[[#This Row],[Industry]], Mean_AE_S, 2, FALSE))/(VLOOKUP(Main_S[[#This Row],[Industry]], Mean_AE_S, 3, FALSE))</f>
        <v>-0.291550304441967</v>
      </c>
      <c r="T42" s="1">
        <f>(Main_S[[#This Row],[P/E]]-VLOOKUP(Main_S[[#This Row],[Industry]], Mean_PE_S, 2, FALSE))/(VLOOKUP(Main_S[[#This Row],[Industry]], Mean_PE_S, 3, FALSE))</f>
        <v>0.31596197055834124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7" t="s">
        <v>107</v>
      </c>
      <c r="B43" s="67" t="s">
        <v>287</v>
      </c>
      <c r="C43" s="2">
        <v>1524</v>
      </c>
      <c r="D43">
        <f>RTD("tos.rtd", , "LAST", Main_S[[#This Row],[Symbol]])</f>
        <v>43.89</v>
      </c>
      <c r="E43">
        <v>9.2899999999999991</v>
      </c>
      <c r="F43">
        <v>52.98</v>
      </c>
      <c r="G43">
        <v>9.52</v>
      </c>
      <c r="H43" s="1">
        <f>IF(ISNUMBER(Main_S[[#This Row],[Free CF]]),IF(Main_S[[#This Row],[Free CF]]&lt;&gt;0,Main_S[[#This Row],[Current Price]]/Main_S[[#This Row],[Free CF]],""),"")</f>
        <v>4.7244348762109798</v>
      </c>
      <c r="I43" s="1">
        <f>IF(ISNUMBER(Main_S[[#This Row],[BVPS]]),IF(Main_S[[#This Row],[BVPS]]&lt;&gt;0,Main_S[[#This Row],[Current Price]]/Main_S[[#This Row],[BVPS]],""),"")</f>
        <v>0.82842582106455276</v>
      </c>
      <c r="J43">
        <v>18.96</v>
      </c>
      <c r="K43">
        <v>8.11</v>
      </c>
      <c r="L43">
        <v>1.1100000000000001</v>
      </c>
      <c r="M43" s="1">
        <f>IF(ISNUMBER(Main_S[[#This Row],[EPS]]),IF(Main_S[[#This Row],[EPS]]&lt;&gt;0,Main_S[[#This Row],[Current Price]]/Main_S[[#This Row],[EPS]],""),"")</f>
        <v>4.6102941176470589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0.47636212958430685</v>
      </c>
      <c r="P43" s="1">
        <f>(Main_S[[#This Row],[P/B]]-VLOOKUP(Main_S[[#This Row],[Industry]], Mean_PB_S, 2, FALSE))/(VLOOKUP(Main_S[[#This Row],[Industry]], Mean_PB_S, 3, FALSE))</f>
        <v>-0.581094602455825</v>
      </c>
      <c r="Q43" s="1">
        <f>(Main_S[[#This Row],[ROE]]-VLOOKUP(Main_S[[#This Row],[Industry]], Mean_ROE_S, 2, FALSE))/(VLOOKUP(Main_S[[#This Row],[Industry]], Mean_ROE_S, 3, FALSE))</f>
        <v>0.7991411666470285</v>
      </c>
      <c r="R43" s="1">
        <f>(Main_S[[#This Row],[ROA]]-VLOOKUP(Main_S[[#This Row],[Industry]], Mean_ROA_S, 2, FALSE))/(VLOOKUP(Main_S[[#This Row],[Industry]], Mean_ROA_S, 3, FALSE))</f>
        <v>0.84429651033517017</v>
      </c>
      <c r="S43" s="1">
        <f>(Main_S[[#This Row],[A/E]]-VLOOKUP(Main_S[[#This Row],[Industry]], Mean_AE_S, 2, FALSE))/(VLOOKUP(Main_S[[#This Row],[Industry]], Mean_AE_S, 3, FALSE))</f>
        <v>-1.2262353353667934</v>
      </c>
      <c r="T43" s="1">
        <f>(Main_S[[#This Row],[P/E]]-VLOOKUP(Main_S[[#This Row],[Industry]], Mean_PE_S, 2, FALSE))/(VLOOKUP(Main_S[[#This Row],[Industry]], Mean_PE_S, 3, FALSE))</f>
        <v>2.9061365274403381E-3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7" t="s">
        <v>107</v>
      </c>
      <c r="B44" s="67" t="s">
        <v>294</v>
      </c>
      <c r="C44" s="2">
        <v>1288</v>
      </c>
      <c r="D44">
        <f>RTD("tos.rtd", , "LAST", Main_S[[#This Row],[Symbol]])</f>
        <v>97.2</v>
      </c>
      <c r="E44">
        <v>15.86</v>
      </c>
      <c r="F44">
        <v>42.19</v>
      </c>
      <c r="G44">
        <v>10.41</v>
      </c>
      <c r="H44" s="1">
        <f>IF(ISNUMBER(Main_S[[#This Row],[Free CF]]),IF(Main_S[[#This Row],[Free CF]]&lt;&gt;0,Main_S[[#This Row],[Current Price]]/Main_S[[#This Row],[Free CF]],""),"")</f>
        <v>6.1286254728877685</v>
      </c>
      <c r="I44" s="1">
        <f>IF(ISNUMBER(Main_S[[#This Row],[BVPS]]),IF(Main_S[[#This Row],[BVPS]]&lt;&gt;0,Main_S[[#This Row],[Current Price]]/Main_S[[#This Row],[BVPS]],""),"")</f>
        <v>2.3038634747570517</v>
      </c>
      <c r="J44">
        <v>30.6</v>
      </c>
      <c r="K44">
        <v>12.91</v>
      </c>
      <c r="L44">
        <v>1.39</v>
      </c>
      <c r="M44" s="1">
        <f>IF(ISNUMBER(Main_S[[#This Row],[EPS]]),IF(Main_S[[#This Row],[EPS]]&lt;&gt;0,Main_S[[#This Row],[Current Price]]/Main_S[[#This Row],[EPS]],""),"")</f>
        <v>9.337175792507205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0.60901971280113931</v>
      </c>
      <c r="P44" s="1">
        <f>(Main_S[[#This Row],[P/B]]-VLOOKUP(Main_S[[#This Row],[Industry]], Mean_PB_S, 2, FALSE))/(VLOOKUP(Main_S[[#This Row],[Industry]], Mean_PB_S, 3, FALSE))</f>
        <v>1.9485001619258089</v>
      </c>
      <c r="Q44" s="1">
        <f>(Main_S[[#This Row],[ROE]]-VLOOKUP(Main_S[[#This Row],[Industry]], Mean_ROE_S, 2, FALSE))/(VLOOKUP(Main_S[[#This Row],[Industry]], Mean_ROE_S, 3, FALSE))</f>
        <v>1.4852406689958293</v>
      </c>
      <c r="R44" s="1">
        <f>(Main_S[[#This Row],[ROA]]-VLOOKUP(Main_S[[#This Row],[Industry]], Mean_ROA_S, 2, FALSE))/(VLOOKUP(Main_S[[#This Row],[Industry]], Mean_ROA_S, 3, FALSE))</f>
        <v>1.7631833860318642</v>
      </c>
      <c r="S44" s="1">
        <f>(Main_S[[#This Row],[A/E]]-VLOOKUP(Main_S[[#This Row],[Industry]], Mean_AE_S, 2, FALSE))/(VLOOKUP(Main_S[[#This Row],[Industry]], Mean_AE_S, 3, FALSE))</f>
        <v>-0.63143577023281328</v>
      </c>
      <c r="T44" s="1">
        <f>(Main_S[[#This Row],[P/E]]-VLOOKUP(Main_S[[#This Row],[Industry]], Mean_PE_S, 2, FALSE))/(VLOOKUP(Main_S[[#This Row],[Industry]], Mean_PE_S, 3, FALSE))</f>
        <v>0.44425809711677139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7" t="s">
        <v>107</v>
      </c>
      <c r="B45" s="67" t="s">
        <v>284</v>
      </c>
      <c r="C45" s="2">
        <v>308</v>
      </c>
      <c r="D45">
        <f>RTD("tos.rtd", , "LAST", Main_S[[#This Row],[Symbol]])</f>
        <v>24.8</v>
      </c>
      <c r="E45">
        <v>0.77</v>
      </c>
      <c r="F45">
        <v>41.97</v>
      </c>
      <c r="G45">
        <v>-25.29</v>
      </c>
      <c r="H45" s="1">
        <f>IF(ISNUMBER(Main_S[[#This Row],[Free CF]]),IF(Main_S[[#This Row],[Free CF]]&lt;&gt;0,Main_S[[#This Row],[Current Price]]/Main_S[[#This Row],[Free CF]],""),"")</f>
        <v>32.20779220779221</v>
      </c>
      <c r="I45" s="1">
        <f>IF(ISNUMBER(Main_S[[#This Row],[BVPS]]),IF(Main_S[[#This Row],[BVPS]]&lt;&gt;0,Main_S[[#This Row],[Current Price]]/Main_S[[#This Row],[BVPS]],""),"")</f>
        <v>0.59089826066237794</v>
      </c>
      <c r="J45">
        <v>-23.24</v>
      </c>
      <c r="K45">
        <v>1.45</v>
      </c>
      <c r="L45">
        <v>5.44</v>
      </c>
      <c r="M45" s="1">
        <f>IF(ISNUMBER(Main_S[[#This Row],[EPS]]),IF(Main_S[[#This Row],[EPS]]&lt;&gt;0,Main_S[[#This Row],[Current Price]]/Main_S[[#This Row],[EPS]],""),"")</f>
        <v>-0.98062475286674577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3.0727872665426728</v>
      </c>
      <c r="P45" s="1">
        <f>(Main_S[[#This Row],[P/B]]-VLOOKUP(Main_S[[#This Row],[Industry]], Mean_PB_S, 2, FALSE))/(VLOOKUP(Main_S[[#This Row],[Industry]], Mean_PB_S, 3, FALSE))</f>
        <v>-0.98832866733547087</v>
      </c>
      <c r="Q45" s="1">
        <f>(Main_S[[#This Row],[ROE]]-VLOOKUP(Main_S[[#This Row],[Industry]], Mean_ROE_S, 2, FALSE))/(VLOOKUP(Main_S[[#This Row],[Industry]], Mean_ROE_S, 3, FALSE))</f>
        <v>-1.688264245648452</v>
      </c>
      <c r="R45" s="1">
        <f>(Main_S[[#This Row],[ROA]]-VLOOKUP(Main_S[[#This Row],[Industry]], Mean_ROA_S, 2, FALSE))/(VLOOKUP(Main_S[[#This Row],[Industry]], Mean_ROA_S, 3, FALSE))</f>
        <v>-0.43065902969399261</v>
      </c>
      <c r="S45" s="1">
        <f>(Main_S[[#This Row],[A/E]]-VLOOKUP(Main_S[[#This Row],[Industry]], Mean_AE_S, 2, FALSE))/(VLOOKUP(Main_S[[#This Row],[Industry]], Mean_AE_S, 3, FALSE))</f>
        <v>7.9719150825979783</v>
      </c>
      <c r="T45" s="1">
        <f>(Main_S[[#This Row],[P/E]]-VLOOKUP(Main_S[[#This Row],[Industry]], Mean_PE_S, 2, FALSE))/(VLOOKUP(Main_S[[#This Row],[Industry]], Mean_PE_S, 3, FALSE))</f>
        <v>-0.51912152879806495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7" t="s">
        <v>107</v>
      </c>
      <c r="B46" s="67" t="s">
        <v>277</v>
      </c>
      <c r="C46" s="2">
        <v>1828</v>
      </c>
      <c r="D46">
        <f>RTD("tos.rtd", , "LAST", Main_S[[#This Row],[Symbol]])</f>
        <v>36.729999999999997</v>
      </c>
      <c r="E46">
        <v>2.52</v>
      </c>
      <c r="F46">
        <v>37.92</v>
      </c>
      <c r="G46">
        <v>6.47</v>
      </c>
      <c r="H46" s="1">
        <f>IF(ISNUMBER(Main_S[[#This Row],[Free CF]]),IF(Main_S[[#This Row],[Free CF]]&lt;&gt;0,Main_S[[#This Row],[Current Price]]/Main_S[[#This Row],[Free CF]],""),"")</f>
        <v>14.575396825396824</v>
      </c>
      <c r="I46" s="1">
        <f>IF(ISNUMBER(Main_S[[#This Row],[BVPS]]),IF(Main_S[[#This Row],[BVPS]]&lt;&gt;0,Main_S[[#This Row],[Current Price]]/Main_S[[#This Row],[BVPS]],""),"")</f>
        <v>0.96861814345991548</v>
      </c>
      <c r="J46">
        <v>17.57</v>
      </c>
      <c r="K46">
        <v>7.78</v>
      </c>
      <c r="L46">
        <v>1.36</v>
      </c>
      <c r="M46" s="1">
        <f>IF(ISNUMBER(Main_S[[#This Row],[EPS]]),IF(Main_S[[#This Row],[EPS]]&lt;&gt;0,Main_S[[#This Row],[Current Price]]/Main_S[[#This Row],[EPS]],""),"")</f>
        <v>5.6769706336939718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1.4070084447161029</v>
      </c>
      <c r="P46" s="1">
        <f>(Main_S[[#This Row],[P/B]]-VLOOKUP(Main_S[[#This Row],[Industry]], Mean_PB_S, 2, FALSE))/(VLOOKUP(Main_S[[#This Row],[Industry]], Mean_PB_S, 3, FALSE))</f>
        <v>-0.34073896028395911</v>
      </c>
      <c r="Q46" s="1">
        <f>(Main_S[[#This Row],[ROE]]-VLOOKUP(Main_S[[#This Row],[Industry]], Mean_ROE_S, 2, FALSE))/(VLOOKUP(Main_S[[#This Row],[Industry]], Mean_ROE_S, 3, FALSE))</f>
        <v>0.71721004050743797</v>
      </c>
      <c r="R46" s="1">
        <f>(Main_S[[#This Row],[ROA]]-VLOOKUP(Main_S[[#This Row],[Industry]], Mean_ROA_S, 2, FALSE))/(VLOOKUP(Main_S[[#This Row],[Industry]], Mean_ROA_S, 3, FALSE))</f>
        <v>0.78112303763102242</v>
      </c>
      <c r="S46" s="1">
        <f>(Main_S[[#This Row],[A/E]]-VLOOKUP(Main_S[[#This Row],[Industry]], Mean_AE_S, 2, FALSE))/(VLOOKUP(Main_S[[#This Row],[Industry]], Mean_AE_S, 3, FALSE))</f>
        <v>-0.69516429506859656</v>
      </c>
      <c r="T46" s="1">
        <f>(Main_S[[#This Row],[P/E]]-VLOOKUP(Main_S[[#This Row],[Industry]], Mean_PE_S, 2, FALSE))/(VLOOKUP(Main_S[[#This Row],[Industry]], Mean_PE_S, 3, FALSE))</f>
        <v>0.10250240401510302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7" t="s">
        <v>107</v>
      </c>
      <c r="B47" s="67" t="s">
        <v>265</v>
      </c>
      <c r="C47" s="2">
        <v>1551</v>
      </c>
      <c r="D47">
        <f>RTD("tos.rtd", , "LAST", Main_S[[#This Row],[Symbol]])</f>
        <v>28.07</v>
      </c>
      <c r="E47">
        <v>3.4</v>
      </c>
      <c r="F47">
        <v>33.94</v>
      </c>
      <c r="G47">
        <v>0.32</v>
      </c>
      <c r="H47" s="1">
        <f>IF(ISNUMBER(Main_S[[#This Row],[Free CF]]),IF(Main_S[[#This Row],[Free CF]]&lt;&gt;0,Main_S[[#This Row],[Current Price]]/Main_S[[#This Row],[Free CF]],""),"")</f>
        <v>8.2558823529411764</v>
      </c>
      <c r="I47" s="1">
        <f>IF(ISNUMBER(Main_S[[#This Row],[BVPS]]),IF(Main_S[[#This Row],[BVPS]]&lt;&gt;0,Main_S[[#This Row],[Current Price]]/Main_S[[#This Row],[BVPS]],""),"")</f>
        <v>0.82704773129051268</v>
      </c>
      <c r="J47">
        <v>1</v>
      </c>
      <c r="K47">
        <v>2.15</v>
      </c>
      <c r="L47">
        <v>3.43</v>
      </c>
      <c r="M47" s="1">
        <f>IF(ISNUMBER(Main_S[[#This Row],[EPS]]),IF(Main_S[[#This Row],[EPS]]&lt;&gt;0,Main_S[[#This Row],[Current Price]]/Main_S[[#This Row],[EPS]],""),"")</f>
        <v>87.71875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0.80998727180425611</v>
      </c>
      <c r="P47" s="1">
        <f>(Main_S[[#This Row],[P/B]]-VLOOKUP(Main_S[[#This Row],[Industry]], Mean_PB_S, 2, FALSE))/(VLOOKUP(Main_S[[#This Row],[Industry]], Mean_PB_S, 3, FALSE))</f>
        <v>-0.58345729712376659</v>
      </c>
      <c r="Q47" s="1">
        <f>(Main_S[[#This Row],[ROE]]-VLOOKUP(Main_S[[#This Row],[Industry]], Mean_ROE_S, 2, FALSE))/(VLOOKUP(Main_S[[#This Row],[Industry]], Mean_ROE_S, 3, FALSE))</f>
        <v>-0.25947971498393912</v>
      </c>
      <c r="R47" s="1">
        <f>(Main_S[[#This Row],[ROA]]-VLOOKUP(Main_S[[#This Row],[Industry]], Mean_ROA_S, 2, FALSE))/(VLOOKUP(Main_S[[#This Row],[Industry]], Mean_ROA_S, 3, FALSE))</f>
        <v>-0.29665469365489139</v>
      </c>
      <c r="S47" s="1">
        <f>(Main_S[[#This Row],[A/E]]-VLOOKUP(Main_S[[#This Row],[Industry]], Mean_AE_S, 2, FALSE))/(VLOOKUP(Main_S[[#This Row],[Industry]], Mean_AE_S, 3, FALSE))</f>
        <v>3.7021039186004741</v>
      </c>
      <c r="T47" s="1">
        <f>(Main_S[[#This Row],[P/E]]-VLOOKUP(Main_S[[#This Row],[Industry]], Mean_PE_S, 2, FALSE))/(VLOOKUP(Main_S[[#This Row],[Industry]], Mean_PE_S, 3, FALSE))</f>
        <v>7.7627957356919142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8" spans="1:26" x14ac:dyDescent="0.25">
      <c r="A48" s="67" t="s">
        <v>107</v>
      </c>
      <c r="B48" s="67" t="s">
        <v>264</v>
      </c>
      <c r="C48" s="2">
        <v>694</v>
      </c>
      <c r="D48">
        <f>RTD("tos.rtd", , "LAST", Main_S[[#This Row],[Symbol]])</f>
        <v>43.79</v>
      </c>
      <c r="E48">
        <v>0.55000000000000004</v>
      </c>
      <c r="F48">
        <v>32.56</v>
      </c>
      <c r="G48">
        <v>3.24</v>
      </c>
      <c r="H48" s="1">
        <f>IF(ISNUMBER(Main_S[[#This Row],[Free CF]]),IF(Main_S[[#This Row],[Free CF]]&lt;&gt;0,Main_S[[#This Row],[Current Price]]/Main_S[[#This Row],[Free CF]],""),"")</f>
        <v>79.61818181818181</v>
      </c>
      <c r="I48" s="1">
        <f>IF(ISNUMBER(Main_S[[#This Row],[BVPS]]),IF(Main_S[[#This Row],[BVPS]]&lt;&gt;0,Main_S[[#This Row],[Current Price]]/Main_S[[#This Row],[BVPS]],""),"")</f>
        <v>1.3449017199017197</v>
      </c>
      <c r="J48">
        <v>11.48</v>
      </c>
      <c r="K48">
        <v>5.9</v>
      </c>
      <c r="L48">
        <v>1.29</v>
      </c>
      <c r="M48" s="1">
        <f>IF(ISNUMBER(Main_S[[#This Row],[EPS]]),IF(Main_S[[#This Row],[EPS]]&lt;&gt;0,Main_S[[#This Row],[Current Price]]/Main_S[[#This Row],[EPS]],""),"")</f>
        <v>13.51543209876543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7.5517716152253369</v>
      </c>
      <c r="P48" s="1">
        <f>(Main_S[[#This Row],[P/B]]-VLOOKUP(Main_S[[#This Row],[Industry]], Mean_PB_S, 2, FALSE))/(VLOOKUP(Main_S[[#This Row],[Industry]], Mean_PB_S, 3, FALSE))</f>
        <v>0.30438824147062049</v>
      </c>
      <c r="Q48" s="1">
        <f>(Main_S[[#This Row],[ROE]]-VLOOKUP(Main_S[[#This Row],[Industry]], Mean_ROE_S, 2, FALSE))/(VLOOKUP(Main_S[[#This Row],[Industry]], Mean_ROE_S, 3, FALSE))</f>
        <v>0.35824561015484374</v>
      </c>
      <c r="R48" s="1">
        <f>(Main_S[[#This Row],[ROA]]-VLOOKUP(Main_S[[#This Row],[Industry]], Mean_ROA_S, 2, FALSE))/(VLOOKUP(Main_S[[#This Row],[Industry]], Mean_ROA_S, 3, FALSE))</f>
        <v>0.4212256779831508</v>
      </c>
      <c r="S48" s="1">
        <f>(Main_S[[#This Row],[A/E]]-VLOOKUP(Main_S[[#This Row],[Industry]], Mean_AE_S, 2, FALSE))/(VLOOKUP(Main_S[[#This Row],[Industry]], Mean_AE_S, 3, FALSE))</f>
        <v>-0.84386418635209182</v>
      </c>
      <c r="T48" s="1">
        <f>(Main_S[[#This Row],[P/E]]-VLOOKUP(Main_S[[#This Row],[Industry]], Mean_PE_S, 2, FALSE))/(VLOOKUP(Main_S[[#This Row],[Industry]], Mean_PE_S, 3, FALSE))</f>
        <v>0.83438455668514322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7" t="s">
        <v>107</v>
      </c>
      <c r="B49" s="67" t="s">
        <v>289</v>
      </c>
      <c r="C49" s="2">
        <v>1600</v>
      </c>
      <c r="D49">
        <f>RTD("tos.rtd", , "LAST", Main_S[[#This Row],[Symbol]])</f>
        <v>13.46</v>
      </c>
      <c r="E49">
        <v>1.6</v>
      </c>
      <c r="F49">
        <v>30.16</v>
      </c>
      <c r="G49">
        <v>2.72</v>
      </c>
      <c r="H49" s="1">
        <f>IF(ISNUMBER(Main_S[[#This Row],[Free CF]]),IF(Main_S[[#This Row],[Free CF]]&lt;&gt;0,Main_S[[#This Row],[Current Price]]/Main_S[[#This Row],[Free CF]],""),"")</f>
        <v>8.4124999999999996</v>
      </c>
      <c r="I49" s="1">
        <f>IF(ISNUMBER(Main_S[[#This Row],[BVPS]]),IF(Main_S[[#This Row],[BVPS]]&lt;&gt;0,Main_S[[#This Row],[Current Price]]/Main_S[[#This Row],[BVPS]],""),"")</f>
        <v>0.44628647214854111</v>
      </c>
      <c r="J49">
        <v>11.04</v>
      </c>
      <c r="K49">
        <v>3.82</v>
      </c>
      <c r="L49">
        <v>1.58</v>
      </c>
      <c r="M49" s="1">
        <f>IF(ISNUMBER(Main_S[[#This Row],[EPS]]),IF(Main_S[[#This Row],[EPS]]&lt;&gt;0,Main_S[[#This Row],[Current Price]]/Main_S[[#This Row],[EPS]],""),"")</f>
        <v>4.9485294117647056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0.82478335333129438</v>
      </c>
      <c r="P49" s="1">
        <f>(Main_S[[#This Row],[P/B]]-VLOOKUP(Main_S[[#This Row],[Industry]], Mean_PB_S, 2, FALSE))/(VLOOKUP(Main_S[[#This Row],[Industry]], Mean_PB_S, 3, FALSE))</f>
        <v>-1.2362613550888129</v>
      </c>
      <c r="Q49" s="1">
        <f>(Main_S[[#This Row],[ROE]]-VLOOKUP(Main_S[[#This Row],[Industry]], Mean_ROE_S, 2, FALSE))/(VLOOKUP(Main_S[[#This Row],[Industry]], Mean_ROE_S, 3, FALSE))</f>
        <v>0.33231057742000925</v>
      </c>
      <c r="R49" s="1">
        <f>(Main_S[[#This Row],[ROA]]-VLOOKUP(Main_S[[#This Row],[Industry]], Mean_ROA_S, 2, FALSE))/(VLOOKUP(Main_S[[#This Row],[Industry]], Mean_ROA_S, 3, FALSE))</f>
        <v>2.3041365181250023E-2</v>
      </c>
      <c r="S49" s="1">
        <f>(Main_S[[#This Row],[A/E]]-VLOOKUP(Main_S[[#This Row],[Industry]], Mean_AE_S, 2, FALSE))/(VLOOKUP(Main_S[[#This Row],[Industry]], Mean_AE_S, 3, FALSE))</f>
        <v>-0.2278217796061833</v>
      </c>
      <c r="T49" s="1">
        <f>(Main_S[[#This Row],[P/E]]-VLOOKUP(Main_S[[#This Row],[Industry]], Mean_PE_S, 2, FALSE))/(VLOOKUP(Main_S[[#This Row],[Industry]], Mean_PE_S, 3, FALSE))</f>
        <v>3.4487381937766626E-2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7" t="s">
        <v>107</v>
      </c>
      <c r="B50" s="67" t="s">
        <v>278</v>
      </c>
      <c r="C50" s="2">
        <v>913</v>
      </c>
      <c r="D50">
        <f>RTD("tos.rtd", , "LAST", Main_S[[#This Row],[Symbol]])</f>
        <v>22.31</v>
      </c>
      <c r="E50">
        <v>5.92</v>
      </c>
      <c r="F50">
        <v>24.47</v>
      </c>
      <c r="G50">
        <v>2.14</v>
      </c>
      <c r="H50" s="1">
        <f>IF(ISNUMBER(Main_S[[#This Row],[Free CF]]),IF(Main_S[[#This Row],[Free CF]]&lt;&gt;0,Main_S[[#This Row],[Current Price]]/Main_S[[#This Row],[Free CF]],""),"")</f>
        <v>3.7685810810810807</v>
      </c>
      <c r="I50" s="1">
        <f>IF(ISNUMBER(Main_S[[#This Row],[BVPS]]),IF(Main_S[[#This Row],[BVPS]]&lt;&gt;0,Main_S[[#This Row],[Current Price]]/Main_S[[#This Row],[BVPS]],""),"")</f>
        <v>0.91172864732325298</v>
      </c>
      <c r="J50">
        <v>8.7100000000000009</v>
      </c>
      <c r="K50">
        <v>3.89</v>
      </c>
      <c r="L50">
        <v>1.7</v>
      </c>
      <c r="M50" s="1">
        <f>IF(ISNUMBER(Main_S[[#This Row],[EPS]]),IF(Main_S[[#This Row],[EPS]]&lt;&gt;0,Main_S[[#This Row],[Current Price]]/Main_S[[#This Row],[EPS]],""),"")</f>
        <v>10.425233644859812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0.38606010458096152</v>
      </c>
      <c r="P50" s="1">
        <f>(Main_S[[#This Row],[P/B]]-VLOOKUP(Main_S[[#This Row],[Industry]], Mean_PB_S, 2, FALSE))/(VLOOKUP(Main_S[[#This Row],[Industry]], Mean_PB_S, 3, FALSE))</f>
        <v>-0.43827433984775249</v>
      </c>
      <c r="Q50" s="1">
        <f>(Main_S[[#This Row],[ROE]]-VLOOKUP(Main_S[[#This Row],[Industry]], Mean_ROE_S, 2, FALSE))/(VLOOKUP(Main_S[[#This Row],[Industry]], Mean_ROE_S, 3, FALSE))</f>
        <v>0.19497279043781815</v>
      </c>
      <c r="R50" s="1">
        <f>(Main_S[[#This Row],[ROA]]-VLOOKUP(Main_S[[#This Row],[Industry]], Mean_ROA_S, 2, FALSE))/(VLOOKUP(Main_S[[#This Row],[Industry]], Mean_ROA_S, 3, FALSE))</f>
        <v>3.6441798785160191E-2</v>
      </c>
      <c r="S50" s="1">
        <f>(Main_S[[#This Row],[A/E]]-VLOOKUP(Main_S[[#This Row],[Industry]], Mean_AE_S, 2, FALSE))/(VLOOKUP(Main_S[[#This Row],[Industry]], Mean_AE_S, 3, FALSE))</f>
        <v>2.7092319736950993E-2</v>
      </c>
      <c r="T50" s="1">
        <f>(Main_S[[#This Row],[P/E]]-VLOOKUP(Main_S[[#This Row],[Industry]], Mean_PE_S, 2, FALSE))/(VLOOKUP(Main_S[[#This Row],[Industry]], Mean_PE_S, 3, FALSE))</f>
        <v>0.54585075362951307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7" t="s">
        <v>107</v>
      </c>
      <c r="B51" s="67" t="s">
        <v>249</v>
      </c>
      <c r="C51" s="2">
        <v>565</v>
      </c>
      <c r="D51">
        <f>RTD("tos.rtd", , "LAST", Main_S[[#This Row],[Symbol]])</f>
        <v>27.21</v>
      </c>
      <c r="E51">
        <v>6.02</v>
      </c>
      <c r="F51">
        <v>24.33</v>
      </c>
      <c r="G51">
        <v>4.67</v>
      </c>
      <c r="H51" s="1">
        <f>IF(ISNUMBER(Main_S[[#This Row],[Free CF]]),IF(Main_S[[#This Row],[Free CF]]&lt;&gt;0,Main_S[[#This Row],[Current Price]]/Main_S[[#This Row],[Free CF]],""),"")</f>
        <v>4.5199335548172765</v>
      </c>
      <c r="I51" s="1">
        <f>IF(ISNUMBER(Main_S[[#This Row],[BVPS]]),IF(Main_S[[#This Row],[BVPS]]&lt;&gt;0,Main_S[[#This Row],[Current Price]]/Main_S[[#This Row],[BVPS]],""),"")</f>
        <v>1.1183723797780518</v>
      </c>
      <c r="J51">
        <v>20.43</v>
      </c>
      <c r="K51">
        <v>10.6</v>
      </c>
      <c r="L51">
        <v>1.87</v>
      </c>
      <c r="M51" s="1">
        <f>IF(ISNUMBER(Main_S[[#This Row],[EPS]]),IF(Main_S[[#This Row],[EPS]]&lt;&gt;0,Main_S[[#This Row],[Current Price]]/Main_S[[#This Row],[EPS]],""),"")</f>
        <v>5.8265524625267666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0.4570423512543984</v>
      </c>
      <c r="P51" s="1">
        <f>(Main_S[[#This Row],[P/B]]-VLOOKUP(Main_S[[#This Row],[Industry]], Mean_PB_S, 2, FALSE))/(VLOOKUP(Main_S[[#This Row],[Industry]], Mean_PB_S, 3, FALSE))</f>
        <v>-8.3989695964805239E-2</v>
      </c>
      <c r="Q51" s="1">
        <f>(Main_S[[#This Row],[ROE]]-VLOOKUP(Main_S[[#This Row],[Industry]], Mean_ROE_S, 2, FALSE))/(VLOOKUP(Main_S[[#This Row],[Industry]], Mean_ROE_S, 3, FALSE))</f>
        <v>0.8857877532838615</v>
      </c>
      <c r="R51" s="1">
        <f>(Main_S[[#This Row],[ROA]]-VLOOKUP(Main_S[[#This Row],[Industry]], Mean_ROA_S, 2, FALSE))/(VLOOKUP(Main_S[[#This Row],[Industry]], Mean_ROA_S, 3, FALSE))</f>
        <v>1.3209690771028302</v>
      </c>
      <c r="S51" s="1">
        <f>(Main_S[[#This Row],[A/E]]-VLOOKUP(Main_S[[#This Row],[Industry]], Mean_AE_S, 2, FALSE))/(VLOOKUP(Main_S[[#This Row],[Industry]], Mean_AE_S, 3, FALSE))</f>
        <v>0.38822062713972522</v>
      </c>
      <c r="T51" s="1">
        <f>(Main_S[[#This Row],[P/E]]-VLOOKUP(Main_S[[#This Row],[Industry]], Mean_PE_S, 2, FALSE))/(VLOOKUP(Main_S[[#This Row],[Industry]], Mean_PE_S, 3, FALSE))</f>
        <v>0.11646895489684156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7" t="s">
        <v>107</v>
      </c>
      <c r="B52" s="67" t="s">
        <v>321</v>
      </c>
      <c r="C52" s="2">
        <v>325</v>
      </c>
      <c r="D52">
        <f>RTD("tos.rtd", , "LAST", Main_S[[#This Row],[Symbol]])</f>
        <v>4.62</v>
      </c>
      <c r="E52">
        <v>2.25</v>
      </c>
      <c r="F52">
        <v>22.31</v>
      </c>
      <c r="G52">
        <v>0.14000000000000001</v>
      </c>
      <c r="H52" s="1">
        <f>IF(ISNUMBER(Main_S[[#This Row],[Free CF]]),IF(Main_S[[#This Row],[Free CF]]&lt;&gt;0,Main_S[[#This Row],[Current Price]]/Main_S[[#This Row],[Free CF]],""),"")</f>
        <v>2.0533333333333332</v>
      </c>
      <c r="I52" s="1">
        <f>IF(ISNUMBER(Main_S[[#This Row],[BVPS]]),IF(Main_S[[#This Row],[BVPS]]&lt;&gt;0,Main_S[[#This Row],[Current Price]]/Main_S[[#This Row],[BVPS]],""),"")</f>
        <v>0.20708202599731063</v>
      </c>
      <c r="J52">
        <v>0.64</v>
      </c>
      <c r="K52">
        <v>2.08</v>
      </c>
      <c r="L52">
        <v>1.66</v>
      </c>
      <c r="M52" s="1">
        <f>IF(ISNUMBER(Main_S[[#This Row],[EPS]]),IF(Main_S[[#This Row],[EPS]]&lt;&gt;0,Main_S[[#This Row],[Current Price]]/Main_S[[#This Row],[EPS]],""),"")</f>
        <v>33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0.22401613321921218</v>
      </c>
      <c r="P52" s="1">
        <f>(Main_S[[#This Row],[P/B]]-VLOOKUP(Main_S[[#This Row],[Industry]], Mean_PB_S, 2, FALSE))/(VLOOKUP(Main_S[[#This Row],[Industry]], Mean_PB_S, 3, FALSE))</f>
        <v>-1.6463703916086778</v>
      </c>
      <c r="Q52" s="1">
        <f>(Main_S[[#This Row],[ROE]]-VLOOKUP(Main_S[[#This Row],[Industry]], Mean_ROE_S, 2, FALSE))/(VLOOKUP(Main_S[[#This Row],[Industry]], Mean_ROE_S, 3, FALSE))</f>
        <v>-0.28069928722153092</v>
      </c>
      <c r="R52" s="1">
        <f>(Main_S[[#This Row],[ROA]]-VLOOKUP(Main_S[[#This Row],[Industry]], Mean_ROA_S, 2, FALSE))/(VLOOKUP(Main_S[[#This Row],[Industry]], Mean_ROA_S, 3, FALSE))</f>
        <v>-0.31005512725880147</v>
      </c>
      <c r="S52" s="1">
        <f>(Main_S[[#This Row],[A/E]]-VLOOKUP(Main_S[[#This Row],[Industry]], Mean_AE_S, 2, FALSE))/(VLOOKUP(Main_S[[#This Row],[Industry]], Mean_AE_S, 3, FALSE))</f>
        <v>-5.7879046710760593E-2</v>
      </c>
      <c r="T52" s="1">
        <f>(Main_S[[#This Row],[P/E]]-VLOOKUP(Main_S[[#This Row],[Industry]], Mean_PE_S, 2, FALSE))/(VLOOKUP(Main_S[[#This Row],[Industry]], Mean_PE_S, 3, FALSE))</f>
        <v>2.653671104555047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7" t="s">
        <v>107</v>
      </c>
      <c r="B53" s="67" t="s">
        <v>288</v>
      </c>
      <c r="C53" s="2">
        <v>1565</v>
      </c>
      <c r="D53">
        <f>RTD("tos.rtd", , "LAST", Main_S[[#This Row],[Symbol]])</f>
        <v>17.010000000000002</v>
      </c>
      <c r="E53">
        <v>3.7</v>
      </c>
      <c r="F53">
        <v>21.9</v>
      </c>
      <c r="G53">
        <v>4.74</v>
      </c>
      <c r="H53" s="1">
        <f>IF(ISNUMBER(Main_S[[#This Row],[Free CF]]),IF(Main_S[[#This Row],[Free CF]]&lt;&gt;0,Main_S[[#This Row],[Current Price]]/Main_S[[#This Row],[Free CF]],""),"")</f>
        <v>4.5972972972972972</v>
      </c>
      <c r="I53" s="1">
        <f>IF(ISNUMBER(Main_S[[#This Row],[BVPS]]),IF(Main_S[[#This Row],[BVPS]]&lt;&gt;0,Main_S[[#This Row],[Current Price]]/Main_S[[#This Row],[BVPS]],""),"")</f>
        <v>0.77671232876712337</v>
      </c>
      <c r="J53">
        <v>22.11</v>
      </c>
      <c r="K53">
        <v>8.48</v>
      </c>
      <c r="L53">
        <v>1.63</v>
      </c>
      <c r="M53" s="1">
        <f>IF(ISNUMBER(Main_S[[#This Row],[EPS]]),IF(Main_S[[#This Row],[EPS]]&lt;&gt;0,Main_S[[#This Row],[Current Price]]/Main_S[[#This Row],[EPS]],""),"")</f>
        <v>3.5886075949367089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0.46435110772257127</v>
      </c>
      <c r="P53" s="1">
        <f>(Main_S[[#This Row],[P/B]]-VLOOKUP(Main_S[[#This Row],[Industry]], Mean_PB_S, 2, FALSE))/(VLOOKUP(Main_S[[#This Row],[Industry]], Mean_PB_S, 3, FALSE))</f>
        <v>-0.6697558746119785</v>
      </c>
      <c r="Q53" s="1">
        <f>(Main_S[[#This Row],[ROE]]-VLOOKUP(Main_S[[#This Row],[Industry]], Mean_ROE_S, 2, FALSE))/(VLOOKUP(Main_S[[#This Row],[Industry]], Mean_ROE_S, 3, FALSE))</f>
        <v>0.98481242372595634</v>
      </c>
      <c r="R53" s="1">
        <f>(Main_S[[#This Row],[ROA]]-VLOOKUP(Main_S[[#This Row],[Industry]], Mean_ROA_S, 2, FALSE))/(VLOOKUP(Main_S[[#This Row],[Industry]], Mean_ROA_S, 3, FALSE))</f>
        <v>0.91512737367012387</v>
      </c>
      <c r="S53" s="1">
        <f>(Main_S[[#This Row],[A/E]]-VLOOKUP(Main_S[[#This Row],[Industry]], Mean_AE_S, 2, FALSE))/(VLOOKUP(Main_S[[#This Row],[Industry]], Mean_AE_S, 3, FALSE))</f>
        <v>-0.12160757154654428</v>
      </c>
      <c r="T53" s="1">
        <f>(Main_S[[#This Row],[P/E]]-VLOOKUP(Main_S[[#This Row],[Industry]], Mean_PE_S, 2, FALSE))/(VLOOKUP(Main_S[[#This Row],[Industry]], Mean_PE_S, 3, FALSE))</f>
        <v>-9.2489386551577818E-2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7" t="s">
        <v>107</v>
      </c>
      <c r="B54" s="67" t="s">
        <v>263</v>
      </c>
      <c r="C54" s="2">
        <v>1114</v>
      </c>
      <c r="D54">
        <f>RTD("tos.rtd", , "LAST", Main_S[[#This Row],[Symbol]])</f>
        <v>21.34</v>
      </c>
      <c r="E54">
        <v>-1.75</v>
      </c>
      <c r="F54">
        <v>21.25</v>
      </c>
      <c r="G54">
        <v>-1.0900000000000001</v>
      </c>
      <c r="H54" s="1">
        <f>IF(ISNUMBER(Main_S[[#This Row],[Free CF]]),IF(Main_S[[#This Row],[Free CF]]&lt;&gt;0,Main_S[[#This Row],[Current Price]]/Main_S[[#This Row],[Free CF]],""),"")</f>
        <v>-12.194285714285714</v>
      </c>
      <c r="I54" s="1">
        <f>IF(ISNUMBER(Main_S[[#This Row],[BVPS]]),IF(Main_S[[#This Row],[BVPS]]&lt;&gt;0,Main_S[[#This Row],[Current Price]]/Main_S[[#This Row],[BVPS]],""),"")</f>
        <v>1.0042352941176471</v>
      </c>
      <c r="J54">
        <v>-4.95</v>
      </c>
      <c r="K54">
        <v>0.16</v>
      </c>
      <c r="L54">
        <v>3.38</v>
      </c>
      <c r="M54" s="1">
        <f>IF(ISNUMBER(Main_S[[#This Row],[EPS]]),IF(Main_S[[#This Row],[EPS]]&lt;&gt;0,Main_S[[#This Row],[Current Price]]/Main_S[[#This Row],[EPS]],""),"")</f>
        <v>-19.577981651376145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-1.1219939553858016</v>
      </c>
      <c r="P54" s="1">
        <f>(Main_S[[#This Row],[P/B]]-VLOOKUP(Main_S[[#This Row],[Industry]], Mean_PB_S, 2, FALSE))/(VLOOKUP(Main_S[[#This Row],[Industry]], Mean_PB_S, 3, FALSE))</f>
        <v>-0.27967439574576325</v>
      </c>
      <c r="Q54" s="1">
        <f>(Main_S[[#This Row],[ROE]]-VLOOKUP(Main_S[[#This Row],[Industry]], Mean_ROE_S, 2, FALSE))/(VLOOKUP(Main_S[[#This Row],[Industry]], Mean_ROE_S, 3, FALSE))</f>
        <v>-0.61019208946635883</v>
      </c>
      <c r="R54" s="1">
        <f>(Main_S[[#This Row],[ROA]]-VLOOKUP(Main_S[[#This Row],[Industry]], Mean_ROA_S, 2, FALSE))/(VLOOKUP(Main_S[[#This Row],[Industry]], Mean_ROA_S, 3, FALSE))</f>
        <v>-0.67760987753747903</v>
      </c>
      <c r="S54" s="1">
        <f>(Main_S[[#This Row],[A/E]]-VLOOKUP(Main_S[[#This Row],[Industry]], Mean_AE_S, 2, FALSE))/(VLOOKUP(Main_S[[#This Row],[Industry]], Mean_AE_S, 3, FALSE))</f>
        <v>3.5958897105408343</v>
      </c>
      <c r="T54" s="1">
        <f>(Main_S[[#This Row],[P/E]]-VLOOKUP(Main_S[[#This Row],[Industry]], Mean_PE_S, 2, FALSE))/(VLOOKUP(Main_S[[#This Row],[Industry]], Mean_PE_S, 3, FALSE))</f>
        <v>-2.2555686187666315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s="67" t="s">
        <v>107</v>
      </c>
      <c r="B55" s="67" t="s">
        <v>273</v>
      </c>
      <c r="C55" s="2">
        <v>900</v>
      </c>
      <c r="D55">
        <f>RTD("tos.rtd", , "LAST", Main_S[[#This Row],[Symbol]])</f>
        <v>31.83</v>
      </c>
      <c r="E55">
        <v>7.65</v>
      </c>
      <c r="F55">
        <v>20.8</v>
      </c>
      <c r="G55">
        <v>1.53</v>
      </c>
      <c r="H55" s="1">
        <f>IF(ISNUMBER(Main_S[[#This Row],[Free CF]]),IF(Main_S[[#This Row],[Free CF]]&lt;&gt;0,Main_S[[#This Row],[Current Price]]/Main_S[[#This Row],[Free CF]],""),"")</f>
        <v>4.1607843137254896</v>
      </c>
      <c r="I55" s="1">
        <f>IF(ISNUMBER(Main_S[[#This Row],[BVPS]]),IF(Main_S[[#This Row],[BVPS]]&lt;&gt;0,Main_S[[#This Row],[Current Price]]/Main_S[[#This Row],[BVPS]],""),"")</f>
        <v>1.5302884615384613</v>
      </c>
      <c r="J55">
        <v>9.42</v>
      </c>
      <c r="K55">
        <v>5.0999999999999996</v>
      </c>
      <c r="L55">
        <v>5.84</v>
      </c>
      <c r="M55" s="1">
        <f>IF(ISNUMBER(Main_S[[#This Row],[EPS]]),IF(Main_S[[#This Row],[EPS]]&lt;&gt;0,Main_S[[#This Row],[Current Price]]/Main_S[[#This Row],[EPS]],""),"")</f>
        <v>20.803921568627448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0.42311257672795466</v>
      </c>
      <c r="P55" s="1">
        <f>(Main_S[[#This Row],[P/B]]-VLOOKUP(Main_S[[#This Row],[Industry]], Mean_PB_S, 2, FALSE))/(VLOOKUP(Main_S[[#This Row],[Industry]], Mean_PB_S, 3, FALSE))</f>
        <v>0.62222839544557684</v>
      </c>
      <c r="Q55" s="1">
        <f>(Main_S[[#This Row],[ROE]]-VLOOKUP(Main_S[[#This Row],[Industry]], Mean_ROE_S, 2, FALSE))/(VLOOKUP(Main_S[[#This Row],[Industry]], Mean_ROE_S, 3, FALSE))</f>
        <v>0.23682250235084631</v>
      </c>
      <c r="R55" s="1">
        <f>(Main_S[[#This Row],[ROA]]-VLOOKUP(Main_S[[#This Row],[Industry]], Mean_ROA_S, 2, FALSE))/(VLOOKUP(Main_S[[#This Row],[Industry]], Mean_ROA_S, 3, FALSE))</f>
        <v>0.26807786536703504</v>
      </c>
      <c r="S55" s="1">
        <f>(Main_S[[#This Row],[A/E]]-VLOOKUP(Main_S[[#This Row],[Industry]], Mean_AE_S, 2, FALSE))/(VLOOKUP(Main_S[[#This Row],[Industry]], Mean_AE_S, 3, FALSE))</f>
        <v>8.821628747075092</v>
      </c>
      <c r="T55" s="1">
        <f>(Main_S[[#This Row],[P/E]]-VLOOKUP(Main_S[[#This Row],[Industry]], Mean_PE_S, 2, FALSE))/(VLOOKUP(Main_S[[#This Row],[Industry]], Mean_PE_S, 3, FALSE))</f>
        <v>1.5149154729479184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s="67" t="s">
        <v>107</v>
      </c>
      <c r="B56" s="67" t="s">
        <v>323</v>
      </c>
      <c r="C56" s="2">
        <v>959</v>
      </c>
      <c r="D56">
        <f>RTD("tos.rtd", , "LAST", Main_S[[#This Row],[Symbol]])</f>
        <v>10.6</v>
      </c>
      <c r="E56">
        <v>2.25</v>
      </c>
      <c r="F56">
        <v>19.23</v>
      </c>
      <c r="G56">
        <v>0.81</v>
      </c>
      <c r="H56" s="1">
        <f>IF(ISNUMBER(Main_S[[#This Row],[Free CF]]),IF(Main_S[[#This Row],[Free CF]]&lt;&gt;0,Main_S[[#This Row],[Current Price]]/Main_S[[#This Row],[Free CF]],""),"")</f>
        <v>4.7111111111111112</v>
      </c>
      <c r="I56" s="1">
        <f>IF(ISNUMBER(Main_S[[#This Row],[BVPS]]),IF(Main_S[[#This Row],[BVPS]]&lt;&gt;0,Main_S[[#This Row],[Current Price]]/Main_S[[#This Row],[BVPS]],""),"")</f>
        <v>0.55122204888195525</v>
      </c>
      <c r="J56">
        <v>4.22</v>
      </c>
      <c r="K56">
        <v>9.66</v>
      </c>
      <c r="L56">
        <v>1.17</v>
      </c>
      <c r="M56" s="1">
        <f>IF(ISNUMBER(Main_S[[#This Row],[EPS]]),IF(Main_S[[#This Row],[EPS]]&lt;&gt;0,Main_S[[#This Row],[Current Price]]/Main_S[[#This Row],[EPS]],""),"")</f>
        <v>13.086419753086419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0.47510339841086047</v>
      </c>
      <c r="P56" s="1">
        <f>(Main_S[[#This Row],[P/B]]-VLOOKUP(Main_S[[#This Row],[Industry]], Mean_PB_S, 2, FALSE))/(VLOOKUP(Main_S[[#This Row],[Industry]], Mean_PB_S, 3, FALSE))</f>
        <v>-1.0563523736161644</v>
      </c>
      <c r="Q56" s="1">
        <f>(Main_S[[#This Row],[ROE]]-VLOOKUP(Main_S[[#This Row],[Industry]], Mean_ROE_S, 2, FALSE))/(VLOOKUP(Main_S[[#This Row],[Industry]], Mean_ROE_S, 3, FALSE))</f>
        <v>-6.9682429969923798E-2</v>
      </c>
      <c r="R56" s="1">
        <f>(Main_S[[#This Row],[ROA]]-VLOOKUP(Main_S[[#This Row],[Industry]], Mean_ROA_S, 2, FALSE))/(VLOOKUP(Main_S[[#This Row],[Industry]], Mean_ROA_S, 3, FALSE))</f>
        <v>1.1410203972788944</v>
      </c>
      <c r="S56" s="1">
        <f>(Main_S[[#This Row],[A/E]]-VLOOKUP(Main_S[[#This Row],[Industry]], Mean_AE_S, 2, FALSE))/(VLOOKUP(Main_S[[#This Row],[Industry]], Mean_AE_S, 3, FALSE))</f>
        <v>-1.0987782856952266</v>
      </c>
      <c r="T56" s="1">
        <f>(Main_S[[#This Row],[P/E]]-VLOOKUP(Main_S[[#This Row],[Industry]], Mean_PE_S, 2, FALSE))/(VLOOKUP(Main_S[[#This Row],[Industry]], Mean_PE_S, 3, FALSE))</f>
        <v>0.79432739999990387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s="67" t="s">
        <v>107</v>
      </c>
      <c r="B57" s="67" t="s">
        <v>276</v>
      </c>
      <c r="C57" s="2">
        <v>1781</v>
      </c>
      <c r="D57">
        <f>RTD("tos.rtd", , "LAST", Main_S[[#This Row],[Symbol]])</f>
        <v>54</v>
      </c>
      <c r="E57">
        <v>-4.6399999999999997</v>
      </c>
      <c r="F57">
        <v>18.29</v>
      </c>
      <c r="G57">
        <v>3.13</v>
      </c>
      <c r="H57" s="1">
        <f>IF(ISNUMBER(Main_S[[#This Row],[Free CF]]),IF(Main_S[[#This Row],[Free CF]]&lt;&gt;0,Main_S[[#This Row],[Current Price]]/Main_S[[#This Row],[Free CF]],""),"")</f>
        <v>-11.63793103448276</v>
      </c>
      <c r="I57" s="1">
        <f>IF(ISNUMBER(Main_S[[#This Row],[BVPS]]),IF(Main_S[[#This Row],[BVPS]]&lt;&gt;0,Main_S[[#This Row],[Current Price]]/Main_S[[#This Row],[BVPS]],""),"")</f>
        <v>2.9524330235101148</v>
      </c>
      <c r="J57">
        <v>18.09</v>
      </c>
      <c r="K57">
        <v>4.67</v>
      </c>
      <c r="L57">
        <v>6.16</v>
      </c>
      <c r="M57" s="1">
        <f>IF(ISNUMBER(Main_S[[#This Row],[EPS]]),IF(Main_S[[#This Row],[EPS]]&lt;&gt;0,Main_S[[#This Row],[Current Price]]/Main_S[[#This Row],[EPS]],""),"")</f>
        <v>17.252396166134186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-1.0694336637781641</v>
      </c>
      <c r="P57" s="1">
        <f>(Main_S[[#This Row],[P/B]]-VLOOKUP(Main_S[[#This Row],[Industry]], Mean_PB_S, 2, FALSE))/(VLOOKUP(Main_S[[#This Row],[Industry]], Mean_PB_S, 3, FALSE))</f>
        <v>3.0604537105947207</v>
      </c>
      <c r="Q57" s="1">
        <f>(Main_S[[#This Row],[ROE]]-VLOOKUP(Main_S[[#This Row],[Industry]], Mean_ROE_S, 2, FALSE))/(VLOOKUP(Main_S[[#This Row],[Industry]], Mean_ROE_S, 3, FALSE))</f>
        <v>0.747860533739515</v>
      </c>
      <c r="R57" s="1">
        <f>(Main_S[[#This Row],[ROA]]-VLOOKUP(Main_S[[#This Row],[Industry]], Mean_ROA_S, 2, FALSE))/(VLOOKUP(Main_S[[#This Row],[Industry]], Mean_ROA_S, 3, FALSE))</f>
        <v>0.18576091608587292</v>
      </c>
      <c r="S57" s="1">
        <f>(Main_S[[#This Row],[A/E]]-VLOOKUP(Main_S[[#This Row],[Industry]], Mean_AE_S, 2, FALSE))/(VLOOKUP(Main_S[[#This Row],[Industry]], Mean_AE_S, 3, FALSE))</f>
        <v>9.5013996786567851</v>
      </c>
      <c r="T57" s="1">
        <f>(Main_S[[#This Row],[P/E]]-VLOOKUP(Main_S[[#This Row],[Industry]], Mean_PE_S, 2, FALSE))/(VLOOKUP(Main_S[[#This Row],[Industry]], Mean_PE_S, 3, FALSE))</f>
        <v>1.1833072780972207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7" t="s">
        <v>107</v>
      </c>
      <c r="B58" s="67" t="s">
        <v>252</v>
      </c>
      <c r="C58" s="2">
        <v>1323</v>
      </c>
      <c r="D58">
        <f>RTD("tos.rtd", , "LAST", Main_S[[#This Row],[Symbol]])</f>
        <v>19.95</v>
      </c>
      <c r="E58">
        <v>1.42</v>
      </c>
      <c r="F58">
        <v>18.28</v>
      </c>
      <c r="G58">
        <v>0.52</v>
      </c>
      <c r="H58" s="1">
        <f>IF(ISNUMBER(Main_S[[#This Row],[Free CF]]),IF(Main_S[[#This Row],[Free CF]]&lt;&gt;0,Main_S[[#This Row],[Current Price]]/Main_S[[#This Row],[Free CF]],""),"")</f>
        <v>14.049295774647888</v>
      </c>
      <c r="I58" s="1">
        <f>IF(ISNUMBER(Main_S[[#This Row],[BVPS]]),IF(Main_S[[#This Row],[BVPS]]&lt;&gt;0,Main_S[[#This Row],[Current Price]]/Main_S[[#This Row],[BVPS]],""),"")</f>
        <v>1.0913566739606126</v>
      </c>
      <c r="J58">
        <v>3</v>
      </c>
      <c r="K58">
        <v>2.87</v>
      </c>
      <c r="L58">
        <v>3.28</v>
      </c>
      <c r="M58" s="1">
        <f>IF(ISNUMBER(Main_S[[#This Row],[EPS]]),IF(Main_S[[#This Row],[EPS]]&lt;&gt;0,Main_S[[#This Row],[Current Price]]/Main_S[[#This Row],[EPS]],""),"")</f>
        <v>38.365384615384613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1.357306293109789</v>
      </c>
      <c r="P58" s="1">
        <f>(Main_S[[#This Row],[P/B]]-VLOOKUP(Main_S[[#This Row],[Industry]], Mean_PB_S, 2, FALSE))/(VLOOKUP(Main_S[[#This Row],[Industry]], Mean_PB_S, 3, FALSE))</f>
        <v>-0.13030733454535842</v>
      </c>
      <c r="Q58" s="1">
        <f>(Main_S[[#This Row],[ROE]]-VLOOKUP(Main_S[[#This Row],[Industry]], Mean_ROE_S, 2, FALSE))/(VLOOKUP(Main_S[[#This Row],[Industry]], Mean_ROE_S, 3, FALSE))</f>
        <v>-0.14159320255287369</v>
      </c>
      <c r="R58" s="1">
        <f>(Main_S[[#This Row],[ROA]]-VLOOKUP(Main_S[[#This Row],[Industry]], Mean_ROA_S, 2, FALSE))/(VLOOKUP(Main_S[[#This Row],[Industry]], Mean_ROA_S, 3, FALSE))</f>
        <v>-0.15882166230038725</v>
      </c>
      <c r="S58" s="1">
        <f>(Main_S[[#This Row],[A/E]]-VLOOKUP(Main_S[[#This Row],[Industry]], Mean_AE_S, 2, FALSE))/(VLOOKUP(Main_S[[#This Row],[Industry]], Mean_AE_S, 3, FALSE))</f>
        <v>3.3834612944215552</v>
      </c>
      <c r="T58" s="1">
        <f>(Main_S[[#This Row],[P/E]]-VLOOKUP(Main_S[[#This Row],[Industry]], Mean_PE_S, 2, FALSE))/(VLOOKUP(Main_S[[#This Row],[Industry]], Mean_PE_S, 3, FALSE))</f>
        <v>3.1546404924519624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9" spans="1:26" x14ac:dyDescent="0.25">
      <c r="A59" s="67" t="s">
        <v>107</v>
      </c>
      <c r="B59" s="67" t="s">
        <v>233</v>
      </c>
      <c r="C59" s="2">
        <v>1821</v>
      </c>
      <c r="D59">
        <f>RTD("tos.rtd", , "LAST", Main_S[[#This Row],[Symbol]])</f>
        <v>22.54</v>
      </c>
      <c r="E59">
        <v>-0.22</v>
      </c>
      <c r="F59">
        <v>17.54</v>
      </c>
      <c r="G59">
        <v>-2.41</v>
      </c>
      <c r="H59" s="1">
        <f>IF(ISNUMBER(Main_S[[#This Row],[Free CF]]),IF(Main_S[[#This Row],[Free CF]]&lt;&gt;0,Main_S[[#This Row],[Current Price]]/Main_S[[#This Row],[Free CF]],""),"")</f>
        <v>-102.45454545454545</v>
      </c>
      <c r="I59" s="1">
        <f>IF(ISNUMBER(Main_S[[#This Row],[BVPS]]),IF(Main_S[[#This Row],[BVPS]]&lt;&gt;0,Main_S[[#This Row],[Current Price]]/Main_S[[#This Row],[BVPS]],""),"")</f>
        <v>1.2850627137970354</v>
      </c>
      <c r="J59">
        <v>-13.36</v>
      </c>
      <c r="K59">
        <v>-5.5</v>
      </c>
      <c r="L59">
        <v>1.52</v>
      </c>
      <c r="M59" s="1">
        <f>IF(ISNUMBER(Main_S[[#This Row],[EPS]]),IF(Main_S[[#This Row],[EPS]]&lt;&gt;0,Main_S[[#This Row],[Current Price]]/Main_S[[#This Row],[EPS]],""),"")</f>
        <v>-9.3526970954356834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-9.6491183685558202</v>
      </c>
      <c r="P59" s="1">
        <f>(Main_S[[#This Row],[P/B]]-VLOOKUP(Main_S[[#This Row],[Industry]], Mean_PB_S, 2, FALSE))/(VLOOKUP(Main_S[[#This Row],[Industry]], Mean_PB_S, 3, FALSE))</f>
        <v>0.20179601321252477</v>
      </c>
      <c r="Q59" s="1">
        <f>(Main_S[[#This Row],[ROE]]-VLOOKUP(Main_S[[#This Row],[Industry]], Mean_ROE_S, 2, FALSE))/(VLOOKUP(Main_S[[#This Row],[Industry]], Mean_ROE_S, 3, FALSE))</f>
        <v>-1.105904874238989</v>
      </c>
      <c r="R59" s="1">
        <f>(Main_S[[#This Row],[ROA]]-VLOOKUP(Main_S[[#This Row],[Industry]], Mean_ROA_S, 2, FALSE))/(VLOOKUP(Main_S[[#This Row],[Industry]], Mean_ROA_S, 3, FALSE))</f>
        <v>-1.7611306517964971</v>
      </c>
      <c r="S59" s="1">
        <f>(Main_S[[#This Row],[A/E]]-VLOOKUP(Main_S[[#This Row],[Industry]], Mean_AE_S, 2, FALSE))/(VLOOKUP(Main_S[[#This Row],[Industry]], Mean_AE_S, 3, FALSE))</f>
        <v>-0.35527882927775067</v>
      </c>
      <c r="T59" s="1">
        <f>(Main_S[[#This Row],[P/E]]-VLOOKUP(Main_S[[#This Row],[Industry]], Mean_PE_S, 2, FALSE))/(VLOOKUP(Main_S[[#This Row],[Industry]], Mean_PE_S, 3, FALSE))</f>
        <v>-1.3008272698663219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0" spans="1:26" x14ac:dyDescent="0.25">
      <c r="A60" s="67" t="s">
        <v>107</v>
      </c>
      <c r="B60" s="67" t="s">
        <v>258</v>
      </c>
      <c r="C60" s="2">
        <v>808</v>
      </c>
      <c r="D60">
        <f>RTD("tos.rtd", , "LAST", Main_S[[#This Row],[Symbol]])</f>
        <v>23.24</v>
      </c>
      <c r="E60">
        <v>0.64</v>
      </c>
      <c r="F60">
        <v>16.440000000000001</v>
      </c>
      <c r="G60">
        <v>0.76</v>
      </c>
      <c r="H60" s="1">
        <f>IF(ISNUMBER(Main_S[[#This Row],[Free CF]]),IF(Main_S[[#This Row],[Free CF]]&lt;&gt;0,Main_S[[#This Row],[Current Price]]/Main_S[[#This Row],[Free CF]],""),"")</f>
        <v>36.3125</v>
      </c>
      <c r="I60" s="1">
        <f>IF(ISNUMBER(Main_S[[#This Row],[BVPS]]),IF(Main_S[[#This Row],[BVPS]]&lt;&gt;0,Main_S[[#This Row],[Current Price]]/Main_S[[#This Row],[BVPS]],""),"")</f>
        <v>1.4136253041362528</v>
      </c>
      <c r="J60">
        <v>4.3499999999999996</v>
      </c>
      <c r="K60">
        <v>3.74</v>
      </c>
      <c r="L60">
        <v>1.46</v>
      </c>
      <c r="M60" s="1">
        <f>IF(ISNUMBER(Main_S[[#This Row],[EPS]]),IF(Main_S[[#This Row],[EPS]]&lt;&gt;0,Main_S[[#This Row],[Current Price]]/Main_S[[#This Row],[EPS]],""),"")</f>
        <v>30.578947368421051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3.4605698202887729</v>
      </c>
      <c r="P60" s="1">
        <f>(Main_S[[#This Row],[P/B]]-VLOOKUP(Main_S[[#This Row],[Industry]], Mean_PB_S, 2, FALSE))/(VLOOKUP(Main_S[[#This Row],[Industry]], Mean_PB_S, 3, FALSE))</f>
        <v>0.42221281944187389</v>
      </c>
      <c r="Q60" s="1">
        <f>(Main_S[[#This Row],[ROE]]-VLOOKUP(Main_S[[#This Row],[Industry]], Mean_ROE_S, 2, FALSE))/(VLOOKUP(Main_S[[#This Row],[Industry]], Mean_ROE_S, 3, FALSE))</f>
        <v>-6.2019806661904556E-2</v>
      </c>
      <c r="R60" s="1">
        <f>(Main_S[[#This Row],[ROA]]-VLOOKUP(Main_S[[#This Row],[Industry]], Mean_ROA_S, 2, FALSE))/(VLOOKUP(Main_S[[#This Row],[Industry]], Mean_ROA_S, 3, FALSE))</f>
        <v>7.7265839196385289E-3</v>
      </c>
      <c r="S60" s="1">
        <f>(Main_S[[#This Row],[A/E]]-VLOOKUP(Main_S[[#This Row],[Industry]], Mean_AE_S, 2, FALSE))/(VLOOKUP(Main_S[[#This Row],[Industry]], Mean_AE_S, 3, FALSE))</f>
        <v>-0.48273587894931802</v>
      </c>
      <c r="T60" s="1">
        <f>(Main_S[[#This Row],[P/E]]-VLOOKUP(Main_S[[#This Row],[Industry]], Mean_PE_S, 2, FALSE))/(VLOOKUP(Main_S[[#This Row],[Industry]], Mean_PE_S, 3, FALSE))</f>
        <v>2.4276158742495535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7" t="s">
        <v>107</v>
      </c>
      <c r="B61" s="67" t="s">
        <v>253</v>
      </c>
      <c r="C61" s="2">
        <v>1435</v>
      </c>
      <c r="D61">
        <f>RTD("tos.rtd", , "LAST", Main_S[[#This Row],[Symbol]])</f>
        <v>8.2799999999999994</v>
      </c>
      <c r="E61">
        <v>3.55</v>
      </c>
      <c r="F61">
        <v>15.31</v>
      </c>
      <c r="G61">
        <v>0.14000000000000001</v>
      </c>
      <c r="H61" s="1">
        <f>IF(ISNUMBER(Main_S[[#This Row],[Free CF]]),IF(Main_S[[#This Row],[Free CF]]&lt;&gt;0,Main_S[[#This Row],[Current Price]]/Main_S[[#This Row],[Free CF]],""),"")</f>
        <v>2.3323943661971831</v>
      </c>
      <c r="I61" s="1">
        <f>IF(ISNUMBER(Main_S[[#This Row],[BVPS]]),IF(Main_S[[#This Row],[BVPS]]&lt;&gt;0,Main_S[[#This Row],[Current Price]]/Main_S[[#This Row],[BVPS]],""),"")</f>
        <v>0.54082299150881774</v>
      </c>
      <c r="J61">
        <v>0.95</v>
      </c>
      <c r="K61">
        <v>1.97</v>
      </c>
      <c r="L61">
        <v>2.25</v>
      </c>
      <c r="M61" s="1">
        <f>IF(ISNUMBER(Main_S[[#This Row],[EPS]]),IF(Main_S[[#This Row],[EPS]]&lt;&gt;0,Main_S[[#This Row],[Current Price]]/Main_S[[#This Row],[EPS]],""),"")</f>
        <v>59.142857142857132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0.25037976382414806</v>
      </c>
      <c r="P61" s="1">
        <f>(Main_S[[#This Row],[P/B]]-VLOOKUP(Main_S[[#This Row],[Industry]], Mean_PB_S, 2, FALSE))/(VLOOKUP(Main_S[[#This Row],[Industry]], Mean_PB_S, 3, FALSE))</f>
        <v>-1.0741812537587849</v>
      </c>
      <c r="Q61" s="1">
        <f>(Main_S[[#This Row],[ROE]]-VLOOKUP(Main_S[[#This Row],[Industry]], Mean_ROE_S, 2, FALSE))/(VLOOKUP(Main_S[[#This Row],[Industry]], Mean_ROE_S, 3, FALSE))</f>
        <v>-0.26242687779471574</v>
      </c>
      <c r="R61" s="1">
        <f>(Main_S[[#This Row],[ROA]]-VLOOKUP(Main_S[[#This Row],[Industry]], Mean_ROA_S, 2, FALSE))/(VLOOKUP(Main_S[[#This Row],[Industry]], Mean_ROA_S, 3, FALSE))</f>
        <v>-0.33111295149351738</v>
      </c>
      <c r="S61" s="1">
        <f>(Main_S[[#This Row],[A/E]]-VLOOKUP(Main_S[[#This Row],[Industry]], Mean_AE_S, 2, FALSE))/(VLOOKUP(Main_S[[#This Row],[Industry]], Mean_AE_S, 3, FALSE))</f>
        <v>1.1954486083929843</v>
      </c>
      <c r="T61" s="1">
        <f>(Main_S[[#This Row],[P/E]]-VLOOKUP(Main_S[[#This Row],[Industry]], Mean_PE_S, 2, FALSE))/(VLOOKUP(Main_S[[#This Row],[Industry]], Mean_PE_S, 3, FALSE))</f>
        <v>5.0946463709283423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2" spans="1:26" x14ac:dyDescent="0.25">
      <c r="A62" s="67" t="s">
        <v>107</v>
      </c>
      <c r="B62" s="67" t="s">
        <v>266</v>
      </c>
      <c r="C62" s="2">
        <v>390</v>
      </c>
      <c r="D62">
        <f>RTD("tos.rtd", , "LAST", Main_S[[#This Row],[Symbol]])</f>
        <v>9.59</v>
      </c>
      <c r="E62">
        <v>1.99</v>
      </c>
      <c r="F62">
        <v>15.03</v>
      </c>
      <c r="G62">
        <v>2.2999999999999998</v>
      </c>
      <c r="H62" s="1">
        <f>IF(ISNUMBER(Main_S[[#This Row],[Free CF]]),IF(Main_S[[#This Row],[Free CF]]&lt;&gt;0,Main_S[[#This Row],[Current Price]]/Main_S[[#This Row],[Free CF]],""),"")</f>
        <v>4.8190954773869343</v>
      </c>
      <c r="I62" s="1">
        <f>IF(ISNUMBER(Main_S[[#This Row],[BVPS]]),IF(Main_S[[#This Row],[BVPS]]&lt;&gt;0,Main_S[[#This Row],[Current Price]]/Main_S[[#This Row],[BVPS]],""),"")</f>
        <v>0.63805721889554223</v>
      </c>
      <c r="J62">
        <v>16.09</v>
      </c>
      <c r="K62">
        <v>8.42</v>
      </c>
      <c r="L62">
        <v>1.1299999999999999</v>
      </c>
      <c r="M62" s="1">
        <f>IF(ISNUMBER(Main_S[[#This Row],[EPS]]),IF(Main_S[[#This Row],[EPS]]&lt;&gt;0,Main_S[[#This Row],[Current Price]]/Main_S[[#This Row],[EPS]],""),"")</f>
        <v>4.1695652173913045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0.48530496583999289</v>
      </c>
      <c r="P62" s="1">
        <f>(Main_S[[#This Row],[P/B]]-VLOOKUP(Main_S[[#This Row],[Industry]], Mean_PB_S, 2, FALSE))/(VLOOKUP(Main_S[[#This Row],[Industry]], Mean_PB_S, 3, FALSE))</f>
        <v>-0.90747601080894391</v>
      </c>
      <c r="Q62" s="1">
        <f>(Main_S[[#This Row],[ROE]]-VLOOKUP(Main_S[[#This Row],[Industry]], Mean_ROE_S, 2, FALSE))/(VLOOKUP(Main_S[[#This Row],[Industry]], Mean_ROE_S, 3, FALSE))</f>
        <v>0.62997402130844948</v>
      </c>
      <c r="R62" s="1">
        <f>(Main_S[[#This Row],[ROA]]-VLOOKUP(Main_S[[#This Row],[Industry]], Mean_ROA_S, 2, FALSE))/(VLOOKUP(Main_S[[#This Row],[Industry]], Mean_ROA_S, 3, FALSE))</f>
        <v>0.90364128772391505</v>
      </c>
      <c r="S62" s="1">
        <f>(Main_S[[#This Row],[A/E]]-VLOOKUP(Main_S[[#This Row],[Industry]], Mean_AE_S, 2, FALSE))/(VLOOKUP(Main_S[[#This Row],[Industry]], Mean_AE_S, 3, FALSE))</f>
        <v>-1.1837496521429383</v>
      </c>
      <c r="T62" s="1">
        <f>(Main_S[[#This Row],[P/E]]-VLOOKUP(Main_S[[#This Row],[Industry]], Mean_PE_S, 2, FALSE))/(VLOOKUP(Main_S[[#This Row],[Industry]], Mean_PE_S, 3, FALSE))</f>
        <v>-3.8245002340873323E-2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s="67" t="s">
        <v>107</v>
      </c>
      <c r="B63" s="67" t="s">
        <v>274</v>
      </c>
      <c r="C63" s="2">
        <v>1293</v>
      </c>
      <c r="D63">
        <f>RTD("tos.rtd", , "LAST", Main_S[[#This Row],[Symbol]])</f>
        <v>23.64</v>
      </c>
      <c r="E63">
        <v>3.49</v>
      </c>
      <c r="F63">
        <v>14.51</v>
      </c>
      <c r="G63">
        <v>1.91</v>
      </c>
      <c r="H63" s="1">
        <f>IF(ISNUMBER(Main_S[[#This Row],[Free CF]]),IF(Main_S[[#This Row],[Free CF]]&lt;&gt;0,Main_S[[#This Row],[Current Price]]/Main_S[[#This Row],[Free CF]],""),"")</f>
        <v>6.7736389684813751</v>
      </c>
      <c r="I63" s="1">
        <f>IF(ISNUMBER(Main_S[[#This Row],[BVPS]]),IF(Main_S[[#This Row],[BVPS]]&lt;&gt;0,Main_S[[#This Row],[Current Price]]/Main_S[[#This Row],[BVPS]],""),"")</f>
        <v>1.6292212267401793</v>
      </c>
      <c r="J63">
        <v>12.69</v>
      </c>
      <c r="K63">
        <v>4.55</v>
      </c>
      <c r="L63">
        <v>3.35</v>
      </c>
      <c r="M63" s="1">
        <f>IF(ISNUMBER(Main_S[[#This Row],[EPS]]),IF(Main_S[[#This Row],[EPS]]&lt;&gt;0,Main_S[[#This Row],[Current Price]]/Main_S[[#This Row],[EPS]],""),"")</f>
        <v>12.37696335078534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0.66995583619506638</v>
      </c>
      <c r="P63" s="1">
        <f>(Main_S[[#This Row],[P/B]]-VLOOKUP(Main_S[[#This Row],[Industry]], Mean_PB_S, 2, FALSE))/(VLOOKUP(Main_S[[#This Row],[Industry]], Mean_PB_S, 3, FALSE))</f>
        <v>0.79184573187029905</v>
      </c>
      <c r="Q63" s="1">
        <f>(Main_S[[#This Row],[ROE]]-VLOOKUP(Main_S[[#This Row],[Industry]], Mean_ROE_S, 2, FALSE))/(VLOOKUP(Main_S[[#This Row],[Industry]], Mean_ROE_S, 3, FALSE))</f>
        <v>0.42956695017563828</v>
      </c>
      <c r="R63" s="1">
        <f>(Main_S[[#This Row],[ROA]]-VLOOKUP(Main_S[[#This Row],[Industry]], Mean_ROA_S, 2, FALSE))/(VLOOKUP(Main_S[[#This Row],[Industry]], Mean_ROA_S, 3, FALSE))</f>
        <v>0.16278874419345554</v>
      </c>
      <c r="S63" s="1">
        <f>(Main_S[[#This Row],[A/E]]-VLOOKUP(Main_S[[#This Row],[Industry]], Mean_AE_S, 2, FALSE))/(VLOOKUP(Main_S[[#This Row],[Industry]], Mean_AE_S, 3, FALSE))</f>
        <v>3.5321611857050512</v>
      </c>
      <c r="T63" s="1">
        <f>(Main_S[[#This Row],[P/E]]-VLOOKUP(Main_S[[#This Row],[Industry]], Mean_PE_S, 2, FALSE))/(VLOOKUP(Main_S[[#This Row],[Industry]], Mean_PE_S, 3, FALSE))</f>
        <v>0.7280850026550415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7" t="s">
        <v>107</v>
      </c>
      <c r="B64" s="67" t="s">
        <v>269</v>
      </c>
      <c r="C64" s="2">
        <v>322</v>
      </c>
      <c r="D64">
        <f>RTD("tos.rtd", , "LAST", Main_S[[#This Row],[Symbol]])</f>
        <v>6.86</v>
      </c>
      <c r="E64">
        <v>-3.87</v>
      </c>
      <c r="F64">
        <v>14.35</v>
      </c>
      <c r="G64">
        <v>1.31</v>
      </c>
      <c r="H64" s="1">
        <f>IF(ISNUMBER(Main_S[[#This Row],[Free CF]]),IF(Main_S[[#This Row],[Free CF]]&lt;&gt;0,Main_S[[#This Row],[Current Price]]/Main_S[[#This Row],[Free CF]],""),"")</f>
        <v>-1.772609819121447</v>
      </c>
      <c r="I64" s="1">
        <f>IF(ISNUMBER(Main_S[[#This Row],[BVPS]]),IF(Main_S[[#This Row],[BVPS]]&lt;&gt;0,Main_S[[#This Row],[Current Price]]/Main_S[[#This Row],[BVPS]],""),"")</f>
        <v>0.47804878048780491</v>
      </c>
      <c r="J64">
        <v>9.17</v>
      </c>
      <c r="K64">
        <v>4.3600000000000003</v>
      </c>
      <c r="L64">
        <v>3.05</v>
      </c>
      <c r="M64" s="1">
        <f>IF(ISNUMBER(Main_S[[#This Row],[EPS]]),IF(Main_S[[#This Row],[EPS]]&lt;&gt;0,Main_S[[#This Row],[Current Price]]/Main_S[[#This Row],[EPS]],""),"")</f>
        <v>5.2366412213740459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-0.13743079095960298</v>
      </c>
      <c r="P64" s="1">
        <f>(Main_S[[#This Row],[P/B]]-VLOOKUP(Main_S[[#This Row],[Industry]], Mean_PB_S, 2, FALSE))/(VLOOKUP(Main_S[[#This Row],[Industry]], Mean_PB_S, 3, FALSE))</f>
        <v>-1.1818058051178604</v>
      </c>
      <c r="Q64" s="1">
        <f>(Main_S[[#This Row],[ROE]]-VLOOKUP(Main_S[[#This Row],[Industry]], Mean_ROE_S, 2, FALSE))/(VLOOKUP(Main_S[[#This Row],[Industry]], Mean_ROE_S, 3, FALSE))</f>
        <v>0.22208668829696315</v>
      </c>
      <c r="R64" s="1">
        <f>(Main_S[[#This Row],[ROA]]-VLOOKUP(Main_S[[#This Row],[Industry]], Mean_ROA_S, 2, FALSE))/(VLOOKUP(Main_S[[#This Row],[Industry]], Mean_ROA_S, 3, FALSE))</f>
        <v>0.12641613869712817</v>
      </c>
      <c r="S64" s="1">
        <f>(Main_S[[#This Row],[A/E]]-VLOOKUP(Main_S[[#This Row],[Industry]], Mean_AE_S, 2, FALSE))/(VLOOKUP(Main_S[[#This Row],[Industry]], Mean_AE_S, 3, FALSE))</f>
        <v>2.8948759373472144</v>
      </c>
      <c r="T64" s="1">
        <f>(Main_S[[#This Row],[P/E]]-VLOOKUP(Main_S[[#This Row],[Industry]], Mean_PE_S, 2, FALSE))/(VLOOKUP(Main_S[[#This Row],[Industry]], Mean_PE_S, 3, FALSE))</f>
        <v>6.1388565590472427E-2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7" t="s">
        <v>107</v>
      </c>
      <c r="B65" s="67" t="s">
        <v>255</v>
      </c>
      <c r="C65" s="2">
        <v>793</v>
      </c>
      <c r="D65">
        <f>RTD("tos.rtd", , "LAST", Main_S[[#This Row],[Symbol]])</f>
        <v>15.03</v>
      </c>
      <c r="E65">
        <v>-4.7</v>
      </c>
      <c r="F65">
        <v>14.3</v>
      </c>
      <c r="G65">
        <v>0.4</v>
      </c>
      <c r="H65" s="1">
        <f>IF(ISNUMBER(Main_S[[#This Row],[Free CF]]),IF(Main_S[[#This Row],[Free CF]]&lt;&gt;0,Main_S[[#This Row],[Current Price]]/Main_S[[#This Row],[Free CF]],""),"")</f>
        <v>-3.1978723404255316</v>
      </c>
      <c r="I65" s="1">
        <f>IF(ISNUMBER(Main_S[[#This Row],[BVPS]]),IF(Main_S[[#This Row],[BVPS]]&lt;&gt;0,Main_S[[#This Row],[Current Price]]/Main_S[[#This Row],[BVPS]],""),"")</f>
        <v>1.0510489510489509</v>
      </c>
      <c r="J65">
        <v>2.97</v>
      </c>
      <c r="K65">
        <v>-0.95</v>
      </c>
      <c r="L65">
        <v>1.76</v>
      </c>
      <c r="M65" s="1">
        <f>IF(ISNUMBER(Main_S[[#This Row],[EPS]]),IF(Main_S[[#This Row],[EPS]]&lt;&gt;0,Main_S[[#This Row],[Current Price]]/Main_S[[#This Row],[EPS]],""),"")</f>
        <v>37.574999999999996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-0.2720790943830797</v>
      </c>
      <c r="P65" s="1">
        <f>(Main_S[[#This Row],[P/B]]-VLOOKUP(Main_S[[#This Row],[Industry]], Mean_PB_S, 2, FALSE))/(VLOOKUP(Main_S[[#This Row],[Industry]], Mean_PB_S, 3, FALSE))</f>
        <v>-0.19941374821611557</v>
      </c>
      <c r="Q65" s="1">
        <f>(Main_S[[#This Row],[ROE]]-VLOOKUP(Main_S[[#This Row],[Industry]], Mean_ROE_S, 2, FALSE))/(VLOOKUP(Main_S[[#This Row],[Industry]], Mean_ROE_S, 3, FALSE))</f>
        <v>-0.14336150023933966</v>
      </c>
      <c r="R65" s="1">
        <f>(Main_S[[#This Row],[ROA]]-VLOOKUP(Main_S[[#This Row],[Industry]], Mean_ROA_S, 2, FALSE))/(VLOOKUP(Main_S[[#This Row],[Industry]], Mean_ROA_S, 3, FALSE))</f>
        <v>-0.89010246754233946</v>
      </c>
      <c r="S65" s="1">
        <f>(Main_S[[#This Row],[A/E]]-VLOOKUP(Main_S[[#This Row],[Industry]], Mean_AE_S, 2, FALSE))/(VLOOKUP(Main_S[[#This Row],[Industry]], Mean_AE_S, 3, FALSE))</f>
        <v>0.15454936940851838</v>
      </c>
      <c r="T65" s="1">
        <f>(Main_S[[#This Row],[P/E]]-VLOOKUP(Main_S[[#This Row],[Industry]], Mean_PE_S, 2, FALSE))/(VLOOKUP(Main_S[[#This Row],[Industry]], Mean_PE_S, 3, FALSE))</f>
        <v>3.0808417761703732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6" spans="1:26" x14ac:dyDescent="0.25">
      <c r="A66" s="67" t="s">
        <v>107</v>
      </c>
      <c r="B66" s="67" t="s">
        <v>246</v>
      </c>
      <c r="C66" s="2">
        <v>338</v>
      </c>
      <c r="D66">
        <f>RTD("tos.rtd", , "LAST", Main_S[[#This Row],[Symbol]])</f>
        <v>5.36</v>
      </c>
      <c r="E66">
        <v>-0.38</v>
      </c>
      <c r="F66">
        <v>13.46</v>
      </c>
      <c r="G66">
        <v>-1.85</v>
      </c>
      <c r="H66" s="1">
        <f>IF(ISNUMBER(Main_S[[#This Row],[Free CF]]),IF(Main_S[[#This Row],[Free CF]]&lt;&gt;0,Main_S[[#This Row],[Current Price]]/Main_S[[#This Row],[Free CF]],""),"")</f>
        <v>-14.105263157894738</v>
      </c>
      <c r="I66" s="1">
        <f>IF(ISNUMBER(Main_S[[#This Row],[BVPS]]),IF(Main_S[[#This Row],[BVPS]]&lt;&gt;0,Main_S[[#This Row],[Current Price]]/Main_S[[#This Row],[BVPS]],""),"")</f>
        <v>0.39821693907875183</v>
      </c>
      <c r="J66">
        <v>-13.02</v>
      </c>
      <c r="K66">
        <v>-6.09</v>
      </c>
      <c r="L66">
        <v>1.54</v>
      </c>
      <c r="M66" s="1">
        <f>IF(ISNUMBER(Main_S[[#This Row],[EPS]]),IF(Main_S[[#This Row],[EPS]]&lt;&gt;0,Main_S[[#This Row],[Current Price]]/Main_S[[#This Row],[EPS]],""),"")</f>
        <v>-2.8972972972972975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-1.3025290265157536</v>
      </c>
      <c r="P66" s="1">
        <f>(Main_S[[#This Row],[P/B]]-VLOOKUP(Main_S[[#This Row],[Industry]], Mean_PB_S, 2, FALSE))/(VLOOKUP(Main_S[[#This Row],[Industry]], Mean_PB_S, 3, FALSE))</f>
        <v>-1.3186751655777182</v>
      </c>
      <c r="Q66" s="1">
        <f>(Main_S[[#This Row],[ROE]]-VLOOKUP(Main_S[[#This Row],[Industry]], Mean_ROE_S, 2, FALSE))/(VLOOKUP(Main_S[[#This Row],[Industry]], Mean_ROE_S, 3, FALSE))</f>
        <v>-1.0858641671257077</v>
      </c>
      <c r="R66" s="1">
        <f>(Main_S[[#This Row],[ROA]]-VLOOKUP(Main_S[[#This Row],[Industry]], Mean_ROA_S, 2, FALSE))/(VLOOKUP(Main_S[[#This Row],[Industry]], Mean_ROA_S, 3, FALSE))</f>
        <v>-1.8740771636008824</v>
      </c>
      <c r="S66" s="1">
        <f>(Main_S[[#This Row],[A/E]]-VLOOKUP(Main_S[[#This Row],[Industry]], Mean_AE_S, 2, FALSE))/(VLOOKUP(Main_S[[#This Row],[Industry]], Mean_AE_S, 3, FALSE))</f>
        <v>-0.31279314605389485</v>
      </c>
      <c r="T66" s="1">
        <f>(Main_S[[#This Row],[P/E]]-VLOOKUP(Main_S[[#This Row],[Industry]], Mean_PE_S, 2, FALSE))/(VLOOKUP(Main_S[[#This Row],[Industry]], Mean_PE_S, 3, FALSE))</f>
        <v>-0.69808246826714826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s="67" t="s">
        <v>107</v>
      </c>
      <c r="B67" s="67" t="s">
        <v>256</v>
      </c>
      <c r="C67" s="2">
        <v>1006</v>
      </c>
      <c r="D67">
        <f>RTD("tos.rtd", , "LAST", Main_S[[#This Row],[Symbol]])</f>
        <v>7.31</v>
      </c>
      <c r="E67">
        <v>-3.64</v>
      </c>
      <c r="F67">
        <v>12.99</v>
      </c>
      <c r="G67">
        <v>-0.15</v>
      </c>
      <c r="H67" s="1">
        <f>IF(ISNUMBER(Main_S[[#This Row],[Free CF]]),IF(Main_S[[#This Row],[Free CF]]&lt;&gt;0,Main_S[[#This Row],[Current Price]]/Main_S[[#This Row],[Free CF]],""),"")</f>
        <v>-2.0082417582417582</v>
      </c>
      <c r="I67" s="1">
        <f>IF(ISNUMBER(Main_S[[#This Row],[BVPS]]),IF(Main_S[[#This Row],[BVPS]]&lt;&gt;0,Main_S[[#This Row],[Current Price]]/Main_S[[#This Row],[BVPS]],""),"")</f>
        <v>0.56274056966897612</v>
      </c>
      <c r="J67">
        <v>-1.1599999999999999</v>
      </c>
      <c r="K67">
        <v>1.47</v>
      </c>
      <c r="L67">
        <v>2.46</v>
      </c>
      <c r="M67" s="1">
        <f>IF(ISNUMBER(Main_S[[#This Row],[EPS]]),IF(Main_S[[#This Row],[EPS]]&lt;&gt;0,Main_S[[#This Row],[Current Price]]/Main_S[[#This Row],[EPS]],""),"")</f>
        <v>-48.733333333333334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-0.15969156072004254</v>
      </c>
      <c r="P67" s="1">
        <f>(Main_S[[#This Row],[P/B]]-VLOOKUP(Main_S[[#This Row],[Industry]], Mean_PB_S, 2, FALSE))/(VLOOKUP(Main_S[[#This Row],[Industry]], Mean_PB_S, 3, FALSE))</f>
        <v>-1.0366042061464318</v>
      </c>
      <c r="Q67" s="1">
        <f>(Main_S[[#This Row],[ROE]]-VLOOKUP(Main_S[[#This Row],[Industry]], Mean_ROE_S, 2, FALSE))/(VLOOKUP(Main_S[[#This Row],[Industry]], Mean_ROE_S, 3, FALSE))</f>
        <v>-0.38679714840948981</v>
      </c>
      <c r="R67" s="1">
        <f>(Main_S[[#This Row],[ROA]]-VLOOKUP(Main_S[[#This Row],[Industry]], Mean_ROA_S, 2, FALSE))/(VLOOKUP(Main_S[[#This Row],[Industry]], Mean_ROA_S, 3, FALSE))</f>
        <v>-0.42683033437858964</v>
      </c>
      <c r="S67" s="1">
        <f>(Main_S[[#This Row],[A/E]]-VLOOKUP(Main_S[[#This Row],[Industry]], Mean_AE_S, 2, FALSE))/(VLOOKUP(Main_S[[#This Row],[Industry]], Mean_AE_S, 3, FALSE))</f>
        <v>1.6415482822434697</v>
      </c>
      <c r="T67" s="1">
        <f>(Main_S[[#This Row],[P/E]]-VLOOKUP(Main_S[[#This Row],[Industry]], Mean_PE_S, 2, FALSE))/(VLOOKUP(Main_S[[#This Row],[Industry]], Mean_PE_S, 3, FALSE))</f>
        <v>-4.9778224240480968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s="67" t="s">
        <v>107</v>
      </c>
      <c r="B68" s="67" t="s">
        <v>242</v>
      </c>
      <c r="C68" s="2">
        <v>1247</v>
      </c>
      <c r="D68">
        <f>RTD("tos.rtd", , "LAST", Main_S[[#This Row],[Symbol]])</f>
        <v>11.13</v>
      </c>
      <c r="E68">
        <v>0.19</v>
      </c>
      <c r="F68">
        <v>12.96</v>
      </c>
      <c r="G68">
        <v>0.88</v>
      </c>
      <c r="H68" s="1">
        <f>IF(ISNUMBER(Main_S[[#This Row],[Free CF]]),IF(Main_S[[#This Row],[Free CF]]&lt;&gt;0,Main_S[[#This Row],[Current Price]]/Main_S[[#This Row],[Free CF]],""),"")</f>
        <v>58.578947368421055</v>
      </c>
      <c r="I68" s="1">
        <f>IF(ISNUMBER(Main_S[[#This Row],[BVPS]]),IF(Main_S[[#This Row],[BVPS]]&lt;&gt;0,Main_S[[#This Row],[Current Price]]/Main_S[[#This Row],[BVPS]],""),"")</f>
        <v>0.85879629629629628</v>
      </c>
      <c r="J68">
        <v>7.85</v>
      </c>
      <c r="K68">
        <v>6.6</v>
      </c>
      <c r="L68">
        <v>1.89</v>
      </c>
      <c r="M68" s="1">
        <f>IF(ISNUMBER(Main_S[[#This Row],[EPS]]),IF(Main_S[[#This Row],[EPS]]&lt;&gt;0,Main_S[[#This Row],[Current Price]]/Main_S[[#This Row],[EPS]],""),"")</f>
        <v>12.647727272727273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5.564139735733403</v>
      </c>
      <c r="P68" s="1">
        <f>(Main_S[[#This Row],[P/B]]-VLOOKUP(Main_S[[#This Row],[Industry]], Mean_PB_S, 2, FALSE))/(VLOOKUP(Main_S[[#This Row],[Industry]], Mean_PB_S, 3, FALSE))</f>
        <v>-0.5290253096966665</v>
      </c>
      <c r="Q68" s="1">
        <f>(Main_S[[#This Row],[ROE]]-VLOOKUP(Main_S[[#This Row],[Industry]], Mean_ROE_S, 2, FALSE))/(VLOOKUP(Main_S[[#This Row],[Industry]], Mean_ROE_S, 3, FALSE))</f>
        <v>0.14428159009245994</v>
      </c>
      <c r="R68" s="1">
        <f>(Main_S[[#This Row],[ROA]]-VLOOKUP(Main_S[[#This Row],[Industry]], Mean_ROA_S, 2, FALSE))/(VLOOKUP(Main_S[[#This Row],[Industry]], Mean_ROA_S, 3, FALSE))</f>
        <v>0.55523001402225181</v>
      </c>
      <c r="S68" s="1">
        <f>(Main_S[[#This Row],[A/E]]-VLOOKUP(Main_S[[#This Row],[Industry]], Mean_AE_S, 2, FALSE))/(VLOOKUP(Main_S[[#This Row],[Industry]], Mean_AE_S, 3, FALSE))</f>
        <v>0.43070631036358054</v>
      </c>
      <c r="T68" s="1">
        <f>(Main_S[[#This Row],[P/E]]-VLOOKUP(Main_S[[#This Row],[Industry]], Mean_PE_S, 2, FALSE))/(VLOOKUP(Main_S[[#This Row],[Industry]], Mean_PE_S, 3, FALSE))</f>
        <v>0.75336640295780333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7" t="s">
        <v>107</v>
      </c>
      <c r="B69" s="67" t="s">
        <v>248</v>
      </c>
      <c r="C69" s="2">
        <v>1990</v>
      </c>
      <c r="D69">
        <f>RTD("tos.rtd", , "LAST", Main_S[[#This Row],[Symbol]])</f>
        <v>14.8156</v>
      </c>
      <c r="E69">
        <v>-0.38</v>
      </c>
      <c r="F69">
        <v>12.84</v>
      </c>
      <c r="G69">
        <v>7.26</v>
      </c>
      <c r="H69" s="1">
        <f>IF(ISNUMBER(Main_S[[#This Row],[Free CF]]),IF(Main_S[[#This Row],[Free CF]]&lt;&gt;0,Main_S[[#This Row],[Current Price]]/Main_S[[#This Row],[Free CF]],""),"")</f>
        <v>-38.98842105263158</v>
      </c>
      <c r="I69" s="1">
        <f>IF(ISNUMBER(Main_S[[#This Row],[BVPS]]),IF(Main_S[[#This Row],[BVPS]]&lt;&gt;0,Main_S[[#This Row],[Current Price]]/Main_S[[#This Row],[BVPS]],""),"")</f>
        <v>1.1538629283489097</v>
      </c>
      <c r="J69">
        <v>50.23</v>
      </c>
      <c r="K69">
        <v>5.64</v>
      </c>
      <c r="L69">
        <v>1.37</v>
      </c>
      <c r="M69" s="1">
        <f>IF(ISNUMBER(Main_S[[#This Row],[EPS]]),IF(Main_S[[#This Row],[EPS]]&lt;&gt;0,Main_S[[#This Row],[Current Price]]/Main_S[[#This Row],[EPS]],""),"")</f>
        <v>2.0407162534435264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-3.6533064757671334</v>
      </c>
      <c r="P69" s="1">
        <f>(Main_S[[#This Row],[P/B]]-VLOOKUP(Main_S[[#This Row],[Industry]], Mean_PB_S, 2, FALSE))/(VLOOKUP(Main_S[[#This Row],[Industry]], Mean_PB_S, 3, FALSE))</f>
        <v>-2.3142187006907358E-2</v>
      </c>
      <c r="Q69" s="1">
        <f>(Main_S[[#This Row],[ROE]]-VLOOKUP(Main_S[[#This Row],[Industry]], Mean_ROE_S, 2, FALSE))/(VLOOKUP(Main_S[[#This Row],[Industry]], Mean_ROE_S, 3, FALSE))</f>
        <v>2.6422967885067359</v>
      </c>
      <c r="R69" s="1">
        <f>(Main_S[[#This Row],[ROA]]-VLOOKUP(Main_S[[#This Row],[Industry]], Mean_ROA_S, 2, FALSE))/(VLOOKUP(Main_S[[#This Row],[Industry]], Mean_ROA_S, 3, FALSE))</f>
        <v>0.37145263888291308</v>
      </c>
      <c r="S69" s="1">
        <f>(Main_S[[#This Row],[A/E]]-VLOOKUP(Main_S[[#This Row],[Industry]], Mean_AE_S, 2, FALSE))/(VLOOKUP(Main_S[[#This Row],[Industry]], Mean_AE_S, 3, FALSE))</f>
        <v>-0.67392145345666865</v>
      </c>
      <c r="T69" s="1">
        <f>(Main_S[[#This Row],[P/E]]-VLOOKUP(Main_S[[#This Row],[Industry]], Mean_PE_S, 2, FALSE))/(VLOOKUP(Main_S[[#This Row],[Industry]], Mean_PE_S, 3, FALSE))</f>
        <v>-0.23701698959708428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7" t="s">
        <v>107</v>
      </c>
      <c r="B70" s="67" t="s">
        <v>272</v>
      </c>
      <c r="C70" s="2">
        <v>751</v>
      </c>
      <c r="D70">
        <f>RTD("tos.rtd", , "LAST", Main_S[[#This Row],[Symbol]])</f>
        <v>21.88</v>
      </c>
      <c r="E70">
        <v>3.12</v>
      </c>
      <c r="F70">
        <v>12.79</v>
      </c>
      <c r="G70">
        <v>2.48</v>
      </c>
      <c r="H70" s="1">
        <f>IF(ISNUMBER(Main_S[[#This Row],[Free CF]]),IF(Main_S[[#This Row],[Free CF]]&lt;&gt;0,Main_S[[#This Row],[Current Price]]/Main_S[[#This Row],[Free CF]],""),"")</f>
        <v>7.0128205128205119</v>
      </c>
      <c r="I70" s="1">
        <f>IF(ISNUMBER(Main_S[[#This Row],[BVPS]]),IF(Main_S[[#This Row],[BVPS]]&lt;&gt;0,Main_S[[#This Row],[Current Price]]/Main_S[[#This Row],[BVPS]],""),"")</f>
        <v>1.7107114933541829</v>
      </c>
      <c r="J70">
        <v>19.010000000000002</v>
      </c>
      <c r="K70">
        <v>7.34</v>
      </c>
      <c r="L70">
        <v>2.6</v>
      </c>
      <c r="M70" s="1">
        <f>IF(ISNUMBER(Main_S[[#This Row],[EPS]]),IF(Main_S[[#This Row],[EPS]]&lt;&gt;0,Main_S[[#This Row],[Current Price]]/Main_S[[#This Row],[EPS]],""),"")</f>
        <v>8.82258064516129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0.69255194650743512</v>
      </c>
      <c r="P70" s="1">
        <f>(Main_S[[#This Row],[P/B]]-VLOOKUP(Main_S[[#This Row],[Industry]], Mean_PB_S, 2, FALSE))/(VLOOKUP(Main_S[[#This Row],[Industry]], Mean_PB_S, 3, FALSE))</f>
        <v>0.93155841390668204</v>
      </c>
      <c r="Q70" s="1">
        <f>(Main_S[[#This Row],[ROE]]-VLOOKUP(Main_S[[#This Row],[Industry]], Mean_ROE_S, 2, FALSE))/(VLOOKUP(Main_S[[#This Row],[Industry]], Mean_ROE_S, 3, FALSE))</f>
        <v>0.80208832945780517</v>
      </c>
      <c r="R70" s="1">
        <f>(Main_S[[#This Row],[ROA]]-VLOOKUP(Main_S[[#This Row],[Industry]], Mean_ROA_S, 2, FALSE))/(VLOOKUP(Main_S[[#This Row],[Industry]], Mean_ROA_S, 3, FALSE))</f>
        <v>0.69689174069215887</v>
      </c>
      <c r="S70" s="1">
        <f>(Main_S[[#This Row],[A/E]]-VLOOKUP(Main_S[[#This Row],[Industry]], Mean_AE_S, 2, FALSE))/(VLOOKUP(Main_S[[#This Row],[Industry]], Mean_AE_S, 3, FALSE))</f>
        <v>1.9389480648104602</v>
      </c>
      <c r="T70" s="1">
        <f>(Main_S[[#This Row],[P/E]]-VLOOKUP(Main_S[[#This Row],[Industry]], Mean_PE_S, 2, FALSE))/(VLOOKUP(Main_S[[#This Row],[Industry]], Mean_PE_S, 3, FALSE))</f>
        <v>0.39621001958633589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s="67" t="s">
        <v>107</v>
      </c>
      <c r="B71" s="67" t="s">
        <v>250</v>
      </c>
      <c r="C71" s="2">
        <v>360</v>
      </c>
      <c r="D71">
        <f>RTD("tos.rtd", , "LAST", Main_S[[#This Row],[Symbol]])</f>
        <v>10.71</v>
      </c>
      <c r="E71">
        <v>-2.31</v>
      </c>
      <c r="F71">
        <v>12.66</v>
      </c>
      <c r="G71">
        <v>1.74</v>
      </c>
      <c r="H71" s="1">
        <f>IF(ISNUMBER(Main_S[[#This Row],[Free CF]]),IF(Main_S[[#This Row],[Free CF]]&lt;&gt;0,Main_S[[#This Row],[Current Price]]/Main_S[[#This Row],[Free CF]],""),"")</f>
        <v>-4.6363636363636367</v>
      </c>
      <c r="I71" s="1">
        <f>IF(ISNUMBER(Main_S[[#This Row],[BVPS]]),IF(Main_S[[#This Row],[BVPS]]&lt;&gt;0,Main_S[[#This Row],[Current Price]]/Main_S[[#This Row],[BVPS]],""),"")</f>
        <v>0.84597156398104267</v>
      </c>
      <c r="J71">
        <v>14.68</v>
      </c>
      <c r="K71">
        <v>4.2</v>
      </c>
      <c r="L71">
        <v>1.27</v>
      </c>
      <c r="M71" s="1">
        <f>IF(ISNUMBER(Main_S[[#This Row],[EPS]]),IF(Main_S[[#This Row],[EPS]]&lt;&gt;0,Main_S[[#This Row],[Current Price]]/Main_S[[#This Row],[EPS]],""),"")</f>
        <v>6.1551724137931041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-0.40797715498056292</v>
      </c>
      <c r="P71" s="1">
        <f>(Main_S[[#This Row],[P/B]]-VLOOKUP(Main_S[[#This Row],[Industry]], Mean_PB_S, 2, FALSE))/(VLOOKUP(Main_S[[#This Row],[Industry]], Mean_PB_S, 3, FALSE))</f>
        <v>-0.55101293868124079</v>
      </c>
      <c r="Q71" s="1">
        <f>(Main_S[[#This Row],[ROE]]-VLOOKUP(Main_S[[#This Row],[Industry]], Mean_ROE_S, 2, FALSE))/(VLOOKUP(Main_S[[#This Row],[Industry]], Mean_ROE_S, 3, FALSE))</f>
        <v>0.54686403004454842</v>
      </c>
      <c r="R71" s="1">
        <f>(Main_S[[#This Row],[ROA]]-VLOOKUP(Main_S[[#This Row],[Industry]], Mean_ROA_S, 2, FALSE))/(VLOOKUP(Main_S[[#This Row],[Industry]], Mean_ROA_S, 3, FALSE))</f>
        <v>9.5786576173905014E-2</v>
      </c>
      <c r="S71" s="1">
        <f>(Main_S[[#This Row],[A/E]]-VLOOKUP(Main_S[[#This Row],[Industry]], Mean_AE_S, 2, FALSE))/(VLOOKUP(Main_S[[#This Row],[Industry]], Mean_AE_S, 3, FALSE))</f>
        <v>-0.88634986957594764</v>
      </c>
      <c r="T71" s="1">
        <f>(Main_S[[#This Row],[P/E]]-VLOOKUP(Main_S[[#This Row],[Industry]], Mean_PE_S, 2, FALSE))/(VLOOKUP(Main_S[[#This Row],[Industry]], Mean_PE_S, 3, FALSE))</f>
        <v>0.14715240960474044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7" t="s">
        <v>107</v>
      </c>
      <c r="B72" s="67" t="s">
        <v>324</v>
      </c>
      <c r="C72" s="2">
        <v>272</v>
      </c>
      <c r="D72">
        <f>RTD("tos.rtd", , "LAST", Main_S[[#This Row],[Symbol]])</f>
        <v>4.25</v>
      </c>
      <c r="E72">
        <v>-1.94</v>
      </c>
      <c r="F72">
        <v>12.2</v>
      </c>
      <c r="G72">
        <v>-1.63</v>
      </c>
      <c r="H72" s="1">
        <f>IF(ISNUMBER(Main_S[[#This Row],[Free CF]]),IF(Main_S[[#This Row],[Free CF]]&lt;&gt;0,Main_S[[#This Row],[Current Price]]/Main_S[[#This Row],[Free CF]],""),"")</f>
        <v>-2.1907216494845363</v>
      </c>
      <c r="I72" s="1">
        <f>IF(ISNUMBER(Main_S[[#This Row],[BVPS]]),IF(Main_S[[#This Row],[BVPS]]&lt;&gt;0,Main_S[[#This Row],[Current Price]]/Main_S[[#This Row],[BVPS]],""),"")</f>
        <v>0.34836065573770492</v>
      </c>
      <c r="J72">
        <v>-12.03</v>
      </c>
      <c r="K72">
        <v>-2.91</v>
      </c>
      <c r="L72">
        <v>2.09</v>
      </c>
      <c r="M72" s="1">
        <f>IF(ISNUMBER(Main_S[[#This Row],[EPS]]),IF(Main_S[[#This Row],[EPS]]&lt;&gt;0,Main_S[[#This Row],[Current Price]]/Main_S[[#This Row],[EPS]],""),"")</f>
        <v>-2.6073619631901841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-0.17693091655622845</v>
      </c>
      <c r="P72" s="1">
        <f>(Main_S[[#This Row],[P/B]]-VLOOKUP(Main_S[[#This Row],[Industry]], Mean_PB_S, 2, FALSE))/(VLOOKUP(Main_S[[#This Row],[Industry]], Mean_PB_S, 3, FALSE))</f>
        <v>-1.4041523072213622</v>
      </c>
      <c r="Q72" s="1">
        <f>(Main_S[[#This Row],[ROE]]-VLOOKUP(Main_S[[#This Row],[Industry]], Mean_ROE_S, 2, FALSE))/(VLOOKUP(Main_S[[#This Row],[Industry]], Mean_ROE_S, 3, FALSE))</f>
        <v>-1.0275103434723303</v>
      </c>
      <c r="R72" s="1">
        <f>(Main_S[[#This Row],[ROA]]-VLOOKUP(Main_S[[#This Row],[Industry]], Mean_ROA_S, 2, FALSE))/(VLOOKUP(Main_S[[#This Row],[Industry]], Mean_ROA_S, 3, FALSE))</f>
        <v>-1.2653146084518228</v>
      </c>
      <c r="S72" s="1">
        <f>(Main_S[[#This Row],[A/E]]-VLOOKUP(Main_S[[#This Row],[Industry]], Mean_AE_S, 2, FALSE))/(VLOOKUP(Main_S[[#This Row],[Industry]], Mean_AE_S, 3, FALSE))</f>
        <v>0.85556314260213806</v>
      </c>
      <c r="T72" s="1">
        <f>(Main_S[[#This Row],[P/E]]-VLOOKUP(Main_S[[#This Row],[Industry]], Mean_PE_S, 2, FALSE))/(VLOOKUP(Main_S[[#This Row],[Industry]], Mean_PE_S, 3, FALSE))</f>
        <v>-0.67101102096757459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7" t="s">
        <v>107</v>
      </c>
      <c r="B73" s="67" t="s">
        <v>267</v>
      </c>
      <c r="C73" s="2">
        <v>1583</v>
      </c>
      <c r="D73">
        <f>RTD("tos.rtd", , "LAST", Main_S[[#This Row],[Symbol]])</f>
        <v>11.11</v>
      </c>
      <c r="E73">
        <v>-1.2</v>
      </c>
      <c r="F73">
        <v>11.72</v>
      </c>
      <c r="G73">
        <v>1.86</v>
      </c>
      <c r="H73" s="1">
        <f>IF(ISNUMBER(Main_S[[#This Row],[Free CF]]),IF(Main_S[[#This Row],[Free CF]]&lt;&gt;0,Main_S[[#This Row],[Current Price]]/Main_S[[#This Row],[Free CF]],""),"")</f>
        <v>-9.2583333333333329</v>
      </c>
      <c r="I73" s="1">
        <f>IF(ISNUMBER(Main_S[[#This Row],[BVPS]]),IF(Main_S[[#This Row],[BVPS]]&lt;&gt;0,Main_S[[#This Row],[Current Price]]/Main_S[[#This Row],[BVPS]],""),"")</f>
        <v>0.94795221843003408</v>
      </c>
      <c r="J73">
        <v>17.41</v>
      </c>
      <c r="K73">
        <v>7.1</v>
      </c>
      <c r="L73">
        <v>1.89</v>
      </c>
      <c r="M73" s="1">
        <f>IF(ISNUMBER(Main_S[[#This Row],[EPS]]),IF(Main_S[[#This Row],[EPS]]&lt;&gt;0,Main_S[[#This Row],[Current Price]]/Main_S[[#This Row],[EPS]],""),"")</f>
        <v>5.9731182795698921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-0.84462680293612868</v>
      </c>
      <c r="P73" s="1">
        <f>(Main_S[[#This Row],[P/B]]-VLOOKUP(Main_S[[#This Row],[Industry]], Mean_PB_S, 2, FALSE))/(VLOOKUP(Main_S[[#This Row],[Industry]], Mean_PB_S, 3, FALSE))</f>
        <v>-0.37617008516128753</v>
      </c>
      <c r="Q73" s="1">
        <f>(Main_S[[#This Row],[ROE]]-VLOOKUP(Main_S[[#This Row],[Industry]], Mean_ROE_S, 2, FALSE))/(VLOOKUP(Main_S[[#This Row],[Industry]], Mean_ROE_S, 3, FALSE))</f>
        <v>0.70777911951295269</v>
      </c>
      <c r="R73" s="1">
        <f>(Main_S[[#This Row],[ROA]]-VLOOKUP(Main_S[[#This Row],[Industry]], Mean_ROA_S, 2, FALSE))/(VLOOKUP(Main_S[[#This Row],[Industry]], Mean_ROA_S, 3, FALSE))</f>
        <v>0.65094739690732417</v>
      </c>
      <c r="S73" s="1">
        <f>(Main_S[[#This Row],[A/E]]-VLOOKUP(Main_S[[#This Row],[Industry]], Mean_AE_S, 2, FALSE))/(VLOOKUP(Main_S[[#This Row],[Industry]], Mean_AE_S, 3, FALSE))</f>
        <v>0.43070631036358054</v>
      </c>
      <c r="T73" s="1">
        <f>(Main_S[[#This Row],[P/E]]-VLOOKUP(Main_S[[#This Row],[Industry]], Mean_PE_S, 2, FALSE))/(VLOOKUP(Main_S[[#This Row],[Industry]], Mean_PE_S, 3, FALSE))</f>
        <v>0.13015389883174014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s="67" t="s">
        <v>107</v>
      </c>
      <c r="B74" s="67" t="s">
        <v>245</v>
      </c>
      <c r="C74" s="2">
        <v>1576</v>
      </c>
      <c r="D74">
        <f>RTD("tos.rtd", , "LAST", Main_S[[#This Row],[Symbol]])</f>
        <v>13.42</v>
      </c>
      <c r="E74">
        <v>1.3</v>
      </c>
      <c r="F74">
        <v>11.65</v>
      </c>
      <c r="G74">
        <v>1.56</v>
      </c>
      <c r="H74" s="1">
        <f>IF(ISNUMBER(Main_S[[#This Row],[Free CF]]),IF(Main_S[[#This Row],[Free CF]]&lt;&gt;0,Main_S[[#This Row],[Current Price]]/Main_S[[#This Row],[Free CF]],""),"")</f>
        <v>10.323076923076922</v>
      </c>
      <c r="I74" s="1">
        <f>IF(ISNUMBER(Main_S[[#This Row],[BVPS]]),IF(Main_S[[#This Row],[BVPS]]&lt;&gt;0,Main_S[[#This Row],[Current Price]]/Main_S[[#This Row],[BVPS]],""),"")</f>
        <v>1.1519313304721031</v>
      </c>
      <c r="J74">
        <v>12.64</v>
      </c>
      <c r="K74">
        <v>7.55</v>
      </c>
      <c r="L74">
        <v>1.63</v>
      </c>
      <c r="M74" s="1">
        <f>IF(ISNUMBER(Main_S[[#This Row],[EPS]]),IF(Main_S[[#This Row],[EPS]]&lt;&gt;0,Main_S[[#This Row],[Current Price]]/Main_S[[#This Row],[EPS]],""),"")</f>
        <v>8.6025641025641022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1.0052805862319185</v>
      </c>
      <c r="P74" s="1">
        <f>(Main_S[[#This Row],[P/B]]-VLOOKUP(Main_S[[#This Row],[Industry]], Mean_PB_S, 2, FALSE))/(VLOOKUP(Main_S[[#This Row],[Industry]], Mean_PB_S, 3, FALSE))</f>
        <v>-2.64538551508187E-2</v>
      </c>
      <c r="Q74" s="1">
        <f>(Main_S[[#This Row],[ROE]]-VLOOKUP(Main_S[[#This Row],[Industry]], Mean_ROE_S, 2, FALSE))/(VLOOKUP(Main_S[[#This Row],[Industry]], Mean_ROE_S, 3, FALSE))</f>
        <v>0.42661978736486172</v>
      </c>
      <c r="R74" s="1">
        <f>(Main_S[[#This Row],[ROA]]-VLOOKUP(Main_S[[#This Row],[Industry]], Mean_ROA_S, 2, FALSE))/(VLOOKUP(Main_S[[#This Row],[Industry]], Mean_ROA_S, 3, FALSE))</f>
        <v>0.73709304150388921</v>
      </c>
      <c r="S74" s="1">
        <f>(Main_S[[#This Row],[A/E]]-VLOOKUP(Main_S[[#This Row],[Industry]], Mean_AE_S, 2, FALSE))/(VLOOKUP(Main_S[[#This Row],[Industry]], Mean_AE_S, 3, FALSE))</f>
        <v>-0.12160757154654428</v>
      </c>
      <c r="T74" s="1">
        <f>(Main_S[[#This Row],[P/E]]-VLOOKUP(Main_S[[#This Row],[Industry]], Mean_PE_S, 2, FALSE))/(VLOOKUP(Main_S[[#This Row],[Industry]], Mean_PE_S, 3, FALSE))</f>
        <v>0.37566693450049482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7" t="s">
        <v>107</v>
      </c>
      <c r="B75" s="67" t="s">
        <v>325</v>
      </c>
      <c r="C75" s="2">
        <v>1368</v>
      </c>
      <c r="D75">
        <f>RTD("tos.rtd", , "LAST", Main_S[[#This Row],[Symbol]])</f>
        <v>17.100000000000001</v>
      </c>
      <c r="E75">
        <v>4.47</v>
      </c>
      <c r="F75">
        <v>11.55</v>
      </c>
      <c r="G75">
        <v>2.31</v>
      </c>
      <c r="H75" s="1">
        <f>IF(ISNUMBER(Main_S[[#This Row],[Free CF]]),IF(Main_S[[#This Row],[Free CF]]&lt;&gt;0,Main_S[[#This Row],[Current Price]]/Main_S[[#This Row],[Free CF]],""),"")</f>
        <v>3.8255033557046985</v>
      </c>
      <c r="I75" s="1">
        <f>IF(ISNUMBER(Main_S[[#This Row],[BVPS]]),IF(Main_S[[#This Row],[BVPS]]&lt;&gt;0,Main_S[[#This Row],[Current Price]]/Main_S[[#This Row],[BVPS]],""),"")</f>
        <v>1.4805194805194806</v>
      </c>
      <c r="J75">
        <v>24.48</v>
      </c>
      <c r="K75">
        <v>11.34</v>
      </c>
      <c r="L75">
        <v>1.89</v>
      </c>
      <c r="M75" s="1">
        <f>IF(ISNUMBER(Main_S[[#This Row],[EPS]]),IF(Main_S[[#This Row],[EPS]]&lt;&gt;0,Main_S[[#This Row],[Current Price]]/Main_S[[#This Row],[EPS]],""),"")</f>
        <v>7.4025974025974026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0.39143770175377041</v>
      </c>
      <c r="P75" s="1">
        <f>(Main_S[[#This Row],[P/B]]-VLOOKUP(Main_S[[#This Row],[Industry]], Mean_PB_S, 2, FALSE))/(VLOOKUP(Main_S[[#This Row],[Industry]], Mean_PB_S, 3, FALSE))</f>
        <v>0.53690093108329018</v>
      </c>
      <c r="Q75" s="1">
        <f>(Main_S[[#This Row],[ROE]]-VLOOKUP(Main_S[[#This Row],[Industry]], Mean_ROE_S, 2, FALSE))/(VLOOKUP(Main_S[[#This Row],[Industry]], Mean_ROE_S, 3, FALSE))</f>
        <v>1.1245079409567691</v>
      </c>
      <c r="R75" s="1">
        <f>(Main_S[[#This Row],[ROA]]-VLOOKUP(Main_S[[#This Row],[Industry]], Mean_ROA_S, 2, FALSE))/(VLOOKUP(Main_S[[#This Row],[Industry]], Mean_ROA_S, 3, FALSE))</f>
        <v>1.4626308037727371</v>
      </c>
      <c r="S75" s="1">
        <f>(Main_S[[#This Row],[A/E]]-VLOOKUP(Main_S[[#This Row],[Industry]], Mean_AE_S, 2, FALSE))/(VLOOKUP(Main_S[[#This Row],[Industry]], Mean_AE_S, 3, FALSE))</f>
        <v>0.43070631036358054</v>
      </c>
      <c r="T75" s="1">
        <f>(Main_S[[#This Row],[P/E]]-VLOOKUP(Main_S[[#This Row],[Industry]], Mean_PE_S, 2, FALSE))/(VLOOKUP(Main_S[[#This Row],[Industry]], Mean_PE_S, 3, FALSE))</f>
        <v>0.26362527742053798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7" t="s">
        <v>107</v>
      </c>
      <c r="B76" s="67" t="s">
        <v>236</v>
      </c>
      <c r="C76" s="2">
        <v>829</v>
      </c>
      <c r="D76">
        <f>RTD("tos.rtd", , "LAST", Main_S[[#This Row],[Symbol]])</f>
        <v>14.33</v>
      </c>
      <c r="E76">
        <v>0.11</v>
      </c>
      <c r="F76">
        <v>8.82</v>
      </c>
      <c r="G76">
        <v>-1.84</v>
      </c>
      <c r="H76" s="1">
        <f>IF(ISNUMBER(Main_S[[#This Row],[Free CF]]),IF(Main_S[[#This Row],[Free CF]]&lt;&gt;0,Main_S[[#This Row],[Current Price]]/Main_S[[#This Row],[Free CF]],""),"")</f>
        <v>130.27272727272728</v>
      </c>
      <c r="I76" s="1">
        <f>IF(ISNUMBER(Main_S[[#This Row],[BVPS]]),IF(Main_S[[#This Row],[BVPS]]&lt;&gt;0,Main_S[[#This Row],[Current Price]]/Main_S[[#This Row],[BVPS]],""),"")</f>
        <v>1.6247165532879819</v>
      </c>
      <c r="J76">
        <v>-16.37</v>
      </c>
      <c r="K76">
        <v>-0.91</v>
      </c>
      <c r="L76">
        <v>8.84</v>
      </c>
      <c r="M76" s="1">
        <f>IF(ISNUMBER(Main_S[[#This Row],[EPS]]),IF(Main_S[[#This Row],[EPS]]&lt;&gt;0,Main_S[[#This Row],[Current Price]]/Main_S[[#This Row],[EPS]],""),"")</f>
        <v>-7.7880434782608692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12.33723990909535</v>
      </c>
      <c r="P76" s="1">
        <f>(Main_S[[#This Row],[P/B]]-VLOOKUP(Main_S[[#This Row],[Industry]], Mean_PB_S, 2, FALSE))/(VLOOKUP(Main_S[[#This Row],[Industry]], Mean_PB_S, 3, FALSE))</f>
        <v>0.78412260080379159</v>
      </c>
      <c r="Q76" s="1">
        <f>(Main_S[[#This Row],[ROE]]-VLOOKUP(Main_S[[#This Row],[Industry]], Mean_ROE_S, 2, FALSE))/(VLOOKUP(Main_S[[#This Row],[Industry]], Mean_ROE_S, 3, FALSE))</f>
        <v>-1.2833240754477424</v>
      </c>
      <c r="R76" s="1">
        <f>(Main_S[[#This Row],[ROA]]-VLOOKUP(Main_S[[#This Row],[Industry]], Mean_ROA_S, 2, FALSE))/(VLOOKUP(Main_S[[#This Row],[Industry]], Mean_ROA_S, 3, FALSE))</f>
        <v>-0.88244507691153362</v>
      </c>
      <c r="S76" s="1">
        <f>(Main_S[[#This Row],[A/E]]-VLOOKUP(Main_S[[#This Row],[Industry]], Mean_AE_S, 2, FALSE))/(VLOOKUP(Main_S[[#This Row],[Industry]], Mean_AE_S, 3, FALSE))</f>
        <v>15.194481230653455</v>
      </c>
      <c r="T76" s="1">
        <f>(Main_S[[#This Row],[P/E]]-VLOOKUP(Main_S[[#This Row],[Industry]], Mean_PE_S, 2, FALSE))/(VLOOKUP(Main_S[[#This Row],[Industry]], Mean_PE_S, 3, FALSE))</f>
        <v>-1.1547345624359577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7" t="s">
        <v>107</v>
      </c>
      <c r="B77" s="67" t="s">
        <v>286</v>
      </c>
      <c r="C77" s="2">
        <v>706</v>
      </c>
      <c r="D77">
        <f>RTD("tos.rtd", , "LAST", Main_S[[#This Row],[Symbol]])</f>
        <v>8.39</v>
      </c>
      <c r="E77">
        <v>5.0599999999999996</v>
      </c>
      <c r="F77">
        <v>8.44</v>
      </c>
      <c r="G77">
        <v>1.85</v>
      </c>
      <c r="H77" s="1">
        <f>IF(ISNUMBER(Main_S[[#This Row],[Free CF]]),IF(Main_S[[#This Row],[Free CF]]&lt;&gt;0,Main_S[[#This Row],[Current Price]]/Main_S[[#This Row],[Free CF]],""),"")</f>
        <v>1.6581027667984192</v>
      </c>
      <c r="I77" s="1">
        <f>IF(ISNUMBER(Main_S[[#This Row],[BVPS]]),IF(Main_S[[#This Row],[BVPS]]&lt;&gt;0,Main_S[[#This Row],[Current Price]]/Main_S[[#This Row],[BVPS]],""),"")</f>
        <v>0.99407582938388639</v>
      </c>
      <c r="J77">
        <v>21.5</v>
      </c>
      <c r="K77">
        <v>9.56</v>
      </c>
      <c r="L77">
        <v>3.03</v>
      </c>
      <c r="M77" s="1">
        <f>IF(ISNUMBER(Main_S[[#This Row],[EPS]]),IF(Main_S[[#This Row],[EPS]]&lt;&gt;0,Main_S[[#This Row],[Current Price]]/Main_S[[#This Row],[EPS]],""),"")</f>
        <v>4.5351351351351354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0.18667766086793389</v>
      </c>
      <c r="P77" s="1">
        <f>(Main_S[[#This Row],[P/B]]-VLOOKUP(Main_S[[#This Row],[Industry]], Mean_PB_S, 2, FALSE))/(VLOOKUP(Main_S[[#This Row],[Industry]], Mean_PB_S, 3, FALSE))</f>
        <v>-0.29709250130591663</v>
      </c>
      <c r="Q77" s="1">
        <f>(Main_S[[#This Row],[ROE]]-VLOOKUP(Main_S[[#This Row],[Industry]], Mean_ROE_S, 2, FALSE))/(VLOOKUP(Main_S[[#This Row],[Industry]], Mean_ROE_S, 3, FALSE))</f>
        <v>0.94885703743448135</v>
      </c>
      <c r="R77" s="1">
        <f>(Main_S[[#This Row],[ROA]]-VLOOKUP(Main_S[[#This Row],[Industry]], Mean_ROA_S, 2, FALSE))/(VLOOKUP(Main_S[[#This Row],[Industry]], Mean_ROA_S, 3, FALSE))</f>
        <v>1.1218769207018799</v>
      </c>
      <c r="S77" s="1">
        <f>(Main_S[[#This Row],[A/E]]-VLOOKUP(Main_S[[#This Row],[Industry]], Mean_AE_S, 2, FALSE))/(VLOOKUP(Main_S[[#This Row],[Industry]], Mean_AE_S, 3, FALSE))</f>
        <v>2.8523902541233586</v>
      </c>
      <c r="T77" s="1">
        <f>(Main_S[[#This Row],[P/E]]-VLOOKUP(Main_S[[#This Row],[Industry]], Mean_PE_S, 2, FALSE))/(VLOOKUP(Main_S[[#This Row],[Industry]], Mean_PE_S, 3, FALSE))</f>
        <v>-4.1115056665581183E-3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7" t="s">
        <v>107</v>
      </c>
      <c r="B78" s="67" t="s">
        <v>239</v>
      </c>
      <c r="C78" s="2">
        <v>294</v>
      </c>
      <c r="D78">
        <f>RTD("tos.rtd", , "LAST", Main_S[[#This Row],[Symbol]])</f>
        <v>4.54</v>
      </c>
      <c r="E78">
        <v>0.8</v>
      </c>
      <c r="F78">
        <v>8.33</v>
      </c>
      <c r="G78">
        <v>1.78</v>
      </c>
      <c r="H78" s="1">
        <f>IF(ISNUMBER(Main_S[[#This Row],[Free CF]]),IF(Main_S[[#This Row],[Free CF]]&lt;&gt;0,Main_S[[#This Row],[Current Price]]/Main_S[[#This Row],[Free CF]],""),"")</f>
        <v>5.6749999999999998</v>
      </c>
      <c r="I78" s="1">
        <f>IF(ISNUMBER(Main_S[[#This Row],[BVPS]]),IF(Main_S[[#This Row],[BVPS]]&lt;&gt;0,Main_S[[#This Row],[Current Price]]/Main_S[[#This Row],[BVPS]],""),"")</f>
        <v>0.54501800720288118</v>
      </c>
      <c r="J78">
        <v>24.83</v>
      </c>
      <c r="K78">
        <v>8.1199999999999992</v>
      </c>
      <c r="L78">
        <v>1.52</v>
      </c>
      <c r="M78" s="1">
        <f>IF(ISNUMBER(Main_S[[#This Row],[EPS]]),IF(Main_S[[#This Row],[EPS]]&lt;&gt;0,Main_S[[#This Row],[Current Price]]/Main_S[[#This Row],[EPS]],""),"")</f>
        <v>2.5505617977528088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0.56616451987982153</v>
      </c>
      <c r="P78" s="1">
        <f>(Main_S[[#This Row],[P/B]]-VLOOKUP(Main_S[[#This Row],[Industry]], Mean_PB_S, 2, FALSE))/(VLOOKUP(Main_S[[#This Row],[Industry]], Mean_PB_S, 3, FALSE))</f>
        <v>-1.0669890218744731</v>
      </c>
      <c r="Q78" s="1">
        <f>(Main_S[[#This Row],[ROE]]-VLOOKUP(Main_S[[#This Row],[Industry]], Mean_ROE_S, 2, FALSE))/(VLOOKUP(Main_S[[#This Row],[Industry]], Mean_ROE_S, 3, FALSE))</f>
        <v>1.1451380806322053</v>
      </c>
      <c r="R78" s="1">
        <f>(Main_S[[#This Row],[ROA]]-VLOOKUP(Main_S[[#This Row],[Industry]], Mean_ROA_S, 2, FALSE))/(VLOOKUP(Main_S[[#This Row],[Industry]], Mean_ROA_S, 3, FALSE))</f>
        <v>0.84621085799287155</v>
      </c>
      <c r="S78" s="1">
        <f>(Main_S[[#This Row],[A/E]]-VLOOKUP(Main_S[[#This Row],[Industry]], Mean_AE_S, 2, FALSE))/(VLOOKUP(Main_S[[#This Row],[Industry]], Mean_AE_S, 3, FALSE))</f>
        <v>-0.35527882927775067</v>
      </c>
      <c r="T78" s="1">
        <f>(Main_S[[#This Row],[P/E]]-VLOOKUP(Main_S[[#This Row],[Industry]], Mean_PE_S, 2, FALSE))/(VLOOKUP(Main_S[[#This Row],[Industry]], Mean_PE_S, 3, FALSE))</f>
        <v>-0.18941238553529671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s="67" t="s">
        <v>107</v>
      </c>
      <c r="B79" s="67" t="s">
        <v>328</v>
      </c>
      <c r="C79" s="2">
        <v>1643</v>
      </c>
      <c r="D79">
        <f>RTD("tos.rtd", , "LAST", Main_S[[#This Row],[Symbol]])</f>
        <v>15.11</v>
      </c>
      <c r="E79">
        <v>-0.99</v>
      </c>
      <c r="F79">
        <v>7.76</v>
      </c>
      <c r="G79">
        <v>0.68</v>
      </c>
      <c r="H79" s="1">
        <f>IF(ISNUMBER(Main_S[[#This Row],[Free CF]]),IF(Main_S[[#This Row],[Free CF]]&lt;&gt;0,Main_S[[#This Row],[Current Price]]/Main_S[[#This Row],[Free CF]],""),"")</f>
        <v>-15.262626262626263</v>
      </c>
      <c r="I79" s="1">
        <f>IF(ISNUMBER(Main_S[[#This Row],[BVPS]]),IF(Main_S[[#This Row],[BVPS]]&lt;&gt;0,Main_S[[#This Row],[Current Price]]/Main_S[[#This Row],[BVPS]],""),"")</f>
        <v>1.9471649484536082</v>
      </c>
      <c r="J79">
        <v>8.92</v>
      </c>
      <c r="K79">
        <v>5.45</v>
      </c>
      <c r="L79">
        <v>2.13</v>
      </c>
      <c r="M79" s="1">
        <f>IF(ISNUMBER(Main_S[[#This Row],[EPS]]),IF(Main_S[[#This Row],[EPS]]&lt;&gt;0,Main_S[[#This Row],[Current Price]]/Main_S[[#This Row],[EPS]],""),"")</f>
        <v>22.220588235294116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-1.4118681666163717</v>
      </c>
      <c r="P79" s="1">
        <f>(Main_S[[#This Row],[P/B]]-VLOOKUP(Main_S[[#This Row],[Industry]], Mean_PB_S, 2, FALSE))/(VLOOKUP(Main_S[[#This Row],[Industry]], Mean_PB_S, 3, FALSE))</f>
        <v>1.3369509566159876</v>
      </c>
      <c r="Q79" s="1">
        <f>(Main_S[[#This Row],[ROE]]-VLOOKUP(Main_S[[#This Row],[Industry]], Mean_ROE_S, 2, FALSE))/(VLOOKUP(Main_S[[#This Row],[Industry]], Mean_ROE_S, 3, FALSE))</f>
        <v>0.20735087424307996</v>
      </c>
      <c r="R79" s="1">
        <f>(Main_S[[#This Row],[ROA]]-VLOOKUP(Main_S[[#This Row],[Industry]], Mean_ROA_S, 2, FALSE))/(VLOOKUP(Main_S[[#This Row],[Industry]], Mean_ROA_S, 3, FALSE))</f>
        <v>0.33508003338658571</v>
      </c>
      <c r="S79" s="1">
        <f>(Main_S[[#This Row],[A/E]]-VLOOKUP(Main_S[[#This Row],[Industry]], Mean_AE_S, 2, FALSE))/(VLOOKUP(Main_S[[#This Row],[Industry]], Mean_AE_S, 3, FALSE))</f>
        <v>0.94053450904984959</v>
      </c>
      <c r="T79" s="1">
        <f>(Main_S[[#This Row],[P/E]]-VLOOKUP(Main_S[[#This Row],[Industry]], Mean_PE_S, 2, FALSE))/(VLOOKUP(Main_S[[#This Row],[Industry]], Mean_PE_S, 3, FALSE))</f>
        <v>1.6471905443042125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7" t="s">
        <v>107</v>
      </c>
      <c r="B80" s="67" t="s">
        <v>237</v>
      </c>
      <c r="C80" s="2">
        <v>1267</v>
      </c>
      <c r="D80">
        <f>RTD("tos.rtd", , "LAST", Main_S[[#This Row],[Symbol]])</f>
        <v>27.65</v>
      </c>
      <c r="E80">
        <v>3.16</v>
      </c>
      <c r="F80">
        <v>7.3</v>
      </c>
      <c r="G80">
        <v>2.0299999999999998</v>
      </c>
      <c r="H80" s="1">
        <f>IF(ISNUMBER(Main_S[[#This Row],[Free CF]]),IF(Main_S[[#This Row],[Free CF]]&lt;&gt;0,Main_S[[#This Row],[Current Price]]/Main_S[[#This Row],[Free CF]],""),"")</f>
        <v>8.75</v>
      </c>
      <c r="I80" s="1">
        <f>IF(ISNUMBER(Main_S[[#This Row],[BVPS]]),IF(Main_S[[#This Row],[BVPS]]&lt;&gt;0,Main_S[[#This Row],[Current Price]]/Main_S[[#This Row],[BVPS]],""),"")</f>
        <v>3.7876712328767121</v>
      </c>
      <c r="J80">
        <v>35.19</v>
      </c>
      <c r="K80">
        <v>21.52</v>
      </c>
      <c r="L80">
        <v>1.01</v>
      </c>
      <c r="M80" s="1">
        <f>IF(ISNUMBER(Main_S[[#This Row],[EPS]]),IF(Main_S[[#This Row],[EPS]]&lt;&gt;0,Main_S[[#This Row],[Current Price]]/Main_S[[#This Row],[EPS]],""),"")</f>
        <v>13.620689655172415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0.85666786704448972</v>
      </c>
      <c r="P80" s="1">
        <f>(Main_S[[#This Row],[P/B]]-VLOOKUP(Main_S[[#This Row],[Industry]], Mean_PB_S, 2, FALSE))/(VLOOKUP(Main_S[[#This Row],[Industry]], Mean_PB_S, 3, FALSE))</f>
        <v>4.492445225883495</v>
      </c>
      <c r="Q80" s="1">
        <f>(Main_S[[#This Row],[ROE]]-VLOOKUP(Main_S[[#This Row],[Industry]], Mean_ROE_S, 2, FALSE))/(VLOOKUP(Main_S[[#This Row],[Industry]], Mean_ROE_S, 3, FALSE))</f>
        <v>1.7557902150251241</v>
      </c>
      <c r="R80" s="1">
        <f>(Main_S[[#This Row],[ROA]]-VLOOKUP(Main_S[[#This Row],[Industry]], Mean_ROA_S, 2, FALSE))/(VLOOKUP(Main_S[[#This Row],[Industry]], Mean_ROA_S, 3, FALSE))</f>
        <v>3.4114367193128081</v>
      </c>
      <c r="S80" s="1">
        <f>(Main_S[[#This Row],[A/E]]-VLOOKUP(Main_S[[#This Row],[Industry]], Mean_AE_S, 2, FALSE))/(VLOOKUP(Main_S[[#This Row],[Industry]], Mean_AE_S, 3, FALSE))</f>
        <v>-1.4386637514860725</v>
      </c>
      <c r="T80" s="1">
        <f>(Main_S[[#This Row],[P/E]]-VLOOKUP(Main_S[[#This Row],[Industry]], Mean_PE_S, 2, FALSE))/(VLOOKUP(Main_S[[#This Row],[Industry]], Mean_PE_S, 3, FALSE))</f>
        <v>0.84421252194480645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7" t="s">
        <v>107</v>
      </c>
      <c r="B81" s="67" t="s">
        <v>329</v>
      </c>
      <c r="C81" s="2">
        <v>1359</v>
      </c>
      <c r="D81">
        <f>RTD("tos.rtd", , "LAST", Main_S[[#This Row],[Symbol]])</f>
        <v>8.49</v>
      </c>
      <c r="E81">
        <v>-0.28000000000000003</v>
      </c>
      <c r="F81">
        <v>6.7</v>
      </c>
      <c r="G81">
        <v>-0.13</v>
      </c>
      <c r="H81" s="1">
        <f>IF(ISNUMBER(Main_S[[#This Row],[Free CF]]),IF(Main_S[[#This Row],[Free CF]]&lt;&gt;0,Main_S[[#This Row],[Current Price]]/Main_S[[#This Row],[Free CF]],""),"")</f>
        <v>-30.321428571428569</v>
      </c>
      <c r="I81" s="1">
        <f>IF(ISNUMBER(Main_S[[#This Row],[BVPS]]),IF(Main_S[[#This Row],[BVPS]]&lt;&gt;0,Main_S[[#This Row],[Current Price]]/Main_S[[#This Row],[BVPS]],""),"")</f>
        <v>1.2671641791044777</v>
      </c>
      <c r="J81">
        <v>-2.0299999999999998</v>
      </c>
      <c r="K81">
        <v>0.66</v>
      </c>
      <c r="L81">
        <v>1.84</v>
      </c>
      <c r="M81" s="1">
        <f>IF(ISNUMBER(Main_S[[#This Row],[EPS]]),IF(Main_S[[#This Row],[EPS]]&lt;&gt;0,Main_S[[#This Row],[Current Price]]/Main_S[[#This Row],[EPS]],""),"")</f>
        <v>-65.307692307692307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-2.8345128739328285</v>
      </c>
      <c r="P81" s="1">
        <f>(Main_S[[#This Row],[P/B]]-VLOOKUP(Main_S[[#This Row],[Industry]], Mean_PB_S, 2, FALSE))/(VLOOKUP(Main_S[[#This Row],[Industry]], Mean_PB_S, 3, FALSE))</f>
        <v>0.17110949824180594</v>
      </c>
      <c r="Q81" s="1">
        <f>(Main_S[[#This Row],[ROE]]-VLOOKUP(Main_S[[#This Row],[Industry]], Mean_ROE_S, 2, FALSE))/(VLOOKUP(Main_S[[#This Row],[Industry]], Mean_ROE_S, 3, FALSE))</f>
        <v>-0.4380777813170032</v>
      </c>
      <c r="R81" s="1">
        <f>(Main_S[[#This Row],[ROA]]-VLOOKUP(Main_S[[#This Row],[Industry]], Mean_ROA_S, 2, FALSE))/(VLOOKUP(Main_S[[#This Row],[Industry]], Mean_ROA_S, 3, FALSE))</f>
        <v>-0.58189249465240667</v>
      </c>
      <c r="S81" s="1">
        <f>(Main_S[[#This Row],[A/E]]-VLOOKUP(Main_S[[#This Row],[Industry]], Mean_AE_S, 2, FALSE))/(VLOOKUP(Main_S[[#This Row],[Industry]], Mean_AE_S, 3, FALSE))</f>
        <v>0.32449210230394154</v>
      </c>
      <c r="T81" s="1">
        <f>(Main_S[[#This Row],[P/E]]-VLOOKUP(Main_S[[#This Row],[Industry]], Mean_PE_S, 2, FALSE))/(VLOOKUP(Main_S[[#This Row],[Industry]], Mean_PE_S, 3, FALSE))</f>
        <v>-6.5253809059432744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2" spans="1:26" x14ac:dyDescent="0.25">
      <c r="A82" s="67" t="s">
        <v>107</v>
      </c>
      <c r="B82" s="67" t="s">
        <v>270</v>
      </c>
      <c r="C82" s="2">
        <v>1715</v>
      </c>
      <c r="D82">
        <f>RTD("tos.rtd", , "LAST", Main_S[[#This Row],[Symbol]])</f>
        <v>9.74</v>
      </c>
      <c r="E82">
        <v>-4.84</v>
      </c>
      <c r="F82">
        <v>6.59</v>
      </c>
      <c r="G82">
        <v>2.16</v>
      </c>
      <c r="H82" s="1">
        <f>IF(ISNUMBER(Main_S[[#This Row],[Free CF]]),IF(Main_S[[#This Row],[Free CF]]&lt;&gt;0,Main_S[[#This Row],[Current Price]]/Main_S[[#This Row],[Free CF]],""),"")</f>
        <v>-2.0123966942148761</v>
      </c>
      <c r="I82" s="1">
        <f>IF(ISNUMBER(Main_S[[#This Row],[BVPS]]),IF(Main_S[[#This Row],[BVPS]]&lt;&gt;0,Main_S[[#This Row],[Current Price]]/Main_S[[#This Row],[BVPS]],""),"")</f>
        <v>1.4779969650986344</v>
      </c>
      <c r="J82">
        <v>18.23</v>
      </c>
      <c r="K82">
        <v>3.37</v>
      </c>
      <c r="L82">
        <v>6.43</v>
      </c>
      <c r="M82" s="1">
        <f>IF(ISNUMBER(Main_S[[#This Row],[EPS]]),IF(Main_S[[#This Row],[EPS]]&lt;&gt;0,Main_S[[#This Row],[Current Price]]/Main_S[[#This Row],[EPS]],""),"")</f>
        <v>4.5092592592592586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-0.16008408846230129</v>
      </c>
      <c r="P82" s="1">
        <f>(Main_S[[#This Row],[P/B]]-VLOOKUP(Main_S[[#This Row],[Industry]], Mean_PB_S, 2, FALSE))/(VLOOKUP(Main_S[[#This Row],[Industry]], Mean_PB_S, 3, FALSE))</f>
        <v>0.53257615206895836</v>
      </c>
      <c r="Q82" s="1">
        <f>(Main_S[[#This Row],[ROE]]-VLOOKUP(Main_S[[#This Row],[Industry]], Mean_ROE_S, 2, FALSE))/(VLOOKUP(Main_S[[#This Row],[Industry]], Mean_ROE_S, 3, FALSE))</f>
        <v>0.75611258960968952</v>
      </c>
      <c r="R82" s="1">
        <f>(Main_S[[#This Row],[ROA]]-VLOOKUP(Main_S[[#This Row],[Industry]], Mean_ROA_S, 2, FALSE))/(VLOOKUP(Main_S[[#This Row],[Industry]], Mean_ROA_S, 3, FALSE))</f>
        <v>-6.3104279415314976E-2</v>
      </c>
      <c r="S82" s="1">
        <f>(Main_S[[#This Row],[A/E]]-VLOOKUP(Main_S[[#This Row],[Industry]], Mean_AE_S, 2, FALSE))/(VLOOKUP(Main_S[[#This Row],[Industry]], Mean_AE_S, 3, FALSE))</f>
        <v>10.074956402178836</v>
      </c>
      <c r="T82" s="1">
        <f>(Main_S[[#This Row],[P/E]]-VLOOKUP(Main_S[[#This Row],[Industry]], Mean_PE_S, 2, FALSE))/(VLOOKUP(Main_S[[#This Row],[Industry]], Mean_PE_S, 3, FALSE))</f>
        <v>-6.5275527215380375E-3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s="67" t="s">
        <v>107</v>
      </c>
      <c r="B83" s="67" t="s">
        <v>271</v>
      </c>
      <c r="C83" s="2">
        <v>1860</v>
      </c>
      <c r="D83">
        <f>RTD("tos.rtd", , "LAST", Main_S[[#This Row],[Symbol]])</f>
        <v>11.29</v>
      </c>
      <c r="E83">
        <v>1.05</v>
      </c>
      <c r="F83">
        <v>6.58</v>
      </c>
      <c r="G83">
        <v>1.1000000000000001</v>
      </c>
      <c r="H83" s="1">
        <f>IF(ISNUMBER(Main_S[[#This Row],[Free CF]]),IF(Main_S[[#This Row],[Free CF]]&lt;&gt;0,Main_S[[#This Row],[Current Price]]/Main_S[[#This Row],[Free CF]],""),"")</f>
        <v>10.752380952380951</v>
      </c>
      <c r="I83" s="1">
        <f>IF(ISNUMBER(Main_S[[#This Row],[BVPS]]),IF(Main_S[[#This Row],[BVPS]]&lt;&gt;0,Main_S[[#This Row],[Current Price]]/Main_S[[#This Row],[BVPS]],""),"")</f>
        <v>1.71580547112462</v>
      </c>
      <c r="J83">
        <v>16.95</v>
      </c>
      <c r="K83">
        <v>7.52</v>
      </c>
      <c r="L83">
        <v>1.38</v>
      </c>
      <c r="M83" s="1">
        <f>IF(ISNUMBER(Main_S[[#This Row],[EPS]]),IF(Main_S[[#This Row],[EPS]]&lt;&gt;0,Main_S[[#This Row],[Current Price]]/Main_S[[#This Row],[EPS]],""),"")</f>
        <v>10.263636363636362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1.0458380683340647</v>
      </c>
      <c r="P83" s="1">
        <f>(Main_S[[#This Row],[P/B]]-VLOOKUP(Main_S[[#This Row],[Industry]], Mean_PB_S, 2, FALSE))/(VLOOKUP(Main_S[[#This Row],[Industry]], Mean_PB_S, 3, FALSE))</f>
        <v>0.94029189001509339</v>
      </c>
      <c r="Q83" s="1">
        <f>(Main_S[[#This Row],[ROE]]-VLOOKUP(Main_S[[#This Row],[Industry]], Mean_ROE_S, 2, FALSE))/(VLOOKUP(Main_S[[#This Row],[Industry]], Mean_ROE_S, 3, FALSE))</f>
        <v>0.68066522165380761</v>
      </c>
      <c r="R83" s="1">
        <f>(Main_S[[#This Row],[ROA]]-VLOOKUP(Main_S[[#This Row],[Industry]], Mean_ROA_S, 2, FALSE))/(VLOOKUP(Main_S[[#This Row],[Industry]], Mean_ROA_S, 3, FALSE))</f>
        <v>0.73134999853078486</v>
      </c>
      <c r="S83" s="1">
        <f>(Main_S[[#This Row],[A/E]]-VLOOKUP(Main_S[[#This Row],[Industry]], Mean_AE_S, 2, FALSE))/(VLOOKUP(Main_S[[#This Row],[Industry]], Mean_AE_S, 3, FALSE))</f>
        <v>-0.65267861184474119</v>
      </c>
      <c r="T83" s="1">
        <f>(Main_S[[#This Row],[P/E]]-VLOOKUP(Main_S[[#This Row],[Industry]], Mean_PE_S, 2, FALSE))/(VLOOKUP(Main_S[[#This Row],[Industry]], Mean_PE_S, 3, FALSE))</f>
        <v>0.53076231228493775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7" t="s">
        <v>107</v>
      </c>
      <c r="B84" s="67" t="s">
        <v>281</v>
      </c>
      <c r="C84" s="2">
        <v>683</v>
      </c>
      <c r="D84">
        <f>RTD("tos.rtd", , "LAST", Main_S[[#This Row],[Symbol]])</f>
        <v>2.88</v>
      </c>
      <c r="E84">
        <v>-9.35</v>
      </c>
      <c r="F84">
        <v>6.39</v>
      </c>
      <c r="G84">
        <v>-2.3199999999999998</v>
      </c>
      <c r="H84" s="1">
        <f>IF(ISNUMBER(Main_S[[#This Row],[Free CF]]),IF(Main_S[[#This Row],[Free CF]]&lt;&gt;0,Main_S[[#This Row],[Current Price]]/Main_S[[#This Row],[Free CF]],""),"")</f>
        <v>-0.30802139037433157</v>
      </c>
      <c r="I84" s="1">
        <f>IF(ISNUMBER(Main_S[[#This Row],[BVPS]]),IF(Main_S[[#This Row],[BVPS]]&lt;&gt;0,Main_S[[#This Row],[Current Price]]/Main_S[[#This Row],[BVPS]],""),"")</f>
        <v>0.45070422535211269</v>
      </c>
      <c r="J84">
        <v>-26.07</v>
      </c>
      <c r="K84">
        <v>1.91</v>
      </c>
      <c r="L84">
        <v>7.45</v>
      </c>
      <c r="M84" s="1">
        <f>IF(ISNUMBER(Main_S[[#This Row],[EPS]]),IF(Main_S[[#This Row],[EPS]]&lt;&gt;0,Main_S[[#This Row],[Current Price]]/Main_S[[#This Row],[EPS]],""),"")</f>
        <v>-1.2413793103448276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9.3273449395130017E-4</v>
      </c>
      <c r="P84" s="1">
        <f>(Main_S[[#This Row],[P/B]]-VLOOKUP(Main_S[[#This Row],[Industry]], Mean_PB_S, 2, FALSE))/(VLOOKUP(Main_S[[#This Row],[Industry]], Mean_PB_S, 3, FALSE))</f>
        <v>-1.2286872462499083</v>
      </c>
      <c r="Q84" s="1">
        <f>(Main_S[[#This Row],[ROE]]-VLOOKUP(Main_S[[#This Row],[Industry]], Mean_ROE_S, 2, FALSE))/(VLOOKUP(Main_S[[#This Row],[Industry]], Mean_ROE_S, 3, FALSE))</f>
        <v>-1.8550736607384097</v>
      </c>
      <c r="R84" s="1">
        <f>(Main_S[[#This Row],[ROA]]-VLOOKUP(Main_S[[#This Row],[Industry]], Mean_ROA_S, 2, FALSE))/(VLOOKUP(Main_S[[#This Row],[Industry]], Mean_ROA_S, 3, FALSE))</f>
        <v>-0.34259903743972608</v>
      </c>
      <c r="S84" s="1">
        <f>(Main_S[[#This Row],[A/E]]-VLOOKUP(Main_S[[#This Row],[Industry]], Mean_AE_S, 2, FALSE))/(VLOOKUP(Main_S[[#This Row],[Industry]], Mean_AE_S, 3, FALSE))</f>
        <v>12.241726246595482</v>
      </c>
      <c r="T84" s="1">
        <f>(Main_S[[#This Row],[P/E]]-VLOOKUP(Main_S[[#This Row],[Industry]], Mean_PE_S, 2, FALSE))/(VLOOKUP(Main_S[[#This Row],[Industry]], Mean_PE_S, 3, FALSE))</f>
        <v>-0.5434683483488123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s="67" t="s">
        <v>107</v>
      </c>
      <c r="B85" s="67" t="s">
        <v>244</v>
      </c>
      <c r="C85" s="2">
        <v>1223</v>
      </c>
      <c r="D85">
        <f>RTD("tos.rtd", , "LAST", Main_S[[#This Row],[Symbol]])</f>
        <v>13.61</v>
      </c>
      <c r="E85">
        <v>3.03</v>
      </c>
      <c r="F85">
        <v>6.37</v>
      </c>
      <c r="G85">
        <v>7.0000000000000007E-2</v>
      </c>
      <c r="H85" s="1">
        <f>IF(ISNUMBER(Main_S[[#This Row],[Free CF]]),IF(Main_S[[#This Row],[Free CF]]&lt;&gt;0,Main_S[[#This Row],[Current Price]]/Main_S[[#This Row],[Free CF]],""),"")</f>
        <v>4.4917491749174916</v>
      </c>
      <c r="I85" s="1">
        <f>IF(ISNUMBER(Main_S[[#This Row],[BVPS]]),IF(Main_S[[#This Row],[BVPS]]&lt;&gt;0,Main_S[[#This Row],[Current Price]]/Main_S[[#This Row],[BVPS]],""),"")</f>
        <v>2.1365777080062793</v>
      </c>
      <c r="J85">
        <v>2.77</v>
      </c>
      <c r="K85">
        <v>5.21</v>
      </c>
      <c r="L85">
        <v>2.23</v>
      </c>
      <c r="M85" s="1">
        <f>IF(ISNUMBER(Main_S[[#This Row],[EPS]]),IF(Main_S[[#This Row],[EPS]]&lt;&gt;0,Main_S[[#This Row],[Current Price]]/Main_S[[#This Row],[EPS]],""),"")</f>
        <v>194.42857142857139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0.4543796986694722</v>
      </c>
      <c r="P85" s="1">
        <f>(Main_S[[#This Row],[P/B]]-VLOOKUP(Main_S[[#This Row],[Industry]], Mean_PB_S, 2, FALSE))/(VLOOKUP(Main_S[[#This Row],[Industry]], Mean_PB_S, 3, FALSE))</f>
        <v>1.6616936007205367</v>
      </c>
      <c r="Q85" s="1">
        <f>(Main_S[[#This Row],[ROE]]-VLOOKUP(Main_S[[#This Row],[Industry]], Mean_ROE_S, 2, FALSE))/(VLOOKUP(Main_S[[#This Row],[Industry]], Mean_ROE_S, 3, FALSE))</f>
        <v>-0.15515015148244621</v>
      </c>
      <c r="R85" s="1">
        <f>(Main_S[[#This Row],[ROA]]-VLOOKUP(Main_S[[#This Row],[Industry]], Mean_ROA_S, 2, FALSE))/(VLOOKUP(Main_S[[#This Row],[Industry]], Mean_ROA_S, 3, FALSE))</f>
        <v>0.28913568960175096</v>
      </c>
      <c r="S85" s="1">
        <f>(Main_S[[#This Row],[A/E]]-VLOOKUP(Main_S[[#This Row],[Industry]], Mean_AE_S, 2, FALSE))/(VLOOKUP(Main_S[[#This Row],[Industry]], Mean_AE_S, 3, FALSE))</f>
        <v>1.1529629251691285</v>
      </c>
      <c r="T85" s="1">
        <f>(Main_S[[#This Row],[P/E]]-VLOOKUP(Main_S[[#This Row],[Industry]], Mean_PE_S, 2, FALSE))/(VLOOKUP(Main_S[[#This Row],[Industry]], Mean_PE_S, 3, FALSE))</f>
        <v>17.726359907843705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6" spans="1:26" x14ac:dyDescent="0.25">
      <c r="A86" s="67" t="s">
        <v>107</v>
      </c>
      <c r="B86" s="67" t="s">
        <v>330</v>
      </c>
      <c r="C86" s="2">
        <v>1288</v>
      </c>
      <c r="D86">
        <f>RTD("tos.rtd", , "LAST", Main_S[[#This Row],[Symbol]])</f>
        <v>5.13</v>
      </c>
      <c r="E86">
        <v>-7.0000000000000007E-2</v>
      </c>
      <c r="F86">
        <v>5.76</v>
      </c>
      <c r="G86">
        <v>0.35</v>
      </c>
      <c r="H86" s="1">
        <f>IF(ISNUMBER(Main_S[[#This Row],[Free CF]]),IF(Main_S[[#This Row],[Free CF]]&lt;&gt;0,Main_S[[#This Row],[Current Price]]/Main_S[[#This Row],[Free CF]],""),"")</f>
        <v>-73.285714285714278</v>
      </c>
      <c r="I86" s="1">
        <f>IF(ISNUMBER(Main_S[[#This Row],[BVPS]]),IF(Main_S[[#This Row],[BVPS]]&lt;&gt;0,Main_S[[#This Row],[Current Price]]/Main_S[[#This Row],[BVPS]],""),"")</f>
        <v>0.890625</v>
      </c>
      <c r="J86">
        <v>6.16</v>
      </c>
      <c r="K86">
        <v>4.1900000000000004</v>
      </c>
      <c r="L86">
        <v>1.56</v>
      </c>
      <c r="M86" s="1">
        <f>IF(ISNUMBER(Main_S[[#This Row],[EPS]]),IF(Main_S[[#This Row],[EPS]]&lt;&gt;0,Main_S[[#This Row],[Current Price]]/Main_S[[#This Row],[EPS]],""),"")</f>
        <v>14.657142857142858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-6.8934620799618171</v>
      </c>
      <c r="P86" s="1">
        <f>(Main_S[[#This Row],[P/B]]-VLOOKUP(Main_S[[#This Row],[Industry]], Mean_PB_S, 2, FALSE))/(VLOOKUP(Main_S[[#This Row],[Industry]], Mean_PB_S, 3, FALSE))</f>
        <v>-0.4744559268125807</v>
      </c>
      <c r="Q86" s="1">
        <f>(Main_S[[#This Row],[ROE]]-VLOOKUP(Main_S[[#This Row],[Industry]], Mean_ROE_S, 2, FALSE))/(VLOOKUP(Main_S[[#This Row],[Industry]], Mean_ROE_S, 3, FALSE))</f>
        <v>4.4667487088209688E-2</v>
      </c>
      <c r="R86" s="1">
        <f>(Main_S[[#This Row],[ROA]]-VLOOKUP(Main_S[[#This Row],[Industry]], Mean_ROA_S, 2, FALSE))/(VLOOKUP(Main_S[[#This Row],[Industry]], Mean_ROA_S, 3, FALSE))</f>
        <v>9.387222851620361E-2</v>
      </c>
      <c r="S86" s="1">
        <f>(Main_S[[#This Row],[A/E]]-VLOOKUP(Main_S[[#This Row],[Industry]], Mean_AE_S, 2, FALSE))/(VLOOKUP(Main_S[[#This Row],[Industry]], Mean_AE_S, 3, FALSE))</f>
        <v>-0.27030746283003909</v>
      </c>
      <c r="T86" s="1">
        <f>(Main_S[[#This Row],[P/E]]-VLOOKUP(Main_S[[#This Row],[Industry]], Mean_PE_S, 2, FALSE))/(VLOOKUP(Main_S[[#This Row],[Industry]], Mean_PE_S, 3, FALSE))</f>
        <v>0.9409868192964066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7" t="s">
        <v>107</v>
      </c>
      <c r="B87" s="67" t="s">
        <v>331</v>
      </c>
      <c r="C87" s="2">
        <v>258</v>
      </c>
      <c r="D87">
        <f>RTD("tos.rtd", , "LAST", Main_S[[#This Row],[Symbol]])</f>
        <v>6.75</v>
      </c>
      <c r="E87">
        <v>0.21</v>
      </c>
      <c r="F87">
        <v>5.42</v>
      </c>
      <c r="G87">
        <v>0.56999999999999995</v>
      </c>
      <c r="H87" s="1">
        <f>IF(ISNUMBER(Main_S[[#This Row],[Free CF]]),IF(Main_S[[#This Row],[Free CF]]&lt;&gt;0,Main_S[[#This Row],[Current Price]]/Main_S[[#This Row],[Free CF]],""),"")</f>
        <v>32.142857142857146</v>
      </c>
      <c r="I87" s="1">
        <f>IF(ISNUMBER(Main_S[[#This Row],[BVPS]]),IF(Main_S[[#This Row],[BVPS]]&lt;&gt;0,Main_S[[#This Row],[Current Price]]/Main_S[[#This Row],[BVPS]],""),"")</f>
        <v>1.2453874538745389</v>
      </c>
      <c r="J87">
        <v>11.12</v>
      </c>
      <c r="K87">
        <v>7.55</v>
      </c>
      <c r="L87">
        <v>1.3</v>
      </c>
      <c r="M87" s="1">
        <f>IF(ISNUMBER(Main_S[[#This Row],[EPS]]),IF(Main_S[[#This Row],[EPS]]&lt;&gt;0,Main_S[[#This Row],[Current Price]]/Main_S[[#This Row],[EPS]],""),"")</f>
        <v>11.842105263157896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3.0666526799696672</v>
      </c>
      <c r="P87" s="1">
        <f>(Main_S[[#This Row],[P/B]]-VLOOKUP(Main_S[[#This Row],[Industry]], Mean_PB_S, 2, FALSE))/(VLOOKUP(Main_S[[#This Row],[Industry]], Mean_PB_S, 3, FALSE))</f>
        <v>0.13377393886444489</v>
      </c>
      <c r="Q87" s="1">
        <f>(Main_S[[#This Row],[ROE]]-VLOOKUP(Main_S[[#This Row],[Industry]], Mean_ROE_S, 2, FALSE))/(VLOOKUP(Main_S[[#This Row],[Industry]], Mean_ROE_S, 3, FALSE))</f>
        <v>0.33702603791725189</v>
      </c>
      <c r="R87" s="1">
        <f>(Main_S[[#This Row],[ROA]]-VLOOKUP(Main_S[[#This Row],[Industry]], Mean_ROA_S, 2, FALSE))/(VLOOKUP(Main_S[[#This Row],[Industry]], Mean_ROA_S, 3, FALSE))</f>
        <v>0.73709304150388921</v>
      </c>
      <c r="S87" s="1">
        <f>(Main_S[[#This Row],[A/E]]-VLOOKUP(Main_S[[#This Row],[Industry]], Mean_AE_S, 2, FALSE))/(VLOOKUP(Main_S[[#This Row],[Industry]], Mean_AE_S, 3, FALSE))</f>
        <v>-0.82262134474016391</v>
      </c>
      <c r="T87" s="1">
        <f>(Main_S[[#This Row],[P/E]]-VLOOKUP(Main_S[[#This Row],[Industry]], Mean_PE_S, 2, FALSE))/(VLOOKUP(Main_S[[#This Row],[Industry]], Mean_PE_S, 3, FALSE))</f>
        <v>0.67814496145051584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7" t="s">
        <v>107</v>
      </c>
      <c r="B88" s="67" t="s">
        <v>333</v>
      </c>
      <c r="C88" s="2">
        <v>381</v>
      </c>
      <c r="D88">
        <f>RTD("tos.rtd", , "LAST", Main_S[[#This Row],[Symbol]])</f>
        <v>4.1449999999999996</v>
      </c>
      <c r="E88">
        <v>0.66</v>
      </c>
      <c r="F88">
        <v>5.1100000000000003</v>
      </c>
      <c r="G88">
        <v>-0.28999999999999998</v>
      </c>
      <c r="H88" s="1">
        <f>IF(ISNUMBER(Main_S[[#This Row],[Free CF]]),IF(Main_S[[#This Row],[Free CF]]&lt;&gt;0,Main_S[[#This Row],[Current Price]]/Main_S[[#This Row],[Free CF]],""),"")</f>
        <v>6.2803030303030294</v>
      </c>
      <c r="I88" s="1">
        <f>IF(ISNUMBER(Main_S[[#This Row],[BVPS]]),IF(Main_S[[#This Row],[BVPS]]&lt;&gt;0,Main_S[[#This Row],[Current Price]]/Main_S[[#This Row],[BVPS]],""),"")</f>
        <v>0.81115459882583152</v>
      </c>
      <c r="J88">
        <v>-5.35</v>
      </c>
      <c r="K88">
        <v>1.5</v>
      </c>
      <c r="L88">
        <v>1.89</v>
      </c>
      <c r="M88" s="1">
        <f>IF(ISNUMBER(Main_S[[#This Row],[EPS]]),IF(Main_S[[#This Row],[EPS]]&lt;&gt;0,Main_S[[#This Row],[Current Price]]/Main_S[[#This Row],[EPS]],""),"")</f>
        <v>-14.293103448275861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0.6233490910511863</v>
      </c>
      <c r="P88" s="1">
        <f>(Main_S[[#This Row],[P/B]]-VLOOKUP(Main_S[[#This Row],[Industry]], Mean_PB_S, 2, FALSE))/(VLOOKUP(Main_S[[#This Row],[Industry]], Mean_PB_S, 3, FALSE))</f>
        <v>-0.61070560854625666</v>
      </c>
      <c r="Q88" s="1">
        <f>(Main_S[[#This Row],[ROE]]-VLOOKUP(Main_S[[#This Row],[Industry]], Mean_ROE_S, 2, FALSE))/(VLOOKUP(Main_S[[#This Row],[Industry]], Mean_ROE_S, 3, FALSE))</f>
        <v>-0.63376939195257187</v>
      </c>
      <c r="R88" s="1">
        <f>(Main_S[[#This Row],[ROA]]-VLOOKUP(Main_S[[#This Row],[Industry]], Mean_ROA_S, 2, FALSE))/(VLOOKUP(Main_S[[#This Row],[Industry]], Mean_ROA_S, 3, FALSE))</f>
        <v>-0.42108729140548529</v>
      </c>
      <c r="S88" s="1">
        <f>(Main_S[[#This Row],[A/E]]-VLOOKUP(Main_S[[#This Row],[Industry]], Mean_AE_S, 2, FALSE))/(VLOOKUP(Main_S[[#This Row],[Industry]], Mean_AE_S, 3, FALSE))</f>
        <v>0.43070631036358054</v>
      </c>
      <c r="T88" s="1">
        <f>(Main_S[[#This Row],[P/E]]-VLOOKUP(Main_S[[#This Row],[Industry]], Mean_PE_S, 2, FALSE))/(VLOOKUP(Main_S[[#This Row],[Industry]], Mean_PE_S, 3, FALSE))</f>
        <v>-1.7621161659964564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7" t="s">
        <v>107</v>
      </c>
      <c r="B89" s="67" t="s">
        <v>334</v>
      </c>
      <c r="C89" s="2">
        <v>511</v>
      </c>
      <c r="D89">
        <f>RTD("tos.rtd", , "LAST", Main_S[[#This Row],[Symbol]])</f>
        <v>5.47</v>
      </c>
      <c r="E89">
        <v>0.83</v>
      </c>
      <c r="F89">
        <v>5.07</v>
      </c>
      <c r="G89">
        <v>2.16</v>
      </c>
      <c r="H89" s="1">
        <f>IF(ISNUMBER(Main_S[[#This Row],[Free CF]]),IF(Main_S[[#This Row],[Free CF]]&lt;&gt;0,Main_S[[#This Row],[Current Price]]/Main_S[[#This Row],[Free CF]],""),"")</f>
        <v>6.5903614457831328</v>
      </c>
      <c r="I89" s="1">
        <f>IF(ISNUMBER(Main_S[[#This Row],[BVPS]]),IF(Main_S[[#This Row],[BVPS]]&lt;&gt;0,Main_S[[#This Row],[Current Price]]/Main_S[[#This Row],[BVPS]],""),"")</f>
        <v>1.0788954635108481</v>
      </c>
      <c r="J89">
        <v>55.9</v>
      </c>
      <c r="K89">
        <v>18.96</v>
      </c>
      <c r="L89">
        <v>1.53</v>
      </c>
      <c r="M89" s="1">
        <f>IF(ISNUMBER(Main_S[[#This Row],[EPS]]),IF(Main_S[[#This Row],[EPS]]&lt;&gt;0,Main_S[[#This Row],[Current Price]]/Main_S[[#This Row],[EPS]],""),"")</f>
        <v>2.532407407407407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0.65264112601494029</v>
      </c>
      <c r="P89" s="1">
        <f>(Main_S[[#This Row],[P/B]]-VLOOKUP(Main_S[[#This Row],[Industry]], Mean_PB_S, 2, FALSE))/(VLOOKUP(Main_S[[#This Row],[Industry]], Mean_PB_S, 3, FALSE))</f>
        <v>-0.15167171590887737</v>
      </c>
      <c r="Q89" s="1">
        <f>(Main_S[[#This Row],[ROE]]-VLOOKUP(Main_S[[#This Row],[Industry]], Mean_ROE_S, 2, FALSE))/(VLOOKUP(Main_S[[#This Row],[Industry]], Mean_ROE_S, 3, FALSE))</f>
        <v>2.9765050512488065</v>
      </c>
      <c r="R89" s="1">
        <f>(Main_S[[#This Row],[ROA]]-VLOOKUP(Main_S[[#This Row],[Industry]], Mean_ROA_S, 2, FALSE))/(VLOOKUP(Main_S[[#This Row],[Industry]], Mean_ROA_S, 3, FALSE))</f>
        <v>2.9213637189412389</v>
      </c>
      <c r="S89" s="1">
        <f>(Main_S[[#This Row],[A/E]]-VLOOKUP(Main_S[[#This Row],[Industry]], Mean_AE_S, 2, FALSE))/(VLOOKUP(Main_S[[#This Row],[Industry]], Mean_AE_S, 3, FALSE))</f>
        <v>-0.33403598766582276</v>
      </c>
      <c r="T89" s="1">
        <f>(Main_S[[#This Row],[P/E]]-VLOOKUP(Main_S[[#This Row],[Industry]], Mean_PE_S, 2, FALSE))/(VLOOKUP(Main_S[[#This Row],[Industry]], Mean_PE_S, 3, FALSE))</f>
        <v>-0.19110747255532123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s="67" t="s">
        <v>107</v>
      </c>
      <c r="B90" s="67" t="s">
        <v>335</v>
      </c>
      <c r="C90" s="2">
        <v>358</v>
      </c>
      <c r="D90">
        <f>RTD("tos.rtd", , "LAST", Main_S[[#This Row],[Symbol]])</f>
        <v>7.73</v>
      </c>
      <c r="E90">
        <v>-0.52</v>
      </c>
      <c r="F90">
        <v>4.87</v>
      </c>
      <c r="G90">
        <v>-0.56000000000000005</v>
      </c>
      <c r="H90" s="1">
        <f>IF(ISNUMBER(Main_S[[#This Row],[Free CF]]),IF(Main_S[[#This Row],[Free CF]]&lt;&gt;0,Main_S[[#This Row],[Current Price]]/Main_S[[#This Row],[Free CF]],""),"")</f>
        <v>-14.865384615384615</v>
      </c>
      <c r="I90" s="1">
        <f>IF(ISNUMBER(Main_S[[#This Row],[BVPS]]),IF(Main_S[[#This Row],[BVPS]]&lt;&gt;0,Main_S[[#This Row],[Current Price]]/Main_S[[#This Row],[BVPS]],""),"")</f>
        <v>1.5872689938398359</v>
      </c>
      <c r="J90">
        <v>-9.66</v>
      </c>
      <c r="K90">
        <v>-2.85</v>
      </c>
      <c r="L90">
        <v>1.1000000000000001</v>
      </c>
      <c r="M90" s="1">
        <f>IF(ISNUMBER(Main_S[[#This Row],[EPS]]),IF(Main_S[[#This Row],[EPS]]&lt;&gt;0,Main_S[[#This Row],[Current Price]]/Main_S[[#This Row],[EPS]],""),"")</f>
        <v>-13.803571428571429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-1.3743397021751016</v>
      </c>
      <c r="P90" s="1">
        <f>(Main_S[[#This Row],[P/B]]-VLOOKUP(Main_S[[#This Row],[Industry]], Mean_PB_S, 2, FALSE))/(VLOOKUP(Main_S[[#This Row],[Industry]], Mean_PB_S, 3, FALSE))</f>
        <v>0.71991985385489021</v>
      </c>
      <c r="Q90" s="1">
        <f>(Main_S[[#This Row],[ROE]]-VLOOKUP(Main_S[[#This Row],[Industry]], Mean_ROE_S, 2, FALSE))/(VLOOKUP(Main_S[[#This Row],[Industry]], Mean_ROE_S, 3, FALSE))</f>
        <v>-0.88781482624151786</v>
      </c>
      <c r="R90" s="1">
        <f>(Main_S[[#This Row],[ROA]]-VLOOKUP(Main_S[[#This Row],[Industry]], Mean_ROA_S, 2, FALSE))/(VLOOKUP(Main_S[[#This Row],[Industry]], Mean_ROA_S, 3, FALSE))</f>
        <v>-1.2538285225056141</v>
      </c>
      <c r="S90" s="1">
        <f>(Main_S[[#This Row],[A/E]]-VLOOKUP(Main_S[[#This Row],[Industry]], Mean_AE_S, 2, FALSE))/(VLOOKUP(Main_S[[#This Row],[Industry]], Mean_AE_S, 3, FALSE))</f>
        <v>-1.2474781769787213</v>
      </c>
      <c r="T90" s="1">
        <f>(Main_S[[#This Row],[P/E]]-VLOOKUP(Main_S[[#This Row],[Industry]], Mean_PE_S, 2, FALSE))/(VLOOKUP(Main_S[[#This Row],[Industry]], Mean_PE_S, 3, FALSE))</f>
        <v>-1.7164082486993311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7" t="s">
        <v>107</v>
      </c>
      <c r="B91" s="67" t="s">
        <v>238</v>
      </c>
      <c r="C91" s="2">
        <v>333</v>
      </c>
      <c r="D91">
        <f>RTD("tos.rtd", , "LAST", Main_S[[#This Row],[Symbol]])</f>
        <v>3.56</v>
      </c>
      <c r="E91">
        <v>-0.2</v>
      </c>
      <c r="F91">
        <v>4.8600000000000003</v>
      </c>
      <c r="G91">
        <v>0.56000000000000005</v>
      </c>
      <c r="H91" s="1">
        <f>IF(ISNUMBER(Main_S[[#This Row],[Free CF]]),IF(Main_S[[#This Row],[Free CF]]&lt;&gt;0,Main_S[[#This Row],[Current Price]]/Main_S[[#This Row],[Free CF]],""),"")</f>
        <v>-17.8</v>
      </c>
      <c r="I91" s="1">
        <f>IF(ISNUMBER(Main_S[[#This Row],[BVPS]]),IF(Main_S[[#This Row],[BVPS]]&lt;&gt;0,Main_S[[#This Row],[Current Price]]/Main_S[[#This Row],[BVPS]],""),"")</f>
        <v>0.73251028806584362</v>
      </c>
      <c r="J91">
        <v>11.99</v>
      </c>
      <c r="K91">
        <v>9.4</v>
      </c>
      <c r="L91">
        <v>1.84</v>
      </c>
      <c r="M91" s="1">
        <f>IF(ISNUMBER(Main_S[[#This Row],[EPS]]),IF(Main_S[[#This Row],[EPS]]&lt;&gt;0,Main_S[[#This Row],[Current Price]]/Main_S[[#This Row],[EPS]],""),"")</f>
        <v>6.3571428571428568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-1.6515805450602075</v>
      </c>
      <c r="P91" s="1">
        <f>(Main_S[[#This Row],[P/B]]-VLOOKUP(Main_S[[#This Row],[Industry]], Mean_PB_S, 2, FALSE))/(VLOOKUP(Main_S[[#This Row],[Industry]], Mean_PB_S, 3, FALSE))</f>
        <v>-0.74553898239231209</v>
      </c>
      <c r="Q91" s="1">
        <f>(Main_S[[#This Row],[ROE]]-VLOOKUP(Main_S[[#This Row],[Industry]], Mean_ROE_S, 2, FALSE))/(VLOOKUP(Main_S[[#This Row],[Industry]], Mean_ROE_S, 3, FALSE))</f>
        <v>0.38830667082476539</v>
      </c>
      <c r="R91" s="1">
        <f>(Main_S[[#This Row],[ROA]]-VLOOKUP(Main_S[[#This Row],[Industry]], Mean_ROA_S, 2, FALSE))/(VLOOKUP(Main_S[[#This Row],[Industry]], Mean_ROA_S, 3, FALSE))</f>
        <v>1.0912473581786568</v>
      </c>
      <c r="S91" s="1">
        <f>(Main_S[[#This Row],[A/E]]-VLOOKUP(Main_S[[#This Row],[Industry]], Mean_AE_S, 2, FALSE))/(VLOOKUP(Main_S[[#This Row],[Industry]], Mean_AE_S, 3, FALSE))</f>
        <v>0.32449210230394154</v>
      </c>
      <c r="T91" s="1">
        <f>(Main_S[[#This Row],[P/E]]-VLOOKUP(Main_S[[#This Row],[Industry]], Mean_PE_S, 2, FALSE))/(VLOOKUP(Main_S[[#This Row],[Industry]], Mean_PE_S, 3, FALSE))</f>
        <v>0.16601051887952933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7" t="s">
        <v>107</v>
      </c>
      <c r="B92" s="67" t="s">
        <v>241</v>
      </c>
      <c r="C92" s="2">
        <v>737</v>
      </c>
      <c r="D92">
        <f>RTD("tos.rtd", , "LAST", Main_S[[#This Row],[Symbol]])</f>
        <v>5.82</v>
      </c>
      <c r="E92">
        <v>-0.71</v>
      </c>
      <c r="F92">
        <v>4.8099999999999996</v>
      </c>
      <c r="G92">
        <v>0.09</v>
      </c>
      <c r="H92" s="1">
        <f>IF(ISNUMBER(Main_S[[#This Row],[Free CF]]),IF(Main_S[[#This Row],[Free CF]]&lt;&gt;0,Main_S[[#This Row],[Current Price]]/Main_S[[#This Row],[Free CF]],""),"")</f>
        <v>-8.1971830985915499</v>
      </c>
      <c r="I92" s="1">
        <f>IF(ISNUMBER(Main_S[[#This Row],[BVPS]]),IF(Main_S[[#This Row],[BVPS]]&lt;&gt;0,Main_S[[#This Row],[Current Price]]/Main_S[[#This Row],[BVPS]],""),"")</f>
        <v>1.2099792099792102</v>
      </c>
      <c r="J92">
        <v>1.89</v>
      </c>
      <c r="K92">
        <v>6.37</v>
      </c>
      <c r="L92">
        <v>1.72</v>
      </c>
      <c r="M92" s="1">
        <f>IF(ISNUMBER(Main_S[[#This Row],[EPS]]),IF(Main_S[[#This Row],[EPS]]&lt;&gt;0,Main_S[[#This Row],[Current Price]]/Main_S[[#This Row],[EPS]],""),"")</f>
        <v>64.666666666666671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-0.74437714601350702</v>
      </c>
      <c r="P92" s="1">
        <f>(Main_S[[#This Row],[P/B]]-VLOOKUP(Main_S[[#This Row],[Industry]], Mean_PB_S, 2, FALSE))/(VLOOKUP(Main_S[[#This Row],[Industry]], Mean_PB_S, 3, FALSE))</f>
        <v>7.306753886888212E-2</v>
      </c>
      <c r="Q92" s="1">
        <f>(Main_S[[#This Row],[ROE]]-VLOOKUP(Main_S[[#This Row],[Industry]], Mean_ROE_S, 2, FALSE))/(VLOOKUP(Main_S[[#This Row],[Industry]], Mean_ROE_S, 3, FALSE))</f>
        <v>-0.20702021695211503</v>
      </c>
      <c r="R92" s="1">
        <f>(Main_S[[#This Row],[ROA]]-VLOOKUP(Main_S[[#This Row],[Industry]], Mean_ROA_S, 2, FALSE))/(VLOOKUP(Main_S[[#This Row],[Industry]], Mean_ROA_S, 3, FALSE))</f>
        <v>0.51120001789511871</v>
      </c>
      <c r="S92" s="1">
        <f>(Main_S[[#This Row],[A/E]]-VLOOKUP(Main_S[[#This Row],[Industry]], Mean_AE_S, 2, FALSE))/(VLOOKUP(Main_S[[#This Row],[Industry]], Mean_AE_S, 3, FALSE))</f>
        <v>6.9578002960806781E-2</v>
      </c>
      <c r="T92" s="1">
        <f>(Main_S[[#This Row],[P/E]]-VLOOKUP(Main_S[[#This Row],[Industry]], Mean_PE_S, 2, FALSE))/(VLOOKUP(Main_S[[#This Row],[Industry]], Mean_PE_S, 3, FALSE))</f>
        <v>5.6104079936957429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3" spans="1:26" x14ac:dyDescent="0.25">
      <c r="A93" s="67" t="s">
        <v>107</v>
      </c>
      <c r="B93" s="67" t="s">
        <v>336</v>
      </c>
      <c r="C93" s="2">
        <v>1459</v>
      </c>
      <c r="D93">
        <f>RTD("tos.rtd", , "LAST", Main_S[[#This Row],[Symbol]])</f>
        <v>9.1449999999999996</v>
      </c>
      <c r="E93">
        <v>-0.32</v>
      </c>
      <c r="F93">
        <v>4.63</v>
      </c>
      <c r="G93">
        <v>0.68</v>
      </c>
      <c r="H93" s="1">
        <f>IF(ISNUMBER(Main_S[[#This Row],[Free CF]]),IF(Main_S[[#This Row],[Free CF]]&lt;&gt;0,Main_S[[#This Row],[Current Price]]/Main_S[[#This Row],[Free CF]],""),"")</f>
        <v>-28.578124999999996</v>
      </c>
      <c r="I93" s="1">
        <f>IF(ISNUMBER(Main_S[[#This Row],[BVPS]]),IF(Main_S[[#This Row],[BVPS]]&lt;&gt;0,Main_S[[#This Row],[Current Price]]/Main_S[[#This Row],[BVPS]],""),"")</f>
        <v>1.9751619870410366</v>
      </c>
      <c r="J93">
        <v>15.16</v>
      </c>
      <c r="K93">
        <v>8.89</v>
      </c>
      <c r="L93">
        <v>1.35</v>
      </c>
      <c r="M93" s="1">
        <f>IF(ISNUMBER(Main_S[[#This Row],[EPS]]),IF(Main_S[[#This Row],[EPS]]&lt;&gt;0,Main_S[[#This Row],[Current Price]]/Main_S[[#This Row],[EPS]],""),"")</f>
        <v>13.448529411764705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-2.6698183950306755</v>
      </c>
      <c r="P93" s="1">
        <f>(Main_S[[#This Row],[P/B]]-VLOOKUP(Main_S[[#This Row],[Industry]], Mean_PB_S, 2, FALSE))/(VLOOKUP(Main_S[[#This Row],[Industry]], Mean_PB_S, 3, FALSE))</f>
        <v>1.3849510615690563</v>
      </c>
      <c r="Q93" s="1">
        <f>(Main_S[[#This Row],[ROE]]-VLOOKUP(Main_S[[#This Row],[Industry]], Mean_ROE_S, 2, FALSE))/(VLOOKUP(Main_S[[#This Row],[Industry]], Mean_ROE_S, 3, FALSE))</f>
        <v>0.57515679302800415</v>
      </c>
      <c r="R93" s="1">
        <f>(Main_S[[#This Row],[ROA]]-VLOOKUP(Main_S[[#This Row],[Industry]], Mean_ROA_S, 2, FALSE))/(VLOOKUP(Main_S[[#This Row],[Industry]], Mean_ROA_S, 3, FALSE))</f>
        <v>0.99361562763588318</v>
      </c>
      <c r="S93" s="1">
        <f>(Main_S[[#This Row],[A/E]]-VLOOKUP(Main_S[[#This Row],[Industry]], Mean_AE_S, 2, FALSE))/(VLOOKUP(Main_S[[#This Row],[Industry]], Mean_AE_S, 3, FALSE))</f>
        <v>-0.71640713668052447</v>
      </c>
      <c r="T93" s="1">
        <f>(Main_S[[#This Row],[P/E]]-VLOOKUP(Main_S[[#This Row],[Industry]], Mean_PE_S, 2, FALSE))/(VLOOKUP(Main_S[[#This Row],[Industry]], Mean_PE_S, 3, FALSE))</f>
        <v>0.82813781007553222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s="67" t="s">
        <v>107</v>
      </c>
      <c r="B94" s="67" t="s">
        <v>240</v>
      </c>
      <c r="C94" s="2">
        <v>322</v>
      </c>
      <c r="D94">
        <f>RTD("tos.rtd", , "LAST", Main_S[[#This Row],[Symbol]])</f>
        <v>6.92</v>
      </c>
      <c r="E94">
        <v>2.69</v>
      </c>
      <c r="F94">
        <v>4.1100000000000003</v>
      </c>
      <c r="G94">
        <v>1.51</v>
      </c>
      <c r="H94" s="1">
        <f>IF(ISNUMBER(Main_S[[#This Row],[Free CF]]),IF(Main_S[[#This Row],[Free CF]]&lt;&gt;0,Main_S[[#This Row],[Current Price]]/Main_S[[#This Row],[Free CF]],""),"")</f>
        <v>2.5724907063197024</v>
      </c>
      <c r="I94" s="1">
        <f>IF(ISNUMBER(Main_S[[#This Row],[BVPS]]),IF(Main_S[[#This Row],[BVPS]]&lt;&gt;0,Main_S[[#This Row],[Current Price]]/Main_S[[#This Row],[BVPS]],""),"")</f>
        <v>1.6836982968369829</v>
      </c>
      <c r="J94">
        <v>38.79</v>
      </c>
      <c r="K94">
        <v>13.25</v>
      </c>
      <c r="L94">
        <v>5.69</v>
      </c>
      <c r="M94" s="1">
        <f>IF(ISNUMBER(Main_S[[#This Row],[EPS]]),IF(Main_S[[#This Row],[EPS]]&lt;&gt;0,Main_S[[#This Row],[Current Price]]/Main_S[[#This Row],[EPS]],""),"")</f>
        <v>4.5827814569536427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0.27306229730303538</v>
      </c>
      <c r="P94" s="1">
        <f>(Main_S[[#This Row],[P/B]]-VLOOKUP(Main_S[[#This Row],[Industry]], Mean_PB_S, 2, FALSE))/(VLOOKUP(Main_S[[#This Row],[Industry]], Mean_PB_S, 3, FALSE))</f>
        <v>0.8852450774481001</v>
      </c>
      <c r="Q94" s="1">
        <f>(Main_S[[#This Row],[ROE]]-VLOOKUP(Main_S[[#This Row],[Industry]], Mean_ROE_S, 2, FALSE))/(VLOOKUP(Main_S[[#This Row],[Industry]], Mean_ROE_S, 3, FALSE))</f>
        <v>1.967985937401042</v>
      </c>
      <c r="R94" s="1">
        <f>(Main_S[[#This Row],[ROA]]-VLOOKUP(Main_S[[#This Row],[Industry]], Mean_ROA_S, 2, FALSE))/(VLOOKUP(Main_S[[#This Row],[Industry]], Mean_ROA_S, 3, FALSE))</f>
        <v>1.8282712063937132</v>
      </c>
      <c r="S94" s="1">
        <f>(Main_S[[#This Row],[A/E]]-VLOOKUP(Main_S[[#This Row],[Industry]], Mean_AE_S, 2, FALSE))/(VLOOKUP(Main_S[[#This Row],[Industry]], Mean_AE_S, 3, FALSE))</f>
        <v>8.5029861228961749</v>
      </c>
      <c r="T94" s="1">
        <f>(Main_S[[#This Row],[P/E]]-VLOOKUP(Main_S[[#This Row],[Industry]], Mean_PE_S, 2, FALSE))/(VLOOKUP(Main_S[[#This Row],[Industry]], Mean_PE_S, 3, FALSE))</f>
        <v>3.3726182878871094E-4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7" t="s">
        <v>107</v>
      </c>
      <c r="B95" s="67" t="s">
        <v>337</v>
      </c>
      <c r="C95" s="2">
        <v>719</v>
      </c>
      <c r="D95">
        <f>RTD("tos.rtd", , "LAST", Main_S[[#This Row],[Symbol]])</f>
        <v>4.74</v>
      </c>
      <c r="E95">
        <v>0.22</v>
      </c>
      <c r="F95">
        <v>3.96</v>
      </c>
      <c r="G95">
        <v>0.49</v>
      </c>
      <c r="H95" s="1">
        <f>IF(ISNUMBER(Main_S[[#This Row],[Free CF]]),IF(Main_S[[#This Row],[Free CF]]&lt;&gt;0,Main_S[[#This Row],[Current Price]]/Main_S[[#This Row],[Free CF]],""),"")</f>
        <v>21.545454545454547</v>
      </c>
      <c r="I95" s="1">
        <f>IF(ISNUMBER(Main_S[[#This Row],[BVPS]]),IF(Main_S[[#This Row],[BVPS]]&lt;&gt;0,Main_S[[#This Row],[Current Price]]/Main_S[[#This Row],[BVPS]],""),"")</f>
        <v>1.196969696969697</v>
      </c>
      <c r="J95">
        <v>12.42</v>
      </c>
      <c r="K95">
        <v>7.44</v>
      </c>
      <c r="L95">
        <v>1.48</v>
      </c>
      <c r="M95" s="1">
        <f>IF(ISNUMBER(Main_S[[#This Row],[EPS]]),IF(Main_S[[#This Row],[EPS]]&lt;&gt;0,Main_S[[#This Row],[Current Price]]/Main_S[[#This Row],[EPS]],""),"")</f>
        <v>9.6734693877551035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2.0654881512551939</v>
      </c>
      <c r="P95" s="1">
        <f>(Main_S[[#This Row],[P/B]]-VLOOKUP(Main_S[[#This Row],[Industry]], Mean_PB_S, 2, FALSE))/(VLOOKUP(Main_S[[#This Row],[Industry]], Mean_PB_S, 3, FALSE))</f>
        <v>5.0763108780860364E-2</v>
      </c>
      <c r="Q95" s="1">
        <f>(Main_S[[#This Row],[ROE]]-VLOOKUP(Main_S[[#This Row],[Industry]], Mean_ROE_S, 2, FALSE))/(VLOOKUP(Main_S[[#This Row],[Industry]], Mean_ROE_S, 3, FALSE))</f>
        <v>0.41365227099744445</v>
      </c>
      <c r="R95" s="1">
        <f>(Main_S[[#This Row],[ROA]]-VLOOKUP(Main_S[[#This Row],[Industry]], Mean_ROA_S, 2, FALSE))/(VLOOKUP(Main_S[[#This Row],[Industry]], Mean_ROA_S, 3, FALSE))</f>
        <v>0.71603521726917341</v>
      </c>
      <c r="S95" s="1">
        <f>(Main_S[[#This Row],[A/E]]-VLOOKUP(Main_S[[#This Row],[Industry]], Mean_AE_S, 2, FALSE))/(VLOOKUP(Main_S[[#This Row],[Industry]], Mean_AE_S, 3, FALSE))</f>
        <v>-0.44025019572546226</v>
      </c>
      <c r="T95" s="1">
        <f>(Main_S[[#This Row],[P/E]]-VLOOKUP(Main_S[[#This Row],[Industry]], Mean_PE_S, 2, FALSE))/(VLOOKUP(Main_S[[#This Row],[Industry]], Mean_PE_S, 3, FALSE))</f>
        <v>0.47565804486365176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7" t="s">
        <v>107</v>
      </c>
      <c r="B96" s="67" t="s">
        <v>338</v>
      </c>
      <c r="C96" s="2">
        <v>989</v>
      </c>
      <c r="D96">
        <f>RTD("tos.rtd", , "LAST", Main_S[[#This Row],[Symbol]])</f>
        <v>5.202</v>
      </c>
      <c r="E96">
        <v>-0.44</v>
      </c>
      <c r="F96">
        <v>3.82</v>
      </c>
      <c r="G96">
        <v>0.18</v>
      </c>
      <c r="H96" s="1">
        <f>IF(ISNUMBER(Main_S[[#This Row],[Free CF]]),IF(Main_S[[#This Row],[Free CF]]&lt;&gt;0,Main_S[[#This Row],[Current Price]]/Main_S[[#This Row],[Free CF]],""),"")</f>
        <v>-11.822727272727272</v>
      </c>
      <c r="I96" s="1">
        <f>IF(ISNUMBER(Main_S[[#This Row],[BVPS]]),IF(Main_S[[#This Row],[BVPS]]&lt;&gt;0,Main_S[[#This Row],[Current Price]]/Main_S[[#This Row],[BVPS]],""),"")</f>
        <v>1.3617801047120419</v>
      </c>
      <c r="J96">
        <v>4.99</v>
      </c>
      <c r="K96">
        <v>3.53</v>
      </c>
      <c r="L96">
        <v>1.39</v>
      </c>
      <c r="M96" s="1">
        <f>IF(ISNUMBER(Main_S[[#This Row],[EPS]]),IF(Main_S[[#This Row],[EPS]]&lt;&gt;0,Main_S[[#This Row],[Current Price]]/Main_S[[#This Row],[EPS]],""),"")</f>
        <v>28.900000000000002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-1.0868918510150649</v>
      </c>
      <c r="P96" s="1">
        <f>(Main_S[[#This Row],[P/B]]-VLOOKUP(Main_S[[#This Row],[Industry]], Mean_PB_S, 2, FALSE))/(VLOOKUP(Main_S[[#This Row],[Industry]], Mean_PB_S, 3, FALSE))</f>
        <v>0.3333257392636027</v>
      </c>
      <c r="Q96" s="1">
        <f>(Main_S[[#This Row],[ROE]]-VLOOKUP(Main_S[[#This Row],[Industry]], Mean_ROE_S, 2, FALSE))/(VLOOKUP(Main_S[[#This Row],[Industry]], Mean_ROE_S, 3, FALSE))</f>
        <v>-2.4296122683963584E-2</v>
      </c>
      <c r="R96" s="1">
        <f>(Main_S[[#This Row],[ROA]]-VLOOKUP(Main_S[[#This Row],[Industry]], Mean_ROA_S, 2, FALSE))/(VLOOKUP(Main_S[[#This Row],[Industry]], Mean_ROA_S, 3, FALSE))</f>
        <v>-3.2474716892091908E-2</v>
      </c>
      <c r="S96" s="1">
        <f>(Main_S[[#This Row],[A/E]]-VLOOKUP(Main_S[[#This Row],[Industry]], Mean_AE_S, 2, FALSE))/(VLOOKUP(Main_S[[#This Row],[Industry]], Mean_AE_S, 3, FALSE))</f>
        <v>-0.63143577023281328</v>
      </c>
      <c r="T96" s="1">
        <f>(Main_S[[#This Row],[P/E]]-VLOOKUP(Main_S[[#This Row],[Industry]], Mean_PE_S, 2, FALSE))/(VLOOKUP(Main_S[[#This Row],[Industry]], Mean_PE_S, 3, FALSE))</f>
        <v>2.2708514862768312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7" t="s">
        <v>107</v>
      </c>
      <c r="B97" s="67" t="s">
        <v>234</v>
      </c>
      <c r="C97" s="2">
        <v>1237</v>
      </c>
      <c r="D97">
        <f>RTD("tos.rtd", , "LAST", Main_S[[#This Row],[Symbol]])</f>
        <v>1.83</v>
      </c>
      <c r="E97">
        <v>0.6</v>
      </c>
      <c r="F97">
        <v>3.79</v>
      </c>
      <c r="G97">
        <v>0.28000000000000003</v>
      </c>
      <c r="H97" s="1">
        <f>IF(ISNUMBER(Main_S[[#This Row],[Free CF]]),IF(Main_S[[#This Row],[Free CF]]&lt;&gt;0,Main_S[[#This Row],[Current Price]]/Main_S[[#This Row],[Free CF]],""),"")</f>
        <v>3.0500000000000003</v>
      </c>
      <c r="I97" s="1">
        <f>IF(ISNUMBER(Main_S[[#This Row],[BVPS]]),IF(Main_S[[#This Row],[BVPS]]&lt;&gt;0,Main_S[[#This Row],[Current Price]]/Main_S[[#This Row],[BVPS]],""),"")</f>
        <v>0.48284960422163592</v>
      </c>
      <c r="J97">
        <v>7.9</v>
      </c>
      <c r="K97">
        <v>6.52</v>
      </c>
      <c r="L97">
        <v>1.86</v>
      </c>
      <c r="M97" s="1">
        <f>IF(ISNUMBER(Main_S[[#This Row],[EPS]]),IF(Main_S[[#This Row],[EPS]]&lt;&gt;0,Main_S[[#This Row],[Current Price]]/Main_S[[#This Row],[EPS]],""),"")</f>
        <v>6.5357142857142856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0.31817385766608031</v>
      </c>
      <c r="P97" s="1">
        <f>(Main_S[[#This Row],[P/B]]-VLOOKUP(Main_S[[#This Row],[Industry]], Mean_PB_S, 2, FALSE))/(VLOOKUP(Main_S[[#This Row],[Industry]], Mean_PB_S, 3, FALSE))</f>
        <v>-1.1735749330431064</v>
      </c>
      <c r="Q97" s="1">
        <f>(Main_S[[#This Row],[ROE]]-VLOOKUP(Main_S[[#This Row],[Industry]], Mean_ROE_S, 2, FALSE))/(VLOOKUP(Main_S[[#This Row],[Industry]], Mean_ROE_S, 3, FALSE))</f>
        <v>0.14722875290323661</v>
      </c>
      <c r="R97" s="1">
        <f>(Main_S[[#This Row],[ROA]]-VLOOKUP(Main_S[[#This Row],[Industry]], Mean_ROA_S, 2, FALSE))/(VLOOKUP(Main_S[[#This Row],[Industry]], Mean_ROA_S, 3, FALSE))</f>
        <v>0.53991523276064024</v>
      </c>
      <c r="S97" s="1">
        <f>(Main_S[[#This Row],[A/E]]-VLOOKUP(Main_S[[#This Row],[Industry]], Mean_AE_S, 2, FALSE))/(VLOOKUP(Main_S[[#This Row],[Industry]], Mean_AE_S, 3, FALSE))</f>
        <v>0.36697778552779731</v>
      </c>
      <c r="T97" s="1">
        <f>(Main_S[[#This Row],[P/E]]-VLOOKUP(Main_S[[#This Row],[Industry]], Mean_PE_S, 2, FALSE))/(VLOOKUP(Main_S[[#This Row],[Industry]], Mean_PE_S, 3, FALSE))</f>
        <v>0.18268384720175132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7" t="s">
        <v>107</v>
      </c>
      <c r="B98" s="67" t="s">
        <v>340</v>
      </c>
      <c r="C98" s="2">
        <v>1615</v>
      </c>
      <c r="D98">
        <f>RTD("tos.rtd", , "LAST", Main_S[[#This Row],[Symbol]])</f>
        <v>3.3835820000000001</v>
      </c>
      <c r="E98">
        <v>0.52</v>
      </c>
      <c r="F98">
        <v>2.88</v>
      </c>
      <c r="G98">
        <v>0.33</v>
      </c>
      <c r="H98" s="1">
        <f>IF(ISNUMBER(Main_S[[#This Row],[Free CF]]),IF(Main_S[[#This Row],[Free CF]]&lt;&gt;0,Main_S[[#This Row],[Current Price]]/Main_S[[#This Row],[Free CF]],""),"")</f>
        <v>6.5068884615384617</v>
      </c>
      <c r="I98" s="1">
        <f>IF(ISNUMBER(Main_S[[#This Row],[BVPS]]),IF(Main_S[[#This Row],[BVPS]]&lt;&gt;0,Main_S[[#This Row],[Current Price]]/Main_S[[#This Row],[BVPS]],""),"")</f>
        <v>1.1748548611111111</v>
      </c>
      <c r="J98">
        <v>12.32</v>
      </c>
      <c r="K98">
        <v>7.28</v>
      </c>
      <c r="L98">
        <v>1.89</v>
      </c>
      <c r="M98" s="1">
        <f>IF(ISNUMBER(Main_S[[#This Row],[EPS]]),IF(Main_S[[#This Row],[EPS]]&lt;&gt;0,Main_S[[#This Row],[Current Price]]/Main_S[[#This Row],[EPS]],""),"")</f>
        <v>10.253278787878788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0.6447552133902571</v>
      </c>
      <c r="P98" s="1">
        <f>(Main_S[[#This Row],[P/B]]-VLOOKUP(Main_S[[#This Row],[Industry]], Mean_PB_S, 2, FALSE))/(VLOOKUP(Main_S[[#This Row],[Industry]], Mean_PB_S, 3, FALSE))</f>
        <v>1.284786860582752E-2</v>
      </c>
      <c r="Q98" s="1">
        <f>(Main_S[[#This Row],[ROE]]-VLOOKUP(Main_S[[#This Row],[Industry]], Mean_ROE_S, 2, FALSE))/(VLOOKUP(Main_S[[#This Row],[Industry]], Mean_ROE_S, 3, FALSE))</f>
        <v>0.40775794537589122</v>
      </c>
      <c r="R98" s="1">
        <f>(Main_S[[#This Row],[ROA]]-VLOOKUP(Main_S[[#This Row],[Industry]], Mean_ROA_S, 2, FALSE))/(VLOOKUP(Main_S[[#This Row],[Industry]], Mean_ROA_S, 3, FALSE))</f>
        <v>0.68540565474595028</v>
      </c>
      <c r="S98" s="1">
        <f>(Main_S[[#This Row],[A/E]]-VLOOKUP(Main_S[[#This Row],[Industry]], Mean_AE_S, 2, FALSE))/(VLOOKUP(Main_S[[#This Row],[Industry]], Mean_AE_S, 3, FALSE))</f>
        <v>0.43070631036358054</v>
      </c>
      <c r="T98" s="1">
        <f>(Main_S[[#This Row],[P/E]]-VLOOKUP(Main_S[[#This Row],[Industry]], Mean_PE_S, 2, FALSE))/(VLOOKUP(Main_S[[#This Row],[Industry]], Mean_PE_S, 3, FALSE))</f>
        <v>0.52979521882205927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7" t="s">
        <v>107</v>
      </c>
      <c r="B99" s="67" t="s">
        <v>297</v>
      </c>
      <c r="C99" s="2">
        <v>1060</v>
      </c>
      <c r="D99">
        <f>RTD("tos.rtd", , "LAST", Main_S[[#This Row],[Symbol]])</f>
        <v>5.65</v>
      </c>
      <c r="E99">
        <v>-0.56999999999999995</v>
      </c>
      <c r="F99">
        <v>2.7</v>
      </c>
      <c r="G99">
        <v>-0.43</v>
      </c>
      <c r="H99" s="1">
        <f>IF(ISNUMBER(Main_S[[#This Row],[Free CF]]),IF(Main_S[[#This Row],[Free CF]]&lt;&gt;0,Main_S[[#This Row],[Current Price]]/Main_S[[#This Row],[Free CF]],""),"")</f>
        <v>-9.912280701754387</v>
      </c>
      <c r="I99" s="1">
        <f>IF(ISNUMBER(Main_S[[#This Row],[BVPS]]),IF(Main_S[[#This Row],[BVPS]]&lt;&gt;0,Main_S[[#This Row],[Current Price]]/Main_S[[#This Row],[BVPS]],""),"")</f>
        <v>2.0925925925925926</v>
      </c>
      <c r="J99">
        <v>-15.99</v>
      </c>
      <c r="K99">
        <v>-7.74</v>
      </c>
      <c r="L99">
        <v>1.1200000000000001</v>
      </c>
      <c r="M99" s="1">
        <f>IF(ISNUMBER(Main_S[[#This Row],[EPS]]),IF(Main_S[[#This Row],[EPS]]&lt;&gt;0,Main_S[[#This Row],[Current Price]]/Main_S[[#This Row],[EPS]],""),"")</f>
        <v>-13.13953488372093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-0.90640693282095552</v>
      </c>
      <c r="P99" s="1">
        <f>(Main_S[[#This Row],[P/B]]-VLOOKUP(Main_S[[#This Row],[Industry]], Mean_PB_S, 2, FALSE))/(VLOOKUP(Main_S[[#This Row],[Industry]], Mean_PB_S, 3, FALSE))</f>
        <v>1.5862824050100788</v>
      </c>
      <c r="Q99" s="1">
        <f>(Main_S[[#This Row],[ROE]]-VLOOKUP(Main_S[[#This Row],[Industry]], Mean_ROE_S, 2, FALSE))/(VLOOKUP(Main_S[[#This Row],[Industry]], Mean_ROE_S, 3, FALSE))</f>
        <v>-1.26092563808584</v>
      </c>
      <c r="R99" s="1">
        <f>(Main_S[[#This Row],[ROA]]-VLOOKUP(Main_S[[#This Row],[Industry]], Mean_ROA_S, 2, FALSE))/(VLOOKUP(Main_S[[#This Row],[Industry]], Mean_ROA_S, 3, FALSE))</f>
        <v>-2.1899445271216211</v>
      </c>
      <c r="S99" s="1">
        <f>(Main_S[[#This Row],[A/E]]-VLOOKUP(Main_S[[#This Row],[Industry]], Mean_AE_S, 2, FALSE))/(VLOOKUP(Main_S[[#This Row],[Industry]], Mean_AE_S, 3, FALSE))</f>
        <v>-1.2049924937548655</v>
      </c>
      <c r="T99" s="1">
        <f>(Main_S[[#This Row],[P/E]]-VLOOKUP(Main_S[[#This Row],[Industry]], Mean_PE_S, 2, FALSE))/(VLOOKUP(Main_S[[#This Row],[Industry]], Mean_PE_S, 3, FALSE))</f>
        <v>-1.6544067324499518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s="67" t="s">
        <v>107</v>
      </c>
      <c r="B100" s="67" t="s">
        <v>292</v>
      </c>
      <c r="C100" s="2">
        <v>741</v>
      </c>
      <c r="D100">
        <f>RTD("tos.rtd", , "LAST", Main_S[[#This Row],[Symbol]])</f>
        <v>16.899999999999999</v>
      </c>
      <c r="E100">
        <v>0.91</v>
      </c>
      <c r="F100">
        <v>2.68</v>
      </c>
      <c r="G100">
        <v>-5.17</v>
      </c>
      <c r="H100" s="1">
        <f>IF(ISNUMBER(Main_S[[#This Row],[Free CF]]),IF(Main_S[[#This Row],[Free CF]]&lt;&gt;0,Main_S[[#This Row],[Current Price]]/Main_S[[#This Row],[Free CF]],""),"")</f>
        <v>18.571428571428569</v>
      </c>
      <c r="I100" s="1">
        <f>IF(ISNUMBER(Main_S[[#This Row],[BVPS]]),IF(Main_S[[#This Row],[BVPS]]&lt;&gt;0,Main_S[[#This Row],[Current Price]]/Main_S[[#This Row],[BVPS]],""),"")</f>
        <v>6.3059701492537306</v>
      </c>
      <c r="J100">
        <v>-107.44</v>
      </c>
      <c r="K100">
        <v>1.54</v>
      </c>
      <c r="L100">
        <v>3.17</v>
      </c>
      <c r="M100" s="1">
        <f>IF(ISNUMBER(Main_S[[#This Row],[EPS]]),IF(Main_S[[#This Row],[EPS]]&lt;&gt;0,Main_S[[#This Row],[Current Price]]/Main_S[[#This Row],[EPS]],""),"")</f>
        <v>-3.2688588007736943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1.7845240862115486</v>
      </c>
      <c r="P100" s="1">
        <f>(Main_S[[#This Row],[P/B]]-VLOOKUP(Main_S[[#This Row],[Industry]], Mean_PB_S, 2, FALSE))/(VLOOKUP(Main_S[[#This Row],[Industry]], Mean_PB_S, 3, FALSE))</f>
        <v>8.8099951664538061</v>
      </c>
      <c r="Q100" s="1">
        <f>(Main_S[[#This Row],[ROE]]-VLOOKUP(Main_S[[#This Row],[Industry]], Mean_ROE_S, 2, FALSE))/(VLOOKUP(Main_S[[#This Row],[Industry]], Mean_ROE_S, 3, FALSE))</f>
        <v>-6.6512864189963068</v>
      </c>
      <c r="R100" s="1">
        <f>(Main_S[[#This Row],[ROA]]-VLOOKUP(Main_S[[#This Row],[Industry]], Mean_ROA_S, 2, FALSE))/(VLOOKUP(Main_S[[#This Row],[Industry]], Mean_ROA_S, 3, FALSE))</f>
        <v>-0.4134299007746795</v>
      </c>
      <c r="S100" s="1">
        <f>(Main_S[[#This Row],[A/E]]-VLOOKUP(Main_S[[#This Row],[Industry]], Mean_AE_S, 2, FALSE))/(VLOOKUP(Main_S[[#This Row],[Industry]], Mean_AE_S, 3, FALSE))</f>
        <v>3.1497900366903488</v>
      </c>
      <c r="T100" s="1">
        <f>(Main_S[[#This Row],[P/E]]-VLOOKUP(Main_S[[#This Row],[Industry]], Mean_PE_S, 2, FALSE))/(VLOOKUP(Main_S[[#This Row],[Industry]], Mean_PE_S, 3, FALSE))</f>
        <v>-0.73277540312756639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7" t="s">
        <v>107</v>
      </c>
      <c r="B101" s="67" t="s">
        <v>260</v>
      </c>
      <c r="C101" s="2">
        <v>396</v>
      </c>
      <c r="D101">
        <f>RTD("tos.rtd", , "LAST", Main_S[[#This Row],[Symbol]])</f>
        <v>1.91</v>
      </c>
      <c r="E101">
        <v>0.03</v>
      </c>
      <c r="F101">
        <v>2.67</v>
      </c>
      <c r="G101">
        <v>-0.89</v>
      </c>
      <c r="H101" s="1">
        <f>IF(ISNUMBER(Main_S[[#This Row],[Free CF]]),IF(Main_S[[#This Row],[Free CF]]&lt;&gt;0,Main_S[[#This Row],[Current Price]]/Main_S[[#This Row],[Free CF]],""),"")</f>
        <v>63.666666666666664</v>
      </c>
      <c r="I101" s="1">
        <f>IF(ISNUMBER(Main_S[[#This Row],[BVPS]]),IF(Main_S[[#This Row],[BVPS]]&lt;&gt;0,Main_S[[#This Row],[Current Price]]/Main_S[[#This Row],[BVPS]],""),"")</f>
        <v>0.71535580524344566</v>
      </c>
      <c r="J101">
        <v>-30.03</v>
      </c>
      <c r="K101">
        <v>-4.3</v>
      </c>
      <c r="L101">
        <v>1.87</v>
      </c>
      <c r="M101" s="1">
        <f>IF(ISNUMBER(Main_S[[#This Row],[EPS]]),IF(Main_S[[#This Row],[EPS]]&lt;&gt;0,Main_S[[#This Row],[Current Price]]/Main_S[[#This Row],[EPS]],""),"")</f>
        <v>-2.1460674157303368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6.0447899749446634</v>
      </c>
      <c r="P101" s="1">
        <f>(Main_S[[#This Row],[P/B]]-VLOOKUP(Main_S[[#This Row],[Industry]], Mean_PB_S, 2, FALSE))/(VLOOKUP(Main_S[[#This Row],[Industry]], Mean_PB_S, 3, FALSE))</f>
        <v>-0.7749498421630473</v>
      </c>
      <c r="Q101" s="1">
        <f>(Main_S[[#This Row],[ROE]]-VLOOKUP(Main_S[[#This Row],[Industry]], Mean_ROE_S, 2, FALSE))/(VLOOKUP(Main_S[[#This Row],[Industry]], Mean_ROE_S, 3, FALSE))</f>
        <v>-2.0884889553519193</v>
      </c>
      <c r="R101" s="1">
        <f>(Main_S[[#This Row],[ROA]]-VLOOKUP(Main_S[[#This Row],[Industry]], Mean_ROA_S, 2, FALSE))/(VLOOKUP(Main_S[[#This Row],[Industry]], Mean_ROA_S, 3, FALSE))</f>
        <v>-1.5314089328723237</v>
      </c>
      <c r="S101" s="1">
        <f>(Main_S[[#This Row],[A/E]]-VLOOKUP(Main_S[[#This Row],[Industry]], Mean_AE_S, 2, FALSE))/(VLOOKUP(Main_S[[#This Row],[Industry]], Mean_AE_S, 3, FALSE))</f>
        <v>0.38822062713972522</v>
      </c>
      <c r="T101" s="1">
        <f>(Main_S[[#This Row],[P/E]]-VLOOKUP(Main_S[[#This Row],[Industry]], Mean_PE_S, 2, FALSE))/(VLOOKUP(Main_S[[#This Row],[Industry]], Mean_PE_S, 3, FALSE))</f>
        <v>-0.62793965448650102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s="67" t="s">
        <v>107</v>
      </c>
      <c r="B102" s="67" t="s">
        <v>341</v>
      </c>
      <c r="C102" s="2">
        <v>346</v>
      </c>
      <c r="D102">
        <f>RTD("tos.rtd", , "LAST", Main_S[[#This Row],[Symbol]])</f>
        <v>15.73</v>
      </c>
      <c r="E102">
        <v>-0.68</v>
      </c>
      <c r="F102">
        <v>2.66</v>
      </c>
      <c r="G102">
        <v>-0.86</v>
      </c>
      <c r="H102" s="1">
        <f>IF(ISNUMBER(Main_S[[#This Row],[Free CF]]),IF(Main_S[[#This Row],[Free CF]]&lt;&gt;0,Main_S[[#This Row],[Current Price]]/Main_S[[#This Row],[Free CF]],""),"")</f>
        <v>-23.132352941176471</v>
      </c>
      <c r="I102" s="1">
        <f>IF(ISNUMBER(Main_S[[#This Row],[BVPS]]),IF(Main_S[[#This Row],[BVPS]]&lt;&gt;0,Main_S[[#This Row],[Current Price]]/Main_S[[#This Row],[BVPS]],""),"")</f>
        <v>5.9135338345864659</v>
      </c>
      <c r="J102">
        <v>-32.19</v>
      </c>
      <c r="K102">
        <v>-21.53</v>
      </c>
      <c r="L102">
        <v>1.02</v>
      </c>
      <c r="M102" s="1">
        <f>IF(ISNUMBER(Main_S[[#This Row],[EPS]]),IF(Main_S[[#This Row],[EPS]]&lt;&gt;0,Main_S[[#This Row],[Current Price]]/Main_S[[#This Row],[EPS]],""),"")</f>
        <v>-18.290697674418606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-2.1553419686943953</v>
      </c>
      <c r="P102" s="1">
        <f>(Main_S[[#This Row],[P/B]]-VLOOKUP(Main_S[[#This Row],[Industry]], Mean_PB_S, 2, FALSE))/(VLOOKUP(Main_S[[#This Row],[Industry]], Mean_PB_S, 3, FALSE))</f>
        <v>8.1371745667821447</v>
      </c>
      <c r="Q102" s="1">
        <f>(Main_S[[#This Row],[ROE]]-VLOOKUP(Main_S[[#This Row],[Industry]], Mean_ROE_S, 2, FALSE))/(VLOOKUP(Main_S[[#This Row],[Industry]], Mean_ROE_S, 3, FALSE))</f>
        <v>-2.2158063887774699</v>
      </c>
      <c r="R102" s="1">
        <f>(Main_S[[#This Row],[ROA]]-VLOOKUP(Main_S[[#This Row],[Industry]], Mean_ROA_S, 2, FALSE))/(VLOOKUP(Main_S[[#This Row],[Industry]], Mean_ROA_S, 3, FALSE))</f>
        <v>-4.8298299470919153</v>
      </c>
      <c r="S102" s="1">
        <f>(Main_S[[#This Row],[A/E]]-VLOOKUP(Main_S[[#This Row],[Industry]], Mean_AE_S, 2, FALSE))/(VLOOKUP(Main_S[[#This Row],[Industry]], Mean_AE_S, 3, FALSE))</f>
        <v>-1.4174209098741446</v>
      </c>
      <c r="T102" s="1">
        <f>(Main_S[[#This Row],[P/E]]-VLOOKUP(Main_S[[#This Row],[Industry]], Mean_PE_S, 2, FALSE))/(VLOOKUP(Main_S[[#This Row],[Industry]], Mean_PE_S, 3, FALSE))</f>
        <v>-2.1353740917728388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7" t="s">
        <v>107</v>
      </c>
      <c r="B103" s="67" t="s">
        <v>261</v>
      </c>
      <c r="C103" s="2">
        <v>1169</v>
      </c>
      <c r="D103">
        <f>RTD("tos.rtd", , "LAST", Main_S[[#This Row],[Symbol]])</f>
        <v>18.96</v>
      </c>
      <c r="E103">
        <v>-13.06</v>
      </c>
      <c r="F103">
        <v>2.56</v>
      </c>
      <c r="G103">
        <v>-12.66</v>
      </c>
      <c r="H103" s="1">
        <f>IF(ISNUMBER(Main_S[[#This Row],[Free CF]]),IF(Main_S[[#This Row],[Free CF]]&lt;&gt;0,Main_S[[#This Row],[Current Price]]/Main_S[[#This Row],[Free CF]],""),"")</f>
        <v>-1.451761102603369</v>
      </c>
      <c r="I103" s="1">
        <f>IF(ISNUMBER(Main_S[[#This Row],[BVPS]]),IF(Main_S[[#This Row],[BVPS]]&lt;&gt;0,Main_S[[#This Row],[Current Price]]/Main_S[[#This Row],[BVPS]],""),"")</f>
        <v>7.40625</v>
      </c>
      <c r="J103">
        <v>-103.33</v>
      </c>
      <c r="K103">
        <v>-3.6</v>
      </c>
      <c r="L103">
        <v>44.29</v>
      </c>
      <c r="M103" s="1">
        <f>IF(ISNUMBER(Main_S[[#This Row],[EPS]]),IF(Main_S[[#This Row],[EPS]]&lt;&gt;0,Main_S[[#This Row],[Current Price]]/Main_S[[#This Row],[EPS]],""),"")</f>
        <v>-1.4976303317535546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-0.10711936784350884</v>
      </c>
      <c r="P103" s="1">
        <f>(Main_S[[#This Row],[P/B]]-VLOOKUP(Main_S[[#This Row],[Industry]], Mean_PB_S, 2, FALSE))/(VLOOKUP(Main_S[[#This Row],[Industry]], Mean_PB_S, 3, FALSE))</f>
        <v>10.696392834858734</v>
      </c>
      <c r="Q103" s="1">
        <f>(Main_S[[#This Row],[ROE]]-VLOOKUP(Main_S[[#This Row],[Industry]], Mean_ROE_S, 2, FALSE))/(VLOOKUP(Main_S[[#This Row],[Industry]], Mean_ROE_S, 3, FALSE))</f>
        <v>-6.4090296359504668</v>
      </c>
      <c r="R103" s="1">
        <f>(Main_S[[#This Row],[ROA]]-VLOOKUP(Main_S[[#This Row],[Industry]], Mean_ROA_S, 2, FALSE))/(VLOOKUP(Main_S[[#This Row],[Industry]], Mean_ROA_S, 3, FALSE))</f>
        <v>-1.3974045968332225</v>
      </c>
      <c r="S103" s="1">
        <f>(Main_S[[#This Row],[A/E]]-VLOOKUP(Main_S[[#This Row],[Industry]], Mean_AE_S, 2, FALSE))/(VLOOKUP(Main_S[[#This Row],[Industry]], Mean_AE_S, 3, FALSE))</f>
        <v>90.500354744937781</v>
      </c>
      <c r="T103" s="1">
        <f>(Main_S[[#This Row],[P/E]]-VLOOKUP(Main_S[[#This Row],[Industry]], Mean_PE_S, 2, FALSE))/(VLOOKUP(Main_S[[#This Row],[Industry]], Mean_PE_S, 3, FALSE))</f>
        <v>-0.56739466986078602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7" t="s">
        <v>107</v>
      </c>
      <c r="B104" s="67" t="s">
        <v>343</v>
      </c>
      <c r="C104" s="2">
        <v>1883</v>
      </c>
      <c r="D104">
        <f>RTD("tos.rtd", , "LAST", Main_S[[#This Row],[Symbol]])</f>
        <v>3.9</v>
      </c>
      <c r="E104">
        <v>0.45</v>
      </c>
      <c r="F104">
        <v>2.41</v>
      </c>
      <c r="G104">
        <v>0.65</v>
      </c>
      <c r="H104" s="1">
        <f>IF(ISNUMBER(Main_S[[#This Row],[Free CF]]),IF(Main_S[[#This Row],[Free CF]]&lt;&gt;0,Main_S[[#This Row],[Current Price]]/Main_S[[#This Row],[Free CF]],""),"")</f>
        <v>8.6666666666666661</v>
      </c>
      <c r="I104" s="1">
        <f>IF(ISNUMBER(Main_S[[#This Row],[BVPS]]),IF(Main_S[[#This Row],[BVPS]]&lt;&gt;0,Main_S[[#This Row],[Current Price]]/Main_S[[#This Row],[BVPS]],""),"")</f>
        <v>1.6182572614107882</v>
      </c>
      <c r="J104">
        <v>28.66</v>
      </c>
      <c r="K104">
        <v>12.61</v>
      </c>
      <c r="L104">
        <v>1.4</v>
      </c>
      <c r="M104" s="1">
        <f>IF(ISNUMBER(Main_S[[#This Row],[EPS]]),IF(Main_S[[#This Row],[EPS]]&lt;&gt;0,Main_S[[#This Row],[Current Price]]/Main_S[[#This Row],[EPS]],""),"")</f>
        <v>6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0.84879514760913277</v>
      </c>
      <c r="P104" s="1">
        <f>(Main_S[[#This Row],[P/B]]-VLOOKUP(Main_S[[#This Row],[Industry]], Mean_PB_S, 2, FALSE))/(VLOOKUP(Main_S[[#This Row],[Industry]], Mean_PB_S, 3, FALSE))</f>
        <v>0.773048333535859</v>
      </c>
      <c r="Q104" s="1">
        <f>(Main_S[[#This Row],[ROE]]-VLOOKUP(Main_S[[#This Row],[Industry]], Mean_ROE_S, 2, FALSE))/(VLOOKUP(Main_S[[#This Row],[Industry]], Mean_ROE_S, 3, FALSE))</f>
        <v>1.3708907519376958</v>
      </c>
      <c r="R104" s="1">
        <f>(Main_S[[#This Row],[ROA]]-VLOOKUP(Main_S[[#This Row],[Industry]], Mean_ROA_S, 2, FALSE))/(VLOOKUP(Main_S[[#This Row],[Industry]], Mean_ROA_S, 3, FALSE))</f>
        <v>1.7057529563008207</v>
      </c>
      <c r="S104" s="1">
        <f>(Main_S[[#This Row],[A/E]]-VLOOKUP(Main_S[[#This Row],[Industry]], Mean_AE_S, 2, FALSE))/(VLOOKUP(Main_S[[#This Row],[Industry]], Mean_AE_S, 3, FALSE))</f>
        <v>-0.61019292862088548</v>
      </c>
      <c r="T104" s="1">
        <f>(Main_S[[#This Row],[P/E]]-VLOOKUP(Main_S[[#This Row],[Industry]], Mean_PE_S, 2, FALSE))/(VLOOKUP(Main_S[[#This Row],[Industry]], Mean_PE_S, 3, FALSE))</f>
        <v>0.13266386223508542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7" t="s">
        <v>107</v>
      </c>
      <c r="B105" s="67" t="s">
        <v>279</v>
      </c>
      <c r="C105" s="2">
        <v>561</v>
      </c>
      <c r="D105">
        <f>RTD("tos.rtd", , "LAST", Main_S[[#This Row],[Symbol]])</f>
        <v>2.71</v>
      </c>
      <c r="E105">
        <v>0.6</v>
      </c>
      <c r="F105">
        <v>2.4</v>
      </c>
      <c r="G105">
        <v>0.22</v>
      </c>
      <c r="H105" s="1">
        <f>IF(ISNUMBER(Main_S[[#This Row],[Free CF]]),IF(Main_S[[#This Row],[Free CF]]&lt;&gt;0,Main_S[[#This Row],[Current Price]]/Main_S[[#This Row],[Free CF]],""),"")</f>
        <v>4.5166666666666666</v>
      </c>
      <c r="I105" s="1">
        <f>IF(ISNUMBER(Main_S[[#This Row],[BVPS]]),IF(Main_S[[#This Row],[BVPS]]&lt;&gt;0,Main_S[[#This Row],[Current Price]]/Main_S[[#This Row],[BVPS]],""),"")</f>
        <v>1.1291666666666667</v>
      </c>
      <c r="J105">
        <v>8.91</v>
      </c>
      <c r="K105">
        <v>5.7</v>
      </c>
      <c r="L105">
        <v>1.61</v>
      </c>
      <c r="M105" s="1">
        <f>IF(ISNUMBER(Main_S[[#This Row],[EPS]]),IF(Main_S[[#This Row],[EPS]]&lt;&gt;0,Main_S[[#This Row],[Current Price]]/Main_S[[#This Row],[EPS]],""),"")</f>
        <v>12.318181818181818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0.45673371972836108</v>
      </c>
      <c r="P105" s="1">
        <f>(Main_S[[#This Row],[P/B]]-VLOOKUP(Main_S[[#This Row],[Industry]], Mean_PB_S, 2, FALSE))/(VLOOKUP(Main_S[[#This Row],[Industry]], Mean_PB_S, 3, FALSE))</f>
        <v>-6.5483206361304738E-2</v>
      </c>
      <c r="Q105" s="1">
        <f>(Main_S[[#This Row],[ROE]]-VLOOKUP(Main_S[[#This Row],[Industry]], Mean_ROE_S, 2, FALSE))/(VLOOKUP(Main_S[[#This Row],[Industry]], Mean_ROE_S, 3, FALSE))</f>
        <v>0.20676144168092464</v>
      </c>
      <c r="R105" s="1">
        <f>(Main_S[[#This Row],[ROA]]-VLOOKUP(Main_S[[#This Row],[Industry]], Mean_ROA_S, 2, FALSE))/(VLOOKUP(Main_S[[#This Row],[Industry]], Mean_ROA_S, 3, FALSE))</f>
        <v>0.38293872482912183</v>
      </c>
      <c r="S105" s="1">
        <f>(Main_S[[#This Row],[A/E]]-VLOOKUP(Main_S[[#This Row],[Industry]], Mean_AE_S, 2, FALSE))/(VLOOKUP(Main_S[[#This Row],[Industry]], Mean_AE_S, 3, FALSE))</f>
        <v>-0.1640932547703996</v>
      </c>
      <c r="T105" s="1">
        <f>(Main_S[[#This Row],[P/E]]-VLOOKUP(Main_S[[#This Row],[Industry]], Mean_PE_S, 2, FALSE))/(VLOOKUP(Main_S[[#This Row],[Industry]], Mean_PE_S, 3, FALSE))</f>
        <v>0.72259653341770269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7" t="s">
        <v>107</v>
      </c>
      <c r="B106" s="67" t="s">
        <v>243</v>
      </c>
      <c r="C106" s="2">
        <v>793</v>
      </c>
      <c r="D106">
        <f>RTD("tos.rtd", , "LAST", Main_S[[#This Row],[Symbol]])</f>
        <v>1.97</v>
      </c>
      <c r="E106">
        <v>-0.64</v>
      </c>
      <c r="F106">
        <v>2.2999999999999998</v>
      </c>
      <c r="G106">
        <v>-0.03</v>
      </c>
      <c r="H106" s="1">
        <f>IF(ISNUMBER(Main_S[[#This Row],[Free CF]]),IF(Main_S[[#This Row],[Free CF]]&lt;&gt;0,Main_S[[#This Row],[Current Price]]/Main_S[[#This Row],[Free CF]],""),"")</f>
        <v>-3.078125</v>
      </c>
      <c r="I106" s="1">
        <f>IF(ISNUMBER(Main_S[[#This Row],[BVPS]]),IF(Main_S[[#This Row],[BVPS]]&lt;&gt;0,Main_S[[#This Row],[Current Price]]/Main_S[[#This Row],[BVPS]],""),"")</f>
        <v>0.85652173913043483</v>
      </c>
      <c r="J106">
        <v>-1.1499999999999999</v>
      </c>
      <c r="K106">
        <v>2.76</v>
      </c>
      <c r="L106">
        <v>4.8</v>
      </c>
      <c r="M106" s="1">
        <f>IF(ISNUMBER(Main_S[[#This Row],[EPS]]),IF(Main_S[[#This Row],[EPS]]&lt;&gt;0,Main_S[[#This Row],[Current Price]]/Main_S[[#This Row],[EPS]],""),"")</f>
        <v>-65.666666666666671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-0.26076624781147517</v>
      </c>
      <c r="P106" s="1">
        <f>(Main_S[[#This Row],[P/B]]-VLOOKUP(Main_S[[#This Row],[Industry]], Mean_PB_S, 2, FALSE))/(VLOOKUP(Main_S[[#This Row],[Industry]], Mean_PB_S, 3, FALSE))</f>
        <v>-0.5329249715249047</v>
      </c>
      <c r="Q106" s="1">
        <f>(Main_S[[#This Row],[ROE]]-VLOOKUP(Main_S[[#This Row],[Industry]], Mean_ROE_S, 2, FALSE))/(VLOOKUP(Main_S[[#This Row],[Industry]], Mean_ROE_S, 3, FALSE))</f>
        <v>-0.38620771584733449</v>
      </c>
      <c r="R106" s="1">
        <f>(Main_S[[#This Row],[ROA]]-VLOOKUP(Main_S[[#This Row],[Industry]], Mean_ROA_S, 2, FALSE))/(VLOOKUP(Main_S[[#This Row],[Industry]], Mean_ROA_S, 3, FALSE))</f>
        <v>-0.17987948653510322</v>
      </c>
      <c r="S106" s="1">
        <f>(Main_S[[#This Row],[A/E]]-VLOOKUP(Main_S[[#This Row],[Industry]], Mean_AE_S, 2, FALSE))/(VLOOKUP(Main_S[[#This Row],[Industry]], Mean_AE_S, 3, FALSE))</f>
        <v>6.612373219434593</v>
      </c>
      <c r="T106" s="1">
        <f>(Main_S[[#This Row],[P/E]]-VLOOKUP(Main_S[[#This Row],[Industry]], Mean_PE_S, 2, FALSE))/(VLOOKUP(Main_S[[#This Row],[Industry]], Mean_PE_S, 3, FALSE))</f>
        <v>-6.5588985710833319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7" spans="1:26" x14ac:dyDescent="0.25">
      <c r="A107" s="67" t="s">
        <v>107</v>
      </c>
      <c r="B107" s="67" t="s">
        <v>344</v>
      </c>
      <c r="C107" s="2">
        <v>360</v>
      </c>
      <c r="D107">
        <f>RTD("tos.rtd", , "LAST", Main_S[[#This Row],[Symbol]])</f>
        <v>13.513</v>
      </c>
      <c r="E107">
        <v>-0.76</v>
      </c>
      <c r="F107">
        <v>2.2400000000000002</v>
      </c>
      <c r="G107">
        <v>-0.32</v>
      </c>
      <c r="H107" s="1">
        <f>IF(ISNUMBER(Main_S[[#This Row],[Free CF]]),IF(Main_S[[#This Row],[Free CF]]&lt;&gt;0,Main_S[[#This Row],[Current Price]]/Main_S[[#This Row],[Free CF]],""),"")</f>
        <v>-17.780263157894737</v>
      </c>
      <c r="I107" s="1">
        <f>IF(ISNUMBER(Main_S[[#This Row],[BVPS]]),IF(Main_S[[#This Row],[BVPS]]&lt;&gt;0,Main_S[[#This Row],[Current Price]]/Main_S[[#This Row],[BVPS]],""),"")</f>
        <v>6.0325892857142849</v>
      </c>
      <c r="J107">
        <v>-13.52</v>
      </c>
      <c r="K107">
        <v>-3.38</v>
      </c>
      <c r="L107">
        <v>4.45</v>
      </c>
      <c r="M107" s="1">
        <f>IF(ISNUMBER(Main_S[[#This Row],[EPS]]),IF(Main_S[[#This Row],[EPS]]&lt;&gt;0,Main_S[[#This Row],[Current Price]]/Main_S[[#This Row],[EPS]],""),"")</f>
        <v>-42.228124999999999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-1.6497159536149912</v>
      </c>
      <c r="P107" s="1">
        <f>(Main_S[[#This Row],[P/B]]-VLOOKUP(Main_S[[#This Row],[Industry]], Mean_PB_S, 2, FALSE))/(VLOOKUP(Main_S[[#This Row],[Industry]], Mean_PB_S, 3, FALSE))</f>
        <v>8.3412916605070624</v>
      </c>
      <c r="Q107" s="1">
        <f>(Main_S[[#This Row],[ROE]]-VLOOKUP(Main_S[[#This Row],[Industry]], Mean_ROE_S, 2, FALSE))/(VLOOKUP(Main_S[[#This Row],[Industry]], Mean_ROE_S, 3, FALSE))</f>
        <v>-1.1153357952334739</v>
      </c>
      <c r="R107" s="1">
        <f>(Main_S[[#This Row],[ROA]]-VLOOKUP(Main_S[[#This Row],[Industry]], Mean_ROA_S, 2, FALSE))/(VLOOKUP(Main_S[[#This Row],[Industry]], Mean_ROA_S, 3, FALSE))</f>
        <v>-1.3552889483637909</v>
      </c>
      <c r="S107" s="1">
        <f>(Main_S[[#This Row],[A/E]]-VLOOKUP(Main_S[[#This Row],[Industry]], Mean_AE_S, 2, FALSE))/(VLOOKUP(Main_S[[#This Row],[Industry]], Mean_AE_S, 3, FALSE))</f>
        <v>5.8688737630171177</v>
      </c>
      <c r="T107" s="1">
        <f>(Main_S[[#This Row],[P/E]]-VLOOKUP(Main_S[[#This Row],[Industry]], Mean_PE_S, 2, FALSE))/(VLOOKUP(Main_S[[#This Row],[Industry]], Mean_PE_S, 3, FALSE))</f>
        <v>-4.3704269677098182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8" spans="1:26" x14ac:dyDescent="0.25">
      <c r="A108" s="67" t="s">
        <v>107</v>
      </c>
      <c r="B108" s="67" t="s">
        <v>235</v>
      </c>
      <c r="C108" s="2">
        <v>1079</v>
      </c>
      <c r="D108">
        <f>RTD("tos.rtd", , "LAST", Main_S[[#This Row],[Symbol]])</f>
        <v>4.91</v>
      </c>
      <c r="E108">
        <v>0.33</v>
      </c>
      <c r="F108">
        <v>2.11</v>
      </c>
      <c r="G108">
        <v>0.59</v>
      </c>
      <c r="H108" s="1">
        <f>IF(ISNUMBER(Main_S[[#This Row],[Free CF]]),IF(Main_S[[#This Row],[Free CF]]&lt;&gt;0,Main_S[[#This Row],[Current Price]]/Main_S[[#This Row],[Free CF]],""),"")</f>
        <v>14.878787878787879</v>
      </c>
      <c r="I108" s="1">
        <f>IF(ISNUMBER(Main_S[[#This Row],[BVPS]]),IF(Main_S[[#This Row],[BVPS]]&lt;&gt;0,Main_S[[#This Row],[Current Price]]/Main_S[[#This Row],[BVPS]],""),"")</f>
        <v>2.3270142180094791</v>
      </c>
      <c r="J108">
        <v>29.71</v>
      </c>
      <c r="K108">
        <v>17.52</v>
      </c>
      <c r="L108">
        <v>1.34</v>
      </c>
      <c r="M108" s="1">
        <f>IF(ISNUMBER(Main_S[[#This Row],[EPS]]),IF(Main_S[[#This Row],[EPS]]&lt;&gt;0,Main_S[[#This Row],[Current Price]]/Main_S[[#This Row],[EPS]],""),"")</f>
        <v>8.3220338983050848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1.4356705964266445</v>
      </c>
      <c r="P108" s="1">
        <f>(Main_S[[#This Row],[P/B]]-VLOOKUP(Main_S[[#This Row],[Industry]], Mean_PB_S, 2, FALSE))/(VLOOKUP(Main_S[[#This Row],[Industry]], Mean_PB_S, 3, FALSE))</f>
        <v>1.9881914350719996</v>
      </c>
      <c r="Q108" s="1">
        <f>(Main_S[[#This Row],[ROE]]-VLOOKUP(Main_S[[#This Row],[Industry]], Mean_ROE_S, 2, FALSE))/(VLOOKUP(Main_S[[#This Row],[Industry]], Mean_ROE_S, 3, FALSE))</f>
        <v>1.432781170964005</v>
      </c>
      <c r="R108" s="1">
        <f>(Main_S[[#This Row],[ROA]]-VLOOKUP(Main_S[[#This Row],[Industry]], Mean_ROA_S, 2, FALSE))/(VLOOKUP(Main_S[[#This Row],[Industry]], Mean_ROA_S, 3, FALSE))</f>
        <v>2.6456976562322305</v>
      </c>
      <c r="S108" s="1">
        <f>(Main_S[[#This Row],[A/E]]-VLOOKUP(Main_S[[#This Row],[Industry]], Mean_AE_S, 2, FALSE))/(VLOOKUP(Main_S[[#This Row],[Industry]], Mean_AE_S, 3, FALSE))</f>
        <v>-0.73764997829245238</v>
      </c>
      <c r="T108" s="1">
        <f>(Main_S[[#This Row],[P/E]]-VLOOKUP(Main_S[[#This Row],[Industry]], Mean_PE_S, 2, FALSE))/(VLOOKUP(Main_S[[#This Row],[Industry]], Mean_PE_S, 3, FALSE))</f>
        <v>0.34947365018099552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7" t="s">
        <v>107</v>
      </c>
      <c r="B109" s="67" t="s">
        <v>262</v>
      </c>
      <c r="C109" s="2">
        <v>304</v>
      </c>
      <c r="D109">
        <f>RTD("tos.rtd", , "LAST", Main_S[[#This Row],[Symbol]])</f>
        <v>1.18</v>
      </c>
      <c r="E109">
        <v>-0.46</v>
      </c>
      <c r="F109">
        <v>2.02</v>
      </c>
      <c r="G109">
        <v>-0.36</v>
      </c>
      <c r="H109" s="1">
        <f>IF(ISNUMBER(Main_S[[#This Row],[Free CF]]),IF(Main_S[[#This Row],[Free CF]]&lt;&gt;0,Main_S[[#This Row],[Current Price]]/Main_S[[#This Row],[Free CF]],""),"")</f>
        <v>-2.5652173913043477</v>
      </c>
      <c r="I109" s="1">
        <f>IF(ISNUMBER(Main_S[[#This Row],[BVPS]]),IF(Main_S[[#This Row],[BVPS]]&lt;&gt;0,Main_S[[#This Row],[Current Price]]/Main_S[[#This Row],[BVPS]],""),"")</f>
        <v>0.58415841584158412</v>
      </c>
      <c r="J109">
        <v>-16.04</v>
      </c>
      <c r="K109">
        <v>-7.05</v>
      </c>
      <c r="L109">
        <v>1.44</v>
      </c>
      <c r="M109" s="1">
        <f>IF(ISNUMBER(Main_S[[#This Row],[EPS]]),IF(Main_S[[#This Row],[EPS]]&lt;&gt;0,Main_S[[#This Row],[Current Price]]/Main_S[[#This Row],[EPS]],""),"")</f>
        <v>-3.2777777777777777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-0.21231051541722704</v>
      </c>
      <c r="P109" s="1">
        <f>(Main_S[[#This Row],[P/B]]-VLOOKUP(Main_S[[#This Row],[Industry]], Mean_PB_S, 2, FALSE))/(VLOOKUP(Main_S[[#This Row],[Industry]], Mean_PB_S, 3, FALSE))</f>
        <v>-0.99988393443114043</v>
      </c>
      <c r="Q109" s="1">
        <f>(Main_S[[#This Row],[ROE]]-VLOOKUP(Main_S[[#This Row],[Industry]], Mean_ROE_S, 2, FALSE))/(VLOOKUP(Main_S[[#This Row],[Industry]], Mean_ROE_S, 3, FALSE))</f>
        <v>-1.2638728008966167</v>
      </c>
      <c r="R109" s="1">
        <f>(Main_S[[#This Row],[ROA]]-VLOOKUP(Main_S[[#This Row],[Industry]], Mean_ROA_S, 2, FALSE))/(VLOOKUP(Main_S[[#This Row],[Industry]], Mean_ROA_S, 3, FALSE))</f>
        <v>-2.0578545387402212</v>
      </c>
      <c r="S109" s="1">
        <f>(Main_S[[#This Row],[A/E]]-VLOOKUP(Main_S[[#This Row],[Industry]], Mean_AE_S, 2, FALSE))/(VLOOKUP(Main_S[[#This Row],[Industry]], Mean_AE_S, 3, FALSE))</f>
        <v>-0.52522156217317384</v>
      </c>
      <c r="T109" s="1">
        <f>(Main_S[[#This Row],[P/E]]-VLOOKUP(Main_S[[#This Row],[Industry]], Mean_PE_S, 2, FALSE))/(VLOOKUP(Main_S[[#This Row],[Industry]], Mean_PE_S, 3, FALSE))</f>
        <v>-0.73360817370613596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7" t="s">
        <v>107</v>
      </c>
      <c r="B110" s="67" t="s">
        <v>345</v>
      </c>
      <c r="C110" s="2">
        <v>453</v>
      </c>
      <c r="D110">
        <f>RTD("tos.rtd", , "LAST", Main_S[[#This Row],[Symbol]])</f>
        <v>2.5594999999999999</v>
      </c>
      <c r="E110">
        <v>-7.0000000000000007E-2</v>
      </c>
      <c r="F110">
        <v>1.96</v>
      </c>
      <c r="G110">
        <v>7.0000000000000007E-2</v>
      </c>
      <c r="H110" s="1">
        <f>IF(ISNUMBER(Main_S[[#This Row],[Free CF]]),IF(Main_S[[#This Row],[Free CF]]&lt;&gt;0,Main_S[[#This Row],[Current Price]]/Main_S[[#This Row],[Free CF]],""),"")</f>
        <v>-36.56428571428571</v>
      </c>
      <c r="I110" s="1">
        <f>IF(ISNUMBER(Main_S[[#This Row],[BVPS]]),IF(Main_S[[#This Row],[BVPS]]&lt;&gt;0,Main_S[[#This Row],[Current Price]]/Main_S[[#This Row],[BVPS]],""),"")</f>
        <v>1.3058673469387754</v>
      </c>
      <c r="J110">
        <v>3.56</v>
      </c>
      <c r="K110">
        <v>1.8</v>
      </c>
      <c r="L110">
        <v>1.73</v>
      </c>
      <c r="M110" s="1">
        <f>IF(ISNUMBER(Main_S[[#This Row],[EPS]]),IF(Main_S[[#This Row],[EPS]]&lt;&gt;0,Main_S[[#This Row],[Current Price]]/Main_S[[#This Row],[EPS]],""),"")</f>
        <v>36.56428571428571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-3.4242920270615622</v>
      </c>
      <c r="P110" s="1">
        <f>(Main_S[[#This Row],[P/B]]-VLOOKUP(Main_S[[#This Row],[Industry]], Mean_PB_S, 2, FALSE))/(VLOOKUP(Main_S[[#This Row],[Industry]], Mean_PB_S, 3, FALSE))</f>
        <v>0.23746494909640881</v>
      </c>
      <c r="Q110" s="1">
        <f>(Main_S[[#This Row],[ROE]]-VLOOKUP(Main_S[[#This Row],[Industry]], Mean_ROE_S, 2, FALSE))/(VLOOKUP(Main_S[[#This Row],[Industry]], Mean_ROE_S, 3, FALSE))</f>
        <v>-0.10858497907217537</v>
      </c>
      <c r="R110" s="1">
        <f>(Main_S[[#This Row],[ROA]]-VLOOKUP(Main_S[[#This Row],[Industry]], Mean_ROA_S, 2, FALSE))/(VLOOKUP(Main_S[[#This Row],[Industry]], Mean_ROA_S, 3, FALSE))</f>
        <v>-0.36365686167444194</v>
      </c>
      <c r="S110" s="1">
        <f>(Main_S[[#This Row],[A/E]]-VLOOKUP(Main_S[[#This Row],[Industry]], Mean_AE_S, 2, FALSE))/(VLOOKUP(Main_S[[#This Row],[Industry]], Mean_AE_S, 3, FALSE))</f>
        <v>9.0820844572734677E-2</v>
      </c>
      <c r="T110" s="1">
        <f>(Main_S[[#This Row],[P/E]]-VLOOKUP(Main_S[[#This Row],[Industry]], Mean_PE_S, 2, FALSE))/(VLOOKUP(Main_S[[#This Row],[Industry]], Mean_PE_S, 3, FALSE))</f>
        <v>2.9864707378665969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1" spans="1:26" x14ac:dyDescent="0.25">
      <c r="A111" s="67" t="s">
        <v>107</v>
      </c>
      <c r="B111" s="67" t="s">
        <v>296</v>
      </c>
      <c r="C111" s="2">
        <v>295</v>
      </c>
      <c r="D111">
        <f>RTD("tos.rtd", , "LAST", Main_S[[#This Row],[Symbol]])</f>
        <v>2.39</v>
      </c>
      <c r="E111">
        <v>-0.27</v>
      </c>
      <c r="F111">
        <v>1.53</v>
      </c>
      <c r="G111">
        <v>0</v>
      </c>
      <c r="H111" s="1">
        <f>IF(ISNUMBER(Main_S[[#This Row],[Free CF]]),IF(Main_S[[#This Row],[Free CF]]&lt;&gt;0,Main_S[[#This Row],[Current Price]]/Main_S[[#This Row],[Free CF]],""),"")</f>
        <v>-8.8518518518518512</v>
      </c>
      <c r="I111" s="1">
        <f>IF(ISNUMBER(Main_S[[#This Row],[BVPS]]),IF(Main_S[[#This Row],[BVPS]]&lt;&gt;0,Main_S[[#This Row],[Current Price]]/Main_S[[#This Row],[BVPS]],""),"")</f>
        <v>1.5620915032679739</v>
      </c>
      <c r="J111">
        <v>0.4</v>
      </c>
      <c r="K111">
        <v>-7.0000000000000007E-2</v>
      </c>
      <c r="L111">
        <v>1</v>
      </c>
      <c r="M111" s="1" t="str">
        <f>IF(ISNUMBER(Main_S[[#This Row],[EPS]]),IF(Main_S[[#This Row],[EPS]]&lt;&gt;0,Main_S[[#This Row],[Current Price]]/Main_S[[#This Row],[EPS]],""),"")</f>
        <v/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-0.80622542702366573</v>
      </c>
      <c r="P111" s="1">
        <f>(Main_S[[#This Row],[P/B]]-VLOOKUP(Main_S[[#This Row],[Industry]], Mean_PB_S, 2, FALSE))/(VLOOKUP(Main_S[[#This Row],[Industry]], Mean_PB_S, 3, FALSE))</f>
        <v>0.67675378162441713</v>
      </c>
      <c r="Q111" s="1">
        <f>(Main_S[[#This Row],[ROE]]-VLOOKUP(Main_S[[#This Row],[Industry]], Mean_ROE_S, 2, FALSE))/(VLOOKUP(Main_S[[#This Row],[Industry]], Mean_ROE_S, 3, FALSE))</f>
        <v>-0.29484566871325874</v>
      </c>
      <c r="R111" s="1">
        <f>(Main_S[[#This Row],[ROA]]-VLOOKUP(Main_S[[#This Row],[Industry]], Mean_ROA_S, 2, FALSE))/(VLOOKUP(Main_S[[#This Row],[Industry]], Mean_ROA_S, 3, FALSE))</f>
        <v>-0.72163987366461224</v>
      </c>
      <c r="S111" s="1">
        <f>(Main_S[[#This Row],[A/E]]-VLOOKUP(Main_S[[#This Row],[Industry]], Mean_AE_S, 2, FALSE))/(VLOOKUP(Main_S[[#This Row],[Industry]], Mean_AE_S, 3, FALSE))</f>
        <v>-1.4599065930980004</v>
      </c>
      <c r="T111" s="1" t="e">
        <f>(Main_S[[#This Row],[P/E]]-VLOOKUP(Main_S[[#This Row],[Industry]], Mean_PE_S, 2, FALSE))/(VLOOKUP(Main_S[[#This Row],[Industry]], Mean_PE_S, 3, FALSE))</f>
        <v>#VALUE!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2" spans="1:26" x14ac:dyDescent="0.25">
      <c r="A112" s="67" t="s">
        <v>107</v>
      </c>
      <c r="B112" s="67" t="s">
        <v>291</v>
      </c>
      <c r="C112" s="2">
        <v>374</v>
      </c>
      <c r="D112">
        <f>RTD("tos.rtd", , "LAST", Main_S[[#This Row],[Symbol]])</f>
        <v>2.2650000000000001</v>
      </c>
      <c r="E112">
        <v>-0.4</v>
      </c>
      <c r="F112">
        <v>1.44</v>
      </c>
      <c r="G112">
        <v>-0.43</v>
      </c>
      <c r="H112" s="1">
        <f>IF(ISNUMBER(Main_S[[#This Row],[Free CF]]),IF(Main_S[[#This Row],[Free CF]]&lt;&gt;0,Main_S[[#This Row],[Current Price]]/Main_S[[#This Row],[Free CF]],""),"")</f>
        <v>-5.6624999999999996</v>
      </c>
      <c r="I112" s="1">
        <f>IF(ISNUMBER(Main_S[[#This Row],[BVPS]]),IF(Main_S[[#This Row],[BVPS]]&lt;&gt;0,Main_S[[#This Row],[Current Price]]/Main_S[[#This Row],[BVPS]],""),"")</f>
        <v>1.5729166666666667</v>
      </c>
      <c r="J112">
        <v>-24.84</v>
      </c>
      <c r="K112">
        <v>-11.99</v>
      </c>
      <c r="L112">
        <v>1.35</v>
      </c>
      <c r="M112" s="1">
        <f>IF(ISNUMBER(Main_S[[#This Row],[EPS]]),IF(Main_S[[#This Row],[EPS]]&lt;&gt;0,Main_S[[#This Row],[Current Price]]/Main_S[[#This Row],[EPS]],""),"")</f>
        <v>-5.2674418604651168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-0.50491895930047992</v>
      </c>
      <c r="P112" s="1">
        <f>(Main_S[[#This Row],[P/B]]-VLOOKUP(Main_S[[#This Row],[Industry]], Mean_PB_S, 2, FALSE))/(VLOOKUP(Main_S[[#This Row],[Industry]], Mean_PB_S, 3, FALSE))</f>
        <v>0.69531320810264119</v>
      </c>
      <c r="Q112" s="1">
        <f>(Main_S[[#This Row],[ROE]]-VLOOKUP(Main_S[[#This Row],[Industry]], Mean_ROE_S, 2, FALSE))/(VLOOKUP(Main_S[[#This Row],[Industry]], Mean_ROE_S, 3, FALSE))</f>
        <v>-1.7825734555933044</v>
      </c>
      <c r="R112" s="1">
        <f>(Main_S[[#This Row],[ROA]]-VLOOKUP(Main_S[[#This Row],[Industry]], Mean_ROA_S, 2, FALSE))/(VLOOKUP(Main_S[[#This Row],[Industry]], Mean_ROA_S, 3, FALSE))</f>
        <v>-3.0035422816447355</v>
      </c>
      <c r="S112" s="1">
        <f>(Main_S[[#This Row],[A/E]]-VLOOKUP(Main_S[[#This Row],[Industry]], Mean_AE_S, 2, FALSE))/(VLOOKUP(Main_S[[#This Row],[Industry]], Mean_AE_S, 3, FALSE))</f>
        <v>-0.71640713668052447</v>
      </c>
      <c r="T112" s="1">
        <f>(Main_S[[#This Row],[P/E]]-VLOOKUP(Main_S[[#This Row],[Industry]], Mean_PE_S, 2, FALSE))/(VLOOKUP(Main_S[[#This Row],[Industry]], Mean_PE_S, 3, FALSE))</f>
        <v>-0.91938437971497622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7" t="s">
        <v>107</v>
      </c>
      <c r="B113" s="67" t="s">
        <v>347</v>
      </c>
      <c r="C113" s="2">
        <v>878</v>
      </c>
      <c r="D113">
        <f>RTD("tos.rtd", , "LAST", Main_S[[#This Row],[Symbol]])</f>
        <v>1.3149999999999999</v>
      </c>
      <c r="E113">
        <v>-0.01</v>
      </c>
      <c r="F113">
        <v>1.37</v>
      </c>
      <c r="G113">
        <v>-0.51</v>
      </c>
      <c r="H113" s="1">
        <f>IF(ISNUMBER(Main_S[[#This Row],[Free CF]]),IF(Main_S[[#This Row],[Free CF]]&lt;&gt;0,Main_S[[#This Row],[Current Price]]/Main_S[[#This Row],[Free CF]],""),"")</f>
        <v>-131.5</v>
      </c>
      <c r="I113" s="1">
        <f>IF(ISNUMBER(Main_S[[#This Row],[BVPS]]),IF(Main_S[[#This Row],[BVPS]]&lt;&gt;0,Main_S[[#This Row],[Current Price]]/Main_S[[#This Row],[BVPS]],""),"")</f>
        <v>0.95985401459854003</v>
      </c>
      <c r="J113">
        <v>-25.82</v>
      </c>
      <c r="K113">
        <v>-1</v>
      </c>
      <c r="L113">
        <v>2.72</v>
      </c>
      <c r="M113" s="1">
        <f>IF(ISNUMBER(Main_S[[#This Row],[EPS]]),IF(Main_S[[#This Row],[EPS]]&lt;&gt;0,Main_S[[#This Row],[Current Price]]/Main_S[[#This Row],[EPS]],""),"")</f>
        <v>-2.5784313725490193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-12.393118942661113</v>
      </c>
      <c r="P113" s="1">
        <f>(Main_S[[#This Row],[P/B]]-VLOOKUP(Main_S[[#This Row],[Industry]], Mean_PB_S, 2, FALSE))/(VLOOKUP(Main_S[[#This Row],[Industry]], Mean_PB_S, 3, FALSE))</f>
        <v>-0.35576480324426202</v>
      </c>
      <c r="Q113" s="1">
        <f>(Main_S[[#This Row],[ROE]]-VLOOKUP(Main_S[[#This Row],[Industry]], Mean_ROE_S, 2, FALSE))/(VLOOKUP(Main_S[[#This Row],[Industry]], Mean_ROE_S, 3, FALSE))</f>
        <v>-1.8403378466845266</v>
      </c>
      <c r="R113" s="1">
        <f>(Main_S[[#This Row],[ROA]]-VLOOKUP(Main_S[[#This Row],[Industry]], Mean_ROA_S, 2, FALSE))/(VLOOKUP(Main_S[[#This Row],[Industry]], Mean_ROA_S, 3, FALSE))</f>
        <v>-0.89967420583084656</v>
      </c>
      <c r="S113" s="1">
        <f>(Main_S[[#This Row],[A/E]]-VLOOKUP(Main_S[[#This Row],[Industry]], Mean_AE_S, 2, FALSE))/(VLOOKUP(Main_S[[#This Row],[Industry]], Mean_AE_S, 3, FALSE))</f>
        <v>2.1938621641535949</v>
      </c>
      <c r="T113" s="1">
        <f>(Main_S[[#This Row],[P/E]]-VLOOKUP(Main_S[[#This Row],[Industry]], Mean_PE_S, 2, FALSE))/(VLOOKUP(Main_S[[#This Row],[Industry]], Mean_PE_S, 3, FALSE))</f>
        <v>-0.66830975324420527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7" t="s">
        <v>107</v>
      </c>
      <c r="B114" s="67" t="s">
        <v>348</v>
      </c>
      <c r="C114" s="2">
        <v>381</v>
      </c>
      <c r="D114">
        <f>RTD("tos.rtd", , "LAST", Main_S[[#This Row],[Symbol]])</f>
        <v>0.4844</v>
      </c>
      <c r="E114">
        <v>0.11</v>
      </c>
      <c r="F114">
        <v>0.57999999999999996</v>
      </c>
      <c r="G114">
        <v>0.1</v>
      </c>
      <c r="H114" s="1">
        <f>IF(ISNUMBER(Main_S[[#This Row],[Free CF]]),IF(Main_S[[#This Row],[Free CF]]&lt;&gt;0,Main_S[[#This Row],[Current Price]]/Main_S[[#This Row],[Free CF]],""),"")</f>
        <v>4.4036363636363633</v>
      </c>
      <c r="I114" s="1">
        <f>IF(ISNUMBER(Main_S[[#This Row],[BVPS]]),IF(Main_S[[#This Row],[BVPS]]&lt;&gt;0,Main_S[[#This Row],[Current Price]]/Main_S[[#This Row],[BVPS]],""),"")</f>
        <v>0.83517241379310347</v>
      </c>
      <c r="J114">
        <v>18.62</v>
      </c>
      <c r="K114">
        <v>10.98</v>
      </c>
      <c r="L114">
        <v>1.55</v>
      </c>
      <c r="M114" s="1">
        <f>IF(ISNUMBER(Main_S[[#This Row],[EPS]]),IF(Main_S[[#This Row],[EPS]]&lt;&gt;0,Main_S[[#This Row],[Current Price]]/Main_S[[#This Row],[EPS]],""),"")</f>
        <v>4.8439999999999994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0.44605544936694974</v>
      </c>
      <c r="P114" s="1">
        <f>(Main_S[[#This Row],[P/B]]-VLOOKUP(Main_S[[#This Row],[Industry]], Mean_PB_S, 2, FALSE))/(VLOOKUP(Main_S[[#This Row],[Industry]], Mean_PB_S, 3, FALSE))</f>
        <v>-0.56952776626939139</v>
      </c>
      <c r="Q114" s="1">
        <f>(Main_S[[#This Row],[ROE]]-VLOOKUP(Main_S[[#This Row],[Industry]], Mean_ROE_S, 2, FALSE))/(VLOOKUP(Main_S[[#This Row],[Industry]], Mean_ROE_S, 3, FALSE))</f>
        <v>0.7791004595337474</v>
      </c>
      <c r="R114" s="1">
        <f>(Main_S[[#This Row],[ROA]]-VLOOKUP(Main_S[[#This Row],[Industry]], Mean_ROA_S, 2, FALSE))/(VLOOKUP(Main_S[[#This Row],[Industry]], Mean_ROA_S, 3, FALSE))</f>
        <v>1.3937142880954851</v>
      </c>
      <c r="S114" s="1">
        <f>(Main_S[[#This Row],[A/E]]-VLOOKUP(Main_S[[#This Row],[Industry]], Mean_AE_S, 2, FALSE))/(VLOOKUP(Main_S[[#This Row],[Industry]], Mean_AE_S, 3, FALSE))</f>
        <v>-0.291550304441967</v>
      </c>
      <c r="T114" s="1">
        <f>(Main_S[[#This Row],[P/E]]-VLOOKUP(Main_S[[#This Row],[Industry]], Mean_PE_S, 2, FALSE))/(VLOOKUP(Main_S[[#This Row],[Industry]], Mean_PE_S, 3, FALSE))</f>
        <v>2.4727404008349229E-2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7" t="s">
        <v>107</v>
      </c>
      <c r="B115" s="67" t="s">
        <v>290</v>
      </c>
      <c r="C115" s="2">
        <v>1425</v>
      </c>
      <c r="D115">
        <f>RTD("tos.rtd", , "LAST", Main_S[[#This Row],[Symbol]])</f>
        <v>1.72</v>
      </c>
      <c r="E115">
        <v>-0.05</v>
      </c>
      <c r="F115">
        <v>0.4</v>
      </c>
      <c r="G115">
        <v>-0.09</v>
      </c>
      <c r="H115" s="1">
        <f>IF(ISNUMBER(Main_S[[#This Row],[Free CF]]),IF(Main_S[[#This Row],[Free CF]]&lt;&gt;0,Main_S[[#This Row],[Current Price]]/Main_S[[#This Row],[Free CF]],""),"")</f>
        <v>-34.4</v>
      </c>
      <c r="I115" s="1">
        <f>IF(ISNUMBER(Main_S[[#This Row],[BVPS]]),IF(Main_S[[#This Row],[BVPS]]&lt;&gt;0,Main_S[[#This Row],[Current Price]]/Main_S[[#This Row],[BVPS]],""),"")</f>
        <v>4.3</v>
      </c>
      <c r="J115">
        <v>-20.12</v>
      </c>
      <c r="K115">
        <v>-6.18</v>
      </c>
      <c r="L115">
        <v>1.18</v>
      </c>
      <c r="M115" s="1">
        <f>IF(ISNUMBER(Main_S[[#This Row],[EPS]]),IF(Main_S[[#This Row],[EPS]]&lt;&gt;0,Main_S[[#This Row],[Current Price]]/Main_S[[#This Row],[EPS]],""),"")</f>
        <v>-19.111111111111111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-3.2198262565832945</v>
      </c>
      <c r="P115" s="1">
        <f>(Main_S[[#This Row],[P/B]]-VLOOKUP(Main_S[[#This Row],[Industry]], Mean_PB_S, 2, FALSE))/(VLOOKUP(Main_S[[#This Row],[Industry]], Mean_PB_S, 3, FALSE))</f>
        <v>5.3708179336111144</v>
      </c>
      <c r="Q115" s="1">
        <f>(Main_S[[#This Row],[ROE]]-VLOOKUP(Main_S[[#This Row],[Industry]], Mean_ROE_S, 2, FALSE))/(VLOOKUP(Main_S[[#This Row],[Industry]], Mean_ROE_S, 3, FALSE))</f>
        <v>-1.5043612862559901</v>
      </c>
      <c r="R115" s="1">
        <f>(Main_S[[#This Row],[ROA]]-VLOOKUP(Main_S[[#This Row],[Industry]], Mean_ROA_S, 2, FALSE))/(VLOOKUP(Main_S[[#This Row],[Industry]], Mean_ROA_S, 3, FALSE))</f>
        <v>-1.8913062925201953</v>
      </c>
      <c r="S115" s="1">
        <f>(Main_S[[#This Row],[A/E]]-VLOOKUP(Main_S[[#This Row],[Industry]], Mean_AE_S, 2, FALSE))/(VLOOKUP(Main_S[[#This Row],[Industry]], Mean_AE_S, 3, FALSE))</f>
        <v>-1.0775354440832987</v>
      </c>
      <c r="T115" s="1">
        <f>(Main_S[[#This Row],[P/E]]-VLOOKUP(Main_S[[#This Row],[Industry]], Mean_PE_S, 2, FALSE))/(VLOOKUP(Main_S[[#This Row],[Industry]], Mean_PE_S, 3, FALSE))</f>
        <v>-2.2119766182764837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s="67" t="s">
        <v>107</v>
      </c>
      <c r="B116" s="67" t="s">
        <v>295</v>
      </c>
      <c r="C116" s="2">
        <v>298</v>
      </c>
      <c r="D116">
        <f>RTD("tos.rtd", , "LAST", Main_S[[#This Row],[Symbol]])</f>
        <v>0.98140000000000005</v>
      </c>
      <c r="E116">
        <v>-0.2</v>
      </c>
      <c r="F116">
        <v>0.34</v>
      </c>
      <c r="G116">
        <v>-0.13</v>
      </c>
      <c r="H116" s="1">
        <f>IF(ISNUMBER(Main_S[[#This Row],[Free CF]]),IF(Main_S[[#This Row],[Free CF]]&lt;&gt;0,Main_S[[#This Row],[Current Price]]/Main_S[[#This Row],[Free CF]],""),"")</f>
        <v>-4.907</v>
      </c>
      <c r="I116" s="1">
        <f>IF(ISNUMBER(Main_S[[#This Row],[BVPS]]),IF(Main_S[[#This Row],[BVPS]]&lt;&gt;0,Main_S[[#This Row],[Current Price]]/Main_S[[#This Row],[BVPS]],""),"")</f>
        <v>2.8864705882352939</v>
      </c>
      <c r="J116">
        <v>-45.54</v>
      </c>
      <c r="K116">
        <v>-25.44</v>
      </c>
      <c r="L116">
        <v>1.49</v>
      </c>
      <c r="M116" s="1">
        <f>IF(ISNUMBER(Main_S[[#This Row],[EPS]]),IF(Main_S[[#This Row],[EPS]]&lt;&gt;0,Main_S[[#This Row],[Current Price]]/Main_S[[#This Row],[EPS]],""),"")</f>
        <v>-7.5492307692307694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-0.43354488489953458</v>
      </c>
      <c r="P116" s="1">
        <f>(Main_S[[#This Row],[P/B]]-VLOOKUP(Main_S[[#This Row],[Industry]], Mean_PB_S, 2, FALSE))/(VLOOKUP(Main_S[[#This Row],[Industry]], Mean_PB_S, 3, FALSE))</f>
        <v>2.9473630418704531</v>
      </c>
      <c r="Q116" s="1">
        <f>(Main_S[[#This Row],[ROE]]-VLOOKUP(Main_S[[#This Row],[Industry]], Mean_ROE_S, 2, FALSE))/(VLOOKUP(Main_S[[#This Row],[Industry]], Mean_ROE_S, 3, FALSE))</f>
        <v>-3.0026988592548318</v>
      </c>
      <c r="R116" s="1">
        <f>(Main_S[[#This Row],[ROA]]-VLOOKUP(Main_S[[#This Row],[Industry]], Mean_ROA_S, 2, FALSE))/(VLOOKUP(Main_S[[#This Row],[Industry]], Mean_ROA_S, 3, FALSE))</f>
        <v>-5.5783398812531804</v>
      </c>
      <c r="S116" s="1">
        <f>(Main_S[[#This Row],[A/E]]-VLOOKUP(Main_S[[#This Row],[Industry]], Mean_AE_S, 2, FALSE))/(VLOOKUP(Main_S[[#This Row],[Industry]], Mean_AE_S, 3, FALSE))</f>
        <v>-0.41900735411353435</v>
      </c>
      <c r="T116" s="1">
        <f>(Main_S[[#This Row],[P/E]]-VLOOKUP(Main_S[[#This Row],[Industry]], Mean_PE_S, 2, FALSE))/(VLOOKUP(Main_S[[#This Row],[Industry]], Mean_PE_S, 3, FALSE))</f>
        <v>-1.1324364672869602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7" t="s">
        <v>107</v>
      </c>
      <c r="B117" s="67" t="s">
        <v>349</v>
      </c>
      <c r="C117" s="2">
        <v>265</v>
      </c>
      <c r="D117">
        <f>RTD("tos.rtd", , "LAST", Main_S[[#This Row],[Symbol]])</f>
        <v>0.44600000000000001</v>
      </c>
      <c r="E117">
        <v>-0.3</v>
      </c>
      <c r="F117">
        <v>0.32</v>
      </c>
      <c r="G117">
        <v>0.01</v>
      </c>
      <c r="H117" s="1">
        <f>IF(ISNUMBER(Main_S[[#This Row],[Free CF]]),IF(Main_S[[#This Row],[Free CF]]&lt;&gt;0,Main_S[[#This Row],[Current Price]]/Main_S[[#This Row],[Free CF]],""),"")</f>
        <v>-1.4866666666666668</v>
      </c>
      <c r="I117" s="1">
        <f>IF(ISNUMBER(Main_S[[#This Row],[BVPS]]),IF(Main_S[[#This Row],[BVPS]]&lt;&gt;0,Main_S[[#This Row],[Current Price]]/Main_S[[#This Row],[BVPS]],""),"")</f>
        <v>1.39375</v>
      </c>
      <c r="J117">
        <v>2.74</v>
      </c>
      <c r="K117">
        <v>1.49</v>
      </c>
      <c r="L117">
        <v>1.67</v>
      </c>
      <c r="M117" s="1">
        <f>IF(ISNUMBER(Main_S[[#This Row],[EPS]]),IF(Main_S[[#This Row],[EPS]]&lt;&gt;0,Main_S[[#This Row],[Current Price]]/Main_S[[#This Row],[EPS]],""),"")</f>
        <v>44.6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-0.11041698839474744</v>
      </c>
      <c r="P117" s="1">
        <f>(Main_S[[#This Row],[P/B]]-VLOOKUP(Main_S[[#This Row],[Industry]], Mean_PB_S, 2, FALSE))/(VLOOKUP(Main_S[[#This Row],[Industry]], Mean_PB_S, 3, FALSE))</f>
        <v>0.3881371909951325</v>
      </c>
      <c r="Q117" s="1">
        <f>(Main_S[[#This Row],[ROE]]-VLOOKUP(Main_S[[#This Row],[Industry]], Mean_ROE_S, 2, FALSE))/(VLOOKUP(Main_S[[#This Row],[Industry]], Mean_ROE_S, 3, FALSE))</f>
        <v>-0.15691844916891221</v>
      </c>
      <c r="R117" s="1">
        <f>(Main_S[[#This Row],[ROA]]-VLOOKUP(Main_S[[#This Row],[Industry]], Mean_ROA_S, 2, FALSE))/(VLOOKUP(Main_S[[#This Row],[Industry]], Mean_ROA_S, 3, FALSE))</f>
        <v>-0.42300163906318677</v>
      </c>
      <c r="S117" s="1">
        <f>(Main_S[[#This Row],[A/E]]-VLOOKUP(Main_S[[#This Row],[Industry]], Mean_AE_S, 2, FALSE))/(VLOOKUP(Main_S[[#This Row],[Industry]], Mean_AE_S, 3, FALSE))</f>
        <v>-3.6636205098832697E-2</v>
      </c>
      <c r="T117" s="1">
        <f>(Main_S[[#This Row],[P/E]]-VLOOKUP(Main_S[[#This Row],[Industry]], Mean_PE_S, 2, FALSE))/(VLOOKUP(Main_S[[#This Row],[Industry]], Mean_PE_S, 3, FALSE))</f>
        <v>3.7367705123665864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8" spans="1:26" x14ac:dyDescent="0.25">
      <c r="A118" s="67" t="s">
        <v>107</v>
      </c>
      <c r="B118" s="67" t="s">
        <v>350</v>
      </c>
      <c r="C118" s="2">
        <v>345</v>
      </c>
      <c r="D118">
        <f>RTD("tos.rtd", , "LAST", Main_S[[#This Row],[Symbol]])</f>
        <v>0.63</v>
      </c>
      <c r="E118">
        <v>-0.16</v>
      </c>
      <c r="F118">
        <v>0.32</v>
      </c>
      <c r="G118">
        <v>-0.02</v>
      </c>
      <c r="H118" s="1">
        <f>IF(ISNUMBER(Main_S[[#This Row],[Free CF]]),IF(Main_S[[#This Row],[Free CF]]&lt;&gt;0,Main_S[[#This Row],[Current Price]]/Main_S[[#This Row],[Free CF]],""),"")</f>
        <v>-3.9375</v>
      </c>
      <c r="I118" s="1">
        <f>IF(ISNUMBER(Main_S[[#This Row],[BVPS]]),IF(Main_S[[#This Row],[BVPS]]&lt;&gt;0,Main_S[[#This Row],[Current Price]]/Main_S[[#This Row],[BVPS]],""),"")</f>
        <v>1.96875</v>
      </c>
      <c r="J118">
        <v>-6.69</v>
      </c>
      <c r="K118">
        <v>-3.13</v>
      </c>
      <c r="L118">
        <v>1.39</v>
      </c>
      <c r="M118" s="1">
        <f>IF(ISNUMBER(Main_S[[#This Row],[EPS]]),IF(Main_S[[#This Row],[EPS]]&lt;&gt;0,Main_S[[#This Row],[Current Price]]/Main_S[[#This Row],[EPS]],""),"")</f>
        <v>-31.5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-0.34195366698859281</v>
      </c>
      <c r="P118" s="1">
        <f>(Main_S[[#This Row],[P/B]]-VLOOKUP(Main_S[[#This Row],[Industry]], Mean_PB_S, 2, FALSE))/(VLOOKUP(Main_S[[#This Row],[Industry]], Mean_PB_S, 3, FALSE))</f>
        <v>1.3739578970610902</v>
      </c>
      <c r="Q118" s="1">
        <f>(Main_S[[#This Row],[ROE]]-VLOOKUP(Main_S[[#This Row],[Industry]], Mean_ROE_S, 2, FALSE))/(VLOOKUP(Main_S[[#This Row],[Industry]], Mean_ROE_S, 3, FALSE))</f>
        <v>-0.71275335528138561</v>
      </c>
      <c r="R118" s="1">
        <f>(Main_S[[#This Row],[ROA]]-VLOOKUP(Main_S[[#This Row],[Industry]], Mean_ROA_S, 2, FALSE))/(VLOOKUP(Main_S[[#This Row],[Industry]], Mean_ROA_S, 3, FALSE))</f>
        <v>-1.3074302569212546</v>
      </c>
      <c r="S118" s="1">
        <f>(Main_S[[#This Row],[A/E]]-VLOOKUP(Main_S[[#This Row],[Industry]], Mean_AE_S, 2, FALSE))/(VLOOKUP(Main_S[[#This Row],[Industry]], Mean_AE_S, 3, FALSE))</f>
        <v>-0.63143577023281328</v>
      </c>
      <c r="T118" s="1">
        <f>(Main_S[[#This Row],[P/E]]-VLOOKUP(Main_S[[#This Row],[Industry]], Mean_PE_S, 2, FALSE))/(VLOOKUP(Main_S[[#This Row],[Industry]], Mean_PE_S, 3, FALSE))</f>
        <v>-3.3687350854315281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9" spans="1:26" x14ac:dyDescent="0.25">
      <c r="A119" s="67" t="s">
        <v>107</v>
      </c>
      <c r="B119" s="67" t="s">
        <v>254</v>
      </c>
      <c r="C119" s="2">
        <v>289</v>
      </c>
      <c r="D119">
        <f>RTD("tos.rtd", , "LAST", Main_S[[#This Row],[Symbol]])</f>
        <v>22.37</v>
      </c>
      <c r="E119">
        <v>-0.05</v>
      </c>
      <c r="F119">
        <v>0.08</v>
      </c>
      <c r="G119">
        <v>-0.01</v>
      </c>
      <c r="H119" s="1">
        <f>IF(ISNUMBER(Main_S[[#This Row],[Free CF]]),IF(Main_S[[#This Row],[Free CF]]&lt;&gt;0,Main_S[[#This Row],[Current Price]]/Main_S[[#This Row],[Free CF]],""),"")</f>
        <v>-447.4</v>
      </c>
      <c r="I119" s="1">
        <f>IF(ISNUMBER(Main_S[[#This Row],[BVPS]]),IF(Main_S[[#This Row],[BVPS]]&lt;&gt;0,Main_S[[#This Row],[Current Price]]/Main_S[[#This Row],[BVPS]],""),"")</f>
        <v>279.625</v>
      </c>
      <c r="J119">
        <v>-14.58</v>
      </c>
      <c r="K119">
        <v>-5.88</v>
      </c>
      <c r="L119">
        <v>1.59</v>
      </c>
      <c r="M119" s="1">
        <f>IF(ISNUMBER(Main_S[[#This Row],[EPS]]),IF(Main_S[[#This Row],[EPS]]&lt;&gt;0,Main_S[[#This Row],[Current Price]]/Main_S[[#This Row],[EPS]],""),"")</f>
        <v>-2237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-42.237023778211913</v>
      </c>
      <c r="P119" s="1">
        <f>(Main_S[[#This Row],[P/B]]-VLOOKUP(Main_S[[#This Row],[Industry]], Mean_PB_S, 2, FALSE))/(VLOOKUP(Main_S[[#This Row],[Industry]], Mean_PB_S, 3, FALSE))</f>
        <v>477.40748905988909</v>
      </c>
      <c r="Q119" s="1">
        <f>(Main_S[[#This Row],[ROE]]-VLOOKUP(Main_S[[#This Row],[Industry]], Mean_ROE_S, 2, FALSE))/(VLOOKUP(Main_S[[#This Row],[Industry]], Mean_ROE_S, 3, FALSE))</f>
        <v>-1.1778156468219387</v>
      </c>
      <c r="R119" s="1">
        <f>(Main_S[[#This Row],[ROA]]-VLOOKUP(Main_S[[#This Row],[Industry]], Mean_ROA_S, 2, FALSE))/(VLOOKUP(Main_S[[#This Row],[Industry]], Mean_ROA_S, 3, FALSE))</f>
        <v>-1.8338758627891523</v>
      </c>
      <c r="S119" s="1">
        <f>(Main_S[[#This Row],[A/E]]-VLOOKUP(Main_S[[#This Row],[Industry]], Mean_AE_S, 2, FALSE))/(VLOOKUP(Main_S[[#This Row],[Industry]], Mean_AE_S, 3, FALSE))</f>
        <v>-0.20657893799425539</v>
      </c>
      <c r="T119" s="1">
        <f>(Main_S[[#This Row],[P/E]]-VLOOKUP(Main_S[[#This Row],[Industry]], Mean_PE_S, 2, FALSE))/(VLOOKUP(Main_S[[#This Row],[Industry]], Mean_PE_S, 3, FALSE))</f>
        <v>-209.29767852753062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0" spans="1:26" x14ac:dyDescent="0.25">
      <c r="A120" s="67" t="s">
        <v>107</v>
      </c>
      <c r="B120" s="67" t="s">
        <v>351</v>
      </c>
      <c r="C120" s="2">
        <v>415</v>
      </c>
      <c r="D120">
        <f>RTD("tos.rtd", , "LAST", Main_S[[#This Row],[Symbol]])</f>
        <v>0.14008000000000001</v>
      </c>
      <c r="E120">
        <v>0.04</v>
      </c>
      <c r="F120">
        <v>0.08</v>
      </c>
      <c r="G120">
        <v>0.03</v>
      </c>
      <c r="H120" s="1">
        <f>IF(ISNUMBER(Main_S[[#This Row],[Free CF]]),IF(Main_S[[#This Row],[Free CF]]&lt;&gt;0,Main_S[[#This Row],[Current Price]]/Main_S[[#This Row],[Free CF]],""),"")</f>
        <v>3.5020000000000002</v>
      </c>
      <c r="I120" s="1">
        <f>IF(ISNUMBER(Main_S[[#This Row],[BVPS]]),IF(Main_S[[#This Row],[BVPS]]&lt;&gt;0,Main_S[[#This Row],[Current Price]]/Main_S[[#This Row],[BVPS]],""),"")</f>
        <v>1.7510000000000001</v>
      </c>
      <c r="J120">
        <v>45.09</v>
      </c>
      <c r="K120">
        <v>4.78</v>
      </c>
      <c r="L120">
        <v>2.11</v>
      </c>
      <c r="M120" s="1">
        <f>IF(ISNUMBER(Main_S[[#This Row],[EPS]]),IF(Main_S[[#This Row],[EPS]]&lt;&gt;0,Main_S[[#This Row],[Current Price]]/Main_S[[#This Row],[EPS]],""),"")</f>
        <v>4.6693333333333342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0.36087548788345591</v>
      </c>
      <c r="P120" s="1">
        <f>(Main_S[[#This Row],[P/B]]-VLOOKUP(Main_S[[#This Row],[Industry]], Mean_PB_S, 2, FALSE))/(VLOOKUP(Main_S[[#This Row],[Industry]], Mean_PB_S, 3, FALSE))</f>
        <v>1.000631881850895</v>
      </c>
      <c r="Q120" s="1">
        <f>(Main_S[[#This Row],[ROE]]-VLOOKUP(Main_S[[#This Row],[Industry]], Mean_ROE_S, 2, FALSE))/(VLOOKUP(Main_S[[#This Row],[Industry]], Mean_ROE_S, 3, FALSE))</f>
        <v>2.3393284515588983</v>
      </c>
      <c r="R120" s="1">
        <f>(Main_S[[#This Row],[ROA]]-VLOOKUP(Main_S[[#This Row],[Industry]], Mean_ROA_S, 2, FALSE))/(VLOOKUP(Main_S[[#This Row],[Industry]], Mean_ROA_S, 3, FALSE))</f>
        <v>0.20681874032058886</v>
      </c>
      <c r="S120" s="1">
        <f>(Main_S[[#This Row],[A/E]]-VLOOKUP(Main_S[[#This Row],[Industry]], Mean_AE_S, 2, FALSE))/(VLOOKUP(Main_S[[#This Row],[Industry]], Mean_AE_S, 3, FALSE))</f>
        <v>0.89804882582599377</v>
      </c>
      <c r="T120" s="1">
        <f>(Main_S[[#This Row],[P/E]]-VLOOKUP(Main_S[[#This Row],[Industry]], Mean_PE_S, 2, FALSE))/(VLOOKUP(Main_S[[#This Row],[Industry]], Mean_PE_S, 3, FALSE))</f>
        <v>8.4186657987733171E-3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s="67" t="s">
        <v>107</v>
      </c>
      <c r="B121" s="67" t="s">
        <v>283</v>
      </c>
      <c r="C121" s="2">
        <v>345</v>
      </c>
      <c r="D121">
        <f>RTD("tos.rtd", , "LAST", Main_S[[#This Row],[Symbol]])</f>
        <v>3.02</v>
      </c>
      <c r="E121">
        <v>-3.28</v>
      </c>
      <c r="F121">
        <v>-0.05</v>
      </c>
      <c r="G121">
        <v>-4.97</v>
      </c>
      <c r="H121" s="1">
        <f>IF(ISNUMBER(Main_S[[#This Row],[Free CF]]),IF(Main_S[[#This Row],[Free CF]]&lt;&gt;0,Main_S[[#This Row],[Current Price]]/Main_S[[#This Row],[Free CF]],""),"")</f>
        <v>-0.92073170731707321</v>
      </c>
      <c r="I121" s="1">
        <f>IF(ISNUMBER(Main_S[[#This Row],[BVPS]]),IF(Main_S[[#This Row],[BVPS]]&lt;&gt;0,Main_S[[#This Row],[Current Price]]/Main_S[[#This Row],[BVPS]],""),"")</f>
        <v>-60.4</v>
      </c>
      <c r="J121">
        <v>497.59</v>
      </c>
      <c r="K121">
        <v>-43.78</v>
      </c>
      <c r="L121">
        <v>-4.68</v>
      </c>
      <c r="M121" s="1">
        <f>IF(ISNUMBER(Main_S[[#This Row],[EPS]]),IF(Main_S[[#This Row],[EPS]]&lt;&gt;0,Main_S[[#This Row],[Current Price]]/Main_S[[#This Row],[EPS]],""),"")</f>
        <v>-0.60764587525150904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-5.6951622551314141E-2</v>
      </c>
      <c r="P121" s="1">
        <f>(Main_S[[#This Row],[P/B]]-VLOOKUP(Main_S[[#This Row],[Industry]], Mean_PB_S, 2, FALSE))/(VLOOKUP(Main_S[[#This Row],[Industry]], Mean_PB_S, 3, FALSE))</f>
        <v>-105.55544238372362</v>
      </c>
      <c r="Q121" s="1">
        <f>(Main_S[[#This Row],[ROE]]-VLOOKUP(Main_S[[#This Row],[Industry]], Mean_ROE_S, 2, FALSE))/(VLOOKUP(Main_S[[#This Row],[Industry]], Mean_ROE_S, 3, FALSE))</f>
        <v>29.011151889087451</v>
      </c>
      <c r="R121" s="1">
        <f>(Main_S[[#This Row],[ROA]]-VLOOKUP(Main_S[[#This Row],[Industry]], Mean_ROA_S, 2, FALSE))/(VLOOKUP(Main_S[[#This Row],[Industry]], Mean_ROA_S, 3, FALSE))</f>
        <v>-9.0892534854776308</v>
      </c>
      <c r="S121" s="1">
        <f>(Main_S[[#This Row],[A/E]]-VLOOKUP(Main_S[[#This Row],[Industry]], Mean_AE_S, 2, FALSE))/(VLOOKUP(Main_S[[#This Row],[Industry]], Mean_AE_S, 3, FALSE))</f>
        <v>-13.525840628673034</v>
      </c>
      <c r="T121" s="1">
        <f>(Main_S[[#This Row],[P/E]]-VLOOKUP(Main_S[[#This Row],[Industry]], Mean_PE_S, 2, FALSE))/(VLOOKUP(Main_S[[#This Row],[Industry]], Mean_PE_S, 3, FALSE))</f>
        <v>-0.48429625280916189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7" t="s">
        <v>107</v>
      </c>
      <c r="B122" s="67" t="s">
        <v>282</v>
      </c>
      <c r="C122" s="2">
        <v>461</v>
      </c>
      <c r="D122">
        <f>RTD("tos.rtd", , "LAST", Main_S[[#This Row],[Symbol]])</f>
        <v>4.07</v>
      </c>
      <c r="E122">
        <v>-3.03</v>
      </c>
      <c r="F122">
        <v>-1.17</v>
      </c>
      <c r="G122">
        <v>-2.5299999999999998</v>
      </c>
      <c r="H122" s="1">
        <f>IF(ISNUMBER(Main_S[[#This Row],[Free CF]]),IF(Main_S[[#This Row],[Free CF]]&lt;&gt;0,Main_S[[#This Row],[Current Price]]/Main_S[[#This Row],[Free CF]],""),"")</f>
        <v>-1.3432343234323434</v>
      </c>
      <c r="I122" s="1">
        <f>IF(ISNUMBER(Main_S[[#This Row],[BVPS]]),IF(Main_S[[#This Row],[BVPS]]&lt;&gt;0,Main_S[[#This Row],[Current Price]]/Main_S[[#This Row],[BVPS]],""),"")</f>
        <v>-3.4786324786324792</v>
      </c>
      <c r="J122">
        <v>-19.600000000000001</v>
      </c>
      <c r="K122">
        <v>3.04</v>
      </c>
      <c r="L122">
        <v>-31.46</v>
      </c>
      <c r="M122" s="1">
        <f>IF(ISNUMBER(Main_S[[#This Row],[EPS]]),IF(Main_S[[#This Row],[EPS]]&lt;&gt;0,Main_S[[#This Row],[Current Price]]/Main_S[[#This Row],[EPS]],""),"")</f>
        <v>-1.6086956521739133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-9.6866557239871823E-2</v>
      </c>
      <c r="P122" s="1">
        <f>(Main_S[[#This Row],[P/B]]-VLOOKUP(Main_S[[#This Row],[Industry]], Mean_PB_S, 2, FALSE))/(VLOOKUP(Main_S[[#This Row],[Industry]], Mean_PB_S, 3, FALSE))</f>
        <v>-7.9654202617159502</v>
      </c>
      <c r="Q122" s="1">
        <f>(Main_S[[#This Row],[ROE]]-VLOOKUP(Main_S[[#This Row],[Industry]], Mean_ROE_S, 2, FALSE))/(VLOOKUP(Main_S[[#This Row],[Industry]], Mean_ROE_S, 3, FALSE))</f>
        <v>-1.4737107930239133</v>
      </c>
      <c r="R122" s="1">
        <f>(Main_S[[#This Row],[ROA]]-VLOOKUP(Main_S[[#This Row],[Industry]], Mean_ROA_S, 2, FALSE))/(VLOOKUP(Main_S[[#This Row],[Industry]], Mean_ROA_S, 3, FALSE))</f>
        <v>-0.12627775211946268</v>
      </c>
      <c r="S122" s="1">
        <f>(Main_S[[#This Row],[A/E]]-VLOOKUP(Main_S[[#This Row],[Industry]], Mean_AE_S, 2, FALSE))/(VLOOKUP(Main_S[[#This Row],[Industry]], Mean_AE_S, 3, FALSE))</f>
        <v>-70.414170465415893</v>
      </c>
      <c r="T122" s="1">
        <f>(Main_S[[#This Row],[P/E]]-VLOOKUP(Main_S[[#This Row],[Industry]], Mean_PE_S, 2, FALSE))/(VLOOKUP(Main_S[[#This Row],[Industry]], Mean_PE_S, 3, FALSE))</f>
        <v>-0.57776490975524197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7" t="s">
        <v>107</v>
      </c>
      <c r="B123" s="67" t="s">
        <v>275</v>
      </c>
      <c r="C123" s="2">
        <v>1931</v>
      </c>
      <c r="D123">
        <f>RTD("tos.rtd", , "LAST", Main_S[[#This Row],[Symbol]])</f>
        <v>16.440000000000001</v>
      </c>
      <c r="E123">
        <v>-2.42</v>
      </c>
      <c r="F123">
        <v>-1.94</v>
      </c>
      <c r="G123">
        <v>-1.69</v>
      </c>
      <c r="H123" s="1">
        <f>IF(ISNUMBER(Main_S[[#This Row],[Free CF]]),IF(Main_S[[#This Row],[Free CF]]&lt;&gt;0,Main_S[[#This Row],[Current Price]]/Main_S[[#This Row],[Free CF]],""),"")</f>
        <v>-6.793388429752067</v>
      </c>
      <c r="I123" s="1">
        <f>IF(ISNUMBER(Main_S[[#This Row],[BVPS]]),IF(Main_S[[#This Row],[BVPS]]&lt;&gt;0,Main_S[[#This Row],[Current Price]]/Main_S[[#This Row],[BVPS]],""),"")</f>
        <v>-8.4742268041237114</v>
      </c>
      <c r="J123">
        <v>-6.66</v>
      </c>
      <c r="K123">
        <v>2.2599999999999998</v>
      </c>
      <c r="L123">
        <v>-21.92</v>
      </c>
      <c r="M123" s="1">
        <f>IF(ISNUMBER(Main_S[[#This Row],[EPS]]),IF(Main_S[[#This Row],[EPS]]&lt;&gt;0,Main_S[[#This Row],[Current Price]]/Main_S[[#This Row],[EPS]],""),"")</f>
        <v>-9.7278106508875748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-0.61175696714203154</v>
      </c>
      <c r="P123" s="1">
        <f>(Main_S[[#This Row],[P/B]]-VLOOKUP(Main_S[[#This Row],[Industry]], Mean_PB_S, 2, FALSE))/(VLOOKUP(Main_S[[#This Row],[Industry]], Mean_PB_S, 3, FALSE))</f>
        <v>-16.530220827237446</v>
      </c>
      <c r="Q123" s="1">
        <f>(Main_S[[#This Row],[ROE]]-VLOOKUP(Main_S[[#This Row],[Industry]], Mean_ROE_S, 2, FALSE))/(VLOOKUP(Main_S[[#This Row],[Industry]], Mean_ROE_S, 3, FALSE))</f>
        <v>-0.7109850575949197</v>
      </c>
      <c r="R123" s="1">
        <f>(Main_S[[#This Row],[ROA]]-VLOOKUP(Main_S[[#This Row],[Industry]], Mean_ROA_S, 2, FALSE))/(VLOOKUP(Main_S[[#This Row],[Industry]], Mean_ROA_S, 3, FALSE))</f>
        <v>-0.27559686942017547</v>
      </c>
      <c r="S123" s="1">
        <f>(Main_S[[#This Row],[A/E]]-VLOOKUP(Main_S[[#This Row],[Industry]], Mean_AE_S, 2, FALSE))/(VLOOKUP(Main_S[[#This Row],[Industry]], Mean_AE_S, 3, FALSE))</f>
        <v>-50.148499567636698</v>
      </c>
      <c r="T123" s="1">
        <f>(Main_S[[#This Row],[P/E]]-VLOOKUP(Main_S[[#This Row],[Industry]], Mean_PE_S, 2, FALSE))/(VLOOKUP(Main_S[[#This Row],[Industry]], Mean_PE_S, 3, FALSE))</f>
        <v>-1.3358518620880482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s="67" t="s">
        <v>107</v>
      </c>
      <c r="B124" s="67" t="s">
        <v>268</v>
      </c>
      <c r="C124" s="2">
        <v>823</v>
      </c>
      <c r="D124">
        <f>RTD("tos.rtd", , "LAST", Main_S[[#This Row],[Symbol]])</f>
        <v>21.78</v>
      </c>
      <c r="E124">
        <v>1.75</v>
      </c>
      <c r="F124">
        <v>-2.2599999999999998</v>
      </c>
      <c r="G124">
        <v>0.8</v>
      </c>
      <c r="H124" s="1">
        <f>IF(ISNUMBER(Main_S[[#This Row],[Free CF]]),IF(Main_S[[#This Row],[Free CF]]&lt;&gt;0,Main_S[[#This Row],[Current Price]]/Main_S[[#This Row],[Free CF]],""),"")</f>
        <v>12.445714285714287</v>
      </c>
      <c r="I124" s="1">
        <f>IF(ISNUMBER(Main_S[[#This Row],[BVPS]]),IF(Main_S[[#This Row],[BVPS]]&lt;&gt;0,Main_S[[#This Row],[Current Price]]/Main_S[[#This Row],[BVPS]],""),"")</f>
        <v>-9.6371681415929213</v>
      </c>
      <c r="J124">
        <v>-113.09</v>
      </c>
      <c r="K124">
        <v>3.49</v>
      </c>
      <c r="L124">
        <v>-12.64</v>
      </c>
      <c r="M124" s="1">
        <f>IF(ISNUMBER(Main_S[[#This Row],[EPS]]),IF(Main_S[[#This Row],[EPS]]&lt;&gt;0,Main_S[[#This Row],[Current Price]]/Main_S[[#This Row],[EPS]],""),"")</f>
        <v>27.225000000000001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1.2058117272605162</v>
      </c>
      <c r="P124" s="1">
        <f>(Main_S[[#This Row],[P/B]]-VLOOKUP(Main_S[[#This Row],[Industry]], Mean_PB_S, 2, FALSE))/(VLOOKUP(Main_S[[#This Row],[Industry]], Mean_PB_S, 3, FALSE))</f>
        <v>-18.524049784484724</v>
      </c>
      <c r="Q124" s="1">
        <f>(Main_S[[#This Row],[ROE]]-VLOOKUP(Main_S[[#This Row],[Industry]], Mean_ROE_S, 2, FALSE))/(VLOOKUP(Main_S[[#This Row],[Industry]], Mean_ROE_S, 3, FALSE))</f>
        <v>-6.9843158166140666</v>
      </c>
      <c r="R124" s="1">
        <f>(Main_S[[#This Row],[ROA]]-VLOOKUP(Main_S[[#This Row],[Industry]], Mean_ROA_S, 2, FALSE))/(VLOOKUP(Main_S[[#This Row],[Industry]], Mean_ROA_S, 3, FALSE))</f>
        <v>-4.0132107522897607E-2</v>
      </c>
      <c r="S124" s="1">
        <f>(Main_S[[#This Row],[A/E]]-VLOOKUP(Main_S[[#This Row],[Industry]], Mean_AE_S, 2, FALSE))/(VLOOKUP(Main_S[[#This Row],[Industry]], Mean_AE_S, 3, FALSE))</f>
        <v>-30.435142551767626</v>
      </c>
      <c r="T124" s="1">
        <f>(Main_S[[#This Row],[P/E]]-VLOOKUP(Main_S[[#This Row],[Industry]], Mean_PE_S, 2, FALSE))/(VLOOKUP(Main_S[[#This Row],[Industry]], Mean_PE_S, 3, FALSE))</f>
        <v>2.1144556666143886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7" t="s">
        <v>107</v>
      </c>
      <c r="B125" s="67" t="s">
        <v>352</v>
      </c>
      <c r="C125" s="2">
        <v>254</v>
      </c>
      <c r="D125">
        <f>RTD("tos.rtd", , "LAST", Main_S[[#This Row],[Symbol]])</f>
        <v>16.75</v>
      </c>
      <c r="E125">
        <v>-6.87</v>
      </c>
      <c r="F125">
        <v>-3.43</v>
      </c>
      <c r="G125">
        <v>1.89</v>
      </c>
      <c r="H125" s="1">
        <f>IF(ISNUMBER(Main_S[[#This Row],[Free CF]]),IF(Main_S[[#This Row],[Free CF]]&lt;&gt;0,Main_S[[#This Row],[Current Price]]/Main_S[[#This Row],[Free CF]],""),"")</f>
        <v>-2.4381368267831149</v>
      </c>
      <c r="I125" s="1">
        <f>IF(ISNUMBER(Main_S[[#This Row],[BVPS]]),IF(Main_S[[#This Row],[BVPS]]&lt;&gt;0,Main_S[[#This Row],[Current Price]]/Main_S[[#This Row],[BVPS]],""),"")</f>
        <v>-4.8833819241982503</v>
      </c>
      <c r="J125">
        <v>-10.48</v>
      </c>
      <c r="K125">
        <v>-3.3</v>
      </c>
      <c r="L125">
        <v>-18.260000000000002</v>
      </c>
      <c r="M125" s="1">
        <f>IF(ISNUMBER(Main_S[[#This Row],[EPS]]),IF(Main_S[[#This Row],[EPS]]&lt;&gt;0,Main_S[[#This Row],[Current Price]]/Main_S[[#This Row],[EPS]],""),"")</f>
        <v>8.8624338624338623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-0.20030487985527787</v>
      </c>
      <c r="P125" s="1">
        <f>(Main_S[[#This Row],[P/B]]-VLOOKUP(Main_S[[#This Row],[Industry]], Mean_PB_S, 2, FALSE))/(VLOOKUP(Main_S[[#This Row],[Industry]], Mean_PB_S, 3, FALSE))</f>
        <v>-10.373822157843621</v>
      </c>
      <c r="Q125" s="1">
        <f>(Main_S[[#This Row],[ROE]]-VLOOKUP(Main_S[[#This Row],[Industry]], Mean_ROE_S, 2, FALSE))/(VLOOKUP(Main_S[[#This Row],[Industry]], Mean_ROE_S, 3, FALSE))</f>
        <v>-0.93614829633825469</v>
      </c>
      <c r="R125" s="1">
        <f>(Main_S[[#This Row],[ROA]]-VLOOKUP(Main_S[[#This Row],[Industry]], Mean_ROA_S, 2, FALSE))/(VLOOKUP(Main_S[[#This Row],[Industry]], Mean_ROA_S, 3, FALSE))</f>
        <v>-1.3399741671021792</v>
      </c>
      <c r="S125" s="1">
        <f>(Main_S[[#This Row],[A/E]]-VLOOKUP(Main_S[[#This Row],[Industry]], Mean_AE_S, 2, FALSE))/(VLOOKUP(Main_S[[#This Row],[Industry]], Mean_AE_S, 3, FALSE))</f>
        <v>-42.373619537671097</v>
      </c>
      <c r="T125" s="1">
        <f>(Main_S[[#This Row],[P/E]]-VLOOKUP(Main_S[[#This Row],[Industry]], Mean_PE_S, 2, FALSE))/(VLOOKUP(Main_S[[#This Row],[Industry]], Mean_PE_S, 3, FALSE))</f>
        <v>0.39993113993351759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7" t="s">
        <v>107</v>
      </c>
      <c r="B126" s="67" t="s">
        <v>259</v>
      </c>
      <c r="C126" s="2">
        <v>1211</v>
      </c>
      <c r="D126">
        <f>RTD("tos.rtd", , "LAST", Main_S[[#This Row],[Symbol]])</f>
        <v>13.17</v>
      </c>
      <c r="E126">
        <v>-1.62</v>
      </c>
      <c r="F126">
        <v>-9.9499999999999993</v>
      </c>
      <c r="G126">
        <v>-4.05</v>
      </c>
      <c r="H126" s="1">
        <f>IF(ISNUMBER(Main_S[[#This Row],[Free CF]]),IF(Main_S[[#This Row],[Free CF]]&lt;&gt;0,Main_S[[#This Row],[Current Price]]/Main_S[[#This Row],[Free CF]],""),"")</f>
        <v>-8.1296296296296298</v>
      </c>
      <c r="I126" s="1">
        <f>IF(ISNUMBER(Main_S[[#This Row],[BVPS]]),IF(Main_S[[#This Row],[BVPS]]&lt;&gt;0,Main_S[[#This Row],[Current Price]]/Main_S[[#This Row],[BVPS]],""),"")</f>
        <v>-1.3236180904522614</v>
      </c>
      <c r="J126">
        <v>76.02</v>
      </c>
      <c r="K126">
        <v>-1.35</v>
      </c>
      <c r="L126">
        <v>-3.27</v>
      </c>
      <c r="M126" s="1">
        <f>IF(ISNUMBER(Main_S[[#This Row],[EPS]]),IF(Main_S[[#This Row],[EPS]]&lt;&gt;0,Main_S[[#This Row],[Current Price]]/Main_S[[#This Row],[EPS]],""),"")</f>
        <v>-3.251851851851852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-0.7379951919172395</v>
      </c>
      <c r="P126" s="1">
        <f>(Main_S[[#This Row],[P/B]]-VLOOKUP(Main_S[[#This Row],[Industry]], Mean_PB_S, 2, FALSE))/(VLOOKUP(Main_S[[#This Row],[Industry]], Mean_PB_S, 3, FALSE))</f>
        <v>-4.2707110343453056</v>
      </c>
      <c r="Q126" s="1">
        <f>(Main_S[[#This Row],[ROE]]-VLOOKUP(Main_S[[#This Row],[Industry]], Mean_ROE_S, 2, FALSE))/(VLOOKUP(Main_S[[#This Row],[Industry]], Mean_ROE_S, 3, FALSE))</f>
        <v>4.1624433663053244</v>
      </c>
      <c r="R126" s="1">
        <f>(Main_S[[#This Row],[ROA]]-VLOOKUP(Main_S[[#This Row],[Industry]], Mean_ROA_S, 2, FALSE))/(VLOOKUP(Main_S[[#This Row],[Industry]], Mean_ROA_S, 3, FALSE))</f>
        <v>-0.96667637385039729</v>
      </c>
      <c r="S126" s="1">
        <f>(Main_S[[#This Row],[A/E]]-VLOOKUP(Main_S[[#This Row],[Industry]], Mean_AE_S, 2, FALSE))/(VLOOKUP(Main_S[[#This Row],[Industry]], Mean_AE_S, 3, FALSE))</f>
        <v>-10.530599961391205</v>
      </c>
      <c r="T126" s="1">
        <f>(Main_S[[#This Row],[P/E]]-VLOOKUP(Main_S[[#This Row],[Industry]], Mean_PE_S, 2, FALSE))/(VLOOKUP(Main_S[[#This Row],[Industry]], Mean_PE_S, 3, FALSE))</f>
        <v>-0.73118745344602076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16"/>
  <sheetViews>
    <sheetView topLeftCell="A5" workbookViewId="0">
      <selection activeCell="B24" sqref="B24"/>
    </sheetView>
  </sheetViews>
  <sheetFormatPr defaultRowHeight="15" x14ac:dyDescent="0.25"/>
  <cols>
    <col min="1" max="1" width="27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107</v>
      </c>
      <c r="B3" s="1" cm="1">
        <f t="array" ref="B3">_xlfn.QUARTILE.INC(IF(Quartile_L[[#This Row],[Industry]]=Main_L[Industry],Main_L[P/FCF]),1)</f>
        <v>9.5743589743589759</v>
      </c>
      <c r="C3" s="1" cm="1">
        <f t="array" ref="C3">_xlfn.QUARTILE.INC(IF(Quartile_L[[#This Row],[Industry]]=Main_L[Industry],Main_L[P/FCF]),3)</f>
        <v>28.677083333333336</v>
      </c>
      <c r="D3" s="1">
        <f>Quartile_L[[#This Row],[P/FCF Q1]]-1.5*(Quartile_L[[#This Row],[P/FCF Q3]]-Quartile_L[[#This Row],[P/FCF Q1]])</f>
        <v>-19.079727564102566</v>
      </c>
      <c r="E3" s="1">
        <f>Quartile_L[[#This Row],[P/FCF Q3]]+1.5*(Quartile_L[[#This Row],[P/FCF Q3]]-Quartile_L[[#This Row],[P/FCF Q1]])</f>
        <v>57.331169871794877</v>
      </c>
      <c r="F3" s="1" cm="1">
        <f t="array" ref="F3">_xlfn.QUARTILE.INC(IF(Quartile_L[[#This Row],[Industry]]=Main_L[Industry],Main_L[P/B]),1)</f>
        <v>1.5877883685591931</v>
      </c>
      <c r="G3" s="1" cm="1">
        <f t="array" ref="G3">_xlfn.QUARTILE.INC(IF(Quartile_L[[#This Row],[Industry]]=Main_L[Industry],Main_L[P/B]),3)</f>
        <v>3.020542781756502</v>
      </c>
      <c r="H3" s="1">
        <f>Quartile_L[[#This Row],[P/B Q1]]-1.5*(Quartile_L[[#This Row],[P/B Q3]]-Quartile_L[[#This Row],[P/B Q1]])</f>
        <v>-0.56134325123677042</v>
      </c>
      <c r="I3" s="1">
        <f>Quartile_L[[#This Row],[P/B Q3]]+1.5*(Quartile_L[[#This Row],[P/B Q3]]-Quartile_L[[#This Row],[P/B Q1]])</f>
        <v>5.1696744015524656</v>
      </c>
      <c r="J3" s="1" cm="1">
        <f t="array" ref="J3">_xlfn.QUARTILE.INC(IF(Quartile_L[[#This Row],[Industry]]=Main_L[Industry],Main_L[ROE]),1)</f>
        <v>8.4499999999999993</v>
      </c>
      <c r="K3" s="1" cm="1">
        <f t="array" ref="K3">_xlfn.QUARTILE.INC(IF(Quartile_L[[#This Row],[Industry]]=Main_L[Industry],Main_L[ROE]),3)</f>
        <v>18.95</v>
      </c>
      <c r="L3" s="1">
        <f>Quartile_L[[#This Row],[ROE Q1]]-1.5*(Quartile_L[[#This Row],[ROE Q3]]-Quartile_L[[#This Row],[ROE Q1]])</f>
        <v>-7.3000000000000007</v>
      </c>
      <c r="M3" s="1">
        <f>Quartile_L[[#This Row],[ROE Q3]]+1.5*(Quartile_L[[#This Row],[ROE Q3]]-Quartile_L[[#This Row],[ROE Q1]])</f>
        <v>34.700000000000003</v>
      </c>
      <c r="N3" s="1" cm="1">
        <f t="array" ref="N3">_xlfn.QUARTILE.INC(IF(Quartile_L[[#This Row],[Industry]]=Main_L[Industry],Main_L[ROA]),1)</f>
        <v>3.54</v>
      </c>
      <c r="O3" s="1" cm="1">
        <f t="array" ref="O3">_xlfn.QUARTILE.INC(IF(Quartile_L[[#This Row],[Industry]]=Main_L[Industry],Main_L[ROA]),3)</f>
        <v>8.56</v>
      </c>
      <c r="P3" s="1">
        <f>Quartile_L[[#This Row],[ROA Q1]]-1.5*(Quartile_L[[#This Row],[ROA Q3]]-Quartile_L[[#This Row],[ROA Q1]])</f>
        <v>-3.9900000000000011</v>
      </c>
      <c r="Q3" s="1">
        <f>Quartile_L[[#This Row],[ROA Q3]]+1.5*(Quartile_L[[#This Row],[ROA Q3]]-Quartile_L[[#This Row],[ROA Q1]])</f>
        <v>16.090000000000003</v>
      </c>
      <c r="R3" s="1" cm="1">
        <f t="array" ref="R3">_xlfn.QUARTILE.INC(IF(Quartile_L[[#This Row],[Industry]]=Main_L[Industry],Main_L[P/E]),1)</f>
        <v>11.179640718562876</v>
      </c>
      <c r="S3" s="1" cm="1">
        <f t="array" ref="S3">_xlfn.QUARTILE.INC(IF(Quartile_L[[#This Row],[Industry]]=Main_L[Industry],Main_L[P/E]),3)</f>
        <v>26.266968325791854</v>
      </c>
      <c r="T3" s="1">
        <f>Quartile_L[[#This Row],[P/E Q1]]-1.5*(Quartile_L[[#This Row],[P/E Q3]]-Quartile_L[[#This Row],[P/E Q1]])</f>
        <v>-11.451350692280592</v>
      </c>
      <c r="U3" s="1">
        <f>Quartile_L[[#This Row],[P/E Q3]]+1.5*(Quartile_L[[#This Row],[P/E Q3]]-Quartile_L[[#This Row],[P/E Q1]])</f>
        <v>48.897959736635322</v>
      </c>
      <c r="V3" s="1" cm="1">
        <f t="array" ref="V3">_xlfn.QUARTILE.INC(IF(Quartile_L[[#This Row],[Industry]]=Main_L[Industry],Main_L[A/E]),1)</f>
        <v>1.82</v>
      </c>
      <c r="W3" s="1" cm="1">
        <f t="array" ref="W3">_xlfn.QUARTILE.INC(IF(Quartile_L[[#This Row],[Industry]]=Main_L[Industry],Main_L[A/E]),3)</f>
        <v>3.56</v>
      </c>
      <c r="X3" s="1">
        <f>Quartile_L[[#This Row],[A/E Q1]]-1.5*(Quartile_L[[#This Row],[A/E Q3]]-Quartile_L[[#This Row],[A/E Q1]])</f>
        <v>-0.78999999999999981</v>
      </c>
      <c r="Y3" s="1">
        <f>Quartile_L[[#This Row],[A/E Q3]]+1.5*(Quartile_L[[#This Row],[A/E Q3]]-Quartile_L[[#This Row],[A/E Q1]])</f>
        <v>6.17</v>
      </c>
    </row>
    <row r="4" spans="1:25" x14ac:dyDescent="0.25">
      <c r="A4" t="s">
        <v>106</v>
      </c>
      <c r="B4" s="1" cm="1">
        <f t="array" ref="B4">_xlfn.QUARTILE.INC(IF(Quartile_L[[#This Row],[Industry]]=Main_L[Industry],Main_L[P/FCF]),1)</f>
        <v>9.879032258064516</v>
      </c>
      <c r="C4" s="1" cm="1">
        <f t="array" ref="C4">_xlfn.QUARTILE.INC(IF(Quartile_L[[#This Row],[Industry]]=Main_L[Industry],Main_L[P/FCF]),3)</f>
        <v>18.746031746031747</v>
      </c>
      <c r="D4" s="1">
        <f>Quartile_L[[#This Row],[P/FCF Q1]]-1.5*(Quartile_L[[#This Row],[P/FCF Q3]]-Quartile_L[[#This Row],[P/FCF Q1]])</f>
        <v>-3.4214669738863304</v>
      </c>
      <c r="E4" s="1">
        <f>Quartile_L[[#This Row],[P/FCF Q3]]+1.5*(Quartile_L[[#This Row],[P/FCF Q3]]-Quartile_L[[#This Row],[P/FCF Q1]])</f>
        <v>32.046530977982592</v>
      </c>
      <c r="F4" s="1" cm="1">
        <f t="array" ref="F4">_xlfn.QUARTILE.INC(IF(Quartile_L[[#This Row],[Industry]]=Main_L[Industry],Main_L[P/B]),1)</f>
        <v>1.7441860465116281</v>
      </c>
      <c r="G4" s="1" cm="1">
        <f t="array" ref="G4">_xlfn.QUARTILE.INC(IF(Quartile_L[[#This Row],[Industry]]=Main_L[Industry],Main_L[P/B]),3)</f>
        <v>2.227193492155723</v>
      </c>
      <c r="H4" s="1">
        <f>Quartile_L[[#This Row],[P/B Q1]]-1.5*(Quartile_L[[#This Row],[P/B Q3]]-Quartile_L[[#This Row],[P/B Q1]])</f>
        <v>1.0196748780454858</v>
      </c>
      <c r="I4" s="1">
        <f>Quartile_L[[#This Row],[P/B Q3]]+1.5*(Quartile_L[[#This Row],[P/B Q3]]-Quartile_L[[#This Row],[P/B Q1]])</f>
        <v>2.9517046606218655</v>
      </c>
      <c r="J4" s="1" cm="1">
        <f t="array" ref="J4">_xlfn.QUARTILE.INC(IF(Quartile_L[[#This Row],[Industry]]=Main_L[Industry],Main_L[ROE]),1)</f>
        <v>18.04</v>
      </c>
      <c r="K4" s="1" cm="1">
        <f t="array" ref="K4">_xlfn.QUARTILE.INC(IF(Quartile_L[[#This Row],[Industry]]=Main_L[Industry],Main_L[ROE]),3)</f>
        <v>20.47</v>
      </c>
      <c r="L4" s="1">
        <f>Quartile_L[[#This Row],[ROE Q1]]-1.5*(Quartile_L[[#This Row],[ROE Q3]]-Quartile_L[[#This Row],[ROE Q1]])</f>
        <v>14.395</v>
      </c>
      <c r="M4" s="1">
        <f>Quartile_L[[#This Row],[ROE Q3]]+1.5*(Quartile_L[[#This Row],[ROE Q3]]-Quartile_L[[#This Row],[ROE Q1]])</f>
        <v>24.114999999999998</v>
      </c>
      <c r="N4" s="1" cm="1">
        <f t="array" ref="N4">_xlfn.QUARTILE.INC(IF(Quartile_L[[#This Row],[Industry]]=Main_L[Industry],Main_L[ROA]),1)</f>
        <v>6.65</v>
      </c>
      <c r="O4" s="1" cm="1">
        <f t="array" ref="O4">_xlfn.QUARTILE.INC(IF(Quartile_L[[#This Row],[Industry]]=Main_L[Industry],Main_L[ROA]),3)</f>
        <v>8.17</v>
      </c>
      <c r="P4" s="1">
        <f>Quartile_L[[#This Row],[ROA Q1]]-1.5*(Quartile_L[[#This Row],[ROA Q3]]-Quartile_L[[#This Row],[ROA Q1]])</f>
        <v>4.370000000000001</v>
      </c>
      <c r="Q4" s="1">
        <f>Quartile_L[[#This Row],[ROA Q3]]+1.5*(Quartile_L[[#This Row],[ROA Q3]]-Quartile_L[[#This Row],[ROA Q1]])</f>
        <v>10.45</v>
      </c>
      <c r="R4" s="1" cm="1">
        <f t="array" ref="R4">_xlfn.QUARTILE.INC(IF(Quartile_L[[#This Row],[Industry]]=Main_L[Industry],Main_L[P/E]),1)</f>
        <v>8.75</v>
      </c>
      <c r="S4" s="1" cm="1">
        <f t="array" ref="S4">_xlfn.QUARTILE.INC(IF(Quartile_L[[#This Row],[Industry]]=Main_L[Industry],Main_L[P/E]),3)</f>
        <v>13.081911262798634</v>
      </c>
      <c r="T4" s="1">
        <f>Quartile_L[[#This Row],[P/E Q1]]-1.5*(Quartile_L[[#This Row],[P/E Q3]]-Quartile_L[[#This Row],[P/E Q1]])</f>
        <v>2.2521331058020486</v>
      </c>
      <c r="U4" s="1">
        <f>Quartile_L[[#This Row],[P/E Q3]]+1.5*(Quartile_L[[#This Row],[P/E Q3]]-Quartile_L[[#This Row],[P/E Q1]])</f>
        <v>19.579778156996586</v>
      </c>
      <c r="V4" s="1" cm="1">
        <f t="array" ref="V4">_xlfn.QUARTILE.INC(IF(Quartile_L[[#This Row],[Industry]]=Main_L[Industry],Main_L[A/E]),1)</f>
        <v>1.51</v>
      </c>
      <c r="W4" s="1" cm="1">
        <f t="array" ref="W4">_xlfn.QUARTILE.INC(IF(Quartile_L[[#This Row],[Industry]]=Main_L[Industry],Main_L[A/E]),3)</f>
        <v>2.4300000000000002</v>
      </c>
      <c r="X4" s="1">
        <f>Quartile_L[[#This Row],[A/E Q1]]-1.5*(Quartile_L[[#This Row],[A/E Q3]]-Quartile_L[[#This Row],[A/E Q1]])</f>
        <v>0.12999999999999967</v>
      </c>
      <c r="Y4" s="1">
        <f>Quartile_L[[#This Row],[A/E Q3]]+1.5*(Quartile_L[[#This Row],[A/E Q3]]-Quartile_L[[#This Row],[A/E Q1]])</f>
        <v>3.8100000000000005</v>
      </c>
    </row>
    <row r="7" spans="1:25" x14ac:dyDescent="0.25">
      <c r="A7" t="s">
        <v>22</v>
      </c>
    </row>
    <row r="8" spans="1:25" x14ac:dyDescent="0.25">
      <c r="A8" t="s">
        <v>1</v>
      </c>
      <c r="B8" t="s">
        <v>2</v>
      </c>
      <c r="C8" t="s">
        <v>3</v>
      </c>
      <c r="D8" t="s">
        <v>4</v>
      </c>
      <c r="E8" t="s">
        <v>5</v>
      </c>
      <c r="F8" t="s">
        <v>72</v>
      </c>
      <c r="G8" t="s">
        <v>73</v>
      </c>
      <c r="H8" t="s">
        <v>74</v>
      </c>
      <c r="I8" t="s">
        <v>75</v>
      </c>
      <c r="J8" t="s">
        <v>6</v>
      </c>
      <c r="K8" t="s">
        <v>7</v>
      </c>
      <c r="L8" t="s">
        <v>8</v>
      </c>
      <c r="M8" t="s">
        <v>9</v>
      </c>
      <c r="N8" t="s">
        <v>10</v>
      </c>
      <c r="O8" t="s">
        <v>11</v>
      </c>
      <c r="P8" t="s">
        <v>12</v>
      </c>
      <c r="Q8" t="s">
        <v>13</v>
      </c>
      <c r="R8" t="s">
        <v>14</v>
      </c>
      <c r="S8" t="s">
        <v>15</v>
      </c>
      <c r="T8" t="s">
        <v>16</v>
      </c>
      <c r="U8" t="s">
        <v>17</v>
      </c>
      <c r="V8" t="s">
        <v>18</v>
      </c>
      <c r="W8" t="s">
        <v>19</v>
      </c>
      <c r="X8" t="s">
        <v>20</v>
      </c>
      <c r="Y8" t="s">
        <v>21</v>
      </c>
    </row>
    <row r="9" spans="1:25" x14ac:dyDescent="0.25">
      <c r="A9" t="s">
        <v>107</v>
      </c>
      <c r="B9" s="1" cm="1">
        <f t="array" ref="B9">_xlfn.QUARTILE.INC(IF(Quartile_M[[#This Row],[Industry]]=Main_M[Industry],Main_M[P/FCF]),1)</f>
        <v>-1.0509303508367878</v>
      </c>
      <c r="C9" s="1" cm="1">
        <f t="array" ref="C9">_xlfn.QUARTILE.INC(IF(Quartile_M[[#This Row],[Industry]]=Main_M[Industry],Main_M[P/FCF]),3)</f>
        <v>14.05207423580786</v>
      </c>
      <c r="D9" s="1">
        <f>Quartile_M[[#This Row],[P/FCF Q1]]-1.5*(Quartile_M[[#This Row],[P/FCF Q3]]-Quartile_M[[#This Row],[P/FCF Q1]])</f>
        <v>-23.70543723080376</v>
      </c>
      <c r="E9" s="1">
        <f>Quartile_M[[#This Row],[P/FCF Q3]]+1.5*(Quartile_M[[#This Row],[P/FCF Q3]]-Quartile_M[[#This Row],[P/FCF Q1]])</f>
        <v>36.706581115774831</v>
      </c>
      <c r="F9" s="1" cm="1">
        <f t="array" ref="F9">_xlfn.QUARTILE.INC(IF(Quartile_M[[#This Row],[Industry]]=Main_M[Industry],Main_M[P/B]),1)</f>
        <v>1.0875042453822963</v>
      </c>
      <c r="G9" s="1" cm="1">
        <f t="array" ref="G9">_xlfn.QUARTILE.INC(IF(Quartile_M[[#This Row],[Industry]]=Main_M[Industry],Main_M[P/B]),3)</f>
        <v>3.3988107446385767</v>
      </c>
      <c r="H9" s="1">
        <f>Quartile_M[[#This Row],[P/B Q1]]-1.5*(Quartile_M[[#This Row],[P/B Q3]]-Quartile_M[[#This Row],[P/B Q1]])</f>
        <v>-2.3794555035021241</v>
      </c>
      <c r="I9" s="1">
        <f>Quartile_M[[#This Row],[P/B Q3]]+1.5*(Quartile_M[[#This Row],[P/B Q3]]-Quartile_M[[#This Row],[P/B Q1]])</f>
        <v>6.8657704935229971</v>
      </c>
      <c r="J9" s="1" cm="1">
        <f t="array" ref="J9">_xlfn.QUARTILE.INC(IF(Quartile_M[[#This Row],[Industry]]=Main_M[Industry],Main_M[ROE]),1)</f>
        <v>4.3250000000000002</v>
      </c>
      <c r="K9" s="1" cm="1">
        <f t="array" ref="K9">_xlfn.QUARTILE.INC(IF(Quartile_M[[#This Row],[Industry]]=Main_M[Industry],Main_M[ROE]),3)</f>
        <v>19.745000000000001</v>
      </c>
      <c r="L9" s="1">
        <f>Quartile_M[[#This Row],[ROE Q1]]-1.5*(Quartile_M[[#This Row],[ROE Q3]]-Quartile_M[[#This Row],[ROE Q1]])</f>
        <v>-18.805000000000003</v>
      </c>
      <c r="M9" s="1">
        <f>Quartile_M[[#This Row],[ROE Q3]]+1.5*(Quartile_M[[#This Row],[ROE Q3]]-Quartile_M[[#This Row],[ROE Q1]])</f>
        <v>42.875</v>
      </c>
      <c r="N9" s="1" cm="1">
        <f t="array" ref="N9">_xlfn.QUARTILE.INC(IF(Quartile_M[[#This Row],[Industry]]=Main_M[Industry],Main_M[ROA]),1)</f>
        <v>3.1475</v>
      </c>
      <c r="O9" s="1" cm="1">
        <f t="array" ref="O9">_xlfn.QUARTILE.INC(IF(Quartile_M[[#This Row],[Industry]]=Main_M[Industry],Main_M[ROA]),3)</f>
        <v>8.1050000000000004</v>
      </c>
      <c r="P9" s="1">
        <f>Quartile_M[[#This Row],[ROA Q1]]-1.5*(Quartile_M[[#This Row],[ROA Q3]]-Quartile_M[[#This Row],[ROA Q1]])</f>
        <v>-4.2887500000000012</v>
      </c>
      <c r="Q9" s="1">
        <f>Quartile_M[[#This Row],[ROA Q3]]+1.5*(Quartile_M[[#This Row],[ROA Q3]]-Quartile_M[[#This Row],[ROA Q1]])</f>
        <v>15.541250000000002</v>
      </c>
      <c r="R9" s="1" cm="1">
        <f t="array" ref="R9">_xlfn.QUARTILE.INC(IF(Quartile_M[[#This Row],[Industry]]=Main_M[Industry],Main_M[P/E]),1)</f>
        <v>3.3144006383988267</v>
      </c>
      <c r="S9" s="1" cm="1">
        <f t="array" ref="S9">_xlfn.QUARTILE.INC(IF(Quartile_M[[#This Row],[Industry]]=Main_M[Industry],Main_M[P/E]),3)</f>
        <v>18.633279220779222</v>
      </c>
      <c r="T9" s="1">
        <f>Quartile_M[[#This Row],[P/E Q1]]-1.5*(Quartile_M[[#This Row],[P/E Q3]]-Quartile_M[[#This Row],[P/E Q1]])</f>
        <v>-19.66391723517177</v>
      </c>
      <c r="U9" s="1">
        <f>Quartile_M[[#This Row],[P/E Q3]]+1.5*(Quartile_M[[#This Row],[P/E Q3]]-Quartile_M[[#This Row],[P/E Q1]])</f>
        <v>41.611597094349818</v>
      </c>
      <c r="V9" s="1" cm="1">
        <f t="array" ref="V9">_xlfn.QUARTILE.INC(IF(Quartile_M[[#This Row],[Industry]]=Main_M[Industry],Main_M[A/E]),1)</f>
        <v>1.62</v>
      </c>
      <c r="W9" s="1" cm="1">
        <f t="array" ref="W9">_xlfn.QUARTILE.INC(IF(Quartile_M[[#This Row],[Industry]]=Main_M[Industry],Main_M[A/E]),3)</f>
        <v>3.0649999999999999</v>
      </c>
      <c r="X9" s="1">
        <f>Quartile_M[[#This Row],[A/E Q1]]-1.5*(Quartile_M[[#This Row],[A/E Q3]]-Quartile_M[[#This Row],[A/E Q1]])</f>
        <v>-0.54749999999999943</v>
      </c>
      <c r="Y9" s="1">
        <f>Quartile_M[[#This Row],[A/E Q3]]+1.5*(Quartile_M[[#This Row],[A/E Q3]]-Quartile_M[[#This Row],[A/E Q1]])</f>
        <v>5.2324999999999999</v>
      </c>
    </row>
    <row r="10" spans="1:25" x14ac:dyDescent="0.25">
      <c r="A10" t="s">
        <v>106</v>
      </c>
      <c r="B10" s="1" cm="1">
        <f t="array" ref="B10">_xlfn.QUARTILE.INC(IF(Quartile_M[[#This Row],[Industry]]=Main_M[Industry],Main_M[P/FCF]),1)</f>
        <v>6.0113435179897197</v>
      </c>
      <c r="C10" s="1" cm="1">
        <f t="array" ref="C10">_xlfn.QUARTILE.INC(IF(Quartile_M[[#This Row],[Industry]]=Main_M[Industry],Main_M[P/FCF]),3)</f>
        <v>32.935716261061948</v>
      </c>
      <c r="D10" s="1">
        <f>Quartile_M[[#This Row],[P/FCF Q1]]-1.5*(Quartile_M[[#This Row],[P/FCF Q3]]-Quartile_M[[#This Row],[P/FCF Q1]])</f>
        <v>-34.375215596618624</v>
      </c>
      <c r="E10" s="1">
        <f>Quartile_M[[#This Row],[P/FCF Q3]]+1.5*(Quartile_M[[#This Row],[P/FCF Q3]]-Quartile_M[[#This Row],[P/FCF Q1]])</f>
        <v>73.322275375670301</v>
      </c>
      <c r="F10" s="1" cm="1">
        <f t="array" ref="F10">_xlfn.QUARTILE.INC(IF(Quartile_M[[#This Row],[Industry]]=Main_M[Industry],Main_M[P/B]),1)</f>
        <v>0.91691180587925492</v>
      </c>
      <c r="G10" s="1" cm="1">
        <f t="array" ref="G10">_xlfn.QUARTILE.INC(IF(Quartile_M[[#This Row],[Industry]]=Main_M[Industry],Main_M[P/B]),3)</f>
        <v>2.905927129028079</v>
      </c>
      <c r="H10" s="1">
        <f>Quartile_M[[#This Row],[P/B Q1]]-1.5*(Quartile_M[[#This Row],[P/B Q3]]-Quartile_M[[#This Row],[P/B Q1]])</f>
        <v>-2.0666111788439814</v>
      </c>
      <c r="I10" s="1">
        <f>Quartile_M[[#This Row],[P/B Q3]]+1.5*(Quartile_M[[#This Row],[P/B Q3]]-Quartile_M[[#This Row],[P/B Q1]])</f>
        <v>5.8894501137513151</v>
      </c>
      <c r="J10" s="1" cm="1">
        <f t="array" ref="J10">_xlfn.QUARTILE.INC(IF(Quartile_M[[#This Row],[Industry]]=Main_M[Industry],Main_M[ROE]),1)</f>
        <v>10.48</v>
      </c>
      <c r="K10" s="1" cm="1">
        <f t="array" ref="K10">_xlfn.QUARTILE.INC(IF(Quartile_M[[#This Row],[Industry]]=Main_M[Industry],Main_M[ROE]),3)</f>
        <v>19.79</v>
      </c>
      <c r="L10" s="1">
        <f>Quartile_M[[#This Row],[ROE Q1]]-1.5*(Quartile_M[[#This Row],[ROE Q3]]-Quartile_M[[#This Row],[ROE Q1]])</f>
        <v>-3.4849999999999977</v>
      </c>
      <c r="M10" s="1">
        <f>Quartile_M[[#This Row],[ROE Q3]]+1.5*(Quartile_M[[#This Row],[ROE Q3]]-Quartile_M[[#This Row],[ROE Q1]])</f>
        <v>33.754999999999995</v>
      </c>
      <c r="N10" s="1" cm="1">
        <f t="array" ref="N10">_xlfn.QUARTILE.INC(IF(Quartile_M[[#This Row],[Industry]]=Main_M[Industry],Main_M[ROA]),1)</f>
        <v>5.5750000000000002</v>
      </c>
      <c r="O10" s="1" cm="1">
        <f t="array" ref="O10">_xlfn.QUARTILE.INC(IF(Quartile_M[[#This Row],[Industry]]=Main_M[Industry],Main_M[ROA]),3)</f>
        <v>7.62</v>
      </c>
      <c r="P10" s="1">
        <f>Quartile_M[[#This Row],[ROA Q1]]-1.5*(Quartile_M[[#This Row],[ROA Q3]]-Quartile_M[[#This Row],[ROA Q1]])</f>
        <v>2.5075000000000003</v>
      </c>
      <c r="Q10" s="1">
        <f>Quartile_M[[#This Row],[ROA Q3]]+1.5*(Quartile_M[[#This Row],[ROA Q3]]-Quartile_M[[#This Row],[ROA Q1]])</f>
        <v>10.6875</v>
      </c>
      <c r="R10" s="1" cm="1">
        <f t="array" ref="R10">_xlfn.QUARTILE.INC(IF(Quartile_M[[#This Row],[Industry]]=Main_M[Industry],Main_M[P/E]),1)</f>
        <v>11.653333415700907</v>
      </c>
      <c r="S10" s="1" cm="1">
        <f t="array" ref="S10">_xlfn.QUARTILE.INC(IF(Quartile_M[[#This Row],[Industry]]=Main_M[Industry],Main_M[P/E]),3)</f>
        <v>34.149657960199008</v>
      </c>
      <c r="T10" s="1">
        <f>Quartile_M[[#This Row],[P/E Q1]]-1.5*(Quartile_M[[#This Row],[P/E Q3]]-Quartile_M[[#This Row],[P/E Q1]])</f>
        <v>-22.091153401046249</v>
      </c>
      <c r="U10" s="1">
        <f>Quartile_M[[#This Row],[P/E Q3]]+1.5*(Quartile_M[[#This Row],[P/E Q3]]-Quartile_M[[#This Row],[P/E Q1]])</f>
        <v>67.894144776946163</v>
      </c>
      <c r="V10" s="1" cm="1">
        <f t="array" ref="V10">_xlfn.QUARTILE.INC(IF(Quartile_M[[#This Row],[Industry]]=Main_M[Industry],Main_M[A/E]),1)</f>
        <v>1.6975</v>
      </c>
      <c r="W10" s="1" cm="1">
        <f t="array" ref="W10">_xlfn.QUARTILE.INC(IF(Quartile_M[[#This Row],[Industry]]=Main_M[Industry],Main_M[A/E]),3)</f>
        <v>3.21</v>
      </c>
      <c r="X10" s="1">
        <f>Quartile_M[[#This Row],[A/E Q1]]-1.5*(Quartile_M[[#This Row],[A/E Q3]]-Quartile_M[[#This Row],[A/E Q1]])</f>
        <v>-0.57124999999999981</v>
      </c>
      <c r="Y10" s="1">
        <f>Quartile_M[[#This Row],[A/E Q3]]+1.5*(Quartile_M[[#This Row],[A/E Q3]]-Quartile_M[[#This Row],[A/E Q1]])</f>
        <v>5.4787499999999998</v>
      </c>
    </row>
    <row r="13" spans="1:25" x14ac:dyDescent="0.25">
      <c r="A13" t="s">
        <v>23</v>
      </c>
    </row>
    <row r="14" spans="1:25" x14ac:dyDescent="0.25">
      <c r="A14" t="s">
        <v>1</v>
      </c>
      <c r="B14" t="s">
        <v>2</v>
      </c>
      <c r="C14" t="s">
        <v>3</v>
      </c>
      <c r="D14" t="s">
        <v>4</v>
      </c>
      <c r="E14" t="s">
        <v>5</v>
      </c>
      <c r="F14" t="s">
        <v>72</v>
      </c>
      <c r="G14" t="s">
        <v>73</v>
      </c>
      <c r="H14" t="s">
        <v>74</v>
      </c>
      <c r="I14" t="s">
        <v>75</v>
      </c>
      <c r="J14" t="s">
        <v>6</v>
      </c>
      <c r="K14" t="s">
        <v>7</v>
      </c>
      <c r="L14" t="s">
        <v>8</v>
      </c>
      <c r="M14" t="s">
        <v>9</v>
      </c>
      <c r="N14" t="s">
        <v>10</v>
      </c>
      <c r="O14" t="s">
        <v>11</v>
      </c>
      <c r="P14" t="s">
        <v>12</v>
      </c>
      <c r="Q14" t="s">
        <v>13</v>
      </c>
      <c r="R14" t="s">
        <v>14</v>
      </c>
      <c r="S14" t="s">
        <v>15</v>
      </c>
      <c r="T14" t="s">
        <v>16</v>
      </c>
      <c r="U14" t="s">
        <v>17</v>
      </c>
      <c r="V14" t="s">
        <v>18</v>
      </c>
      <c r="W14" t="s">
        <v>19</v>
      </c>
      <c r="X14" t="s">
        <v>20</v>
      </c>
      <c r="Y14" t="s">
        <v>21</v>
      </c>
    </row>
    <row r="15" spans="1:25" x14ac:dyDescent="0.25">
      <c r="A15" t="s">
        <v>107</v>
      </c>
      <c r="B15" s="1" cm="1">
        <f t="array" ref="B15">_xlfn.QUARTILE.INC(IF(Quartile_S[[#This Row],[Industry]]=Main_S[Industry],Main_S[P/FCF]),1)</f>
        <v>-8.3608502869066257</v>
      </c>
      <c r="C15" s="1" cm="1">
        <f t="array" ref="C15">_xlfn.QUARTILE.INC(IF(Quartile_S[[#This Row],[Industry]]=Main_S[Industry],Main_S[P/FCF]),3)</f>
        <v>6.8334343545661591</v>
      </c>
      <c r="D15" s="1">
        <f>Quartile_S[[#This Row],[P/FCF Q1]]-1.5*(Quartile_S[[#This Row],[P/FCF Q3]]-Quartile_S[[#This Row],[P/FCF Q1]])</f>
        <v>-31.152277249115802</v>
      </c>
      <c r="E15" s="1">
        <f>Quartile_S[[#This Row],[P/FCF Q3]]+1.5*(Quartile_S[[#This Row],[P/FCF Q3]]-Quartile_S[[#This Row],[P/FCF Q1]])</f>
        <v>29.624861316775334</v>
      </c>
      <c r="F15" s="1" cm="1">
        <f t="array" ref="F15">_xlfn.QUARTILE.INC(IF(Quartile_S[[#This Row],[Industry]]=Main_S[Industry],Main_S[P/B]),1)</f>
        <v>0.66037841241899198</v>
      </c>
      <c r="G15" s="1" cm="1">
        <f t="array" ref="G15">_xlfn.QUARTILE.INC(IF(Quartile_S[[#This Row],[Industry]]=Main_S[Industry],Main_S[P/B]),3)</f>
        <v>1.6198720843800867</v>
      </c>
      <c r="H15" s="1">
        <f>Quartile_S[[#This Row],[P/B Q1]]-1.5*(Quartile_S[[#This Row],[P/B Q3]]-Quartile_S[[#This Row],[P/B Q1]])</f>
        <v>-0.77886209552264996</v>
      </c>
      <c r="I15" s="1">
        <f>Quartile_S[[#This Row],[P/B Q3]]+1.5*(Quartile_S[[#This Row],[P/B Q3]]-Quartile_S[[#This Row],[P/B Q1]])</f>
        <v>3.0591125923217284</v>
      </c>
      <c r="J15" s="1" cm="1">
        <f t="array" ref="J15">_xlfn.QUARTILE.INC(IF(Quartile_S[[#This Row],[Industry]]=Main_S[Industry],Main_S[ROE]),1)</f>
        <v>-6.69</v>
      </c>
      <c r="K15" s="1" cm="1">
        <f t="array" ref="K15">_xlfn.QUARTILE.INC(IF(Quartile_S[[#This Row],[Industry]]=Main_S[Industry],Main_S[ROE]),3)</f>
        <v>17.41</v>
      </c>
      <c r="L15" s="1">
        <f>Quartile_S[[#This Row],[ROE Q1]]-1.5*(Quartile_S[[#This Row],[ROE Q3]]-Quartile_S[[#This Row],[ROE Q1]])</f>
        <v>-42.84</v>
      </c>
      <c r="M15" s="1">
        <f>Quartile_S[[#This Row],[ROE Q3]]+1.5*(Quartile_S[[#This Row],[ROE Q3]]-Quartile_S[[#This Row],[ROE Q1]])</f>
        <v>53.56</v>
      </c>
      <c r="N15" s="1" cm="1">
        <f t="array" ref="N15">_xlfn.QUARTILE.INC(IF(Quartile_S[[#This Row],[Industry]]=Main_S[Industry],Main_S[ROA]),1)</f>
        <v>-7.0000000000000007E-2</v>
      </c>
      <c r="O15" s="1" cm="1">
        <f t="array" ref="O15">_xlfn.QUARTILE.INC(IF(Quartile_S[[#This Row],[Industry]]=Main_S[Industry],Main_S[ROA]),3)</f>
        <v>7.44</v>
      </c>
      <c r="P15" s="1">
        <f>Quartile_S[[#This Row],[ROA Q1]]-1.5*(Quartile_S[[#This Row],[ROA Q3]]-Quartile_S[[#This Row],[ROA Q1]])</f>
        <v>-11.335000000000001</v>
      </c>
      <c r="Q15" s="1">
        <f>Quartile_S[[#This Row],[ROA Q3]]+1.5*(Quartile_S[[#This Row],[ROA Q3]]-Quartile_S[[#This Row],[ROA Q1]])</f>
        <v>18.705000000000002</v>
      </c>
      <c r="R15" s="1" cm="1">
        <f t="array" ref="R15">_xlfn.QUARTILE.INC(IF(Quartile_S[[#This Row],[Industry]]=Main_S[Industry],Main_S[P/E]),1)</f>
        <v>-2.7523296302437408</v>
      </c>
      <c r="S15" s="1" cm="1">
        <f t="array" ref="S15">_xlfn.QUARTILE.INC(IF(Quartile_S[[#This Row],[Industry]]=Main_S[Industry],Main_S[P/E]),3)</f>
        <v>12.347572584483579</v>
      </c>
      <c r="T15" s="1">
        <f>Quartile_S[[#This Row],[P/E Q1]]-1.5*(Quartile_S[[#This Row],[P/E Q3]]-Quartile_S[[#This Row],[P/E Q1]])</f>
        <v>-25.402182952334719</v>
      </c>
      <c r="U15" s="1">
        <f>Quartile_S[[#This Row],[P/E Q3]]+1.5*(Quartile_S[[#This Row],[P/E Q3]]-Quartile_S[[#This Row],[P/E Q1]])</f>
        <v>34.997425906574563</v>
      </c>
      <c r="V15" s="1" cm="1">
        <f t="array" ref="V15">_xlfn.QUARTILE.INC(IF(Quartile_S[[#This Row],[Industry]]=Main_S[Industry],Main_S[A/E]),1)</f>
        <v>1.37</v>
      </c>
      <c r="W15" s="1" cm="1">
        <f t="array" ref="W15">_xlfn.QUARTILE.INC(IF(Quartile_S[[#This Row],[Industry]]=Main_S[Industry],Main_S[A/E]),3)</f>
        <v>2.13</v>
      </c>
      <c r="X15" s="1">
        <f>Quartile_S[[#This Row],[A/E Q1]]-1.5*(Quartile_S[[#This Row],[A/E Q3]]-Quartile_S[[#This Row],[A/E Q1]])</f>
        <v>0.23000000000000043</v>
      </c>
      <c r="Y15" s="1">
        <f>Quartile_S[[#This Row],[A/E Q3]]+1.5*(Quartile_S[[#This Row],[A/E Q3]]-Quartile_S[[#This Row],[A/E Q1]])</f>
        <v>3.2699999999999996</v>
      </c>
    </row>
    <row r="16" spans="1:25" x14ac:dyDescent="0.25">
      <c r="A16" t="s">
        <v>106</v>
      </c>
      <c r="B16" s="1" cm="1">
        <f t="array" ref="B16">_xlfn.QUARTILE.INC(IF(Quartile_S[[#This Row],[Industry]]=Main_S[Industry],Main_S[P/FCF]),1)</f>
        <v>-2.8521909233176839</v>
      </c>
      <c r="C16" s="1" cm="1">
        <f t="array" ref="C16">_xlfn.QUARTILE.INC(IF(Quartile_S[[#This Row],[Industry]]=Main_S[Industry],Main_S[P/FCF]),3)</f>
        <v>13.828780141843971</v>
      </c>
      <c r="D16" s="1">
        <f>Quartile_S[[#This Row],[P/FCF Q1]]-1.5*(Quartile_S[[#This Row],[P/FCF Q3]]-Quartile_S[[#This Row],[P/FCF Q1]])</f>
        <v>-27.873647521060171</v>
      </c>
      <c r="E16" s="1">
        <f>Quartile_S[[#This Row],[P/FCF Q3]]+1.5*(Quartile_S[[#This Row],[P/FCF Q3]]-Quartile_S[[#This Row],[P/FCF Q1]])</f>
        <v>38.850236739586457</v>
      </c>
      <c r="F16" s="1" cm="1">
        <f t="array" ref="F16">_xlfn.QUARTILE.INC(IF(Quartile_S[[#This Row],[Industry]]=Main_S[Industry],Main_S[P/B]),1)</f>
        <v>0.68664965544029777</v>
      </c>
      <c r="G16" s="1" cm="1">
        <f t="array" ref="G16">_xlfn.QUARTILE.INC(IF(Quartile_S[[#This Row],[Industry]]=Main_S[Industry],Main_S[P/B]),3)</f>
        <v>1.7211051709556602</v>
      </c>
      <c r="H16" s="1">
        <f>Quartile_S[[#This Row],[P/B Q1]]-1.5*(Quartile_S[[#This Row],[P/B Q3]]-Quartile_S[[#This Row],[P/B Q1]])</f>
        <v>-0.86503361783274568</v>
      </c>
      <c r="I16" s="1">
        <f>Quartile_S[[#This Row],[P/B Q3]]+1.5*(Quartile_S[[#This Row],[P/B Q3]]-Quartile_S[[#This Row],[P/B Q1]])</f>
        <v>3.2727884442287039</v>
      </c>
      <c r="J16" s="1" cm="1">
        <f t="array" ref="J16">_xlfn.QUARTILE.INC(IF(Quartile_S[[#This Row],[Industry]]=Main_S[Industry],Main_S[ROE]),1)</f>
        <v>5.1050000000000004</v>
      </c>
      <c r="K16" s="1" cm="1">
        <f t="array" ref="K16">_xlfn.QUARTILE.INC(IF(Quartile_S[[#This Row],[Industry]]=Main_S[Industry],Main_S[ROE]),3)</f>
        <v>13.5425</v>
      </c>
      <c r="L16" s="1">
        <f>Quartile_S[[#This Row],[ROE Q1]]-1.5*(Quartile_S[[#This Row],[ROE Q3]]-Quartile_S[[#This Row],[ROE Q1]])</f>
        <v>-7.5512499999999996</v>
      </c>
      <c r="M16" s="1">
        <f>Quartile_S[[#This Row],[ROE Q3]]+1.5*(Quartile_S[[#This Row],[ROE Q3]]-Quartile_S[[#This Row],[ROE Q1]])</f>
        <v>26.19875</v>
      </c>
      <c r="N16" s="1" cm="1">
        <f t="array" ref="N16">_xlfn.QUARTILE.INC(IF(Quartile_S[[#This Row],[Industry]]=Main_S[Industry],Main_S[ROA]),1)</f>
        <v>3.11</v>
      </c>
      <c r="O16" s="1" cm="1">
        <f t="array" ref="O16">_xlfn.QUARTILE.INC(IF(Quartile_S[[#This Row],[Industry]]=Main_S[Industry],Main_S[ROA]),3)</f>
        <v>6.6</v>
      </c>
      <c r="P16" s="1">
        <f>Quartile_S[[#This Row],[ROA Q1]]-1.5*(Quartile_S[[#This Row],[ROA Q3]]-Quartile_S[[#This Row],[ROA Q1]])</f>
        <v>-2.1249999999999996</v>
      </c>
      <c r="Q16" s="1">
        <f>Quartile_S[[#This Row],[ROA Q3]]+1.5*(Quartile_S[[#This Row],[ROA Q3]]-Quartile_S[[#This Row],[ROA Q1]])</f>
        <v>11.834999999999999</v>
      </c>
      <c r="R16" s="1" cm="1">
        <f t="array" ref="R16">_xlfn.QUARTILE.INC(IF(Quartile_S[[#This Row],[Industry]]=Main_S[Industry],Main_S[P/E]),1)</f>
        <v>6.9492971734148199</v>
      </c>
      <c r="S16" s="1" cm="1">
        <f t="array" ref="S16">_xlfn.QUARTILE.INC(IF(Quartile_S[[#This Row],[Industry]]=Main_S[Industry],Main_S[P/E]),3)</f>
        <v>16.396037776812854</v>
      </c>
      <c r="T16" s="1">
        <f>Quartile_S[[#This Row],[P/E Q1]]-1.5*(Quartile_S[[#This Row],[P/E Q3]]-Quartile_S[[#This Row],[P/E Q1]])</f>
        <v>-7.220813731682231</v>
      </c>
      <c r="U16" s="1">
        <f>Quartile_S[[#This Row],[P/E Q3]]+1.5*(Quartile_S[[#This Row],[P/E Q3]]-Quartile_S[[#This Row],[P/E Q1]])</f>
        <v>30.566148681909905</v>
      </c>
      <c r="V16" s="1" cm="1">
        <f t="array" ref="V16">_xlfn.QUARTILE.INC(IF(Quartile_S[[#This Row],[Industry]]=Main_S[Industry],Main_S[A/E]),1)</f>
        <v>1.5249999999999999</v>
      </c>
      <c r="W16" s="1" cm="1">
        <f t="array" ref="W16">_xlfn.QUARTILE.INC(IF(Quartile_S[[#This Row],[Industry]]=Main_S[Industry],Main_S[A/E]),3)</f>
        <v>2.3650000000000002</v>
      </c>
      <c r="X16" s="1">
        <f>Quartile_S[[#This Row],[A/E Q1]]-1.5*(Quartile_S[[#This Row],[A/E Q3]]-Quartile_S[[#This Row],[A/E Q1]])</f>
        <v>0.26499999999999946</v>
      </c>
      <c r="Y16" s="1">
        <f>Quartile_S[[#This Row],[A/E Q3]]+1.5*(Quartile_S[[#This Row],[A/E Q3]]-Quartile_S[[#This Row],[A/E Q1]])</f>
        <v>3.6250000000000009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26"/>
  <sheetViews>
    <sheetView workbookViewId="0">
      <selection activeCell="I29" sqref="I29"/>
    </sheetView>
  </sheetViews>
  <sheetFormatPr defaultRowHeight="15" x14ac:dyDescent="0.25"/>
  <cols>
    <col min="1" max="1" width="27" bestFit="1" customWidth="1"/>
    <col min="2" max="2" width="14.85546875" bestFit="1" customWidth="1"/>
    <col min="3" max="3" width="15.42578125" bestFit="1" customWidth="1"/>
    <col min="5" max="5" width="27" bestFit="1" customWidth="1"/>
    <col min="6" max="6" width="14" bestFit="1" customWidth="1"/>
    <col min="7" max="7" width="14.5703125" bestFit="1" customWidth="1"/>
    <col min="9" max="9" width="27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13.297202491418972</v>
      </c>
      <c r="C5" s="1">
        <v>4.6224322113302652</v>
      </c>
      <c r="E5" s="6" t="s">
        <v>106</v>
      </c>
      <c r="F5" s="1">
        <v>1.9468641142004219</v>
      </c>
      <c r="G5" s="1">
        <v>0.44184515089041942</v>
      </c>
      <c r="I5" s="6" t="s">
        <v>106</v>
      </c>
      <c r="J5" s="1">
        <v>19.927499999999998</v>
      </c>
      <c r="K5" s="1">
        <v>1.1271063614406787</v>
      </c>
    </row>
    <row r="6" spans="1:11" x14ac:dyDescent="0.25">
      <c r="A6" s="6" t="s">
        <v>107</v>
      </c>
      <c r="B6" s="1">
        <v>18.40873713258723</v>
      </c>
      <c r="C6" s="1">
        <v>12.906858255969434</v>
      </c>
      <c r="E6" s="6" t="s">
        <v>107</v>
      </c>
      <c r="F6" s="1">
        <v>1.9506931236551748</v>
      </c>
      <c r="G6" s="1">
        <v>0.77107945552430224</v>
      </c>
      <c r="I6" s="6" t="s">
        <v>107</v>
      </c>
      <c r="J6" s="1">
        <v>12.675909090909089</v>
      </c>
      <c r="K6" s="1">
        <v>7.4074766646402717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7.5720000000000001</v>
      </c>
      <c r="C25" s="1">
        <v>1.1908719494555216</v>
      </c>
      <c r="E25" s="6" t="s">
        <v>106</v>
      </c>
      <c r="F25" s="1">
        <v>1.9780000000000002</v>
      </c>
      <c r="G25" s="1">
        <v>0.52541031584847975</v>
      </c>
      <c r="I25" s="6" t="s">
        <v>106</v>
      </c>
      <c r="J25" s="1">
        <v>10.218568928284636</v>
      </c>
      <c r="K25" s="1">
        <v>2.2008491081500523</v>
      </c>
    </row>
    <row r="26" spans="1:11" x14ac:dyDescent="0.25">
      <c r="A26" s="6" t="s">
        <v>107</v>
      </c>
      <c r="B26" s="1">
        <v>5.711875</v>
      </c>
      <c r="C26" s="1">
        <v>3.2113617673880448</v>
      </c>
      <c r="E26" s="6" t="s">
        <v>107</v>
      </c>
      <c r="F26" s="1">
        <v>2.5828888888888888</v>
      </c>
      <c r="G26" s="1">
        <v>0.97957955203517466</v>
      </c>
      <c r="I26" s="6" t="s">
        <v>107</v>
      </c>
      <c r="J26" s="1">
        <v>17.620576533241444</v>
      </c>
      <c r="K26" s="1">
        <v>8.7900803576463247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26"/>
  <sheetViews>
    <sheetView workbookViewId="0">
      <selection activeCell="G13" sqref="G13"/>
    </sheetView>
  </sheetViews>
  <sheetFormatPr defaultRowHeight="15" x14ac:dyDescent="0.25"/>
  <cols>
    <col min="1" max="1" width="27" bestFit="1" customWidth="1"/>
    <col min="2" max="2" width="16.28515625" bestFit="1" customWidth="1"/>
    <col min="3" max="3" width="16.85546875" bestFit="1" customWidth="1"/>
    <col min="5" max="5" width="27" bestFit="1" customWidth="1"/>
    <col min="6" max="6" width="14" bestFit="1" customWidth="1"/>
    <col min="7" max="7" width="14.5703125" bestFit="1" customWidth="1"/>
    <col min="9" max="9" width="27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17.344759175948145</v>
      </c>
      <c r="C5" s="1">
        <v>13.271101891472973</v>
      </c>
      <c r="E5" s="6" t="s">
        <v>106</v>
      </c>
      <c r="F5" s="1">
        <v>2.0947984874281569</v>
      </c>
      <c r="G5" s="1">
        <v>0.9617654790366168</v>
      </c>
      <c r="I5" s="6" t="s">
        <v>106</v>
      </c>
      <c r="J5" s="1">
        <v>31.962499999999999</v>
      </c>
      <c r="K5" s="1">
        <v>44.472779244724521</v>
      </c>
    </row>
    <row r="6" spans="1:11" x14ac:dyDescent="0.25">
      <c r="A6" s="6" t="s">
        <v>107</v>
      </c>
      <c r="B6" s="1">
        <v>7.2115894536476546</v>
      </c>
      <c r="C6" s="1">
        <v>10.20786063766535</v>
      </c>
      <c r="E6" s="6" t="s">
        <v>107</v>
      </c>
      <c r="F6" s="1">
        <v>1.854218201779962</v>
      </c>
      <c r="G6" s="1">
        <v>1.2512878001940897</v>
      </c>
      <c r="I6" s="6" t="s">
        <v>107</v>
      </c>
      <c r="J6" s="1">
        <v>24.772592592592598</v>
      </c>
      <c r="K6" s="1">
        <v>75.343553490247075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6.9974999999999996</v>
      </c>
      <c r="C25" s="1">
        <v>2.3194382401779974</v>
      </c>
      <c r="E25" s="6" t="s">
        <v>106</v>
      </c>
      <c r="F25" s="1">
        <v>2.6688888888888886</v>
      </c>
      <c r="G25" s="1">
        <v>1.11283865701332</v>
      </c>
      <c r="I25" s="6" t="s">
        <v>106</v>
      </c>
      <c r="J25" s="1">
        <v>23.335572885259079</v>
      </c>
      <c r="K25" s="1">
        <v>18.808003774992315</v>
      </c>
    </row>
    <row r="26" spans="1:11" x14ac:dyDescent="0.25">
      <c r="A26" s="6" t="s">
        <v>107</v>
      </c>
      <c r="B26" s="1">
        <v>5.3195999999999994</v>
      </c>
      <c r="C26" s="1">
        <v>4.6173706630505658</v>
      </c>
      <c r="E26" s="6" t="s">
        <v>107</v>
      </c>
      <c r="F26" s="1">
        <v>2.1867391304347832</v>
      </c>
      <c r="G26" s="1">
        <v>0.81972703396187807</v>
      </c>
      <c r="I26" s="6" t="s">
        <v>107</v>
      </c>
      <c r="J26" s="1">
        <v>9.3464327092374386</v>
      </c>
      <c r="K26" s="1">
        <v>11.600910541303879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26"/>
  <sheetViews>
    <sheetView workbookViewId="0">
      <selection activeCell="F12" sqref="F12"/>
    </sheetView>
  </sheetViews>
  <sheetFormatPr defaultRowHeight="15" x14ac:dyDescent="0.25"/>
  <cols>
    <col min="1" max="1" width="27" bestFit="1" customWidth="1"/>
    <col min="2" max="2" width="16.28515625" bestFit="1" customWidth="1"/>
    <col min="3" max="3" width="16.85546875" bestFit="1" customWidth="1"/>
    <col min="5" max="5" width="27" bestFit="1" customWidth="1"/>
    <col min="6" max="6" width="14" bestFit="1" customWidth="1"/>
    <col min="7" max="7" width="14.5703125" bestFit="1" customWidth="1"/>
    <col min="9" max="9" width="27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7.0286140112343158</v>
      </c>
      <c r="C5" s="1">
        <v>12.10399546475872</v>
      </c>
      <c r="E5" s="6" t="s">
        <v>106</v>
      </c>
      <c r="F5" s="1">
        <v>1.2747588459417898</v>
      </c>
      <c r="G5" s="1">
        <v>0.67242181770935427</v>
      </c>
      <c r="I5" s="6" t="s">
        <v>106</v>
      </c>
      <c r="J5" s="1">
        <v>10.000937499999999</v>
      </c>
      <c r="K5" s="1">
        <v>7.1130559358192729</v>
      </c>
    </row>
    <row r="6" spans="1:11" x14ac:dyDescent="0.25">
      <c r="A6" s="6" t="s">
        <v>107</v>
      </c>
      <c r="B6" s="1">
        <v>-0.31789445585496601</v>
      </c>
      <c r="C6" s="1">
        <v>10.585075972487758</v>
      </c>
      <c r="E6" s="6" t="s">
        <v>107</v>
      </c>
      <c r="F6" s="1">
        <v>1.1673610801396892</v>
      </c>
      <c r="G6" s="1">
        <v>0.58327036190445847</v>
      </c>
      <c r="I6" s="6" t="s">
        <v>107</v>
      </c>
      <c r="J6" s="1">
        <v>5.4021951219512214</v>
      </c>
      <c r="K6" s="1">
        <v>16.96546923609694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4.8661764705882344</v>
      </c>
      <c r="C25" s="1">
        <v>2.4809355620361826</v>
      </c>
      <c r="E25" s="6" t="s">
        <v>106</v>
      </c>
      <c r="F25" s="1">
        <v>2.0175757575757571</v>
      </c>
      <c r="G25" s="1">
        <v>0.63337494426158536</v>
      </c>
      <c r="I25" s="6" t="s">
        <v>106</v>
      </c>
      <c r="J25" s="1">
        <v>10.887598889732681</v>
      </c>
      <c r="K25" s="1">
        <v>7.5693593879545</v>
      </c>
    </row>
    <row r="26" spans="1:11" x14ac:dyDescent="0.25">
      <c r="A26" s="6" t="s">
        <v>107</v>
      </c>
      <c r="B26" s="1">
        <v>3.6996385542168668</v>
      </c>
      <c r="C26" s="1">
        <v>5.2237115655402873</v>
      </c>
      <c r="E26" s="6" t="s">
        <v>107</v>
      </c>
      <c r="F26" s="1">
        <v>1.6872463768115944</v>
      </c>
      <c r="G26" s="1">
        <v>0.47074681357060016</v>
      </c>
      <c r="I26" s="6" t="s">
        <v>107</v>
      </c>
      <c r="J26" s="1">
        <v>4.579169381103787</v>
      </c>
      <c r="K26" s="1">
        <v>10.710004932454378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4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5" sqref="I25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Energy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298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6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4">_xlfn._xlws.FILTER(_xlfn._xlws.FILTER(Main_L[], Main_L[Preliminary Criteria]="YES"), COUNTIF($A$8:$S$8,Main_L[#Headers]))</f>
        <v>Energy Equipment &amp; Services</v>
      </c>
      <c r="B9" t="str">
        <v>PHIG</v>
      </c>
      <c r="C9" s="9">
        <v>1124975</v>
      </c>
      <c r="D9" s="1">
        <v>24.5</v>
      </c>
      <c r="E9" s="1">
        <v>2.48</v>
      </c>
      <c r="F9" s="1">
        <v>20.9</v>
      </c>
      <c r="G9" s="1">
        <v>3.26</v>
      </c>
      <c r="H9" s="1">
        <v>9.879032258064516</v>
      </c>
      <c r="I9" s="1">
        <v>1.1722488038277512</v>
      </c>
      <c r="J9" s="1">
        <v>20.47</v>
      </c>
      <c r="K9" s="1">
        <v>8.17</v>
      </c>
      <c r="L9" s="1">
        <v>1.51</v>
      </c>
      <c r="M9" s="1">
        <v>7.515337423312884</v>
      </c>
      <c r="N9" s="1">
        <v>-0.73947438860780146</v>
      </c>
      <c r="O9" s="1">
        <v>-1.7531375161901019</v>
      </c>
      <c r="P9" s="1">
        <v>0.48132103460632719</v>
      </c>
      <c r="Q9" s="1">
        <v>0.50215306546888727</v>
      </c>
      <c r="R9" s="1">
        <v>-0.89073241594853692</v>
      </c>
      <c r="S9" s="1">
        <v>-1.2282675331813107</v>
      </c>
      <c r="T9">
        <f t="shared" ref="T9:T15" si="0">SUM(IF($I9&lt;(0.7*VLOOKUP($A9, Mean_PB_L, 2, FALSE)),1,0), IF($J9&gt;VLOOKUP($A9, Mean_ROE_L, 2, FALSE),1,0), IF($K9&gt;VLOOKUP($A9, Mean_ROA_L, 2,FALSE),1,0), IF($M9&lt;VLOOKUP($A9, Mean_PE_L, 2, FALSE),1,0), IF(AND($M9&gt;1,$M9&lt;25),1,0))</f>
        <v>5</v>
      </c>
    </row>
    <row r="10" spans="1:20" x14ac:dyDescent="0.25">
      <c r="A10" t="str">
        <v>Oil, Gas &amp; Consumable Fuels</v>
      </c>
      <c r="B10" t="str">
        <v>FANG</v>
      </c>
      <c r="C10" s="2">
        <v>39311</v>
      </c>
      <c r="D10" s="1">
        <v>142.13</v>
      </c>
      <c r="E10" s="1">
        <v>8.4</v>
      </c>
      <c r="F10" s="1">
        <v>133.91999999999999</v>
      </c>
      <c r="G10" s="1">
        <v>16.37</v>
      </c>
      <c r="H10" s="1">
        <v>16.920238095238094</v>
      </c>
      <c r="I10" s="1">
        <v>1.0613052568697732</v>
      </c>
      <c r="J10" s="1">
        <v>14.67</v>
      </c>
      <c r="K10" s="1">
        <v>7.13</v>
      </c>
      <c r="L10" s="1">
        <v>1.82</v>
      </c>
      <c r="M10" s="1">
        <v>8.6823457544288321</v>
      </c>
      <c r="N10" s="1">
        <v>-0.11532620935545675</v>
      </c>
      <c r="O10" s="1">
        <v>-1.1534321922513868</v>
      </c>
      <c r="P10" s="1">
        <v>0.2691997557831996</v>
      </c>
      <c r="Q10" s="1">
        <v>0.44159615226204463</v>
      </c>
      <c r="R10" s="1">
        <v>-0.77879217395249889</v>
      </c>
      <c r="S10" s="1">
        <v>-1.0168542738107524</v>
      </c>
      <c r="T10">
        <f t="shared" si="0"/>
        <v>5</v>
      </c>
    </row>
    <row r="11" spans="1:20" x14ac:dyDescent="0.25">
      <c r="A11" t="str">
        <v>Oil, Gas &amp; Consumable Fuels</v>
      </c>
      <c r="B11" t="str">
        <v>XOM</v>
      </c>
      <c r="C11" s="2">
        <v>440876</v>
      </c>
      <c r="D11" s="1">
        <v>104.97</v>
      </c>
      <c r="E11" s="1">
        <v>6.42</v>
      </c>
      <c r="F11" s="1">
        <v>60.96</v>
      </c>
      <c r="G11" s="1">
        <v>7.55</v>
      </c>
      <c r="H11" s="1">
        <v>16.350467289719628</v>
      </c>
      <c r="I11" s="1">
        <v>1.7219488188976377</v>
      </c>
      <c r="J11" s="1">
        <v>14.3</v>
      </c>
      <c r="K11" s="1">
        <v>6.2</v>
      </c>
      <c r="L11" s="1">
        <v>1.72</v>
      </c>
      <c r="M11" s="1">
        <v>13.903311258278146</v>
      </c>
      <c r="N11" s="1">
        <v>-0.15947101936411603</v>
      </c>
      <c r="O11" s="1">
        <v>-0.29665464838769484</v>
      </c>
      <c r="P11" s="1">
        <v>0.21925022279766873</v>
      </c>
      <c r="Q11" s="1">
        <v>0.1519993807477554</v>
      </c>
      <c r="R11" s="1">
        <v>-0.88087678749127696</v>
      </c>
      <c r="S11" s="1">
        <v>-0.4228932073106384</v>
      </c>
      <c r="T11">
        <f t="shared" si="0"/>
        <v>4</v>
      </c>
    </row>
    <row r="12" spans="1:20" x14ac:dyDescent="0.25">
      <c r="A12" t="str">
        <v>Oil, Gas &amp; Consumable Fuels</v>
      </c>
      <c r="B12" t="str">
        <v>TTE</v>
      </c>
      <c r="C12" s="2">
        <v>129310</v>
      </c>
      <c r="D12" s="1">
        <v>59.65</v>
      </c>
      <c r="E12" s="1">
        <v>6.82</v>
      </c>
      <c r="F12" s="1">
        <v>53.12</v>
      </c>
      <c r="G12" s="1">
        <v>5.94</v>
      </c>
      <c r="H12" s="1">
        <v>8.7463343108504397</v>
      </c>
      <c r="I12" s="1">
        <v>1.1229292168674698</v>
      </c>
      <c r="J12" s="1">
        <v>11.71</v>
      </c>
      <c r="K12" s="1">
        <v>5.26</v>
      </c>
      <c r="L12" s="1">
        <v>2.4700000000000002</v>
      </c>
      <c r="M12" s="1">
        <v>10.042087542087542</v>
      </c>
      <c r="N12" s="1">
        <v>-0.74862546950710651</v>
      </c>
      <c r="O12" s="1">
        <v>-1.0735131131523399</v>
      </c>
      <c r="P12" s="1">
        <v>-0.13039650810104786</v>
      </c>
      <c r="Q12" s="1">
        <v>-0.14071133454625759</v>
      </c>
      <c r="R12" s="1">
        <v>-0.11524218595044233</v>
      </c>
      <c r="S12" s="1">
        <v>-0.86216378949954853</v>
      </c>
      <c r="T12">
        <f t="shared" si="0"/>
        <v>3</v>
      </c>
    </row>
    <row r="13" spans="1:20" x14ac:dyDescent="0.25">
      <c r="A13" t="str">
        <v>Oil, Gas &amp; Consumable Fuels</v>
      </c>
      <c r="B13" t="str">
        <v>COP</v>
      </c>
      <c r="C13" s="2">
        <v>107747</v>
      </c>
      <c r="D13" s="1">
        <v>88.04</v>
      </c>
      <c r="E13" s="1">
        <v>7.21</v>
      </c>
      <c r="F13" s="1">
        <v>51.68</v>
      </c>
      <c r="G13" s="1">
        <v>7.91</v>
      </c>
      <c r="H13" s="1">
        <v>12.210818307905688</v>
      </c>
      <c r="I13" s="1">
        <v>1.703560371517028</v>
      </c>
      <c r="J13" s="1">
        <v>16.66</v>
      </c>
      <c r="K13" s="1">
        <v>8.7799999999999994</v>
      </c>
      <c r="L13" s="1">
        <v>1.9</v>
      </c>
      <c r="M13" s="1">
        <v>11.130214917825539</v>
      </c>
      <c r="N13" s="1">
        <v>-0.48020352449559123</v>
      </c>
      <c r="O13" s="1">
        <v>-0.32050231706680177</v>
      </c>
      <c r="P13" s="1">
        <v>0.53784724400267681</v>
      </c>
      <c r="Q13" s="1">
        <v>0.95539687591642886</v>
      </c>
      <c r="R13" s="1">
        <v>-0.69712448312147679</v>
      </c>
      <c r="S13" s="1">
        <v>-0.73837341086080766</v>
      </c>
      <c r="T13">
        <f t="shared" si="0"/>
        <v>4</v>
      </c>
    </row>
    <row r="14" spans="1:20" x14ac:dyDescent="0.25">
      <c r="A14" t="str">
        <v>Oil, Gas &amp; Consumable Fuels</v>
      </c>
      <c r="B14" t="str">
        <v>SU</v>
      </c>
      <c r="C14" s="2">
        <v>43640</v>
      </c>
      <c r="D14" s="1">
        <v>36.979999999999997</v>
      </c>
      <c r="E14" s="1">
        <v>4.96</v>
      </c>
      <c r="F14" s="1">
        <v>25.28</v>
      </c>
      <c r="G14" s="1">
        <v>3.35</v>
      </c>
      <c r="H14" s="1">
        <v>7.4556451612903221</v>
      </c>
      <c r="I14" s="1">
        <v>1.4628164556962024</v>
      </c>
      <c r="J14" s="1">
        <v>13.68</v>
      </c>
      <c r="K14" s="1">
        <v>6.48</v>
      </c>
      <c r="L14" s="1">
        <v>2</v>
      </c>
      <c r="M14" s="1">
        <v>11.038805970149253</v>
      </c>
      <c r="N14" s="1">
        <v>-0.84862572704175265</v>
      </c>
      <c r="O14" s="1">
        <v>-0.6327190595776363</v>
      </c>
      <c r="P14" s="1">
        <v>0.1355510053624546</v>
      </c>
      <c r="Q14" s="1">
        <v>0.23918980658001462</v>
      </c>
      <c r="R14" s="1">
        <v>-0.59503986958269872</v>
      </c>
      <c r="S14" s="1">
        <v>-0.7487725134807024</v>
      </c>
      <c r="T14">
        <f t="shared" si="0"/>
        <v>4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19" priority="1">
      <formula>$I9 &lt; (0.7*VLOOKUP($A9, Mean_PB_L, 2, FALSE))</formula>
    </cfRule>
  </conditionalFormatting>
  <conditionalFormatting sqref="J9:J1048576">
    <cfRule type="expression" dxfId="118" priority="3">
      <formula>$J9 &gt; VLOOKUP($A9, Mean_ROE_L, 2, FALSE)</formula>
    </cfRule>
  </conditionalFormatting>
  <conditionalFormatting sqref="K9:K1048576">
    <cfRule type="expression" dxfId="117" priority="4">
      <formula>$K9 &gt; VLOOKUP($A9, Mean_ROA_L, 2, FALSE)</formula>
    </cfRule>
  </conditionalFormatting>
  <conditionalFormatting sqref="M9:M1048576">
    <cfRule type="expression" dxfId="116" priority="5">
      <formula>AND($M9&gt;1, $M9&lt;25, $M9 &lt; VLOOKUP($A9, Mean_PE_L, 2, FALSE))</formula>
    </cfRule>
    <cfRule type="expression" dxfId="115" priority="6">
      <formula>AND($M9&gt;1, $M9&lt;25)</formula>
    </cfRule>
    <cfRule type="expression" dxfId="114" priority="9">
      <formula xml:space="preserve"> $M9 &lt; VLOOKUP($A9, Mean_PE_L, 2, FALSE)</formula>
    </cfRule>
  </conditionalFormatting>
  <conditionalFormatting sqref="N9:N1048576">
    <cfRule type="expression" dxfId="113" priority="10">
      <formula>$N9&lt;0</formula>
    </cfRule>
  </conditionalFormatting>
  <conditionalFormatting sqref="O9:O1048576">
    <cfRule type="expression" dxfId="112" priority="11">
      <formula>$O9&lt;0</formula>
    </cfRule>
  </conditionalFormatting>
  <conditionalFormatting sqref="P9:P1048576">
    <cfRule type="expression" dxfId="111" priority="12">
      <formula>$P9&gt;0</formula>
    </cfRule>
  </conditionalFormatting>
  <conditionalFormatting sqref="Q9:Q1048576">
    <cfRule type="expression" dxfId="110" priority="14">
      <formula>$Q9&gt;0</formula>
    </cfRule>
  </conditionalFormatting>
  <conditionalFormatting sqref="R9:R1048576">
    <cfRule type="expression" dxfId="109" priority="15">
      <formula>$R9&lt;0</formula>
    </cfRule>
  </conditionalFormatting>
  <conditionalFormatting sqref="S9:S1048576">
    <cfRule type="expression" dxfId="10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1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L3" sqref="L3:L6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Energy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298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3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_xlfn._xlws.FILTER(_xlfn._xlws.FILTER(Main_M[], Main_M[Preliminary Criteria]="YES"), COUNTIF($A$8:$S$8,Main_M[#Headers]))</f>
        <v>Oil, Gas &amp; Consumable Fuels</v>
      </c>
      <c r="B9" t="str">
        <v>CHRD</v>
      </c>
      <c r="C9" s="2">
        <v>5198</v>
      </c>
      <c r="D9" s="1">
        <v>97.49</v>
      </c>
      <c r="E9" s="1">
        <v>19.21</v>
      </c>
      <c r="F9" s="1">
        <v>148.09</v>
      </c>
      <c r="G9" s="1">
        <v>15.19</v>
      </c>
      <c r="H9" s="1">
        <v>5.0749609578344606</v>
      </c>
      <c r="I9" s="1">
        <v>0.65831588898642712</v>
      </c>
      <c r="J9" s="1">
        <v>12.69</v>
      </c>
      <c r="K9" s="1">
        <v>7.82</v>
      </c>
      <c r="L9" s="1">
        <v>1.52</v>
      </c>
      <c r="M9" s="1">
        <v>6.4180381830151418</v>
      </c>
      <c r="N9" s="1">
        <v>-0.20931207543423755</v>
      </c>
      <c r="O9" s="1">
        <v>-0.95573721138177492</v>
      </c>
      <c r="P9" s="1">
        <v>-0.16036664097820449</v>
      </c>
      <c r="Q9" s="1">
        <v>0.54152031155065583</v>
      </c>
      <c r="R9" s="1">
        <v>-0.81336725862549786</v>
      </c>
      <c r="S9" s="1">
        <v>-0.25242798966478036</v>
      </c>
      <c r="T9">
        <f t="shared" ref="T9:T11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  <row r="10" spans="1:20" x14ac:dyDescent="0.25">
      <c r="A10" t="str">
        <v>Oil, Gas &amp; Consumable Fuels</v>
      </c>
      <c r="B10" t="str">
        <v>STNG</v>
      </c>
      <c r="C10" s="2">
        <v>2027</v>
      </c>
      <c r="D10" s="1">
        <v>39.67</v>
      </c>
      <c r="E10" s="1">
        <v>14.01</v>
      </c>
      <c r="F10" s="1">
        <v>61.85</v>
      </c>
      <c r="G10" s="1">
        <v>10.31</v>
      </c>
      <c r="H10" s="1">
        <v>2.8315488936473949</v>
      </c>
      <c r="I10" s="1">
        <v>0.64139046079223927</v>
      </c>
      <c r="J10" s="1">
        <v>18.059999999999999</v>
      </c>
      <c r="K10" s="1">
        <v>6.34</v>
      </c>
      <c r="L10" s="1">
        <v>1.36</v>
      </c>
      <c r="M10" s="1">
        <v>3.8477206595538314</v>
      </c>
      <c r="N10" s="1">
        <v>-0.42908506644757871</v>
      </c>
      <c r="O10" s="1">
        <v>-0.96926361848936637</v>
      </c>
      <c r="P10" s="1">
        <v>-8.9093124516107652E-2</v>
      </c>
      <c r="Q10" s="1">
        <v>0.22099157171104195</v>
      </c>
      <c r="R10" s="1">
        <v>-1.0085541847253889</v>
      </c>
      <c r="S10" s="1">
        <v>-0.47398969504212579</v>
      </c>
      <c r="T10">
        <f t="shared" si="0"/>
        <v>4</v>
      </c>
    </row>
    <row r="11" spans="1:20" x14ac:dyDescent="0.25">
      <c r="A11" t="str">
        <v>Oil, Gas &amp; Consumable Fuels</v>
      </c>
      <c r="B11" t="str">
        <v>HAFN</v>
      </c>
      <c r="C11" s="2">
        <v>2520</v>
      </c>
      <c r="D11" s="1">
        <v>5.25</v>
      </c>
      <c r="E11" s="1">
        <v>1.69</v>
      </c>
      <c r="F11" s="1">
        <v>4.57</v>
      </c>
      <c r="G11" s="1">
        <v>1.2</v>
      </c>
      <c r="H11" s="1">
        <v>3.1065088757396451</v>
      </c>
      <c r="I11" s="1">
        <v>1.1487964989059081</v>
      </c>
      <c r="J11" s="1">
        <v>26.66</v>
      </c>
      <c r="K11" s="1">
        <v>10.199999999999999</v>
      </c>
      <c r="L11" s="1">
        <v>1.62</v>
      </c>
      <c r="M11" s="1">
        <v>4.375</v>
      </c>
      <c r="N11" s="1">
        <v>-0.40214896378590126</v>
      </c>
      <c r="O11" s="1">
        <v>-0.56375655765574839</v>
      </c>
      <c r="P11" s="1">
        <v>2.5050682108479515E-2</v>
      </c>
      <c r="Q11" s="1">
        <v>1.056965176968413</v>
      </c>
      <c r="R11" s="1">
        <v>-0.69137542981306588</v>
      </c>
      <c r="S11" s="1">
        <v>-0.42853814720294159</v>
      </c>
      <c r="T11">
        <f t="shared" si="0"/>
        <v>5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07" priority="1">
      <formula>$I9 &lt; (0.7*VLOOKUP($A9, Mean_PB_M, 2, FALSE))</formula>
    </cfRule>
  </conditionalFormatting>
  <conditionalFormatting sqref="J9:J1048576">
    <cfRule type="expression" dxfId="106" priority="3">
      <formula>$J9 &gt; VLOOKUP($A9, Mean_ROE_M, 2, FALSE)</formula>
    </cfRule>
  </conditionalFormatting>
  <conditionalFormatting sqref="K9:K1048576">
    <cfRule type="expression" dxfId="105" priority="4">
      <formula>$K9 &gt; VLOOKUP($A9, Mean_ROA_M, 2, FALSE)</formula>
    </cfRule>
  </conditionalFormatting>
  <conditionalFormatting sqref="M9:M1048576">
    <cfRule type="expression" dxfId="104" priority="5">
      <formula>AND($M9&gt;1, $M9&lt;25, $M9 &lt; VLOOKUP($A9, Mean_PE_M, 2, FALSE))</formula>
    </cfRule>
    <cfRule type="expression" dxfId="103" priority="6">
      <formula>AND($M9&gt;1, $M9&lt;25)</formula>
    </cfRule>
    <cfRule type="expression" dxfId="102" priority="7">
      <formula xml:space="preserve"> $M9 &lt; VLOOKUP($A9, Mean_PE_M, 2, FALSE)</formula>
    </cfRule>
  </conditionalFormatting>
  <conditionalFormatting sqref="N9:N1048576">
    <cfRule type="expression" dxfId="101" priority="8">
      <formula>$N9&lt;0</formula>
    </cfRule>
  </conditionalFormatting>
  <conditionalFormatting sqref="O9:O1048576">
    <cfRule type="expression" dxfId="100" priority="9">
      <formula>$O9&lt;0</formula>
    </cfRule>
  </conditionalFormatting>
  <conditionalFormatting sqref="P9:P1048576">
    <cfRule type="expression" dxfId="99" priority="10">
      <formula>$P9&gt;0</formula>
    </cfRule>
  </conditionalFormatting>
  <conditionalFormatting sqref="Q9:Q1048576">
    <cfRule type="expression" dxfId="98" priority="11">
      <formula>$Q9&gt;0</formula>
    </cfRule>
  </conditionalFormatting>
  <conditionalFormatting sqref="R9:R1048576">
    <cfRule type="expression" dxfId="97" priority="12">
      <formula>$R9&lt;0</formula>
    </cfRule>
  </conditionalFormatting>
  <conditionalFormatting sqref="S9:S1048576">
    <cfRule type="expression" dxfId="9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18" sqref="I1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Energy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5/5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298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_xlfn._xlws.FILTER(_xlfn._xlws.FILTER(Main_S[], Main_S[Preliminary Criteria]="YES"), COUNTIF($A$8:$S$8,Main_S[#Headers]))</f>
        <v>Energy Equipment &amp; Services</v>
      </c>
      <c r="B9" t="str">
        <v>TOTZF</v>
      </c>
      <c r="C9">
        <v>279</v>
      </c>
      <c r="D9">
        <v>7.7294999999999998</v>
      </c>
      <c r="E9">
        <v>1.62</v>
      </c>
      <c r="F9">
        <v>10.74</v>
      </c>
      <c r="G9">
        <v>1.1399999999999999</v>
      </c>
      <c r="H9" s="1">
        <v>4.7712962962962955</v>
      </c>
      <c r="I9" s="1">
        <v>0.7196927374301676</v>
      </c>
      <c r="J9" s="1">
        <v>11.36</v>
      </c>
      <c r="K9" s="1">
        <v>5.43</v>
      </c>
      <c r="L9" s="1">
        <v>1.71</v>
      </c>
      <c r="M9" s="1">
        <v>6.780263157894737</v>
      </c>
      <c r="N9" s="1">
        <v>-0.18649360217543814</v>
      </c>
      <c r="O9" s="1">
        <v>-0.82547307938711534</v>
      </c>
      <c r="P9" s="1">
        <v>0.1910659092607663</v>
      </c>
      <c r="Q9" s="1">
        <v>0.2272624642249948</v>
      </c>
      <c r="R9" s="1">
        <v>-0.48561402746100363</v>
      </c>
      <c r="S9" s="1">
        <v>-0.54262659775068323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5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95" priority="1">
      <formula>$I9 &lt; (0.7*VLOOKUP($A9, Mean_PB_S, 2, FALSE))</formula>
    </cfRule>
  </conditionalFormatting>
  <conditionalFormatting sqref="J9:J1048576">
    <cfRule type="expression" dxfId="94" priority="3">
      <formula>$J9 &gt; VLOOKUP($A9, Mean_ROE_S, 2, FALSE)</formula>
    </cfRule>
  </conditionalFormatting>
  <conditionalFormatting sqref="K9:K1048576">
    <cfRule type="expression" dxfId="93" priority="4">
      <formula>$K9 &gt; VLOOKUP($A9, Mean_ROA_S, 2, FALSE)</formula>
    </cfRule>
  </conditionalFormatting>
  <conditionalFormatting sqref="M9:M1048576">
    <cfRule type="expression" dxfId="92" priority="5">
      <formula>AND($M9&gt;1, $M9&lt;25, $M9 &lt; VLOOKUP($A9, Mean_PE_S, 2, FALSE))</formula>
    </cfRule>
    <cfRule type="expression" dxfId="91" priority="6">
      <formula>AND($M9&gt;1, $M9&lt;25)</formula>
    </cfRule>
    <cfRule type="expression" dxfId="90" priority="7">
      <formula xml:space="preserve"> $M9 &lt; VLOOKUP($A9, Mean_PE_S, 2, FALSE)</formula>
    </cfRule>
  </conditionalFormatting>
  <conditionalFormatting sqref="N9:N1048576">
    <cfRule type="expression" dxfId="89" priority="8">
      <formula>$N9&lt;0</formula>
    </cfRule>
  </conditionalFormatting>
  <conditionalFormatting sqref="O9:O1048576">
    <cfRule type="expression" dxfId="88" priority="9">
      <formula>$O9&lt;0</formula>
    </cfRule>
  </conditionalFormatting>
  <conditionalFormatting sqref="P9:P1048576">
    <cfRule type="expression" dxfId="87" priority="10">
      <formula>$P9&gt;0</formula>
    </cfRule>
  </conditionalFormatting>
  <conditionalFormatting sqref="Q9:Q1048576">
    <cfRule type="expression" dxfId="86" priority="11">
      <formula>$Q9&gt;0</formula>
    </cfRule>
  </conditionalFormatting>
  <conditionalFormatting sqref="R9:R1048576">
    <cfRule type="expression" dxfId="85" priority="12">
      <formula>$R9&lt;0</formula>
    </cfRule>
  </conditionalFormatting>
  <conditionalFormatting sqref="S9:S1048576">
    <cfRule type="expression" dxfId="8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2025-06-09T20:22:54Z</dcterms:modified>
</cp:coreProperties>
</file>
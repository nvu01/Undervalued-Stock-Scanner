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0377934F-3F20-4E2C-88B8-BFCE119C5101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Main_L!$A$1:$M$51</definedName>
    <definedName name="ExternalData_1" localSheetId="2" hidden="1">Main_M!$A$1:$M$51</definedName>
    <definedName name="ExternalData_1" localSheetId="3" hidden="1">Main_S!$A$1:$M$98</definedName>
    <definedName name="ExternalData_5" localSheetId="4" hidden="1">'Quartile Tables'!$A$2:$Y$4</definedName>
    <definedName name="ExternalData_6" localSheetId="4" hidden="1">'Quartile Tables'!$A$8:$Y$10</definedName>
    <definedName name="ExternalData_7" localSheetId="4" hidden="1">'Quartile Tables'!$A$14:$Y$16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9" l="1"/>
  <c r="T11" i="9"/>
  <c r="T12" i="9"/>
  <c r="T13" i="9"/>
  <c r="T14" i="9"/>
  <c r="T15" i="9"/>
  <c r="T10" i="11"/>
  <c r="T11" i="11"/>
  <c r="Y16" i="1"/>
  <c r="Y15" i="1"/>
  <c r="X16" i="1"/>
  <c r="X15" i="1"/>
  <c r="W16" i="1" a="1"/>
  <c r="W16" i="1" s="1"/>
  <c r="W15" i="1" a="1"/>
  <c r="W15" i="1" s="1"/>
  <c r="V16" i="1" a="1"/>
  <c r="V16" i="1" s="1"/>
  <c r="V15" i="1" a="1"/>
  <c r="V15" i="1" s="1"/>
  <c r="Q16" i="1"/>
  <c r="X41" i="4" s="1"/>
  <c r="Q15" i="1"/>
  <c r="P16" i="1"/>
  <c r="P15" i="1"/>
  <c r="O16" i="1" a="1"/>
  <c r="O16" i="1"/>
  <c r="O15" i="1" a="1"/>
  <c r="O15" i="1" s="1"/>
  <c r="N16" i="1" a="1"/>
  <c r="N16" i="1" s="1"/>
  <c r="N15" i="1" a="1"/>
  <c r="N15" i="1" s="1"/>
  <c r="M16" i="1"/>
  <c r="M15" i="1"/>
  <c r="L16" i="1"/>
  <c r="L15" i="1"/>
  <c r="W12" i="4" s="1"/>
  <c r="K16" i="1" a="1"/>
  <c r="K16" i="1" s="1"/>
  <c r="K15" i="1" a="1"/>
  <c r="K15" i="1" s="1"/>
  <c r="J16" i="1" a="1"/>
  <c r="J16" i="1" s="1"/>
  <c r="J15" i="1" a="1"/>
  <c r="J15" i="1" s="1"/>
  <c r="Y10" i="1"/>
  <c r="Y9" i="1"/>
  <c r="X10" i="1"/>
  <c r="Y26" i="3" s="1"/>
  <c r="X9" i="1"/>
  <c r="W10" i="1" a="1"/>
  <c r="W10" i="1" s="1"/>
  <c r="W9" i="1" a="1"/>
  <c r="W9" i="1" s="1"/>
  <c r="V10" i="1" a="1"/>
  <c r="V10" i="1"/>
  <c r="V9" i="1" a="1"/>
  <c r="V9" i="1" s="1"/>
  <c r="Q10" i="1"/>
  <c r="Q9" i="1"/>
  <c r="P10" i="1"/>
  <c r="P9" i="1"/>
  <c r="O10" i="1" a="1"/>
  <c r="O10" i="1" s="1"/>
  <c r="O9" i="1" a="1"/>
  <c r="O9" i="1" s="1"/>
  <c r="N10" i="1" a="1"/>
  <c r="N10" i="1" s="1"/>
  <c r="N9" i="1" a="1"/>
  <c r="N9" i="1" s="1"/>
  <c r="M10" i="1"/>
  <c r="M9" i="1"/>
  <c r="L10" i="1"/>
  <c r="L9" i="1"/>
  <c r="K10" i="1" a="1"/>
  <c r="K10" i="1" s="1"/>
  <c r="K9" i="1" a="1"/>
  <c r="K9" i="1" s="1"/>
  <c r="J10" i="1" a="1"/>
  <c r="J10" i="1"/>
  <c r="J9" i="1" a="1"/>
  <c r="J9" i="1" s="1"/>
  <c r="Y4" i="1"/>
  <c r="Y6" i="2" s="1"/>
  <c r="Y3" i="1"/>
  <c r="X4" i="1"/>
  <c r="X3" i="1"/>
  <c r="W4" i="1" a="1"/>
  <c r="W4" i="1"/>
  <c r="W3" i="1" a="1"/>
  <c r="W3" i="1" s="1"/>
  <c r="V4" i="1" a="1"/>
  <c r="V4" i="1" s="1"/>
  <c r="V3" i="1" a="1"/>
  <c r="V3" i="1"/>
  <c r="Q4" i="1"/>
  <c r="Q3" i="1"/>
  <c r="P4" i="1"/>
  <c r="X7" i="2" s="1"/>
  <c r="P3" i="1"/>
  <c r="O4" i="1" a="1"/>
  <c r="O4" i="1" s="1"/>
  <c r="O3" i="1" a="1"/>
  <c r="O3" i="1" s="1"/>
  <c r="N4" i="1" a="1"/>
  <c r="N4" i="1" s="1"/>
  <c r="N3" i="1" a="1"/>
  <c r="N3" i="1"/>
  <c r="M4" i="1"/>
  <c r="M3" i="1"/>
  <c r="L4" i="1"/>
  <c r="L3" i="1"/>
  <c r="W5" i="2" s="1"/>
  <c r="K4" i="1" a="1"/>
  <c r="K4" i="1" s="1"/>
  <c r="K3" i="1" a="1"/>
  <c r="K3" i="1" s="1"/>
  <c r="J4" i="1" a="1"/>
  <c r="J4" i="1" s="1"/>
  <c r="J3" i="1" a="1"/>
  <c r="J3" i="1" s="1"/>
  <c r="M98" i="4"/>
  <c r="T98" i="4" s="1"/>
  <c r="M97" i="4"/>
  <c r="T97" i="4" s="1"/>
  <c r="M96" i="4"/>
  <c r="M84" i="4"/>
  <c r="M81" i="4"/>
  <c r="M80" i="4"/>
  <c r="M78" i="4"/>
  <c r="M61" i="4"/>
  <c r="M60" i="4"/>
  <c r="M58" i="4"/>
  <c r="T58" i="4" s="1"/>
  <c r="M57" i="4"/>
  <c r="T57" i="4" s="1"/>
  <c r="M51" i="4"/>
  <c r="T51" i="4" s="1"/>
  <c r="M43" i="4"/>
  <c r="M40" i="4"/>
  <c r="M38" i="4"/>
  <c r="M37" i="4"/>
  <c r="T37" i="4" s="1"/>
  <c r="M21" i="4"/>
  <c r="M20" i="4"/>
  <c r="M16" i="4"/>
  <c r="M12" i="4"/>
  <c r="M11" i="4"/>
  <c r="T11" i="4" s="1"/>
  <c r="M3" i="4"/>
  <c r="I98" i="4"/>
  <c r="I96" i="4"/>
  <c r="I88" i="4"/>
  <c r="P88" i="4" s="1"/>
  <c r="I84" i="4"/>
  <c r="I81" i="4"/>
  <c r="I80" i="4"/>
  <c r="I75" i="4"/>
  <c r="P75" i="4" s="1"/>
  <c r="I73" i="4"/>
  <c r="I68" i="4"/>
  <c r="I66" i="4"/>
  <c r="P66" i="4" s="1"/>
  <c r="I64" i="4"/>
  <c r="P64" i="4" s="1"/>
  <c r="I61" i="4"/>
  <c r="P61" i="4" s="1"/>
  <c r="I48" i="4"/>
  <c r="I46" i="4"/>
  <c r="I45" i="4"/>
  <c r="P45" i="4" s="1"/>
  <c r="I44" i="4"/>
  <c r="I40" i="4"/>
  <c r="P40" i="4" s="1"/>
  <c r="I37" i="4"/>
  <c r="P37" i="4" s="1"/>
  <c r="I34" i="4"/>
  <c r="I33" i="4"/>
  <c r="I26" i="4"/>
  <c r="P26" i="4" s="1"/>
  <c r="I24" i="4"/>
  <c r="P24" i="4" s="1"/>
  <c r="I21" i="4"/>
  <c r="I16" i="4"/>
  <c r="I12" i="4"/>
  <c r="I8" i="4"/>
  <c r="P8" i="4" s="1"/>
  <c r="H96" i="4"/>
  <c r="N96" i="4" s="1"/>
  <c r="H92" i="4"/>
  <c r="H91" i="4"/>
  <c r="O91" i="4" s="1"/>
  <c r="H85" i="4"/>
  <c r="H83" i="4"/>
  <c r="O83" i="4" s="1"/>
  <c r="H73" i="4"/>
  <c r="H72" i="4"/>
  <c r="H71" i="4"/>
  <c r="H70" i="4"/>
  <c r="H61" i="4"/>
  <c r="H55" i="4"/>
  <c r="O55" i="4" s="1"/>
  <c r="H52" i="4"/>
  <c r="H51" i="4"/>
  <c r="N51" i="4" s="1"/>
  <c r="H49" i="4"/>
  <c r="H45" i="4"/>
  <c r="H43" i="4"/>
  <c r="H38" i="4"/>
  <c r="H37" i="4"/>
  <c r="H34" i="4"/>
  <c r="H33" i="4"/>
  <c r="H21" i="4"/>
  <c r="O21" i="4" s="1"/>
  <c r="H16" i="4"/>
  <c r="H13" i="4"/>
  <c r="H12" i="4"/>
  <c r="H11" i="4"/>
  <c r="O11" i="4" s="1"/>
  <c r="H10" i="4"/>
  <c r="O10" i="4" s="1"/>
  <c r="D98" i="4"/>
  <c r="H98" i="4" s="1"/>
  <c r="D97" i="4"/>
  <c r="I97" i="4" s="1"/>
  <c r="D96" i="4"/>
  <c r="D95" i="4"/>
  <c r="M95" i="4" s="1"/>
  <c r="T95" i="4" s="1"/>
  <c r="D94" i="4"/>
  <c r="M94" i="4" s="1"/>
  <c r="T94" i="4" s="1"/>
  <c r="D93" i="4"/>
  <c r="M93" i="4" s="1"/>
  <c r="D92" i="4"/>
  <c r="D91" i="4"/>
  <c r="I91" i="4" s="1"/>
  <c r="P91" i="4" s="1"/>
  <c r="D90" i="4"/>
  <c r="D89" i="4"/>
  <c r="D88" i="4"/>
  <c r="D87" i="4"/>
  <c r="D86" i="4"/>
  <c r="H86" i="4" s="1"/>
  <c r="O86" i="4" s="1"/>
  <c r="D85" i="4"/>
  <c r="M85" i="4" s="1"/>
  <c r="T85" i="4" s="1"/>
  <c r="D84" i="4"/>
  <c r="H84" i="4" s="1"/>
  <c r="D83" i="4"/>
  <c r="I83" i="4" s="1"/>
  <c r="D82" i="4"/>
  <c r="D81" i="4"/>
  <c r="H81" i="4" s="1"/>
  <c r="O81" i="4" s="1"/>
  <c r="D80" i="4"/>
  <c r="H80" i="4" s="1"/>
  <c r="D79" i="4"/>
  <c r="D78" i="4"/>
  <c r="H78" i="4" s="1"/>
  <c r="O78" i="4" s="1"/>
  <c r="D77" i="4"/>
  <c r="H77" i="4" s="1"/>
  <c r="D76" i="4"/>
  <c r="H76" i="4" s="1"/>
  <c r="O76" i="4" s="1"/>
  <c r="D75" i="4"/>
  <c r="M75" i="4" s="1"/>
  <c r="T75" i="4" s="1"/>
  <c r="D74" i="4"/>
  <c r="M74" i="4" s="1"/>
  <c r="D73" i="4"/>
  <c r="M73" i="4" s="1"/>
  <c r="T73" i="4" s="1"/>
  <c r="D72" i="4"/>
  <c r="D71" i="4"/>
  <c r="I71" i="4" s="1"/>
  <c r="P71" i="4" s="1"/>
  <c r="D70" i="4"/>
  <c r="D69" i="4"/>
  <c r="D68" i="4"/>
  <c r="D67" i="4"/>
  <c r="D66" i="4"/>
  <c r="H66" i="4" s="1"/>
  <c r="D65" i="4"/>
  <c r="M65" i="4" s="1"/>
  <c r="T65" i="4" s="1"/>
  <c r="D64" i="4"/>
  <c r="H64" i="4" s="1"/>
  <c r="O64" i="4" s="1"/>
  <c r="D63" i="4"/>
  <c r="I63" i="4" s="1"/>
  <c r="P63" i="4" s="1"/>
  <c r="D62" i="4"/>
  <c r="D61" i="4"/>
  <c r="D60" i="4"/>
  <c r="H60" i="4" s="1"/>
  <c r="D59" i="4"/>
  <c r="D58" i="4"/>
  <c r="I58" i="4" s="1"/>
  <c r="P58" i="4" s="1"/>
  <c r="D57" i="4"/>
  <c r="I57" i="4" s="1"/>
  <c r="P57" i="4" s="1"/>
  <c r="D56" i="4"/>
  <c r="I56" i="4" s="1"/>
  <c r="P56" i="4" s="1"/>
  <c r="D55" i="4"/>
  <c r="M55" i="4" s="1"/>
  <c r="D54" i="4"/>
  <c r="M54" i="4" s="1"/>
  <c r="T54" i="4" s="1"/>
  <c r="D53" i="4"/>
  <c r="M53" i="4" s="1"/>
  <c r="T53" i="4" s="1"/>
  <c r="D52" i="4"/>
  <c r="D51" i="4"/>
  <c r="I51" i="4" s="1"/>
  <c r="D50" i="4"/>
  <c r="H50" i="4" s="1"/>
  <c r="D49" i="4"/>
  <c r="D48" i="4"/>
  <c r="D47" i="4"/>
  <c r="D46" i="4"/>
  <c r="H46" i="4" s="1"/>
  <c r="D45" i="4"/>
  <c r="M45" i="4" s="1"/>
  <c r="T45" i="4" s="1"/>
  <c r="D44" i="4"/>
  <c r="H44" i="4" s="1"/>
  <c r="D43" i="4"/>
  <c r="I43" i="4" s="1"/>
  <c r="P43" i="4" s="1"/>
  <c r="D42" i="4"/>
  <c r="D41" i="4"/>
  <c r="M41" i="4" s="1"/>
  <c r="D40" i="4"/>
  <c r="H40" i="4" s="1"/>
  <c r="O40" i="4" s="1"/>
  <c r="D39" i="4"/>
  <c r="D38" i="4"/>
  <c r="I38" i="4" s="1"/>
  <c r="D37" i="4"/>
  <c r="D36" i="4"/>
  <c r="M36" i="4" s="1"/>
  <c r="T36" i="4" s="1"/>
  <c r="D35" i="4"/>
  <c r="M35" i="4" s="1"/>
  <c r="D34" i="4"/>
  <c r="M34" i="4" s="1"/>
  <c r="D33" i="4"/>
  <c r="M33" i="4" s="1"/>
  <c r="D32" i="4"/>
  <c r="D31" i="4"/>
  <c r="I31" i="4" s="1"/>
  <c r="D30" i="4"/>
  <c r="D29" i="4"/>
  <c r="D28" i="4"/>
  <c r="D27" i="4"/>
  <c r="D26" i="4"/>
  <c r="H26" i="4" s="1"/>
  <c r="D25" i="4"/>
  <c r="M25" i="4" s="1"/>
  <c r="T25" i="4" s="1"/>
  <c r="D24" i="4"/>
  <c r="H24" i="4" s="1"/>
  <c r="O24" i="4" s="1"/>
  <c r="D23" i="4"/>
  <c r="I23" i="4" s="1"/>
  <c r="D22" i="4"/>
  <c r="D21" i="4"/>
  <c r="D20" i="4"/>
  <c r="H20" i="4" s="1"/>
  <c r="D19" i="4"/>
  <c r="D18" i="4"/>
  <c r="I18" i="4" s="1"/>
  <c r="D17" i="4"/>
  <c r="I17" i="4" s="1"/>
  <c r="D16" i="4"/>
  <c r="D15" i="4"/>
  <c r="M15" i="4" s="1"/>
  <c r="D14" i="4"/>
  <c r="M14" i="4" s="1"/>
  <c r="T14" i="4" s="1"/>
  <c r="D13" i="4"/>
  <c r="M13" i="4" s="1"/>
  <c r="T13" i="4" s="1"/>
  <c r="D12" i="4"/>
  <c r="D11" i="4"/>
  <c r="I11" i="4" s="1"/>
  <c r="D10" i="4"/>
  <c r="D9" i="4"/>
  <c r="D8" i="4"/>
  <c r="D7" i="4"/>
  <c r="D6" i="4"/>
  <c r="H6" i="4" s="1"/>
  <c r="D5" i="4"/>
  <c r="H5" i="4" s="1"/>
  <c r="D4" i="4"/>
  <c r="H4" i="4" s="1"/>
  <c r="D3" i="4"/>
  <c r="I3" i="4" s="1"/>
  <c r="D2" i="4"/>
  <c r="H2" i="4" s="1"/>
  <c r="O2" i="4" s="1"/>
  <c r="M44" i="3"/>
  <c r="T44" i="3" s="1"/>
  <c r="M43" i="3"/>
  <c r="T43" i="3" s="1"/>
  <c r="M38" i="3"/>
  <c r="M37" i="3"/>
  <c r="T37" i="3" s="1"/>
  <c r="M29" i="3"/>
  <c r="M21" i="3"/>
  <c r="T21" i="3" s="1"/>
  <c r="M18" i="3"/>
  <c r="T18" i="3" s="1"/>
  <c r="M17" i="3"/>
  <c r="M5" i="3"/>
  <c r="I49" i="3"/>
  <c r="P49" i="3" s="1"/>
  <c r="I48" i="3"/>
  <c r="P48" i="3" s="1"/>
  <c r="I47" i="3"/>
  <c r="I31" i="3"/>
  <c r="P31" i="3" s="1"/>
  <c r="I29" i="3"/>
  <c r="I28" i="3"/>
  <c r="I12" i="3"/>
  <c r="P12" i="3" s="1"/>
  <c r="I9" i="3"/>
  <c r="P9" i="3" s="1"/>
  <c r="I8" i="3"/>
  <c r="P8" i="3" s="1"/>
  <c r="H44" i="3"/>
  <c r="H43" i="3"/>
  <c r="O43" i="3" s="1"/>
  <c r="H41" i="3"/>
  <c r="H38" i="3"/>
  <c r="H37" i="3"/>
  <c r="H18" i="3"/>
  <c r="H9" i="3"/>
  <c r="H6" i="3"/>
  <c r="O6" i="3" s="1"/>
  <c r="H5" i="3"/>
  <c r="O5" i="3" s="1"/>
  <c r="H4" i="3"/>
  <c r="H3" i="3"/>
  <c r="O3" i="3" s="1"/>
  <c r="D51" i="3"/>
  <c r="I51" i="3" s="1"/>
  <c r="P51" i="3" s="1"/>
  <c r="D50" i="3"/>
  <c r="I50" i="3" s="1"/>
  <c r="P50" i="3" s="1"/>
  <c r="D49" i="3"/>
  <c r="M49" i="3" s="1"/>
  <c r="D48" i="3"/>
  <c r="D47" i="3"/>
  <c r="D46" i="3"/>
  <c r="I46" i="3" s="1"/>
  <c r="P46" i="3" s="1"/>
  <c r="D45" i="3"/>
  <c r="I45" i="3" s="1"/>
  <c r="P45" i="3" s="1"/>
  <c r="D44" i="3"/>
  <c r="I44" i="3" s="1"/>
  <c r="D43" i="3"/>
  <c r="I43" i="3" s="1"/>
  <c r="D42" i="3"/>
  <c r="M42" i="3" s="1"/>
  <c r="T42" i="3" s="1"/>
  <c r="D41" i="3"/>
  <c r="I41" i="3" s="1"/>
  <c r="D40" i="3"/>
  <c r="I40" i="3" s="1"/>
  <c r="D39" i="3"/>
  <c r="D38" i="3"/>
  <c r="I38" i="3" s="1"/>
  <c r="P38" i="3" s="1"/>
  <c r="D37" i="3"/>
  <c r="I37" i="3" s="1"/>
  <c r="P37" i="3" s="1"/>
  <c r="D36" i="3"/>
  <c r="M36" i="3" s="1"/>
  <c r="D35" i="3"/>
  <c r="D34" i="3"/>
  <c r="I34" i="3" s="1"/>
  <c r="P34" i="3" s="1"/>
  <c r="D33" i="3"/>
  <c r="D32" i="3"/>
  <c r="M32" i="3" s="1"/>
  <c r="T32" i="3" s="1"/>
  <c r="D31" i="3"/>
  <c r="D30" i="3"/>
  <c r="I30" i="3" s="1"/>
  <c r="P30" i="3" s="1"/>
  <c r="D29" i="3"/>
  <c r="H29" i="3" s="1"/>
  <c r="D28" i="3"/>
  <c r="D27" i="3"/>
  <c r="D26" i="3"/>
  <c r="I26" i="3" s="1"/>
  <c r="D25" i="3"/>
  <c r="I25" i="3" s="1"/>
  <c r="D24" i="3"/>
  <c r="I24" i="3" s="1"/>
  <c r="D23" i="3"/>
  <c r="I23" i="3" s="1"/>
  <c r="P23" i="3" s="1"/>
  <c r="D22" i="3"/>
  <c r="I22" i="3" s="1"/>
  <c r="P22" i="3" s="1"/>
  <c r="D21" i="3"/>
  <c r="I21" i="3" s="1"/>
  <c r="D20" i="3"/>
  <c r="I20" i="3" s="1"/>
  <c r="D19" i="3"/>
  <c r="I19" i="3" s="1"/>
  <c r="D18" i="3"/>
  <c r="I18" i="3" s="1"/>
  <c r="P18" i="3" s="1"/>
  <c r="D17" i="3"/>
  <c r="I17" i="3" s="1"/>
  <c r="D16" i="3"/>
  <c r="M16" i="3" s="1"/>
  <c r="D15" i="3"/>
  <c r="D14" i="3"/>
  <c r="D13" i="3"/>
  <c r="D12" i="3"/>
  <c r="M12" i="3" s="1"/>
  <c r="T12" i="3" s="1"/>
  <c r="D11" i="3"/>
  <c r="I11" i="3" s="1"/>
  <c r="P11" i="3" s="1"/>
  <c r="D10" i="3"/>
  <c r="I10" i="3" s="1"/>
  <c r="P10" i="3" s="1"/>
  <c r="D9" i="3"/>
  <c r="M9" i="3" s="1"/>
  <c r="D8" i="3"/>
  <c r="D7" i="3"/>
  <c r="I7" i="3" s="1"/>
  <c r="P7" i="3" s="1"/>
  <c r="D6" i="3"/>
  <c r="I6" i="3" s="1"/>
  <c r="D5" i="3"/>
  <c r="I5" i="3" s="1"/>
  <c r="D4" i="3"/>
  <c r="I4" i="3" s="1"/>
  <c r="D3" i="3"/>
  <c r="I3" i="3" s="1"/>
  <c r="P3" i="3" s="1"/>
  <c r="D2" i="3"/>
  <c r="H2" i="3" s="1"/>
  <c r="M46" i="2"/>
  <c r="T46" i="2" s="1"/>
  <c r="M45" i="2"/>
  <c r="T45" i="2" s="1"/>
  <c r="M44" i="2"/>
  <c r="M31" i="2"/>
  <c r="T31" i="2" s="1"/>
  <c r="M26" i="2"/>
  <c r="M25" i="2"/>
  <c r="T25" i="2" s="1"/>
  <c r="M12" i="2"/>
  <c r="T12" i="2" s="1"/>
  <c r="M9" i="2"/>
  <c r="M6" i="2"/>
  <c r="T6" i="2" s="1"/>
  <c r="M3" i="2"/>
  <c r="I47" i="2"/>
  <c r="P47" i="2" s="1"/>
  <c r="I42" i="2"/>
  <c r="P42" i="2" s="1"/>
  <c r="I33" i="2"/>
  <c r="I31" i="2"/>
  <c r="P31" i="2" s="1"/>
  <c r="I12" i="2"/>
  <c r="P12" i="2" s="1"/>
  <c r="I7" i="2"/>
  <c r="P7" i="2" s="1"/>
  <c r="I2" i="2"/>
  <c r="H43" i="2"/>
  <c r="H42" i="2"/>
  <c r="H41" i="2"/>
  <c r="H31" i="2"/>
  <c r="H12" i="2"/>
  <c r="N12" i="2" s="1"/>
  <c r="H5" i="2"/>
  <c r="H4" i="2"/>
  <c r="N4" i="2" s="1"/>
  <c r="H3" i="2"/>
  <c r="D51" i="2"/>
  <c r="I51" i="2" s="1"/>
  <c r="P51" i="2" s="1"/>
  <c r="D50" i="2"/>
  <c r="I50" i="2" s="1"/>
  <c r="P50" i="2" s="1"/>
  <c r="D49" i="2"/>
  <c r="I49" i="2" s="1"/>
  <c r="D48" i="2"/>
  <c r="I48" i="2" s="1"/>
  <c r="P48" i="2" s="1"/>
  <c r="D47" i="2"/>
  <c r="D46" i="2"/>
  <c r="I46" i="2" s="1"/>
  <c r="P46" i="2" s="1"/>
  <c r="D45" i="2"/>
  <c r="I45" i="2" s="1"/>
  <c r="D44" i="2"/>
  <c r="I44" i="2" s="1"/>
  <c r="D43" i="2"/>
  <c r="I43" i="2" s="1"/>
  <c r="D42" i="2"/>
  <c r="M42" i="2" s="1"/>
  <c r="T42" i="2" s="1"/>
  <c r="D41" i="2"/>
  <c r="I41" i="2" s="1"/>
  <c r="P41" i="2" s="1"/>
  <c r="D40" i="2"/>
  <c r="I40" i="2" s="1"/>
  <c r="P40" i="2" s="1"/>
  <c r="D39" i="2"/>
  <c r="D38" i="2"/>
  <c r="I38" i="2" s="1"/>
  <c r="P38" i="2" s="1"/>
  <c r="D37" i="2"/>
  <c r="I37" i="2" s="1"/>
  <c r="P37" i="2" s="1"/>
  <c r="D36" i="2"/>
  <c r="M36" i="2" s="1"/>
  <c r="T36" i="2" s="1"/>
  <c r="D35" i="2"/>
  <c r="D34" i="2"/>
  <c r="D33" i="2"/>
  <c r="D32" i="2"/>
  <c r="M32" i="2" s="1"/>
  <c r="T32" i="2" s="1"/>
  <c r="D31" i="2"/>
  <c r="D30" i="2"/>
  <c r="I30" i="2" s="1"/>
  <c r="D29" i="2"/>
  <c r="H29" i="2" s="1"/>
  <c r="D28" i="2"/>
  <c r="I28" i="2" s="1"/>
  <c r="P28" i="2" s="1"/>
  <c r="D27" i="2"/>
  <c r="I27" i="2" s="1"/>
  <c r="P27" i="2" s="1"/>
  <c r="D26" i="2"/>
  <c r="I26" i="2" s="1"/>
  <c r="P26" i="2" s="1"/>
  <c r="D25" i="2"/>
  <c r="I25" i="2" s="1"/>
  <c r="D24" i="2"/>
  <c r="I24" i="2" s="1"/>
  <c r="P24" i="2" s="1"/>
  <c r="D23" i="2"/>
  <c r="I23" i="2" s="1"/>
  <c r="D22" i="2"/>
  <c r="M22" i="2" s="1"/>
  <c r="T22" i="2" s="1"/>
  <c r="D21" i="2"/>
  <c r="I21" i="2" s="1"/>
  <c r="D20" i="2"/>
  <c r="I20" i="2" s="1"/>
  <c r="P20" i="2" s="1"/>
  <c r="D19" i="2"/>
  <c r="D18" i="2"/>
  <c r="I18" i="2" s="1"/>
  <c r="D17" i="2"/>
  <c r="I17" i="2" s="1"/>
  <c r="D16" i="2"/>
  <c r="M16" i="2" s="1"/>
  <c r="D15" i="2"/>
  <c r="D14" i="2"/>
  <c r="D13" i="2"/>
  <c r="I13" i="2" s="1"/>
  <c r="P13" i="2" s="1"/>
  <c r="D12" i="2"/>
  <c r="D11" i="2"/>
  <c r="I11" i="2" s="1"/>
  <c r="P11" i="2" s="1"/>
  <c r="D10" i="2"/>
  <c r="I10" i="2" s="1"/>
  <c r="P10" i="2" s="1"/>
  <c r="D9" i="2"/>
  <c r="I9" i="2" s="1"/>
  <c r="D8" i="2"/>
  <c r="I8" i="2" s="1"/>
  <c r="P8" i="2" s="1"/>
  <c r="D7" i="2"/>
  <c r="D6" i="2"/>
  <c r="I6" i="2" s="1"/>
  <c r="D5" i="2"/>
  <c r="I5" i="2" s="1"/>
  <c r="P5" i="2" s="1"/>
  <c r="D4" i="2"/>
  <c r="I4" i="2" s="1"/>
  <c r="D3" i="2"/>
  <c r="I3" i="2" s="1"/>
  <c r="P3" i="2" s="1"/>
  <c r="D2" i="2"/>
  <c r="M2" i="2" s="1"/>
  <c r="N12" i="4"/>
  <c r="N43" i="4"/>
  <c r="N84" i="4"/>
  <c r="N91" i="4"/>
  <c r="O16" i="4"/>
  <c r="O26" i="4"/>
  <c r="O37" i="4"/>
  <c r="O43" i="4"/>
  <c r="O44" i="4"/>
  <c r="O49" i="4"/>
  <c r="O61" i="4"/>
  <c r="O66" i="4"/>
  <c r="O84" i="4"/>
  <c r="P11" i="4"/>
  <c r="P12" i="4"/>
  <c r="P23" i="4"/>
  <c r="P31" i="4"/>
  <c r="P44" i="4"/>
  <c r="P46" i="4"/>
  <c r="P51" i="4"/>
  <c r="P80" i="4"/>
  <c r="P84" i="4"/>
  <c r="P96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T12" i="4"/>
  <c r="T33" i="4"/>
  <c r="T34" i="4"/>
  <c r="T35" i="4"/>
  <c r="T43" i="4"/>
  <c r="T55" i="4"/>
  <c r="T74" i="4"/>
  <c r="T78" i="4"/>
  <c r="T84" i="4"/>
  <c r="W2" i="4"/>
  <c r="W3" i="4"/>
  <c r="W4" i="4"/>
  <c r="W5" i="4"/>
  <c r="W6" i="4"/>
  <c r="W7" i="4"/>
  <c r="W8" i="4"/>
  <c r="W9" i="4"/>
  <c r="W10" i="4"/>
  <c r="W11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N5" i="3"/>
  <c r="O37" i="3"/>
  <c r="O38" i="3"/>
  <c r="P25" i="3"/>
  <c r="P26" i="3"/>
  <c r="P28" i="3"/>
  <c r="P29" i="3"/>
  <c r="P43" i="3"/>
  <c r="P47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T5" i="3"/>
  <c r="T16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7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7" i="3"/>
  <c r="Y49" i="3"/>
  <c r="Y50" i="3"/>
  <c r="Y51" i="3"/>
  <c r="N31" i="2"/>
  <c r="O4" i="2"/>
  <c r="O12" i="2"/>
  <c r="O31" i="2"/>
  <c r="O41" i="2"/>
  <c r="P4" i="2"/>
  <c r="P23" i="2"/>
  <c r="P43" i="2"/>
  <c r="P44" i="2"/>
  <c r="P45" i="2"/>
  <c r="P49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T3" i="2"/>
  <c r="T16" i="2"/>
  <c r="T26" i="2"/>
  <c r="W2" i="2"/>
  <c r="W3" i="2"/>
  <c r="W4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X2" i="2"/>
  <c r="X3" i="2"/>
  <c r="X4" i="2"/>
  <c r="X5" i="2"/>
  <c r="X6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8" i="2"/>
  <c r="X49" i="2"/>
  <c r="X50" i="2"/>
  <c r="X51" i="2"/>
  <c r="Y2" i="2"/>
  <c r="Y3" i="2"/>
  <c r="Y4" i="2"/>
  <c r="Y5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7" i="2"/>
  <c r="Y48" i="2"/>
  <c r="Y49" i="2"/>
  <c r="Y50" i="2"/>
  <c r="Y51" i="2"/>
  <c r="C1" i="12" a="1"/>
  <c r="C1" i="12" s="1"/>
  <c r="C1" i="11" a="1"/>
  <c r="C1" i="11" s="1"/>
  <c r="C1" i="9" a="1"/>
  <c r="C1" i="9" s="1"/>
  <c r="O5" i="4" l="1"/>
  <c r="H45" i="3"/>
  <c r="O45" i="3" s="1"/>
  <c r="M45" i="3"/>
  <c r="T45" i="3" s="1"/>
  <c r="H75" i="4"/>
  <c r="I65" i="4"/>
  <c r="P65" i="4" s="1"/>
  <c r="I5" i="4"/>
  <c r="P5" i="4" s="1"/>
  <c r="H25" i="3"/>
  <c r="N25" i="3" s="1"/>
  <c r="M25" i="3"/>
  <c r="T25" i="3" s="1"/>
  <c r="H40" i="3"/>
  <c r="H65" i="4"/>
  <c r="M5" i="4"/>
  <c r="T5" i="4" s="1"/>
  <c r="H44" i="2"/>
  <c r="O44" i="2" s="1"/>
  <c r="M40" i="3"/>
  <c r="T40" i="3" s="1"/>
  <c r="H18" i="2"/>
  <c r="O18" i="2" s="1"/>
  <c r="M49" i="2"/>
  <c r="H21" i="3"/>
  <c r="N21" i="3" s="1"/>
  <c r="M20" i="3"/>
  <c r="T20" i="3" s="1"/>
  <c r="H53" i="4"/>
  <c r="I25" i="4"/>
  <c r="P25" i="4" s="1"/>
  <c r="M4" i="4"/>
  <c r="T4" i="4" s="1"/>
  <c r="M56" i="4"/>
  <c r="I22" i="2"/>
  <c r="H24" i="3"/>
  <c r="O24" i="3" s="1"/>
  <c r="M23" i="3"/>
  <c r="T23" i="3" s="1"/>
  <c r="H57" i="4"/>
  <c r="O57" i="4" s="1"/>
  <c r="H23" i="2"/>
  <c r="N23" i="2" s="1"/>
  <c r="M21" i="2"/>
  <c r="T21" i="2" s="1"/>
  <c r="M24" i="3"/>
  <c r="T24" i="3" s="1"/>
  <c r="H17" i="4"/>
  <c r="O17" i="4" s="1"/>
  <c r="H58" i="4"/>
  <c r="N58" i="4" s="1"/>
  <c r="H97" i="4"/>
  <c r="O97" i="4" s="1"/>
  <c r="I35" i="4"/>
  <c r="I74" i="4"/>
  <c r="M17" i="2"/>
  <c r="T17" i="2" s="1"/>
  <c r="H22" i="3"/>
  <c r="M18" i="2"/>
  <c r="T18" i="2" s="1"/>
  <c r="I36" i="4"/>
  <c r="M63" i="4"/>
  <c r="T63" i="4" s="1"/>
  <c r="H23" i="3"/>
  <c r="H22" i="2"/>
  <c r="H24" i="2"/>
  <c r="N6" i="3"/>
  <c r="H26" i="3"/>
  <c r="O26" i="3" s="1"/>
  <c r="H18" i="4"/>
  <c r="O18" i="4" s="1"/>
  <c r="M17" i="4"/>
  <c r="T17" i="4" s="1"/>
  <c r="H25" i="2"/>
  <c r="O25" i="2" s="1"/>
  <c r="I29" i="2"/>
  <c r="P29" i="2" s="1"/>
  <c r="M23" i="2"/>
  <c r="T23" i="2" s="1"/>
  <c r="H32" i="3"/>
  <c r="O32" i="3" s="1"/>
  <c r="I32" i="3"/>
  <c r="P32" i="3" s="1"/>
  <c r="M26" i="3"/>
  <c r="T26" i="3" s="1"/>
  <c r="H63" i="4"/>
  <c r="I4" i="4"/>
  <c r="P4" i="4" s="1"/>
  <c r="I76" i="4"/>
  <c r="P76" i="4" s="1"/>
  <c r="M18" i="4"/>
  <c r="T18" i="4" s="1"/>
  <c r="M64" i="4"/>
  <c r="H20" i="3"/>
  <c r="H20" i="2"/>
  <c r="N26" i="4"/>
  <c r="H56" i="4"/>
  <c r="O56" i="4" s="1"/>
  <c r="O85" i="4"/>
  <c r="H26" i="2"/>
  <c r="O26" i="2" s="1"/>
  <c r="M24" i="2"/>
  <c r="T24" i="2" s="1"/>
  <c r="H23" i="4"/>
  <c r="O23" i="4" s="1"/>
  <c r="I77" i="4"/>
  <c r="N77" i="4" s="1"/>
  <c r="N11" i="4"/>
  <c r="H21" i="2"/>
  <c r="O21" i="2" s="1"/>
  <c r="M22" i="3"/>
  <c r="T22" i="3" s="1"/>
  <c r="H15" i="4"/>
  <c r="N15" i="4" s="1"/>
  <c r="H93" i="4"/>
  <c r="M20" i="2"/>
  <c r="T20" i="2" s="1"/>
  <c r="P6" i="3"/>
  <c r="H25" i="4"/>
  <c r="I6" i="4"/>
  <c r="P6" i="4" s="1"/>
  <c r="I78" i="4"/>
  <c r="P78" i="4" s="1"/>
  <c r="M76" i="4"/>
  <c r="T76" i="4" s="1"/>
  <c r="N18" i="2"/>
  <c r="H37" i="2"/>
  <c r="M23" i="4"/>
  <c r="T23" i="4" s="1"/>
  <c r="M77" i="4"/>
  <c r="T77" i="4" s="1"/>
  <c r="H38" i="2"/>
  <c r="O38" i="2" s="1"/>
  <c r="M24" i="4"/>
  <c r="H40" i="2"/>
  <c r="M37" i="2"/>
  <c r="T37" i="2" s="1"/>
  <c r="H42" i="3"/>
  <c r="O42" i="3" s="1"/>
  <c r="H35" i="4"/>
  <c r="O35" i="4" s="1"/>
  <c r="I13" i="4"/>
  <c r="M41" i="3"/>
  <c r="T41" i="3" s="1"/>
  <c r="H36" i="4"/>
  <c r="O36" i="4" s="1"/>
  <c r="H74" i="4"/>
  <c r="O74" i="4" s="1"/>
  <c r="I14" i="4"/>
  <c r="P14" i="4" s="1"/>
  <c r="I85" i="4"/>
  <c r="P85" i="4" s="1"/>
  <c r="H17" i="2"/>
  <c r="M3" i="3"/>
  <c r="T3" i="3" s="1"/>
  <c r="I15" i="4"/>
  <c r="P15" i="4" s="1"/>
  <c r="I53" i="4"/>
  <c r="P53" i="4" s="1"/>
  <c r="I86" i="4"/>
  <c r="M83" i="4"/>
  <c r="T83" i="4" s="1"/>
  <c r="M4" i="3"/>
  <c r="M41" i="2"/>
  <c r="T41" i="2" s="1"/>
  <c r="H6" i="2"/>
  <c r="O6" i="2" s="1"/>
  <c r="H45" i="2"/>
  <c r="O45" i="2" s="1"/>
  <c r="M4" i="2"/>
  <c r="T4" i="2" s="1"/>
  <c r="M43" i="2"/>
  <c r="T43" i="2" s="1"/>
  <c r="H12" i="3"/>
  <c r="N12" i="3" s="1"/>
  <c r="H49" i="3"/>
  <c r="O49" i="3" s="1"/>
  <c r="M6" i="3"/>
  <c r="T6" i="3" s="1"/>
  <c r="M46" i="3"/>
  <c r="T46" i="3" s="1"/>
  <c r="H3" i="4"/>
  <c r="O3" i="4" s="1"/>
  <c r="M91" i="4"/>
  <c r="T91" i="4" s="1"/>
  <c r="M38" i="2"/>
  <c r="T38" i="2" s="1"/>
  <c r="M40" i="2"/>
  <c r="T40" i="2" s="1"/>
  <c r="N61" i="4"/>
  <c r="H46" i="3"/>
  <c r="I93" i="4"/>
  <c r="P93" i="4" s="1"/>
  <c r="H9" i="2"/>
  <c r="N9" i="2" s="1"/>
  <c r="H46" i="2"/>
  <c r="O46" i="2" s="1"/>
  <c r="M5" i="2"/>
  <c r="T5" i="2" s="1"/>
  <c r="H17" i="3"/>
  <c r="I20" i="4"/>
  <c r="P20" i="4" s="1"/>
  <c r="I60" i="4"/>
  <c r="P60" i="4" s="1"/>
  <c r="M44" i="4"/>
  <c r="T44" i="4" s="1"/>
  <c r="H32" i="2"/>
  <c r="I32" i="2"/>
  <c r="P32" i="2" s="1"/>
  <c r="I41" i="4"/>
  <c r="P41" i="4" s="1"/>
  <c r="H41" i="4"/>
  <c r="I19" i="2"/>
  <c r="M19" i="2"/>
  <c r="T19" i="2" s="1"/>
  <c r="M39" i="2"/>
  <c r="T39" i="2" s="1"/>
  <c r="I39" i="2"/>
  <c r="N9" i="3"/>
  <c r="O9" i="3"/>
  <c r="H19" i="2"/>
  <c r="P17" i="3"/>
  <c r="H39" i="4"/>
  <c r="I39" i="4"/>
  <c r="P16" i="4"/>
  <c r="O80" i="4"/>
  <c r="T49" i="2"/>
  <c r="P21" i="3"/>
  <c r="P41" i="3"/>
  <c r="T17" i="3"/>
  <c r="T49" i="3"/>
  <c r="M39" i="4"/>
  <c r="O75" i="4"/>
  <c r="N75" i="4"/>
  <c r="H19" i="4"/>
  <c r="I19" i="4"/>
  <c r="M19" i="4"/>
  <c r="N81" i="4"/>
  <c r="M19" i="3"/>
  <c r="O51" i="4"/>
  <c r="P98" i="4"/>
  <c r="P3" i="4"/>
  <c r="P33" i="2"/>
  <c r="P5" i="3"/>
  <c r="O13" i="4"/>
  <c r="T3" i="4"/>
  <c r="N40" i="4"/>
  <c r="P97" i="4"/>
  <c r="T81" i="4"/>
  <c r="P9" i="2"/>
  <c r="N29" i="2"/>
  <c r="N30" i="2"/>
  <c r="P30" i="2"/>
  <c r="T96" i="4"/>
  <c r="O2" i="3"/>
  <c r="T80" i="4"/>
  <c r="P33" i="4"/>
  <c r="H79" i="4"/>
  <c r="I79" i="4"/>
  <c r="O20" i="4"/>
  <c r="M15" i="3"/>
  <c r="H15" i="3"/>
  <c r="I15" i="3"/>
  <c r="H39" i="3"/>
  <c r="M39" i="3"/>
  <c r="P34" i="4"/>
  <c r="T9" i="3"/>
  <c r="H9" i="4"/>
  <c r="I9" i="4"/>
  <c r="M9" i="4"/>
  <c r="H89" i="4"/>
  <c r="I89" i="4"/>
  <c r="M89" i="4"/>
  <c r="P35" i="4"/>
  <c r="P48" i="4"/>
  <c r="T2" i="2"/>
  <c r="T56" i="4"/>
  <c r="H69" i="4"/>
  <c r="I69" i="4"/>
  <c r="M69" i="4"/>
  <c r="T44" i="2"/>
  <c r="T36" i="3"/>
  <c r="N17" i="3"/>
  <c r="N60" i="4"/>
  <c r="O60" i="4"/>
  <c r="T40" i="4"/>
  <c r="P19" i="3"/>
  <c r="P21" i="2"/>
  <c r="O29" i="2"/>
  <c r="N22" i="2"/>
  <c r="M14" i="2"/>
  <c r="H14" i="2"/>
  <c r="I14" i="2"/>
  <c r="P14" i="2" s="1"/>
  <c r="M34" i="2"/>
  <c r="H34" i="2"/>
  <c r="I34" i="2"/>
  <c r="O5" i="2"/>
  <c r="N5" i="2"/>
  <c r="N41" i="2"/>
  <c r="O40" i="3"/>
  <c r="N40" i="3"/>
  <c r="T29" i="3"/>
  <c r="T60" i="4"/>
  <c r="N35" i="4"/>
  <c r="H19" i="3"/>
  <c r="P25" i="2"/>
  <c r="P68" i="4"/>
  <c r="I49" i="4"/>
  <c r="M49" i="4"/>
  <c r="N45" i="3"/>
  <c r="N16" i="4"/>
  <c r="M15" i="2"/>
  <c r="H15" i="2"/>
  <c r="I15" i="2"/>
  <c r="M35" i="2"/>
  <c r="H35" i="2"/>
  <c r="I35" i="2"/>
  <c r="P35" i="2" s="1"/>
  <c r="O42" i="2"/>
  <c r="N42" i="2"/>
  <c r="O41" i="3"/>
  <c r="N41" i="3"/>
  <c r="O65" i="4"/>
  <c r="N65" i="4"/>
  <c r="M35" i="3"/>
  <c r="H35" i="3"/>
  <c r="I35" i="3"/>
  <c r="H59" i="4"/>
  <c r="I59" i="4"/>
  <c r="M59" i="4"/>
  <c r="H29" i="4"/>
  <c r="I29" i="4"/>
  <c r="M29" i="4"/>
  <c r="P22" i="2"/>
  <c r="I39" i="3"/>
  <c r="O50" i="4"/>
  <c r="N50" i="4"/>
  <c r="N98" i="4"/>
  <c r="O98" i="4"/>
  <c r="P36" i="4"/>
  <c r="T16" i="4"/>
  <c r="P18" i="2"/>
  <c r="N37" i="3"/>
  <c r="P81" i="4"/>
  <c r="O43" i="2"/>
  <c r="N43" i="2"/>
  <c r="O33" i="4"/>
  <c r="N33" i="4"/>
  <c r="O70" i="4"/>
  <c r="T20" i="4"/>
  <c r="M79" i="4"/>
  <c r="H39" i="2"/>
  <c r="N29" i="3"/>
  <c r="O29" i="3"/>
  <c r="P17" i="2"/>
  <c r="M14" i="3"/>
  <c r="H14" i="3"/>
  <c r="I14" i="3"/>
  <c r="P14" i="3" s="1"/>
  <c r="M34" i="3"/>
  <c r="H34" i="3"/>
  <c r="O34" i="4"/>
  <c r="N34" i="4"/>
  <c r="N71" i="4"/>
  <c r="O71" i="4"/>
  <c r="O44" i="3"/>
  <c r="N44" i="3"/>
  <c r="I2" i="4"/>
  <c r="M2" i="4"/>
  <c r="I22" i="4"/>
  <c r="M22" i="4"/>
  <c r="H42" i="4"/>
  <c r="I42" i="4"/>
  <c r="M42" i="4"/>
  <c r="H62" i="4"/>
  <c r="I62" i="4"/>
  <c r="M62" i="4"/>
  <c r="H82" i="4"/>
  <c r="I82" i="4"/>
  <c r="M82" i="4"/>
  <c r="O72" i="4"/>
  <c r="P83" i="4"/>
  <c r="N73" i="4"/>
  <c r="P38" i="4"/>
  <c r="O38" i="4"/>
  <c r="P20" i="3"/>
  <c r="P40" i="3"/>
  <c r="N4" i="4"/>
  <c r="O4" i="4"/>
  <c r="N44" i="4"/>
  <c r="O73" i="4"/>
  <c r="H49" i="2"/>
  <c r="I2" i="3"/>
  <c r="I42" i="3"/>
  <c r="O6" i="4"/>
  <c r="O46" i="4"/>
  <c r="N46" i="4"/>
  <c r="H14" i="4"/>
  <c r="O45" i="4"/>
  <c r="N45" i="4"/>
  <c r="N76" i="4"/>
  <c r="H7" i="4"/>
  <c r="I7" i="4"/>
  <c r="M7" i="4"/>
  <c r="H27" i="4"/>
  <c r="I27" i="4"/>
  <c r="P27" i="4" s="1"/>
  <c r="M27" i="4"/>
  <c r="H47" i="4"/>
  <c r="I47" i="4"/>
  <c r="M47" i="4"/>
  <c r="H67" i="4"/>
  <c r="I67" i="4"/>
  <c r="M67" i="4"/>
  <c r="H87" i="4"/>
  <c r="I87" i="4"/>
  <c r="M87" i="4"/>
  <c r="O77" i="4"/>
  <c r="N4" i="3"/>
  <c r="P24" i="3"/>
  <c r="P44" i="3"/>
  <c r="O22" i="3"/>
  <c r="N22" i="3"/>
  <c r="H8" i="4"/>
  <c r="M8" i="4"/>
  <c r="H28" i="4"/>
  <c r="M28" i="4"/>
  <c r="H48" i="4"/>
  <c r="M48" i="4"/>
  <c r="H68" i="4"/>
  <c r="M68" i="4"/>
  <c r="H88" i="4"/>
  <c r="M88" i="4"/>
  <c r="N24" i="2"/>
  <c r="O24" i="2"/>
  <c r="I10" i="4"/>
  <c r="M10" i="4"/>
  <c r="I30" i="4"/>
  <c r="M30" i="4"/>
  <c r="I50" i="4"/>
  <c r="M50" i="4"/>
  <c r="I70" i="4"/>
  <c r="M70" i="4"/>
  <c r="I90" i="4"/>
  <c r="M90" i="4"/>
  <c r="N52" i="4"/>
  <c r="P17" i="4"/>
  <c r="T21" i="4"/>
  <c r="T61" i="4"/>
  <c r="N38" i="4"/>
  <c r="N83" i="4"/>
  <c r="N37" i="4"/>
  <c r="M7" i="2"/>
  <c r="H7" i="2"/>
  <c r="M47" i="2"/>
  <c r="H47" i="2"/>
  <c r="M7" i="3"/>
  <c r="H7" i="3"/>
  <c r="N7" i="3" s="1"/>
  <c r="M27" i="3"/>
  <c r="H27" i="3"/>
  <c r="M47" i="3"/>
  <c r="H47" i="3"/>
  <c r="O25" i="3"/>
  <c r="O53" i="4"/>
  <c r="N53" i="4"/>
  <c r="P18" i="4"/>
  <c r="I54" i="4"/>
  <c r="P74" i="4"/>
  <c r="M27" i="2"/>
  <c r="H27" i="2"/>
  <c r="P6" i="2"/>
  <c r="P73" i="4"/>
  <c r="N78" i="4"/>
  <c r="M8" i="2"/>
  <c r="H8" i="2"/>
  <c r="O8" i="2" s="1"/>
  <c r="M28" i="2"/>
  <c r="H28" i="2"/>
  <c r="M48" i="2"/>
  <c r="H48" i="2"/>
  <c r="M29" i="2"/>
  <c r="M8" i="3"/>
  <c r="H8" i="3"/>
  <c r="M28" i="3"/>
  <c r="H28" i="3"/>
  <c r="M48" i="3"/>
  <c r="H48" i="3"/>
  <c r="M2" i="3"/>
  <c r="T38" i="3"/>
  <c r="I32" i="4"/>
  <c r="M32" i="4"/>
  <c r="I52" i="4"/>
  <c r="M52" i="4"/>
  <c r="I72" i="4"/>
  <c r="N72" i="4" s="1"/>
  <c r="M72" i="4"/>
  <c r="I92" i="4"/>
  <c r="M92" i="4"/>
  <c r="H22" i="4"/>
  <c r="H54" i="4"/>
  <c r="H90" i="4"/>
  <c r="I55" i="4"/>
  <c r="T24" i="4"/>
  <c r="T64" i="4"/>
  <c r="M50" i="2"/>
  <c r="H50" i="2"/>
  <c r="M30" i="3"/>
  <c r="H30" i="3"/>
  <c r="M50" i="3"/>
  <c r="H50" i="3"/>
  <c r="T4" i="3"/>
  <c r="O25" i="4"/>
  <c r="O92" i="4"/>
  <c r="M31" i="4"/>
  <c r="M71" i="4"/>
  <c r="T93" i="4"/>
  <c r="P21" i="4"/>
  <c r="M30" i="2"/>
  <c r="H30" i="2"/>
  <c r="O30" i="2" s="1"/>
  <c r="M51" i="2"/>
  <c r="H51" i="2"/>
  <c r="M11" i="3"/>
  <c r="H11" i="3"/>
  <c r="M51" i="3"/>
  <c r="H51" i="3"/>
  <c r="N51" i="3" s="1"/>
  <c r="T15" i="4"/>
  <c r="H30" i="4"/>
  <c r="O93" i="4"/>
  <c r="I94" i="4"/>
  <c r="M10" i="2"/>
  <c r="H10" i="2"/>
  <c r="O10" i="2" s="1"/>
  <c r="P4" i="3"/>
  <c r="M11" i="2"/>
  <c r="H11" i="2"/>
  <c r="M31" i="3"/>
  <c r="H31" i="3"/>
  <c r="N24" i="3"/>
  <c r="N66" i="4"/>
  <c r="H2" i="2"/>
  <c r="N38" i="3"/>
  <c r="H31" i="4"/>
  <c r="H94" i="4"/>
  <c r="I95" i="4"/>
  <c r="N95" i="4" s="1"/>
  <c r="M10" i="3"/>
  <c r="H10" i="3"/>
  <c r="P2" i="2"/>
  <c r="N24" i="4"/>
  <c r="O52" i="4"/>
  <c r="O12" i="4"/>
  <c r="M13" i="2"/>
  <c r="H13" i="2"/>
  <c r="M33" i="2"/>
  <c r="H33" i="2"/>
  <c r="N3" i="2"/>
  <c r="O3" i="2"/>
  <c r="N38" i="2"/>
  <c r="M13" i="3"/>
  <c r="H13" i="3"/>
  <c r="I13" i="3"/>
  <c r="P13" i="3" s="1"/>
  <c r="M33" i="3"/>
  <c r="H33" i="3"/>
  <c r="I33" i="3"/>
  <c r="P33" i="3" s="1"/>
  <c r="I27" i="3"/>
  <c r="H32" i="4"/>
  <c r="H95" i="4"/>
  <c r="I28" i="4"/>
  <c r="N56" i="4"/>
  <c r="I16" i="2"/>
  <c r="I36" i="2"/>
  <c r="P36" i="2" s="1"/>
  <c r="I16" i="3"/>
  <c r="I36" i="3"/>
  <c r="M6" i="4"/>
  <c r="M26" i="4"/>
  <c r="M46" i="4"/>
  <c r="T46" i="4" s="1"/>
  <c r="M66" i="4"/>
  <c r="M86" i="4"/>
  <c r="N64" i="4"/>
  <c r="N43" i="3"/>
  <c r="O96" i="4"/>
  <c r="N21" i="4"/>
  <c r="H16" i="2"/>
  <c r="H36" i="2"/>
  <c r="H16" i="3"/>
  <c r="H36" i="3"/>
  <c r="X81" i="4"/>
  <c r="X61" i="4"/>
  <c r="Y48" i="3"/>
  <c r="Y28" i="3"/>
  <c r="Y46" i="3"/>
  <c r="Y46" i="2"/>
  <c r="Y26" i="2"/>
  <c r="X47" i="2"/>
  <c r="X27" i="2"/>
  <c r="T62" i="4"/>
  <c r="T41" i="4"/>
  <c r="T38" i="4"/>
  <c r="N27" i="4"/>
  <c r="N80" i="4"/>
  <c r="O58" i="4"/>
  <c r="N18" i="4"/>
  <c r="N3" i="3"/>
  <c r="O30" i="3"/>
  <c r="O21" i="3"/>
  <c r="N20" i="3"/>
  <c r="O20" i="3"/>
  <c r="O18" i="3"/>
  <c r="N18" i="3"/>
  <c r="O17" i="3"/>
  <c r="O4" i="3"/>
  <c r="T9" i="2"/>
  <c r="O22" i="2"/>
  <c r="N8" i="2"/>
  <c r="A2" i="15" a="1"/>
  <c r="A2" i="15" s="1"/>
  <c r="N44" i="2" l="1"/>
  <c r="N5" i="4"/>
  <c r="O40" i="2"/>
  <c r="N40" i="2"/>
  <c r="O15" i="4"/>
  <c r="F3" i="1" a="1"/>
  <c r="F3" i="1" s="1"/>
  <c r="N6" i="2"/>
  <c r="B16" i="1" a="1"/>
  <c r="B16" i="1" s="1"/>
  <c r="F4" i="1" a="1"/>
  <c r="F4" i="1" s="1"/>
  <c r="O23" i="2"/>
  <c r="O12" i="3"/>
  <c r="N20" i="4"/>
  <c r="N25" i="2"/>
  <c r="N49" i="3"/>
  <c r="N86" i="4"/>
  <c r="P86" i="4"/>
  <c r="O20" i="2"/>
  <c r="N20" i="2"/>
  <c r="O37" i="2"/>
  <c r="N37" i="2"/>
  <c r="N3" i="4"/>
  <c r="P13" i="4"/>
  <c r="N13" i="4"/>
  <c r="N23" i="3"/>
  <c r="O23" i="3"/>
  <c r="P77" i="4"/>
  <c r="N25" i="4"/>
  <c r="O9" i="2"/>
  <c r="N97" i="4"/>
  <c r="N21" i="2"/>
  <c r="N26" i="3"/>
  <c r="N36" i="4"/>
  <c r="N57" i="4"/>
  <c r="N32" i="3"/>
  <c r="N6" i="4"/>
  <c r="N17" i="4"/>
  <c r="N63" i="4"/>
  <c r="O63" i="4"/>
  <c r="N74" i="4"/>
  <c r="N23" i="4"/>
  <c r="N46" i="2"/>
  <c r="N26" i="2"/>
  <c r="N45" i="2"/>
  <c r="N46" i="3"/>
  <c r="O46" i="3"/>
  <c r="O17" i="2"/>
  <c r="N17" i="2"/>
  <c r="N93" i="4"/>
  <c r="N85" i="4"/>
  <c r="R3" i="1" a="1"/>
  <c r="R3" i="1" s="1"/>
  <c r="O41" i="4"/>
  <c r="N41" i="4"/>
  <c r="N32" i="2"/>
  <c r="O32" i="2"/>
  <c r="T33" i="3"/>
  <c r="T34" i="2"/>
  <c r="T6" i="4"/>
  <c r="T19" i="3"/>
  <c r="P89" i="4"/>
  <c r="T87" i="4"/>
  <c r="G3" i="1" a="1"/>
  <c r="G3" i="1" s="1"/>
  <c r="I3" i="1" s="1"/>
  <c r="N49" i="2"/>
  <c r="O49" i="2"/>
  <c r="P22" i="4"/>
  <c r="P39" i="3"/>
  <c r="O19" i="3"/>
  <c r="N19" i="3"/>
  <c r="T14" i="2"/>
  <c r="N89" i="4"/>
  <c r="O89" i="4"/>
  <c r="T88" i="4"/>
  <c r="P42" i="4"/>
  <c r="N9" i="4"/>
  <c r="O9" i="4"/>
  <c r="N10" i="2"/>
  <c r="B10" i="1" a="1"/>
  <c r="B10" i="1" s="1"/>
  <c r="T26" i="4"/>
  <c r="T69" i="4"/>
  <c r="T13" i="3"/>
  <c r="T90" i="4"/>
  <c r="N7" i="2"/>
  <c r="O7" i="2"/>
  <c r="C9" i="1" a="1"/>
  <c r="C9" i="1" s="1"/>
  <c r="T10" i="2"/>
  <c r="O13" i="3"/>
  <c r="N13" i="3"/>
  <c r="T27" i="2"/>
  <c r="T7" i="3"/>
  <c r="P2" i="3"/>
  <c r="G10" i="1" a="1"/>
  <c r="G10" i="1" s="1"/>
  <c r="F10" i="1" a="1"/>
  <c r="F10" i="1" s="1"/>
  <c r="H10" i="1" s="1"/>
  <c r="F9" i="1" a="1"/>
  <c r="F9" i="1" s="1"/>
  <c r="G9" i="1" a="1"/>
  <c r="G9" i="1" s="1"/>
  <c r="I9" i="1" s="1"/>
  <c r="O42" i="4"/>
  <c r="N42" i="4"/>
  <c r="T89" i="4"/>
  <c r="N68" i="4"/>
  <c r="O68" i="4"/>
  <c r="T14" i="3"/>
  <c r="O8" i="3"/>
  <c r="N8" i="3"/>
  <c r="N90" i="4"/>
  <c r="O90" i="4"/>
  <c r="G15" i="1" a="1"/>
  <c r="G15" i="1" s="1"/>
  <c r="F16" i="1" a="1"/>
  <c r="F16" i="1" s="1"/>
  <c r="F15" i="1" a="1"/>
  <c r="F15" i="1" s="1"/>
  <c r="P2" i="4"/>
  <c r="G16" i="1" a="1"/>
  <c r="G16" i="1" s="1"/>
  <c r="N54" i="4"/>
  <c r="T35" i="2"/>
  <c r="N13" i="2"/>
  <c r="O13" i="2"/>
  <c r="T92" i="4"/>
  <c r="T48" i="2"/>
  <c r="T30" i="4"/>
  <c r="N8" i="4"/>
  <c r="O8" i="4"/>
  <c r="N67" i="4"/>
  <c r="O67" i="4"/>
  <c r="P15" i="2"/>
  <c r="S3" i="1" a="1"/>
  <c r="S3" i="1" s="1"/>
  <c r="U3" i="1" s="1"/>
  <c r="C10" i="1" a="1"/>
  <c r="C10" i="1" s="1"/>
  <c r="N34" i="2"/>
  <c r="O34" i="2"/>
  <c r="T29" i="4"/>
  <c r="P16" i="2"/>
  <c r="P29" i="4"/>
  <c r="T13" i="2"/>
  <c r="P92" i="4"/>
  <c r="N92" i="4"/>
  <c r="O28" i="2"/>
  <c r="N28" i="2"/>
  <c r="P30" i="4"/>
  <c r="T47" i="4"/>
  <c r="N15" i="2"/>
  <c r="O15" i="2"/>
  <c r="T19" i="4"/>
  <c r="P39" i="2"/>
  <c r="N14" i="2"/>
  <c r="O14" i="2"/>
  <c r="O48" i="4"/>
  <c r="N48" i="4"/>
  <c r="T33" i="2"/>
  <c r="T8" i="4"/>
  <c r="P42" i="3"/>
  <c r="N42" i="3"/>
  <c r="T70" i="4"/>
  <c r="N36" i="3"/>
  <c r="O36" i="3"/>
  <c r="O22" i="4"/>
  <c r="N22" i="4"/>
  <c r="N16" i="2"/>
  <c r="O16" i="2"/>
  <c r="O48" i="3"/>
  <c r="N48" i="3"/>
  <c r="G4" i="1" a="1"/>
  <c r="G4" i="1" s="1"/>
  <c r="I4" i="1" s="1"/>
  <c r="T9" i="4"/>
  <c r="P70" i="4"/>
  <c r="T67" i="4"/>
  <c r="T7" i="2"/>
  <c r="P50" i="4"/>
  <c r="T28" i="2"/>
  <c r="T10" i="4"/>
  <c r="N39" i="2"/>
  <c r="O39" i="2"/>
  <c r="T59" i="4"/>
  <c r="N19" i="4"/>
  <c r="O19" i="4"/>
  <c r="T8" i="2"/>
  <c r="C15" i="1" a="1"/>
  <c r="C15" i="1" s="1"/>
  <c r="R4" i="1" a="1"/>
  <c r="R4" i="1" s="1"/>
  <c r="P95" i="4"/>
  <c r="O28" i="3"/>
  <c r="N28" i="3"/>
  <c r="T22" i="4"/>
  <c r="P90" i="4"/>
  <c r="N2" i="3"/>
  <c r="T50" i="4"/>
  <c r="N16" i="3"/>
  <c r="P47" i="4"/>
  <c r="T15" i="2"/>
  <c r="P72" i="4"/>
  <c r="P10" i="4"/>
  <c r="P59" i="4"/>
  <c r="T52" i="4"/>
  <c r="T50" i="3"/>
  <c r="N30" i="3"/>
  <c r="T32" i="4"/>
  <c r="O27" i="4"/>
  <c r="P82" i="4"/>
  <c r="N35" i="3"/>
  <c r="O35" i="3"/>
  <c r="P15" i="3"/>
  <c r="C16" i="1" a="1"/>
  <c r="C16" i="1" s="1"/>
  <c r="T28" i="3"/>
  <c r="P16" i="3"/>
  <c r="T31" i="4"/>
  <c r="P87" i="4"/>
  <c r="O87" i="4"/>
  <c r="N87" i="4"/>
  <c r="O33" i="2"/>
  <c r="N33" i="2"/>
  <c r="N30" i="4"/>
  <c r="T29" i="2"/>
  <c r="N48" i="2"/>
  <c r="O48" i="2"/>
  <c r="O51" i="3"/>
  <c r="T72" i="4"/>
  <c r="T51" i="3"/>
  <c r="T79" i="4"/>
  <c r="T39" i="3"/>
  <c r="O14" i="4"/>
  <c r="N14" i="4"/>
  <c r="N39" i="3"/>
  <c r="O39" i="3"/>
  <c r="P19" i="2"/>
  <c r="P28" i="4"/>
  <c r="P52" i="4"/>
  <c r="O95" i="4"/>
  <c r="T31" i="3"/>
  <c r="O32" i="4"/>
  <c r="N32" i="4"/>
  <c r="N11" i="2"/>
  <c r="O11" i="2"/>
  <c r="T30" i="3"/>
  <c r="T7" i="4"/>
  <c r="N82" i="4"/>
  <c r="O82" i="4"/>
  <c r="T35" i="3"/>
  <c r="T49" i="4"/>
  <c r="N15" i="3"/>
  <c r="O15" i="3"/>
  <c r="N2" i="4"/>
  <c r="T42" i="4"/>
  <c r="O88" i="4"/>
  <c r="N88" i="4"/>
  <c r="P79" i="4"/>
  <c r="N14" i="3"/>
  <c r="O14" i="3"/>
  <c r="N79" i="4"/>
  <c r="O79" i="4"/>
  <c r="B9" i="1" a="1"/>
  <c r="B9" i="1" s="1"/>
  <c r="T8" i="3"/>
  <c r="P54" i="4"/>
  <c r="O29" i="4"/>
  <c r="N29" i="4"/>
  <c r="O47" i="4"/>
  <c r="N47" i="4"/>
  <c r="O11" i="3"/>
  <c r="N11" i="3"/>
  <c r="T27" i="4"/>
  <c r="O59" i="4"/>
  <c r="N59" i="4"/>
  <c r="T11" i="3"/>
  <c r="T82" i="4"/>
  <c r="P35" i="3"/>
  <c r="T51" i="2"/>
  <c r="P32" i="4"/>
  <c r="O30" i="4"/>
  <c r="P27" i="3"/>
  <c r="T11" i="2"/>
  <c r="N50" i="2"/>
  <c r="O50" i="2"/>
  <c r="O47" i="3"/>
  <c r="N47" i="3"/>
  <c r="N7" i="4"/>
  <c r="P7" i="4"/>
  <c r="N10" i="4"/>
  <c r="N70" i="4"/>
  <c r="N49" i="4"/>
  <c r="P49" i="4"/>
  <c r="T15" i="3"/>
  <c r="O10" i="3"/>
  <c r="N10" i="3"/>
  <c r="T27" i="3"/>
  <c r="N27" i="2"/>
  <c r="O27" i="2"/>
  <c r="P94" i="4"/>
  <c r="N69" i="4"/>
  <c r="O69" i="4"/>
  <c r="P36" i="3"/>
  <c r="N94" i="4"/>
  <c r="O94" i="4"/>
  <c r="T71" i="4"/>
  <c r="T48" i="4"/>
  <c r="O19" i="2"/>
  <c r="N19" i="2"/>
  <c r="N31" i="4"/>
  <c r="O31" i="4"/>
  <c r="T47" i="2"/>
  <c r="T28" i="4"/>
  <c r="N28" i="4"/>
  <c r="O28" i="4"/>
  <c r="N36" i="2"/>
  <c r="O36" i="2"/>
  <c r="O2" i="2"/>
  <c r="N2" i="2"/>
  <c r="C4" i="1" a="1"/>
  <c r="C4" i="1" s="1"/>
  <c r="C3" i="1" a="1"/>
  <c r="C3" i="1" s="1"/>
  <c r="B4" i="1" a="1"/>
  <c r="B4" i="1" s="1"/>
  <c r="B3" i="1" a="1"/>
  <c r="B3" i="1" s="1"/>
  <c r="D3" i="1" s="1"/>
  <c r="P19" i="4"/>
  <c r="O50" i="3"/>
  <c r="N50" i="3"/>
  <c r="N31" i="3"/>
  <c r="O31" i="3"/>
  <c r="N51" i="2"/>
  <c r="O51" i="2"/>
  <c r="O7" i="3"/>
  <c r="O54" i="4"/>
  <c r="T86" i="4"/>
  <c r="T30" i="2"/>
  <c r="T50" i="2"/>
  <c r="T47" i="3"/>
  <c r="O7" i="4"/>
  <c r="P62" i="4"/>
  <c r="T39" i="4"/>
  <c r="P39" i="4"/>
  <c r="T34" i="3"/>
  <c r="T10" i="3"/>
  <c r="T48" i="3"/>
  <c r="T68" i="4"/>
  <c r="P69" i="4"/>
  <c r="N55" i="4"/>
  <c r="P55" i="4"/>
  <c r="O47" i="2"/>
  <c r="N47" i="2"/>
  <c r="S16" i="1" a="1"/>
  <c r="S16" i="1" s="1"/>
  <c r="S15" i="1" a="1"/>
  <c r="S15" i="1" s="1"/>
  <c r="R16" i="1" a="1"/>
  <c r="R16" i="1" s="1"/>
  <c r="R15" i="1" a="1"/>
  <c r="R15" i="1" s="1"/>
  <c r="T2" i="4"/>
  <c r="P9" i="4"/>
  <c r="N35" i="2"/>
  <c r="O35" i="2"/>
  <c r="P67" i="4"/>
  <c r="S4" i="1" a="1"/>
  <c r="S4" i="1" s="1"/>
  <c r="U4" i="1" s="1"/>
  <c r="B15" i="1" a="1"/>
  <c r="B15" i="1" s="1"/>
  <c r="O16" i="3"/>
  <c r="T66" i="4"/>
  <c r="N33" i="3"/>
  <c r="O33" i="3"/>
  <c r="R10" i="1" a="1"/>
  <c r="R10" i="1" s="1"/>
  <c r="R9" i="1" a="1"/>
  <c r="R9" i="1" s="1"/>
  <c r="T2" i="3"/>
  <c r="S10" i="1" a="1"/>
  <c r="S10" i="1" s="1"/>
  <c r="S9" i="1" a="1"/>
  <c r="S9" i="1" s="1"/>
  <c r="N27" i="3"/>
  <c r="O27" i="3"/>
  <c r="O62" i="4"/>
  <c r="N62" i="4"/>
  <c r="N34" i="3"/>
  <c r="O34" i="3"/>
  <c r="P34" i="2"/>
  <c r="N39" i="4"/>
  <c r="O39" i="4"/>
  <c r="E16" i="1" l="1"/>
  <c r="H15" i="1"/>
  <c r="A9" i="12" a="1"/>
  <c r="A6" i="12" s="1"/>
  <c r="A9" i="11" a="1"/>
  <c r="A6" i="11" s="1"/>
  <c r="A9" i="9" a="1"/>
  <c r="A9" i="9" s="1"/>
  <c r="T9" i="9" s="1"/>
  <c r="D9" i="1"/>
  <c r="E10" i="1"/>
  <c r="T9" i="1"/>
  <c r="Z4" i="3" s="1"/>
  <c r="T10" i="1"/>
  <c r="Z37" i="3" s="1"/>
  <c r="H4" i="1"/>
  <c r="V16" i="2" s="1"/>
  <c r="D15" i="1"/>
  <c r="T15" i="1"/>
  <c r="D4" i="1"/>
  <c r="T16" i="1"/>
  <c r="I16" i="1"/>
  <c r="V35" i="2"/>
  <c r="V39" i="2"/>
  <c r="V34" i="2"/>
  <c r="E9" i="1"/>
  <c r="U8" i="3" s="1"/>
  <c r="Z19" i="3"/>
  <c r="U15" i="1"/>
  <c r="V13" i="2"/>
  <c r="V24" i="2"/>
  <c r="V7" i="2"/>
  <c r="V32" i="2"/>
  <c r="V6" i="2"/>
  <c r="V11" i="2"/>
  <c r="V12" i="2"/>
  <c r="V51" i="2"/>
  <c r="V25" i="2"/>
  <c r="V45" i="2"/>
  <c r="V50" i="2"/>
  <c r="V33" i="2"/>
  <c r="V28" i="2"/>
  <c r="V47" i="2"/>
  <c r="V42" i="2"/>
  <c r="V30" i="2"/>
  <c r="V41" i="2"/>
  <c r="V21" i="2"/>
  <c r="V48" i="2"/>
  <c r="V31" i="2"/>
  <c r="V49" i="2"/>
  <c r="V29" i="2"/>
  <c r="V38" i="2"/>
  <c r="V19" i="2"/>
  <c r="T4" i="1"/>
  <c r="V30" i="3"/>
  <c r="V25" i="3"/>
  <c r="V26" i="3"/>
  <c r="V49" i="3"/>
  <c r="V21" i="3"/>
  <c r="V51" i="3"/>
  <c r="E15" i="1"/>
  <c r="U16" i="1"/>
  <c r="H16" i="1"/>
  <c r="I10" i="1"/>
  <c r="V46" i="3" s="1"/>
  <c r="Z51" i="3"/>
  <c r="H3" i="1"/>
  <c r="E3" i="1"/>
  <c r="U4" i="2" s="1"/>
  <c r="E4" i="1"/>
  <c r="U20" i="2" s="1"/>
  <c r="I15" i="1"/>
  <c r="D16" i="1"/>
  <c r="H9" i="1"/>
  <c r="U9" i="1"/>
  <c r="Z2" i="3" s="1"/>
  <c r="V36" i="2"/>
  <c r="Z6" i="3"/>
  <c r="Z3" i="3"/>
  <c r="Z5" i="3"/>
  <c r="U10" i="1"/>
  <c r="Z34" i="3" s="1"/>
  <c r="Z10" i="3"/>
  <c r="D10" i="1"/>
  <c r="T3" i="1"/>
  <c r="Z22" i="4" l="1"/>
  <c r="V23" i="4"/>
  <c r="Z51" i="4"/>
  <c r="U8" i="4"/>
  <c r="A9" i="12"/>
  <c r="T9" i="12" s="1"/>
  <c r="T2" i="12" s="1"/>
  <c r="A9" i="11"/>
  <c r="T9" i="11" s="1"/>
  <c r="A6" i="9"/>
  <c r="T2" i="9"/>
  <c r="Z8" i="4"/>
  <c r="Z22" i="3"/>
  <c r="V14" i="2"/>
  <c r="V9" i="2"/>
  <c r="V44" i="2"/>
  <c r="Z15" i="4"/>
  <c r="Z7" i="3"/>
  <c r="Z3" i="4"/>
  <c r="Z12" i="3"/>
  <c r="V15" i="2"/>
  <c r="V43" i="2"/>
  <c r="Z29" i="3"/>
  <c r="V17" i="2"/>
  <c r="V40" i="2"/>
  <c r="V26" i="2"/>
  <c r="V18" i="2"/>
  <c r="Z9" i="3"/>
  <c r="V45" i="3"/>
  <c r="V27" i="2"/>
  <c r="V46" i="2"/>
  <c r="V12" i="3"/>
  <c r="V8" i="2"/>
  <c r="V10" i="2"/>
  <c r="Z48" i="3"/>
  <c r="U4" i="3"/>
  <c r="V17" i="3"/>
  <c r="Z50" i="3"/>
  <c r="V34" i="3"/>
  <c r="U43" i="2"/>
  <c r="U9" i="3"/>
  <c r="V22" i="3"/>
  <c r="U23" i="2"/>
  <c r="U2" i="3"/>
  <c r="V23" i="3"/>
  <c r="U28" i="2"/>
  <c r="V33" i="3"/>
  <c r="Z44" i="3"/>
  <c r="U6" i="3"/>
  <c r="Z21" i="3"/>
  <c r="Z42" i="4"/>
  <c r="Z38" i="3"/>
  <c r="Z49" i="3"/>
  <c r="V11" i="3"/>
  <c r="U3" i="3"/>
  <c r="V18" i="3"/>
  <c r="Z16" i="3"/>
  <c r="V32" i="3"/>
  <c r="U5" i="3"/>
  <c r="V38" i="3"/>
  <c r="Z35" i="3"/>
  <c r="V42" i="3"/>
  <c r="V31" i="3"/>
  <c r="Z46" i="3"/>
  <c r="V41" i="3"/>
  <c r="V28" i="3"/>
  <c r="V23" i="2"/>
  <c r="V37" i="2"/>
  <c r="Z20" i="3"/>
  <c r="V37" i="3"/>
  <c r="U26" i="2"/>
  <c r="V50" i="3"/>
  <c r="Z32" i="3"/>
  <c r="V47" i="3"/>
  <c r="Z13" i="3"/>
  <c r="Z40" i="3"/>
  <c r="Z15" i="3"/>
  <c r="V43" i="3"/>
  <c r="V29" i="3"/>
  <c r="V22" i="2"/>
  <c r="V20" i="2"/>
  <c r="U37" i="2"/>
  <c r="U17" i="2"/>
  <c r="U32" i="2"/>
  <c r="Z6" i="4"/>
  <c r="U13" i="4"/>
  <c r="Z54" i="4"/>
  <c r="Z90" i="4"/>
  <c r="U27" i="4"/>
  <c r="U10" i="4"/>
  <c r="U21" i="4"/>
  <c r="Z66" i="4"/>
  <c r="Z82" i="4"/>
  <c r="U17" i="4"/>
  <c r="U6" i="2"/>
  <c r="U20" i="4"/>
  <c r="U7" i="2"/>
  <c r="U12" i="4"/>
  <c r="U18" i="2"/>
  <c r="U21" i="2"/>
  <c r="Z68" i="4"/>
  <c r="Z7" i="4"/>
  <c r="Z34" i="4"/>
  <c r="U4" i="4"/>
  <c r="U5" i="4"/>
  <c r="U26" i="4"/>
  <c r="U25" i="4"/>
  <c r="U24" i="4"/>
  <c r="Z64" i="4"/>
  <c r="U23" i="4"/>
  <c r="Z44" i="4"/>
  <c r="U6" i="4"/>
  <c r="U19" i="4"/>
  <c r="Z95" i="4"/>
  <c r="Z58" i="4"/>
  <c r="Z88" i="4"/>
  <c r="Z32" i="4"/>
  <c r="V13" i="4"/>
  <c r="Z59" i="4"/>
  <c r="Z89" i="4"/>
  <c r="V3" i="4"/>
  <c r="Z39" i="4"/>
  <c r="Z96" i="4"/>
  <c r="Z62" i="4"/>
  <c r="Z61" i="4"/>
  <c r="Z50" i="4"/>
  <c r="Z81" i="4"/>
  <c r="Z94" i="4"/>
  <c r="Z87" i="4"/>
  <c r="V17" i="4"/>
  <c r="Z75" i="4"/>
  <c r="V4" i="4"/>
  <c r="Z73" i="4"/>
  <c r="V6" i="4"/>
  <c r="Z40" i="4"/>
  <c r="Z93" i="4"/>
  <c r="V18" i="4"/>
  <c r="Z83" i="4"/>
  <c r="V27" i="4"/>
  <c r="Z79" i="4"/>
  <c r="Z48" i="4"/>
  <c r="V16" i="4"/>
  <c r="V20" i="4"/>
  <c r="Z57" i="4"/>
  <c r="Z55" i="4"/>
  <c r="V11" i="4"/>
  <c r="U3" i="2"/>
  <c r="V15" i="4"/>
  <c r="V5" i="4"/>
  <c r="V8" i="4"/>
  <c r="V26" i="4"/>
  <c r="V25" i="4"/>
  <c r="V22" i="4"/>
  <c r="V24" i="4"/>
  <c r="V12" i="4"/>
  <c r="Z60" i="4"/>
  <c r="V21" i="4"/>
  <c r="Z38" i="4"/>
  <c r="U18" i="4"/>
  <c r="U19" i="2"/>
  <c r="Z17" i="4"/>
  <c r="U26" i="3"/>
  <c r="U23" i="3"/>
  <c r="U37" i="3"/>
  <c r="U42" i="3"/>
  <c r="U46" i="3"/>
  <c r="U32" i="3"/>
  <c r="U49" i="3"/>
  <c r="U17" i="3"/>
  <c r="U18" i="3"/>
  <c r="U20" i="3"/>
  <c r="U25" i="3"/>
  <c r="U21" i="3"/>
  <c r="U24" i="3"/>
  <c r="U43" i="3"/>
  <c r="U45" i="3"/>
  <c r="U44" i="3"/>
  <c r="U40" i="3"/>
  <c r="U12" i="3"/>
  <c r="U22" i="3"/>
  <c r="U29" i="3"/>
  <c r="U38" i="3"/>
  <c r="U41" i="3"/>
  <c r="U30" i="3"/>
  <c r="U27" i="3"/>
  <c r="U36" i="3"/>
  <c r="U47" i="3"/>
  <c r="U11" i="3"/>
  <c r="U10" i="3"/>
  <c r="U19" i="3"/>
  <c r="U39" i="3"/>
  <c r="U50" i="3"/>
  <c r="U33" i="3"/>
  <c r="U35" i="3"/>
  <c r="U51" i="3"/>
  <c r="U13" i="3"/>
  <c r="U16" i="3"/>
  <c r="U14" i="3"/>
  <c r="U34" i="3"/>
  <c r="U15" i="3"/>
  <c r="U48" i="3"/>
  <c r="U28" i="3"/>
  <c r="U31" i="3"/>
  <c r="U47" i="2"/>
  <c r="Z20" i="4"/>
  <c r="Z49" i="4"/>
  <c r="U38" i="2"/>
  <c r="U12" i="2"/>
  <c r="Z9" i="4"/>
  <c r="Z13" i="4"/>
  <c r="Z16" i="4"/>
  <c r="Z43" i="4"/>
  <c r="Z47" i="4"/>
  <c r="Z92" i="4"/>
  <c r="Z80" i="4"/>
  <c r="Z72" i="4"/>
  <c r="Z35" i="4"/>
  <c r="Z5" i="4"/>
  <c r="U14" i="2"/>
  <c r="U10" i="2"/>
  <c r="U13" i="2"/>
  <c r="U16" i="2"/>
  <c r="U51" i="2"/>
  <c r="U41" i="2"/>
  <c r="U27" i="2"/>
  <c r="Z86" i="4"/>
  <c r="Z45" i="3"/>
  <c r="Z41" i="3"/>
  <c r="Z67" i="4"/>
  <c r="V44" i="3"/>
  <c r="Z33" i="3"/>
  <c r="Z43" i="3"/>
  <c r="U29" i="2"/>
  <c r="U24" i="2"/>
  <c r="Z56" i="4"/>
  <c r="Z41" i="4"/>
  <c r="Z85" i="4"/>
  <c r="U14" i="4"/>
  <c r="Z46" i="4"/>
  <c r="Z11" i="3"/>
  <c r="V40" i="3"/>
  <c r="Z18" i="2"/>
  <c r="Z46" i="2"/>
  <c r="Z26" i="2"/>
  <c r="Z32" i="2"/>
  <c r="Z16" i="2"/>
  <c r="Z17" i="2"/>
  <c r="Z36" i="2"/>
  <c r="Z20" i="2"/>
  <c r="Z25" i="2"/>
  <c r="Z31" i="2"/>
  <c r="Z37" i="2"/>
  <c r="Z42" i="2"/>
  <c r="Z6" i="2"/>
  <c r="Z40" i="2"/>
  <c r="Z23" i="2"/>
  <c r="Z44" i="2"/>
  <c r="Z39" i="2"/>
  <c r="Z41" i="2"/>
  <c r="Z21" i="2"/>
  <c r="Z45" i="2"/>
  <c r="Z12" i="2"/>
  <c r="Z22" i="2"/>
  <c r="Z9" i="2"/>
  <c r="Z24" i="2"/>
  <c r="Z19" i="2"/>
  <c r="Z38" i="2"/>
  <c r="Z49" i="2"/>
  <c r="Z43" i="2"/>
  <c r="Z30" i="2"/>
  <c r="Z10" i="2"/>
  <c r="Z33" i="2"/>
  <c r="Z50" i="2"/>
  <c r="Z47" i="2"/>
  <c r="Z8" i="2"/>
  <c r="Z15" i="2"/>
  <c r="Z11" i="2"/>
  <c r="Z29" i="2"/>
  <c r="Z7" i="2"/>
  <c r="Z35" i="2"/>
  <c r="Z14" i="2"/>
  <c r="Z34" i="2"/>
  <c r="Z48" i="2"/>
  <c r="Z28" i="2"/>
  <c r="Z13" i="2"/>
  <c r="Z51" i="2"/>
  <c r="Z27" i="2"/>
  <c r="Z14" i="4"/>
  <c r="Z39" i="3"/>
  <c r="U8" i="2"/>
  <c r="U2" i="2"/>
  <c r="Z19" i="4"/>
  <c r="Z69" i="4"/>
  <c r="Z70" i="4"/>
  <c r="U3" i="4"/>
  <c r="Z26" i="3"/>
  <c r="U11" i="2"/>
  <c r="U50" i="2"/>
  <c r="Z63" i="4"/>
  <c r="Z33" i="4"/>
  <c r="U42" i="4"/>
  <c r="U61" i="4"/>
  <c r="U63" i="4"/>
  <c r="U41" i="4"/>
  <c r="U96" i="4"/>
  <c r="U76" i="4"/>
  <c r="U78" i="4"/>
  <c r="U81" i="4"/>
  <c r="U43" i="4"/>
  <c r="U83" i="4"/>
  <c r="U49" i="4"/>
  <c r="U53" i="4"/>
  <c r="U50" i="4"/>
  <c r="U84" i="4"/>
  <c r="U52" i="4"/>
  <c r="U55" i="4"/>
  <c r="U64" i="4"/>
  <c r="U56" i="4"/>
  <c r="U74" i="4"/>
  <c r="U97" i="4"/>
  <c r="U98" i="4"/>
  <c r="U65" i="4"/>
  <c r="U57" i="4"/>
  <c r="U51" i="4"/>
  <c r="U36" i="4"/>
  <c r="U73" i="4"/>
  <c r="U68" i="4"/>
  <c r="U45" i="4"/>
  <c r="U33" i="4"/>
  <c r="U40" i="4"/>
  <c r="U34" i="4"/>
  <c r="U77" i="4"/>
  <c r="U58" i="4"/>
  <c r="U46" i="4"/>
  <c r="U92" i="4"/>
  <c r="U38" i="4"/>
  <c r="U70" i="4"/>
  <c r="U66" i="4"/>
  <c r="U37" i="4"/>
  <c r="U85" i="4"/>
  <c r="U88" i="4"/>
  <c r="U80" i="4"/>
  <c r="U75" i="4"/>
  <c r="U60" i="4"/>
  <c r="U86" i="4"/>
  <c r="U44" i="4"/>
  <c r="U93" i="4"/>
  <c r="U71" i="4"/>
  <c r="U72" i="4"/>
  <c r="U35" i="4"/>
  <c r="U91" i="4"/>
  <c r="U94" i="4"/>
  <c r="U79" i="4"/>
  <c r="U90" i="4"/>
  <c r="U87" i="4"/>
  <c r="U32" i="4"/>
  <c r="U47" i="4"/>
  <c r="U69" i="4"/>
  <c r="U39" i="4"/>
  <c r="U67" i="4"/>
  <c r="U48" i="4"/>
  <c r="U62" i="4"/>
  <c r="U31" i="4"/>
  <c r="U95" i="4"/>
  <c r="U54" i="4"/>
  <c r="U82" i="4"/>
  <c r="U59" i="4"/>
  <c r="U89" i="4"/>
  <c r="U11" i="4"/>
  <c r="Z29" i="4"/>
  <c r="Z27" i="3"/>
  <c r="Z12" i="4"/>
  <c r="Z71" i="4"/>
  <c r="Z24" i="4"/>
  <c r="U34" i="2"/>
  <c r="Z2" i="2"/>
  <c r="Z4" i="2"/>
  <c r="Z5" i="2"/>
  <c r="Z3" i="2"/>
  <c r="U31" i="2"/>
  <c r="V4" i="2"/>
  <c r="V2" i="2"/>
  <c r="V3" i="2"/>
  <c r="V5" i="2"/>
  <c r="Z27" i="4"/>
  <c r="U7" i="3"/>
  <c r="Z78" i="4"/>
  <c r="U42" i="2"/>
  <c r="Z30" i="4"/>
  <c r="Z25" i="4"/>
  <c r="U33" i="2"/>
  <c r="Z45" i="4"/>
  <c r="V10" i="3"/>
  <c r="V27" i="3"/>
  <c r="V13" i="3"/>
  <c r="V14" i="3"/>
  <c r="V36" i="3"/>
  <c r="V15" i="3"/>
  <c r="V35" i="3"/>
  <c r="V16" i="3"/>
  <c r="Z23" i="4"/>
  <c r="U30" i="4"/>
  <c r="Z28" i="3"/>
  <c r="V88" i="4"/>
  <c r="V85" i="4"/>
  <c r="V86" i="4"/>
  <c r="V51" i="4"/>
  <c r="V57" i="4"/>
  <c r="V60" i="4"/>
  <c r="V91" i="4"/>
  <c r="V61" i="4"/>
  <c r="V64" i="4"/>
  <c r="V93" i="4"/>
  <c r="V31" i="4"/>
  <c r="V66" i="4"/>
  <c r="V37" i="4"/>
  <c r="V40" i="4"/>
  <c r="V63" i="4"/>
  <c r="V43" i="4"/>
  <c r="V44" i="4"/>
  <c r="V45" i="4"/>
  <c r="V46" i="4"/>
  <c r="V65" i="4"/>
  <c r="V78" i="4"/>
  <c r="V71" i="4"/>
  <c r="V38" i="4"/>
  <c r="V56" i="4"/>
  <c r="V97" i="4"/>
  <c r="V35" i="4"/>
  <c r="V68" i="4"/>
  <c r="V80" i="4"/>
  <c r="V53" i="4"/>
  <c r="V84" i="4"/>
  <c r="V83" i="4"/>
  <c r="V76" i="4"/>
  <c r="V36" i="4"/>
  <c r="V41" i="4"/>
  <c r="V75" i="4"/>
  <c r="V48" i="4"/>
  <c r="V96" i="4"/>
  <c r="V77" i="4"/>
  <c r="V81" i="4"/>
  <c r="V98" i="4"/>
  <c r="V73" i="4"/>
  <c r="V34" i="4"/>
  <c r="V74" i="4"/>
  <c r="V58" i="4"/>
  <c r="V33" i="4"/>
  <c r="V52" i="4"/>
  <c r="V62" i="4"/>
  <c r="V49" i="4"/>
  <c r="V82" i="4"/>
  <c r="V95" i="4"/>
  <c r="V92" i="4"/>
  <c r="V47" i="4"/>
  <c r="V67" i="4"/>
  <c r="V72" i="4"/>
  <c r="V79" i="4"/>
  <c r="V55" i="4"/>
  <c r="V42" i="4"/>
  <c r="V54" i="4"/>
  <c r="V70" i="4"/>
  <c r="V69" i="4"/>
  <c r="V39" i="4"/>
  <c r="V89" i="4"/>
  <c r="V32" i="4"/>
  <c r="V59" i="4"/>
  <c r="V50" i="4"/>
  <c r="V94" i="4"/>
  <c r="V90" i="4"/>
  <c r="V87" i="4"/>
  <c r="U16" i="4"/>
  <c r="Z31" i="4"/>
  <c r="U22" i="2"/>
  <c r="U35" i="2"/>
  <c r="Z53" i="4"/>
  <c r="Z97" i="4"/>
  <c r="V39" i="3"/>
  <c r="Z30" i="3"/>
  <c r="Z10" i="4"/>
  <c r="V24" i="3"/>
  <c r="Z28" i="4"/>
  <c r="Z11" i="4"/>
  <c r="U48" i="2"/>
  <c r="Z4" i="4"/>
  <c r="U9" i="2"/>
  <c r="Z21" i="4"/>
  <c r="V4" i="3"/>
  <c r="V8" i="3"/>
  <c r="V9" i="3"/>
  <c r="V3" i="3"/>
  <c r="V5" i="3"/>
  <c r="V6" i="3"/>
  <c r="V7" i="3"/>
  <c r="V2" i="3"/>
  <c r="Z77" i="4"/>
  <c r="Z37" i="4"/>
  <c r="U46" i="2"/>
  <c r="U28" i="4"/>
  <c r="U7" i="4"/>
  <c r="U22" i="4"/>
  <c r="U9" i="4"/>
  <c r="U29" i="4"/>
  <c r="U25" i="2"/>
  <c r="Z65" i="4"/>
  <c r="Z18" i="3"/>
  <c r="Z24" i="3"/>
  <c r="U36" i="2"/>
  <c r="U49" i="2"/>
  <c r="Z74" i="4"/>
  <c r="Z91" i="4"/>
  <c r="Z26" i="4"/>
  <c r="U5" i="2"/>
  <c r="U15" i="4"/>
  <c r="Z2" i="4"/>
  <c r="V20" i="3"/>
  <c r="Z47" i="3"/>
  <c r="Z8" i="3"/>
  <c r="U30" i="2"/>
  <c r="U40" i="2"/>
  <c r="Z98" i="4"/>
  <c r="U44" i="2"/>
  <c r="Z18" i="4"/>
  <c r="Z36" i="4"/>
  <c r="U39" i="2"/>
  <c r="V48" i="3"/>
  <c r="Z36" i="3"/>
  <c r="Z25" i="3"/>
  <c r="Z42" i="3"/>
  <c r="Z17" i="3"/>
  <c r="Z23" i="3"/>
  <c r="U15" i="2"/>
  <c r="U45" i="2"/>
  <c r="Z84" i="4"/>
  <c r="Z76" i="4"/>
  <c r="V30" i="4"/>
  <c r="V9" i="4"/>
  <c r="V10" i="4"/>
  <c r="V2" i="4"/>
  <c r="V7" i="4"/>
  <c r="V19" i="4"/>
  <c r="V28" i="4"/>
  <c r="V29" i="4"/>
  <c r="V14" i="4"/>
  <c r="U2" i="4"/>
  <c r="Z31" i="3"/>
  <c r="V19" i="3"/>
  <c r="Z52" i="4"/>
  <c r="Z14" i="3"/>
  <c r="T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<sst xmlns="http://schemas.openxmlformats.org/spreadsheetml/2006/main" count="836" uniqueCount="304">
  <si>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</si>
  <si>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</si>
  <si>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</si>
  <si>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</si>
  <si>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</si>
  <si>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</si>
  <si>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</si>
  <si>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</si>
  <si>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</si>
  <si>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</si>
  <si>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</si>
  <si>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</si>
  <si>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</si>
  <si>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</si>
  <si>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</si>
  <si>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</si>
  <si>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</si>
  <si>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</si>
  <si>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</si>
  <si>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</si>
  <si>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</si>
  <si>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</si>
  <si>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</si>
  <si>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</si>
  <si>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</si>
  <si>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</si>
  <si>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</si>
  <si>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</si>
  <si>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</si>
  <si>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</si>
  <si>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</si>
  <si>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</si>
  <si>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</si>
  <si>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</si>
  <si>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</si>
  <si>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</si>
  <si>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</si>
  <si>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</si>
  <si>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</si>
  <si>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</si>
  <si>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</si>
  <si>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</si>
  <si>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</si>
  <si>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</si>
  <si>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</si>
  <si>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</si>
  <si>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</si>
  <si>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</si>
  <si>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</si>
  <si>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</si>
  <si>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</si>
  <si>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</si>
  <si>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</si>
  <si>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</si>
  <si>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</si>
  <si>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</si>
  <si>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</si>
  <si>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</si>
  <si>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</si>
  <si>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</si>
  <si>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</si>
  <si>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</si>
  <si>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</si>
  <si>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</si>
  <si>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</si>
  <si>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</si>
  <si>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</si>
  <si>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</si>
  <si>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</si>
  <si>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</si>
  <si>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</si>
  <si>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</si>
  <si>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</si>
  <si>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</si>
  <si>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</si>
  <si>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</si>
  <si>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</si>
  <si>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</si>
  <si>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</si>
  <si>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</si>
  <si>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</si>
  <si>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</si>
  <si>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</si>
  <si>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</si>
  <si>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</si>
  <si>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</si>
  <si>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</si>
  <si>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</si>
  <si>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</si>
  <si>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</si>
  <si>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</si>
  <si>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</si>
  <si>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</si>
  <si>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</si>
  <si>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</si>
  <si>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</si>
  <si>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</si>
  <si>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</si>
  <si>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</si>
  <si>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</si>
  <si>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</si>
  <si>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</si>
  <si>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</si>
  <si>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</si>
  <si>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</si>
  <si>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ARIS</t>
  </si>
  <si>
    <t>Energy Equipment &amp; Services</t>
  </si>
  <si>
    <t>Oil, Gas &amp; Consumable Fuels</t>
  </si>
  <si>
    <t>BKR</t>
  </si>
  <si>
    <t>HAL</t>
  </si>
  <si>
    <t>SLB</t>
  </si>
  <si>
    <t>TS</t>
  </si>
  <si>
    <t>BP</t>
  </si>
  <si>
    <t>CVE</t>
  </si>
  <si>
    <t>CVX</t>
  </si>
  <si>
    <t>E</t>
  </si>
  <si>
    <t>EC</t>
  </si>
  <si>
    <t>EQNR</t>
  </si>
  <si>
    <t>IMO</t>
  </si>
  <si>
    <t>OXY</t>
  </si>
  <si>
    <t>PBR</t>
  </si>
  <si>
    <t>SHEL</t>
  </si>
  <si>
    <t>SU</t>
  </si>
  <si>
    <t>TTE</t>
  </si>
  <si>
    <t>XOM</t>
  </si>
  <si>
    <t>YPF</t>
  </si>
  <si>
    <t>AR</t>
  </si>
  <si>
    <t>CNQ</t>
  </si>
  <si>
    <t>COP</t>
  </si>
  <si>
    <t>CTRA</t>
  </si>
  <si>
    <t>DVN</t>
  </si>
  <si>
    <t>EOG</t>
  </si>
  <si>
    <t>EQT</t>
  </si>
  <si>
    <t>EXE</t>
  </si>
  <si>
    <t>FANG</t>
  </si>
  <si>
    <t>HES</t>
  </si>
  <si>
    <t>TPL</t>
  </si>
  <si>
    <t>VG</t>
  </si>
  <si>
    <t>WDS</t>
  </si>
  <si>
    <t>MPC</t>
  </si>
  <si>
    <t>PSX</t>
  </si>
  <si>
    <t>VLO</t>
  </si>
  <si>
    <t>CQP</t>
  </si>
  <si>
    <t>DTM</t>
  </si>
  <si>
    <t>ENB</t>
  </si>
  <si>
    <t>EPD</t>
  </si>
  <si>
    <t>ET</t>
  </si>
  <si>
    <t>KMI</t>
  </si>
  <si>
    <t>LNG</t>
  </si>
  <si>
    <t>MPLX</t>
  </si>
  <si>
    <t>OKE</t>
  </si>
  <si>
    <t>PAA</t>
  </si>
  <si>
    <t>PBA</t>
  </si>
  <si>
    <t>TRGP</t>
  </si>
  <si>
    <t>TRP</t>
  </si>
  <si>
    <t>WES</t>
  </si>
  <si>
    <t>WMB</t>
  </si>
  <si>
    <t>CCJ</t>
  </si>
  <si>
    <t>PTEN</t>
  </si>
  <si>
    <t>VAL</t>
  </si>
  <si>
    <t>AROC</t>
  </si>
  <si>
    <t>CHX</t>
  </si>
  <si>
    <t>KGS</t>
  </si>
  <si>
    <t>NOV</t>
  </si>
  <si>
    <t>USAC</t>
  </si>
  <si>
    <t>WHD</t>
  </si>
  <si>
    <t>APA</t>
  </si>
  <si>
    <t>BSM</t>
  </si>
  <si>
    <t>CHRD</t>
  </si>
  <si>
    <t>CIVI</t>
  </si>
  <si>
    <t>CNX</t>
  </si>
  <si>
    <t>CRC</t>
  </si>
  <si>
    <t>CRGY</t>
  </si>
  <si>
    <t>CRK</t>
  </si>
  <si>
    <t>GPOR</t>
  </si>
  <si>
    <t>MGY</t>
  </si>
  <si>
    <t>MTDR</t>
  </si>
  <si>
    <t>MUR</t>
  </si>
  <si>
    <t>NOG</t>
  </si>
  <si>
    <t>OVV</t>
  </si>
  <si>
    <t>PR</t>
  </si>
  <si>
    <t>RRC</t>
  </si>
  <si>
    <t>SM</t>
  </si>
  <si>
    <t>TPZEF</t>
  </si>
  <si>
    <t>VIST</t>
  </si>
  <si>
    <t>VNOM</t>
  </si>
  <si>
    <t>VRN</t>
  </si>
  <si>
    <t>CSAN</t>
  </si>
  <si>
    <t>CVI</t>
  </si>
  <si>
    <t>DINO</t>
  </si>
  <si>
    <t>PBF</t>
  </si>
  <si>
    <t>SUN</t>
  </si>
  <si>
    <t>AM</t>
  </si>
  <si>
    <t>DKL</t>
  </si>
  <si>
    <t>FRO</t>
  </si>
  <si>
    <t>GLNG</t>
  </si>
  <si>
    <t>HAFN</t>
  </si>
  <si>
    <t>HESM</t>
  </si>
  <si>
    <t>KNTK</t>
  </si>
  <si>
    <t>PAGP</t>
  </si>
  <si>
    <t>SOBO</t>
  </si>
  <si>
    <t>STNG</t>
  </si>
  <si>
    <t>TGS</t>
  </si>
  <si>
    <t>UGP</t>
  </si>
  <si>
    <t>ARLP</t>
  </si>
  <si>
    <t>CNR</t>
  </si>
  <si>
    <t>NXE</t>
  </si>
  <si>
    <t>UEC</t>
  </si>
  <si>
    <t>BORR</t>
  </si>
  <si>
    <t>HP</t>
  </si>
  <si>
    <t>NBR</t>
  </si>
  <si>
    <t>PDS</t>
  </si>
  <si>
    <t>SDRL</t>
  </si>
  <si>
    <t>ACDC</t>
  </si>
  <si>
    <t>AESI</t>
  </si>
  <si>
    <t>CLB</t>
  </si>
  <si>
    <t>EFXT</t>
  </si>
  <si>
    <t>FLOC</t>
  </si>
  <si>
    <t>HLX</t>
  </si>
  <si>
    <t>INVX</t>
  </si>
  <si>
    <t>LBRT</t>
  </si>
  <si>
    <t>NESR</t>
  </si>
  <si>
    <t>NOA</t>
  </si>
  <si>
    <t>NPKI</t>
  </si>
  <si>
    <t>OII</t>
  </si>
  <si>
    <t>OIS</t>
  </si>
  <si>
    <t>PSYTF</t>
  </si>
  <si>
    <t>PUMP</t>
  </si>
  <si>
    <t>RES</t>
  </si>
  <si>
    <t>RNGR</t>
  </si>
  <si>
    <t>SEI</t>
  </si>
  <si>
    <t>TDW</t>
  </si>
  <si>
    <t>TTI</t>
  </si>
  <si>
    <t>VTOL</t>
  </si>
  <si>
    <t>WTTR</t>
  </si>
  <si>
    <t>XPRO</t>
  </si>
  <si>
    <t>BKV</t>
  </si>
  <si>
    <t>BTE</t>
  </si>
  <si>
    <t>CDDRF</t>
  </si>
  <si>
    <t>DEC</t>
  </si>
  <si>
    <t>DMLP</t>
  </si>
  <si>
    <t>EGY</t>
  </si>
  <si>
    <t>GFR</t>
  </si>
  <si>
    <t>GPRK</t>
  </si>
  <si>
    <t>GRNT</t>
  </si>
  <si>
    <t>HPK</t>
  </si>
  <si>
    <t>KOS</t>
  </si>
  <si>
    <t>KRP</t>
  </si>
  <si>
    <t>MNR</t>
  </si>
  <si>
    <t>OBE</t>
  </si>
  <si>
    <t>PBT</t>
  </si>
  <si>
    <t>PNRG</t>
  </si>
  <si>
    <t>PRMRF</t>
  </si>
  <si>
    <t>REPX</t>
  </si>
  <si>
    <t>SBR</t>
  </si>
  <si>
    <t>SD</t>
  </si>
  <si>
    <t>SJT</t>
  </si>
  <si>
    <t>SOC</t>
  </si>
  <si>
    <t>STR</t>
  </si>
  <si>
    <t>TALO</t>
  </si>
  <si>
    <t>TBN</t>
  </si>
  <si>
    <t>TXO</t>
  </si>
  <si>
    <t>VET</t>
  </si>
  <si>
    <t>VTLE</t>
  </si>
  <si>
    <t>VTS</t>
  </si>
  <si>
    <t>CLMT</t>
  </si>
  <si>
    <t>CLNE</t>
  </si>
  <si>
    <t>DK</t>
  </si>
  <si>
    <t>GEVO</t>
  </si>
  <si>
    <t>PARR</t>
  </si>
  <si>
    <t>REX</t>
  </si>
  <si>
    <t>WKC</t>
  </si>
  <si>
    <t>ASC</t>
  </si>
  <si>
    <t>BWLP</t>
  </si>
  <si>
    <t>CAPL</t>
  </si>
  <si>
    <t>CLCO</t>
  </si>
  <si>
    <t>CMBT</t>
  </si>
  <si>
    <t>DHT</t>
  </si>
  <si>
    <t>ECO</t>
  </si>
  <si>
    <t>EE</t>
  </si>
  <si>
    <t>FLNG</t>
  </si>
  <si>
    <t>GEL</t>
  </si>
  <si>
    <t>GLP</t>
  </si>
  <si>
    <t>INSW</t>
  </si>
  <si>
    <t>LPG</t>
  </si>
  <si>
    <t>NAT</t>
  </si>
  <si>
    <t>NEXT</t>
  </si>
  <si>
    <t>NFE</t>
  </si>
  <si>
    <t>NGL</t>
  </si>
  <si>
    <t>NXXT</t>
  </si>
  <si>
    <t>SMC</t>
  </si>
  <si>
    <t>TEN</t>
  </si>
  <si>
    <t>TK</t>
  </si>
  <si>
    <t>TNK</t>
  </si>
  <si>
    <t>TRMD</t>
  </si>
  <si>
    <t>BTU</t>
  </si>
  <si>
    <t>DNN</t>
  </si>
  <si>
    <t>EU</t>
  </si>
  <si>
    <t>HNRG</t>
  </si>
  <si>
    <t>LEU</t>
  </si>
  <si>
    <t>NRP</t>
  </si>
  <si>
    <t>URG</t>
  </si>
  <si>
    <t>UROY</t>
  </si>
  <si>
    <t>UUUU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</si>
</sst>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6.01</v>
        <stp/>
        <stp>LAST</stp>
        <stp>VRN</stp>
        <tr r="D30" s="3"/>
      </tp>
      <tp>
        <v>22.77</v>
        <stp/>
        <stp>LAST</stp>
        <stp>VTS</stp>
        <tr r="D59" s="4"/>
      </tp>
      <tp>
        <v>135.11000000000001</v>
        <stp/>
        <stp>LAST</stp>
        <stp>VLO</stp>
        <tr r="D35" s="2"/>
      </tp>
      <tp>
        <v>38.869999999999997</v>
        <stp/>
        <stp>LAST</stp>
        <stp>VAL</stp>
        <tr r="D3" s="3"/>
      </tp>
      <tp>
        <v>7.04</v>
        <stp/>
        <stp>LAST</stp>
        <stp>VET</stp>
        <tr r="D57" s="4"/>
      </tp>
      <tp>
        <v>27.65</v>
        <stp/>
        <stp>LAST</stp>
        <stp>WKC</stp>
        <tr r="D66" s="4"/>
      </tp>
      <tp>
        <v>44.1</v>
        <stp/>
        <stp>LAST</stp>
        <stp>WHD</stp>
        <tr r="D9" s="3"/>
      </tp>
      <tp>
        <v>58.07</v>
        <stp/>
        <stp>LAST</stp>
        <stp>WMB</stp>
        <tr r="D50" s="2"/>
      </tp>
      <tp>
        <v>14.2</v>
        <stp/>
        <stp>LAST</stp>
        <stp>WDS</stp>
        <tr r="D32" s="2"/>
      </tp>
      <tp>
        <v>39.369999999999997</v>
        <stp/>
        <stp>LAST</stp>
        <stp>WES</stp>
        <tr r="D49" s="2"/>
      </tp>
      <tp>
        <v>17.68</v>
        <stp/>
        <stp>LAST</stp>
        <stp>TXO</stp>
        <tr r="D56" s="4"/>
      </tp>
      <tp>
        <v>48.57</v>
        <stp/>
        <stp>LAST</stp>
        <stp>TRP</stp>
        <tr r="D48" s="2"/>
      </tp>
      <tp>
        <v>1378.64</v>
        <stp/>
        <stp>LAST</stp>
        <stp>TPL</stp>
        <tr r="D30" s="2"/>
      </tp>
      <tp>
        <v>59.9</v>
        <stp/>
        <stp>LAST</stp>
        <stp>TTE</stp>
        <tr r="D17" s="2"/>
      </tp>
      <tp>
        <v>3.01</v>
        <stp/>
        <stp>LAST</stp>
        <stp>TTI</stp>
        <tr r="D27" s="4"/>
      </tp>
      <tp>
        <v>45.66</v>
        <stp/>
        <stp>LAST</stp>
        <stp>TNK</stp>
        <tr r="D88" s="4"/>
      </tp>
      <tp>
        <v>20.27</v>
        <stp/>
        <stp>LAST</stp>
        <stp>TBN</stp>
        <tr r="D55" s="4"/>
      </tp>
      <tp>
        <v>29.7</v>
        <stp/>
        <stp>LAST</stp>
        <stp>TGS</stp>
        <tr r="D46" s="3"/>
      </tp>
      <tp>
        <v>42.45</v>
        <stp/>
        <stp>LAST</stp>
        <stp>TDW</stp>
        <tr r="D26" s="4"/>
      </tp>
      <tp>
        <v>18.13</v>
        <stp/>
        <stp>LAST</stp>
        <stp>TEN</stp>
        <tr r="D86" s="4"/>
      </tp>
      <tp>
        <v>0.72940000000000005</v>
        <stp/>
        <stp>LAST</stp>
        <stp>URG</stp>
        <tr r="D96" s="4"/>
      </tp>
      <tp>
        <v>3.11</v>
        <stp/>
        <stp>LAST</stp>
        <stp>UGP</stp>
        <tr r="D47" s="3"/>
      </tp>
      <tp>
        <v>5.63</v>
        <stp/>
        <stp>LAST</stp>
        <stp>UEC</stp>
        <tr r="D51" s="3"/>
      </tp>
      <tp>
        <v>40.619999999999997</v>
        <stp/>
        <stp>LAST</stp>
        <stp>RRC</stp>
        <tr r="D25" s="3"/>
      </tp>
      <tp>
        <v>4.97</v>
        <stp/>
        <stp>LAST</stp>
        <stp>RES</stp>
        <tr r="D23" s="4"/>
      </tp>
      <tp>
        <v>42.68</v>
        <stp/>
        <stp>LAST</stp>
        <stp>REX</stp>
        <tr r="D65" s="4"/>
      </tp>
      <tp>
        <v>18.82</v>
        <stp/>
        <stp>LAST</stp>
        <stp>STR</stp>
        <tr r="D53" s="4"/>
      </tp>
      <tp>
        <v>57.46</v>
        <stp/>
        <stp>LAST</stp>
        <stp>SUN</stp>
        <tr r="D35" s="3"/>
      </tp>
      <tp>
        <v>6.35</v>
        <stp/>
        <stp>LAST</stp>
        <stp>SJT</stp>
        <tr r="D51" s="4"/>
      </tp>
      <tp>
        <v>28.06</v>
        <stp/>
        <stp>LAST</stp>
        <stp>SOC</stp>
        <tr r="D52" s="4"/>
      </tp>
      <tp>
        <v>36.11</v>
        <stp/>
        <stp>LAST</stp>
        <stp>SLB</stp>
        <tr r="D4" s="2"/>
      </tp>
      <tp>
        <v>29.52</v>
        <stp/>
        <stp>LAST</stp>
        <stp>SMC</stp>
        <tr r="D85" s="4"/>
      </tp>
      <tp>
        <v>66.180000000000007</v>
        <stp/>
        <stp>LAST</stp>
        <stp>SBR</stp>
        <tr r="D49" s="4"/>
      </tp>
      <tp>
        <v>22.66</v>
        <stp/>
        <stp>LAST</stp>
        <stp>SEI</stp>
        <tr r="D25" s="4"/>
      </tp>
      <tp>
        <v>125.57</v>
        <stp/>
        <stp>LAST</stp>
        <stp>PSX</stp>
        <tr r="D34" s="2"/>
      </tp>
      <tp>
        <v>10.51</v>
        <stp/>
        <stp>LAST</stp>
        <stp>PBT</stp>
        <tr r="D45" s="4"/>
      </tp>
      <tp>
        <v>12.19</v>
        <stp/>
        <stp>LAST</stp>
        <stp>PBR</stp>
        <tr r="D14" s="2"/>
      </tp>
      <tp>
        <v>22.9</v>
        <stp/>
        <stp>LAST</stp>
        <stp>PBF</stp>
        <tr r="D34" s="3"/>
      </tp>
      <tp>
        <v>37.18</v>
        <stp/>
        <stp>LAST</stp>
        <stp>PBA</stp>
        <tr r="D46" s="2"/>
      </tp>
      <tp>
        <v>17.579999999999998</v>
        <stp/>
        <stp>LAST</stp>
        <stp>PAA</stp>
        <tr r="D45" s="2"/>
      </tp>
      <tp>
        <v>45.46</v>
        <stp/>
        <stp>LAST</stp>
        <stp>PDS</stp>
        <tr r="D5" s="4"/>
      </tp>
      <tp>
        <v>18.0457</v>
        <stp/>
        <stp>LAST</stp>
        <stp>TPZEF</stp>
        <tr r="D27" s="3"/>
      </tp>
      <tp>
        <v>109.46</v>
        <stp/>
        <stp>LAST</stp>
        <stp>XOM</stp>
        <tr r="D18" s="2"/>
      </tp>
      <tp>
        <v>8.5</v>
        <stp/>
        <stp>LAST</stp>
        <stp>PSYTF</stp>
        <tr r="D21" s="4"/>
      </tp>
      <tp>
        <v>35.909999999999997</v>
        <stp/>
        <stp>LAST</stp>
        <stp>YPF</stp>
        <tr r="D19" s="2"/>
      </tp>
      <tp>
        <v>17.84</v>
        <stp/>
        <stp>LAST</stp>
        <stp>FRO</stp>
        <tr r="D38" s="3"/>
      </tp>
      <tp>
        <v>48.71</v>
        <stp/>
        <stp>LAST</stp>
        <stp>GLP</stp>
        <tr r="D77" s="4"/>
      </tp>
      <tp>
        <v>4.2699999999999996</v>
        <stp/>
        <stp>LAST</stp>
        <stp>GFR</stp>
        <tr r="D37" s="4"/>
      </tp>
      <tp>
        <v>15.27</v>
        <stp/>
        <stp>LAST</stp>
        <stp>GEL</stp>
        <tr r="D76" s="4"/>
      </tp>
      <tp>
        <v>4.53</v>
        <stp/>
        <stp>LAST</stp>
        <stp>CDDRF</stp>
        <tr r="D33" s="4"/>
      </tp>
      <tp>
        <v>34.29</v>
        <stp/>
        <stp>LAST</stp>
        <stp>DVN</stp>
        <tr r="D24" s="2"/>
      </tp>
      <tp>
        <v>102.42</v>
        <stp/>
        <stp>LAST</stp>
        <stp>DTM</stp>
        <tr r="D37" s="2"/>
      </tp>
      <tp>
        <v>40.44</v>
        <stp/>
        <stp>LAST</stp>
        <stp>DKL</stp>
        <tr r="D37" s="3"/>
      </tp>
      <tp>
        <v>11.32</v>
        <stp/>
        <stp>LAST</stp>
        <stp>DHT</stp>
        <tr r="D72" s="4"/>
      </tp>
      <tp>
        <v>1.52</v>
        <stp/>
        <stp>LAST</stp>
        <stp>DNN</stp>
        <tr r="D91" s="4"/>
      </tp>
      <tp>
        <v>13.99</v>
        <stp/>
        <stp>LAST</stp>
        <stp>DEC</stp>
        <tr r="D34" s="4"/>
      </tp>
      <tp>
        <v>113.1</v>
        <stp/>
        <stp>LAST</stp>
        <stp>EXE</stp>
        <tr r="D27" s="2"/>
      </tp>
      <tp>
        <v>31.76</v>
        <stp/>
        <stp>LAST</stp>
        <stp>EPD</stp>
        <tr r="D39" s="2"/>
      </tp>
      <tp>
        <v>56.2</v>
        <stp/>
        <stp>LAST</stp>
        <stp>EQT</stp>
        <tr r="D26" s="2"/>
      </tp>
      <tp>
        <v>44.57</v>
        <stp/>
        <stp>LAST</stp>
        <stp>ENB</stp>
        <tr r="D38" s="2"/>
      </tp>
      <tp>
        <v>116.65</v>
        <stp/>
        <stp>LAST</stp>
        <stp>EOG</stp>
        <tr r="D25" s="2"/>
      </tp>
      <tp>
        <v>24.43</v>
        <stp/>
        <stp>LAST</stp>
        <stp>ECO</stp>
        <tr r="D73" s="4"/>
      </tp>
      <tp>
        <v>3.83</v>
        <stp/>
        <stp>LAST</stp>
        <stp>EGY</stp>
        <tr r="D36" s="4"/>
      </tp>
      <tp>
        <v>13.94</v>
        <stp/>
        <stp>LAST</stp>
        <stp>BSM</stp>
        <tr r="D11" s="3"/>
      </tp>
      <tp>
        <v>15.28</v>
        <stp/>
        <stp>LAST</stp>
        <stp>BTU</stp>
        <tr r="D90" s="4"/>
      </tp>
      <tp>
        <v>1.94</v>
        <stp/>
        <stp>LAST</stp>
        <stp>BTE</stp>
        <tr r="D32" s="4"/>
      </tp>
      <tp>
        <v>22.38</v>
        <stp/>
        <stp>LAST</stp>
        <stp>BKV</stp>
        <tr r="D31" s="4"/>
      </tp>
      <tp>
        <v>38.18</v>
        <stp/>
        <stp>LAST</stp>
        <stp>BKR</stp>
        <tr r="D2" s="2"/>
      </tp>
      <tp>
        <v>43.8</v>
        <stp/>
        <stp>LAST</stp>
        <stp>CRC</stp>
        <tr r="D15" s="3"/>
      </tp>
      <tp>
        <v>23.65</v>
        <stp/>
        <stp>LAST</stp>
        <stp>CRK</stp>
        <tr r="D17" s="3"/>
      </tp>
      <tp>
        <v>58.84</v>
        <stp/>
        <stp>LAST</stp>
        <stp>CQP</stp>
        <tr r="D36" s="2"/>
      </tp>
      <tp>
        <v>142.35</v>
        <stp/>
        <stp>LAST</stp>
        <stp>CVX</stp>
        <tr r="D8" s="2"/>
      </tp>
      <tp>
        <v>13.93</v>
        <stp/>
        <stp>LAST</stp>
        <stp>CVE</stp>
        <tr r="D7" s="2"/>
      </tp>
      <tp>
        <v>22.99</v>
        <stp/>
        <stp>LAST</stp>
        <stp>CVI</stp>
        <tr r="D32" s="3"/>
      </tp>
      <tp>
        <v>26.26</v>
        <stp/>
        <stp>LAST</stp>
        <stp>CHX</stp>
        <tr r="D5" s="3"/>
      </tp>
      <tp>
        <v>74.84</v>
        <stp/>
        <stp>LAST</stp>
        <stp>CNR</stp>
        <tr r="D49" s="3"/>
      </tp>
      <tp>
        <v>32.229999999999997</v>
        <stp/>
        <stp>LAST</stp>
        <stp>CNQ</stp>
        <tr r="D21" s="2"/>
      </tp>
      <tp>
        <v>32.64</v>
        <stp/>
        <stp>LAST</stp>
        <stp>CNX</stp>
        <tr r="D14" s="3"/>
      </tp>
      <tp>
        <v>94.17</v>
        <stp/>
        <stp>LAST</stp>
        <stp>COP</stp>
        <tr r="D22" s="2"/>
      </tp>
      <tp>
        <v>12.46</v>
        <stp/>
        <stp>LAST</stp>
        <stp>CLB</stp>
        <tr r="D10" s="4"/>
      </tp>
      <tp>
        <v>51.96</v>
        <stp/>
        <stp>LAST</stp>
        <stp>CCJ</stp>
        <tr r="D51" s="2"/>
      </tp>
      <tp>
        <v>9.82</v>
        <stp/>
        <stp>LAST</stp>
        <stp>ASC</stp>
        <tr r="D67" s="4"/>
      </tp>
      <tp>
        <v>18.46</v>
        <stp/>
        <stp>LAST</stp>
        <stp>APA</stp>
        <tr r="D10" s="3"/>
      </tp>
      <tp>
        <v>5.7</v>
        <stp/>
        <stp>LAST</stp>
        <stp>NXE</stp>
        <tr r="D50" s="3"/>
      </tp>
      <tp>
        <v>97</v>
        <stp/>
        <stp>LAST</stp>
        <stp>NRP</stp>
        <tr r="D95" s="4"/>
      </tp>
      <tp>
        <v>13.07</v>
        <stp/>
        <stp>LAST</stp>
        <stp>NOV</stp>
        <tr r="D7" s="3"/>
      </tp>
      <tp>
        <v>29.61</v>
        <stp/>
        <stp>LAST</stp>
        <stp>NOG</stp>
        <tr r="D22" s="3"/>
      </tp>
      <tp>
        <v>16.440000000000001</v>
        <stp/>
        <stp>LAST</stp>
        <stp>NOA</stp>
        <tr r="D17" s="4"/>
      </tp>
      <tp>
        <v>31.65</v>
        <stp/>
        <stp>LAST</stp>
        <stp>NBR</stp>
        <tr r="D4" s="4"/>
      </tp>
      <tp>
        <v>2.64</v>
        <stp/>
        <stp>LAST</stp>
        <stp>NAT</stp>
        <tr r="D80" s="4"/>
      </tp>
      <tp>
        <v>7.05</v>
        <stp/>
        <stp>LAST</stp>
        <stp>NFE</stp>
        <tr r="D82" s="4"/>
      </tp>
      <tp>
        <v>3.38</v>
        <stp/>
        <stp>LAST</stp>
        <stp>NGL</stp>
        <tr r="D83" s="4"/>
      </tp>
      <tp>
        <v>44.39</v>
        <stp/>
        <stp>LAST</stp>
        <stp>OXY</stp>
        <tr r="D13" s="2"/>
      </tp>
      <tp>
        <v>39.340000000000003</v>
        <stp/>
        <stp>LAST</stp>
        <stp>OVV</stp>
        <tr r="D23" s="3"/>
      </tp>
      <tp>
        <v>86.51</v>
        <stp/>
        <stp>LAST</stp>
        <stp>OKE</stp>
        <tr r="D44" s="2"/>
      </tp>
      <tp>
        <v>4.8099999999999996</v>
        <stp/>
        <stp>LAST</stp>
        <stp>OIS</stp>
        <tr r="D20" s="4"/>
      </tp>
      <tp>
        <v>20.02</v>
        <stp/>
        <stp>LAST</stp>
        <stp>OII</stp>
        <tr r="D19" s="4"/>
      </tp>
      <tp>
        <v>5.13</v>
        <stp/>
        <stp>LAST</stp>
        <stp>OBE</stp>
        <tr r="D44" s="4"/>
      </tp>
      <tp>
        <v>23.7</v>
        <stp/>
        <stp>LAST</stp>
        <stp>LPG</stp>
        <tr r="D79" s="4"/>
      </tp>
      <tp>
        <v>232.72</v>
        <stp/>
        <stp>LAST</stp>
        <stp>LNG</stp>
        <tr r="D42" s="2"/>
      </tp>
      <tp>
        <v>92.57</v>
        <stp/>
        <stp>LAST</stp>
        <stp>LEU</stp>
        <tr r="D94" s="4"/>
      </tp>
      <tp>
        <v>13.08</v>
        <stp/>
        <stp>LAST</stp>
        <stp>PRMRF</stp>
        <tr r="D47" s="4"/>
      </tp>
      <tp>
        <v>162.84</v>
        <stp/>
        <stp>LAST</stp>
        <stp>MPC</stp>
        <tr r="D33" s="2"/>
      </tp>
      <tp>
        <v>23.33</v>
        <stp/>
        <stp>LAST</stp>
        <stp>MUR</stp>
        <tr r="D21" s="3"/>
      </tp>
      <tp>
        <v>14.33</v>
        <stp/>
        <stp>LAST</stp>
        <stp>MNR</stp>
        <tr r="D43" s="4"/>
      </tp>
      <tp>
        <v>23.32</v>
        <stp/>
        <stp>LAST</stp>
        <stp>MGY</stp>
        <tr r="D19" s="3"/>
      </tp>
      <tp>
        <v>13.95</v>
        <stp/>
        <stp>LAST</stp>
        <stp>KRP</stp>
        <tr r="D42" s="4"/>
      </tp>
      <tp>
        <v>2.0699999999999998</v>
        <stp/>
        <stp>LAST</stp>
        <stp>KOS</stp>
        <tr r="D41" s="4"/>
      </tp>
      <tp>
        <v>27.5</v>
        <stp/>
        <stp>LAST</stp>
        <stp>KMI</stp>
        <tr r="D41" s="2"/>
      </tp>
      <tp>
        <v>36.4</v>
        <stp/>
        <stp>LAST</stp>
        <stp>KGS</stp>
        <tr r="D6" s="3"/>
      </tp>
      <tp>
        <v>10.3</v>
        <stp/>
        <stp>LAST</stp>
        <stp>HPK</stp>
        <tr r="D40" s="4"/>
      </tp>
      <tp>
        <v>6.73</v>
        <stp/>
        <stp>LAST</stp>
        <stp>HLX</stp>
        <tr r="D13" s="4"/>
      </tp>
      <tp>
        <v>21.31</v>
        <stp/>
        <stp>LAST</stp>
        <stp>HAL</stp>
        <tr r="D3" s="2"/>
      </tp>
      <tp>
        <v>135.69999999999999</v>
        <stp/>
        <stp>LAST</stp>
        <stp>HES</stp>
        <tr r="D29" s="2"/>
      </tp>
      <tp>
        <v>73.599999999999994</v>
        <stp/>
        <stp>LAST</stp>
        <stp>IMO</stp>
        <tr r="D12" s="2"/>
      </tp>
      <tp>
        <v>3.06</v>
        <stp/>
        <stp>LAST</stp>
        <stp>NXXT</stp>
        <tr r="D84" s="4"/>
      </tp>
      <tp>
        <v>169.5</v>
        <stp/>
        <stp>LAST</stp>
        <stp>TRGP</stp>
        <tr r="D47" s="2"/>
      </tp>
      <tp>
        <v>9.5</v>
        <stp/>
        <stp>LAST</stp>
        <stp>CRGY</stp>
        <tr r="D16" s="3"/>
      </tp>
      <tp>
        <v>5.7</v>
        <stp/>
        <stp>LAST</stp>
        <stp>GRNT</stp>
        <tr r="D39" s="4"/>
      </tp>
      <tp>
        <v>1.96</v>
        <stp/>
        <stp>LAST</stp>
        <stp>UROY</stp>
        <tr r="D97" s="4"/>
      </tp>
      <tp>
        <v>25.46</v>
        <stp/>
        <stp>LAST</stp>
        <stp>AROC</stp>
        <tr r="D4" s="3"/>
      </tp>
      <tp>
        <v>26.2</v>
        <stp/>
        <stp>LAST</stp>
        <stp>ARLP</stp>
        <tr r="D48" s="3"/>
      </tp>
      <tp>
        <v>17.27</v>
        <stp/>
        <stp>LAST</stp>
        <stp>TRMD</stp>
        <tr r="D89" s="4"/>
      </tp>
      <tp>
        <v>24.33</v>
        <stp/>
        <stp>LAST</stp>
        <stp>ARIS</stp>
        <tr r="D9" s="4"/>
      </tp>
      <tp>
        <v>24.6</v>
        <stp/>
        <stp>LAST</stp>
        <stp>USAC</stp>
        <tr r="D8" s="3"/>
      </tp>
      <tp>
        <v>5.71</v>
        <stp/>
        <stp>LAST</stp>
        <stp>CSAN</stp>
        <tr r="D31" s="3"/>
      </tp>
      <tp>
        <v>7.14</v>
        <stp/>
        <stp>LAST</stp>
        <stp>GPRK</stp>
        <tr r="D38" s="4"/>
      </tp>
      <tp>
        <v>8.65</v>
        <stp/>
        <stp>LAST</stp>
        <stp>XPRO</stp>
        <tr r="D30" s="4"/>
      </tp>
      <tp>
        <v>198.21</v>
        <stp/>
        <stp>LAST</stp>
        <stp>GPOR</stp>
        <tr r="D18" s="3"/>
      </tp>
      <tp>
        <v>50.44</v>
        <stp/>
        <stp>LAST</stp>
        <stp>MPLX</stp>
        <tr r="D43" s="2"/>
      </tp>
      <tp>
        <v>8.59</v>
        <stp/>
        <stp>LAST</stp>
        <stp>NPKI</stp>
        <tr r="D18" s="4"/>
      </tp>
      <tp>
        <v>23.63</v>
        <stp/>
        <stp>LAST</stp>
        <stp>EQNR</stp>
        <tr r="D11" s="2"/>
      </tp>
      <tp>
        <v>11.46</v>
        <stp/>
        <stp>LAST</stp>
        <stp>BWLP</stp>
        <tr r="D68" s="4"/>
      </tp>
      <tp>
        <v>8.67</v>
        <stp/>
        <stp>LAST</stp>
        <stp>WTTR</stp>
        <tr r="D29" s="4"/>
      </tp>
      <tp>
        <v>24.76</v>
        <stp/>
        <stp>LAST</stp>
        <stp>CTRA</stp>
        <tr r="D23" s="2"/>
      </tp>
      <tp>
        <v>46.36</v>
        <stp/>
        <stp>LAST</stp>
        <stp>MTDR</stp>
        <tr r="D20" s="3"/>
      </tp>
      <tp>
        <v>6.37</v>
        <stp/>
        <stp>LAST</stp>
        <stp>PTEN</stp>
        <tr r="D2" s="3"/>
      </tp>
      <tp>
        <v>42.24</v>
        <stp/>
        <stp>LAST</stp>
        <stp>STNG</stp>
        <tr r="D45" s="3"/>
      </tp>
      <tp>
        <v>30.22</v>
        <stp/>
        <stp>LAST</stp>
        <stp>VTOL</stp>
        <tr r="D28" s="4"/>
      </tp>
      <tp>
        <v>18.239999999999998</v>
        <stp/>
        <stp>LAST</stp>
        <stp>VTLE</stp>
        <tr r="D58" s="4"/>
      </tp>
      <tp>
        <v>4.5199999999999996</v>
        <stp/>
        <stp>LAST</stp>
        <stp>UUUU</stp>
        <tr r="D98" s="4"/>
      </tp>
      <tp>
        <v>6.07</v>
        <stp/>
        <stp>LAST</stp>
        <stp>PUMP</stp>
        <tr r="D22" s="4"/>
      </tp>
      <tp>
        <v>99.49</v>
        <stp/>
        <stp>LAST</stp>
        <stp>CHRD</stp>
        <tr r="D12" s="3"/>
      </tp>
      <tp>
        <v>67.61</v>
        <stp/>
        <stp>LAST</stp>
        <stp>SHEL</stp>
        <tr r="D15" s="2"/>
      </tp>
      <tp>
        <v>31.8</v>
        <stp/>
        <stp>LAST</stp>
        <stp>CIVI</stp>
        <tr r="D13" s="3"/>
      </tp>
      <tp>
        <v>51.27</v>
        <stp/>
        <stp>LAST</stp>
        <stp>VIST</stp>
        <tr r="D28" s="3"/>
      </tp>
      <tp>
        <v>36.71</v>
        <stp/>
        <stp>LAST</stp>
        <stp>DINO</stp>
        <tr r="D33" s="3"/>
      </tp>
      <tp>
        <v>15.19</v>
        <stp/>
        <stp>LAST</stp>
        <stp>INVX</stp>
        <tr r="D14" s="4"/>
      </tp>
      <tp>
        <v>44.97</v>
        <stp/>
        <stp>LAST</stp>
        <stp>KNTK</stp>
        <tr r="D42" s="3"/>
      </tp>
      <tp>
        <v>181.4</v>
        <stp/>
        <stp>LAST</stp>
        <stp>PNRG</stp>
        <tr r="D46" s="4"/>
      </tp>
      <tp>
        <v>18.440000000000001</v>
        <stp/>
        <stp>LAST</stp>
        <stp>HNRG</stp>
        <tr r="D93" s="4"/>
      </tp>
      <tp>
        <v>38.71</v>
        <stp/>
        <stp>LAST</stp>
        <stp>INSW</stp>
        <tr r="D78" s="4"/>
      </tp>
      <tp>
        <v>12.06</v>
        <stp/>
        <stp>LAST</stp>
        <stp>RNGR</stp>
        <tr r="D24" s="4"/>
      </tp>
      <tp>
        <v>43.18</v>
        <stp/>
        <stp>LAST</stp>
        <stp>VNOM</stp>
        <tr r="D29" s="3"/>
      </tp>
      <tp>
        <v>1.85</v>
        <stp/>
        <stp>LAST</stp>
        <stp>BORR</stp>
        <tr r="D2" s="4"/>
      </tp>
      <tp>
        <v>25.27</v>
        <stp/>
        <stp>LAST</stp>
        <stp>SOBO</stp>
        <tr r="D44" s="3"/>
      </tp>
      <tp>
        <v>6.66</v>
        <stp/>
        <stp>LAST</stp>
        <stp>CLCO</stp>
        <tr r="D70" s="4"/>
      </tp>
      <tp>
        <v>24.34</v>
        <stp/>
        <stp>LAST</stp>
        <stp>FLNG</stp>
        <tr r="D75" s="4"/>
      </tp>
      <tp>
        <v>39.840000000000003</v>
        <stp/>
        <stp>LAST</stp>
        <stp>GLNG</stp>
        <tr r="D39" s="3"/>
      </tp>
      <tp>
        <v>2.08</v>
        <stp/>
        <stp>LAST</stp>
        <stp>CLNE</stp>
        <tr r="D61" s="4"/>
      </tp>
      <tp>
        <v>19.98</v>
        <stp/>
        <stp>LAST</stp>
        <stp>FLOC</stp>
        <tr r="D12" s="4"/>
      </tp>
      <tp>
        <v>14</v>
        <stp/>
        <stp>LAST</stp>
        <stp>CLMT</stp>
        <tr r="D60" s="4"/>
      </tp>
      <tp>
        <v>9.33</v>
        <stp/>
        <stp>LAST</stp>
        <stp>CMBT</stp>
        <tr r="D71" s="4"/>
      </tp>
      <tp>
        <v>28.7</v>
        <stp/>
        <stp>LAST</stp>
        <stp>DMLP</stp>
        <tr r="D35" s="4"/>
      </tp>
      <tp>
        <v>12.64</v>
        <stp/>
        <stp>LAST</stp>
        <stp>LBRT</stp>
        <tr r="D15" s="4"/>
      </tp>
      <tp>
        <v>5.69</v>
        <stp/>
        <stp>LAST</stp>
        <stp>ACDC</stp>
        <tr r="D7" s="4"/>
      </tp>
      <tp>
        <v>19.11</v>
        <stp/>
        <stp>LAST</stp>
        <stp>PARR</stp>
        <tr r="D64" s="4"/>
      </tp>
      <tp>
        <v>22.16</v>
        <stp/>
        <stp>LAST</stp>
        <stp>CAPL</stp>
        <tr r="D69" s="4"/>
      </tp>
      <tp>
        <v>5.16</v>
        <stp/>
        <stp>LAST</stp>
        <stp>HAFN</stp>
        <tr r="D40" s="3"/>
      </tp>
      <tp>
        <v>18.77</v>
        <stp/>
        <stp>LAST</stp>
        <stp>PAGP</stp>
        <tr r="D43" s="3"/>
      </tp>
      <tp>
        <v>146.16999999999999</v>
        <stp/>
        <stp>LAST</stp>
        <stp>FANG</stp>
        <tr r="D28" s="2"/>
      </tp>
      <tp>
        <v>8.69</v>
        <stp/>
        <stp>LAST</stp>
        <stp>TALO</stp>
        <tr r="D54" s="4"/>
      </tp>
      <tp>
        <v>7.27</v>
        <stp/>
        <stp>LAST</stp>
        <stp>EFXT</stp>
        <tr r="D11" s="4"/>
      </tp>
      <tp>
        <v>24.69</v>
        <stp/>
        <stp>LAST</stp>
        <stp>SDRL</stp>
        <tr r="D6" s="4"/>
      </tp>
      <tp>
        <v>1.24</v>
        <stp/>
        <stp>LAST</stp>
        <stp>GEVO</stp>
        <tr r="D63" s="4"/>
      </tp>
      <tp>
        <v>6.66</v>
        <stp/>
        <stp>LAST</stp>
        <stp>NESR</stp>
        <tr r="D16" s="4"/>
      </tp>
      <tp>
        <v>13.36</v>
        <stp/>
        <stp>LAST</stp>
        <stp>AESI</stp>
        <tr r="D8" s="4"/>
      </tp>
      <tp>
        <v>38.97</v>
        <stp/>
        <stp>LAST</stp>
        <stp>HESM</stp>
        <tr r="D41" s="3"/>
      </tp>
      <tp>
        <v>29.47</v>
        <stp/>
        <stp>LAST</stp>
        <stp>REPX</stp>
        <tr r="D48" s="4"/>
      </tp>
      <tp>
        <v>8.3000000000000007</v>
        <stp/>
        <stp>LAST</stp>
        <stp>NEXT</stp>
        <tr r="D81" s="4"/>
      </tp>
      <tp>
        <v>10.72</v>
        <stp/>
        <stp>LAST</stp>
        <stp>VG</stp>
        <tr r="D31" s="2"/>
      </tp>
      <tp>
        <v>34.79</v>
        <stp/>
        <stp>LAST</stp>
        <stp>TS</stp>
        <tr r="D5" s="2"/>
      </tp>
      <tp>
        <v>8.14</v>
        <stp/>
        <stp>LAST</stp>
        <stp>TK</stp>
        <tr r="D87" s="4"/>
      </tp>
      <tp>
        <v>36.409999999999997</v>
        <stp/>
        <stp>LAST</stp>
        <stp>SU</stp>
        <tr r="D16" s="2"/>
      </tp>
      <tp>
        <v>25.63</v>
        <stp/>
        <stp>LAST</stp>
        <stp>SM</stp>
        <tr r="D26" s="3"/>
      </tp>
      <tp>
        <v>10.81</v>
        <stp/>
        <stp>LAST</stp>
        <stp>SD</stp>
        <tr r="D50" s="4"/>
      </tp>
      <tp>
        <v>13.95</v>
        <stp/>
        <stp>LAST</stp>
        <stp>PR</stp>
        <tr r="D24" s="3"/>
      </tp>
      <tp>
        <v>17.329999999999998</v>
        <stp/>
        <stp>LAST</stp>
        <stp>DK</stp>
        <tr r="D62" s="4"/>
      </tp>
      <tp>
        <v>18</v>
        <stp/>
        <stp>LAST</stp>
        <stp>ET</stp>
        <tr r="D40" s="2"/>
      </tp>
      <tp>
        <v>1.71</v>
        <stp/>
        <stp>LAST</stp>
        <stp>EU</stp>
        <tr r="D92" s="4"/>
      </tp>
      <tp>
        <v>8.6199999999999992</v>
        <stp/>
        <stp>LAST</stp>
        <stp>EC</stp>
        <tr r="D10" s="2"/>
      </tp>
      <tp>
        <v>29.8</v>
        <stp/>
        <stp>LAST</stp>
        <stp>EE</stp>
        <tr r="D74" s="4"/>
      </tp>
      <tp>
        <v>30.56</v>
        <stp/>
        <stp>LAST</stp>
        <stp>BP</stp>
        <tr r="D6" s="2"/>
      </tp>
      <tp>
        <v>41.04</v>
        <stp/>
        <stp>LAST</stp>
        <stp>AR</stp>
        <tr r="D20" s="2"/>
      </tp>
      <tp>
        <v>18.43</v>
        <stp/>
        <stp>LAST</stp>
        <stp>AM</stp>
        <tr r="D36" s="3"/>
      </tp>
      <tp>
        <v>19.12</v>
        <stp/>
        <stp>LAST</stp>
        <stp>HP</stp>
        <tr r="D3" s="4"/>
      </tp>
      <tp>
        <v>30.22</v>
        <stp/>
        <stp>LAST</stp>
        <stp>E</stp>
        <tr r="D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7420833336" createdVersion="8" refreshedVersion="8" minRefreshableVersion="3" recordCount="50" xr:uid="{3432845B-C090-4238-AA0B-FA56B072311B}">
  <cacheSource type="worksheet">
    <worksheetSource name="Main_L"/>
  </cacheSource>
  <cacheFields count="26">
    <cacheField name="Industry" numFmtId="0">
      <sharedItems count="58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274" maxValue="449711"/>
    </cacheField>
    <cacheField name="Current Price" numFmtId="0">
      <sharedItems containsSemiMixedTypes="0" containsString="0" containsNumber="1" minValue="8.6199999999999992" maxValue="1378.64"/>
    </cacheField>
    <cacheField name="Free CF" numFmtId="0">
      <sharedItems containsString="0" containsBlank="1" containsNumber="1" minValue="-1.35" maxValue="18.04"/>
    </cacheField>
    <cacheField name="BVPS" numFmtId="0">
      <sharedItems containsString="0" containsBlank="1" containsNumber="1" minValue="0.46" maxValue="133.91999999999999"/>
    </cacheField>
    <cacheField name="EPS" numFmtId="0">
      <sharedItems containsString="0" containsBlank="1" containsNumber="1" minValue="-5.41" maxValue="19.72"/>
    </cacheField>
    <cacheField name="P/FCF" numFmtId="2">
      <sharedItems containsMixedTypes="1" containsNumber="1" minValue="-283.99999999999994" maxValue="483.73333333333335"/>
    </cacheField>
    <cacheField name="P/B" numFmtId="2">
      <sharedItems containsMixedTypes="1" containsNumber="1" minValue="0.7618025751072961" maxValue="27.964300202839759"/>
    </cacheField>
    <cacheField name="ROE" numFmtId="0">
      <sharedItems containsSemiMixedTypes="0" containsString="0" containsNumber="1" minValue="-388.24" maxValue="50.32"/>
    </cacheField>
    <cacheField name="ROA" numFmtId="0">
      <sharedItems containsSemiMixedTypes="0" containsString="0" containsNumber="1" minValue="-2.2599999999999998" maxValue="28.3"/>
    </cacheField>
    <cacheField name="A/E" numFmtId="0">
      <sharedItems containsSemiMixedTypes="0" containsString="0" containsNumber="1" minValue="1.1000000000000001" maxValue="15.01"/>
    </cacheField>
    <cacheField name="P/E" numFmtId="2">
      <sharedItems containsMixedTypes="1" containsNumber="1" minValue="-436.5714285714285" maxValue="129.9"/>
    </cacheField>
    <cacheField name="Preliminary Criteria" numFmtId="0">
      <sharedItems/>
    </cacheField>
    <cacheField name="P/FCF Z-Score" numFmtId="2">
      <sharedItems containsMixedTypes="1" containsNumber="1" minValue="-25.895107002678518" maxValue="39.792105218501263"/>
    </cacheField>
    <cacheField name="P/B Z-Score" numFmtId="2">
      <sharedItems containsMixedTypes="1" containsNumber="1" minValue="-1.6264846899172531" maxValue="33.199046697314351"/>
    </cacheField>
    <cacheField name="ROE Z-Score" numFmtId="2">
      <sharedItems containsSemiMixedTypes="0" containsString="0" containsNumber="1" minValue="-51.916346199898619" maxValue="4.8664834329847979"/>
    </cacheField>
    <cacheField name="ROA Z-Score" numFmtId="2">
      <sharedItems containsSemiMixedTypes="0" containsString="0" containsNumber="1" minValue="-2.5157409933251538" maxValue="7.3808406590026436"/>
    </cacheField>
    <cacheField name="A/E Z-Score" numFmtId="2">
      <sharedItems containsSemiMixedTypes="0" containsString="0" containsNumber="1" minValue="-10.538532088429351" maxValue="13.010976733367912"/>
    </cacheField>
    <cacheField name="P/E Z-Score" numFmtId="2">
      <sharedItems containsMixedTypes="1" containsNumber="1" minValue="-50.121437396737697" maxValue="12.33009031529983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742233796" createdVersion="8" refreshedVersion="8" minRefreshableVersion="3" recordCount="50" xr:uid="{A2646FF5-8A5C-4026-A340-9C8CC354FDFF}">
  <cacheSource type="worksheet">
    <worksheetSource name="Main_M"/>
  </cacheSource>
  <cacheFields count="26">
    <cacheField name="Industry" numFmtId="0">
      <sharedItems count="59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5" maxValue="8755"/>
    </cacheField>
    <cacheField name="Current Price" numFmtId="0">
      <sharedItems containsSemiMixedTypes="0" containsString="0" containsNumber="1" minValue="3.11" maxValue="198.21"/>
    </cacheField>
    <cacheField name="Free CF" numFmtId="0">
      <sharedItems containsSemiMixedTypes="0" containsString="0" containsNumber="1" minValue="-13.29" maxValue="17.73"/>
    </cacheField>
    <cacheField name="BVPS" numFmtId="0">
      <sharedItems containsSemiMixedTypes="0" containsString="0" containsNumber="1" minValue="-49.67" maxValue="144.87"/>
    </cacheField>
    <cacheField name="EPS" numFmtId="0">
      <sharedItems containsSemiMixedTypes="0" containsString="0" containsNumber="1" minValue="-14.72" maxValue="16.02"/>
    </cacheField>
    <cacheField name="P/FCF" numFmtId="2">
      <sharedItems containsSemiMixedTypes="0" containsString="0" containsNumber="1" minValue="-330.90909090909088" maxValue="118.8"/>
    </cacheField>
    <cacheField name="P/B" numFmtId="2">
      <sharedItems containsSemiMixedTypes="0" containsString="0" containsNumber="1" minValue="-20.500000000000004" maxValue="58.608695652173914"/>
    </cacheField>
    <cacheField name="ROE" numFmtId="0">
      <sharedItems containsSemiMixedTypes="0" containsString="0" containsNumber="1" minValue="-225.87" maxValue="159.08000000000001"/>
    </cacheField>
    <cacheField name="ROA" numFmtId="0">
      <sharedItems containsSemiMixedTypes="0" containsString="0" containsNumber="1" minValue="-5.43" maxValue="14.47"/>
    </cacheField>
    <cacheField name="A/E" numFmtId="0">
      <sharedItems containsSemiMixedTypes="0" containsString="0" containsNumber="1" minValue="-19.46" maxValue="57.46"/>
    </cacheField>
    <cacheField name="P/E" numFmtId="2">
      <sharedItems containsSemiMixedTypes="0" containsString="0" containsNumber="1" minValue="-57" maxValue="83.000000000000014"/>
    </cacheField>
    <cacheField name="Preliminary Criteria" numFmtId="0">
      <sharedItems/>
    </cacheField>
    <cacheField name="P/FCF Z-Score" numFmtId="2">
      <sharedItems containsSemiMixedTypes="0" containsString="0" containsNumber="1" minValue="-20.166503411080715" maxValue="7.7467231027532106"/>
    </cacheField>
    <cacheField name="P/B Z-Score" numFmtId="2">
      <sharedItems containsSemiMixedTypes="0" containsString="0" containsNumber="1" minValue="-23.105547910744644" maxValue="49.809913401230048"/>
    </cacheField>
    <cacheField name="ROE Z-Score" numFmtId="2">
      <sharedItems containsSemiMixedTypes="0" containsString="0" containsNumber="1" minValue="-5.1433104387025734" maxValue="3.308571947218363"/>
    </cacheField>
    <cacheField name="ROA Z-Score" numFmtId="2">
      <sharedItems containsSemiMixedTypes="0" containsString="0" containsNumber="1" minValue="-3.4434603870353957" maxValue="2.0089215866052972"/>
    </cacheField>
    <cacheField name="A/E Z-Score" numFmtId="2">
      <sharedItems containsSemiMixedTypes="0" containsString="0" containsNumber="1" minValue="-49.247092599331211" maxValue="77.761864709408201"/>
    </cacheField>
    <cacheField name="P/E Z-Score" numFmtId="2">
      <sharedItems containsSemiMixedTypes="0" containsString="0" containsNumber="1" minValue="-11.408037992758477" maxValue="12.867742780211966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7423842592" createdVersion="8" refreshedVersion="8" minRefreshableVersion="3" recordCount="97" xr:uid="{FEEDC4AE-CB7E-4F82-B64E-6462C5DE2153}">
  <cacheSource type="worksheet">
    <worksheetSource name="Main_S"/>
  </cacheSource>
  <cacheFields count="26">
    <cacheField name="Industry" numFmtId="0">
      <sharedItems count="60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0" maxValue="1941"/>
    </cacheField>
    <cacheField name="Current Price" numFmtId="0">
      <sharedItems containsSemiMixedTypes="0" containsString="0" containsNumber="1" minValue="0.72940000000000005" maxValue="181.4"/>
    </cacheField>
    <cacheField name="Free CF" numFmtId="0">
      <sharedItems containsString="0" containsBlank="1" containsNumber="1" minValue="-20.11" maxValue="18.64"/>
    </cacheField>
    <cacheField name="BVPS" numFmtId="0">
      <sharedItems containsString="0" containsBlank="1" containsNumber="1" minValue="-8.2899999999999991" maxValue="118.78"/>
    </cacheField>
    <cacheField name="EPS" numFmtId="0">
      <sharedItems containsString="0" containsBlank="1" containsNumber="1" minValue="-14.66" maxValue="21.95"/>
    </cacheField>
    <cacheField name="P/FCF" numFmtId="2">
      <sharedItems containsMixedTypes="1" containsNumber="1" minValue="-506.75" maxValue="127.18181818181819"/>
    </cacheField>
    <cacheField name="P/B" numFmtId="2">
      <sharedItems containsMixedTypes="1" containsNumber="1" minValue="-15.716312056737589" maxValue="253.375"/>
    </cacheField>
    <cacheField name="ROE" numFmtId="0">
      <sharedItems containsSemiMixedTypes="0" containsString="0" containsNumber="1" minValue="-12984" maxValue="13173"/>
    </cacheField>
    <cacheField name="ROA" numFmtId="0">
      <sharedItems containsSemiMixedTypes="0" containsString="0" containsNumber="1" minValue="-50.78" maxValue="536.58000000000004"/>
    </cacheField>
    <cacheField name="A/E" numFmtId="0">
      <sharedItems containsSemiMixedTypes="0" containsString="0" containsNumber="1" minValue="-31.46" maxValue="24.32"/>
    </cacheField>
    <cacheField name="P/E" numFmtId="2">
      <sharedItems containsMixedTypes="1" containsNumber="1" minValue="-2027" maxValue="86.40625"/>
    </cacheField>
    <cacheField name="Preliminary Criteria" numFmtId="0">
      <sharedItems/>
    </cacheField>
    <cacheField name="P/FCF Z-Score" numFmtId="2">
      <sharedItems containsMixedTypes="1" containsNumber="1" minValue="-67.635915579323211" maxValue="16.727957731017053"/>
    </cacheField>
    <cacheField name="P/B Z-Score" numFmtId="2">
      <sharedItems containsMixedTypes="1" containsNumber="1" minValue="-24.28045442746825" maxValue="361.52676938029401"/>
    </cacheField>
    <cacheField name="ROE Z-Score" numFmtId="2">
      <sharedItems containsSemiMixedTypes="0" containsString="0" containsNumber="1" minValue="-671.37090424621783" maxValue="680.2539717269733"/>
    </cacheField>
    <cacheField name="ROA Z-Score" numFmtId="2">
      <sharedItems containsSemiMixedTypes="0" containsString="0" containsNumber="1" minValue="-10.206394348537597" maxValue="98.610102873770458"/>
    </cacheField>
    <cacheField name="A/E Z-Score" numFmtId="2">
      <sharedItems containsSemiMixedTypes="0" containsString="0" containsNumber="1" minValue="-26.337703598243635" maxValue="17.288980512116417"/>
    </cacheField>
    <cacheField name="P/E Z-Score" numFmtId="2">
      <sharedItems containsMixedTypes="1" containsNumber="1" minValue="-212.82564979998904" maxValue="8.6358614125582083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s v="BKR"/>
    <n v="35925"/>
    <n v="38.18"/>
    <n v="2.0299999999999998"/>
    <n v="17.21"/>
    <n v="2.93"/>
    <n v="18.807881773399018"/>
    <n v="2.218477629285299"/>
    <n v="18.04"/>
    <n v="5.79"/>
    <n v="2.2400000000000002"/>
    <n v="13.030716723549487"/>
    <s v="NO"/>
    <n v="1.0262753885573739"/>
    <n v="0.18451784308597424"/>
    <n v="0.144032440723213"/>
    <n v="-1.266696175100815"/>
    <n v="-1.3541130616417565"/>
    <n v="0.92610744885666363"/>
    <x v="0"/>
    <x v="0"/>
    <x v="0"/>
    <x v="0"/>
    <x v="0"/>
    <x v="0"/>
  </r>
  <r>
    <x v="0"/>
    <s v="HAL"/>
    <n v="16640"/>
    <n v="21.31"/>
    <n v="2.2799999999999998"/>
    <n v="12.04"/>
    <n v="2.4"/>
    <n v="9.3464912280701764"/>
    <n v="1.7699335548172757"/>
    <n v="21"/>
    <n v="9.1199999999999992"/>
    <n v="2.4300000000000002"/>
    <n v="8.8791666666666664"/>
    <s v="NO"/>
    <n v="-1.2709238549306896"/>
    <n v="-1.5036368650208327"/>
    <n v="0.86056357440508091"/>
    <n v="1.3171312448598065"/>
    <n v="0.32380964517520716"/>
    <n v="-1.3886582538463454"/>
    <x v="0"/>
    <x v="0"/>
    <x v="0"/>
    <x v="0"/>
    <x v="0"/>
    <x v="0"/>
  </r>
  <r>
    <x v="0"/>
    <s v="SLB"/>
    <n v="45183"/>
    <n v="36.11"/>
    <n v="3.07"/>
    <n v="14.35"/>
    <n v="2.96"/>
    <n v="11.762214983713356"/>
    <n v="2.5163763066202089"/>
    <n v="20.2"/>
    <n v="8.1300000000000008"/>
    <n v="2.5099999999999998"/>
    <n v="12.199324324324325"/>
    <s v="NO"/>
    <n v="-0.68439286275222644"/>
    <n v="1.3056987555262085"/>
    <n v="0.66690651124781919"/>
    <n v="0.54896633622286595"/>
    <n v="1.0303034164665572"/>
    <n v="0.46255080498968282"/>
    <x v="0"/>
    <x v="0"/>
    <x v="0"/>
    <x v="0"/>
    <x v="0"/>
    <x v="0"/>
  </r>
  <r>
    <x v="0"/>
    <s v="TS"/>
    <n v="17685"/>
    <n v="34.79"/>
    <n v="1.89"/>
    <n v="16.010000000000002"/>
    <n v="1.63"/>
    <n v="18.407407407407408"/>
    <n v="2.1730168644597123"/>
    <n v="10.54"/>
    <n v="6.65"/>
    <n v="1.2"/>
    <n v="21.343558282208591"/>
    <s v="NO"/>
    <n v="0.92904132912554083"/>
    <n v="1.3420266408653462E-2"/>
    <n v="-1.6715025263761139"/>
    <n v="-0.59940140598185532"/>
    <n v="-10.538532088429351"/>
    <n v="5.5610703586948098"/>
    <x v="0"/>
    <x v="0"/>
    <x v="0"/>
    <x v="0"/>
    <x v="1"/>
    <x v="1"/>
  </r>
  <r>
    <x v="1"/>
    <s v="BP"/>
    <n v="73268"/>
    <n v="30.56"/>
    <n v="0.63"/>
    <n v="3.69"/>
    <n v="-7.0000000000000007E-2"/>
    <n v="48.507936507936506"/>
    <n v="8.2818428184281849"/>
    <n v="-0.24"/>
    <n v="2.0299999999999998"/>
    <n v="4.83"/>
    <n v="-436.5714285714285"/>
    <s v="NO"/>
    <n v="2.5542496193561233"/>
    <n v="8.0009179519646043"/>
    <n v="-1.6798041131630164"/>
    <n v="-1.1264630061364678"/>
    <n v="2.3316401644427911"/>
    <n v="-50.121437396737697"/>
    <x v="0"/>
    <x v="1"/>
    <x v="0"/>
    <x v="0"/>
    <x v="0"/>
    <x v="1"/>
  </r>
  <r>
    <x v="1"/>
    <s v="CVE"/>
    <n v="21435"/>
    <n v="13.93"/>
    <n v="1.57"/>
    <n v="11.22"/>
    <n v="1.1599999999999999"/>
    <n v="8.872611464968152"/>
    <n v="1.2415329768270944"/>
    <n v="10.74"/>
    <n v="5.41"/>
    <n v="1.92"/>
    <n v="12.008620689655173"/>
    <s v="YES"/>
    <n v="-0.83694611816502651"/>
    <n v="-1.0123180648103838"/>
    <n v="-0.25816176235797283"/>
    <n v="-3.1880349563563261E-2"/>
    <n v="-0.72109749916939947"/>
    <n v="-0.66702899321965092"/>
    <x v="0"/>
    <x v="0"/>
    <x v="0"/>
    <x v="0"/>
    <x v="0"/>
    <x v="0"/>
  </r>
  <r>
    <x v="1"/>
    <s v="CVX"/>
    <n v="236436"/>
    <n v="142.35"/>
    <n v="7.64"/>
    <n v="86.1"/>
    <n v="8.74"/>
    <n v="18.63219895287958"/>
    <n v="1.6533101045296168"/>
    <n v="11.27"/>
    <n v="5.62"/>
    <n v="1.69"/>
    <n v="16.287185354691076"/>
    <s v="YES"/>
    <n v="-1.9164709225696285E-3"/>
    <n v="-0.4851474541702589"/>
    <n v="-0.18953968167248358"/>
    <n v="3.6126265193924867E-2"/>
    <n v="-0.9623791701765485"/>
    <n v="-0.19533194678592844"/>
    <x v="0"/>
    <x v="0"/>
    <x v="0"/>
    <x v="0"/>
    <x v="0"/>
    <x v="0"/>
  </r>
  <r>
    <x v="1"/>
    <s v="E"/>
    <n v="43719"/>
    <n v="30.22"/>
    <n v="1.8"/>
    <n v="18.920000000000002"/>
    <n v="0.83"/>
    <n v="16.788888888888888"/>
    <n v="1.5972515856236784"/>
    <n v="4.84"/>
    <n v="2.4900000000000002"/>
    <n v="2.7"/>
    <n v="36.409638554216869"/>
    <s v="NO"/>
    <n v="-0.15962995567785765"/>
    <n v="-0.55691541225989294"/>
    <n v="-1.0220679435737978"/>
    <n v="-0.97749613571530303"/>
    <n v="9.7162080767888973E-2"/>
    <n v="2.0230993460218145"/>
    <x v="0"/>
    <x v="0"/>
    <x v="0"/>
    <x v="0"/>
    <x v="0"/>
    <x v="0"/>
  </r>
  <r>
    <x v="1"/>
    <s v="EC"/>
    <n v="16190"/>
    <n v="8.6199999999999992"/>
    <n v="0.13"/>
    <n v="0.46"/>
    <n v="0.08"/>
    <n v="66.307692307692292"/>
    <n v="18.739130434782606"/>
    <n v="18.41"/>
    <n v="8.01"/>
    <n v="3.6"/>
    <n v="107.74999999999999"/>
    <s v="NO"/>
    <n v="4.0771955251008274"/>
    <n v="21.388681204166254"/>
    <n v="0.73491627322259945"/>
    <n v="0.81010630933867067"/>
    <n v="1.0413077499262984"/>
    <n v="9.8881289575837865"/>
    <x v="1"/>
    <x v="1"/>
    <x v="0"/>
    <x v="0"/>
    <x v="0"/>
    <x v="1"/>
  </r>
  <r>
    <x v="1"/>
    <s v="EQNR"/>
    <n v="61914"/>
    <n v="23.63"/>
    <n v="2.64"/>
    <n v="16.850000000000001"/>
    <n v="3.15"/>
    <n v="8.9507575757575744"/>
    <n v="1.4023738872403559"/>
    <n v="18.32"/>
    <n v="13.63"/>
    <n v="3.01"/>
    <n v="7.5015873015873016"/>
    <s v="NO"/>
    <n v="-0.83025994219635091"/>
    <n v="-0.80640424577056702"/>
    <n v="0.72326346706845979"/>
    <n v="2.6300928566581154"/>
    <n v="0.42236781125578515"/>
    <n v="-1.163913930989301"/>
    <x v="0"/>
    <x v="0"/>
    <x v="0"/>
    <x v="0"/>
    <x v="0"/>
    <x v="0"/>
  </r>
  <r>
    <x v="1"/>
    <s v="IMO"/>
    <n v="34829"/>
    <n v="73.599999999999994"/>
    <n v="5.41"/>
    <n v="32.049999999999997"/>
    <n v="6.47"/>
    <n v="13.604436229205174"/>
    <n v="2.2964118564742591"/>
    <n v="20.96"/>
    <n v="9.3000000000000007"/>
    <n v="1.83"/>
    <n v="11.375579598145286"/>
    <s v="NO"/>
    <n v="-0.43209151046894556"/>
    <n v="0.33817254217813097"/>
    <n v="1.0650791142565577"/>
    <n v="1.2278612285632411"/>
    <n v="-0.81551206608524029"/>
    <n v="-0.73681959743245129"/>
    <x v="0"/>
    <x v="0"/>
    <x v="0"/>
    <x v="0"/>
    <x v="0"/>
    <x v="0"/>
  </r>
  <r>
    <x v="1"/>
    <s v="OXY"/>
    <n v="38300"/>
    <n v="44.39"/>
    <n v="4.49"/>
    <n v="27.57"/>
    <n v="2.2599999999999998"/>
    <n v="9.8864142538975504"/>
    <n v="1.6100834240116069"/>
    <n v="8.93"/>
    <n v="4.12"/>
    <n v="3.3"/>
    <n v="19.641592920353986"/>
    <s v="NO"/>
    <n v="-0.75020521991889599"/>
    <n v="-0.54048767107780737"/>
    <n v="-0.49251264168011583"/>
    <n v="-0.44963526878813326"/>
    <n v="0.72659252687349496"/>
    <n v="0.17447995630116692"/>
    <x v="0"/>
    <x v="0"/>
    <x v="0"/>
    <x v="0"/>
    <x v="0"/>
    <x v="0"/>
  </r>
  <r>
    <x v="1"/>
    <s v="PBR"/>
    <n v="72789"/>
    <n v="12.19"/>
    <n v="1.56"/>
    <n v="4.59"/>
    <n v="0.46"/>
    <n v="7.8141025641025639"/>
    <n v="2.6557734204793029"/>
    <n v="9.8699999999999992"/>
    <n v="8.94"/>
    <n v="3.07"/>
    <n v="26.499999999999996"/>
    <s v="NO"/>
    <n v="-0.92751206833326938"/>
    <n v="0.79823902570071448"/>
    <n v="-0.37080555518132341"/>
    <n v="1.1112784604075467"/>
    <n v="0.48531085586634587"/>
    <n v="0.93059576054413229"/>
    <x v="0"/>
    <x v="0"/>
    <x v="0"/>
    <x v="0"/>
    <x v="0"/>
    <x v="0"/>
  </r>
  <r>
    <x v="1"/>
    <s v="SHEL"/>
    <n v="193439"/>
    <n v="67.61"/>
    <n v="5.05"/>
    <n v="29.72"/>
    <n v="2.17"/>
    <n v="13.388118811881188"/>
    <n v="2.274899057873486"/>
    <n v="7.56"/>
    <n v="5.17"/>
    <n v="2.1800000000000002"/>
    <n v="31.156682027649769"/>
    <s v="NO"/>
    <n v="-0.45059961410592642"/>
    <n v="0.31063115045920942"/>
    <n v="-0.669894246470909"/>
    <n v="-0.10960219500069263"/>
    <n v="-0.44834430585696983"/>
    <n v="1.4439789463992803"/>
    <x v="0"/>
    <x v="0"/>
    <x v="0"/>
    <x v="0"/>
    <x v="0"/>
    <x v="0"/>
  </r>
  <r>
    <x v="1"/>
    <s v="SU"/>
    <n v="41741"/>
    <n v="36.409999999999997"/>
    <n v="5.17"/>
    <n v="24.88"/>
    <n v="3.28"/>
    <n v="7.0425531914893611"/>
    <n v="1.4634244372990353"/>
    <n v="13.7"/>
    <n v="6.48"/>
    <n v="2.02"/>
    <n v="11.10060975609756"/>
    <s v="YES"/>
    <n v="-0.99352578061786678"/>
    <n v="-0.7282453253518496"/>
    <n v="0.12508608448928832"/>
    <n v="0.31462954467697163"/>
    <n v="-0.61619242481846503"/>
    <n v="-0.7671340772887868"/>
    <x v="0"/>
    <x v="0"/>
    <x v="0"/>
    <x v="0"/>
    <x v="0"/>
    <x v="0"/>
  </r>
  <r>
    <x v="1"/>
    <s v="TTE"/>
    <n v="126573"/>
    <n v="59.9"/>
    <n v="6.82"/>
    <n v="53.12"/>
    <n v="5.94"/>
    <n v="8.7829912023460412"/>
    <n v="1.1276355421686748"/>
    <n v="11.71"/>
    <n v="5.26"/>
    <n v="2.4700000000000002"/>
    <n v="10.084175084175083"/>
    <s v="YES"/>
    <n v="-0.84461402179064715"/>
    <n v="-1.1581333035397179"/>
    <n v="-0.13257040714113377"/>
    <n v="-8.0456502961769191E-2"/>
    <n v="-0.1441195902392601"/>
    <n v="-0.87919250579792763"/>
    <x v="0"/>
    <x v="0"/>
    <x v="0"/>
    <x v="0"/>
    <x v="0"/>
    <x v="0"/>
  </r>
  <r>
    <x v="1"/>
    <s v="XOM"/>
    <n v="449711"/>
    <n v="109.46"/>
    <n v="6.41"/>
    <n v="60.96"/>
    <n v="7.54"/>
    <n v="17.076443057722308"/>
    <n v="1.7956036745406823"/>
    <n v="14.3"/>
    <n v="6.2"/>
    <n v="1.72"/>
    <n v="14.517241379310343"/>
    <s v="YES"/>
    <n v="-0.13502684038620363"/>
    <n v="-0.30297854981312344"/>
    <n v="0.20277145885021983"/>
    <n v="0.22395405833365403"/>
    <n v="-0.93090764787126823"/>
    <n v="-0.39046218575667613"/>
    <x v="0"/>
    <x v="0"/>
    <x v="0"/>
    <x v="0"/>
    <x v="0"/>
    <x v="0"/>
  </r>
  <r>
    <x v="1"/>
    <s v="YPF"/>
    <n v="11906"/>
    <n v="35.909999999999997"/>
    <n v="0.53"/>
    <n v="29.63"/>
    <n v="5.14"/>
    <n v="67.754716981132063"/>
    <n v="1.2119473506581167"/>
    <n v="21.73"/>
    <n v="3.95"/>
    <n v="2.52"/>
    <n v="6.9863813229571985"/>
    <s v="NO"/>
    <n v="4.2010028585675547"/>
    <n v="-1.0501945556701138"/>
    <n v="1.1647753446864195"/>
    <n v="-0.50468824263943313"/>
    <n v="-9.166705306379308E-2"/>
    <n v="-1.2207136190741312"/>
    <x v="1"/>
    <x v="0"/>
    <x v="0"/>
    <x v="0"/>
    <x v="0"/>
    <x v="0"/>
  </r>
  <r>
    <x v="1"/>
    <s v="AR"/>
    <n v="11337"/>
    <n v="41.04"/>
    <n v="1.1100000000000001"/>
    <n v="23.17"/>
    <n v="0.77"/>
    <n v="36.972972972972968"/>
    <n v="1.7712559343979282"/>
    <n v="3.79"/>
    <n v="1.06"/>
    <n v="1.81"/>
    <n v="53.298701298701296"/>
    <s v="NO"/>
    <n v="1.5673189172659183"/>
    <n v="-0.33414932685549326"/>
    <n v="-1.1580173487054275"/>
    <n v="-1.4405887981115317"/>
    <n v="-0.83649308095542718"/>
    <n v="3.8850604561831061"/>
    <x v="0"/>
    <x v="0"/>
    <x v="0"/>
    <x v="0"/>
    <x v="0"/>
    <x v="1"/>
  </r>
  <r>
    <x v="1"/>
    <s v="CNQ"/>
    <n v="60186"/>
    <n v="32.229999999999997"/>
    <n v="2.62"/>
    <n v="13.05"/>
    <n v="1.98"/>
    <n v="12.30152671755725"/>
    <n v="2.469731800766283"/>
    <n v="15.4"/>
    <n v="7.53"/>
    <n v="2.16"/>
    <n v="16.277777777777775"/>
    <s v="NO"/>
    <n v="-0.54356836041242962"/>
    <n v="0.5600624304735925"/>
    <n v="0.34519464517859394"/>
    <n v="0.6546626184644122"/>
    <n v="-0.46932532072715671"/>
    <n v="-0.1963690998013696"/>
    <x v="0"/>
    <x v="0"/>
    <x v="0"/>
    <x v="0"/>
    <x v="0"/>
    <x v="0"/>
  </r>
  <r>
    <x v="1"/>
    <s v="COP"/>
    <n v="110437"/>
    <n v="94.17"/>
    <n v="6.79"/>
    <n v="50.79"/>
    <n v="7.81"/>
    <n v="13.868924889543447"/>
    <n v="1.8541051388068519"/>
    <n v="16.21"/>
    <n v="8.4"/>
    <n v="1.89"/>
    <n v="12.057618437900128"/>
    <s v="YES"/>
    <n v="-0.40946187852851179"/>
    <n v="-0.22808305279363422"/>
    <n v="0.45006990056585128"/>
    <n v="0.93640430817400599"/>
    <n v="-0.75256902147467986"/>
    <n v="-0.66162715990907395"/>
    <x v="0"/>
    <x v="0"/>
    <x v="0"/>
    <x v="0"/>
    <x v="0"/>
    <x v="0"/>
  </r>
  <r>
    <x v="1"/>
    <s v="CTRA"/>
    <n v="17204"/>
    <n v="24.76"/>
    <n v="1.7"/>
    <n v="18.809999999999999"/>
    <n v="1.72"/>
    <n v="14.564705882352943"/>
    <n v="1.3163211057947901"/>
    <n v="9.4"/>
    <n v="4.58"/>
    <n v="1.68"/>
    <n v="14.395348837209303"/>
    <s v="NO"/>
    <n v="-0.34993090370981533"/>
    <n v="-0.91657184443018114"/>
    <n v="-0.43165909843071948"/>
    <n v="-0.30066839836696879"/>
    <n v="-0.972869677611642"/>
    <n v="-0.40390041950857303"/>
    <x v="0"/>
    <x v="0"/>
    <x v="0"/>
    <x v="0"/>
    <x v="0"/>
    <x v="0"/>
  </r>
  <r>
    <x v="1"/>
    <s v="DVN"/>
    <n v="19419"/>
    <n v="34.29"/>
    <n v="-1.35"/>
    <n v="22.27"/>
    <n v="4.5599999999999996"/>
    <n v="-25.4"/>
    <n v="1.5397395599461159"/>
    <n v="21.86"/>
    <n v="9.31"/>
    <n v="2.1"/>
    <n v="7.5197368421052637"/>
    <s v="NO"/>
    <n v="-3.7693084436340296"/>
    <n v="-0.63054419748347168"/>
    <n v="1.1816071757979545"/>
    <n v="1.2310996387897879"/>
    <n v="-0.53226836533771738"/>
    <n v="-1.1619130065376007"/>
    <x v="1"/>
    <x v="0"/>
    <x v="0"/>
    <x v="0"/>
    <x v="0"/>
    <x v="0"/>
  </r>
  <r>
    <x v="1"/>
    <s v="EOG"/>
    <n v="58776"/>
    <n v="116.65"/>
    <n v="9.84"/>
    <n v="53.55"/>
    <n v="10.8"/>
    <n v="11.854674796747968"/>
    <n v="2.1783380018674139"/>
    <n v="20.9"/>
    <n v="10.51"/>
    <n v="1.59"/>
    <n v="10.800925925925926"/>
    <s v="NO"/>
    <n v="-0.58180098061949959"/>
    <n v="0.18701051338596547"/>
    <n v="1.0573105768204643"/>
    <n v="1.6197088659754342"/>
    <n v="-1.0672842445274828"/>
    <n v="-0.80017318937959792"/>
    <x v="0"/>
    <x v="0"/>
    <x v="0"/>
    <x v="0"/>
    <x v="0"/>
    <x v="0"/>
  </r>
  <r>
    <x v="1"/>
    <s v="EQT"/>
    <n v="32176"/>
    <n v="56.2"/>
    <n v="2.16"/>
    <n v="34.61"/>
    <n v="0.66"/>
    <n v="26.018518518518519"/>
    <n v="1.6238081479341231"/>
    <n v="2.2999999999999998"/>
    <n v="1.25"/>
    <n v="1.92"/>
    <n v="85.151515151515156"/>
    <s v="NO"/>
    <n v="0.63005653295235764"/>
    <n v="-0.52291682849247823"/>
    <n v="-1.3509360283684073"/>
    <n v="-1.3790590038071378"/>
    <n v="-0.72109749916939947"/>
    <n v="7.3967236870225497"/>
    <x v="0"/>
    <x v="0"/>
    <x v="0"/>
    <x v="0"/>
    <x v="0"/>
    <x v="1"/>
  </r>
  <r>
    <x v="1"/>
    <s v="EXE"/>
    <n v="26192"/>
    <n v="113.1"/>
    <n v="2.2400000000000002"/>
    <n v="72.39"/>
    <n v="-5.41"/>
    <n v="50.491071428571423"/>
    <n v="1.5623704931620388"/>
    <n v="-7.1"/>
    <n v="-2.2599999999999998"/>
    <n v="1.62"/>
    <n v="-20.905730129390015"/>
    <s v="NO"/>
    <n v="2.7239265094155778"/>
    <n v="-0.60157133308627109"/>
    <n v="-2.5680068933563316"/>
    <n v="-2.5157409933251538"/>
    <n v="-1.0358127222222024"/>
    <n v="-4.2957230254732712"/>
    <x v="0"/>
    <x v="0"/>
    <x v="0"/>
    <x v="0"/>
    <x v="0"/>
    <x v="1"/>
  </r>
  <r>
    <x v="1"/>
    <s v="FANG"/>
    <n v="37951"/>
    <n v="146.16999999999999"/>
    <n v="8.4"/>
    <n v="133.91999999999999"/>
    <n v="16.37"/>
    <n v="17.401190476190475"/>
    <n v="1.0914725209080047"/>
    <n v="14.67"/>
    <n v="7.19"/>
    <n v="1.82"/>
    <n v="8.9291386682956606"/>
    <s v="YES"/>
    <n v="-0.10724147316425316"/>
    <n v="-1.2044303917411578"/>
    <n v="0.25067743970612738"/>
    <n v="0.54455667076181247"/>
    <n v="-0.82600257352033368"/>
    <n v="-1.0065313001244462"/>
    <x v="0"/>
    <x v="0"/>
    <x v="0"/>
    <x v="0"/>
    <x v="0"/>
    <x v="0"/>
  </r>
  <r>
    <x v="1"/>
    <s v="HES"/>
    <n v="39779"/>
    <n v="135.69999999999999"/>
    <n v="3.63"/>
    <n v="37.33"/>
    <n v="7.25"/>
    <n v="37.382920110192835"/>
    <n v="3.6351459951781409"/>
    <n v="22.75"/>
    <n v="9.99"/>
    <n v="2.36"/>
    <n v="18.717241379310344"/>
    <s v="NO"/>
    <n v="1.6023939666780751"/>
    <n v="2.0520639798180365"/>
    <n v="1.2968404811000027"/>
    <n v="1.4513115341949876"/>
    <n v="-0.25951517202528823"/>
    <n v="7.257337642875851E-2"/>
    <x v="0"/>
    <x v="0"/>
    <x v="0"/>
    <x v="0"/>
    <x v="0"/>
    <x v="0"/>
  </r>
  <r>
    <x v="1"/>
    <s v="TPL"/>
    <n v="30523"/>
    <n v="1378.64"/>
    <n v="2.85"/>
    <n v="49.3"/>
    <n v="19.72"/>
    <n v="483.73333333333335"/>
    <n v="27.964300202839759"/>
    <n v="41.73"/>
    <n v="28.3"/>
    <n v="1.1000000000000001"/>
    <n v="69.910750507099394"/>
    <s v="NO"/>
    <n v="39.792105218501263"/>
    <n v="33.199046697314351"/>
    <n v="3.7542878233841304"/>
    <n v="7.3808406590026436"/>
    <n v="-1.5813191088470613"/>
    <n v="5.716481776245657"/>
    <x v="1"/>
    <x v="1"/>
    <x v="1"/>
    <x v="1"/>
    <x v="0"/>
    <x v="1"/>
  </r>
  <r>
    <x v="1"/>
    <s v="VG"/>
    <n v="21655"/>
    <n v="10.72"/>
    <m/>
    <m/>
    <m/>
    <s v=""/>
    <s v=""/>
    <n v="30.72"/>
    <n v="3.06"/>
    <n v="15.01"/>
    <s v=""/>
    <s v="NO"/>
    <e v="#VALUE!"/>
    <e v="#VALUE!"/>
    <n v="2.3287612038610406"/>
    <n v="-0.79290675280212097"/>
    <n v="13.010976733367912"/>
    <e v="#VALUE!"/>
    <x v="1"/>
    <x v="1"/>
    <x v="0"/>
    <x v="0"/>
    <x v="1"/>
    <x v="1"/>
  </r>
  <r>
    <x v="1"/>
    <s v="WDS"/>
    <n v="24551"/>
    <n v="14.2"/>
    <n v="-0.05"/>
    <n v="18.64"/>
    <n v="1.87"/>
    <n v="-283.99999999999994"/>
    <n v="0.7618025751072961"/>
    <n v="10.220000000000001"/>
    <n v="3.86"/>
    <n v="1.73"/>
    <n v="7.593582887700534"/>
    <s v="NO"/>
    <n v="-25.895107002678518"/>
    <n v="-1.6264846899172531"/>
    <n v="-0.32548908680411331"/>
    <n v="-0.53383393467835671"/>
    <n v="-0.92041714043617473"/>
    <n v="-1.1537717338620344"/>
    <x v="1"/>
    <x v="0"/>
    <x v="0"/>
    <x v="0"/>
    <x v="0"/>
    <x v="0"/>
  </r>
  <r>
    <x v="1"/>
    <s v="MPC"/>
    <n v="44940"/>
    <n v="162.84"/>
    <n v="18.04"/>
    <n v="56.16"/>
    <n v="10.08"/>
    <n v="9.0266075388026614"/>
    <n v="2.8995726495726499"/>
    <n v="18.13"/>
    <n v="4.37"/>
    <n v="4.4400000000000004"/>
    <n v="16.154761904761905"/>
    <s v="NO"/>
    <n v="-0.82377022447381965"/>
    <n v="1.1103588104780275"/>
    <n v="0.6986630985208313"/>
    <n v="-0.36867501312445689"/>
    <n v="1.9225103744741474"/>
    <n v="-0.20993117692509231"/>
    <x v="0"/>
    <x v="0"/>
    <x v="0"/>
    <x v="0"/>
    <x v="0"/>
    <x v="0"/>
  </r>
  <r>
    <x v="1"/>
    <s v="PSX"/>
    <n v="42940"/>
    <n v="125.57"/>
    <n v="7.13"/>
    <n v="66.91"/>
    <n v="4.42"/>
    <n v="17.611500701262273"/>
    <n v="1.8767000448363473"/>
    <n v="6.56"/>
    <n v="0.95"/>
    <n v="2.63"/>
    <n v="28.409502262443439"/>
    <s v="NO"/>
    <n v="-8.9247344491221847E-2"/>
    <n v="-0.19915631158441777"/>
    <n v="-0.79936987040579466"/>
    <n v="-1.4762113106035495"/>
    <n v="2.3728528722234608E-2"/>
    <n v="1.1411118209214797"/>
    <x v="0"/>
    <x v="0"/>
    <x v="0"/>
    <x v="0"/>
    <x v="0"/>
    <x v="0"/>
  </r>
  <r>
    <x v="1"/>
    <s v="VLO"/>
    <n v="36559"/>
    <n v="135.11000000000001"/>
    <n v="15.21"/>
    <n v="75"/>
    <n v="2.91"/>
    <n v="8.8829717291255754"/>
    <n v="1.8014666666666668"/>
    <n v="3.71"/>
    <n v="2.46"/>
    <n v="2.52"/>
    <n v="46.429553264604813"/>
    <s v="NO"/>
    <n v="-0.83605969466245256"/>
    <n v="-0.29547255462471084"/>
    <n v="-1.1683753986202186"/>
    <n v="-0.98721136639494433"/>
    <n v="-9.166705306379308E-2"/>
    <n v="3.1277604986348115"/>
    <x v="0"/>
    <x v="0"/>
    <x v="0"/>
    <x v="0"/>
    <x v="0"/>
    <x v="0"/>
  </r>
  <r>
    <x v="1"/>
    <s v="CQP"/>
    <n v="28235"/>
    <n v="58.84"/>
    <n v="5.81"/>
    <n v="3.76"/>
    <n v="4.26"/>
    <n v="10.127366609294322"/>
    <n v="15.648936170212767"/>
    <n v="-388.24"/>
    <n v="11.53"/>
    <n v="9.58"/>
    <n v="13.812206572769954"/>
    <s v="NO"/>
    <n v="-0.72958935264188018"/>
    <n v="17.43251295718493"/>
    <n v="-51.916346199898619"/>
    <n v="1.9500267090832337"/>
    <n v="7.3146311961121748"/>
    <n v="-0.46818984956780191"/>
    <x v="0"/>
    <x v="1"/>
    <x v="1"/>
    <x v="0"/>
    <x v="1"/>
    <x v="0"/>
  </r>
  <r>
    <x v="1"/>
    <s v="DTM"/>
    <n v="10274"/>
    <n v="102.42"/>
    <n v="4.5199999999999996"/>
    <n v="45.69"/>
    <n v="3.68"/>
    <n v="22.659292035398234"/>
    <n v="2.241628365068943"/>
    <n v="8.32"/>
    <n v="3.4"/>
    <n v="2.14"/>
    <n v="27.831521739130434"/>
    <s v="NO"/>
    <n v="0.34264134161543996"/>
    <n v="0.26803691619454728"/>
    <n v="-0.57149277228039597"/>
    <n v="-0.68280080509952124"/>
    <n v="-0.49030633559734366"/>
    <n v="1.0773914550775583"/>
    <x v="0"/>
    <x v="0"/>
    <x v="0"/>
    <x v="0"/>
    <x v="0"/>
    <x v="0"/>
  </r>
  <r>
    <x v="1"/>
    <s v="ENB"/>
    <n v="101812"/>
    <n v="44.57"/>
    <n v="1.71"/>
    <n v="18.87"/>
    <n v="1.63"/>
    <n v="26.064327485380119"/>
    <n v="2.3619501854795972"/>
    <n v="8.44"/>
    <n v="3.14"/>
    <n v="3.71"/>
    <n v="27.343558282208591"/>
    <s v="NO"/>
    <n v="0.63397594506750732"/>
    <n v="0.4220768646810486"/>
    <n v="-0.55595569740820971"/>
    <n v="-0.76699947098974453"/>
    <n v="1.1567033317123261"/>
    <n v="1.0235951613628551"/>
    <x v="0"/>
    <x v="0"/>
    <x v="0"/>
    <x v="0"/>
    <x v="0"/>
    <x v="0"/>
  </r>
  <r>
    <x v="1"/>
    <s v="EPD"/>
    <n v="65339"/>
    <n v="31.76"/>
    <n v="1.65"/>
    <n v="13.27"/>
    <n v="2.66"/>
    <n v="19.24848484848485"/>
    <n v="2.3933685003767899"/>
    <n v="20.43"/>
    <n v="5.89"/>
    <n v="2.69"/>
    <n v="11.93984962406015"/>
    <s v="NO"/>
    <n v="5.0812908740781169E-2"/>
    <n v="0.4622996238761688"/>
    <n v="0.9964570335710683"/>
    <n v="0.12356334131069519"/>
    <n v="8.6671573332795293E-2"/>
    <n v="-0.67461076679581355"/>
    <x v="0"/>
    <x v="0"/>
    <x v="0"/>
    <x v="0"/>
    <x v="0"/>
    <x v="0"/>
  </r>
  <r>
    <x v="1"/>
    <s v="ET"/>
    <n v="57936"/>
    <n v="18"/>
    <n v="2.0499999999999998"/>
    <n v="9.11"/>
    <n v="1.28"/>
    <n v="8.7804878048780495"/>
    <n v="1.9758507135016468"/>
    <n v="14.4"/>
    <n v="4.8"/>
    <n v="4.01"/>
    <n v="14.0625"/>
    <s v="NO"/>
    <n v="-0.84482821230917005"/>
    <n v="-7.2220367285386181E-2"/>
    <n v="0.21571902124370834"/>
    <n v="-0.22942337338293367"/>
    <n v="1.4714185547651291"/>
    <n v="-0.4405958596180915"/>
    <x v="0"/>
    <x v="0"/>
    <x v="0"/>
    <x v="0"/>
    <x v="0"/>
    <x v="0"/>
  </r>
  <r>
    <x v="1"/>
    <s v="KMI"/>
    <n v="61215"/>
    <n v="27.5"/>
    <n v="0.96"/>
    <n v="13.77"/>
    <n v="1.1599999999999999"/>
    <n v="28.645833333333336"/>
    <n v="1.9970951343500363"/>
    <n v="8.4499999999999993"/>
    <n v="3.73"/>
    <n v="2.36"/>
    <n v="23.706896551724139"/>
    <s v="NO"/>
    <n v="0.85484941131193193"/>
    <n v="-4.502256158445362E-2"/>
    <n v="-0.55466094116886089"/>
    <n v="-0.57593326762346841"/>
    <n v="-0.25951517202528823"/>
    <n v="0.62266570687401623"/>
    <x v="0"/>
    <x v="0"/>
    <x v="0"/>
    <x v="0"/>
    <x v="0"/>
    <x v="0"/>
  </r>
  <r>
    <x v="1"/>
    <s v="LNG"/>
    <n v="52959"/>
    <n v="232.72"/>
    <n v="13.82"/>
    <n v="25.44"/>
    <n v="14.2"/>
    <n v="16.839363241678726"/>
    <n v="9.1477987421383649"/>
    <n v="47.09"/>
    <n v="8.75"/>
    <n v="7.7"/>
    <n v="16.388732394366198"/>
    <s v="NO"/>
    <n v="-0.15531137345733909"/>
    <n v="9.1095431824060569"/>
    <n v="4.4482771676751174"/>
    <n v="1.0497486661031528"/>
    <n v="5.3424157983146081"/>
    <n v="-0.18413673473730066"/>
    <x v="0"/>
    <x v="1"/>
    <x v="1"/>
    <x v="0"/>
    <x v="1"/>
    <x v="0"/>
  </r>
  <r>
    <x v="1"/>
    <s v="MPLX"/>
    <n v="50215"/>
    <n v="50.44"/>
    <n v="4.7699999999999996"/>
    <n v="13.35"/>
    <n v="4.21"/>
    <n v="10.574423480083858"/>
    <n v="3.7782771535580522"/>
    <n v="31.58"/>
    <n v="7.57"/>
    <n v="2.76"/>
    <n v="11.980997624703088"/>
    <s v="NO"/>
    <n v="-0.69133919692832235"/>
    <n v="2.2353051923296658"/>
    <n v="2.4401102404450419"/>
    <n v="0.66761625937060043"/>
    <n v="0.1601051253784492"/>
    <n v="-0.67007434117426368"/>
    <x v="0"/>
    <x v="0"/>
    <x v="0"/>
    <x v="0"/>
    <x v="0"/>
    <x v="0"/>
  </r>
  <r>
    <x v="1"/>
    <s v="OKE"/>
    <n v="49914"/>
    <n v="86.51"/>
    <n v="5.17"/>
    <n v="34.200000000000003"/>
    <n v="5.1100000000000003"/>
    <n v="16.733075435203094"/>
    <n v="2.5295321637426902"/>
    <n v="16.41"/>
    <n v="6.05"/>
    <n v="3.01"/>
    <n v="16.92954990215264"/>
    <s v="NO"/>
    <n v="-0.16440535101094514"/>
    <n v="0.63662082030613343"/>
    <n v="0.47596502535282831"/>
    <n v="0.17537790493544811"/>
    <n v="0.42236781125578515"/>
    <n v="-0.12451346360453372"/>
    <x v="0"/>
    <x v="0"/>
    <x v="0"/>
    <x v="0"/>
    <x v="0"/>
    <x v="0"/>
  </r>
  <r>
    <x v="1"/>
    <s v="PAA"/>
    <n v="11760"/>
    <n v="17.579999999999998"/>
    <n v="2.2999999999999998"/>
    <n v="10.67"/>
    <n v="0.73"/>
    <n v="7.6434782608695651"/>
    <n v="1.6476101218369259"/>
    <n v="8.3000000000000007"/>
    <n v="3.9"/>
    <n v="3.54"/>
    <n v="24.082191780821915"/>
    <s v="NO"/>
    <n v="-0.94211067221034084"/>
    <n v="-0.49244475932537857"/>
    <n v="-0.57408228475909362"/>
    <n v="-0.52088029377216849"/>
    <n v="0.9783647053157376"/>
    <n v="0.66404071577658774"/>
    <x v="0"/>
    <x v="0"/>
    <x v="0"/>
    <x v="0"/>
    <x v="0"/>
    <x v="0"/>
  </r>
  <r>
    <x v="1"/>
    <s v="PBA"/>
    <n v="22882"/>
    <n v="37.18"/>
    <n v="2.5499999999999998"/>
    <n v="18.37"/>
    <n v="2.09"/>
    <n v="14.580392156862747"/>
    <n v="2.023952095808383"/>
    <n v="11.25"/>
    <n v="4.68"/>
    <n v="2.34"/>
    <n v="17.789473684210527"/>
    <s v="NO"/>
    <n v="-0.3485887871206978"/>
    <n v="-1.0639396956225034E-2"/>
    <n v="-0.19212919415118124"/>
    <n v="-0.26828429610149834"/>
    <n v="-0.28049618689547512"/>
    <n v="-2.9709822685057809E-2"/>
    <x v="0"/>
    <x v="0"/>
    <x v="0"/>
    <x v="0"/>
    <x v="0"/>
    <x v="0"/>
  </r>
  <r>
    <x v="1"/>
    <s v="TRGP"/>
    <n v="34258"/>
    <n v="169.5"/>
    <n v="2.92"/>
    <n v="11.27"/>
    <n v="5.44"/>
    <n v="58.047945205479451"/>
    <n v="15.039929015084295"/>
    <n v="41.98"/>
    <n v="7.44"/>
    <n v="9.3000000000000007"/>
    <n v="31.158088235294116"/>
    <s v="NO"/>
    <n v="3.3704921201038718"/>
    <n v="16.652841984091893"/>
    <n v="3.7866567293678517"/>
    <n v="0.62551692642548884"/>
    <n v="7.0208969879295591"/>
    <n v="1.4441339759581253"/>
    <x v="1"/>
    <x v="1"/>
    <x v="1"/>
    <x v="0"/>
    <x v="1"/>
    <x v="0"/>
  </r>
  <r>
    <x v="1"/>
    <s v="TRP"/>
    <n v="52978"/>
    <n v="48.57"/>
    <n v="0.39"/>
    <n v="16.84"/>
    <n v="2.8"/>
    <n v="124.53846153846153"/>
    <n v="2.8842042755344419"/>
    <n v="12.74"/>
    <n v="2.95"/>
    <n v="4.78"/>
    <n v="17.346428571428572"/>
    <s v="NO"/>
    <n v="9.0594162131836065"/>
    <n v="1.0906837130012177"/>
    <n v="7.8948551179828467E-4"/>
    <n v="-0.82852926529413851"/>
    <n v="2.2791876272673242"/>
    <n v="-7.8554023368510709E-2"/>
    <x v="1"/>
    <x v="0"/>
    <x v="0"/>
    <x v="0"/>
    <x v="0"/>
    <x v="0"/>
  </r>
  <r>
    <x v="1"/>
    <s v="WES"/>
    <n v="13644"/>
    <n v="39.369999999999997"/>
    <n v="3.43"/>
    <n v="8.4700000000000006"/>
    <n v="4.0199999999999996"/>
    <n v="11.47813411078717"/>
    <n v="4.6481700118063749"/>
    <n v="50.32"/>
    <n v="7.65"/>
    <n v="4.08"/>
    <n v="9.7935323383084576"/>
    <s v="NO"/>
    <n v="-0.614017776314987"/>
    <n v="3.3489706157417753"/>
    <n v="4.8664834329847979"/>
    <n v="0.69352354118297699"/>
    <n v="1.5448521068107834"/>
    <n v="-0.91123486942351606"/>
    <x v="0"/>
    <x v="0"/>
    <x v="1"/>
    <x v="0"/>
    <x v="0"/>
    <x v="0"/>
  </r>
  <r>
    <x v="1"/>
    <s v="WMB"/>
    <n v="71844"/>
    <n v="58.07"/>
    <n v="1.66"/>
    <n v="10.199999999999999"/>
    <n v="1.86"/>
    <n v="34.981927710843372"/>
    <n v="5.693137254901961"/>
    <n v="16.2"/>
    <n v="3.99"/>
    <n v="4.41"/>
    <n v="31.22043010752688"/>
    <s v="NO"/>
    <n v="1.3969652189216826"/>
    <n v="4.686772019902314"/>
    <n v="0.44877514432650223"/>
    <n v="-0.4917346017332449"/>
    <n v="1.8910388521688668"/>
    <n v="1.4510069530669327"/>
    <x v="0"/>
    <x v="1"/>
    <x v="0"/>
    <x v="0"/>
    <x v="0"/>
    <x v="0"/>
  </r>
  <r>
    <x v="1"/>
    <s v="CCJ"/>
    <n v="21561"/>
    <n v="51.96"/>
    <n v="1.1599999999999999"/>
    <n v="10.36"/>
    <n v="0.4"/>
    <n v="44.793103448275865"/>
    <n v="5.0154440154440154"/>
    <n v="3.95"/>
    <n v="3.54"/>
    <n v="1.45"/>
    <n v="129.9"/>
    <s v="NO"/>
    <n v="2.2364087533138561"/>
    <n v="3.8191668644993588"/>
    <n v="-1.1373012488758458"/>
    <n v="-0.6374630619278624"/>
    <n v="-1.2141513486187911"/>
    <n v="12.330090315299831"/>
    <x v="0"/>
    <x v="1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s v="PTEN"/>
    <n v="2144"/>
    <n v="6.37"/>
    <n v="1.03"/>
    <n v="8.8800000000000008"/>
    <n v="-2.61"/>
    <n v="6.1844660194174761"/>
    <n v="0.71734234234234229"/>
    <n v="-24.84"/>
    <n v="0.57999999999999996"/>
    <n v="1.68"/>
    <n v="-2.4406130268199235"/>
    <s v="NO"/>
    <n v="-0.91276965228429585"/>
    <n v="-1.2895158941804006"/>
    <n v="-1.6302926345363995"/>
    <n v="-3.4434603870353957"/>
    <n v="-0.63618812229486266"/>
    <n v="-1.6232889860968231"/>
    <x v="0"/>
    <x v="0"/>
    <x v="0"/>
    <x v="0"/>
    <x v="0"/>
    <x v="0"/>
  </r>
  <r>
    <x v="0"/>
    <s v="VAL"/>
    <n v="2577"/>
    <n v="38.869999999999997"/>
    <n v="1.1299999999999999"/>
    <n v="31.04"/>
    <n v="4.29"/>
    <n v="34.398230088495573"/>
    <n v="1.2522551546391751"/>
    <n v="14.38"/>
    <n v="6.95"/>
    <n v="1.99"/>
    <n v="9.0606060606060606"/>
    <s v="NO"/>
    <n v="0.69871265152827411"/>
    <n v="-0.7395094489410472"/>
    <n v="-0.36665474666055786"/>
    <n v="-0.32919024996741536"/>
    <n v="7.664917136082651E-2"/>
    <n v="-0.54120311738351923"/>
    <x v="0"/>
    <x v="0"/>
    <x v="1"/>
    <x v="1"/>
    <x v="0"/>
    <x v="0"/>
  </r>
  <r>
    <x v="0"/>
    <s v="AROC"/>
    <n v="4158"/>
    <n v="25.46"/>
    <n v="0.44"/>
    <n v="7.56"/>
    <n v="1.2"/>
    <n v="57.863636363636367"/>
    <n v="3.3677248677248679"/>
    <n v="15.7"/>
    <n v="7.07"/>
    <n v="2.89"/>
    <n v="21.216666666666669"/>
    <s v="NO"/>
    <n v="2.0389835516314454"/>
    <n v="1.4356524655956282"/>
    <n v="-0.32412537358569532"/>
    <n v="-0.27052268066629165"/>
    <n v="2.1461767981031499"/>
    <n v="0.60249315525087632"/>
    <x v="0"/>
    <x v="0"/>
    <x v="1"/>
    <x v="1"/>
    <x v="0"/>
    <x v="0"/>
  </r>
  <r>
    <x v="0"/>
    <s v="CHX"/>
    <n v="4643"/>
    <n v="26.26"/>
    <n v="1.8"/>
    <n v="10.01"/>
    <n v="1.51"/>
    <n v="14.588888888888889"/>
    <n v="2.6233766233766236"/>
    <n v="16.829999999999998"/>
    <n v="9.44"/>
    <n v="1.83"/>
    <n v="17.390728476821192"/>
    <s v="NO"/>
    <n v="-0.43273520190925996"/>
    <n v="0.67030094945555518"/>
    <n v="-0.28771765269585087"/>
    <n v="0.88816181303089992"/>
    <n v="-0.29126685117114182"/>
    <n v="0.24253186607514826"/>
    <x v="0"/>
    <x v="0"/>
    <x v="1"/>
    <x v="1"/>
    <x v="0"/>
    <x v="0"/>
  </r>
  <r>
    <x v="0"/>
    <s v="KGS"/>
    <n v="2992"/>
    <n v="36.4"/>
    <n v="-0.11"/>
    <n v="15.49"/>
    <n v="0.56000000000000005"/>
    <n v="-330.90909090909088"/>
    <n v="2.3499031633311813"/>
    <n v="4"/>
    <n v="5.66"/>
    <n v="3.26"/>
    <n v="64.999999999999986"/>
    <s v="NO"/>
    <n v="-20.166503411080715"/>
    <n v="0.38911088975021102"/>
    <n v="-0.70109027129470469"/>
    <n v="-0.95986661995449463"/>
    <n v="2.9969826002083262"/>
    <n v="4.7218239779252009"/>
    <x v="1"/>
    <x v="0"/>
    <x v="1"/>
    <x v="1"/>
    <x v="1"/>
    <x v="1"/>
  </r>
  <r>
    <x v="0"/>
    <s v="NOV"/>
    <n v="4439"/>
    <n v="13.07"/>
    <n v="2.96"/>
    <n v="17.03"/>
    <n v="1.5"/>
    <n v="4.4155405405405403"/>
    <n v="0.76746917204932463"/>
    <n v="9.18"/>
    <n v="5.46"/>
    <n v="1.75"/>
    <n v="8.7133333333333329"/>
    <s v="NO"/>
    <n v="-1.0138051645609996"/>
    <n v="-1.2379746358959447"/>
    <n v="-0.53419470119789536"/>
    <n v="-1.057645902123034"/>
    <n v="-0.47522486243712625"/>
    <n v="-0.57387608082460162"/>
    <x v="0"/>
    <x v="0"/>
    <x v="1"/>
    <x v="1"/>
    <x v="0"/>
    <x v="0"/>
  </r>
  <r>
    <x v="0"/>
    <s v="USAC"/>
    <n v="2709"/>
    <n v="24.6"/>
    <n v="0.99"/>
    <n v="-1.2"/>
    <n v="0.72"/>
    <n v="24.848484848484851"/>
    <n v="-20.500000000000004"/>
    <n v="94.47"/>
    <n v="6.9"/>
    <n v="-19.46"/>
    <n v="34.166666666666671"/>
    <s v="NO"/>
    <n v="0.15326095559302641"/>
    <n v="-23.105547910744644"/>
    <n v="2.2137827454347034"/>
    <n v="-0.35363507050955012"/>
    <n v="-49.247092599331211"/>
    <n v="1.8208867788587759"/>
    <x v="0"/>
    <x v="1"/>
    <x v="1"/>
    <x v="0"/>
    <x v="1"/>
    <x v="0"/>
  </r>
  <r>
    <x v="0"/>
    <s v="WHD"/>
    <n v="2730"/>
    <n v="44.1"/>
    <n v="3.43"/>
    <n v="16.2"/>
    <n v="2.83"/>
    <n v="12.857142857142858"/>
    <n v="2.7222222222222223"/>
    <n v="19.7"/>
    <n v="11.16"/>
    <n v="1.6"/>
    <n v="15.583038869257951"/>
    <s v="NO"/>
    <n v="-0.53164713999819135"/>
    <n v="0.77193567421599774"/>
    <n v="-0.19524848548005108"/>
    <n v="1.7290636396803392"/>
    <n v="-0.82014613356084654"/>
    <n v="7.2456384120142991E-2"/>
    <x v="0"/>
    <x v="0"/>
    <x v="0"/>
    <x v="1"/>
    <x v="0"/>
    <x v="0"/>
  </r>
  <r>
    <x v="1"/>
    <s v="APA"/>
    <n v="5570"/>
    <n v="18.46"/>
    <n v="2.0099999999999998"/>
    <n v="14.45"/>
    <n v="2.27"/>
    <n v="9.1840796019900512"/>
    <n v="1.2775086505190312"/>
    <n v="22.24"/>
    <n v="7.47"/>
    <n v="3.67"/>
    <n v="8.1321585903083697"/>
    <s v="NO"/>
    <n v="0.22781908121068098"/>
    <n v="-0.39900937912769635"/>
    <n v="0.30414127910712474"/>
    <n v="0.51303550238466811"/>
    <n v="2.1278938326846677"/>
    <n v="-0.1142236841251241"/>
    <x v="0"/>
    <x v="0"/>
    <x v="1"/>
    <x v="1"/>
    <x v="0"/>
    <x v="0"/>
  </r>
  <r>
    <x v="1"/>
    <s v="BSM"/>
    <n v="2893"/>
    <n v="13.94"/>
    <n v="1.17"/>
    <n v="3.93"/>
    <n v="1.1499999999999999"/>
    <n v="11.914529914529915"/>
    <n v="3.5470737913486001"/>
    <n v="23.12"/>
    <n v="13.73"/>
    <n v="1.47"/>
    <n v="12.121739130434783"/>
    <s v="NO"/>
    <n v="0.41510933759893787"/>
    <n v="1.5886072543394305"/>
    <n v="0.32346237665124855"/>
    <n v="1.8507850577019733"/>
    <n v="-0.96552010910361585"/>
    <n v="0.57756333421928874"/>
    <x v="0"/>
    <x v="0"/>
    <x v="1"/>
    <x v="1"/>
    <x v="0"/>
    <x v="0"/>
  </r>
  <r>
    <x v="1"/>
    <s v="CHRD"/>
    <n v="5356"/>
    <n v="99.49"/>
    <n v="17.73"/>
    <n v="144.87"/>
    <n v="16.02"/>
    <n v="5.6113931190073316"/>
    <n v="0.6867536411955546"/>
    <n v="12.32"/>
    <n v="7.48"/>
    <n v="1.5"/>
    <n v="6.2103620474406993"/>
    <s v="YES"/>
    <n v="-1.7242828291810352E-2"/>
    <n v="-0.91637478173789833"/>
    <n v="8.6339815882457482E-2"/>
    <n v="0.51517248250498338"/>
    <n v="-0.92333719171559381"/>
    <n v="-0.44746019530303877"/>
    <x v="0"/>
    <x v="0"/>
    <x v="1"/>
    <x v="1"/>
    <x v="0"/>
    <x v="0"/>
  </r>
  <r>
    <x v="1"/>
    <s v="CIVI"/>
    <n v="2512"/>
    <n v="31.8"/>
    <n v="8.98"/>
    <n v="70.569999999999993"/>
    <n v="8.4600000000000009"/>
    <n v="3.5412026726057904"/>
    <n v="0.45061640923905349"/>
    <n v="13.1"/>
    <n v="6.66"/>
    <n v="2.25"/>
    <n v="3.7588652482269502"/>
    <s v="NO"/>
    <n v="-0.15924376407093521"/>
    <n v="-1.123176640637648"/>
    <n v="0.10346533416020348"/>
    <n v="0.33994011263913826"/>
    <n v="0.13123574298495738"/>
    <n v="-0.87254590146983668"/>
    <x v="0"/>
    <x v="0"/>
    <x v="1"/>
    <x v="1"/>
    <x v="0"/>
    <x v="0"/>
  </r>
  <r>
    <x v="1"/>
    <s v="CNX"/>
    <n v="4549"/>
    <n v="32.64"/>
    <n v="2.29"/>
    <n v="25.92"/>
    <n v="-1.97"/>
    <n v="14.253275109170305"/>
    <n v="1.2592592592592593"/>
    <n v="-7.3"/>
    <n v="-2.11"/>
    <n v="2.4"/>
    <n v="-16.568527918781726"/>
    <s v="NO"/>
    <n v="0.57553129624778521"/>
    <n v="-0.41499164505433717"/>
    <n v="-0.34443283618084625"/>
    <n v="-1.534191452877278"/>
    <n v="0.3421503299250675"/>
    <n v="-4.3972840458146933"/>
    <x v="0"/>
    <x v="0"/>
    <x v="1"/>
    <x v="1"/>
    <x v="0"/>
    <x v="1"/>
  </r>
  <r>
    <x v="1"/>
    <s v="CRC"/>
    <n v="3468"/>
    <n v="43.8"/>
    <n v="4.4800000000000004"/>
    <n v="38.840000000000003"/>
    <n v="4.62"/>
    <n v="9.7767857142857135"/>
    <n v="1.1277033985581872"/>
    <n v="13.06"/>
    <n v="7.63"/>
    <n v="2.02"/>
    <n v="9.4805194805194795"/>
    <s v="NO"/>
    <n v="0.26847467535386166"/>
    <n v="-0.53020429626026744"/>
    <n v="0.10258710245365242"/>
    <n v="0.54722718430971107"/>
    <n v="-0.19216662365654494"/>
    <n v="0.1195799828292485"/>
    <x v="0"/>
    <x v="0"/>
    <x v="1"/>
    <x v="1"/>
    <x v="0"/>
    <x v="0"/>
  </r>
  <r>
    <x v="1"/>
    <s v="CRGY"/>
    <n v="2015"/>
    <n v="9.5"/>
    <n v="-5.17"/>
    <n v="16.7"/>
    <n v="-0.62"/>
    <n v="-1.8375241779497098"/>
    <n v="0.56886227544910184"/>
    <n v="-2.4900000000000002"/>
    <n v="1.4"/>
    <n v="3.03"/>
    <n v="-15.32258064516129"/>
    <s v="NO"/>
    <n v="-0.52818771674293008"/>
    <n v="-1.0196204807858475"/>
    <n v="-0.23882547346807914"/>
    <n v="-0.78411143064664857"/>
    <n v="1.2279915950735303"/>
    <n v="-4.1812387396069077"/>
    <x v="0"/>
    <x v="0"/>
    <x v="1"/>
    <x v="1"/>
    <x v="0"/>
    <x v="1"/>
  </r>
  <r>
    <x v="1"/>
    <s v="CRK"/>
    <n v="6514"/>
    <n v="23.65"/>
    <n v="-1.45"/>
    <n v="7.24"/>
    <n v="-1.1200000000000001"/>
    <n v="-16.310344827586206"/>
    <n v="3.2665745856353587"/>
    <n v="-13.44"/>
    <n v="-0.28999999999999998"/>
    <n v="3.11"/>
    <n v="-21.116071428571427"/>
    <s v="NO"/>
    <n v="-1.5209244377456506"/>
    <n v="1.3429545180861013"/>
    <n v="-0.47924140313643671"/>
    <n v="-1.1452610709799147"/>
    <n v="1.3404793747749226"/>
    <n v="-5.1858209693804023"/>
    <x v="0"/>
    <x v="0"/>
    <x v="1"/>
    <x v="1"/>
    <x v="0"/>
    <x v="1"/>
  </r>
  <r>
    <x v="1"/>
    <s v="GPOR"/>
    <n v="3359"/>
    <n v="198.21"/>
    <n v="10.62"/>
    <n v="96.16"/>
    <n v="-14.72"/>
    <n v="18.663841807909606"/>
    <n v="2.0612520798668887"/>
    <n v="-13.22"/>
    <n v="2.78"/>
    <n v="1.67"/>
    <n v="-13.465353260869565"/>
    <s v="NO"/>
    <n v="0.87806607010199034"/>
    <n v="0.28736945553001747"/>
    <n v="-0.47441112875040581"/>
    <n v="-0.4892081740431532"/>
    <n v="-0.68430065985013566"/>
    <n v="-3.8591984194167419"/>
    <x v="0"/>
    <x v="0"/>
    <x v="1"/>
    <x v="1"/>
    <x v="0"/>
    <x v="1"/>
  </r>
  <r>
    <x v="1"/>
    <s v="MGY"/>
    <n v="3855"/>
    <n v="23.32"/>
    <n v="2.4"/>
    <n v="10.3"/>
    <n v="2.0099999999999998"/>
    <n v="9.7166666666666668"/>
    <n v="2.2640776699029126"/>
    <n v="20.91"/>
    <n v="11.52"/>
    <n v="1.48"/>
    <n v="11.601990049751246"/>
    <s v="NO"/>
    <n v="0.26435091899371926"/>
    <n v="0.46499798409519899"/>
    <n v="0.27494007486430144"/>
    <n v="1.3785124511123177"/>
    <n v="-0.95145913664094184"/>
    <n v="0.4874396575076711"/>
    <x v="0"/>
    <x v="0"/>
    <x v="1"/>
    <x v="1"/>
    <x v="0"/>
    <x v="0"/>
  </r>
  <r>
    <x v="1"/>
    <s v="MTDR"/>
    <n v="4980"/>
    <n v="46.36"/>
    <n v="4.4000000000000004"/>
    <n v="42.23"/>
    <n v="7.44"/>
    <n v="10.536363636363635"/>
    <n v="1.0977977740942459"/>
    <n v="19.850000000000001"/>
    <n v="9.74"/>
    <n v="2.1"/>
    <n v="6.2311827956989241"/>
    <s v="NO"/>
    <n v="0.32057653676459058"/>
    <n v="-0.55639473933211703"/>
    <n v="0.25166693464069795"/>
    <n v="0.99812998969621491"/>
    <n v="-7.967884395515272E-2"/>
    <n v="-0.4438499101584254"/>
    <x v="0"/>
    <x v="0"/>
    <x v="1"/>
    <x v="1"/>
    <x v="0"/>
    <x v="0"/>
  </r>
  <r>
    <x v="1"/>
    <s v="MUR"/>
    <n v="3004"/>
    <n v="23.33"/>
    <n v="5.47"/>
    <n v="35.61"/>
    <n v="2.72"/>
    <n v="4.2650822669104205"/>
    <n v="0.65515304689693898"/>
    <n v="8.98"/>
    <n v="3.8"/>
    <n v="1.86"/>
    <n v="8.5772058823529402"/>
    <s v="NO"/>
    <n v="-0.10959056430791547"/>
    <n v="-0.94404962822078753"/>
    <n v="1.3007468385442476E-2"/>
    <n v="-0.27123620177100444"/>
    <n v="-0.4171421830593291"/>
    <n v="-3.7053180587423067E-2"/>
    <x v="0"/>
    <x v="0"/>
    <x v="1"/>
    <x v="1"/>
    <x v="0"/>
    <x v="0"/>
  </r>
  <r>
    <x v="1"/>
    <s v="NOG"/>
    <n v="2396"/>
    <n v="29.61"/>
    <n v="-1.22"/>
    <n v="24.45"/>
    <n v="6.43"/>
    <n v="-24.270491803278688"/>
    <n v="1.2110429447852762"/>
    <n v="29.41"/>
    <n v="12.36"/>
    <n v="2.36"/>
    <n v="4.6049766718507001"/>
    <s v="NO"/>
    <n v="-2.06693619306628"/>
    <n v="-0.45721803764773983"/>
    <n v="0.46156431250640556"/>
    <n v="1.5580187812187929"/>
    <n v="0.28590644007437138"/>
    <n v="-0.72583150554557896"/>
    <x v="0"/>
    <x v="0"/>
    <x v="1"/>
    <x v="1"/>
    <x v="0"/>
    <x v="0"/>
  </r>
  <r>
    <x v="1"/>
    <s v="OVV"/>
    <n v="8755"/>
    <n v="39.340000000000003"/>
    <n v="4.58"/>
    <n v="39.67"/>
    <n v="4.21"/>
    <n v="8.5895196506550224"/>
    <n v="0.991681371313335"/>
    <n v="10.87"/>
    <n v="6.56"/>
    <n v="1.86"/>
    <n v="9.3444180522565325"/>
    <s v="NO"/>
    <n v="0.18703632636166692"/>
    <n v="-0.64932828129423104"/>
    <n v="5.4503916519980884E-2"/>
    <n v="0.3185703114359863"/>
    <n v="-0.4171421830593291"/>
    <n v="9.5980208290680907E-2"/>
    <x v="0"/>
    <x v="0"/>
    <x v="1"/>
    <x v="1"/>
    <x v="0"/>
    <x v="0"/>
  </r>
  <r>
    <x v="1"/>
    <s v="PR"/>
    <n v="8393"/>
    <n v="13.95"/>
    <n v="0.45"/>
    <n v="12.99"/>
    <n v="1.45"/>
    <n v="30.999999999999996"/>
    <n v="1.0739030023094687"/>
    <n v="12.66"/>
    <n v="7.29"/>
    <n v="1.85"/>
    <n v="9.6206896551724128"/>
    <s v="NO"/>
    <n v="1.7242423290259377"/>
    <n v="-0.57732105909175369"/>
    <n v="9.3804785388141632E-2"/>
    <n v="0.47456986021899483"/>
    <n v="-0.43120315552200311"/>
    <n v="0.14388527162055983"/>
    <x v="0"/>
    <x v="0"/>
    <x v="1"/>
    <x v="1"/>
    <x v="0"/>
    <x v="0"/>
  </r>
  <r>
    <x v="1"/>
    <s v="RRC"/>
    <n v="8503"/>
    <n v="40.619999999999997"/>
    <n v="1.29"/>
    <n v="16.420000000000002"/>
    <n v="1.1100000000000001"/>
    <n v="31.488372093023251"/>
    <n v="2.473812423873325"/>
    <n v="6.99"/>
    <n v="3.44"/>
    <n v="1.87"/>
    <n v="36.594594594594589"/>
    <s v="NO"/>
    <n v="1.757741321516342"/>
    <n v="0.64867734985041703"/>
    <n v="-3.0684559015473654E-2"/>
    <n v="-0.34816748610235104"/>
    <n v="-0.40308121059665508"/>
    <n v="4.8211181494802542"/>
    <x v="0"/>
    <x v="0"/>
    <x v="1"/>
    <x v="1"/>
    <x v="0"/>
    <x v="1"/>
  </r>
  <r>
    <x v="1"/>
    <s v="SM"/>
    <n v="2416"/>
    <n v="25.63"/>
    <n v="-13.29"/>
    <n v="38.47"/>
    <n v="7.14"/>
    <n v="-1.928517682468021"/>
    <n v="0.6662334286456979"/>
    <n v="20.28"/>
    <n v="9.66"/>
    <n v="2"/>
    <n v="3.5896358543417368"/>
    <s v="NO"/>
    <n v="-0.53442925013126263"/>
    <n v="-0.93434576439560157"/>
    <n v="0.26110792548612199"/>
    <n v="0.98103414873369343"/>
    <n v="-0.220288568581893"/>
    <n v="-0.90189001337198038"/>
    <x v="0"/>
    <x v="0"/>
    <x v="1"/>
    <x v="1"/>
    <x v="0"/>
    <x v="0"/>
  </r>
  <r>
    <x v="1"/>
    <s v="TPZEF"/>
    <n v="2660"/>
    <n v="18.0457"/>
    <n v="-0.77"/>
    <n v="5.97"/>
    <n v="0.22"/>
    <n v="-23.435974025974026"/>
    <n v="3.0227303182579566"/>
    <n v="3.62"/>
    <n v="3.41"/>
    <n v="1.44"/>
    <n v="82.025909090909096"/>
    <s v="NO"/>
    <n v="-2.0096939690440596"/>
    <n v="1.1294030702357107"/>
    <n v="-0.10467558029240197"/>
    <n v="-0.35457842646329657"/>
    <n v="-1.007703026491638"/>
    <n v="12.698836941911718"/>
    <x v="0"/>
    <x v="0"/>
    <x v="1"/>
    <x v="1"/>
    <x v="0"/>
    <x v="1"/>
  </r>
  <r>
    <x v="1"/>
    <s v="VIST"/>
    <n v="4722"/>
    <n v="51.27"/>
    <n v="-2.41"/>
    <n v="16.73"/>
    <n v="4.66"/>
    <n v="-21.273858921161825"/>
    <n v="3.0645546921697551"/>
    <n v="32.69"/>
    <n v="10.95"/>
    <n v="2.73"/>
    <n v="11.002145922746781"/>
    <s v="NO"/>
    <n v="-1.8613876290746201"/>
    <n v="1.166031594253776"/>
    <n v="0.5335793124435938"/>
    <n v="1.2567045842543521"/>
    <n v="0.80616242119331016"/>
    <n v="0.38342762518542661"/>
    <x v="0"/>
    <x v="0"/>
    <x v="1"/>
    <x v="1"/>
    <x v="0"/>
    <x v="0"/>
  </r>
  <r>
    <x v="1"/>
    <s v="VNOM"/>
    <n v="5140"/>
    <n v="43.18"/>
    <n v="-4.45"/>
    <n v="20.36"/>
    <n v="3.82"/>
    <n v="-9.703370786516853"/>
    <n v="2.1208251473477406"/>
    <n v="16.059999999999999"/>
    <n v="7.72"/>
    <n v="2.33"/>
    <n v="11.30366492146597"/>
    <s v="NO"/>
    <n v="-1.0677311104693936"/>
    <n v="0.33954174955296862"/>
    <n v="0.16845448044498323"/>
    <n v="0.56646000539254771"/>
    <n v="0.24372352268634961"/>
    <n v="0.43571054741251652"/>
    <x v="0"/>
    <x v="0"/>
    <x v="1"/>
    <x v="1"/>
    <x v="0"/>
    <x v="0"/>
  </r>
  <r>
    <x v="1"/>
    <s v="VRN"/>
    <n v="3558"/>
    <n v="6.01"/>
    <n v="0.59"/>
    <n v="7.69"/>
    <n v="0.32"/>
    <n v="10.186440677966102"/>
    <n v="0.78153446033810137"/>
    <n v="4.17"/>
    <n v="3.07"/>
    <n v="1.74"/>
    <n v="18.78125"/>
    <s v="NO"/>
    <n v="0.29657421000792872"/>
    <n v="-0.83336860171148763"/>
    <n v="-9.2599894327324656E-2"/>
    <n v="-0.42723575055401286"/>
    <n v="-0.58587385261141744"/>
    <n v="1.7323120908248528"/>
    <x v="0"/>
    <x v="0"/>
    <x v="1"/>
    <x v="1"/>
    <x v="0"/>
    <x v="0"/>
  </r>
  <r>
    <x v="1"/>
    <s v="CSAN"/>
    <n v="2449"/>
    <n v="5.71"/>
    <n v="0.46"/>
    <n v="0.95"/>
    <n v="-0.84"/>
    <n v="12.413043478260869"/>
    <n v="6.0105263157894742"/>
    <n v="-18.670000000000002"/>
    <n v="4.43"/>
    <n v="12.96"/>
    <n v="-6.7976190476190474"/>
    <s v="NO"/>
    <n v="0.44930396576536086"/>
    <n v="3.7460246050243016"/>
    <n v="-0.59407019876799017"/>
    <n v="-0.13660645419114786"/>
    <n v="15.190537250508831"/>
    <n v="-2.7030237478931416"/>
    <x v="0"/>
    <x v="1"/>
    <x v="1"/>
    <x v="1"/>
    <x v="1"/>
    <x v="0"/>
  </r>
  <r>
    <x v="1"/>
    <s v="CVI"/>
    <n v="2067"/>
    <n v="22.99"/>
    <n v="-2.34"/>
    <n v="5.77"/>
    <n v="-1.97"/>
    <n v="-9.8247863247863254"/>
    <n v="3.9844020797227038"/>
    <n v="-16.32"/>
    <n v="-2.94"/>
    <n v="7.33"/>
    <n v="-11.670050761421319"/>
    <s v="NO"/>
    <n v="-1.0760593877456994"/>
    <n v="1.971606166606982"/>
    <n v="-0.54247408600811431"/>
    <n v="-1.7115608028634384"/>
    <n v="7.2742097540233583"/>
    <n v="-3.5478957772898023"/>
    <x v="0"/>
    <x v="0"/>
    <x v="1"/>
    <x v="1"/>
    <x v="1"/>
    <x v="1"/>
  </r>
  <r>
    <x v="1"/>
    <s v="DINO"/>
    <n v="6169"/>
    <n v="36.71"/>
    <n v="1.25"/>
    <n v="48.76"/>
    <n v="-0.75"/>
    <n v="29.368000000000002"/>
    <n v="0.75287120590648082"/>
    <n v="-1.38"/>
    <n v="-0.18"/>
    <n v="1.8"/>
    <n v="-48.946666666666665"/>
    <s v="NO"/>
    <n v="1.6122982672637181"/>
    <n v="-0.85847101461547026"/>
    <n v="-0.21445454361128674"/>
    <n v="-1.1217542896564476"/>
    <n v="-0.50150801783537324"/>
    <n v="-10.011602603532367"/>
    <x v="0"/>
    <x v="0"/>
    <x v="1"/>
    <x v="1"/>
    <x v="0"/>
    <x v="1"/>
  </r>
  <r>
    <x v="1"/>
    <s v="PBF"/>
    <n v="2124"/>
    <n v="22.9"/>
    <n v="-8.68"/>
    <n v="44.22"/>
    <n v="-9.16"/>
    <n v="-2.6382488479262673"/>
    <n v="0.51786521935775665"/>
    <n v="-17.79"/>
    <n v="-5.43"/>
    <n v="2.5499999999999998"/>
    <n v="-2.5"/>
    <s v="NO"/>
    <n v="-0.58311196423704093"/>
    <n v="-1.0642821629387396"/>
    <n v="-0.57474910122386647"/>
    <n v="-2.2436688528219193"/>
    <n v="0.55306491686517756"/>
    <n v="-1.9578233347092699"/>
    <x v="0"/>
    <x v="0"/>
    <x v="0"/>
    <x v="1"/>
    <x v="0"/>
    <x v="0"/>
  </r>
  <r>
    <x v="1"/>
    <s v="SUN"/>
    <n v="7564"/>
    <n v="57.46"/>
    <n v="1.73"/>
    <n v="29.86"/>
    <n v="6"/>
    <n v="33.213872832369944"/>
    <n v="1.9243134628265239"/>
    <n v="34.64"/>
    <n v="5.54"/>
    <n v="3.53"/>
    <n v="9.5766666666666662"/>
    <s v="NO"/>
    <n v="1.8760988958644929"/>
    <n v="0.16744274882446478"/>
    <n v="0.57639310813795896"/>
    <n v="0.10059833916383762"/>
    <n v="1.931040218207231"/>
    <n v="0.13625175434958484"/>
    <x v="0"/>
    <x v="0"/>
    <x v="1"/>
    <x v="1"/>
    <x v="0"/>
    <x v="0"/>
  </r>
  <r>
    <x v="1"/>
    <s v="AM"/>
    <n v="8506"/>
    <n v="18.43"/>
    <n v="1.24"/>
    <n v="4.3600000000000003"/>
    <n v="0.87"/>
    <n v="14.862903225806452"/>
    <n v="4.227064220183486"/>
    <n v="19.71"/>
    <n v="7.3"/>
    <n v="2.75"/>
    <n v="21.183908045977013"/>
    <s v="NO"/>
    <n v="0.61734762439772561"/>
    <n v="2.1841223433915307"/>
    <n v="0.24859312366776914"/>
    <n v="0.47670684033930999"/>
    <n v="0.83428436611865819"/>
    <n v="2.1489292336573635"/>
    <x v="0"/>
    <x v="0"/>
    <x v="1"/>
    <x v="1"/>
    <x v="0"/>
    <x v="0"/>
  </r>
  <r>
    <x v="1"/>
    <s v="DKL"/>
    <n v="2094"/>
    <n v="40.44"/>
    <n v="1.57"/>
    <n v="0.69"/>
    <n v="2.99"/>
    <n v="25.757961783439487"/>
    <n v="58.608695652173914"/>
    <n v="-225.87"/>
    <n v="6.66"/>
    <n v="57.46"/>
    <n v="13.525083612040133"/>
    <s v="NO"/>
    <n v="1.364674283759659"/>
    <n v="49.809913401230048"/>
    <n v="-5.1433104387025734"/>
    <n v="0.33994011263913826"/>
    <n v="77.761864709408201"/>
    <n v="0.82090106982221256"/>
    <x v="0"/>
    <x v="1"/>
    <x v="1"/>
    <x v="0"/>
    <x v="1"/>
    <x v="0"/>
  </r>
  <r>
    <x v="1"/>
    <s v="FRO"/>
    <n v="3804"/>
    <n v="17.84"/>
    <n v="-0.8"/>
    <n v="10.51"/>
    <n v="2.23"/>
    <n v="-22.299999999999997"/>
    <n v="1.697431018078021"/>
    <n v="21.46"/>
    <n v="6.92"/>
    <n v="2.66"/>
    <n v="8"/>
    <s v="NO"/>
    <n v="-1.9317739037720534"/>
    <n v="-3.1254046835243895E-2"/>
    <n v="0.2870157608293788"/>
    <n v="0.39550159576733301"/>
    <n v="0.70773561395459228"/>
    <n v="-0.13713977673648695"/>
    <x v="0"/>
    <x v="0"/>
    <x v="1"/>
    <x v="1"/>
    <x v="0"/>
    <x v="0"/>
  </r>
  <r>
    <x v="1"/>
    <s v="GLNG"/>
    <n v="4081"/>
    <n v="39.840000000000003"/>
    <n v="-1.17"/>
    <n v="19.27"/>
    <n v="0.48"/>
    <n v="-34.051282051282058"/>
    <n v="2.0674623767514273"/>
    <n v="3.25"/>
    <n v="1.26"/>
    <n v="2.17"/>
    <n v="83.000000000000014"/>
    <s v="NO"/>
    <n v="-2.737831651158074"/>
    <n v="0.29280824605619116"/>
    <n v="-0.11279922357799944"/>
    <n v="-0.81402915233106121"/>
    <n v="1.8747963283565164E-2"/>
    <n v="12.867742780211966"/>
    <x v="1"/>
    <x v="0"/>
    <x v="1"/>
    <x v="1"/>
    <x v="0"/>
    <x v="1"/>
  </r>
  <r>
    <x v="1"/>
    <s v="HAFN"/>
    <n v="2482"/>
    <n v="5.16"/>
    <n v="1.92"/>
    <n v="4.5"/>
    <n v="1.5"/>
    <n v="2.6875"/>
    <n v="1.1466666666666667"/>
    <n v="34.479999999999997"/>
    <n v="12.76"/>
    <n v="1.64"/>
    <n v="3.44"/>
    <s v="YES"/>
    <n v="-0.21780194097580949"/>
    <n v="-0.51359683854106164"/>
    <n v="0.57288018131175455"/>
    <n v="1.6434979860314005"/>
    <n v="-0.72648357723815771"/>
    <n v="-0.92783663619895285"/>
    <x v="0"/>
    <x v="0"/>
    <x v="1"/>
    <x v="1"/>
    <x v="0"/>
    <x v="0"/>
  </r>
  <r>
    <x v="1"/>
    <s v="HESM"/>
    <n v="4360"/>
    <n v="38.97"/>
    <n v="7.13"/>
    <n v="5.0999999999999996"/>
    <n v="2.5499999999999998"/>
    <n v="5.465638148667602"/>
    <n v="7.6411764705882357"/>
    <n v="159.08000000000001"/>
    <n v="14.47"/>
    <n v="7.82"/>
    <n v="15.282352941176471"/>
    <s v="NO"/>
    <n v="-2.7240624493931203E-2"/>
    <n v="5.1740987822030524"/>
    <n v="3.308571947218363"/>
    <n v="2.0089215866052972"/>
    <n v="7.9631974046943848"/>
    <n v="1.1256088197734881"/>
    <x v="0"/>
    <x v="1"/>
    <x v="1"/>
    <x v="0"/>
    <x v="1"/>
    <x v="0"/>
  </r>
  <r>
    <x v="1"/>
    <s v="KNTK"/>
    <n v="2439"/>
    <n v="44.97"/>
    <n v="6.1"/>
    <n v="-49.67"/>
    <n v="1.02"/>
    <n v="7.3721311475409834"/>
    <n v="-0.90537547815582842"/>
    <n v="8.7100000000000009"/>
    <n v="1.79"/>
    <n v="-2.29"/>
    <n v="44.088235294117645"/>
    <s v="NO"/>
    <n v="0.10353178360356984"/>
    <n v="-2.3107133989998276"/>
    <n v="7.0794043662227102E-3"/>
    <n v="-0.70076920595435643"/>
    <n v="-6.2524457550690462"/>
    <n v="6.1205037124304722"/>
    <x v="0"/>
    <x v="0"/>
    <x v="1"/>
    <x v="1"/>
    <x v="1"/>
    <x v="1"/>
  </r>
  <r>
    <x v="1"/>
    <s v="PAGP"/>
    <n v="3546"/>
    <n v="18.77"/>
    <n v="9.36"/>
    <n v="6.84"/>
    <n v="0.52"/>
    <n v="2.0053418803418803"/>
    <n v="2.7441520467836256"/>
    <n v="7.28"/>
    <n v="2.95"/>
    <n v="20.54"/>
    <n v="36.096153846153847"/>
    <s v="NO"/>
    <n v="-0.26459333232299598"/>
    <n v="0.88543263019691509"/>
    <n v="-2.4317379142978338E-2"/>
    <n v="-0.45287951199779503"/>
    <n v="25.84875437721573"/>
    <n v="4.7346893042126625"/>
    <x v="0"/>
    <x v="0"/>
    <x v="1"/>
    <x v="1"/>
    <x v="1"/>
    <x v="1"/>
  </r>
  <r>
    <x v="1"/>
    <s v="SOBO"/>
    <n v="5409"/>
    <n v="25.27"/>
    <n v="1.96"/>
    <n v="12.55"/>
    <n v="1.52"/>
    <n v="12.892857142857142"/>
    <n v="2.0135458167330675"/>
    <n v="11.6"/>
    <n v="3.99"/>
    <n v="4.34"/>
    <n v="16.625"/>
    <s v="NO"/>
    <n v="0.48221590847609752"/>
    <n v="0.2455897505021708"/>
    <n v="7.0531645164538068E-2"/>
    <n v="-0.23063357948501587"/>
    <n v="3.0699789876838266"/>
    <n v="1.3584217173125848"/>
    <x v="0"/>
    <x v="0"/>
    <x v="1"/>
    <x v="1"/>
    <x v="0"/>
    <x v="0"/>
  </r>
  <r>
    <x v="1"/>
    <s v="STNG"/>
    <n v="2051"/>
    <n v="42.24"/>
    <n v="14.01"/>
    <n v="61.85"/>
    <n v="10.31"/>
    <n v="3.0149892933618845"/>
    <n v="0.68294260307194832"/>
    <n v="18.059999999999999"/>
    <n v="6.34"/>
    <n v="1.36"/>
    <n v="4.0969932104752669"/>
    <s v="YES"/>
    <n v="-0.19533841053305914"/>
    <n v="-0.91971237387349503"/>
    <n v="0.21236606577253714"/>
    <n v="0.27155674878905228"/>
    <n v="-1.1201908061930299"/>
    <n v="-0.81391504229304124"/>
    <x v="0"/>
    <x v="0"/>
    <x v="1"/>
    <x v="1"/>
    <x v="0"/>
    <x v="0"/>
  </r>
  <r>
    <x v="1"/>
    <s v="TGS"/>
    <n v="3922"/>
    <n v="29.7"/>
    <n v="0.25"/>
    <n v="2.88"/>
    <n v="0.48"/>
    <n v="118.8"/>
    <n v="10.3125"/>
    <n v="18.07"/>
    <n v="9.6999999999999993"/>
    <n v="1.52"/>
    <n v="61.875"/>
    <s v="NO"/>
    <n v="7.7467231027532106"/>
    <n v="7.513563283534876"/>
    <n v="0.21258562369917494"/>
    <n v="0.98958206921495406"/>
    <n v="-0.89521524679024578"/>
    <n v="9.2047008600048166"/>
    <x v="1"/>
    <x v="1"/>
    <x v="1"/>
    <x v="1"/>
    <x v="0"/>
    <x v="1"/>
  </r>
  <r>
    <x v="1"/>
    <s v="UGP"/>
    <n v="3195"/>
    <n v="3.11"/>
    <n v="0.28999999999999998"/>
    <n v="2.27"/>
    <n v="0.34"/>
    <n v="10.724137931034482"/>
    <n v="1.3700440528634361"/>
    <n v="16.920000000000002"/>
    <n v="6.15"/>
    <n v="2.61"/>
    <n v="9.1470588235294112"/>
    <s v="NO"/>
    <n v="0.33345657183811422"/>
    <n v="-0.31796966734525145"/>
    <n v="0.18733646213583147"/>
    <n v="0.23095412650306391"/>
    <n v="0.63743075164122176"/>
    <n v="6.1758427075665721E-2"/>
    <x v="0"/>
    <x v="0"/>
    <x v="1"/>
    <x v="1"/>
    <x v="0"/>
    <x v="0"/>
  </r>
  <r>
    <x v="1"/>
    <s v="ARLP"/>
    <n v="3470"/>
    <n v="26.2"/>
    <n v="2.5299999999999998"/>
    <n v="14.1"/>
    <n v="2.11"/>
    <n v="10.355731225296443"/>
    <n v="1.8581560283687943"/>
    <n v="15"/>
    <n v="7.48"/>
    <n v="1.6"/>
    <n v="12.417061611374407"/>
    <s v="NO"/>
    <n v="0.30818638616363198"/>
    <n v="0.10950406498143112"/>
    <n v="0.14518134022137968"/>
    <n v="0.51517248250498338"/>
    <n v="-0.78272746708885355"/>
    <n v="0.62877178996657501"/>
    <x v="0"/>
    <x v="0"/>
    <x v="1"/>
    <x v="1"/>
    <x v="0"/>
    <x v="0"/>
  </r>
  <r>
    <x v="1"/>
    <s v="CNR"/>
    <n v="4011"/>
    <n v="74.84"/>
    <n v="10.050000000000001"/>
    <n v="53.33"/>
    <n v="9.61"/>
    <n v="7.4467661691542286"/>
    <n v="1.403337708606788"/>
    <n v="19.670000000000002"/>
    <n v="7.45"/>
    <n v="1.84"/>
    <n v="7.7877211238293453"/>
    <s v="NO"/>
    <n v="0.10865123670963463"/>
    <n v="-0.28881208876161746"/>
    <n v="0.24771489196121807"/>
    <n v="0.50876154214403779"/>
    <n v="-0.44526412798467713"/>
    <n v="-0.17394860145542518"/>
    <x v="0"/>
    <x v="0"/>
    <x v="1"/>
    <x v="1"/>
    <x v="0"/>
    <x v="0"/>
  </r>
  <r>
    <x v="1"/>
    <s v="NXE"/>
    <n v="3173"/>
    <n v="5.7"/>
    <n v="-0.19"/>
    <n v="1.44"/>
    <n v="-0.1"/>
    <n v="-30"/>
    <n v="3.9583333333333335"/>
    <n v="-7.76"/>
    <n v="-3.67"/>
    <n v="1.41"/>
    <n v="-57"/>
    <s v="NO"/>
    <n v="-2.4599413520374296"/>
    <n v="1.9487759455196907"/>
    <n v="-0.35453250080618365"/>
    <n v="-1.867560351646447"/>
    <n v="-1.0498859438796599"/>
    <n v="-11.408037992758477"/>
    <x v="1"/>
    <x v="0"/>
    <x v="1"/>
    <x v="1"/>
    <x v="0"/>
    <x v="1"/>
  </r>
  <r>
    <x v="1"/>
    <s v="UEC"/>
    <n v="2454"/>
    <n v="5.63"/>
    <n v="-0.12"/>
    <n v="2.0499999999999998"/>
    <n v="-0.16"/>
    <n v="-46.916666666666664"/>
    <n v="2.7463414634146344"/>
    <n v="-7.92"/>
    <n v="-3.34"/>
    <n v="1.1200000000000001"/>
    <n v="-35.1875"/>
    <s v="NO"/>
    <n v="-3.6203092308022704"/>
    <n v="0.88735005518511878"/>
    <n v="-0.35804542763238795"/>
    <n v="-1.7970400076760458"/>
    <n v="-1.4576541452972063"/>
    <n v="-7.625784649112636"/>
    <x v="1"/>
    <x v="0"/>
    <x v="1"/>
    <x v="1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x v="0"/>
    <s v="BORR"/>
    <n v="398"/>
    <n v="1.85"/>
    <n v="-1.32"/>
    <n v="4.0599999999999996"/>
    <n v="0.32"/>
    <n v="-1.4015151515151516"/>
    <n v="0.45566502463054193"/>
    <n v="8.3000000000000007"/>
    <n v="7.19"/>
    <n v="3.44"/>
    <n v="5.78125"/>
    <s v="NO"/>
    <n v="-0.89935959157983625"/>
    <n v="-1.1853984659954131"/>
    <n v="-0.18166838186977488"/>
    <n v="1.3056410516893457"/>
    <n v="1.5807682546307538"/>
    <n v="-0.64099823000812761"/>
    <x v="0"/>
    <x v="0"/>
    <x v="0"/>
    <x v="0"/>
    <x v="0"/>
    <x v="0"/>
  </r>
  <r>
    <x v="0"/>
    <s v="HP"/>
    <n v="1898"/>
    <n v="19.12"/>
    <n v="2.06"/>
    <n v="29.71"/>
    <n v="3.03"/>
    <n v="9.2815533980582519"/>
    <n v="0.64355435880175027"/>
    <n v="10.65"/>
    <n v="5.34"/>
    <n v="1.97"/>
    <n v="6.3102310231023111"/>
    <s v="NO"/>
    <n v="0.32320260761657787"/>
    <n v="-0.8945822356537787"/>
    <n v="0.1891949035376182"/>
    <n v="0.37713739329412194"/>
    <n v="-0.16968698778522254"/>
    <n v="-0.58215221133121897"/>
    <x v="0"/>
    <x v="0"/>
    <x v="0"/>
    <x v="0"/>
    <x v="0"/>
    <x v="0"/>
  </r>
  <r>
    <x v="0"/>
    <s v="NBR"/>
    <n v="374"/>
    <n v="31.65"/>
    <n v="1.47"/>
    <n v="32.76"/>
    <n v="-14.66"/>
    <n v="21.530612244897959"/>
    <n v="0.96611721611721613"/>
    <n v="-1.6"/>
    <n v="3.05"/>
    <n v="14.74"/>
    <n v="-2.1589358799454295"/>
    <s v="NO"/>
    <n v="1.7249755394655115"/>
    <n v="-0.3953175241868041"/>
    <n v="-1.7440286055009204"/>
    <n v="-0.77219956763834419"/>
    <n v="15.036648689529075"/>
    <n v="-1.5242970747362956"/>
    <x v="0"/>
    <x v="0"/>
    <x v="0"/>
    <x v="0"/>
    <x v="1"/>
    <x v="0"/>
  </r>
  <r>
    <x v="0"/>
    <s v="PDS"/>
    <n v="537"/>
    <n v="45.46"/>
    <n v="12.8"/>
    <n v="87.16"/>
    <n v="5.2"/>
    <n v="3.5515624999999997"/>
    <n v="0.52156952730610373"/>
    <n v="6.58"/>
    <n v="4.43"/>
    <n v="1.72"/>
    <n v="8.7423076923076923"/>
    <s v="NO"/>
    <n v="-0.33253317103152108"/>
    <n v="-1.0833910842821832"/>
    <n v="-0.45310874395518613"/>
    <n v="-7.9586027862447645E-2"/>
    <n v="-0.46738345758385796"/>
    <n v="-0.31159802725030317"/>
    <x v="0"/>
    <x v="0"/>
    <x v="0"/>
    <x v="0"/>
    <x v="0"/>
    <x v="0"/>
  </r>
  <r>
    <x v="0"/>
    <s v="SDRL"/>
    <n v="1415"/>
    <n v="24.69"/>
    <n v="-1.01"/>
    <n v="46.95"/>
    <n v="6.37"/>
    <n v="-24.445544554455445"/>
    <n v="0.52587859424920125"/>
    <n v="15.12"/>
    <n v="3.02"/>
    <n v="1.42"/>
    <n v="3.8759811616954476"/>
    <s v="NO"/>
    <n v="-3.5365007027197168"/>
    <n v="-1.0767214848064648"/>
    <n v="0.89462421663168068"/>
    <n v="-0.78725638372042872"/>
    <n v="-0.82461922134222054"/>
    <n v="-0.85294815022618631"/>
    <x v="1"/>
    <x v="0"/>
    <x v="0"/>
    <x v="0"/>
    <x v="0"/>
    <x v="0"/>
  </r>
  <r>
    <x v="0"/>
    <s v="ACDC"/>
    <n v="678"/>
    <n v="5.69"/>
    <n v="0.7"/>
    <n v="6.29"/>
    <n v="-1.38"/>
    <n v="8.1285714285714299"/>
    <n v="0.90461049284578698"/>
    <n v="-16.84"/>
    <n v="0.73"/>
    <n v="2.97"/>
    <n v="-4.1231884057971024"/>
    <s v="NO"/>
    <n v="0.19125623231171196"/>
    <n v="-0.49051799674882829"/>
    <n v="-4.1491164649088654"/>
    <n v="-1.9365933446528949"/>
    <n v="1.0210988914093195"/>
    <n v="-1.7428085822844153"/>
    <x v="0"/>
    <x v="0"/>
    <x v="1"/>
    <x v="0"/>
    <x v="0"/>
    <x v="0"/>
  </r>
  <r>
    <x v="0"/>
    <s v="AESI"/>
    <n v="1477"/>
    <n v="13.36"/>
    <n v="-1.08"/>
    <n v="11"/>
    <n v="0.3"/>
    <n v="-12.370370370370368"/>
    <n v="1.2145454545454546"/>
    <n v="2.9"/>
    <n v="3.2"/>
    <n v="1.76"/>
    <n v="44.533333333333331"/>
    <s v="NO"/>
    <n v="-2.1546269987674642"/>
    <n v="-1.0798817317151373E-2"/>
    <n v="-1.0338648674867634"/>
    <n v="-0.6969154872279204"/>
    <n v="-0.41975202241607623"/>
    <n v="3.6699424654228308"/>
    <x v="0"/>
    <x v="0"/>
    <x v="0"/>
    <x v="0"/>
    <x v="0"/>
    <x v="1"/>
  </r>
  <r>
    <x v="0"/>
    <s v="ARIS"/>
    <n v="649"/>
    <n v="24.33"/>
    <n v="2.58"/>
    <n v="11.3"/>
    <n v="0.81"/>
    <n v="9.4302325581395348"/>
    <n v="2.1530973451327431"/>
    <n v="8.4600000000000009"/>
    <n v="4.9800000000000004"/>
    <n v="4.07"/>
    <n v="30.037037037037035"/>
    <s v="NO"/>
    <n v="0.34021733705317853"/>
    <n v="1.4418973881624833"/>
    <n v="-0.15641811562927149"/>
    <n v="0.19645560030910569"/>
    <n v="2.3309633585233156"/>
    <n v="2.057315007456602"/>
    <x v="0"/>
    <x v="0"/>
    <x v="0"/>
    <x v="0"/>
    <x v="0"/>
    <x v="0"/>
  </r>
  <r>
    <x v="0"/>
    <s v="CLB"/>
    <n v="546"/>
    <n v="12.46"/>
    <n v="0.94"/>
    <n v="5.43"/>
    <n v="0.59"/>
    <n v="13.255319148936172"/>
    <n v="2.2946593001841622"/>
    <n v="11.57"/>
    <n v="5.3"/>
    <n v="2.33"/>
    <n v="21.118644067796613"/>
    <s v="NO"/>
    <n v="0.77795732279424068"/>
    <n v="1.6610078252154565"/>
    <n v="0.33438393442051251"/>
    <n v="0.35706163851800893"/>
    <n v="0.25899592872481259"/>
    <n v="1.0651963939039404"/>
    <x v="0"/>
    <x v="0"/>
    <x v="0"/>
    <x v="0"/>
    <x v="0"/>
    <x v="0"/>
  </r>
  <r>
    <x v="0"/>
    <s v="EFXT"/>
    <n v="848"/>
    <n v="7.27"/>
    <n v="1.99"/>
    <n v="8.4499999999999993"/>
    <n v="0.26"/>
    <n v="3.6532663316582914"/>
    <n v="0.86035502958579879"/>
    <n v="3.04"/>
    <n v="3.85"/>
    <n v="2.66"/>
    <n v="27.96153846153846"/>
    <s v="NO"/>
    <n v="-0.32089426227399676"/>
    <n v="-0.5590168663310946"/>
    <n v="-1.0117708845263229"/>
    <n v="-0.37068447211608513"/>
    <n v="0.65195526885901145"/>
    <n v="1.8264280330592912"/>
    <x v="0"/>
    <x v="0"/>
    <x v="0"/>
    <x v="0"/>
    <x v="0"/>
    <x v="0"/>
  </r>
  <r>
    <x v="0"/>
    <s v="FLOC"/>
    <n v="1876"/>
    <n v="19.98"/>
    <m/>
    <m/>
    <m/>
    <s v=""/>
    <s v=""/>
    <n v="16.5"/>
    <n v="7.5"/>
    <n v="1.89"/>
    <s v=""/>
    <s v="NO"/>
    <e v="#VALUE!"/>
    <e v="#VALUE!"/>
    <n v="1.1124077629560223"/>
    <n v="1.4612281512042209"/>
    <n v="-0.26494985812078597"/>
    <e v="#VALUE!"/>
    <x v="1"/>
    <x v="1"/>
    <x v="0"/>
    <x v="0"/>
    <x v="0"/>
    <x v="1"/>
  </r>
  <r>
    <x v="0"/>
    <s v="HLX"/>
    <n v="983"/>
    <n v="6.73"/>
    <n v="0.75"/>
    <n v="10.199999999999999"/>
    <n v="0.55000000000000004"/>
    <n v="8.9733333333333345"/>
    <n v="0.65980392156862755"/>
    <n v="5.64"/>
    <n v="3.27"/>
    <n v="1.71"/>
    <n v="12.236363636363636"/>
    <s v="NO"/>
    <n v="0.28793013899784914"/>
    <n v="-0.86943106563442596"/>
    <n v="-0.60145405811814345"/>
    <n v="-0.66178291636972286"/>
    <n v="-0.47929131637580341"/>
    <n v="7.7095087176057717E-2"/>
    <x v="0"/>
    <x v="0"/>
    <x v="0"/>
    <x v="0"/>
    <x v="0"/>
    <x v="0"/>
  </r>
  <r>
    <x v="0"/>
    <s v="INVX"/>
    <n v="1056"/>
    <n v="15.19"/>
    <n v="1.61"/>
    <n v="13.85"/>
    <n v="2.77"/>
    <n v="9.4347826086956506"/>
    <n v="1.0967509025270759"/>
    <n v="21.8"/>
    <n v="6.37"/>
    <n v="1.25"/>
    <n v="5.4837545126353788"/>
    <s v="NO"/>
    <n v="0.34073804136098357"/>
    <n v="-0.19312192641684747"/>
    <n v="1.9488228321726964"/>
    <n v="0.8940880787790304"/>
    <n v="-1.0270528208052925"/>
    <n v="-0.67409284822918358"/>
    <x v="0"/>
    <x v="0"/>
    <x v="0"/>
    <x v="0"/>
    <x v="0"/>
    <x v="0"/>
  </r>
  <r>
    <x v="0"/>
    <s v="LBRT"/>
    <n v="1803"/>
    <n v="12.64"/>
    <n v="1.35"/>
    <n v="12.28"/>
    <n v="1.51"/>
    <n v="9.3629629629629623"/>
    <n v="1.0293159609120521"/>
    <n v="13.18"/>
    <n v="5.86"/>
    <n v="1.7"/>
    <n v="8.370860927152318"/>
    <s v="NO"/>
    <n v="0.33251905599877052"/>
    <n v="-0.29749813063458841"/>
    <n v="0.58846473846557756"/>
    <n v="0.63812220538359044"/>
    <n v="-0.4911991751677488"/>
    <n v="-0.35291928893114582"/>
    <x v="0"/>
    <x v="0"/>
    <x v="0"/>
    <x v="0"/>
    <x v="0"/>
    <x v="0"/>
  </r>
  <r>
    <x v="0"/>
    <s v="NESR"/>
    <n v="584"/>
    <n v="6.66"/>
    <n v="1.41"/>
    <n v="8.92"/>
    <n v="0.48"/>
    <n v="4.7234042553191493"/>
    <n v="0.74663677130044848"/>
    <n v="1.55"/>
    <n v="2.78"/>
    <n v="2.1"/>
    <n v="13.875"/>
    <s v="NO"/>
    <n v="-0.19842849625150441"/>
    <n v="-0.73503066371581949"/>
    <n v="-1.2469139888910106"/>
    <n v="-0.90771091237710655"/>
    <n v="-1.4884823489931982E-2"/>
    <n v="0.25938371729305365"/>
    <x v="0"/>
    <x v="0"/>
    <x v="0"/>
    <x v="0"/>
    <x v="0"/>
    <x v="0"/>
  </r>
  <r>
    <x v="0"/>
    <s v="NOA"/>
    <n v="468"/>
    <n v="16.440000000000001"/>
    <n v="-1.73"/>
    <n v="10.130000000000001"/>
    <n v="1.05"/>
    <n v="-9.502890173410405"/>
    <n v="1.6229022704837117"/>
    <n v="11.83"/>
    <n v="5.94"/>
    <n v="4.3600000000000003"/>
    <n v="15.657142857142858"/>
    <s v="NO"/>
    <n v="-1.8264747567894297"/>
    <n v="0.62125829422310863"/>
    <n v="0.37541561706133048"/>
    <n v="0.67827371493581634"/>
    <n v="2.6762912634897327"/>
    <n v="0.45763659835352349"/>
    <x v="0"/>
    <x v="0"/>
    <x v="0"/>
    <x v="0"/>
    <x v="0"/>
    <x v="0"/>
  </r>
  <r>
    <x v="0"/>
    <s v="NPKI"/>
    <n v="664"/>
    <n v="8.59"/>
    <n v="-0.05"/>
    <n v="3.86"/>
    <n v="0.49"/>
    <n v="-171.79999999999998"/>
    <n v="2.2253886010362693"/>
    <n v="11.2"/>
    <n v="4.67"/>
    <n v="1.19"/>
    <n v="17.530612244897959"/>
    <s v="NO"/>
    <n v="-20.399631953346084"/>
    <n v="1.553790224556107"/>
    <n v="0.27599269373934832"/>
    <n v="4.0868500794230135E-2"/>
    <n v="-1.0984999735569652"/>
    <n v="0.6660490172639284"/>
    <x v="1"/>
    <x v="0"/>
    <x v="0"/>
    <x v="0"/>
    <x v="0"/>
    <x v="0"/>
  </r>
  <r>
    <x v="0"/>
    <s v="OII"/>
    <n v="1850"/>
    <n v="20.02"/>
    <n v="0.84"/>
    <n v="7.69"/>
    <n v="1.78"/>
    <n v="23.833333333333332"/>
    <n v="2.6033810143042913"/>
    <n v="25.95"/>
    <n v="7.86"/>
    <n v="2.94"/>
    <n v="11.247191011235955"/>
    <s v="NO"/>
    <n v="1.9884971807383205"/>
    <n v="2.1388491328184376"/>
    <n v="2.6037516127857518"/>
    <n v="1.6419099441892375"/>
    <n v="0.98537531503348286"/>
    <n v="-3.2944532830673764E-2"/>
    <x v="0"/>
    <x v="0"/>
    <x v="0"/>
    <x v="0"/>
    <x v="0"/>
    <x v="0"/>
  </r>
  <r>
    <x v="0"/>
    <s v="OIS"/>
    <n v="263"/>
    <n v="4.8099999999999996"/>
    <n v="0.49"/>
    <n v="11.05"/>
    <n v="0.08"/>
    <n v="9.816326530612244"/>
    <n v="0.43529411764705878"/>
    <n v="0.77"/>
    <n v="0.81"/>
    <n v="1.45"/>
    <n v="60.124999999999993"/>
    <s v="NO"/>
    <n v="0.3844016361515461"/>
    <n v="-1.2169286771365011"/>
    <n v="-1.3700090368134645"/>
    <n v="-1.8964418351006689"/>
    <n v="-0.7888956449663842"/>
    <n v="5.4044234161569458"/>
    <x v="0"/>
    <x v="0"/>
    <x v="0"/>
    <x v="0"/>
    <x v="0"/>
    <x v="1"/>
  </r>
  <r>
    <x v="0"/>
    <s v="PSYTF"/>
    <n v="658"/>
    <n v="8.5"/>
    <n v="0.6"/>
    <n v="4.47"/>
    <n v="0.63"/>
    <n v="14.166666666666668"/>
    <n v="1.9015659955257271"/>
    <n v="14.57"/>
    <n v="10.19"/>
    <n v="1.22"/>
    <n v="13.492063492063492"/>
    <s v="NO"/>
    <n v="0.88225123613370715"/>
    <n v="1.0525756673307887"/>
    <n v="0.80782642642995062"/>
    <n v="2.811322659897816"/>
    <n v="-1.0627763971811288"/>
    <n v="0.21678428949894246"/>
    <x v="0"/>
    <x v="0"/>
    <x v="0"/>
    <x v="1"/>
    <x v="0"/>
    <x v="0"/>
  </r>
  <r>
    <x v="0"/>
    <s v="PUMP"/>
    <n v="533"/>
    <n v="6.07"/>
    <n v="0.82"/>
    <n v="7.96"/>
    <n v="-1.42"/>
    <n v="7.4024390243902447"/>
    <n v="0.76256281407035176"/>
    <n v="-16.239999999999998"/>
    <n v="2.08"/>
    <n v="1.51"/>
    <n v="-4.274647887323944"/>
    <s v="NO"/>
    <n v="0.10815819499742564"/>
    <n v="-0.71038023987439713"/>
    <n v="-4.054427966506978"/>
    <n v="-1.2590366209590829"/>
    <n v="-0.71744849221471163"/>
    <n v="-1.7596575562352248"/>
    <x v="0"/>
    <x v="0"/>
    <x v="1"/>
    <x v="0"/>
    <x v="0"/>
    <x v="0"/>
  </r>
  <r>
    <x v="0"/>
    <s v="RES"/>
    <n v="1025"/>
    <n v="4.97"/>
    <n v="0.63"/>
    <n v="5.09"/>
    <n v="0.35"/>
    <n v="7.8888888888888884"/>
    <n v="0.97642436149312373"/>
    <n v="7.19"/>
    <n v="3.27"/>
    <n v="1.24"/>
    <n v="14.200000000000001"/>
    <s v="NO"/>
    <n v="0.16382714567208997"/>
    <n v="-0.379364063193253"/>
    <n v="-0.35684210391326698"/>
    <n v="-0.66178291636972286"/>
    <n v="-1.0389606795972379"/>
    <n v="0.29553805031209734"/>
    <x v="0"/>
    <x v="0"/>
    <x v="0"/>
    <x v="0"/>
    <x v="0"/>
    <x v="0"/>
  </r>
  <r>
    <x v="0"/>
    <s v="RNGR"/>
    <n v="250"/>
    <n v="12.06"/>
    <n v="2.16"/>
    <n v="12.12"/>
    <n v="0.87"/>
    <n v="5.583333333333333"/>
    <n v="0.99504950495049516"/>
    <n v="7.41"/>
    <n v="5.17"/>
    <n v="1.38"/>
    <n v="13.862068965517242"/>
    <s v="NO"/>
    <n v="-0.10001886985142421"/>
    <n v="-0.35053595523418546"/>
    <n v="-0.32212298783257493"/>
    <n v="0.29181543549564193"/>
    <n v="-0.87225065651000222"/>
    <n v="0.25794521597929865"/>
    <x v="0"/>
    <x v="0"/>
    <x v="0"/>
    <x v="0"/>
    <x v="0"/>
    <x v="0"/>
  </r>
  <r>
    <x v="0"/>
    <s v="SEI"/>
    <n v="858"/>
    <n v="22.66"/>
    <n v="-8.52"/>
    <n v="9.4"/>
    <n v="0.5"/>
    <n v="-2.65962441314554"/>
    <n v="2.4106382978723402"/>
    <n v="7.07"/>
    <n v="4.68"/>
    <n v="3.13"/>
    <n v="45.32"/>
    <s v="NO"/>
    <n v="-1.0433366538434352"/>
    <n v="1.8405208085109477"/>
    <n v="-0.37577980359364455"/>
    <n v="4.5887439488258262E-2"/>
    <n v="1.2116246320804458"/>
    <n v="3.7574544920125152"/>
    <x v="0"/>
    <x v="0"/>
    <x v="0"/>
    <x v="0"/>
    <x v="0"/>
    <x v="1"/>
  </r>
  <r>
    <x v="0"/>
    <s v="TDW"/>
    <n v="1941"/>
    <n v="42.45"/>
    <n v="5.32"/>
    <n v="21.62"/>
    <n v="3.34"/>
    <n v="7.9793233082706765"/>
    <n v="1.9634597594819612"/>
    <n v="16.149999999999999"/>
    <n v="8.9700000000000006"/>
    <n v="1.86"/>
    <n v="12.709580838323355"/>
    <s v="NO"/>
    <n v="0.17417639150248057"/>
    <n v="1.1483752037696437"/>
    <n v="1.057172805554921"/>
    <n v="2.199012139226372"/>
    <n v="-0.30067343449662198"/>
    <n v="0.12973770966833972"/>
    <x v="0"/>
    <x v="0"/>
    <x v="0"/>
    <x v="0"/>
    <x v="0"/>
    <x v="0"/>
  </r>
  <r>
    <x v="0"/>
    <s v="TTI"/>
    <n v="376"/>
    <n v="3.01"/>
    <n v="-0.06"/>
    <n v="2.0499999999999998"/>
    <n v="0.88"/>
    <n v="-50.166666666666664"/>
    <n v="1.4682926829268292"/>
    <n v="55.88"/>
    <n v="6.84"/>
    <n v="2.25"/>
    <n v="3.4204545454545454"/>
    <s v="NO"/>
    <n v="-6.4800062572694115"/>
    <n v="0.38195265387741278"/>
    <n v="7.3271295413999127"/>
    <n v="1.1299781973983574"/>
    <n v="0.16373305838924918"/>
    <n v="-0.90362279940345303"/>
    <x v="1"/>
    <x v="0"/>
    <x v="1"/>
    <x v="0"/>
    <x v="0"/>
    <x v="0"/>
  </r>
  <r>
    <x v="0"/>
    <s v="VTOL"/>
    <n v="789"/>
    <n v="30.22"/>
    <n v="-2.73"/>
    <n v="31.15"/>
    <n v="3.21"/>
    <n v="-11.069597069597069"/>
    <n v="0.97014446227929374"/>
    <n v="11.07"/>
    <n v="4.5199999999999996"/>
    <n v="2.38"/>
    <n v="9.4143302180685353"/>
    <s v="NO"/>
    <n v="-2.0057674964746623"/>
    <n v="-0.38908412859423674"/>
    <n v="0.25547685241893953"/>
    <n v="-3.4415579616193584E-2"/>
    <n v="0.31853522268453949"/>
    <n v="-0.23683948511905298"/>
    <x v="0"/>
    <x v="0"/>
    <x v="0"/>
    <x v="0"/>
    <x v="0"/>
    <x v="0"/>
  </r>
  <r>
    <x v="0"/>
    <s v="WTTR"/>
    <n v="763"/>
    <n v="8.67"/>
    <n v="0.62"/>
    <n v="7.7"/>
    <n v="0.3"/>
    <n v="13.983870967741936"/>
    <n v="1.1259740259740258"/>
    <n v="3.92"/>
    <n v="2.96"/>
    <n v="1.72"/>
    <n v="28.900000000000002"/>
    <s v="NO"/>
    <n v="0.86133223606888121"/>
    <n v="-0.14789020191722163"/>
    <n v="-0.87289442020355457"/>
    <n v="-0.81737001588459823"/>
    <n v="-0.46738345758385796"/>
    <n v="1.9308263437888376"/>
    <x v="0"/>
    <x v="0"/>
    <x v="0"/>
    <x v="0"/>
    <x v="0"/>
    <x v="0"/>
  </r>
  <r>
    <x v="0"/>
    <s v="XPRO"/>
    <n v="891"/>
    <n v="8.65"/>
    <n v="0.3"/>
    <n v="12.93"/>
    <n v="0.57999999999999996"/>
    <n v="28.833333333333336"/>
    <n v="0.66898685228151589"/>
    <n v="4.91"/>
    <n v="3.84"/>
    <n v="1.53"/>
    <n v="14.913793103448278"/>
    <s v="NO"/>
    <n v="2.5606933589820864"/>
    <n v="-0.85521767079117661"/>
    <n v="-0.71665839784043994"/>
    <n v="-0.37570341081011349"/>
    <n v="-0.69363277463082085"/>
    <n v="0.37494332283137616"/>
    <x v="1"/>
    <x v="0"/>
    <x v="0"/>
    <x v="0"/>
    <x v="0"/>
    <x v="0"/>
  </r>
  <r>
    <x v="1"/>
    <s v="BKV"/>
    <n v="1542"/>
    <n v="22.38"/>
    <n v="0.25"/>
    <n v="18.48"/>
    <n v="-2"/>
    <n v="89.52"/>
    <n v="1.2110389610389609"/>
    <n v="-10.02"/>
    <n v="-3.94"/>
    <n v="1.43"/>
    <n v="-11.19"/>
    <s v="NO"/>
    <n v="11.715909484502475"/>
    <n v="-1.1018700718065232E-2"/>
    <n v="-0.95938502082262933"/>
    <n v="-1.5286418119452021"/>
    <n v="-0.61375880818013351"/>
    <n v="-1.5911420391811639"/>
    <x v="1"/>
    <x v="0"/>
    <x v="0"/>
    <x v="0"/>
    <x v="0"/>
    <x v="0"/>
  </r>
  <r>
    <x v="1"/>
    <s v="BTE"/>
    <n v="1149"/>
    <n v="1.94"/>
    <n v="0.51"/>
    <n v="3.75"/>
    <n v="0.2"/>
    <n v="3.8039215686274508"/>
    <n v="0.51733333333333331"/>
    <n v="5.92"/>
    <n v="6.33"/>
    <n v="1.86"/>
    <n v="9.6999999999999993"/>
    <s v="NO"/>
    <n v="0.30878308061927462"/>
    <n v="-1.0056128417154468"/>
    <n v="-0.13570873825915999"/>
    <n v="0.37401656872951772"/>
    <n v="-0.27744697298015453"/>
    <n v="0.59789803261294161"/>
    <x v="0"/>
    <x v="0"/>
    <x v="0"/>
    <x v="0"/>
    <x v="0"/>
    <x v="0"/>
  </r>
  <r>
    <x v="1"/>
    <s v="CDDRF"/>
    <n v="999"/>
    <n v="4.53"/>
    <n v="0.33"/>
    <n v="2.11"/>
    <n v="0.59"/>
    <n v="13.727272727272727"/>
    <n v="2.1469194312796209"/>
    <n v="29.71"/>
    <n v="17.52"/>
    <n v="1.34"/>
    <n v="7.6779661016949161"/>
    <s v="NO"/>
    <n v="1.6293862053576176"/>
    <n v="1.3307914204623652"/>
    <n v="1.0936048603722663"/>
    <n v="2.447117569678896"/>
    <n v="-0.68414965740803602"/>
    <n v="0.38601132940969241"/>
    <x v="0"/>
    <x v="0"/>
    <x v="0"/>
    <x v="0"/>
    <x v="0"/>
    <x v="0"/>
  </r>
  <r>
    <x v="1"/>
    <s v="DEC"/>
    <n v="766"/>
    <n v="13.99"/>
    <n v="0.11"/>
    <n v="8.82"/>
    <n v="-1.84"/>
    <n v="127.18181818181819"/>
    <n v="1.5861678004535147"/>
    <n v="-16.37"/>
    <n v="-0.91"/>
    <n v="8.84"/>
    <n v="-7.6032608695652169"/>
    <s v="NO"/>
    <n v="16.727957731017053"/>
    <n v="0.52681886452536875"/>
    <n v="-1.2875120217183653"/>
    <n v="-0.96729274734496851"/>
    <n v="5.1817544449171775"/>
    <n v="-1.2152915995644247"/>
    <x v="1"/>
    <x v="0"/>
    <x v="0"/>
    <x v="0"/>
    <x v="1"/>
    <x v="0"/>
  </r>
  <r>
    <x v="1"/>
    <s v="DMLP"/>
    <n v="1294"/>
    <n v="28.7"/>
    <n v="3.17"/>
    <n v="7.68"/>
    <n v="2.13"/>
    <n v="9.0536277602523665"/>
    <n v="3.7369791666666665"/>
    <n v="33.78"/>
    <n v="20.71"/>
    <n v="1.01"/>
    <n v="13.474178403755868"/>
    <s v="NO"/>
    <n v="1.0074158599881895"/>
    <n v="3.6105251194412253"/>
    <n v="1.3039161822062262"/>
    <n v="3.0381088291095057"/>
    <n v="-0.94224943791034543"/>
    <n v="0.99339002705628821"/>
    <x v="0"/>
    <x v="1"/>
    <x v="0"/>
    <x v="1"/>
    <x v="0"/>
    <x v="0"/>
  </r>
  <r>
    <x v="1"/>
    <s v="EGY"/>
    <n v="340"/>
    <n v="3.83"/>
    <n v="0.1"/>
    <n v="4.83"/>
    <n v="0.56000000000000005"/>
    <n v="38.299999999999997"/>
    <n v="0.79296066252587993"/>
    <n v="11.93"/>
    <n v="9.5399999999999991"/>
    <n v="1.9"/>
    <n v="6.8392857142857135"/>
    <s v="NO"/>
    <n v="4.8995335478141442"/>
    <n v="-0.61043466272279634"/>
    <n v="0.17484925786420577"/>
    <n v="0.96871310251392373"/>
    <n v="-0.24616215110108688"/>
    <n v="0.29812693613699981"/>
    <x v="1"/>
    <x v="0"/>
    <x v="0"/>
    <x v="0"/>
    <x v="0"/>
    <x v="0"/>
  </r>
  <r>
    <x v="1"/>
    <s v="GFR"/>
    <n v="275"/>
    <n v="4.2699999999999996"/>
    <n v="0.56999999999999995"/>
    <n v="8.1999999999999993"/>
    <n v="1.18"/>
    <n v="7.4912280701754383"/>
    <n v="0.52073170731707319"/>
    <n v="16.010000000000002"/>
    <n v="6.11"/>
    <n v="1.53"/>
    <n v="3.6186440677966099"/>
    <s v="NO"/>
    <n v="0.79949114989584902"/>
    <n v="-1.0007404538924956"/>
    <n v="0.38567731513264719"/>
    <n v="0.33325855083775163"/>
    <n v="-0.53554675348246394"/>
    <n v="-3.936055170663804E-2"/>
    <x v="0"/>
    <x v="0"/>
    <x v="0"/>
    <x v="0"/>
    <x v="0"/>
    <x v="0"/>
  </r>
  <r>
    <x v="1"/>
    <s v="GPRK"/>
    <n v="348"/>
    <n v="7.14"/>
    <n v="5.33"/>
    <n v="3.97"/>
    <n v="1.81"/>
    <n v="1.3395872420262664"/>
    <n v="1.7984886649874054"/>
    <n v="50.82"/>
    <n v="15.14"/>
    <n v="5.9"/>
    <n v="3.9447513812154695"/>
    <s v="NO"/>
    <n v="-1.9171413793051831E-2"/>
    <n v="0.83123197499031265"/>
    <n v="2.1844333625626575"/>
    <n v="2.0061899215770627"/>
    <n v="2.882320036805694"/>
    <n v="-5.1881258196584583E-3"/>
    <x v="0"/>
    <x v="0"/>
    <x v="0"/>
    <x v="0"/>
    <x v="0"/>
    <x v="0"/>
  </r>
  <r>
    <x v="1"/>
    <s v="GRNT"/>
    <n v="648"/>
    <n v="5.7"/>
    <n v="-0.55000000000000004"/>
    <n v="4.8600000000000003"/>
    <n v="0.14000000000000001"/>
    <n v="-10.363636363636363"/>
    <n v="1.1728395061728394"/>
    <n v="2.87"/>
    <n v="6"/>
    <n v="1.63"/>
    <n v="40.714285714285708"/>
    <s v="NO"/>
    <n v="-1.5766406009723102"/>
    <n v="-6.5786822067746151E-2"/>
    <n v="-0.29331304577600953"/>
    <n v="0.31287954189186851"/>
    <n v="-0.45733469878479455"/>
    <n v="3.8478508438452486"/>
    <x v="0"/>
    <x v="0"/>
    <x v="0"/>
    <x v="0"/>
    <x v="0"/>
    <x v="1"/>
  </r>
  <r>
    <x v="1"/>
    <s v="HPK"/>
    <n v="1020"/>
    <n v="10.3"/>
    <n v="0.56000000000000005"/>
    <n v="12.71"/>
    <n v="0.67"/>
    <n v="18.392857142857142"/>
    <n v="0.81038552321007085"/>
    <n v="6.03"/>
    <n v="6.86"/>
    <n v="1.91"/>
    <n v="15.373134328358208"/>
    <s v="NO"/>
    <n v="2.2502838496562845"/>
    <n v="-0.58545192703199389"/>
    <n v="-0.13002464847986378"/>
    <n v="0.47220633910513626"/>
    <n v="-0.23834094563131991"/>
    <n v="1.1923795250709053"/>
    <x v="0"/>
    <x v="0"/>
    <x v="0"/>
    <x v="0"/>
    <x v="0"/>
    <x v="0"/>
  </r>
  <r>
    <x v="1"/>
    <s v="KOS"/>
    <n v="724"/>
    <n v="2.0699999999999998"/>
    <n v="-0.54"/>
    <n v="2.54"/>
    <n v="0.4"/>
    <n v="-3.8333333333333326"/>
    <n v="0.81496062992125973"/>
    <n v="17.010000000000002"/>
    <n v="5.31"/>
    <n v="4.42"/>
    <n v="5.1749999999999989"/>
    <s v="NO"/>
    <n v="-0.7075855358602352"/>
    <n v="-0.57889240935237496"/>
    <n v="0.43735085858079453"/>
    <n v="0.18504757668587457"/>
    <n v="1.7247816272801848"/>
    <n v="0.12372827077147058"/>
    <x v="0"/>
    <x v="0"/>
    <x v="0"/>
    <x v="0"/>
    <x v="0"/>
    <x v="0"/>
  </r>
  <r>
    <x v="1"/>
    <s v="KRP"/>
    <n v="1113"/>
    <n v="13.95"/>
    <n v="3.03"/>
    <n v="5.73"/>
    <n v="-0.12"/>
    <n v="4.6039603960396036"/>
    <n v="2.4345549738219892"/>
    <n v="1.17"/>
    <n v="5.04"/>
    <n v="2.41"/>
    <n v="-116.25"/>
    <s v="NO"/>
    <n v="0.41525253418406466"/>
    <n v="1.7431862662436082"/>
    <n v="-0.38115806963786009"/>
    <n v="0.13502637290961619"/>
    <n v="0.15271932785702783"/>
    <n v="-12.600263625714852"/>
    <x v="0"/>
    <x v="0"/>
    <x v="0"/>
    <x v="0"/>
    <x v="0"/>
    <x v="1"/>
  </r>
  <r>
    <x v="1"/>
    <s v="MNR"/>
    <n v="1569"/>
    <n v="14.33"/>
    <n v="1.63"/>
    <n v="11.59"/>
    <n v="1.9"/>
    <n v="8.7914110429447856"/>
    <n v="1.2364106988783434"/>
    <n v="15.49"/>
    <n v="7.83"/>
    <n v="1.95"/>
    <n v="7.5421052631578949"/>
    <s v="NO"/>
    <n v="0.97251996537567875"/>
    <n v="2.5357797891918152E-2"/>
    <n v="0.35880707253961047"/>
    <n v="0.65191214526428698"/>
    <n v="-0.20705612375225207"/>
    <n v="0.37177462190633731"/>
    <x v="0"/>
    <x v="0"/>
    <x v="0"/>
    <x v="0"/>
    <x v="0"/>
    <x v="0"/>
  </r>
  <r>
    <x v="1"/>
    <s v="OBE"/>
    <n v="301"/>
    <n v="5.13"/>
    <n v="-0.59"/>
    <n v="13.27"/>
    <n v="-1.86"/>
    <n v="-8.6949152542372889"/>
    <n v="0.38658628485305202"/>
    <n v="-13.29"/>
    <n v="-6.43"/>
    <n v="1.5"/>
    <n v="-2.758064516129032"/>
    <s v="NO"/>
    <n v="-1.354566598333659"/>
    <n v="-1.1930702345598518"/>
    <n v="-1.128357507898071"/>
    <n v="-1.9899484689929192"/>
    <n v="-0.55901036989176489"/>
    <n v="-0.70756881481657941"/>
    <x v="0"/>
    <x v="0"/>
    <x v="0"/>
    <x v="0"/>
    <x v="0"/>
    <x v="0"/>
  </r>
  <r>
    <x v="1"/>
    <s v="PBT"/>
    <n v="449"/>
    <n v="10.51"/>
    <m/>
    <n v="0"/>
    <n v="0.55000000000000004"/>
    <s v=""/>
    <s v=""/>
    <n v="13173"/>
    <n v="371.14"/>
    <n v="13.91"/>
    <n v="19.109090909090906"/>
    <s v="NO"/>
    <e v="#VALUE!"/>
    <e v="#VALUE!"/>
    <n v="680.2539717269733"/>
    <n v="67.960073419162285"/>
    <n v="9.1471056180890216"/>
    <n v="1.5838662968136896"/>
    <x v="1"/>
    <x v="1"/>
    <x v="1"/>
    <x v="1"/>
    <x v="1"/>
    <x v="0"/>
  </r>
  <r>
    <x v="1"/>
    <s v="PNRG"/>
    <n v="276"/>
    <n v="181.4"/>
    <n v="-1.89"/>
    <n v="118.78"/>
    <n v="21.95"/>
    <n v="-95.978835978835988"/>
    <n v="1.527193130156592"/>
    <n v="30.45"/>
    <n v="14.07"/>
    <n v="1.6"/>
    <n v="8.264236902050115"/>
    <s v="NO"/>
    <n v="-12.970342015884745"/>
    <n v="0.44226446680688558"/>
    <n v="1.1318432825238951"/>
    <n v="1.8079577436489269"/>
    <n v="-0.48079831519409527"/>
    <n v="0.44744600030008652"/>
    <x v="1"/>
    <x v="0"/>
    <x v="0"/>
    <x v="0"/>
    <x v="0"/>
    <x v="0"/>
  </r>
  <r>
    <x v="1"/>
    <s v="PRMRF"/>
    <n v="1639"/>
    <n v="13.08"/>
    <n v="-0.13"/>
    <n v="17.45"/>
    <n v="1.57"/>
    <n v="-100.61538461538461"/>
    <n v="0.74957020057306589"/>
    <n v="9.34"/>
    <n v="5.1100000000000003"/>
    <n v="1.29"/>
    <n v="8.3312101910828016"/>
    <s v="NO"/>
    <n v="-13.58737556831456"/>
    <n v="-0.67264534331965575"/>
    <n v="4.1014780333504045E-2"/>
    <n v="0.14799483314790546"/>
    <n v="-0.72325568475687085"/>
    <n v="0.45446405742944984"/>
    <x v="1"/>
    <x v="0"/>
    <x v="0"/>
    <x v="0"/>
    <x v="0"/>
    <x v="0"/>
  </r>
  <r>
    <x v="1"/>
    <s v="REPX"/>
    <n v="545"/>
    <n v="29.47"/>
    <n v="5.62"/>
    <n v="23.77"/>
    <n v="4.26"/>
    <n v="5.2437722419928825"/>
    <n v="1.2397980647875473"/>
    <n v="19.07"/>
    <n v="10.01"/>
    <n v="1.95"/>
    <n v="6.9178403755868549"/>
    <s v="NO"/>
    <n v="0.50039892369527261"/>
    <n v="3.0214402988018182E-2"/>
    <n v="0.54379835808397814"/>
    <n v="1.0557870498281516"/>
    <n v="-0.20705612375225207"/>
    <n v="0.30635859249958536"/>
    <x v="0"/>
    <x v="0"/>
    <x v="0"/>
    <x v="0"/>
    <x v="0"/>
    <x v="0"/>
  </r>
  <r>
    <x v="1"/>
    <s v="SBR"/>
    <n v="916"/>
    <n v="66.180000000000007"/>
    <m/>
    <n v="0.6"/>
    <n v="5.46"/>
    <s v=""/>
    <n v="110.30000000000001"/>
    <n v="922.55"/>
    <n v="536.58000000000004"/>
    <n v="1.06"/>
    <n v="12.120879120879122"/>
    <s v="NO"/>
    <e v="#VALUE!"/>
    <n v="156.39428805121693"/>
    <n v="47.22981139261617"/>
    <n v="98.610102873770458"/>
    <n v="-0.90314341056151071"/>
    <n v="0.85157928702050922"/>
    <x v="1"/>
    <x v="1"/>
    <x v="1"/>
    <x v="1"/>
    <x v="0"/>
    <x v="0"/>
  </r>
  <r>
    <x v="1"/>
    <s v="SD"/>
    <n v="343"/>
    <n v="10.81"/>
    <n v="-2.21"/>
    <n v="12.4"/>
    <n v="1.69"/>
    <n v="-4.8914027149321271"/>
    <n v="0.87177419354838714"/>
    <n v="13.56"/>
    <n v="3.64"/>
    <n v="1.26"/>
    <n v="6.3964497041420127"/>
    <s v="NO"/>
    <n v="-0.84839378795076092"/>
    <n v="-0.49743647868677959"/>
    <n v="0.25907713368468605"/>
    <n v="-0.12434283185616841"/>
    <n v="-0.74671930116617169"/>
    <n v="0.25172263879674217"/>
    <x v="0"/>
    <x v="0"/>
    <x v="0"/>
    <x v="0"/>
    <x v="0"/>
    <x v="0"/>
  </r>
  <r>
    <x v="1"/>
    <s v="SJT"/>
    <n v="289"/>
    <n v="6.35"/>
    <m/>
    <n v="0.06"/>
    <n v="0.11"/>
    <s v=""/>
    <n v="105.83333333333333"/>
    <n v="189.96"/>
    <n v="79.180000000000007"/>
    <n v="1.28"/>
    <n v="57.727272727272727"/>
    <s v="NO"/>
    <e v="#VALUE!"/>
    <n v="149.99024530018974"/>
    <n v="9.3742901979378832"/>
    <n v="13.870478402434811"/>
    <n v="-0.7310768902266378"/>
    <n v="5.6306229985767606"/>
    <x v="1"/>
    <x v="1"/>
    <x v="1"/>
    <x v="1"/>
    <x v="0"/>
    <x v="1"/>
  </r>
  <r>
    <x v="1"/>
    <s v="SOC"/>
    <n v="1797"/>
    <n v="28.06"/>
    <n v="-3.85"/>
    <n v="4.3"/>
    <n v="-9.2100000000000009"/>
    <n v="-7.2883116883116879"/>
    <n v="6.5255813953488371"/>
    <n v="-173.97"/>
    <n v="-13.45"/>
    <n v="4.12"/>
    <n v="-3.0466883821932678"/>
    <s v="NO"/>
    <n v="-1.1673752922181715"/>
    <n v="7.6086582287151607"/>
    <n v="-9.4312624691463931"/>
    <n v="-3.2904997671756395"/>
    <n v="1.4901454631871764"/>
    <n v="-0.73781339157535153"/>
    <x v="0"/>
    <x v="1"/>
    <x v="1"/>
    <x v="1"/>
    <x v="0"/>
    <x v="0"/>
  </r>
  <r>
    <x v="1"/>
    <s v="STR"/>
    <n v="1318"/>
    <n v="18.82"/>
    <n v="1.64"/>
    <n v="18.55"/>
    <n v="0.49"/>
    <n v="11.475609756097562"/>
    <n v="1.01455525606469"/>
    <n v="2.73"/>
    <n v="2.62"/>
    <n v="3.24"/>
    <n v="38.408163265306122"/>
    <s v="NO"/>
    <n v="1.3297340910614337"/>
    <n v="-0.29272542755435754"/>
    <n v="-0.30054734185875009"/>
    <n v="-0.31331182389981149"/>
    <n v="0.80187938184768481"/>
    <n v="3.6061948145833878"/>
    <x v="0"/>
    <x v="0"/>
    <x v="0"/>
    <x v="0"/>
    <x v="0"/>
    <x v="1"/>
  </r>
  <r>
    <x v="1"/>
    <s v="TALO"/>
    <n v="1314"/>
    <n v="8.69"/>
    <n v="3.55"/>
    <n v="15.31"/>
    <n v="0.14000000000000001"/>
    <n v="2.4478873239436618"/>
    <n v="0.5676028739386022"/>
    <n v="0.95"/>
    <n v="1.44"/>
    <n v="2.25"/>
    <n v="62.071428571428562"/>
    <s v="NO"/>
    <n v="0.12832155787839372"/>
    <n v="-0.93353934460112487"/>
    <n v="-0.39252624919645246"/>
    <n v="-0.53192301077382997"/>
    <n v="2.7580040340756482E-2"/>
    <n v="6.0858423006818674"/>
    <x v="0"/>
    <x v="0"/>
    <x v="0"/>
    <x v="0"/>
    <x v="0"/>
    <x v="1"/>
  </r>
  <r>
    <x v="1"/>
    <s v="TBN"/>
    <n v="304"/>
    <n v="20.27"/>
    <n v="-0.04"/>
    <n v="0.08"/>
    <n v="-0.01"/>
    <n v="-506.75"/>
    <n v="253.375"/>
    <n v="-12.97"/>
    <n v="-5.42"/>
    <n v="1.49"/>
    <n v="-2027"/>
    <s v="NO"/>
    <n v="-67.635915579323211"/>
    <n v="361.52676938029401"/>
    <n v="-1.111821973994664"/>
    <n v="-1.8028321141261745"/>
    <n v="-0.56683157536153184"/>
    <n v="-212.82564979998904"/>
    <x v="1"/>
    <x v="1"/>
    <x v="0"/>
    <x v="0"/>
    <x v="0"/>
    <x v="1"/>
  </r>
  <r>
    <x v="1"/>
    <s v="TXO"/>
    <n v="704"/>
    <n v="17.68"/>
    <n v="-4.7"/>
    <n v="14.3"/>
    <n v="0.4"/>
    <n v="-3.7617021276595741"/>
    <n v="1.2363636363636363"/>
    <n v="2.97"/>
    <n v="-0.95"/>
    <n v="1.76"/>
    <n v="44.199999999999996"/>
    <s v="NO"/>
    <n v="-0.6980528293653"/>
    <n v="2.5290322439047608E-2"/>
    <n v="-0.28814569143119473"/>
    <n v="-0.97470329605256234"/>
    <n v="-0.35565902767782409"/>
    <n v="4.213115001349018"/>
    <x v="0"/>
    <x v="0"/>
    <x v="0"/>
    <x v="0"/>
    <x v="0"/>
    <x v="1"/>
  </r>
  <r>
    <x v="1"/>
    <s v="VET"/>
    <n v="945"/>
    <n v="7.04"/>
    <n v="1.46"/>
    <n v="12.67"/>
    <n v="-0.21"/>
    <n v="4.8219178082191778"/>
    <n v="0.5556432517758485"/>
    <n v="-1.6"/>
    <n v="1.44"/>
    <n v="2.1800000000000002"/>
    <n v="-33.523809523809526"/>
    <s v="NO"/>
    <n v="0.44425838462537098"/>
    <n v="-0.95068634421673837"/>
    <n v="-0.5242937849892283"/>
    <n v="-0.53192301077382997"/>
    <n v="-2.7168397947612052E-2"/>
    <n v="-3.931477319383935"/>
    <x v="0"/>
    <x v="0"/>
    <x v="0"/>
    <x v="0"/>
    <x v="0"/>
    <x v="1"/>
  </r>
  <r>
    <x v="1"/>
    <s v="VTLE"/>
    <n v="536"/>
    <n v="18.239999999999998"/>
    <n v="-20.11"/>
    <n v="74.37"/>
    <n v="-4.74"/>
    <n v="-0.9070114370959721"/>
    <n v="0.24526018555869297"/>
    <n v="-6.33"/>
    <n v="5.2"/>
    <n v="2.1800000000000002"/>
    <n v="-3.8481012658227844"/>
    <s v="NO"/>
    <n v="-0.31814957028982299"/>
    <n v="-1.3956952453920126"/>
    <n v="-0.76870964549896548"/>
    <n v="0.16466856773999158"/>
    <n v="-2.7168397947612052E-2"/>
    <n v="-0.8217925642090077"/>
    <x v="0"/>
    <x v="0"/>
    <x v="0"/>
    <x v="0"/>
    <x v="0"/>
    <x v="0"/>
  </r>
  <r>
    <x v="1"/>
    <s v="VTS"/>
    <n v="773"/>
    <n v="22.77"/>
    <n v="0.64"/>
    <n v="16.440000000000001"/>
    <n v="0.76"/>
    <n v="35.578125"/>
    <n v="1.3850364963503647"/>
    <n v="4.3499999999999996"/>
    <n v="3.41"/>
    <n v="1.46"/>
    <n v="29.960526315789473"/>
    <s v="NO"/>
    <n v="4.5373054483867028"/>
    <n v="0.23844868466423064"/>
    <n v="-0.2168362014727514"/>
    <n v="-0.16695348692483303"/>
    <n v="-0.59029519177083267"/>
    <n v="2.7209762509423889"/>
    <x v="1"/>
    <x v="0"/>
    <x v="0"/>
    <x v="0"/>
    <x v="0"/>
    <x v="0"/>
  </r>
  <r>
    <x v="1"/>
    <s v="CLMT"/>
    <n v="968"/>
    <n v="14"/>
    <n v="-1.48"/>
    <n v="-8.2899999999999991"/>
    <n v="-2.67"/>
    <n v="-9.4594594594594597"/>
    <n v="-1.6887816646562124"/>
    <n v="62.45"/>
    <n v="1.76"/>
    <n v="-3.87"/>
    <n v="-5.2434456928838955"/>
    <s v="NO"/>
    <n v="-1.4563124148703812"/>
    <n v="-4.1686101762245329"/>
    <n v="2.7853966728646116"/>
    <n v="-0.47263862111307925"/>
    <n v="-4.7589977071566176"/>
    <n v="-0.96800916855517138"/>
    <x v="0"/>
    <x v="1"/>
    <x v="0"/>
    <x v="0"/>
    <x v="1"/>
    <x v="0"/>
  </r>
  <r>
    <x v="1"/>
    <s v="CLNE"/>
    <n v="357"/>
    <n v="2.08"/>
    <n v="-7.0000000000000007E-2"/>
    <n v="3.19"/>
    <n v="-0.37"/>
    <n v="-29.714285714285712"/>
    <n v="0.65203761755485901"/>
    <n v="-11.52"/>
    <n v="-1.41"/>
    <n v="1.74"/>
    <n v="-5.6216216216216219"/>
    <s v="NO"/>
    <n v="-4.151831944062117"/>
    <n v="-0.81248179808085785"/>
    <n v="-1.0368953359948505"/>
    <n v="-1.0599246061898915"/>
    <n v="-0.37130143861735804"/>
    <n v="-1.0076378072432919"/>
    <x v="1"/>
    <x v="0"/>
    <x v="0"/>
    <x v="0"/>
    <x v="0"/>
    <x v="0"/>
  </r>
  <r>
    <x v="1"/>
    <s v="DK"/>
    <n v="865"/>
    <n v="17.329999999999998"/>
    <n v="-7.79"/>
    <n v="5"/>
    <n v="-10.43"/>
    <n v="-2.224646983311938"/>
    <n v="3.4659999999999997"/>
    <n v="-81.67"/>
    <n v="-2.31"/>
    <n v="21.31"/>
    <n v="-1.6615532118887821"/>
    <s v="NO"/>
    <n v="-0.49350098049192564"/>
    <n v="3.2220112012387521"/>
    <n v="-4.6617944088823888"/>
    <n v="-1.2266619521107531"/>
    <n v="14.934797665716564"/>
    <n v="-0.59266660399048443"/>
    <x v="0"/>
    <x v="0"/>
    <x v="1"/>
    <x v="0"/>
    <x v="1"/>
    <x v="0"/>
  </r>
  <r>
    <x v="1"/>
    <s v="GEVO"/>
    <n v="260"/>
    <n v="1.24"/>
    <n v="-0.47"/>
    <n v="2.11"/>
    <n v="-0.34"/>
    <n v="-2.6382978723404258"/>
    <n v="0.58767772511848348"/>
    <n v="-15.02"/>
    <n v="-8.69"/>
    <n v="1.19"/>
    <n v="-3.6470588235294117"/>
    <s v="NO"/>
    <n v="-0.54854978889027628"/>
    <n v="-0.90475720911385604"/>
    <n v="-1.2177527380633661"/>
    <n v="-2.4086444709719714"/>
    <n v="-0.80146773945454042"/>
    <n v="-0.80072554830132237"/>
    <x v="0"/>
    <x v="0"/>
    <x v="0"/>
    <x v="0"/>
    <x v="0"/>
    <x v="0"/>
  </r>
  <r>
    <x v="1"/>
    <s v="PARR"/>
    <n v="896"/>
    <n v="19.11"/>
    <n v="-0.91"/>
    <n v="21.56"/>
    <n v="-0.59"/>
    <n v="-21"/>
    <n v="0.88636363636363635"/>
    <n v="-2.64"/>
    <n v="0.81"/>
    <n v="3.21"/>
    <n v="-32.389830508474574"/>
    <s v="NO"/>
    <n v="-2.9921316815028818"/>
    <n v="-0.47651899760412542"/>
    <n v="-0.57803427017530162"/>
    <n v="-0.64863915291843299"/>
    <n v="0.77841576543838376"/>
    <n v="-3.8126489084149626"/>
    <x v="0"/>
    <x v="0"/>
    <x v="0"/>
    <x v="0"/>
    <x v="0"/>
    <x v="1"/>
  </r>
  <r>
    <x v="1"/>
    <s v="REX"/>
    <n v="654"/>
    <n v="42.68"/>
    <n v="-0.4"/>
    <n v="32.590000000000003"/>
    <n v="3.3"/>
    <n v="-106.69999999999999"/>
    <n v="1.3096041730592205"/>
    <n v="11.61"/>
    <n v="5.81"/>
    <n v="1.28"/>
    <n v="12.933333333333334"/>
    <s v="NO"/>
    <n v="-14.397118361982969"/>
    <n v="0.13029827649278519"/>
    <n v="0.15831372396079857"/>
    <n v="0.27767943553079766"/>
    <n v="-0.7310768902266378"/>
    <n v="0.93671546833023589"/>
    <x v="1"/>
    <x v="0"/>
    <x v="0"/>
    <x v="0"/>
    <x v="0"/>
    <x v="0"/>
  </r>
  <r>
    <x v="1"/>
    <s v="WKC"/>
    <n v="1464"/>
    <n v="27.65"/>
    <n v="3.4"/>
    <n v="33.94"/>
    <n v="0.32"/>
    <n v="8.132352941176471"/>
    <n v="0.8146729522687095"/>
    <n v="1"/>
    <n v="2.15"/>
    <n v="3.43"/>
    <n v="86.40625"/>
    <s v="NO"/>
    <n v="0.88481227725047318"/>
    <n v="-0.57930486457299735"/>
    <n v="-0.38994257202404509"/>
    <n v="-0.40038577121403923"/>
    <n v="0.95048228577325689"/>
    <n v="8.6358614125582083"/>
    <x v="0"/>
    <x v="0"/>
    <x v="0"/>
    <x v="0"/>
    <x v="0"/>
    <x v="1"/>
  </r>
  <r>
    <x v="1"/>
    <s v="ASC"/>
    <n v="394"/>
    <n v="9.82"/>
    <n v="2.2999999999999998"/>
    <n v="15.02"/>
    <n v="3.06"/>
    <n v="4.269565217391305"/>
    <n v="0.65379494007989347"/>
    <n v="21.99"/>
    <n v="11.49"/>
    <n v="1.1599999999999999"/>
    <n v="3.2091503267973858"/>
    <s v="NO"/>
    <n v="0.37075110409654305"/>
    <n v="-0.80996225287690327"/>
    <n v="0.69468510495256841"/>
    <n v="1.3299773520091238"/>
    <n v="-0.82493135586384125"/>
    <n v="-8.2270949418278949E-2"/>
    <x v="0"/>
    <x v="0"/>
    <x v="0"/>
    <x v="0"/>
    <x v="0"/>
    <x v="0"/>
  </r>
  <r>
    <x v="1"/>
    <s v="BWLP"/>
    <n v="1528"/>
    <n v="11.46"/>
    <n v="1.1000000000000001"/>
    <n v="11.91"/>
    <n v="2.64"/>
    <n v="10.418181818181818"/>
    <n v="0.96221662468513858"/>
    <n v="22.41"/>
    <n v="8.8000000000000007"/>
    <n v="1.84"/>
    <n v="4.3409090909090908"/>
    <s v="NO"/>
    <n v="1.1890112025258843"/>
    <n v="-0.36776546476739463"/>
    <n v="0.71638799320079039"/>
    <n v="0.83161795142343786"/>
    <n v="-0.29308938391968847"/>
    <n v="3.6324803872515465E-2"/>
    <x v="0"/>
    <x v="0"/>
    <x v="0"/>
    <x v="0"/>
    <x v="0"/>
    <x v="0"/>
  </r>
  <r>
    <x v="1"/>
    <s v="CAPL"/>
    <n v="861"/>
    <n v="22.16"/>
    <n v="1.62"/>
    <n v="-1.41"/>
    <n v="0.52"/>
    <n v="13.679012345679011"/>
    <n v="-15.716312056737589"/>
    <n v="752.45"/>
    <n v="3.81"/>
    <n v="-20.73"/>
    <n v="42.615384615384613"/>
    <s v="NO"/>
    <n v="1.622963696497977"/>
    <n v="-24.28045442746825"/>
    <n v="38.440141652086311"/>
    <n v="-9.284799984889458E-2"/>
    <n v="-17.945550129183697"/>
    <n v="4.0470649020046192"/>
    <x v="0"/>
    <x v="1"/>
    <x v="1"/>
    <x v="0"/>
    <x v="1"/>
    <x v="1"/>
  </r>
  <r>
    <x v="1"/>
    <s v="CLCO"/>
    <n v="320"/>
    <n v="6.66"/>
    <n v="-0.77"/>
    <n v="14.17"/>
    <n v="1.82"/>
    <n v="-8.6493506493506498"/>
    <n v="0.47000705716302049"/>
    <n v="12.86"/>
    <n v="4.74"/>
    <n v="2.95"/>
    <n v="3.6593406593406592"/>
    <s v="NO"/>
    <n v="-1.3485028444032803"/>
    <n v="-1.0734664601874471"/>
    <n v="0.2229056532709828"/>
    <n v="7.9447257602662372E-2"/>
    <n v="0.57506442322444318"/>
    <n v="-3.5096000740847656E-2"/>
    <x v="0"/>
    <x v="0"/>
    <x v="0"/>
    <x v="0"/>
    <x v="0"/>
    <x v="0"/>
  </r>
  <r>
    <x v="1"/>
    <s v="CMBT"/>
    <n v="1808"/>
    <n v="9.33"/>
    <n v="-3.38"/>
    <n v="6.14"/>
    <n v="4.4400000000000004"/>
    <n v="-2.7603550295857988"/>
    <n v="1.5195439739413681"/>
    <n v="49.06"/>
    <n v="6.3"/>
    <n v="3.28"/>
    <n v="2.1013513513513513"/>
    <s v="NO"/>
    <n v="-0.56479319907278203"/>
    <n v="0.43129755858041269"/>
    <n v="2.0934879260939181"/>
    <n v="0.36845865719882231"/>
    <n v="0.83316420372675226"/>
    <n v="-0.19835598286700196"/>
    <x v="0"/>
    <x v="0"/>
    <x v="0"/>
    <x v="0"/>
    <x v="0"/>
    <x v="0"/>
  </r>
  <r>
    <x v="1"/>
    <s v="DHT"/>
    <n v="1780"/>
    <n v="11.32"/>
    <n v="1.25"/>
    <n v="6.49"/>
    <n v="1.1200000000000001"/>
    <n v="9.0560000000000009"/>
    <n v="1.7442218798151001"/>
    <n v="17.5"/>
    <n v="7.67"/>
    <n v="1.43"/>
    <n v="10.107142857142856"/>
    <s v="NO"/>
    <n v="1.0077315585030633"/>
    <n v="0.75342746479533129"/>
    <n v="0.46267089487038671"/>
    <n v="0.62226995043391153"/>
    <n v="-0.61375880818013351"/>
    <n v="0.64056208379678348"/>
    <x v="0"/>
    <x v="0"/>
    <x v="0"/>
    <x v="0"/>
    <x v="0"/>
    <x v="0"/>
  </r>
  <r>
    <x v="1"/>
    <s v="ECO"/>
    <n v="777"/>
    <n v="24.43"/>
    <n v="5.0599999999999996"/>
    <n v="12.75"/>
    <n v="3.38"/>
    <n v="4.8280632411067197"/>
    <n v="1.916078431372549"/>
    <n v="26.6"/>
    <n v="9.2100000000000009"/>
    <n v="2.64"/>
    <n v="7.2278106508875739"/>
    <s v="NO"/>
    <n v="0.44507622103410144"/>
    <n v="0.9998252341724968"/>
    <n v="0.93290014024852808"/>
    <n v="0.90757607567627485"/>
    <n v="0.33260705366166765"/>
    <n v="0.33884003595091727"/>
    <x v="0"/>
    <x v="0"/>
    <x v="0"/>
    <x v="0"/>
    <x v="0"/>
    <x v="0"/>
  </r>
  <r>
    <x v="1"/>
    <s v="EE"/>
    <n v="799"/>
    <n v="29.8"/>
    <n v="5.16"/>
    <n v="20.45"/>
    <n v="1.27"/>
    <n v="5.775193798449612"/>
    <n v="1.4572127139364304"/>
    <n v="8.2799999999999994"/>
    <n v="4.68"/>
    <n v="5.91"/>
    <n v="23.464566929133859"/>
    <s v="NO"/>
    <n v="0.5711206946767079"/>
    <n v="0.34193068086466405"/>
    <n v="-1.3759175721532204E-2"/>
    <n v="6.833143454127151E-2"/>
    <n v="2.8901412422754609"/>
    <n v="2.0402718276711491"/>
    <x v="0"/>
    <x v="0"/>
    <x v="0"/>
    <x v="0"/>
    <x v="0"/>
    <x v="0"/>
  </r>
  <r>
    <x v="1"/>
    <s v="FLNG"/>
    <n v="1296"/>
    <n v="24.34"/>
    <n v="3.39"/>
    <n v="14.91"/>
    <n v="2.1800000000000002"/>
    <n v="7.1799410029498523"/>
    <n v="1.6324614352783366"/>
    <n v="14.23"/>
    <n v="4.5999999999999996"/>
    <n v="3.31"/>
    <n v="11.165137614678898"/>
    <s v="NO"/>
    <n v="0.75806495554913345"/>
    <n v="0.59319194285042831"/>
    <n v="0.29369840779494477"/>
    <n v="5.3510337126083808E-2"/>
    <n v="0.85662782013605332"/>
    <n v="0.75142818815267065"/>
    <x v="0"/>
    <x v="0"/>
    <x v="0"/>
    <x v="0"/>
    <x v="0"/>
    <x v="0"/>
  </r>
  <r>
    <x v="1"/>
    <s v="GEL"/>
    <n v="1760"/>
    <n v="15.27"/>
    <n v="-2.31"/>
    <n v="2.36"/>
    <n v="-1.24"/>
    <n v="-6.6103896103896105"/>
    <n v="6.4703389830508478"/>
    <n v="-2.0499999999999998"/>
    <n v="2.2799999999999998"/>
    <n v="24.32"/>
    <n v="-12.314516129032258"/>
    <s v="NO"/>
    <n v="-1.0771571793931463"/>
    <n v="7.5294549219928788"/>
    <n v="-0.54754687954089454"/>
    <n v="-0.37630148791435925"/>
    <n v="17.288980512116417"/>
    <n v="-1.7089788447259417"/>
    <x v="0"/>
    <x v="1"/>
    <x v="0"/>
    <x v="0"/>
    <x v="1"/>
    <x v="0"/>
  </r>
  <r>
    <x v="1"/>
    <s v="GLP"/>
    <n v="1694"/>
    <n v="48.71"/>
    <n v="-8.4700000000000006"/>
    <n v="19.05"/>
    <n v="2.41"/>
    <n v="-5.7508854781582048"/>
    <n v="2.5569553805774277"/>
    <n v="14.2"/>
    <n v="4.1900000000000004"/>
    <n v="5.91"/>
    <n v="20.21161825726141"/>
    <s v="NO"/>
    <n v="-0.96277406177451397"/>
    <n v="1.9186767373491922"/>
    <n v="0.29214820149150028"/>
    <n v="-2.244778712675298E-2"/>
    <n v="2.8901412422754609"/>
    <n v="1.699398922251417"/>
    <x v="0"/>
    <x v="0"/>
    <x v="0"/>
    <x v="0"/>
    <x v="0"/>
    <x v="0"/>
  </r>
  <r>
    <x v="1"/>
    <s v="INSW"/>
    <n v="1785"/>
    <n v="38.71"/>
    <n v="5.42"/>
    <n v="37.729999999999997"/>
    <n v="8.3800000000000008"/>
    <n v="7.1420664206642073"/>
    <n v="1.025974025974026"/>
    <n v="23.33"/>
    <n v="10.23"/>
    <n v="1.42"/>
    <n v="4.6193317422434363"/>
    <s v="NO"/>
    <n v="0.75302459257951238"/>
    <n v="-0.27635386994311945"/>
    <n v="0.76392765317308586"/>
    <n v="1.0965450677199178"/>
    <n v="-0.62158001364990056"/>
    <n v="6.5500406585107182E-2"/>
    <x v="0"/>
    <x v="0"/>
    <x v="0"/>
    <x v="0"/>
    <x v="0"/>
    <x v="0"/>
  </r>
  <r>
    <x v="1"/>
    <s v="LPG"/>
    <n v="912"/>
    <n v="23.7"/>
    <n v="5.92"/>
    <n v="24.96"/>
    <n v="3.87"/>
    <n v="4.0033783783783781"/>
    <n v="0.94951923076923073"/>
    <n v="15.72"/>
    <n v="6.19"/>
    <n v="1.7"/>
    <n v="6.1240310077519373"/>
    <s v="NO"/>
    <n v="0.3353268642661868"/>
    <n v="-0.38597023793100049"/>
    <n v="0.3706919875326844"/>
    <n v="0.34807964825293936"/>
    <n v="-0.40258626049642587"/>
    <n v="0.22317618390426788"/>
    <x v="0"/>
    <x v="0"/>
    <x v="0"/>
    <x v="0"/>
    <x v="0"/>
    <x v="0"/>
  </r>
  <r>
    <x v="1"/>
    <s v="NAT"/>
    <n v="552"/>
    <n v="2.64"/>
    <n v="0.6"/>
    <n v="2.4"/>
    <n v="0.22"/>
    <n v="4.4000000000000004"/>
    <n v="1.1000000000000001"/>
    <n v="8.91"/>
    <n v="5.7"/>
    <n v="1.61"/>
    <n v="12"/>
    <s v="NO"/>
    <n v="0.38810941166157786"/>
    <n v="-0.17021980225309757"/>
    <n v="1.8795156650800688E-2"/>
    <n v="0.2573004265849147"/>
    <n v="-0.47297710972432833"/>
    <n v="0.83891249719534677"/>
    <x v="0"/>
    <x v="0"/>
    <x v="0"/>
    <x v="0"/>
    <x v="0"/>
    <x v="0"/>
  </r>
  <r>
    <x v="1"/>
    <s v="NEXT"/>
    <n v="1937"/>
    <n v="8.3000000000000007"/>
    <n v="-10.3"/>
    <n v="1.45"/>
    <n v="-0.24"/>
    <n v="-0.80582524271844658"/>
    <n v="5.7241379310344831"/>
    <n v="22.33"/>
    <n v="-2.2000000000000002"/>
    <n v="16.96"/>
    <n v="-34.583333333333336"/>
    <s v="NO"/>
    <n v="-0.30468367531754587"/>
    <n v="6.4595959433419274"/>
    <n v="0.71225410972493841"/>
    <n v="-1.2062829431648701"/>
    <n v="11.532573286367942"/>
    <n v="-4.0425036514120611"/>
    <x v="0"/>
    <x v="1"/>
    <x v="0"/>
    <x v="0"/>
    <x v="1"/>
    <x v="1"/>
  </r>
  <r>
    <x v="1"/>
    <s v="NFE"/>
    <n v="1619"/>
    <n v="7.05"/>
    <n v="-9.35"/>
    <n v="7.04"/>
    <n v="-1.34"/>
    <n v="-0.75401069518716579"/>
    <n v="1.0014204545454546"/>
    <n v="-12.53"/>
    <n v="3.39"/>
    <n v="6.86"/>
    <n v="-5.2611940298507456"/>
    <s v="NO"/>
    <n v="-0.29778817678254754"/>
    <n v="-0.31155732989512774"/>
    <n v="-1.0890856148774792"/>
    <n v="-0.17065876127862994"/>
    <n v="3.6331557619033212"/>
    <n v="-0.9698689972209511"/>
    <x v="0"/>
    <x v="0"/>
    <x v="0"/>
    <x v="0"/>
    <x v="1"/>
    <x v="0"/>
  </r>
  <r>
    <x v="1"/>
    <s v="NGL"/>
    <n v="405"/>
    <n v="3.38"/>
    <n v="-3.03"/>
    <n v="-1.17"/>
    <n v="-2.5299999999999998"/>
    <n v="-1.1155115511551155"/>
    <n v="-2.8888888888888888"/>
    <n v="-19.600000000000001"/>
    <n v="3.04"/>
    <n v="-31.46"/>
    <n v="-1.3359683794466404"/>
    <s v="NO"/>
    <n v="-0.34589684011156291"/>
    <n v="-5.8892530052848162"/>
    <n v="-1.4544175670558812"/>
    <n v="-0.23550106247007613"/>
    <n v="-26.337703598243635"/>
    <n v="-0.55854892830909542"/>
    <x v="0"/>
    <x v="1"/>
    <x v="0"/>
    <x v="0"/>
    <x v="1"/>
    <x v="0"/>
  </r>
  <r>
    <x v="1"/>
    <s v="NXXT"/>
    <n v="374"/>
    <n v="3.06"/>
    <n v="-2.93"/>
    <n v="0.33"/>
    <n v="-4.59"/>
    <n v="-1.0443686006825939"/>
    <n v="9.2727272727272716"/>
    <n v="-12984"/>
    <n v="-50.78"/>
    <n v="5.65"/>
    <n v="-0.66666666666666674"/>
    <s v="NO"/>
    <n v="-0.33642911079360294"/>
    <n v="11.547353670962814"/>
    <n v="-671.37090424621783"/>
    <n v="-10.206394348537597"/>
    <n v="2.6867899000615201"/>
    <n v="-0.48841353963529016"/>
    <x v="0"/>
    <x v="1"/>
    <x v="1"/>
    <x v="1"/>
    <x v="0"/>
    <x v="0"/>
  </r>
  <r>
    <x v="1"/>
    <s v="SMC"/>
    <n v="339"/>
    <n v="29.52"/>
    <n v="0.77"/>
    <n v="33.54"/>
    <n v="-13.33"/>
    <n v="38.337662337662337"/>
    <n v="0.88014311270125223"/>
    <n v="-11.66"/>
    <n v="1.48"/>
    <n v="6.6"/>
    <n v="-2.2145536384096025"/>
    <s v="NO"/>
    <n v="4.9045456651933126"/>
    <n v="-0.4854376168879353"/>
    <n v="-1.044129632077591"/>
    <n v="-0.52451246206623614"/>
    <n v="3.42980441968938"/>
    <n v="-0.65061490908255282"/>
    <x v="1"/>
    <x v="0"/>
    <x v="0"/>
    <x v="0"/>
    <x v="1"/>
    <x v="0"/>
  </r>
  <r>
    <x v="1"/>
    <s v="TEN"/>
    <n v="520"/>
    <n v="18.13"/>
    <n v="2.2400000000000002"/>
    <n v="56.99"/>
    <n v="4.95"/>
    <n v="8.0937499999999982"/>
    <n v="0.31812598701526579"/>
    <n v="10.86"/>
    <n v="5.03"/>
    <n v="2.08"/>
    <n v="3.6626262626262625"/>
    <s v="NO"/>
    <n v="0.8796749840189092"/>
    <n v="-1.2912245645825164"/>
    <n v="0.11955856637468805"/>
    <n v="0.13317373573271776"/>
    <n v="-0.10538045264528163"/>
    <n v="-3.4751705994452063E-2"/>
    <x v="0"/>
    <x v="0"/>
    <x v="0"/>
    <x v="0"/>
    <x v="0"/>
    <x v="0"/>
  </r>
  <r>
    <x v="1"/>
    <s v="TK"/>
    <n v="658"/>
    <n v="8.14"/>
    <n v="5.0599999999999996"/>
    <n v="8.44"/>
    <n v="1.42"/>
    <n v="1.6086956521739133"/>
    <n v="0.96445497630331767"/>
    <n v="21.5"/>
    <n v="9.56"/>
    <n v="3.03"/>
    <n v="5.7323943661971839"/>
    <s v="NO"/>
    <n v="1.6641629769831308E-2"/>
    <n v="-0.36455624847157753"/>
    <n v="0.66936506866297618"/>
    <n v="0.97241837686772092"/>
    <n v="0.63763406698257852"/>
    <n v="0.18213701195854171"/>
    <x v="0"/>
    <x v="0"/>
    <x v="0"/>
    <x v="0"/>
    <x v="0"/>
    <x v="0"/>
  </r>
  <r>
    <x v="1"/>
    <s v="TNK"/>
    <n v="1586"/>
    <n v="45.66"/>
    <n v="11.53"/>
    <n v="51.12"/>
    <n v="11.63"/>
    <n v="3.9601040763226365"/>
    <n v="0.89319248826291076"/>
    <n v="24.42"/>
    <n v="11.1"/>
    <n v="1.1200000000000001"/>
    <n v="3.9260533104041269"/>
    <s v="NO"/>
    <n v="0.32956790465646912"/>
    <n v="-0.46672819323769565"/>
    <n v="0.82025181553156667"/>
    <n v="1.2577245021100838"/>
    <n v="-0.85621617774290892"/>
    <n v="-7.1474760480583072E-3"/>
    <x v="0"/>
    <x v="0"/>
    <x v="0"/>
    <x v="0"/>
    <x v="0"/>
    <x v="0"/>
  </r>
  <r>
    <x v="1"/>
    <s v="TRMD"/>
    <n v="1616"/>
    <n v="17.27"/>
    <n v="2.6"/>
    <n v="21.31"/>
    <n v="6.36"/>
    <n v="6.6423076923076918"/>
    <n v="0.81041764429845142"/>
    <n v="32.69"/>
    <n v="11.98"/>
    <n v="1.67"/>
    <n v="2.7154088050314464"/>
    <s v="NO"/>
    <n v="0.68651652209690184"/>
    <n v="-0.58540587371336739"/>
    <n v="1.2475920198477455"/>
    <n v="1.4207565736771486"/>
    <n v="-0.42604987690572677"/>
    <n v="-0.13400957920546147"/>
    <x v="0"/>
    <x v="0"/>
    <x v="0"/>
    <x v="0"/>
    <x v="0"/>
    <x v="0"/>
  </r>
  <r>
    <x v="1"/>
    <s v="BTU"/>
    <n v="1754"/>
    <n v="15.28"/>
    <n v="1.64"/>
    <n v="30.07"/>
    <n v="2.73"/>
    <n v="9.3170731707317067"/>
    <n v="0.50814765547056862"/>
    <n v="11.13"/>
    <n v="3.88"/>
    <n v="1.63"/>
    <n v="5.5970695970695967"/>
    <s v="NO"/>
    <n v="1.0424752695278685"/>
    <n v="-1.0187827238938743"/>
    <n v="0.13351042310568792"/>
    <n v="-7.9879539610605385E-2"/>
    <n v="-0.45733469878479455"/>
    <n v="0.16795647857766213"/>
    <x v="0"/>
    <x v="0"/>
    <x v="0"/>
    <x v="0"/>
    <x v="0"/>
    <x v="0"/>
  </r>
  <r>
    <x v="1"/>
    <s v="DNN"/>
    <n v="1357"/>
    <n v="1.52"/>
    <n v="-0.04"/>
    <n v="0.44"/>
    <n v="-7.0000000000000007E-2"/>
    <n v="-38"/>
    <n v="3.4545454545454546"/>
    <n v="-15.19"/>
    <n v="-5.32"/>
    <n v="1.18"/>
    <n v="-21.714285714285712"/>
    <s v="NO"/>
    <n v="-5.2544977674790951"/>
    <n v="3.2055883507646121"/>
    <n v="-1.2265372404495511"/>
    <n v="-1.78430574235719"/>
    <n v="-0.80928894492430736"/>
    <n v="-2.6939703376771753"/>
    <x v="1"/>
    <x v="0"/>
    <x v="0"/>
    <x v="0"/>
    <x v="0"/>
    <x v="0"/>
  </r>
  <r>
    <x v="1"/>
    <s v="EU"/>
    <n v="300"/>
    <n v="1.71"/>
    <n v="-0.36"/>
    <n v="1.54"/>
    <n v="-0.34"/>
    <n v="-4.75"/>
    <n v="1.1103896103896103"/>
    <n v="-23.42"/>
    <n v="-12.54"/>
    <n v="1.37"/>
    <n v="-5.0294117647058822"/>
    <s v="NO"/>
    <n v="-0.82957586402561934"/>
    <n v="-0.15532379275274397"/>
    <n v="-1.6518105030278041"/>
    <n v="-3.1219097840778787"/>
    <n v="-0.66068604099873518"/>
    <n v="-0.94558078916287014"/>
    <x v="0"/>
    <x v="0"/>
    <x v="0"/>
    <x v="1"/>
    <x v="0"/>
    <x v="0"/>
  </r>
  <r>
    <x v="1"/>
    <s v="HNRG"/>
    <n v="649"/>
    <n v="18.440000000000001"/>
    <n v="0.32"/>
    <n v="2.4500000000000002"/>
    <n v="-5.72"/>
    <n v="57.625"/>
    <n v="7.5265306122448976"/>
    <n v="-121.29"/>
    <n v="0.21"/>
    <n v="3.54"/>
    <n v="-3.2237762237762242"/>
    <s v="NO"/>
    <n v="7.471311466137105"/>
    <n v="9.0437600742247568"/>
    <n v="-6.7091002002979891"/>
    <n v="-0.75979738353234072"/>
    <n v="1.0365155459406932"/>
    <n v="-0.75637023128107761"/>
    <x v="1"/>
    <x v="1"/>
    <x v="1"/>
    <x v="0"/>
    <x v="0"/>
    <x v="0"/>
  </r>
  <r>
    <x v="1"/>
    <s v="LEU"/>
    <n v="1230"/>
    <n v="92.57"/>
    <n v="2.02"/>
    <n v="9.6300000000000008"/>
    <n v="4.47"/>
    <n v="45.826732673267323"/>
    <n v="9.6126687435098628"/>
    <n v="75.58"/>
    <n v="4.17"/>
    <n v="6.77"/>
    <n v="20.709172259507831"/>
    <s v="NO"/>
    <n v="5.9011938265323254"/>
    <n v="12.034741666128207"/>
    <n v="3.4638702983387866"/>
    <n v="-2.615306148054999E-2"/>
    <n v="3.5627649126754179"/>
    <n v="1.7515370576654403"/>
    <x v="1"/>
    <x v="1"/>
    <x v="1"/>
    <x v="0"/>
    <x v="1"/>
    <x v="0"/>
  </r>
  <r>
    <x v="1"/>
    <s v="NRP"/>
    <n v="1300"/>
    <n v="97"/>
    <n v="18.64"/>
    <n v="41.5"/>
    <n v="11.35"/>
    <n v="5.203862660944206"/>
    <n v="2.3373493975903616"/>
    <n v="32.520000000000003"/>
    <n v="14.02"/>
    <n v="1.43"/>
    <n v="8.5462555066079293"/>
    <s v="NO"/>
    <n v="0.49508774236174063"/>
    <n v="1.6038186544916142"/>
    <n v="1.2388075174615607"/>
    <n v="1.7986945577644347"/>
    <n v="-0.61375880818013351"/>
    <n v="0.47699841898694684"/>
    <x v="0"/>
    <x v="0"/>
    <x v="0"/>
    <x v="0"/>
    <x v="0"/>
    <x v="0"/>
  </r>
  <r>
    <x v="1"/>
    <s v="URG"/>
    <n v="254"/>
    <n v="0.72940000000000005"/>
    <n v="-0.25"/>
    <n v="0.36"/>
    <n v="-0.17"/>
    <n v="-2.9176000000000002"/>
    <n v="2.0261111111111112"/>
    <n v="-51.22"/>
    <n v="-24.45"/>
    <n v="1.46"/>
    <n v="-4.290588235294118"/>
    <s v="NO"/>
    <n v="-0.58571941602898325"/>
    <n v="1.1575835890357429"/>
    <n v="-3.0883350108863015"/>
    <n v="-5.328400661763947"/>
    <n v="-0.59029519177083267"/>
    <n v="-0.86816028596197481"/>
    <x v="0"/>
    <x v="0"/>
    <x v="0"/>
    <x v="1"/>
    <x v="0"/>
    <x v="0"/>
  </r>
  <r>
    <x v="1"/>
    <s v="UROY"/>
    <n v="257"/>
    <n v="1.96"/>
    <n v="-0.27"/>
    <n v="1.53"/>
    <n v="0"/>
    <n v="-7.2592592592592586"/>
    <n v="1.2810457516339868"/>
    <n v="0.4"/>
    <n v="-7.0000000000000007E-2"/>
    <n v="1"/>
    <s v=""/>
    <s v="NO"/>
    <n v="-1.1635089845591453"/>
    <n v="8.9352899244491205E-2"/>
    <n v="-0.4209466980929335"/>
    <n v="-0.81167122448549778"/>
    <n v="-0.95007064338011238"/>
    <e v="#VALUE!"/>
    <x v="0"/>
    <x v="0"/>
    <x v="0"/>
    <x v="0"/>
    <x v="0"/>
    <x v="1"/>
  </r>
  <r>
    <x v="1"/>
    <s v="UUUU"/>
    <n v="1013"/>
    <n v="4.5199999999999996"/>
    <n v="-0.44"/>
    <n v="2.66"/>
    <n v="-0.28000000000000003"/>
    <n v="-10.272727272727272"/>
    <n v="1.6992481203007517"/>
    <n v="-10.5"/>
    <n v="-4.58"/>
    <n v="1.1599999999999999"/>
    <n v="-16.142857142857139"/>
    <s v="NO"/>
    <n v="-1.5645423866088009"/>
    <n v="0.68894674570481595"/>
    <n v="-0.98418832167773995"/>
    <n v="-1.6472105912667039"/>
    <n v="-0.82493135586384125"/>
    <n v="-2.11014647937197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1" tableType="queryTable" totalsRowShown="0">
  <autoFilter ref="A1:Z51" xr:uid="{1B3BB95A-07C7-4768-8185-A2A759A39458}"/>
  <sortState xmlns:xlrd2="http://schemas.microsoft.com/office/spreadsheetml/2017/richdata2" ref="A2:Z51">
    <sortCondition ref="A1:A51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13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12"/>
    <tableColumn id="9" xr3:uid="{92CA53A2-ADA4-45CE-B0FD-3AD68E123166}" uniqueName="9" name="P/B" queryTableFieldId="46" dataDxfId="111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10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09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08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07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06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05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04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51" tableType="queryTable" totalsRowShown="0">
  <autoFilter ref="A1:Z51" xr:uid="{8A05384F-F989-4428-B033-1A9B3ACA4EBB}"/>
  <sortState xmlns:xlrd2="http://schemas.microsoft.com/office/spreadsheetml/2017/richdata2" ref="A2:Z51">
    <sortCondition ref="A1:A51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03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02"/>
    <tableColumn id="9" xr3:uid="{F1DC44A8-3710-4CCA-B495-699F6ACADE85}" uniqueName="9" name="P/B" queryTableFieldId="45" dataDxfId="101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00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99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98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97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96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95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94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98" tableType="queryTable" totalsRowShown="0">
  <autoFilter ref="A1:Z98" xr:uid="{DE7CBD96-9DC7-4F09-9B11-F8C87451A82B}"/>
  <sortState xmlns:xlrd2="http://schemas.microsoft.com/office/spreadsheetml/2017/richdata2" ref="A2:Z98">
    <sortCondition ref="A1:A98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93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92"/>
    <tableColumn id="9" xr3:uid="{A85952D4-A3AB-4C1A-90DC-2E32ECE72481}" uniqueName="9" name="P/B" queryTableFieldId="45" dataDxfId="91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90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89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88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87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86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85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84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4" tableType="queryTable" totalsRowShown="0">
  <autoFilter ref="A2:Y4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137"/>
    <tableColumn id="3" xr3:uid="{04B713EC-FD8B-48E2-A2D2-C366A9A339B7}" uniqueName="3" name="P/FCF Q3" queryTableFieldId="3" dataDxfId="136"/>
    <tableColumn id="4" xr3:uid="{9DCEA951-E29F-4D9E-B9F0-5DC32A557DF0}" uniqueName="4" name="P/FCF LB" queryTableFieldId="4" dataDxfId="135"/>
    <tableColumn id="5" xr3:uid="{C2B6F391-AB27-4C2B-B68A-D2B47E1AA772}" uniqueName="5" name="P/FCF UB" queryTableFieldId="5" dataDxfId="134"/>
    <tableColumn id="6" xr3:uid="{1FD6B89C-F582-4857-A32F-326E69C5DFFD}" uniqueName="6" name="P/B Q1" queryTableFieldId="6" dataDxfId="133"/>
    <tableColumn id="7" xr3:uid="{A3697E12-D8D4-4284-AE2B-01C3BA154C99}" uniqueName="7" name="P/B Q3" queryTableFieldId="7" dataDxfId="132"/>
    <tableColumn id="8" xr3:uid="{A270BB2A-00C0-4246-AFBA-EDE9D5F40C76}" uniqueName="8" name="P/B LB" queryTableFieldId="8" dataDxfId="131"/>
    <tableColumn id="9" xr3:uid="{F99BB669-75E9-428A-88A3-E037E705383F}" uniqueName="9" name="P/B UB" queryTableFieldId="9" dataDxfId="130"/>
    <tableColumn id="10" xr3:uid="{D3A49932-F6DE-43A8-B449-B1C4E41499CF}" uniqueName="10" name="ROE Q1" queryTableFieldId="10" dataDxfId="129"/>
    <tableColumn id="11" xr3:uid="{BD8F2597-7442-49AD-BA3A-A3F29A6E60DD}" uniqueName="11" name="ROE Q3" queryTableFieldId="11" dataDxfId="128"/>
    <tableColumn id="12" xr3:uid="{3B29ED46-D0C8-4AF8-BFC0-41462C6C29EB}" uniqueName="12" name="ROE LB" queryTableFieldId="12" dataDxfId="127"/>
    <tableColumn id="13" xr3:uid="{F62F045D-EA3F-4608-85C5-21D743180D21}" uniqueName="13" name="ROE UB" queryTableFieldId="13" dataDxfId="126"/>
    <tableColumn id="14" xr3:uid="{9D898AB4-6F4D-4D03-BA61-39B91E78C9C6}" uniqueName="14" name="ROA Q1" queryTableFieldId="14" dataDxfId="125"/>
    <tableColumn id="15" xr3:uid="{2D1DFB04-09CE-4BEC-AD50-26246811DCDA}" uniqueName="15" name="ROA Q3" queryTableFieldId="15" dataDxfId="124"/>
    <tableColumn id="16" xr3:uid="{753F114C-61F5-4444-9EB0-76DCEA7F1F1B}" uniqueName="16" name="ROA LB" queryTableFieldId="16" dataDxfId="123"/>
    <tableColumn id="17" xr3:uid="{AA60DB6D-6DE2-4BF0-A375-18A578568BBF}" uniqueName="17" name="ROA UB" queryTableFieldId="17" dataDxfId="122"/>
    <tableColumn id="18" xr3:uid="{5357CEC7-DB8C-48BE-BDAD-FCBB1FB43389}" uniqueName="18" name="P/E Q1" queryTableFieldId="18" dataDxfId="121"/>
    <tableColumn id="19" xr3:uid="{C18FE8DB-95D8-42EC-BC42-C15678D7CE64}" uniqueName="19" name="P/E Q3" queryTableFieldId="19" dataDxfId="120"/>
    <tableColumn id="20" xr3:uid="{B7040099-49E4-464B-9BD8-1326A00D0599}" uniqueName="20" name="P/E LB" queryTableFieldId="20" dataDxfId="119"/>
    <tableColumn id="21" xr3:uid="{E8713F96-91B8-41CB-AA45-CCA61FACA752}" uniqueName="21" name="P/E UB" queryTableFieldId="21" dataDxfId="118"/>
    <tableColumn id="22" xr3:uid="{91693169-B783-4EDC-94CF-D23F08159B62}" uniqueName="22" name="A/E Q1" queryTableFieldId="22" dataDxfId="117"/>
    <tableColumn id="23" xr3:uid="{F98A9AC1-1CAF-483B-A342-F3A466AEB043}" uniqueName="23" name="A/E Q3" queryTableFieldId="23" dataDxfId="116"/>
    <tableColumn id="24" xr3:uid="{04D140EC-A8E6-4894-B430-208F20D411DB}" uniqueName="24" name="A/E LB" queryTableFieldId="24" dataDxfId="115"/>
    <tableColumn id="25" xr3:uid="{3E6CFD0C-10B0-4D91-A289-A353306CC102}" uniqueName="25" name="A/E UB" queryTableFieldId="25" dataDxfId="1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8:Y10" tableType="queryTable" totalsRowShown="0">
  <autoFilter ref="A8:Y10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14:Y16" tableType="queryTable" totalsRowShown="0">
  <autoFilter ref="A14:Y16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83"/>
    <tableColumn id="3" xr3:uid="{6D66145B-6613-41BC-8233-7356853CCFEF}" uniqueName="3" name="P/FCF Q3" queryTableFieldId="3" dataDxfId="82"/>
    <tableColumn id="4" xr3:uid="{90A69125-3CA2-4D0A-8F1A-65993DFA9D46}" uniqueName="4" name="P/FCF LB" queryTableFieldId="4" dataDxfId="81"/>
    <tableColumn id="5" xr3:uid="{BED6E3D4-DC60-428F-B5E8-4C3C64096FD7}" uniqueName="5" name="P/FCF UB" queryTableFieldId="5" dataDxfId="80"/>
    <tableColumn id="6" xr3:uid="{FC33B186-B76E-4D86-8EBD-E25B773D256E}" uniqueName="6" name="P/B Q1" queryTableFieldId="6" dataDxfId="79"/>
    <tableColumn id="7" xr3:uid="{D82D1432-7C03-4449-BD2D-F895D50A5F32}" uniqueName="7" name="P/B Q3" queryTableFieldId="7" dataDxfId="78"/>
    <tableColumn id="8" xr3:uid="{D3389429-24FB-4947-AACF-CAA92D678F94}" uniqueName="8" name="P/B LB" queryTableFieldId="8" dataDxfId="77"/>
    <tableColumn id="9" xr3:uid="{452E932D-DD5B-4C62-A8B3-25C90C8C7751}" uniqueName="9" name="P/B UB" queryTableFieldId="9" dataDxfId="76"/>
    <tableColumn id="10" xr3:uid="{99E11285-9679-47B1-9540-1BD10239596C}" uniqueName="10" name="ROE Q1" queryTableFieldId="10" dataDxfId="75"/>
    <tableColumn id="11" xr3:uid="{B4F1825A-C678-4C01-BB96-B04FAB1938BD}" uniqueName="11" name="ROE Q3" queryTableFieldId="11" dataDxfId="74"/>
    <tableColumn id="12" xr3:uid="{9F07026D-928C-42B1-8DD2-9BD3176C8B6A}" uniqueName="12" name="ROE LB" queryTableFieldId="12" dataDxfId="73"/>
    <tableColumn id="13" xr3:uid="{47360B1B-7AC4-49FA-9F18-2F1F1B72CA28}" uniqueName="13" name="ROE UB" queryTableFieldId="13" dataDxfId="72"/>
    <tableColumn id="14" xr3:uid="{58B0248D-BCFF-4737-ADF5-EE087C03D561}" uniqueName="14" name="ROA Q1" queryTableFieldId="14" dataDxfId="71"/>
    <tableColumn id="15" xr3:uid="{CCD6E6AE-6BBB-4675-8C50-0F87AF280A3C}" uniqueName="15" name="ROA Q3" queryTableFieldId="15" dataDxfId="70"/>
    <tableColumn id="16" xr3:uid="{BB86731C-A605-4988-A848-B35835CAF73E}" uniqueName="16" name="ROA LB" queryTableFieldId="16" dataDxfId="69"/>
    <tableColumn id="17" xr3:uid="{9760AC7A-70E9-4457-8DC8-4BDA6646C74E}" uniqueName="17" name="ROA UB" queryTableFieldId="17" dataDxfId="68"/>
    <tableColumn id="18" xr3:uid="{931D5CA9-41B9-424B-87E6-FA364034B249}" uniqueName="18" name="P/E Q1" queryTableFieldId="18" dataDxfId="67"/>
    <tableColumn id="19" xr3:uid="{23E1DD3D-5F02-4A6D-9773-5EA3466661AF}" uniqueName="19" name="P/E Q3" queryTableFieldId="19" dataDxfId="66"/>
    <tableColumn id="20" xr3:uid="{478DC28A-5ACD-47E8-8720-6EEE2D43205B}" uniqueName="20" name="P/E LB" queryTableFieldId="20" dataDxfId="65"/>
    <tableColumn id="21" xr3:uid="{AC7D613F-0AC5-4542-BBED-886B4C332840}" uniqueName="21" name="P/E UB" queryTableFieldId="21" dataDxfId="64"/>
    <tableColumn id="22" xr3:uid="{1E3F527B-4B19-4D38-9A78-D4BBA95224B9}" uniqueName="22" name="A/E Q1" queryTableFieldId="22" dataDxfId="63"/>
    <tableColumn id="23" xr3:uid="{1256121C-1427-4F44-988A-E08E26F80A67}" uniqueName="23" name="A/E Q3" queryTableFieldId="23" dataDxfId="62"/>
    <tableColumn id="24" xr3:uid="{3F6A6F05-B80E-47C0-9039-80E1A481FF30}" uniqueName="24" name="A/E LB" queryTableFieldId="24" dataDxfId="61"/>
    <tableColumn id="25" xr3:uid="{08969B40-89DA-4EAE-925B-3C841EB86C63}" uniqueName="25" name="A/E UB" queryTableFieldId="25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1"/>
  <sheetViews>
    <sheetView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108</v>
      </c>
      <c r="C2" s="2">
        <v>35925</v>
      </c>
      <c r="D2">
        <f>RTD("tos.rtd", , "LAST", Main_L[[#This Row],[Symbol]])</f>
        <v>38.18</v>
      </c>
      <c r="E2">
        <v>2.0299999999999998</v>
      </c>
      <c r="F2">
        <v>17.21</v>
      </c>
      <c r="G2">
        <v>2.93</v>
      </c>
      <c r="H2" s="1">
        <f>IF(ISNUMBER(Main_L[[#This Row],[Free CF]]),IF(Main_L[[#This Row],[Free CF]]&lt;&gt;0,Main_L[[#This Row],[Current Price]]/Main_L[[#This Row],[Free CF]],""),"")</f>
        <v>18.807881773399018</v>
      </c>
      <c r="I2" s="1">
        <f>IF(ISNUMBER(Main_L[[#This Row],[BVPS]]),IF(Main_L[[#This Row],[BVPS]]&lt;&gt;0,Main_L[[#This Row],[Current Price]]/Main_L[[#This Row],[BVPS]],""),"")</f>
        <v>2.218477629285299</v>
      </c>
      <c r="J2">
        <v>18.04</v>
      </c>
      <c r="K2">
        <v>5.79</v>
      </c>
      <c r="L2">
        <v>2.2400000000000002</v>
      </c>
      <c r="M2" s="1">
        <f>IF(ISNUMBER(Main_L[[#This Row],[EPS]]),IF(Main_L[[#This Row],[EPS]]&lt;&gt;0,Main_L[[#This Row],[Current Price]]/Main_L[[#This Row],[EPS]],""),"")</f>
        <v>13.030716723549487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1.0262753885573739</v>
      </c>
      <c r="P2" s="1">
        <f>(Main_L[[#This Row],[P/B]]-VLOOKUP(Main_L[[#This Row],[Industry]], Mean_PB_L, 2, FALSE))/(VLOOKUP(Main_L[[#This Row],[Industry]], Mean_PB_L, 3, FALSE))</f>
        <v>0.18451784308597424</v>
      </c>
      <c r="Q2" s="1">
        <f>(Main_L[[#This Row],[ROE]]-VLOOKUP(Main_L[[#This Row],[Industry]], Mean_ROE_L, 2, FALSE))/(VLOOKUP(Main_L[[#This Row],[Industry]], Mean_ROE_L, 3, FALSE))</f>
        <v>0.144032440723213</v>
      </c>
      <c r="R2" s="1">
        <f>(Main_L[[#This Row],[ROA]]-VLOOKUP(Main_L[[#This Row],[Industry]], Mean_ROA_L, 2, FALSE))/(VLOOKUP(Main_L[[#This Row],[Industry]], Mean_ROA_L, 3, FALSE))</f>
        <v>-1.266696175100815</v>
      </c>
      <c r="S2" s="1">
        <f>(Main_L[[#This Row],[A/E]]-VLOOKUP(Main_L[[#This Row],[Industry]], Mean_AE_L, 2, FALSE))/(VLOOKUP(Main_L[[#This Row],[Industry]], Mean_AE_L, 3, FALSE))</f>
        <v>-1.3541130616417565</v>
      </c>
      <c r="T2" s="1">
        <f>(Main_L[[#This Row],[P/E]]-VLOOKUP(Main_L[[#This Row],[Industry]], Mean_PE_L, 2, FALSE))/(VLOOKUP(Main_L[[#This Row],[Industry]], Mean_PE_L, 3, FALSE))</f>
        <v>0.92610744885666363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106</v>
      </c>
      <c r="B3" t="s">
        <v>109</v>
      </c>
      <c r="C3" s="2">
        <v>16640</v>
      </c>
      <c r="D3">
        <f>RTD("tos.rtd", , "LAST", Main_L[[#This Row],[Symbol]])</f>
        <v>21.31</v>
      </c>
      <c r="E3">
        <v>2.2799999999999998</v>
      </c>
      <c r="F3">
        <v>12.04</v>
      </c>
      <c r="G3">
        <v>2.4</v>
      </c>
      <c r="H3" s="1">
        <f>IF(ISNUMBER(Main_L[[#This Row],[Free CF]]),IF(Main_L[[#This Row],[Free CF]]&lt;&gt;0,Main_L[[#This Row],[Current Price]]/Main_L[[#This Row],[Free CF]],""),"")</f>
        <v>9.3464912280701764</v>
      </c>
      <c r="I3" s="1">
        <f>IF(ISNUMBER(Main_L[[#This Row],[BVPS]]),IF(Main_L[[#This Row],[BVPS]]&lt;&gt;0,Main_L[[#This Row],[Current Price]]/Main_L[[#This Row],[BVPS]],""),"")</f>
        <v>1.7699335548172757</v>
      </c>
      <c r="J3">
        <v>21</v>
      </c>
      <c r="K3">
        <v>9.1199999999999992</v>
      </c>
      <c r="L3">
        <v>2.4300000000000002</v>
      </c>
      <c r="M3" s="1">
        <f>IF(ISNUMBER(Main_L[[#This Row],[EPS]]),IF(Main_L[[#This Row],[EPS]]&lt;&gt;0,Main_L[[#This Row],[Current Price]]/Main_L[[#This Row],[EPS]],""),"")</f>
        <v>8.8791666666666664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-1.2709238549306896</v>
      </c>
      <c r="P3" s="1">
        <f>(Main_L[[#This Row],[P/B]]-VLOOKUP(Main_L[[#This Row],[Industry]], Mean_PB_L, 2, FALSE))/(VLOOKUP(Main_L[[#This Row],[Industry]], Mean_PB_L, 3, FALSE))</f>
        <v>-1.5036368650208327</v>
      </c>
      <c r="Q3" s="1">
        <f>(Main_L[[#This Row],[ROE]]-VLOOKUP(Main_L[[#This Row],[Industry]], Mean_ROE_L, 2, FALSE))/(VLOOKUP(Main_L[[#This Row],[Industry]], Mean_ROE_L, 3, FALSE))</f>
        <v>0.86056357440508091</v>
      </c>
      <c r="R3" s="1">
        <f>(Main_L[[#This Row],[ROA]]-VLOOKUP(Main_L[[#This Row],[Industry]], Mean_ROA_L, 2, FALSE))/(VLOOKUP(Main_L[[#This Row],[Industry]], Mean_ROA_L, 3, FALSE))</f>
        <v>1.3171312448598065</v>
      </c>
      <c r="S3" s="1">
        <f>(Main_L[[#This Row],[A/E]]-VLOOKUP(Main_L[[#This Row],[Industry]], Mean_AE_L, 2, FALSE))/(VLOOKUP(Main_L[[#This Row],[Industry]], Mean_AE_L, 3, FALSE))</f>
        <v>0.32380964517520716</v>
      </c>
      <c r="T3" s="1">
        <f>(Main_L[[#This Row],[P/E]]-VLOOKUP(Main_L[[#This Row],[Industry]], Mean_PE_L, 2, FALSE))/(VLOOKUP(Main_L[[#This Row],[Industry]], Mean_PE_L, 3, FALSE))</f>
        <v>-1.3886582538463454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106</v>
      </c>
      <c r="B4" t="s">
        <v>110</v>
      </c>
      <c r="C4" s="2">
        <v>45183</v>
      </c>
      <c r="D4">
        <f>RTD("tos.rtd", , "LAST", Main_L[[#This Row],[Symbol]])</f>
        <v>36.11</v>
      </c>
      <c r="E4">
        <v>3.07</v>
      </c>
      <c r="F4">
        <v>14.35</v>
      </c>
      <c r="G4">
        <v>2.96</v>
      </c>
      <c r="H4" s="1">
        <f>IF(ISNUMBER(Main_L[[#This Row],[Free CF]]),IF(Main_L[[#This Row],[Free CF]]&lt;&gt;0,Main_L[[#This Row],[Current Price]]/Main_L[[#This Row],[Free CF]],""),"")</f>
        <v>11.762214983713356</v>
      </c>
      <c r="I4" s="1">
        <f>IF(ISNUMBER(Main_L[[#This Row],[BVPS]]),IF(Main_L[[#This Row],[BVPS]]&lt;&gt;0,Main_L[[#This Row],[Current Price]]/Main_L[[#This Row],[BVPS]],""),"")</f>
        <v>2.5163763066202089</v>
      </c>
      <c r="J4">
        <v>20.2</v>
      </c>
      <c r="K4">
        <v>8.1300000000000008</v>
      </c>
      <c r="L4">
        <v>2.5099999999999998</v>
      </c>
      <c r="M4" s="1">
        <f>IF(ISNUMBER(Main_L[[#This Row],[EPS]]),IF(Main_L[[#This Row],[EPS]]&lt;&gt;0,Main_L[[#This Row],[Current Price]]/Main_L[[#This Row],[EPS]],""),"")</f>
        <v>12.199324324324325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-0.68439286275222644</v>
      </c>
      <c r="P4" s="1">
        <f>(Main_L[[#This Row],[P/B]]-VLOOKUP(Main_L[[#This Row],[Industry]], Mean_PB_L, 2, FALSE))/(VLOOKUP(Main_L[[#This Row],[Industry]], Mean_PB_L, 3, FALSE))</f>
        <v>1.3056987555262085</v>
      </c>
      <c r="Q4" s="1">
        <f>(Main_L[[#This Row],[ROE]]-VLOOKUP(Main_L[[#This Row],[Industry]], Mean_ROE_L, 2, FALSE))/(VLOOKUP(Main_L[[#This Row],[Industry]], Mean_ROE_L, 3, FALSE))</f>
        <v>0.66690651124781919</v>
      </c>
      <c r="R4" s="1">
        <f>(Main_L[[#This Row],[ROA]]-VLOOKUP(Main_L[[#This Row],[Industry]], Mean_ROA_L, 2, FALSE))/(VLOOKUP(Main_L[[#This Row],[Industry]], Mean_ROA_L, 3, FALSE))</f>
        <v>0.54896633622286595</v>
      </c>
      <c r="S4" s="1">
        <f>(Main_L[[#This Row],[A/E]]-VLOOKUP(Main_L[[#This Row],[Industry]], Mean_AE_L, 2, FALSE))/(VLOOKUP(Main_L[[#This Row],[Industry]], Mean_AE_L, 3, FALSE))</f>
        <v>1.0303034164665572</v>
      </c>
      <c r="T4" s="1">
        <f>(Main_L[[#This Row],[P/E]]-VLOOKUP(Main_L[[#This Row],[Industry]], Mean_PE_L, 2, FALSE))/(VLOOKUP(Main_L[[#This Row],[Industry]], Mean_PE_L, 3, FALSE))</f>
        <v>0.46255080498968282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106</v>
      </c>
      <c r="B5" t="s">
        <v>111</v>
      </c>
      <c r="C5" s="2">
        <v>17685</v>
      </c>
      <c r="D5">
        <f>RTD("tos.rtd", , "LAST", Main_L[[#This Row],[Symbol]])</f>
        <v>34.79</v>
      </c>
      <c r="E5">
        <v>1.89</v>
      </c>
      <c r="F5">
        <v>16.010000000000002</v>
      </c>
      <c r="G5">
        <v>1.63</v>
      </c>
      <c r="H5" s="1">
        <f>IF(ISNUMBER(Main_L[[#This Row],[Free CF]]),IF(Main_L[[#This Row],[Free CF]]&lt;&gt;0,Main_L[[#This Row],[Current Price]]/Main_L[[#This Row],[Free CF]],""),"")</f>
        <v>18.407407407407408</v>
      </c>
      <c r="I5" s="1">
        <f>IF(ISNUMBER(Main_L[[#This Row],[BVPS]]),IF(Main_L[[#This Row],[BVPS]]&lt;&gt;0,Main_L[[#This Row],[Current Price]]/Main_L[[#This Row],[BVPS]],""),"")</f>
        <v>2.1730168644597123</v>
      </c>
      <c r="J5">
        <v>10.54</v>
      </c>
      <c r="K5">
        <v>6.65</v>
      </c>
      <c r="L5">
        <v>1.2</v>
      </c>
      <c r="M5" s="1">
        <f>IF(ISNUMBER(Main_L[[#This Row],[EPS]]),IF(Main_L[[#This Row],[EPS]]&lt;&gt;0,Main_L[[#This Row],[Current Price]]/Main_L[[#This Row],[EPS]],""),"")</f>
        <v>21.343558282208591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0.92904132912554083</v>
      </c>
      <c r="P5" s="1">
        <f>(Main_L[[#This Row],[P/B]]-VLOOKUP(Main_L[[#This Row],[Industry]], Mean_PB_L, 2, FALSE))/(VLOOKUP(Main_L[[#This Row],[Industry]], Mean_PB_L, 3, FALSE))</f>
        <v>1.3420266408653462E-2</v>
      </c>
      <c r="Q5" s="1">
        <f>(Main_L[[#This Row],[ROE]]-VLOOKUP(Main_L[[#This Row],[Industry]], Mean_ROE_L, 2, FALSE))/(VLOOKUP(Main_L[[#This Row],[Industry]], Mean_ROE_L, 3, FALSE))</f>
        <v>-1.6715025263761139</v>
      </c>
      <c r="R5" s="1">
        <f>(Main_L[[#This Row],[ROA]]-VLOOKUP(Main_L[[#This Row],[Industry]], Mean_ROA_L, 2, FALSE))/(VLOOKUP(Main_L[[#This Row],[Industry]], Mean_ROA_L, 3, FALSE))</f>
        <v>-0.59940140598185532</v>
      </c>
      <c r="S5" s="1">
        <f>(Main_L[[#This Row],[A/E]]-VLOOKUP(Main_L[[#This Row],[Industry]], Mean_AE_L, 2, FALSE))/(VLOOKUP(Main_L[[#This Row],[Industry]], Mean_AE_L, 3, FALSE))</f>
        <v>-10.538532088429351</v>
      </c>
      <c r="T5" s="1">
        <f>(Main_L[[#This Row],[P/E]]-VLOOKUP(Main_L[[#This Row],[Industry]], Mean_PE_L, 2, FALSE))/(VLOOKUP(Main_L[[#This Row],[Industry]], Mean_PE_L, 3, FALSE))</f>
        <v>5.5610703586948098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" spans="1:26" x14ac:dyDescent="0.25">
      <c r="A6" t="s">
        <v>107</v>
      </c>
      <c r="B6" t="s">
        <v>112</v>
      </c>
      <c r="C6" s="2">
        <v>73268</v>
      </c>
      <c r="D6">
        <f>RTD("tos.rtd", , "LAST", Main_L[[#This Row],[Symbol]])</f>
        <v>30.56</v>
      </c>
      <c r="E6">
        <v>0.63</v>
      </c>
      <c r="F6">
        <v>3.69</v>
      </c>
      <c r="G6">
        <v>-7.0000000000000007E-2</v>
      </c>
      <c r="H6" s="1">
        <f>IF(ISNUMBER(Main_L[[#This Row],[Free CF]]),IF(Main_L[[#This Row],[Free CF]]&lt;&gt;0,Main_L[[#This Row],[Current Price]]/Main_L[[#This Row],[Free CF]],""),"")</f>
        <v>48.507936507936506</v>
      </c>
      <c r="I6" s="1">
        <f>IF(ISNUMBER(Main_L[[#This Row],[BVPS]]),IF(Main_L[[#This Row],[BVPS]]&lt;&gt;0,Main_L[[#This Row],[Current Price]]/Main_L[[#This Row],[BVPS]],""),"")</f>
        <v>8.2818428184281849</v>
      </c>
      <c r="J6">
        <v>-0.24</v>
      </c>
      <c r="K6">
        <v>2.0299999999999998</v>
      </c>
      <c r="L6">
        <v>4.83</v>
      </c>
      <c r="M6" s="1">
        <f>IF(ISNUMBER(Main_L[[#This Row],[EPS]]),IF(Main_L[[#This Row],[EPS]]&lt;&gt;0,Main_L[[#This Row],[Current Price]]/Main_L[[#This Row],[EPS]],""),"")</f>
        <v>-436.5714285714285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2.5542496193561233</v>
      </c>
      <c r="P6" s="1">
        <f>(Main_L[[#This Row],[P/B]]-VLOOKUP(Main_L[[#This Row],[Industry]], Mean_PB_L, 2, FALSE))/(VLOOKUP(Main_L[[#This Row],[Industry]], Mean_PB_L, 3, FALSE))</f>
        <v>8.0009179519646043</v>
      </c>
      <c r="Q6" s="1">
        <f>(Main_L[[#This Row],[ROE]]-VLOOKUP(Main_L[[#This Row],[Industry]], Mean_ROE_L, 2, FALSE))/(VLOOKUP(Main_L[[#This Row],[Industry]], Mean_ROE_L, 3, FALSE))</f>
        <v>-1.6798041131630164</v>
      </c>
      <c r="R6" s="1">
        <f>(Main_L[[#This Row],[ROA]]-VLOOKUP(Main_L[[#This Row],[Industry]], Mean_ROA_L, 2, FALSE))/(VLOOKUP(Main_L[[#This Row],[Industry]], Mean_ROA_L, 3, FALSE))</f>
        <v>-1.1264630061364678</v>
      </c>
      <c r="S6" s="1">
        <f>(Main_L[[#This Row],[A/E]]-VLOOKUP(Main_L[[#This Row],[Industry]], Mean_AE_L, 2, FALSE))/(VLOOKUP(Main_L[[#This Row],[Industry]], Mean_AE_L, 3, FALSE))</f>
        <v>2.3316401644427911</v>
      </c>
      <c r="T6" s="1">
        <f>(Main_L[[#This Row],[P/E]]-VLOOKUP(Main_L[[#This Row],[Industry]], Mean_PE_L, 2, FALSE))/(VLOOKUP(Main_L[[#This Row],[Industry]], Mean_PE_L, 3, FALSE))</f>
        <v>-50.121437396737697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" spans="1:26" x14ac:dyDescent="0.25">
      <c r="A7" t="s">
        <v>107</v>
      </c>
      <c r="B7" t="s">
        <v>113</v>
      </c>
      <c r="C7" s="2">
        <v>21435</v>
      </c>
      <c r="D7">
        <f>RTD("tos.rtd", , "LAST", Main_L[[#This Row],[Symbol]])</f>
        <v>13.93</v>
      </c>
      <c r="E7">
        <v>1.57</v>
      </c>
      <c r="F7">
        <v>11.22</v>
      </c>
      <c r="G7">
        <v>1.1599999999999999</v>
      </c>
      <c r="H7" s="1">
        <f>IF(ISNUMBER(Main_L[[#This Row],[Free CF]]),IF(Main_L[[#This Row],[Free CF]]&lt;&gt;0,Main_L[[#This Row],[Current Price]]/Main_L[[#This Row],[Free CF]],""),"")</f>
        <v>8.872611464968152</v>
      </c>
      <c r="I7" s="1">
        <f>IF(ISNUMBER(Main_L[[#This Row],[BVPS]]),IF(Main_L[[#This Row],[BVPS]]&lt;&gt;0,Main_L[[#This Row],[Current Price]]/Main_L[[#This Row],[BVPS]],""),"")</f>
        <v>1.2415329768270944</v>
      </c>
      <c r="J7">
        <v>10.74</v>
      </c>
      <c r="K7">
        <v>5.41</v>
      </c>
      <c r="L7">
        <v>1.92</v>
      </c>
      <c r="M7" s="1">
        <f>IF(ISNUMBER(Main_L[[#This Row],[EPS]]),IF(Main_L[[#This Row],[EPS]]&lt;&gt;0,Main_L[[#This Row],[Current Price]]/Main_L[[#This Row],[EPS]],""),"")</f>
        <v>12.008620689655173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" s="1">
        <f>(Main_L[[#This Row],[P/FCF]]-VLOOKUP(Main_L[[#This Row],[Industry]], Mean_PFCF_L, 2, FALSE))/(VLOOKUP(Main_L[[#This Row],[Industry]], Mean_PFCF_L, 3, FALSE))</f>
        <v>-0.83694611816502651</v>
      </c>
      <c r="P7" s="1">
        <f>(Main_L[[#This Row],[P/B]]-VLOOKUP(Main_L[[#This Row],[Industry]], Mean_PB_L, 2, FALSE))/(VLOOKUP(Main_L[[#This Row],[Industry]], Mean_PB_L, 3, FALSE))</f>
        <v>-1.0123180648103838</v>
      </c>
      <c r="Q7" s="1">
        <f>(Main_L[[#This Row],[ROE]]-VLOOKUP(Main_L[[#This Row],[Industry]], Mean_ROE_L, 2, FALSE))/(VLOOKUP(Main_L[[#This Row],[Industry]], Mean_ROE_L, 3, FALSE))</f>
        <v>-0.25816176235797283</v>
      </c>
      <c r="R7" s="1">
        <f>(Main_L[[#This Row],[ROA]]-VLOOKUP(Main_L[[#This Row],[Industry]], Mean_ROA_L, 2, FALSE))/(VLOOKUP(Main_L[[#This Row],[Industry]], Mean_ROA_L, 3, FALSE))</f>
        <v>-3.1880349563563261E-2</v>
      </c>
      <c r="S7" s="1">
        <f>(Main_L[[#This Row],[A/E]]-VLOOKUP(Main_L[[#This Row],[Industry]], Mean_AE_L, 2, FALSE))/(VLOOKUP(Main_L[[#This Row],[Industry]], Mean_AE_L, 3, FALSE))</f>
        <v>-0.72109749916939947</v>
      </c>
      <c r="T7" s="1">
        <f>(Main_L[[#This Row],[P/E]]-VLOOKUP(Main_L[[#This Row],[Industry]], Mean_PE_L, 2, FALSE))/(VLOOKUP(Main_L[[#This Row],[Industry]], Mean_PE_L, 3, FALSE))</f>
        <v>-0.66702899321965092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107</v>
      </c>
      <c r="B8" t="s">
        <v>114</v>
      </c>
      <c r="C8" s="2">
        <v>236436</v>
      </c>
      <c r="D8">
        <f>RTD("tos.rtd", , "LAST", Main_L[[#This Row],[Symbol]])</f>
        <v>142.35</v>
      </c>
      <c r="E8">
        <v>7.64</v>
      </c>
      <c r="F8">
        <v>86.1</v>
      </c>
      <c r="G8">
        <v>8.74</v>
      </c>
      <c r="H8" s="1">
        <f>IF(ISNUMBER(Main_L[[#This Row],[Free CF]]),IF(Main_L[[#This Row],[Free CF]]&lt;&gt;0,Main_L[[#This Row],[Current Price]]/Main_L[[#This Row],[Free CF]],""),"")</f>
        <v>18.63219895287958</v>
      </c>
      <c r="I8" s="1">
        <f>IF(ISNUMBER(Main_L[[#This Row],[BVPS]]),IF(Main_L[[#This Row],[BVPS]]&lt;&gt;0,Main_L[[#This Row],[Current Price]]/Main_L[[#This Row],[BVPS]],""),"")</f>
        <v>1.6533101045296168</v>
      </c>
      <c r="J8">
        <v>11.27</v>
      </c>
      <c r="K8">
        <v>5.62</v>
      </c>
      <c r="L8">
        <v>1.69</v>
      </c>
      <c r="M8" s="1">
        <f>IF(ISNUMBER(Main_L[[#This Row],[EPS]]),IF(Main_L[[#This Row],[EPS]]&lt;&gt;0,Main_L[[#This Row],[Current Price]]/Main_L[[#This Row],[EPS]],""),"")</f>
        <v>16.287185354691076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" s="1">
        <f>(Main_L[[#This Row],[P/FCF]]-VLOOKUP(Main_L[[#This Row],[Industry]], Mean_PFCF_L, 2, FALSE))/(VLOOKUP(Main_L[[#This Row],[Industry]], Mean_PFCF_L, 3, FALSE))</f>
        <v>-1.9164709225696285E-3</v>
      </c>
      <c r="P8" s="1">
        <f>(Main_L[[#This Row],[P/B]]-VLOOKUP(Main_L[[#This Row],[Industry]], Mean_PB_L, 2, FALSE))/(VLOOKUP(Main_L[[#This Row],[Industry]], Mean_PB_L, 3, FALSE))</f>
        <v>-0.4851474541702589</v>
      </c>
      <c r="Q8" s="1">
        <f>(Main_L[[#This Row],[ROE]]-VLOOKUP(Main_L[[#This Row],[Industry]], Mean_ROE_L, 2, FALSE))/(VLOOKUP(Main_L[[#This Row],[Industry]], Mean_ROE_L, 3, FALSE))</f>
        <v>-0.18953968167248358</v>
      </c>
      <c r="R8" s="1">
        <f>(Main_L[[#This Row],[ROA]]-VLOOKUP(Main_L[[#This Row],[Industry]], Mean_ROA_L, 2, FALSE))/(VLOOKUP(Main_L[[#This Row],[Industry]], Mean_ROA_L, 3, FALSE))</f>
        <v>3.6126265193924867E-2</v>
      </c>
      <c r="S8" s="1">
        <f>(Main_L[[#This Row],[A/E]]-VLOOKUP(Main_L[[#This Row],[Industry]], Mean_AE_L, 2, FALSE))/(VLOOKUP(Main_L[[#This Row],[Industry]], Mean_AE_L, 3, FALSE))</f>
        <v>-0.9623791701765485</v>
      </c>
      <c r="T8" s="1">
        <f>(Main_L[[#This Row],[P/E]]-VLOOKUP(Main_L[[#This Row],[Industry]], Mean_PE_L, 2, FALSE))/(VLOOKUP(Main_L[[#This Row],[Industry]], Mean_PE_L, 3, FALSE))</f>
        <v>-0.19533194678592844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107</v>
      </c>
      <c r="B9" t="s">
        <v>115</v>
      </c>
      <c r="C9" s="2">
        <v>43719</v>
      </c>
      <c r="D9">
        <f>RTD("tos.rtd", , "LAST", Main_L[[#This Row],[Symbol]])</f>
        <v>30.22</v>
      </c>
      <c r="E9">
        <v>1.8</v>
      </c>
      <c r="F9">
        <v>18.920000000000002</v>
      </c>
      <c r="G9">
        <v>0.83</v>
      </c>
      <c r="H9" s="1">
        <f>IF(ISNUMBER(Main_L[[#This Row],[Free CF]]),IF(Main_L[[#This Row],[Free CF]]&lt;&gt;0,Main_L[[#This Row],[Current Price]]/Main_L[[#This Row],[Free CF]],""),"")</f>
        <v>16.788888888888888</v>
      </c>
      <c r="I9" s="1">
        <f>IF(ISNUMBER(Main_L[[#This Row],[BVPS]]),IF(Main_L[[#This Row],[BVPS]]&lt;&gt;0,Main_L[[#This Row],[Current Price]]/Main_L[[#This Row],[BVPS]],""),"")</f>
        <v>1.5972515856236784</v>
      </c>
      <c r="J9">
        <v>4.84</v>
      </c>
      <c r="K9">
        <v>2.4900000000000002</v>
      </c>
      <c r="L9">
        <v>2.7</v>
      </c>
      <c r="M9" s="1">
        <f>IF(ISNUMBER(Main_L[[#This Row],[EPS]]),IF(Main_L[[#This Row],[EPS]]&lt;&gt;0,Main_L[[#This Row],[Current Price]]/Main_L[[#This Row],[EPS]],""),"")</f>
        <v>36.409638554216869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-0.15962995567785765</v>
      </c>
      <c r="P9" s="1">
        <f>(Main_L[[#This Row],[P/B]]-VLOOKUP(Main_L[[#This Row],[Industry]], Mean_PB_L, 2, FALSE))/(VLOOKUP(Main_L[[#This Row],[Industry]], Mean_PB_L, 3, FALSE))</f>
        <v>-0.55691541225989294</v>
      </c>
      <c r="Q9" s="1">
        <f>(Main_L[[#This Row],[ROE]]-VLOOKUP(Main_L[[#This Row],[Industry]], Mean_ROE_L, 2, FALSE))/(VLOOKUP(Main_L[[#This Row],[Industry]], Mean_ROE_L, 3, FALSE))</f>
        <v>-1.0220679435737978</v>
      </c>
      <c r="R9" s="1">
        <f>(Main_L[[#This Row],[ROA]]-VLOOKUP(Main_L[[#This Row],[Industry]], Mean_ROA_L, 2, FALSE))/(VLOOKUP(Main_L[[#This Row],[Industry]], Mean_ROA_L, 3, FALSE))</f>
        <v>-0.97749613571530303</v>
      </c>
      <c r="S9" s="1">
        <f>(Main_L[[#This Row],[A/E]]-VLOOKUP(Main_L[[#This Row],[Industry]], Mean_AE_L, 2, FALSE))/(VLOOKUP(Main_L[[#This Row],[Industry]], Mean_AE_L, 3, FALSE))</f>
        <v>9.7162080767888973E-2</v>
      </c>
      <c r="T9" s="1">
        <f>(Main_L[[#This Row],[P/E]]-VLOOKUP(Main_L[[#This Row],[Industry]], Mean_PE_L, 2, FALSE))/(VLOOKUP(Main_L[[#This Row],[Industry]], Mean_PE_L, 3, FALSE))</f>
        <v>2.0230993460218145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107</v>
      </c>
      <c r="B10" t="s">
        <v>116</v>
      </c>
      <c r="C10" s="2">
        <v>16190</v>
      </c>
      <c r="D10">
        <f>RTD("tos.rtd", , "LAST", Main_L[[#This Row],[Symbol]])</f>
        <v>8.6199999999999992</v>
      </c>
      <c r="E10">
        <v>0.13</v>
      </c>
      <c r="F10">
        <v>0.46</v>
      </c>
      <c r="G10">
        <v>0.08</v>
      </c>
      <c r="H10" s="1">
        <f>IF(ISNUMBER(Main_L[[#This Row],[Free CF]]),IF(Main_L[[#This Row],[Free CF]]&lt;&gt;0,Main_L[[#This Row],[Current Price]]/Main_L[[#This Row],[Free CF]],""),"")</f>
        <v>66.307692307692292</v>
      </c>
      <c r="I10" s="1">
        <f>IF(ISNUMBER(Main_L[[#This Row],[BVPS]]),IF(Main_L[[#This Row],[BVPS]]&lt;&gt;0,Main_L[[#This Row],[Current Price]]/Main_L[[#This Row],[BVPS]],""),"")</f>
        <v>18.739130434782606</v>
      </c>
      <c r="J10">
        <v>18.41</v>
      </c>
      <c r="K10">
        <v>8.01</v>
      </c>
      <c r="L10">
        <v>3.6</v>
      </c>
      <c r="M10" s="1">
        <f>IF(ISNUMBER(Main_L[[#This Row],[EPS]]),IF(Main_L[[#This Row],[EPS]]&lt;&gt;0,Main_L[[#This Row],[Current Price]]/Main_L[[#This Row],[EPS]],""),"")</f>
        <v>107.74999999999999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4.0771955251008274</v>
      </c>
      <c r="P10" s="1">
        <f>(Main_L[[#This Row],[P/B]]-VLOOKUP(Main_L[[#This Row],[Industry]], Mean_PB_L, 2, FALSE))/(VLOOKUP(Main_L[[#This Row],[Industry]], Mean_PB_L, 3, FALSE))</f>
        <v>21.388681204166254</v>
      </c>
      <c r="Q10" s="1">
        <f>(Main_L[[#This Row],[ROE]]-VLOOKUP(Main_L[[#This Row],[Industry]], Mean_ROE_L, 2, FALSE))/(VLOOKUP(Main_L[[#This Row],[Industry]], Mean_ROE_L, 3, FALSE))</f>
        <v>0.73491627322259945</v>
      </c>
      <c r="R10" s="1">
        <f>(Main_L[[#This Row],[ROA]]-VLOOKUP(Main_L[[#This Row],[Industry]], Mean_ROA_L, 2, FALSE))/(VLOOKUP(Main_L[[#This Row],[Industry]], Mean_ROA_L, 3, FALSE))</f>
        <v>0.81010630933867067</v>
      </c>
      <c r="S10" s="1">
        <f>(Main_L[[#This Row],[A/E]]-VLOOKUP(Main_L[[#This Row],[Industry]], Mean_AE_L, 2, FALSE))/(VLOOKUP(Main_L[[#This Row],[Industry]], Mean_AE_L, 3, FALSE))</f>
        <v>1.0413077499262984</v>
      </c>
      <c r="T10" s="1">
        <f>(Main_L[[#This Row],[P/E]]-VLOOKUP(Main_L[[#This Row],[Industry]], Mean_PE_L, 2, FALSE))/(VLOOKUP(Main_L[[#This Row],[Industry]], Mean_PE_L, 3, FALSE))</f>
        <v>9.8881289575837865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" spans="1:26" x14ac:dyDescent="0.25">
      <c r="A11" t="s">
        <v>107</v>
      </c>
      <c r="B11" t="s">
        <v>117</v>
      </c>
      <c r="C11" s="2">
        <v>61914</v>
      </c>
      <c r="D11">
        <f>RTD("tos.rtd", , "LAST", Main_L[[#This Row],[Symbol]])</f>
        <v>23.63</v>
      </c>
      <c r="E11">
        <v>2.64</v>
      </c>
      <c r="F11">
        <v>16.850000000000001</v>
      </c>
      <c r="G11">
        <v>3.15</v>
      </c>
      <c r="H11" s="1">
        <f>IF(ISNUMBER(Main_L[[#This Row],[Free CF]]),IF(Main_L[[#This Row],[Free CF]]&lt;&gt;0,Main_L[[#This Row],[Current Price]]/Main_L[[#This Row],[Free CF]],""),"")</f>
        <v>8.9507575757575744</v>
      </c>
      <c r="I11" s="1">
        <f>IF(ISNUMBER(Main_L[[#This Row],[BVPS]]),IF(Main_L[[#This Row],[BVPS]]&lt;&gt;0,Main_L[[#This Row],[Current Price]]/Main_L[[#This Row],[BVPS]],""),"")</f>
        <v>1.4023738872403559</v>
      </c>
      <c r="J11">
        <v>18.32</v>
      </c>
      <c r="K11">
        <v>13.63</v>
      </c>
      <c r="L11">
        <v>3.01</v>
      </c>
      <c r="M11" s="1">
        <f>IF(ISNUMBER(Main_L[[#This Row],[EPS]]),IF(Main_L[[#This Row],[EPS]]&lt;&gt;0,Main_L[[#This Row],[Current Price]]/Main_L[[#This Row],[EPS]],""),"")</f>
        <v>7.5015873015873016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-0.83025994219635091</v>
      </c>
      <c r="P11" s="1">
        <f>(Main_L[[#This Row],[P/B]]-VLOOKUP(Main_L[[#This Row],[Industry]], Mean_PB_L, 2, FALSE))/(VLOOKUP(Main_L[[#This Row],[Industry]], Mean_PB_L, 3, FALSE))</f>
        <v>-0.80640424577056702</v>
      </c>
      <c r="Q11" s="1">
        <f>(Main_L[[#This Row],[ROE]]-VLOOKUP(Main_L[[#This Row],[Industry]], Mean_ROE_L, 2, FALSE))/(VLOOKUP(Main_L[[#This Row],[Industry]], Mean_ROE_L, 3, FALSE))</f>
        <v>0.72326346706845979</v>
      </c>
      <c r="R11" s="1">
        <f>(Main_L[[#This Row],[ROA]]-VLOOKUP(Main_L[[#This Row],[Industry]], Mean_ROA_L, 2, FALSE))/(VLOOKUP(Main_L[[#This Row],[Industry]], Mean_ROA_L, 3, FALSE))</f>
        <v>2.6300928566581154</v>
      </c>
      <c r="S11" s="1">
        <f>(Main_L[[#This Row],[A/E]]-VLOOKUP(Main_L[[#This Row],[Industry]], Mean_AE_L, 2, FALSE))/(VLOOKUP(Main_L[[#This Row],[Industry]], Mean_AE_L, 3, FALSE))</f>
        <v>0.42236781125578515</v>
      </c>
      <c r="T11" s="1">
        <f>(Main_L[[#This Row],[P/E]]-VLOOKUP(Main_L[[#This Row],[Industry]], Mean_PE_L, 2, FALSE))/(VLOOKUP(Main_L[[#This Row],[Industry]], Mean_PE_L, 3, FALSE))</f>
        <v>-1.163913930989301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107</v>
      </c>
      <c r="B12" t="s">
        <v>118</v>
      </c>
      <c r="C12" s="2">
        <v>34829</v>
      </c>
      <c r="D12">
        <f>RTD("tos.rtd", , "LAST", Main_L[[#This Row],[Symbol]])</f>
        <v>73.599999999999994</v>
      </c>
      <c r="E12">
        <v>5.41</v>
      </c>
      <c r="F12">
        <v>32.049999999999997</v>
      </c>
      <c r="G12">
        <v>6.47</v>
      </c>
      <c r="H12" s="1">
        <f>IF(ISNUMBER(Main_L[[#This Row],[Free CF]]),IF(Main_L[[#This Row],[Free CF]]&lt;&gt;0,Main_L[[#This Row],[Current Price]]/Main_L[[#This Row],[Free CF]],""),"")</f>
        <v>13.604436229205174</v>
      </c>
      <c r="I12" s="1">
        <f>IF(ISNUMBER(Main_L[[#This Row],[BVPS]]),IF(Main_L[[#This Row],[BVPS]]&lt;&gt;0,Main_L[[#This Row],[Current Price]]/Main_L[[#This Row],[BVPS]],""),"")</f>
        <v>2.2964118564742591</v>
      </c>
      <c r="J12">
        <v>20.96</v>
      </c>
      <c r="K12">
        <v>9.3000000000000007</v>
      </c>
      <c r="L12">
        <v>1.83</v>
      </c>
      <c r="M12" s="1">
        <f>IF(ISNUMBER(Main_L[[#This Row],[EPS]]),IF(Main_L[[#This Row],[EPS]]&lt;&gt;0,Main_L[[#This Row],[Current Price]]/Main_L[[#This Row],[EPS]],""),"")</f>
        <v>11.375579598145286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-0.43209151046894556</v>
      </c>
      <c r="P12" s="1">
        <f>(Main_L[[#This Row],[P/B]]-VLOOKUP(Main_L[[#This Row],[Industry]], Mean_PB_L, 2, FALSE))/(VLOOKUP(Main_L[[#This Row],[Industry]], Mean_PB_L, 3, FALSE))</f>
        <v>0.33817254217813097</v>
      </c>
      <c r="Q12" s="1">
        <f>(Main_L[[#This Row],[ROE]]-VLOOKUP(Main_L[[#This Row],[Industry]], Mean_ROE_L, 2, FALSE))/(VLOOKUP(Main_L[[#This Row],[Industry]], Mean_ROE_L, 3, FALSE))</f>
        <v>1.0650791142565577</v>
      </c>
      <c r="R12" s="1">
        <f>(Main_L[[#This Row],[ROA]]-VLOOKUP(Main_L[[#This Row],[Industry]], Mean_ROA_L, 2, FALSE))/(VLOOKUP(Main_L[[#This Row],[Industry]], Mean_ROA_L, 3, FALSE))</f>
        <v>1.2278612285632411</v>
      </c>
      <c r="S12" s="1">
        <f>(Main_L[[#This Row],[A/E]]-VLOOKUP(Main_L[[#This Row],[Industry]], Mean_AE_L, 2, FALSE))/(VLOOKUP(Main_L[[#This Row],[Industry]], Mean_AE_L, 3, FALSE))</f>
        <v>-0.81551206608524029</v>
      </c>
      <c r="T12" s="1">
        <f>(Main_L[[#This Row],[P/E]]-VLOOKUP(Main_L[[#This Row],[Industry]], Mean_PE_L, 2, FALSE))/(VLOOKUP(Main_L[[#This Row],[Industry]], Mean_PE_L, 3, FALSE))</f>
        <v>-0.73681959743245129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107</v>
      </c>
      <c r="B13" t="s">
        <v>119</v>
      </c>
      <c r="C13" s="2">
        <v>38300</v>
      </c>
      <c r="D13">
        <f>RTD("tos.rtd", , "LAST", Main_L[[#This Row],[Symbol]])</f>
        <v>44.39</v>
      </c>
      <c r="E13">
        <v>4.49</v>
      </c>
      <c r="F13">
        <v>27.57</v>
      </c>
      <c r="G13">
        <v>2.2599999999999998</v>
      </c>
      <c r="H13" s="1">
        <f>IF(ISNUMBER(Main_L[[#This Row],[Free CF]]),IF(Main_L[[#This Row],[Free CF]]&lt;&gt;0,Main_L[[#This Row],[Current Price]]/Main_L[[#This Row],[Free CF]],""),"")</f>
        <v>9.8864142538975504</v>
      </c>
      <c r="I13" s="1">
        <f>IF(ISNUMBER(Main_L[[#This Row],[BVPS]]),IF(Main_L[[#This Row],[BVPS]]&lt;&gt;0,Main_L[[#This Row],[Current Price]]/Main_L[[#This Row],[BVPS]],""),"")</f>
        <v>1.6100834240116069</v>
      </c>
      <c r="J13">
        <v>8.93</v>
      </c>
      <c r="K13">
        <v>4.12</v>
      </c>
      <c r="L13">
        <v>3.3</v>
      </c>
      <c r="M13" s="1">
        <f>IF(ISNUMBER(Main_L[[#This Row],[EPS]]),IF(Main_L[[#This Row],[EPS]]&lt;&gt;0,Main_L[[#This Row],[Current Price]]/Main_L[[#This Row],[EPS]],""),"")</f>
        <v>19.641592920353986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-0.75020521991889599</v>
      </c>
      <c r="P13" s="1">
        <f>(Main_L[[#This Row],[P/B]]-VLOOKUP(Main_L[[#This Row],[Industry]], Mean_PB_L, 2, FALSE))/(VLOOKUP(Main_L[[#This Row],[Industry]], Mean_PB_L, 3, FALSE))</f>
        <v>-0.54048767107780737</v>
      </c>
      <c r="Q13" s="1">
        <f>(Main_L[[#This Row],[ROE]]-VLOOKUP(Main_L[[#This Row],[Industry]], Mean_ROE_L, 2, FALSE))/(VLOOKUP(Main_L[[#This Row],[Industry]], Mean_ROE_L, 3, FALSE))</f>
        <v>-0.49251264168011583</v>
      </c>
      <c r="R13" s="1">
        <f>(Main_L[[#This Row],[ROA]]-VLOOKUP(Main_L[[#This Row],[Industry]], Mean_ROA_L, 2, FALSE))/(VLOOKUP(Main_L[[#This Row],[Industry]], Mean_ROA_L, 3, FALSE))</f>
        <v>-0.44963526878813326</v>
      </c>
      <c r="S13" s="1">
        <f>(Main_L[[#This Row],[A/E]]-VLOOKUP(Main_L[[#This Row],[Industry]], Mean_AE_L, 2, FALSE))/(VLOOKUP(Main_L[[#This Row],[Industry]], Mean_AE_L, 3, FALSE))</f>
        <v>0.72659252687349496</v>
      </c>
      <c r="T13" s="1">
        <f>(Main_L[[#This Row],[P/E]]-VLOOKUP(Main_L[[#This Row],[Industry]], Mean_PE_L, 2, FALSE))/(VLOOKUP(Main_L[[#This Row],[Industry]], Mean_PE_L, 3, FALSE))</f>
        <v>0.17447995630116692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107</v>
      </c>
      <c r="B14" t="s">
        <v>120</v>
      </c>
      <c r="C14" s="2">
        <v>72789</v>
      </c>
      <c r="D14">
        <f>RTD("tos.rtd", , "LAST", Main_L[[#This Row],[Symbol]])</f>
        <v>12.19</v>
      </c>
      <c r="E14">
        <v>1.56</v>
      </c>
      <c r="F14">
        <v>4.59</v>
      </c>
      <c r="G14">
        <v>0.46</v>
      </c>
      <c r="H14" s="1">
        <f>IF(ISNUMBER(Main_L[[#This Row],[Free CF]]),IF(Main_L[[#This Row],[Free CF]]&lt;&gt;0,Main_L[[#This Row],[Current Price]]/Main_L[[#This Row],[Free CF]],""),"")</f>
        <v>7.8141025641025639</v>
      </c>
      <c r="I14" s="1">
        <f>IF(ISNUMBER(Main_L[[#This Row],[BVPS]]),IF(Main_L[[#This Row],[BVPS]]&lt;&gt;0,Main_L[[#This Row],[Current Price]]/Main_L[[#This Row],[BVPS]],""),"")</f>
        <v>2.6557734204793029</v>
      </c>
      <c r="J14">
        <v>9.8699999999999992</v>
      </c>
      <c r="K14">
        <v>8.94</v>
      </c>
      <c r="L14">
        <v>3.07</v>
      </c>
      <c r="M14" s="1">
        <f>IF(ISNUMBER(Main_L[[#This Row],[EPS]]),IF(Main_L[[#This Row],[EPS]]&lt;&gt;0,Main_L[[#This Row],[Current Price]]/Main_L[[#This Row],[EPS]],""),"")</f>
        <v>26.499999999999996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-0.92751206833326938</v>
      </c>
      <c r="P14" s="1">
        <f>(Main_L[[#This Row],[P/B]]-VLOOKUP(Main_L[[#This Row],[Industry]], Mean_PB_L, 2, FALSE))/(VLOOKUP(Main_L[[#This Row],[Industry]], Mean_PB_L, 3, FALSE))</f>
        <v>0.79823902570071448</v>
      </c>
      <c r="Q14" s="1">
        <f>(Main_L[[#This Row],[ROE]]-VLOOKUP(Main_L[[#This Row],[Industry]], Mean_ROE_L, 2, FALSE))/(VLOOKUP(Main_L[[#This Row],[Industry]], Mean_ROE_L, 3, FALSE))</f>
        <v>-0.37080555518132341</v>
      </c>
      <c r="R14" s="1">
        <f>(Main_L[[#This Row],[ROA]]-VLOOKUP(Main_L[[#This Row],[Industry]], Mean_ROA_L, 2, FALSE))/(VLOOKUP(Main_L[[#This Row],[Industry]], Mean_ROA_L, 3, FALSE))</f>
        <v>1.1112784604075467</v>
      </c>
      <c r="S14" s="1">
        <f>(Main_L[[#This Row],[A/E]]-VLOOKUP(Main_L[[#This Row],[Industry]], Mean_AE_L, 2, FALSE))/(VLOOKUP(Main_L[[#This Row],[Industry]], Mean_AE_L, 3, FALSE))</f>
        <v>0.48531085586634587</v>
      </c>
      <c r="T14" s="1">
        <f>(Main_L[[#This Row],[P/E]]-VLOOKUP(Main_L[[#This Row],[Industry]], Mean_PE_L, 2, FALSE))/(VLOOKUP(Main_L[[#This Row],[Industry]], Mean_PE_L, 3, FALSE))</f>
        <v>0.93059576054413229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107</v>
      </c>
      <c r="B15" t="s">
        <v>121</v>
      </c>
      <c r="C15" s="2">
        <v>193439</v>
      </c>
      <c r="D15">
        <f>RTD("tos.rtd", , "LAST", Main_L[[#This Row],[Symbol]])</f>
        <v>67.61</v>
      </c>
      <c r="E15">
        <v>5.05</v>
      </c>
      <c r="F15">
        <v>29.72</v>
      </c>
      <c r="G15">
        <v>2.17</v>
      </c>
      <c r="H15" s="1">
        <f>IF(ISNUMBER(Main_L[[#This Row],[Free CF]]),IF(Main_L[[#This Row],[Free CF]]&lt;&gt;0,Main_L[[#This Row],[Current Price]]/Main_L[[#This Row],[Free CF]],""),"")</f>
        <v>13.388118811881188</v>
      </c>
      <c r="I15" s="1">
        <f>IF(ISNUMBER(Main_L[[#This Row],[BVPS]]),IF(Main_L[[#This Row],[BVPS]]&lt;&gt;0,Main_L[[#This Row],[Current Price]]/Main_L[[#This Row],[BVPS]],""),"")</f>
        <v>2.274899057873486</v>
      </c>
      <c r="J15">
        <v>7.56</v>
      </c>
      <c r="K15">
        <v>5.17</v>
      </c>
      <c r="L15">
        <v>2.1800000000000002</v>
      </c>
      <c r="M15" s="1">
        <f>IF(ISNUMBER(Main_L[[#This Row],[EPS]]),IF(Main_L[[#This Row],[EPS]]&lt;&gt;0,Main_L[[#This Row],[Current Price]]/Main_L[[#This Row],[EPS]],""),"")</f>
        <v>31.156682027649769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-0.45059961410592642</v>
      </c>
      <c r="P15" s="1">
        <f>(Main_L[[#This Row],[P/B]]-VLOOKUP(Main_L[[#This Row],[Industry]], Mean_PB_L, 2, FALSE))/(VLOOKUP(Main_L[[#This Row],[Industry]], Mean_PB_L, 3, FALSE))</f>
        <v>0.31063115045920942</v>
      </c>
      <c r="Q15" s="1">
        <f>(Main_L[[#This Row],[ROE]]-VLOOKUP(Main_L[[#This Row],[Industry]], Mean_ROE_L, 2, FALSE))/(VLOOKUP(Main_L[[#This Row],[Industry]], Mean_ROE_L, 3, FALSE))</f>
        <v>-0.669894246470909</v>
      </c>
      <c r="R15" s="1">
        <f>(Main_L[[#This Row],[ROA]]-VLOOKUP(Main_L[[#This Row],[Industry]], Mean_ROA_L, 2, FALSE))/(VLOOKUP(Main_L[[#This Row],[Industry]], Mean_ROA_L, 3, FALSE))</f>
        <v>-0.10960219500069263</v>
      </c>
      <c r="S15" s="1">
        <f>(Main_L[[#This Row],[A/E]]-VLOOKUP(Main_L[[#This Row],[Industry]], Mean_AE_L, 2, FALSE))/(VLOOKUP(Main_L[[#This Row],[Industry]], Mean_AE_L, 3, FALSE))</f>
        <v>-0.44834430585696983</v>
      </c>
      <c r="T15" s="1">
        <f>(Main_L[[#This Row],[P/E]]-VLOOKUP(Main_L[[#This Row],[Industry]], Mean_PE_L, 2, FALSE))/(VLOOKUP(Main_L[[#This Row],[Industry]], Mean_PE_L, 3, FALSE))</f>
        <v>1.4439789463992803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107</v>
      </c>
      <c r="B16" t="s">
        <v>122</v>
      </c>
      <c r="C16" s="2">
        <v>41741</v>
      </c>
      <c r="D16">
        <f>RTD("tos.rtd", , "LAST", Main_L[[#This Row],[Symbol]])</f>
        <v>36.409999999999997</v>
      </c>
      <c r="E16">
        <v>5.17</v>
      </c>
      <c r="F16">
        <v>24.88</v>
      </c>
      <c r="G16">
        <v>3.28</v>
      </c>
      <c r="H16" s="1">
        <f>IF(ISNUMBER(Main_L[[#This Row],[Free CF]]),IF(Main_L[[#This Row],[Free CF]]&lt;&gt;0,Main_L[[#This Row],[Current Price]]/Main_L[[#This Row],[Free CF]],""),"")</f>
        <v>7.0425531914893611</v>
      </c>
      <c r="I16" s="1">
        <f>IF(ISNUMBER(Main_L[[#This Row],[BVPS]]),IF(Main_L[[#This Row],[BVPS]]&lt;&gt;0,Main_L[[#This Row],[Current Price]]/Main_L[[#This Row],[BVPS]],""),"")</f>
        <v>1.4634244372990353</v>
      </c>
      <c r="J16">
        <v>13.7</v>
      </c>
      <c r="K16">
        <v>6.48</v>
      </c>
      <c r="L16">
        <v>2.02</v>
      </c>
      <c r="M16" s="1">
        <f>IF(ISNUMBER(Main_L[[#This Row],[EPS]]),IF(Main_L[[#This Row],[EPS]]&lt;&gt;0,Main_L[[#This Row],[Current Price]]/Main_L[[#This Row],[EPS]],""),"")</f>
        <v>11.10060975609756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6" s="1">
        <f>(Main_L[[#This Row],[P/FCF]]-VLOOKUP(Main_L[[#This Row],[Industry]], Mean_PFCF_L, 2, FALSE))/(VLOOKUP(Main_L[[#This Row],[Industry]], Mean_PFCF_L, 3, FALSE))</f>
        <v>-0.99352578061786678</v>
      </c>
      <c r="P16" s="1">
        <f>(Main_L[[#This Row],[P/B]]-VLOOKUP(Main_L[[#This Row],[Industry]], Mean_PB_L, 2, FALSE))/(VLOOKUP(Main_L[[#This Row],[Industry]], Mean_PB_L, 3, FALSE))</f>
        <v>-0.7282453253518496</v>
      </c>
      <c r="Q16" s="1">
        <f>(Main_L[[#This Row],[ROE]]-VLOOKUP(Main_L[[#This Row],[Industry]], Mean_ROE_L, 2, FALSE))/(VLOOKUP(Main_L[[#This Row],[Industry]], Mean_ROE_L, 3, FALSE))</f>
        <v>0.12508608448928832</v>
      </c>
      <c r="R16" s="1">
        <f>(Main_L[[#This Row],[ROA]]-VLOOKUP(Main_L[[#This Row],[Industry]], Mean_ROA_L, 2, FALSE))/(VLOOKUP(Main_L[[#This Row],[Industry]], Mean_ROA_L, 3, FALSE))</f>
        <v>0.31462954467697163</v>
      </c>
      <c r="S16" s="1">
        <f>(Main_L[[#This Row],[A/E]]-VLOOKUP(Main_L[[#This Row],[Industry]], Mean_AE_L, 2, FALSE))/(VLOOKUP(Main_L[[#This Row],[Industry]], Mean_AE_L, 3, FALSE))</f>
        <v>-0.61619242481846503</v>
      </c>
      <c r="T16" s="1">
        <f>(Main_L[[#This Row],[P/E]]-VLOOKUP(Main_L[[#This Row],[Industry]], Mean_PE_L, 2, FALSE))/(VLOOKUP(Main_L[[#This Row],[Industry]], Mean_PE_L, 3, FALSE))</f>
        <v>-0.7671340772887868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107</v>
      </c>
      <c r="B17" t="s">
        <v>123</v>
      </c>
      <c r="C17" s="2">
        <v>126573</v>
      </c>
      <c r="D17">
        <f>RTD("tos.rtd", , "LAST", Main_L[[#This Row],[Symbol]])</f>
        <v>59.9</v>
      </c>
      <c r="E17">
        <v>6.82</v>
      </c>
      <c r="F17">
        <v>53.12</v>
      </c>
      <c r="G17">
        <v>5.94</v>
      </c>
      <c r="H17" s="1">
        <f>IF(ISNUMBER(Main_L[[#This Row],[Free CF]]),IF(Main_L[[#This Row],[Free CF]]&lt;&gt;0,Main_L[[#This Row],[Current Price]]/Main_L[[#This Row],[Free CF]],""),"")</f>
        <v>8.7829912023460412</v>
      </c>
      <c r="I17" s="1">
        <f>IF(ISNUMBER(Main_L[[#This Row],[BVPS]]),IF(Main_L[[#This Row],[BVPS]]&lt;&gt;0,Main_L[[#This Row],[Current Price]]/Main_L[[#This Row],[BVPS]],""),"")</f>
        <v>1.1276355421686748</v>
      </c>
      <c r="J17">
        <v>11.71</v>
      </c>
      <c r="K17">
        <v>5.26</v>
      </c>
      <c r="L17">
        <v>2.4700000000000002</v>
      </c>
      <c r="M17" s="1">
        <f>IF(ISNUMBER(Main_L[[#This Row],[EPS]]),IF(Main_L[[#This Row],[EPS]]&lt;&gt;0,Main_L[[#This Row],[Current Price]]/Main_L[[#This Row],[EPS]],""),"")</f>
        <v>10.084175084175083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7" s="1">
        <f>(Main_L[[#This Row],[P/FCF]]-VLOOKUP(Main_L[[#This Row],[Industry]], Mean_PFCF_L, 2, FALSE))/(VLOOKUP(Main_L[[#This Row],[Industry]], Mean_PFCF_L, 3, FALSE))</f>
        <v>-0.84461402179064715</v>
      </c>
      <c r="P17" s="1">
        <f>(Main_L[[#This Row],[P/B]]-VLOOKUP(Main_L[[#This Row],[Industry]], Mean_PB_L, 2, FALSE))/(VLOOKUP(Main_L[[#This Row],[Industry]], Mean_PB_L, 3, FALSE))</f>
        <v>-1.1581333035397179</v>
      </c>
      <c r="Q17" s="1">
        <f>(Main_L[[#This Row],[ROE]]-VLOOKUP(Main_L[[#This Row],[Industry]], Mean_ROE_L, 2, FALSE))/(VLOOKUP(Main_L[[#This Row],[Industry]], Mean_ROE_L, 3, FALSE))</f>
        <v>-0.13257040714113377</v>
      </c>
      <c r="R17" s="1">
        <f>(Main_L[[#This Row],[ROA]]-VLOOKUP(Main_L[[#This Row],[Industry]], Mean_ROA_L, 2, FALSE))/(VLOOKUP(Main_L[[#This Row],[Industry]], Mean_ROA_L, 3, FALSE))</f>
        <v>-8.0456502961769191E-2</v>
      </c>
      <c r="S17" s="1">
        <f>(Main_L[[#This Row],[A/E]]-VLOOKUP(Main_L[[#This Row],[Industry]], Mean_AE_L, 2, FALSE))/(VLOOKUP(Main_L[[#This Row],[Industry]], Mean_AE_L, 3, FALSE))</f>
        <v>-0.1441195902392601</v>
      </c>
      <c r="T17" s="1">
        <f>(Main_L[[#This Row],[P/E]]-VLOOKUP(Main_L[[#This Row],[Industry]], Mean_PE_L, 2, FALSE))/(VLOOKUP(Main_L[[#This Row],[Industry]], Mean_PE_L, 3, FALSE))</f>
        <v>-0.87919250579792763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107</v>
      </c>
      <c r="B18" t="s">
        <v>124</v>
      </c>
      <c r="C18" s="2">
        <v>449711</v>
      </c>
      <c r="D18">
        <f>RTD("tos.rtd", , "LAST", Main_L[[#This Row],[Symbol]])</f>
        <v>109.46</v>
      </c>
      <c r="E18">
        <v>6.41</v>
      </c>
      <c r="F18">
        <v>60.96</v>
      </c>
      <c r="G18">
        <v>7.54</v>
      </c>
      <c r="H18" s="1">
        <f>IF(ISNUMBER(Main_L[[#This Row],[Free CF]]),IF(Main_L[[#This Row],[Free CF]]&lt;&gt;0,Main_L[[#This Row],[Current Price]]/Main_L[[#This Row],[Free CF]],""),"")</f>
        <v>17.076443057722308</v>
      </c>
      <c r="I18" s="1">
        <f>IF(ISNUMBER(Main_L[[#This Row],[BVPS]]),IF(Main_L[[#This Row],[BVPS]]&lt;&gt;0,Main_L[[#This Row],[Current Price]]/Main_L[[#This Row],[BVPS]],""),"")</f>
        <v>1.7956036745406823</v>
      </c>
      <c r="J18">
        <v>14.3</v>
      </c>
      <c r="K18">
        <v>6.2</v>
      </c>
      <c r="L18">
        <v>1.72</v>
      </c>
      <c r="M18" s="1">
        <f>IF(ISNUMBER(Main_L[[#This Row],[EPS]]),IF(Main_L[[#This Row],[EPS]]&lt;&gt;0,Main_L[[#This Row],[Current Price]]/Main_L[[#This Row],[EPS]],""),"")</f>
        <v>14.517241379310343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8" s="1">
        <f>(Main_L[[#This Row],[P/FCF]]-VLOOKUP(Main_L[[#This Row],[Industry]], Mean_PFCF_L, 2, FALSE))/(VLOOKUP(Main_L[[#This Row],[Industry]], Mean_PFCF_L, 3, FALSE))</f>
        <v>-0.13502684038620363</v>
      </c>
      <c r="P18" s="1">
        <f>(Main_L[[#This Row],[P/B]]-VLOOKUP(Main_L[[#This Row],[Industry]], Mean_PB_L, 2, FALSE))/(VLOOKUP(Main_L[[#This Row],[Industry]], Mean_PB_L, 3, FALSE))</f>
        <v>-0.30297854981312344</v>
      </c>
      <c r="Q18" s="1">
        <f>(Main_L[[#This Row],[ROE]]-VLOOKUP(Main_L[[#This Row],[Industry]], Mean_ROE_L, 2, FALSE))/(VLOOKUP(Main_L[[#This Row],[Industry]], Mean_ROE_L, 3, FALSE))</f>
        <v>0.20277145885021983</v>
      </c>
      <c r="R18" s="1">
        <f>(Main_L[[#This Row],[ROA]]-VLOOKUP(Main_L[[#This Row],[Industry]], Mean_ROA_L, 2, FALSE))/(VLOOKUP(Main_L[[#This Row],[Industry]], Mean_ROA_L, 3, FALSE))</f>
        <v>0.22395405833365403</v>
      </c>
      <c r="S18" s="1">
        <f>(Main_L[[#This Row],[A/E]]-VLOOKUP(Main_L[[#This Row],[Industry]], Mean_AE_L, 2, FALSE))/(VLOOKUP(Main_L[[#This Row],[Industry]], Mean_AE_L, 3, FALSE))</f>
        <v>-0.93090764787126823</v>
      </c>
      <c r="T18" s="1">
        <f>(Main_L[[#This Row],[P/E]]-VLOOKUP(Main_L[[#This Row],[Industry]], Mean_PE_L, 2, FALSE))/(VLOOKUP(Main_L[[#This Row],[Industry]], Mean_PE_L, 3, FALSE))</f>
        <v>-0.39046218575667613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107</v>
      </c>
      <c r="B19" t="s">
        <v>125</v>
      </c>
      <c r="C19" s="2">
        <v>11906</v>
      </c>
      <c r="D19">
        <f>RTD("tos.rtd", , "LAST", Main_L[[#This Row],[Symbol]])</f>
        <v>35.909999999999997</v>
      </c>
      <c r="E19">
        <v>0.53</v>
      </c>
      <c r="F19">
        <v>29.63</v>
      </c>
      <c r="G19">
        <v>5.14</v>
      </c>
      <c r="H19" s="1">
        <f>IF(ISNUMBER(Main_L[[#This Row],[Free CF]]),IF(Main_L[[#This Row],[Free CF]]&lt;&gt;0,Main_L[[#This Row],[Current Price]]/Main_L[[#This Row],[Free CF]],""),"")</f>
        <v>67.754716981132063</v>
      </c>
      <c r="I19" s="1">
        <f>IF(ISNUMBER(Main_L[[#This Row],[BVPS]]),IF(Main_L[[#This Row],[BVPS]]&lt;&gt;0,Main_L[[#This Row],[Current Price]]/Main_L[[#This Row],[BVPS]],""),"")</f>
        <v>1.2119473506581167</v>
      </c>
      <c r="J19">
        <v>21.73</v>
      </c>
      <c r="K19">
        <v>3.95</v>
      </c>
      <c r="L19">
        <v>2.52</v>
      </c>
      <c r="M19" s="1">
        <f>IF(ISNUMBER(Main_L[[#This Row],[EPS]]),IF(Main_L[[#This Row],[EPS]]&lt;&gt;0,Main_L[[#This Row],[Current Price]]/Main_L[[#This Row],[EPS]],""),"")</f>
        <v>6.9863813229571985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4.2010028585675547</v>
      </c>
      <c r="P19" s="1">
        <f>(Main_L[[#This Row],[P/B]]-VLOOKUP(Main_L[[#This Row],[Industry]], Mean_PB_L, 2, FALSE))/(VLOOKUP(Main_L[[#This Row],[Industry]], Mean_PB_L, 3, FALSE))</f>
        <v>-1.0501945556701138</v>
      </c>
      <c r="Q19" s="1">
        <f>(Main_L[[#This Row],[ROE]]-VLOOKUP(Main_L[[#This Row],[Industry]], Mean_ROE_L, 2, FALSE))/(VLOOKUP(Main_L[[#This Row],[Industry]], Mean_ROE_L, 3, FALSE))</f>
        <v>1.1647753446864195</v>
      </c>
      <c r="R19" s="1">
        <f>(Main_L[[#This Row],[ROA]]-VLOOKUP(Main_L[[#This Row],[Industry]], Mean_ROA_L, 2, FALSE))/(VLOOKUP(Main_L[[#This Row],[Industry]], Mean_ROA_L, 3, FALSE))</f>
        <v>-0.50468824263943313</v>
      </c>
      <c r="S19" s="1">
        <f>(Main_L[[#This Row],[A/E]]-VLOOKUP(Main_L[[#This Row],[Industry]], Mean_AE_L, 2, FALSE))/(VLOOKUP(Main_L[[#This Row],[Industry]], Mean_AE_L, 3, FALSE))</f>
        <v>-9.166705306379308E-2</v>
      </c>
      <c r="T19" s="1">
        <f>(Main_L[[#This Row],[P/E]]-VLOOKUP(Main_L[[#This Row],[Industry]], Mean_PE_L, 2, FALSE))/(VLOOKUP(Main_L[[#This Row],[Industry]], Mean_PE_L, 3, FALSE))</f>
        <v>-1.2207136190741312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107</v>
      </c>
      <c r="B20" t="s">
        <v>126</v>
      </c>
      <c r="C20" s="2">
        <v>11337</v>
      </c>
      <c r="D20">
        <f>RTD("tos.rtd", , "LAST", Main_L[[#This Row],[Symbol]])</f>
        <v>41.04</v>
      </c>
      <c r="E20">
        <v>1.1100000000000001</v>
      </c>
      <c r="F20">
        <v>23.17</v>
      </c>
      <c r="G20">
        <v>0.77</v>
      </c>
      <c r="H20" s="1">
        <f>IF(ISNUMBER(Main_L[[#This Row],[Free CF]]),IF(Main_L[[#This Row],[Free CF]]&lt;&gt;0,Main_L[[#This Row],[Current Price]]/Main_L[[#This Row],[Free CF]],""),"")</f>
        <v>36.972972972972968</v>
      </c>
      <c r="I20" s="1">
        <f>IF(ISNUMBER(Main_L[[#This Row],[BVPS]]),IF(Main_L[[#This Row],[BVPS]]&lt;&gt;0,Main_L[[#This Row],[Current Price]]/Main_L[[#This Row],[BVPS]],""),"")</f>
        <v>1.7712559343979282</v>
      </c>
      <c r="J20">
        <v>3.79</v>
      </c>
      <c r="K20">
        <v>1.06</v>
      </c>
      <c r="L20">
        <v>1.81</v>
      </c>
      <c r="M20" s="1">
        <f>IF(ISNUMBER(Main_L[[#This Row],[EPS]]),IF(Main_L[[#This Row],[EPS]]&lt;&gt;0,Main_L[[#This Row],[Current Price]]/Main_L[[#This Row],[EPS]],""),"")</f>
        <v>53.298701298701296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1.5673189172659183</v>
      </c>
      <c r="P20" s="1">
        <f>(Main_L[[#This Row],[P/B]]-VLOOKUP(Main_L[[#This Row],[Industry]], Mean_PB_L, 2, FALSE))/(VLOOKUP(Main_L[[#This Row],[Industry]], Mean_PB_L, 3, FALSE))</f>
        <v>-0.33414932685549326</v>
      </c>
      <c r="Q20" s="1">
        <f>(Main_L[[#This Row],[ROE]]-VLOOKUP(Main_L[[#This Row],[Industry]], Mean_ROE_L, 2, FALSE))/(VLOOKUP(Main_L[[#This Row],[Industry]], Mean_ROE_L, 3, FALSE))</f>
        <v>-1.1580173487054275</v>
      </c>
      <c r="R20" s="1">
        <f>(Main_L[[#This Row],[ROA]]-VLOOKUP(Main_L[[#This Row],[Industry]], Mean_ROA_L, 2, FALSE))/(VLOOKUP(Main_L[[#This Row],[Industry]], Mean_ROA_L, 3, FALSE))</f>
        <v>-1.4405887981115317</v>
      </c>
      <c r="S20" s="1">
        <f>(Main_L[[#This Row],[A/E]]-VLOOKUP(Main_L[[#This Row],[Industry]], Mean_AE_L, 2, FALSE))/(VLOOKUP(Main_L[[#This Row],[Industry]], Mean_AE_L, 3, FALSE))</f>
        <v>-0.83649308095542718</v>
      </c>
      <c r="T20" s="1">
        <f>(Main_L[[#This Row],[P/E]]-VLOOKUP(Main_L[[#This Row],[Industry]], Mean_PE_L, 2, FALSE))/(VLOOKUP(Main_L[[#This Row],[Industry]], Mean_PE_L, 3, FALSE))</f>
        <v>3.8850604561831061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1" spans="1:26" x14ac:dyDescent="0.25">
      <c r="A21" t="s">
        <v>107</v>
      </c>
      <c r="B21" t="s">
        <v>127</v>
      </c>
      <c r="C21" s="2">
        <v>60186</v>
      </c>
      <c r="D21">
        <f>RTD("tos.rtd", , "LAST", Main_L[[#This Row],[Symbol]])</f>
        <v>32.229999999999997</v>
      </c>
      <c r="E21">
        <v>2.62</v>
      </c>
      <c r="F21">
        <v>13.05</v>
      </c>
      <c r="G21">
        <v>1.98</v>
      </c>
      <c r="H21" s="1">
        <f>IF(ISNUMBER(Main_L[[#This Row],[Free CF]]),IF(Main_L[[#This Row],[Free CF]]&lt;&gt;0,Main_L[[#This Row],[Current Price]]/Main_L[[#This Row],[Free CF]],""),"")</f>
        <v>12.30152671755725</v>
      </c>
      <c r="I21" s="1">
        <f>IF(ISNUMBER(Main_L[[#This Row],[BVPS]]),IF(Main_L[[#This Row],[BVPS]]&lt;&gt;0,Main_L[[#This Row],[Current Price]]/Main_L[[#This Row],[BVPS]],""),"")</f>
        <v>2.469731800766283</v>
      </c>
      <c r="J21">
        <v>15.4</v>
      </c>
      <c r="K21">
        <v>7.53</v>
      </c>
      <c r="L21">
        <v>2.16</v>
      </c>
      <c r="M21" s="1">
        <f>IF(ISNUMBER(Main_L[[#This Row],[EPS]]),IF(Main_L[[#This Row],[EPS]]&lt;&gt;0,Main_L[[#This Row],[Current Price]]/Main_L[[#This Row],[EPS]],""),"")</f>
        <v>16.277777777777775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-0.54356836041242962</v>
      </c>
      <c r="P21" s="1">
        <f>(Main_L[[#This Row],[P/B]]-VLOOKUP(Main_L[[#This Row],[Industry]], Mean_PB_L, 2, FALSE))/(VLOOKUP(Main_L[[#This Row],[Industry]], Mean_PB_L, 3, FALSE))</f>
        <v>0.5600624304735925</v>
      </c>
      <c r="Q21" s="1">
        <f>(Main_L[[#This Row],[ROE]]-VLOOKUP(Main_L[[#This Row],[Industry]], Mean_ROE_L, 2, FALSE))/(VLOOKUP(Main_L[[#This Row],[Industry]], Mean_ROE_L, 3, FALSE))</f>
        <v>0.34519464517859394</v>
      </c>
      <c r="R21" s="1">
        <f>(Main_L[[#This Row],[ROA]]-VLOOKUP(Main_L[[#This Row],[Industry]], Mean_ROA_L, 2, FALSE))/(VLOOKUP(Main_L[[#This Row],[Industry]], Mean_ROA_L, 3, FALSE))</f>
        <v>0.6546626184644122</v>
      </c>
      <c r="S21" s="1">
        <f>(Main_L[[#This Row],[A/E]]-VLOOKUP(Main_L[[#This Row],[Industry]], Mean_AE_L, 2, FALSE))/(VLOOKUP(Main_L[[#This Row],[Industry]], Mean_AE_L, 3, FALSE))</f>
        <v>-0.46932532072715671</v>
      </c>
      <c r="T21" s="1">
        <f>(Main_L[[#This Row],[P/E]]-VLOOKUP(Main_L[[#This Row],[Industry]], Mean_PE_L, 2, FALSE))/(VLOOKUP(Main_L[[#This Row],[Industry]], Mean_PE_L, 3, FALSE))</f>
        <v>-0.1963690998013696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107</v>
      </c>
      <c r="B22" t="s">
        <v>128</v>
      </c>
      <c r="C22" s="2">
        <v>110437</v>
      </c>
      <c r="D22">
        <f>RTD("tos.rtd", , "LAST", Main_L[[#This Row],[Symbol]])</f>
        <v>94.17</v>
      </c>
      <c r="E22">
        <v>6.79</v>
      </c>
      <c r="F22">
        <v>50.79</v>
      </c>
      <c r="G22">
        <v>7.81</v>
      </c>
      <c r="H22" s="1">
        <f>IF(ISNUMBER(Main_L[[#This Row],[Free CF]]),IF(Main_L[[#This Row],[Free CF]]&lt;&gt;0,Main_L[[#This Row],[Current Price]]/Main_L[[#This Row],[Free CF]],""),"")</f>
        <v>13.868924889543447</v>
      </c>
      <c r="I22" s="1">
        <f>IF(ISNUMBER(Main_L[[#This Row],[BVPS]]),IF(Main_L[[#This Row],[BVPS]]&lt;&gt;0,Main_L[[#This Row],[Current Price]]/Main_L[[#This Row],[BVPS]],""),"")</f>
        <v>1.8541051388068519</v>
      </c>
      <c r="J22">
        <v>16.21</v>
      </c>
      <c r="K22">
        <v>8.4</v>
      </c>
      <c r="L22">
        <v>1.89</v>
      </c>
      <c r="M22" s="1">
        <f>IF(ISNUMBER(Main_L[[#This Row],[EPS]]),IF(Main_L[[#This Row],[EPS]]&lt;&gt;0,Main_L[[#This Row],[Current Price]]/Main_L[[#This Row],[EPS]],""),"")</f>
        <v>12.057618437900128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2" s="1">
        <f>(Main_L[[#This Row],[P/FCF]]-VLOOKUP(Main_L[[#This Row],[Industry]], Mean_PFCF_L, 2, FALSE))/(VLOOKUP(Main_L[[#This Row],[Industry]], Mean_PFCF_L, 3, FALSE))</f>
        <v>-0.40946187852851179</v>
      </c>
      <c r="P22" s="1">
        <f>(Main_L[[#This Row],[P/B]]-VLOOKUP(Main_L[[#This Row],[Industry]], Mean_PB_L, 2, FALSE))/(VLOOKUP(Main_L[[#This Row],[Industry]], Mean_PB_L, 3, FALSE))</f>
        <v>-0.22808305279363422</v>
      </c>
      <c r="Q22" s="1">
        <f>(Main_L[[#This Row],[ROE]]-VLOOKUP(Main_L[[#This Row],[Industry]], Mean_ROE_L, 2, FALSE))/(VLOOKUP(Main_L[[#This Row],[Industry]], Mean_ROE_L, 3, FALSE))</f>
        <v>0.45006990056585128</v>
      </c>
      <c r="R22" s="1">
        <f>(Main_L[[#This Row],[ROA]]-VLOOKUP(Main_L[[#This Row],[Industry]], Mean_ROA_L, 2, FALSE))/(VLOOKUP(Main_L[[#This Row],[Industry]], Mean_ROA_L, 3, FALSE))</f>
        <v>0.93640430817400599</v>
      </c>
      <c r="S22" s="1">
        <f>(Main_L[[#This Row],[A/E]]-VLOOKUP(Main_L[[#This Row],[Industry]], Mean_AE_L, 2, FALSE))/(VLOOKUP(Main_L[[#This Row],[Industry]], Mean_AE_L, 3, FALSE))</f>
        <v>-0.75256902147467986</v>
      </c>
      <c r="T22" s="1">
        <f>(Main_L[[#This Row],[P/E]]-VLOOKUP(Main_L[[#This Row],[Industry]], Mean_PE_L, 2, FALSE))/(VLOOKUP(Main_L[[#This Row],[Industry]], Mean_PE_L, 3, FALSE))</f>
        <v>-0.66162715990907395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107</v>
      </c>
      <c r="B23" t="s">
        <v>129</v>
      </c>
      <c r="C23" s="2">
        <v>17204</v>
      </c>
      <c r="D23">
        <f>RTD("tos.rtd", , "LAST", Main_L[[#This Row],[Symbol]])</f>
        <v>24.76</v>
      </c>
      <c r="E23">
        <v>1.7</v>
      </c>
      <c r="F23">
        <v>18.809999999999999</v>
      </c>
      <c r="G23">
        <v>1.72</v>
      </c>
      <c r="H23" s="1">
        <f>IF(ISNUMBER(Main_L[[#This Row],[Free CF]]),IF(Main_L[[#This Row],[Free CF]]&lt;&gt;0,Main_L[[#This Row],[Current Price]]/Main_L[[#This Row],[Free CF]],""),"")</f>
        <v>14.564705882352943</v>
      </c>
      <c r="I23" s="1">
        <f>IF(ISNUMBER(Main_L[[#This Row],[BVPS]]),IF(Main_L[[#This Row],[BVPS]]&lt;&gt;0,Main_L[[#This Row],[Current Price]]/Main_L[[#This Row],[BVPS]],""),"")</f>
        <v>1.3163211057947901</v>
      </c>
      <c r="J23">
        <v>9.4</v>
      </c>
      <c r="K23">
        <v>4.58</v>
      </c>
      <c r="L23">
        <v>1.68</v>
      </c>
      <c r="M23" s="1">
        <f>IF(ISNUMBER(Main_L[[#This Row],[EPS]]),IF(Main_L[[#This Row],[EPS]]&lt;&gt;0,Main_L[[#This Row],[Current Price]]/Main_L[[#This Row],[EPS]],""),"")</f>
        <v>14.395348837209303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-0.34993090370981533</v>
      </c>
      <c r="P23" s="1">
        <f>(Main_L[[#This Row],[P/B]]-VLOOKUP(Main_L[[#This Row],[Industry]], Mean_PB_L, 2, FALSE))/(VLOOKUP(Main_L[[#This Row],[Industry]], Mean_PB_L, 3, FALSE))</f>
        <v>-0.91657184443018114</v>
      </c>
      <c r="Q23" s="1">
        <f>(Main_L[[#This Row],[ROE]]-VLOOKUP(Main_L[[#This Row],[Industry]], Mean_ROE_L, 2, FALSE))/(VLOOKUP(Main_L[[#This Row],[Industry]], Mean_ROE_L, 3, FALSE))</f>
        <v>-0.43165909843071948</v>
      </c>
      <c r="R23" s="1">
        <f>(Main_L[[#This Row],[ROA]]-VLOOKUP(Main_L[[#This Row],[Industry]], Mean_ROA_L, 2, FALSE))/(VLOOKUP(Main_L[[#This Row],[Industry]], Mean_ROA_L, 3, FALSE))</f>
        <v>-0.30066839836696879</v>
      </c>
      <c r="S23" s="1">
        <f>(Main_L[[#This Row],[A/E]]-VLOOKUP(Main_L[[#This Row],[Industry]], Mean_AE_L, 2, FALSE))/(VLOOKUP(Main_L[[#This Row],[Industry]], Mean_AE_L, 3, FALSE))</f>
        <v>-0.972869677611642</v>
      </c>
      <c r="T23" s="1">
        <f>(Main_L[[#This Row],[P/E]]-VLOOKUP(Main_L[[#This Row],[Industry]], Mean_PE_L, 2, FALSE))/(VLOOKUP(Main_L[[#This Row],[Industry]], Mean_PE_L, 3, FALSE))</f>
        <v>-0.40390041950857303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107</v>
      </c>
      <c r="B24" t="s">
        <v>130</v>
      </c>
      <c r="C24" s="2">
        <v>19419</v>
      </c>
      <c r="D24">
        <f>RTD("tos.rtd", , "LAST", Main_L[[#This Row],[Symbol]])</f>
        <v>34.29</v>
      </c>
      <c r="E24">
        <v>-1.35</v>
      </c>
      <c r="F24">
        <v>22.27</v>
      </c>
      <c r="G24">
        <v>4.5599999999999996</v>
      </c>
      <c r="H24" s="1">
        <f>IF(ISNUMBER(Main_L[[#This Row],[Free CF]]),IF(Main_L[[#This Row],[Free CF]]&lt;&gt;0,Main_L[[#This Row],[Current Price]]/Main_L[[#This Row],[Free CF]],""),"")</f>
        <v>-25.4</v>
      </c>
      <c r="I24" s="1">
        <f>IF(ISNUMBER(Main_L[[#This Row],[BVPS]]),IF(Main_L[[#This Row],[BVPS]]&lt;&gt;0,Main_L[[#This Row],[Current Price]]/Main_L[[#This Row],[BVPS]],""),"")</f>
        <v>1.5397395599461159</v>
      </c>
      <c r="J24">
        <v>21.86</v>
      </c>
      <c r="K24">
        <v>9.31</v>
      </c>
      <c r="L24">
        <v>2.1</v>
      </c>
      <c r="M24" s="1">
        <f>IF(ISNUMBER(Main_L[[#This Row],[EPS]]),IF(Main_L[[#This Row],[EPS]]&lt;&gt;0,Main_L[[#This Row],[Current Price]]/Main_L[[#This Row],[EPS]],""),"")</f>
        <v>7.5197368421052637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-3.7693084436340296</v>
      </c>
      <c r="P24" s="1">
        <f>(Main_L[[#This Row],[P/B]]-VLOOKUP(Main_L[[#This Row],[Industry]], Mean_PB_L, 2, FALSE))/(VLOOKUP(Main_L[[#This Row],[Industry]], Mean_PB_L, 3, FALSE))</f>
        <v>-0.63054419748347168</v>
      </c>
      <c r="Q24" s="1">
        <f>(Main_L[[#This Row],[ROE]]-VLOOKUP(Main_L[[#This Row],[Industry]], Mean_ROE_L, 2, FALSE))/(VLOOKUP(Main_L[[#This Row],[Industry]], Mean_ROE_L, 3, FALSE))</f>
        <v>1.1816071757979545</v>
      </c>
      <c r="R24" s="1">
        <f>(Main_L[[#This Row],[ROA]]-VLOOKUP(Main_L[[#This Row],[Industry]], Mean_ROA_L, 2, FALSE))/(VLOOKUP(Main_L[[#This Row],[Industry]], Mean_ROA_L, 3, FALSE))</f>
        <v>1.2310996387897879</v>
      </c>
      <c r="S24" s="1">
        <f>(Main_L[[#This Row],[A/E]]-VLOOKUP(Main_L[[#This Row],[Industry]], Mean_AE_L, 2, FALSE))/(VLOOKUP(Main_L[[#This Row],[Industry]], Mean_AE_L, 3, FALSE))</f>
        <v>-0.53226836533771738</v>
      </c>
      <c r="T24" s="1">
        <f>(Main_L[[#This Row],[P/E]]-VLOOKUP(Main_L[[#This Row],[Industry]], Mean_PE_L, 2, FALSE))/(VLOOKUP(Main_L[[#This Row],[Industry]], Mean_PE_L, 3, FALSE))</f>
        <v>-1.1619130065376007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107</v>
      </c>
      <c r="B25" t="s">
        <v>131</v>
      </c>
      <c r="C25" s="2">
        <v>58776</v>
      </c>
      <c r="D25">
        <f>RTD("tos.rtd", , "LAST", Main_L[[#This Row],[Symbol]])</f>
        <v>116.65</v>
      </c>
      <c r="E25">
        <v>9.84</v>
      </c>
      <c r="F25">
        <v>53.55</v>
      </c>
      <c r="G25">
        <v>10.8</v>
      </c>
      <c r="H25" s="1">
        <f>IF(ISNUMBER(Main_L[[#This Row],[Free CF]]),IF(Main_L[[#This Row],[Free CF]]&lt;&gt;0,Main_L[[#This Row],[Current Price]]/Main_L[[#This Row],[Free CF]],""),"")</f>
        <v>11.854674796747968</v>
      </c>
      <c r="I25" s="1">
        <f>IF(ISNUMBER(Main_L[[#This Row],[BVPS]]),IF(Main_L[[#This Row],[BVPS]]&lt;&gt;0,Main_L[[#This Row],[Current Price]]/Main_L[[#This Row],[BVPS]],""),"")</f>
        <v>2.1783380018674139</v>
      </c>
      <c r="J25">
        <v>20.9</v>
      </c>
      <c r="K25">
        <v>10.51</v>
      </c>
      <c r="L25">
        <v>1.59</v>
      </c>
      <c r="M25" s="1">
        <f>IF(ISNUMBER(Main_L[[#This Row],[EPS]]),IF(Main_L[[#This Row],[EPS]]&lt;&gt;0,Main_L[[#This Row],[Current Price]]/Main_L[[#This Row],[EPS]],""),"")</f>
        <v>10.800925925925926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-0.58180098061949959</v>
      </c>
      <c r="P25" s="1">
        <f>(Main_L[[#This Row],[P/B]]-VLOOKUP(Main_L[[#This Row],[Industry]], Mean_PB_L, 2, FALSE))/(VLOOKUP(Main_L[[#This Row],[Industry]], Mean_PB_L, 3, FALSE))</f>
        <v>0.18701051338596547</v>
      </c>
      <c r="Q25" s="1">
        <f>(Main_L[[#This Row],[ROE]]-VLOOKUP(Main_L[[#This Row],[Industry]], Mean_ROE_L, 2, FALSE))/(VLOOKUP(Main_L[[#This Row],[Industry]], Mean_ROE_L, 3, FALSE))</f>
        <v>1.0573105768204643</v>
      </c>
      <c r="R25" s="1">
        <f>(Main_L[[#This Row],[ROA]]-VLOOKUP(Main_L[[#This Row],[Industry]], Mean_ROA_L, 2, FALSE))/(VLOOKUP(Main_L[[#This Row],[Industry]], Mean_ROA_L, 3, FALSE))</f>
        <v>1.6197088659754342</v>
      </c>
      <c r="S25" s="1">
        <f>(Main_L[[#This Row],[A/E]]-VLOOKUP(Main_L[[#This Row],[Industry]], Mean_AE_L, 2, FALSE))/(VLOOKUP(Main_L[[#This Row],[Industry]], Mean_AE_L, 3, FALSE))</f>
        <v>-1.0672842445274828</v>
      </c>
      <c r="T25" s="1">
        <f>(Main_L[[#This Row],[P/E]]-VLOOKUP(Main_L[[#This Row],[Industry]], Mean_PE_L, 2, FALSE))/(VLOOKUP(Main_L[[#This Row],[Industry]], Mean_PE_L, 3, FALSE))</f>
        <v>-0.80017318937959792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107</v>
      </c>
      <c r="B26" t="s">
        <v>132</v>
      </c>
      <c r="C26" s="2">
        <v>32176</v>
      </c>
      <c r="D26">
        <f>RTD("tos.rtd", , "LAST", Main_L[[#This Row],[Symbol]])</f>
        <v>56.2</v>
      </c>
      <c r="E26">
        <v>2.16</v>
      </c>
      <c r="F26">
        <v>34.61</v>
      </c>
      <c r="G26">
        <v>0.66</v>
      </c>
      <c r="H26" s="1">
        <f>IF(ISNUMBER(Main_L[[#This Row],[Free CF]]),IF(Main_L[[#This Row],[Free CF]]&lt;&gt;0,Main_L[[#This Row],[Current Price]]/Main_L[[#This Row],[Free CF]],""),"")</f>
        <v>26.018518518518519</v>
      </c>
      <c r="I26" s="1">
        <f>IF(ISNUMBER(Main_L[[#This Row],[BVPS]]),IF(Main_L[[#This Row],[BVPS]]&lt;&gt;0,Main_L[[#This Row],[Current Price]]/Main_L[[#This Row],[BVPS]],""),"")</f>
        <v>1.6238081479341231</v>
      </c>
      <c r="J26">
        <v>2.2999999999999998</v>
      </c>
      <c r="K26">
        <v>1.25</v>
      </c>
      <c r="L26">
        <v>1.92</v>
      </c>
      <c r="M26" s="1">
        <f>IF(ISNUMBER(Main_L[[#This Row],[EPS]]),IF(Main_L[[#This Row],[EPS]]&lt;&gt;0,Main_L[[#This Row],[Current Price]]/Main_L[[#This Row],[EPS]],""),"")</f>
        <v>85.151515151515156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0.63005653295235764</v>
      </c>
      <c r="P26" s="1">
        <f>(Main_L[[#This Row],[P/B]]-VLOOKUP(Main_L[[#This Row],[Industry]], Mean_PB_L, 2, FALSE))/(VLOOKUP(Main_L[[#This Row],[Industry]], Mean_PB_L, 3, FALSE))</f>
        <v>-0.52291682849247823</v>
      </c>
      <c r="Q26" s="1">
        <f>(Main_L[[#This Row],[ROE]]-VLOOKUP(Main_L[[#This Row],[Industry]], Mean_ROE_L, 2, FALSE))/(VLOOKUP(Main_L[[#This Row],[Industry]], Mean_ROE_L, 3, FALSE))</f>
        <v>-1.3509360283684073</v>
      </c>
      <c r="R26" s="1">
        <f>(Main_L[[#This Row],[ROA]]-VLOOKUP(Main_L[[#This Row],[Industry]], Mean_ROA_L, 2, FALSE))/(VLOOKUP(Main_L[[#This Row],[Industry]], Mean_ROA_L, 3, FALSE))</f>
        <v>-1.3790590038071378</v>
      </c>
      <c r="S26" s="1">
        <f>(Main_L[[#This Row],[A/E]]-VLOOKUP(Main_L[[#This Row],[Industry]], Mean_AE_L, 2, FALSE))/(VLOOKUP(Main_L[[#This Row],[Industry]], Mean_AE_L, 3, FALSE))</f>
        <v>-0.72109749916939947</v>
      </c>
      <c r="T26" s="1">
        <f>(Main_L[[#This Row],[P/E]]-VLOOKUP(Main_L[[#This Row],[Industry]], Mean_PE_L, 2, FALSE))/(VLOOKUP(Main_L[[#This Row],[Industry]], Mean_PE_L, 3, FALSE))</f>
        <v>7.3967236870225497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7" spans="1:26" x14ac:dyDescent="0.25">
      <c r="A27" t="s">
        <v>107</v>
      </c>
      <c r="B27" t="s">
        <v>133</v>
      </c>
      <c r="C27" s="2">
        <v>26192</v>
      </c>
      <c r="D27">
        <f>RTD("tos.rtd", , "LAST", Main_L[[#This Row],[Symbol]])</f>
        <v>113.1</v>
      </c>
      <c r="E27">
        <v>2.2400000000000002</v>
      </c>
      <c r="F27">
        <v>72.39</v>
      </c>
      <c r="G27">
        <v>-5.41</v>
      </c>
      <c r="H27" s="1">
        <f>IF(ISNUMBER(Main_L[[#This Row],[Free CF]]),IF(Main_L[[#This Row],[Free CF]]&lt;&gt;0,Main_L[[#This Row],[Current Price]]/Main_L[[#This Row],[Free CF]],""),"")</f>
        <v>50.491071428571423</v>
      </c>
      <c r="I27" s="1">
        <f>IF(ISNUMBER(Main_L[[#This Row],[BVPS]]),IF(Main_L[[#This Row],[BVPS]]&lt;&gt;0,Main_L[[#This Row],[Current Price]]/Main_L[[#This Row],[BVPS]],""),"")</f>
        <v>1.5623704931620388</v>
      </c>
      <c r="J27">
        <v>-7.1</v>
      </c>
      <c r="K27">
        <v>-2.2599999999999998</v>
      </c>
      <c r="L27">
        <v>1.62</v>
      </c>
      <c r="M27" s="1">
        <f>IF(ISNUMBER(Main_L[[#This Row],[EPS]]),IF(Main_L[[#This Row],[EPS]]&lt;&gt;0,Main_L[[#This Row],[Current Price]]/Main_L[[#This Row],[EPS]],""),"")</f>
        <v>-20.905730129390015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2.7239265094155778</v>
      </c>
      <c r="P27" s="1">
        <f>(Main_L[[#This Row],[P/B]]-VLOOKUP(Main_L[[#This Row],[Industry]], Mean_PB_L, 2, FALSE))/(VLOOKUP(Main_L[[#This Row],[Industry]], Mean_PB_L, 3, FALSE))</f>
        <v>-0.60157133308627109</v>
      </c>
      <c r="Q27" s="1">
        <f>(Main_L[[#This Row],[ROE]]-VLOOKUP(Main_L[[#This Row],[Industry]], Mean_ROE_L, 2, FALSE))/(VLOOKUP(Main_L[[#This Row],[Industry]], Mean_ROE_L, 3, FALSE))</f>
        <v>-2.5680068933563316</v>
      </c>
      <c r="R27" s="1">
        <f>(Main_L[[#This Row],[ROA]]-VLOOKUP(Main_L[[#This Row],[Industry]], Mean_ROA_L, 2, FALSE))/(VLOOKUP(Main_L[[#This Row],[Industry]], Mean_ROA_L, 3, FALSE))</f>
        <v>-2.5157409933251538</v>
      </c>
      <c r="S27" s="1">
        <f>(Main_L[[#This Row],[A/E]]-VLOOKUP(Main_L[[#This Row],[Industry]], Mean_AE_L, 2, FALSE))/(VLOOKUP(Main_L[[#This Row],[Industry]], Mean_AE_L, 3, FALSE))</f>
        <v>-1.0358127222222024</v>
      </c>
      <c r="T27" s="1">
        <f>(Main_L[[#This Row],[P/E]]-VLOOKUP(Main_L[[#This Row],[Industry]], Mean_PE_L, 2, FALSE))/(VLOOKUP(Main_L[[#This Row],[Industry]], Mean_PE_L, 3, FALSE))</f>
        <v>-4.2957230254732712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8" spans="1:26" x14ac:dyDescent="0.25">
      <c r="A28" t="s">
        <v>107</v>
      </c>
      <c r="B28" t="s">
        <v>134</v>
      </c>
      <c r="C28" s="2">
        <v>37951</v>
      </c>
      <c r="D28">
        <f>RTD("tos.rtd", , "LAST", Main_L[[#This Row],[Symbol]])</f>
        <v>146.16999999999999</v>
      </c>
      <c r="E28">
        <v>8.4</v>
      </c>
      <c r="F28">
        <v>133.91999999999999</v>
      </c>
      <c r="G28">
        <v>16.37</v>
      </c>
      <c r="H28" s="1">
        <f>IF(ISNUMBER(Main_L[[#This Row],[Free CF]]),IF(Main_L[[#This Row],[Free CF]]&lt;&gt;0,Main_L[[#This Row],[Current Price]]/Main_L[[#This Row],[Free CF]],""),"")</f>
        <v>17.401190476190475</v>
      </c>
      <c r="I28" s="1">
        <f>IF(ISNUMBER(Main_L[[#This Row],[BVPS]]),IF(Main_L[[#This Row],[BVPS]]&lt;&gt;0,Main_L[[#This Row],[Current Price]]/Main_L[[#This Row],[BVPS]],""),"")</f>
        <v>1.0914725209080047</v>
      </c>
      <c r="J28">
        <v>14.67</v>
      </c>
      <c r="K28">
        <v>7.19</v>
      </c>
      <c r="L28">
        <v>1.82</v>
      </c>
      <c r="M28" s="1">
        <f>IF(ISNUMBER(Main_L[[#This Row],[EPS]]),IF(Main_L[[#This Row],[EPS]]&lt;&gt;0,Main_L[[#This Row],[Current Price]]/Main_L[[#This Row],[EPS]],""),"")</f>
        <v>8.9291386682956606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8" s="1">
        <f>(Main_L[[#This Row],[P/FCF]]-VLOOKUP(Main_L[[#This Row],[Industry]], Mean_PFCF_L, 2, FALSE))/(VLOOKUP(Main_L[[#This Row],[Industry]], Mean_PFCF_L, 3, FALSE))</f>
        <v>-0.10724147316425316</v>
      </c>
      <c r="P28" s="1">
        <f>(Main_L[[#This Row],[P/B]]-VLOOKUP(Main_L[[#This Row],[Industry]], Mean_PB_L, 2, FALSE))/(VLOOKUP(Main_L[[#This Row],[Industry]], Mean_PB_L, 3, FALSE))</f>
        <v>-1.2044303917411578</v>
      </c>
      <c r="Q28" s="1">
        <f>(Main_L[[#This Row],[ROE]]-VLOOKUP(Main_L[[#This Row],[Industry]], Mean_ROE_L, 2, FALSE))/(VLOOKUP(Main_L[[#This Row],[Industry]], Mean_ROE_L, 3, FALSE))</f>
        <v>0.25067743970612738</v>
      </c>
      <c r="R28" s="1">
        <f>(Main_L[[#This Row],[ROA]]-VLOOKUP(Main_L[[#This Row],[Industry]], Mean_ROA_L, 2, FALSE))/(VLOOKUP(Main_L[[#This Row],[Industry]], Mean_ROA_L, 3, FALSE))</f>
        <v>0.54455667076181247</v>
      </c>
      <c r="S28" s="1">
        <f>(Main_L[[#This Row],[A/E]]-VLOOKUP(Main_L[[#This Row],[Industry]], Mean_AE_L, 2, FALSE))/(VLOOKUP(Main_L[[#This Row],[Industry]], Mean_AE_L, 3, FALSE))</f>
        <v>-0.82600257352033368</v>
      </c>
      <c r="T28" s="1">
        <f>(Main_L[[#This Row],[P/E]]-VLOOKUP(Main_L[[#This Row],[Industry]], Mean_PE_L, 2, FALSE))/(VLOOKUP(Main_L[[#This Row],[Industry]], Mean_PE_L, 3, FALSE))</f>
        <v>-1.0065313001244462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107</v>
      </c>
      <c r="B29" t="s">
        <v>135</v>
      </c>
      <c r="C29" s="2">
        <v>39779</v>
      </c>
      <c r="D29">
        <f>RTD("tos.rtd", , "LAST", Main_L[[#This Row],[Symbol]])</f>
        <v>135.69999999999999</v>
      </c>
      <c r="E29">
        <v>3.63</v>
      </c>
      <c r="F29">
        <v>37.33</v>
      </c>
      <c r="G29">
        <v>7.25</v>
      </c>
      <c r="H29" s="1">
        <f>IF(ISNUMBER(Main_L[[#This Row],[Free CF]]),IF(Main_L[[#This Row],[Free CF]]&lt;&gt;0,Main_L[[#This Row],[Current Price]]/Main_L[[#This Row],[Free CF]],""),"")</f>
        <v>37.382920110192835</v>
      </c>
      <c r="I29" s="1">
        <f>IF(ISNUMBER(Main_L[[#This Row],[BVPS]]),IF(Main_L[[#This Row],[BVPS]]&lt;&gt;0,Main_L[[#This Row],[Current Price]]/Main_L[[#This Row],[BVPS]],""),"")</f>
        <v>3.6351459951781409</v>
      </c>
      <c r="J29">
        <v>22.75</v>
      </c>
      <c r="K29">
        <v>9.99</v>
      </c>
      <c r="L29">
        <v>2.36</v>
      </c>
      <c r="M29" s="1">
        <f>IF(ISNUMBER(Main_L[[#This Row],[EPS]]),IF(Main_L[[#This Row],[EPS]]&lt;&gt;0,Main_L[[#This Row],[Current Price]]/Main_L[[#This Row],[EPS]],""),"")</f>
        <v>18.717241379310344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1.6023939666780751</v>
      </c>
      <c r="P29" s="1">
        <f>(Main_L[[#This Row],[P/B]]-VLOOKUP(Main_L[[#This Row],[Industry]], Mean_PB_L, 2, FALSE))/(VLOOKUP(Main_L[[#This Row],[Industry]], Mean_PB_L, 3, FALSE))</f>
        <v>2.0520639798180365</v>
      </c>
      <c r="Q29" s="1">
        <f>(Main_L[[#This Row],[ROE]]-VLOOKUP(Main_L[[#This Row],[Industry]], Mean_ROE_L, 2, FALSE))/(VLOOKUP(Main_L[[#This Row],[Industry]], Mean_ROE_L, 3, FALSE))</f>
        <v>1.2968404811000027</v>
      </c>
      <c r="R29" s="1">
        <f>(Main_L[[#This Row],[ROA]]-VLOOKUP(Main_L[[#This Row],[Industry]], Mean_ROA_L, 2, FALSE))/(VLOOKUP(Main_L[[#This Row],[Industry]], Mean_ROA_L, 3, FALSE))</f>
        <v>1.4513115341949876</v>
      </c>
      <c r="S29" s="1">
        <f>(Main_L[[#This Row],[A/E]]-VLOOKUP(Main_L[[#This Row],[Industry]], Mean_AE_L, 2, FALSE))/(VLOOKUP(Main_L[[#This Row],[Industry]], Mean_AE_L, 3, FALSE))</f>
        <v>-0.25951517202528823</v>
      </c>
      <c r="T29" s="1">
        <f>(Main_L[[#This Row],[P/E]]-VLOOKUP(Main_L[[#This Row],[Industry]], Mean_PE_L, 2, FALSE))/(VLOOKUP(Main_L[[#This Row],[Industry]], Mean_PE_L, 3, FALSE))</f>
        <v>7.257337642875851E-2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107</v>
      </c>
      <c r="B30" t="s">
        <v>136</v>
      </c>
      <c r="C30" s="2">
        <v>30523</v>
      </c>
      <c r="D30">
        <f>RTD("tos.rtd", , "LAST", Main_L[[#This Row],[Symbol]])</f>
        <v>1378.64</v>
      </c>
      <c r="E30">
        <v>2.85</v>
      </c>
      <c r="F30">
        <v>49.3</v>
      </c>
      <c r="G30">
        <v>19.72</v>
      </c>
      <c r="H30" s="1">
        <f>IF(ISNUMBER(Main_L[[#This Row],[Free CF]]),IF(Main_L[[#This Row],[Free CF]]&lt;&gt;0,Main_L[[#This Row],[Current Price]]/Main_L[[#This Row],[Free CF]],""),"")</f>
        <v>483.73333333333335</v>
      </c>
      <c r="I30" s="1">
        <f>IF(ISNUMBER(Main_L[[#This Row],[BVPS]]),IF(Main_L[[#This Row],[BVPS]]&lt;&gt;0,Main_L[[#This Row],[Current Price]]/Main_L[[#This Row],[BVPS]],""),"")</f>
        <v>27.964300202839759</v>
      </c>
      <c r="J30">
        <v>41.73</v>
      </c>
      <c r="K30">
        <v>28.3</v>
      </c>
      <c r="L30">
        <v>1.1000000000000001</v>
      </c>
      <c r="M30" s="1">
        <f>IF(ISNUMBER(Main_L[[#This Row],[EPS]]),IF(Main_L[[#This Row],[EPS]]&lt;&gt;0,Main_L[[#This Row],[Current Price]]/Main_L[[#This Row],[EPS]],""),"")</f>
        <v>69.910750507099394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39.792105218501263</v>
      </c>
      <c r="P30" s="1">
        <f>(Main_L[[#This Row],[P/B]]-VLOOKUP(Main_L[[#This Row],[Industry]], Mean_PB_L, 2, FALSE))/(VLOOKUP(Main_L[[#This Row],[Industry]], Mean_PB_L, 3, FALSE))</f>
        <v>33.199046697314351</v>
      </c>
      <c r="Q30" s="1">
        <f>(Main_L[[#This Row],[ROE]]-VLOOKUP(Main_L[[#This Row],[Industry]], Mean_ROE_L, 2, FALSE))/(VLOOKUP(Main_L[[#This Row],[Industry]], Mean_ROE_L, 3, FALSE))</f>
        <v>3.7542878233841304</v>
      </c>
      <c r="R30" s="1">
        <f>(Main_L[[#This Row],[ROA]]-VLOOKUP(Main_L[[#This Row],[Industry]], Mean_ROA_L, 2, FALSE))/(VLOOKUP(Main_L[[#This Row],[Industry]], Mean_ROA_L, 3, FALSE))</f>
        <v>7.3808406590026436</v>
      </c>
      <c r="S30" s="1">
        <f>(Main_L[[#This Row],[A/E]]-VLOOKUP(Main_L[[#This Row],[Industry]], Mean_AE_L, 2, FALSE))/(VLOOKUP(Main_L[[#This Row],[Industry]], Mean_AE_L, 3, FALSE))</f>
        <v>-1.5813191088470613</v>
      </c>
      <c r="T30" s="1">
        <f>(Main_L[[#This Row],[P/E]]-VLOOKUP(Main_L[[#This Row],[Industry]], Mean_PE_L, 2, FALSE))/(VLOOKUP(Main_L[[#This Row],[Industry]], Mean_PE_L, 3, FALSE))</f>
        <v>5.716481776245657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1" spans="1:26" x14ac:dyDescent="0.25">
      <c r="A31" t="s">
        <v>107</v>
      </c>
      <c r="B31" t="s">
        <v>137</v>
      </c>
      <c r="C31" s="2">
        <v>21655</v>
      </c>
      <c r="D31">
        <f>RTD("tos.rtd", , "LAST", Main_L[[#This Row],[Symbol]])</f>
        <v>10.72</v>
      </c>
      <c r="H31" s="1" t="str">
        <f>IF(ISNUMBER(Main_L[[#This Row],[Free CF]]),IF(Main_L[[#This Row],[Free CF]]&lt;&gt;0,Main_L[[#This Row],[Current Price]]/Main_L[[#This Row],[Free CF]],""),"")</f>
        <v/>
      </c>
      <c r="I31" s="1" t="str">
        <f>IF(ISNUMBER(Main_L[[#This Row],[BVPS]]),IF(Main_L[[#This Row],[BVPS]]&lt;&gt;0,Main_L[[#This Row],[Current Price]]/Main_L[[#This Row],[BVPS]],""),"")</f>
        <v/>
      </c>
      <c r="J31">
        <v>30.72</v>
      </c>
      <c r="K31">
        <v>3.06</v>
      </c>
      <c r="L31">
        <v>15.01</v>
      </c>
      <c r="M31" s="1" t="str">
        <f>IF(ISNUMBER(Main_L[[#This Row],[EPS]]),IF(Main_L[[#This Row],[EPS]]&lt;&gt;0,Main_L[[#This Row],[Current Price]]/Main_L[[#This Row],[EPS]],""),"")</f>
        <v/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 t="e">
        <f>(Main_L[[#This Row],[P/FCF]]-VLOOKUP(Main_L[[#This Row],[Industry]], Mean_PFCF_L, 2, FALSE))/(VLOOKUP(Main_L[[#This Row],[Industry]], Mean_PFCF_L, 3, FALSE))</f>
        <v>#VALUE!</v>
      </c>
      <c r="P31" s="1" t="e">
        <f>(Main_L[[#This Row],[P/B]]-VLOOKUP(Main_L[[#This Row],[Industry]], Mean_PB_L, 2, FALSE))/(VLOOKUP(Main_L[[#This Row],[Industry]], Mean_PB_L, 3, FALSE))</f>
        <v>#VALUE!</v>
      </c>
      <c r="Q31" s="1">
        <f>(Main_L[[#This Row],[ROE]]-VLOOKUP(Main_L[[#This Row],[Industry]], Mean_ROE_L, 2, FALSE))/(VLOOKUP(Main_L[[#This Row],[Industry]], Mean_ROE_L, 3, FALSE))</f>
        <v>2.3287612038610406</v>
      </c>
      <c r="R31" s="1">
        <f>(Main_L[[#This Row],[ROA]]-VLOOKUP(Main_L[[#This Row],[Industry]], Mean_ROA_L, 2, FALSE))/(VLOOKUP(Main_L[[#This Row],[Industry]], Mean_ROA_L, 3, FALSE))</f>
        <v>-0.79290675280212097</v>
      </c>
      <c r="S31" s="1">
        <f>(Main_L[[#This Row],[A/E]]-VLOOKUP(Main_L[[#This Row],[Industry]], Mean_AE_L, 2, FALSE))/(VLOOKUP(Main_L[[#This Row],[Industry]], Mean_AE_L, 3, FALSE))</f>
        <v>13.010976733367912</v>
      </c>
      <c r="T31" s="1" t="e">
        <f>(Main_L[[#This Row],[P/E]]-VLOOKUP(Main_L[[#This Row],[Industry]], Mean_PE_L, 2, FALSE))/(VLOOKUP(Main_L[[#This Row],[Industry]], Mean_PE_L, 3, FALSE))</f>
        <v>#VALUE!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2" spans="1:26" x14ac:dyDescent="0.25">
      <c r="A32" t="s">
        <v>107</v>
      </c>
      <c r="B32" t="s">
        <v>138</v>
      </c>
      <c r="C32" s="2">
        <v>24551</v>
      </c>
      <c r="D32">
        <f>RTD("tos.rtd", , "LAST", Main_L[[#This Row],[Symbol]])</f>
        <v>14.2</v>
      </c>
      <c r="E32">
        <v>-0.05</v>
      </c>
      <c r="F32">
        <v>18.64</v>
      </c>
      <c r="G32">
        <v>1.87</v>
      </c>
      <c r="H32" s="1">
        <f>IF(ISNUMBER(Main_L[[#This Row],[Free CF]]),IF(Main_L[[#This Row],[Free CF]]&lt;&gt;0,Main_L[[#This Row],[Current Price]]/Main_L[[#This Row],[Free CF]],""),"")</f>
        <v>-283.99999999999994</v>
      </c>
      <c r="I32" s="1">
        <f>IF(ISNUMBER(Main_L[[#This Row],[BVPS]]),IF(Main_L[[#This Row],[BVPS]]&lt;&gt;0,Main_L[[#This Row],[Current Price]]/Main_L[[#This Row],[BVPS]],""),"")</f>
        <v>0.7618025751072961</v>
      </c>
      <c r="J32">
        <v>10.220000000000001</v>
      </c>
      <c r="K32">
        <v>3.86</v>
      </c>
      <c r="L32">
        <v>1.73</v>
      </c>
      <c r="M32" s="1">
        <f>IF(ISNUMBER(Main_L[[#This Row],[EPS]]),IF(Main_L[[#This Row],[EPS]]&lt;&gt;0,Main_L[[#This Row],[Current Price]]/Main_L[[#This Row],[EPS]],""),"")</f>
        <v>7.593582887700534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-25.895107002678518</v>
      </c>
      <c r="P32" s="1">
        <f>(Main_L[[#This Row],[P/B]]-VLOOKUP(Main_L[[#This Row],[Industry]], Mean_PB_L, 2, FALSE))/(VLOOKUP(Main_L[[#This Row],[Industry]], Mean_PB_L, 3, FALSE))</f>
        <v>-1.6264846899172531</v>
      </c>
      <c r="Q32" s="1">
        <f>(Main_L[[#This Row],[ROE]]-VLOOKUP(Main_L[[#This Row],[Industry]], Mean_ROE_L, 2, FALSE))/(VLOOKUP(Main_L[[#This Row],[Industry]], Mean_ROE_L, 3, FALSE))</f>
        <v>-0.32548908680411331</v>
      </c>
      <c r="R32" s="1">
        <f>(Main_L[[#This Row],[ROA]]-VLOOKUP(Main_L[[#This Row],[Industry]], Mean_ROA_L, 2, FALSE))/(VLOOKUP(Main_L[[#This Row],[Industry]], Mean_ROA_L, 3, FALSE))</f>
        <v>-0.53383393467835671</v>
      </c>
      <c r="S32" s="1">
        <f>(Main_L[[#This Row],[A/E]]-VLOOKUP(Main_L[[#This Row],[Industry]], Mean_AE_L, 2, FALSE))/(VLOOKUP(Main_L[[#This Row],[Industry]], Mean_AE_L, 3, FALSE))</f>
        <v>-0.92041714043617473</v>
      </c>
      <c r="T32" s="1">
        <f>(Main_L[[#This Row],[P/E]]-VLOOKUP(Main_L[[#This Row],[Industry]], Mean_PE_L, 2, FALSE))/(VLOOKUP(Main_L[[#This Row],[Industry]], Mean_PE_L, 3, FALSE))</f>
        <v>-1.1537717338620344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107</v>
      </c>
      <c r="B33" t="s">
        <v>139</v>
      </c>
      <c r="C33" s="2">
        <v>44940</v>
      </c>
      <c r="D33">
        <f>RTD("tos.rtd", , "LAST", Main_L[[#This Row],[Symbol]])</f>
        <v>162.84</v>
      </c>
      <c r="E33">
        <v>18.04</v>
      </c>
      <c r="F33">
        <v>56.16</v>
      </c>
      <c r="G33">
        <v>10.08</v>
      </c>
      <c r="H33" s="1">
        <f>IF(ISNUMBER(Main_L[[#This Row],[Free CF]]),IF(Main_L[[#This Row],[Free CF]]&lt;&gt;0,Main_L[[#This Row],[Current Price]]/Main_L[[#This Row],[Free CF]],""),"")</f>
        <v>9.0266075388026614</v>
      </c>
      <c r="I33" s="1">
        <f>IF(ISNUMBER(Main_L[[#This Row],[BVPS]]),IF(Main_L[[#This Row],[BVPS]]&lt;&gt;0,Main_L[[#This Row],[Current Price]]/Main_L[[#This Row],[BVPS]],""),"")</f>
        <v>2.8995726495726499</v>
      </c>
      <c r="J33">
        <v>18.13</v>
      </c>
      <c r="K33">
        <v>4.37</v>
      </c>
      <c r="L33">
        <v>4.4400000000000004</v>
      </c>
      <c r="M33" s="1">
        <f>IF(ISNUMBER(Main_L[[#This Row],[EPS]]),IF(Main_L[[#This Row],[EPS]]&lt;&gt;0,Main_L[[#This Row],[Current Price]]/Main_L[[#This Row],[EPS]],""),"")</f>
        <v>16.154761904761905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-0.82377022447381965</v>
      </c>
      <c r="P33" s="1">
        <f>(Main_L[[#This Row],[P/B]]-VLOOKUP(Main_L[[#This Row],[Industry]], Mean_PB_L, 2, FALSE))/(VLOOKUP(Main_L[[#This Row],[Industry]], Mean_PB_L, 3, FALSE))</f>
        <v>1.1103588104780275</v>
      </c>
      <c r="Q33" s="1">
        <f>(Main_L[[#This Row],[ROE]]-VLOOKUP(Main_L[[#This Row],[Industry]], Mean_ROE_L, 2, FALSE))/(VLOOKUP(Main_L[[#This Row],[Industry]], Mean_ROE_L, 3, FALSE))</f>
        <v>0.6986630985208313</v>
      </c>
      <c r="R33" s="1">
        <f>(Main_L[[#This Row],[ROA]]-VLOOKUP(Main_L[[#This Row],[Industry]], Mean_ROA_L, 2, FALSE))/(VLOOKUP(Main_L[[#This Row],[Industry]], Mean_ROA_L, 3, FALSE))</f>
        <v>-0.36867501312445689</v>
      </c>
      <c r="S33" s="1">
        <f>(Main_L[[#This Row],[A/E]]-VLOOKUP(Main_L[[#This Row],[Industry]], Mean_AE_L, 2, FALSE))/(VLOOKUP(Main_L[[#This Row],[Industry]], Mean_AE_L, 3, FALSE))</f>
        <v>1.9225103744741474</v>
      </c>
      <c r="T33" s="1">
        <f>(Main_L[[#This Row],[P/E]]-VLOOKUP(Main_L[[#This Row],[Industry]], Mean_PE_L, 2, FALSE))/(VLOOKUP(Main_L[[#This Row],[Industry]], Mean_PE_L, 3, FALSE))</f>
        <v>-0.20993117692509231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107</v>
      </c>
      <c r="B34" t="s">
        <v>140</v>
      </c>
      <c r="C34" s="2">
        <v>42940</v>
      </c>
      <c r="D34">
        <f>RTD("tos.rtd", , "LAST", Main_L[[#This Row],[Symbol]])</f>
        <v>125.57</v>
      </c>
      <c r="E34">
        <v>7.13</v>
      </c>
      <c r="F34">
        <v>66.91</v>
      </c>
      <c r="G34">
        <v>4.42</v>
      </c>
      <c r="H34" s="1">
        <f>IF(ISNUMBER(Main_L[[#This Row],[Free CF]]),IF(Main_L[[#This Row],[Free CF]]&lt;&gt;0,Main_L[[#This Row],[Current Price]]/Main_L[[#This Row],[Free CF]],""),"")</f>
        <v>17.611500701262273</v>
      </c>
      <c r="I34" s="1">
        <f>IF(ISNUMBER(Main_L[[#This Row],[BVPS]]),IF(Main_L[[#This Row],[BVPS]]&lt;&gt;0,Main_L[[#This Row],[Current Price]]/Main_L[[#This Row],[BVPS]],""),"")</f>
        <v>1.8767000448363473</v>
      </c>
      <c r="J34">
        <v>6.56</v>
      </c>
      <c r="K34">
        <v>0.95</v>
      </c>
      <c r="L34">
        <v>2.63</v>
      </c>
      <c r="M34" s="1">
        <f>IF(ISNUMBER(Main_L[[#This Row],[EPS]]),IF(Main_L[[#This Row],[EPS]]&lt;&gt;0,Main_L[[#This Row],[Current Price]]/Main_L[[#This Row],[EPS]],""),"")</f>
        <v>28.409502262443439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-8.9247344491221847E-2</v>
      </c>
      <c r="P34" s="1">
        <f>(Main_L[[#This Row],[P/B]]-VLOOKUP(Main_L[[#This Row],[Industry]], Mean_PB_L, 2, FALSE))/(VLOOKUP(Main_L[[#This Row],[Industry]], Mean_PB_L, 3, FALSE))</f>
        <v>-0.19915631158441777</v>
      </c>
      <c r="Q34" s="1">
        <f>(Main_L[[#This Row],[ROE]]-VLOOKUP(Main_L[[#This Row],[Industry]], Mean_ROE_L, 2, FALSE))/(VLOOKUP(Main_L[[#This Row],[Industry]], Mean_ROE_L, 3, FALSE))</f>
        <v>-0.79936987040579466</v>
      </c>
      <c r="R34" s="1">
        <f>(Main_L[[#This Row],[ROA]]-VLOOKUP(Main_L[[#This Row],[Industry]], Mean_ROA_L, 2, FALSE))/(VLOOKUP(Main_L[[#This Row],[Industry]], Mean_ROA_L, 3, FALSE))</f>
        <v>-1.4762113106035495</v>
      </c>
      <c r="S34" s="1">
        <f>(Main_L[[#This Row],[A/E]]-VLOOKUP(Main_L[[#This Row],[Industry]], Mean_AE_L, 2, FALSE))/(VLOOKUP(Main_L[[#This Row],[Industry]], Mean_AE_L, 3, FALSE))</f>
        <v>2.3728528722234608E-2</v>
      </c>
      <c r="T34" s="1">
        <f>(Main_L[[#This Row],[P/E]]-VLOOKUP(Main_L[[#This Row],[Industry]], Mean_PE_L, 2, FALSE))/(VLOOKUP(Main_L[[#This Row],[Industry]], Mean_PE_L, 3, FALSE))</f>
        <v>1.1411118209214797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107</v>
      </c>
      <c r="B35" t="s">
        <v>141</v>
      </c>
      <c r="C35" s="2">
        <v>36559</v>
      </c>
      <c r="D35">
        <f>RTD("tos.rtd", , "LAST", Main_L[[#This Row],[Symbol]])</f>
        <v>135.11000000000001</v>
      </c>
      <c r="E35">
        <v>15.21</v>
      </c>
      <c r="F35">
        <v>75</v>
      </c>
      <c r="G35">
        <v>2.91</v>
      </c>
      <c r="H35" s="1">
        <f>IF(ISNUMBER(Main_L[[#This Row],[Free CF]]),IF(Main_L[[#This Row],[Free CF]]&lt;&gt;0,Main_L[[#This Row],[Current Price]]/Main_L[[#This Row],[Free CF]],""),"")</f>
        <v>8.8829717291255754</v>
      </c>
      <c r="I35" s="1">
        <f>IF(ISNUMBER(Main_L[[#This Row],[BVPS]]),IF(Main_L[[#This Row],[BVPS]]&lt;&gt;0,Main_L[[#This Row],[Current Price]]/Main_L[[#This Row],[BVPS]],""),"")</f>
        <v>1.8014666666666668</v>
      </c>
      <c r="J35">
        <v>3.71</v>
      </c>
      <c r="K35">
        <v>2.46</v>
      </c>
      <c r="L35">
        <v>2.52</v>
      </c>
      <c r="M35" s="1">
        <f>IF(ISNUMBER(Main_L[[#This Row],[EPS]]),IF(Main_L[[#This Row],[EPS]]&lt;&gt;0,Main_L[[#This Row],[Current Price]]/Main_L[[#This Row],[EPS]],""),"")</f>
        <v>46.429553264604813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-0.83605969466245256</v>
      </c>
      <c r="P35" s="1">
        <f>(Main_L[[#This Row],[P/B]]-VLOOKUP(Main_L[[#This Row],[Industry]], Mean_PB_L, 2, FALSE))/(VLOOKUP(Main_L[[#This Row],[Industry]], Mean_PB_L, 3, FALSE))</f>
        <v>-0.29547255462471084</v>
      </c>
      <c r="Q35" s="1">
        <f>(Main_L[[#This Row],[ROE]]-VLOOKUP(Main_L[[#This Row],[Industry]], Mean_ROE_L, 2, FALSE))/(VLOOKUP(Main_L[[#This Row],[Industry]], Mean_ROE_L, 3, FALSE))</f>
        <v>-1.1683753986202186</v>
      </c>
      <c r="R35" s="1">
        <f>(Main_L[[#This Row],[ROA]]-VLOOKUP(Main_L[[#This Row],[Industry]], Mean_ROA_L, 2, FALSE))/(VLOOKUP(Main_L[[#This Row],[Industry]], Mean_ROA_L, 3, FALSE))</f>
        <v>-0.98721136639494433</v>
      </c>
      <c r="S35" s="1">
        <f>(Main_L[[#This Row],[A/E]]-VLOOKUP(Main_L[[#This Row],[Industry]], Mean_AE_L, 2, FALSE))/(VLOOKUP(Main_L[[#This Row],[Industry]], Mean_AE_L, 3, FALSE))</f>
        <v>-9.166705306379308E-2</v>
      </c>
      <c r="T35" s="1">
        <f>(Main_L[[#This Row],[P/E]]-VLOOKUP(Main_L[[#This Row],[Industry]], Mean_PE_L, 2, FALSE))/(VLOOKUP(Main_L[[#This Row],[Industry]], Mean_PE_L, 3, FALSE))</f>
        <v>3.1277604986348115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107</v>
      </c>
      <c r="B36" t="s">
        <v>142</v>
      </c>
      <c r="C36" s="2">
        <v>28235</v>
      </c>
      <c r="D36">
        <f>RTD("tos.rtd", , "LAST", Main_L[[#This Row],[Symbol]])</f>
        <v>58.84</v>
      </c>
      <c r="E36">
        <v>5.81</v>
      </c>
      <c r="F36">
        <v>3.76</v>
      </c>
      <c r="G36">
        <v>4.26</v>
      </c>
      <c r="H36" s="1">
        <f>IF(ISNUMBER(Main_L[[#This Row],[Free CF]]),IF(Main_L[[#This Row],[Free CF]]&lt;&gt;0,Main_L[[#This Row],[Current Price]]/Main_L[[#This Row],[Free CF]],""),"")</f>
        <v>10.127366609294322</v>
      </c>
      <c r="I36" s="1">
        <f>IF(ISNUMBER(Main_L[[#This Row],[BVPS]]),IF(Main_L[[#This Row],[BVPS]]&lt;&gt;0,Main_L[[#This Row],[Current Price]]/Main_L[[#This Row],[BVPS]],""),"")</f>
        <v>15.648936170212767</v>
      </c>
      <c r="J36">
        <v>-388.24</v>
      </c>
      <c r="K36">
        <v>11.53</v>
      </c>
      <c r="L36">
        <v>9.58</v>
      </c>
      <c r="M36" s="1">
        <f>IF(ISNUMBER(Main_L[[#This Row],[EPS]]),IF(Main_L[[#This Row],[EPS]]&lt;&gt;0,Main_L[[#This Row],[Current Price]]/Main_L[[#This Row],[EPS]],""),"")</f>
        <v>13.812206572769954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-0.72958935264188018</v>
      </c>
      <c r="P36" s="1">
        <f>(Main_L[[#This Row],[P/B]]-VLOOKUP(Main_L[[#This Row],[Industry]], Mean_PB_L, 2, FALSE))/(VLOOKUP(Main_L[[#This Row],[Industry]], Mean_PB_L, 3, FALSE))</f>
        <v>17.43251295718493</v>
      </c>
      <c r="Q36" s="1">
        <f>(Main_L[[#This Row],[ROE]]-VLOOKUP(Main_L[[#This Row],[Industry]], Mean_ROE_L, 2, FALSE))/(VLOOKUP(Main_L[[#This Row],[Industry]], Mean_ROE_L, 3, FALSE))</f>
        <v>-51.916346199898619</v>
      </c>
      <c r="R36" s="1">
        <f>(Main_L[[#This Row],[ROA]]-VLOOKUP(Main_L[[#This Row],[Industry]], Mean_ROA_L, 2, FALSE))/(VLOOKUP(Main_L[[#This Row],[Industry]], Mean_ROA_L, 3, FALSE))</f>
        <v>1.9500267090832337</v>
      </c>
      <c r="S36" s="1">
        <f>(Main_L[[#This Row],[A/E]]-VLOOKUP(Main_L[[#This Row],[Industry]], Mean_AE_L, 2, FALSE))/(VLOOKUP(Main_L[[#This Row],[Industry]], Mean_AE_L, 3, FALSE))</f>
        <v>7.3146311961121748</v>
      </c>
      <c r="T36" s="1">
        <f>(Main_L[[#This Row],[P/E]]-VLOOKUP(Main_L[[#This Row],[Industry]], Mean_PE_L, 2, FALSE))/(VLOOKUP(Main_L[[#This Row],[Industry]], Mean_PE_L, 3, FALSE))</f>
        <v>-0.46818984956780191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107</v>
      </c>
      <c r="B37" t="s">
        <v>143</v>
      </c>
      <c r="C37" s="2">
        <v>10274</v>
      </c>
      <c r="D37">
        <f>RTD("tos.rtd", , "LAST", Main_L[[#This Row],[Symbol]])</f>
        <v>102.42</v>
      </c>
      <c r="E37">
        <v>4.5199999999999996</v>
      </c>
      <c r="F37">
        <v>45.69</v>
      </c>
      <c r="G37">
        <v>3.68</v>
      </c>
      <c r="H37" s="1">
        <f>IF(ISNUMBER(Main_L[[#This Row],[Free CF]]),IF(Main_L[[#This Row],[Free CF]]&lt;&gt;0,Main_L[[#This Row],[Current Price]]/Main_L[[#This Row],[Free CF]],""),"")</f>
        <v>22.659292035398234</v>
      </c>
      <c r="I37" s="1">
        <f>IF(ISNUMBER(Main_L[[#This Row],[BVPS]]),IF(Main_L[[#This Row],[BVPS]]&lt;&gt;0,Main_L[[#This Row],[Current Price]]/Main_L[[#This Row],[BVPS]],""),"")</f>
        <v>2.241628365068943</v>
      </c>
      <c r="J37">
        <v>8.32</v>
      </c>
      <c r="K37">
        <v>3.4</v>
      </c>
      <c r="L37">
        <v>2.14</v>
      </c>
      <c r="M37" s="1">
        <f>IF(ISNUMBER(Main_L[[#This Row],[EPS]]),IF(Main_L[[#This Row],[EPS]]&lt;&gt;0,Main_L[[#This Row],[Current Price]]/Main_L[[#This Row],[EPS]],""),"")</f>
        <v>27.831521739130434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0.34264134161543996</v>
      </c>
      <c r="P37" s="1">
        <f>(Main_L[[#This Row],[P/B]]-VLOOKUP(Main_L[[#This Row],[Industry]], Mean_PB_L, 2, FALSE))/(VLOOKUP(Main_L[[#This Row],[Industry]], Mean_PB_L, 3, FALSE))</f>
        <v>0.26803691619454728</v>
      </c>
      <c r="Q37" s="1">
        <f>(Main_L[[#This Row],[ROE]]-VLOOKUP(Main_L[[#This Row],[Industry]], Mean_ROE_L, 2, FALSE))/(VLOOKUP(Main_L[[#This Row],[Industry]], Mean_ROE_L, 3, FALSE))</f>
        <v>-0.57149277228039597</v>
      </c>
      <c r="R37" s="1">
        <f>(Main_L[[#This Row],[ROA]]-VLOOKUP(Main_L[[#This Row],[Industry]], Mean_ROA_L, 2, FALSE))/(VLOOKUP(Main_L[[#This Row],[Industry]], Mean_ROA_L, 3, FALSE))</f>
        <v>-0.68280080509952124</v>
      </c>
      <c r="S37" s="1">
        <f>(Main_L[[#This Row],[A/E]]-VLOOKUP(Main_L[[#This Row],[Industry]], Mean_AE_L, 2, FALSE))/(VLOOKUP(Main_L[[#This Row],[Industry]], Mean_AE_L, 3, FALSE))</f>
        <v>-0.49030633559734366</v>
      </c>
      <c r="T37" s="1">
        <f>(Main_L[[#This Row],[P/E]]-VLOOKUP(Main_L[[#This Row],[Industry]], Mean_PE_L, 2, FALSE))/(VLOOKUP(Main_L[[#This Row],[Industry]], Mean_PE_L, 3, FALSE))</f>
        <v>1.0773914550775583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107</v>
      </c>
      <c r="B38" t="s">
        <v>144</v>
      </c>
      <c r="C38" s="2">
        <v>101812</v>
      </c>
      <c r="D38">
        <f>RTD("tos.rtd", , "LAST", Main_L[[#This Row],[Symbol]])</f>
        <v>44.57</v>
      </c>
      <c r="E38">
        <v>1.71</v>
      </c>
      <c r="F38">
        <v>18.87</v>
      </c>
      <c r="G38">
        <v>1.63</v>
      </c>
      <c r="H38" s="1">
        <f>IF(ISNUMBER(Main_L[[#This Row],[Free CF]]),IF(Main_L[[#This Row],[Free CF]]&lt;&gt;0,Main_L[[#This Row],[Current Price]]/Main_L[[#This Row],[Free CF]],""),"")</f>
        <v>26.064327485380119</v>
      </c>
      <c r="I38" s="1">
        <f>IF(ISNUMBER(Main_L[[#This Row],[BVPS]]),IF(Main_L[[#This Row],[BVPS]]&lt;&gt;0,Main_L[[#This Row],[Current Price]]/Main_L[[#This Row],[BVPS]],""),"")</f>
        <v>2.3619501854795972</v>
      </c>
      <c r="J38">
        <v>8.44</v>
      </c>
      <c r="K38">
        <v>3.14</v>
      </c>
      <c r="L38">
        <v>3.71</v>
      </c>
      <c r="M38" s="1">
        <f>IF(ISNUMBER(Main_L[[#This Row],[EPS]]),IF(Main_L[[#This Row],[EPS]]&lt;&gt;0,Main_L[[#This Row],[Current Price]]/Main_L[[#This Row],[EPS]],""),"")</f>
        <v>27.343558282208591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0.63397594506750732</v>
      </c>
      <c r="P38" s="1">
        <f>(Main_L[[#This Row],[P/B]]-VLOOKUP(Main_L[[#This Row],[Industry]], Mean_PB_L, 2, FALSE))/(VLOOKUP(Main_L[[#This Row],[Industry]], Mean_PB_L, 3, FALSE))</f>
        <v>0.4220768646810486</v>
      </c>
      <c r="Q38" s="1">
        <f>(Main_L[[#This Row],[ROE]]-VLOOKUP(Main_L[[#This Row],[Industry]], Mean_ROE_L, 2, FALSE))/(VLOOKUP(Main_L[[#This Row],[Industry]], Mean_ROE_L, 3, FALSE))</f>
        <v>-0.55595569740820971</v>
      </c>
      <c r="R38" s="1">
        <f>(Main_L[[#This Row],[ROA]]-VLOOKUP(Main_L[[#This Row],[Industry]], Mean_ROA_L, 2, FALSE))/(VLOOKUP(Main_L[[#This Row],[Industry]], Mean_ROA_L, 3, FALSE))</f>
        <v>-0.76699947098974453</v>
      </c>
      <c r="S38" s="1">
        <f>(Main_L[[#This Row],[A/E]]-VLOOKUP(Main_L[[#This Row],[Industry]], Mean_AE_L, 2, FALSE))/(VLOOKUP(Main_L[[#This Row],[Industry]], Mean_AE_L, 3, FALSE))</f>
        <v>1.1567033317123261</v>
      </c>
      <c r="T38" s="1">
        <f>(Main_L[[#This Row],[P/E]]-VLOOKUP(Main_L[[#This Row],[Industry]], Mean_PE_L, 2, FALSE))/(VLOOKUP(Main_L[[#This Row],[Industry]], Mean_PE_L, 3, FALSE))</f>
        <v>1.0235951613628551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107</v>
      </c>
      <c r="B39" t="s">
        <v>145</v>
      </c>
      <c r="C39" s="2">
        <v>65339</v>
      </c>
      <c r="D39">
        <f>RTD("tos.rtd", , "LAST", Main_L[[#This Row],[Symbol]])</f>
        <v>31.76</v>
      </c>
      <c r="E39">
        <v>1.65</v>
      </c>
      <c r="F39">
        <v>13.27</v>
      </c>
      <c r="G39">
        <v>2.66</v>
      </c>
      <c r="H39" s="1">
        <f>IF(ISNUMBER(Main_L[[#This Row],[Free CF]]),IF(Main_L[[#This Row],[Free CF]]&lt;&gt;0,Main_L[[#This Row],[Current Price]]/Main_L[[#This Row],[Free CF]],""),"")</f>
        <v>19.24848484848485</v>
      </c>
      <c r="I39" s="1">
        <f>IF(ISNUMBER(Main_L[[#This Row],[BVPS]]),IF(Main_L[[#This Row],[BVPS]]&lt;&gt;0,Main_L[[#This Row],[Current Price]]/Main_L[[#This Row],[BVPS]],""),"")</f>
        <v>2.3933685003767899</v>
      </c>
      <c r="J39">
        <v>20.43</v>
      </c>
      <c r="K39">
        <v>5.89</v>
      </c>
      <c r="L39">
        <v>2.69</v>
      </c>
      <c r="M39" s="1">
        <f>IF(ISNUMBER(Main_L[[#This Row],[EPS]]),IF(Main_L[[#This Row],[EPS]]&lt;&gt;0,Main_L[[#This Row],[Current Price]]/Main_L[[#This Row],[EPS]],""),"")</f>
        <v>11.93984962406015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5.0812908740781169E-2</v>
      </c>
      <c r="P39" s="1">
        <f>(Main_L[[#This Row],[P/B]]-VLOOKUP(Main_L[[#This Row],[Industry]], Mean_PB_L, 2, FALSE))/(VLOOKUP(Main_L[[#This Row],[Industry]], Mean_PB_L, 3, FALSE))</f>
        <v>0.4622996238761688</v>
      </c>
      <c r="Q39" s="1">
        <f>(Main_L[[#This Row],[ROE]]-VLOOKUP(Main_L[[#This Row],[Industry]], Mean_ROE_L, 2, FALSE))/(VLOOKUP(Main_L[[#This Row],[Industry]], Mean_ROE_L, 3, FALSE))</f>
        <v>0.9964570335710683</v>
      </c>
      <c r="R39" s="1">
        <f>(Main_L[[#This Row],[ROA]]-VLOOKUP(Main_L[[#This Row],[Industry]], Mean_ROA_L, 2, FALSE))/(VLOOKUP(Main_L[[#This Row],[Industry]], Mean_ROA_L, 3, FALSE))</f>
        <v>0.12356334131069519</v>
      </c>
      <c r="S39" s="1">
        <f>(Main_L[[#This Row],[A/E]]-VLOOKUP(Main_L[[#This Row],[Industry]], Mean_AE_L, 2, FALSE))/(VLOOKUP(Main_L[[#This Row],[Industry]], Mean_AE_L, 3, FALSE))</f>
        <v>8.6671573332795293E-2</v>
      </c>
      <c r="T39" s="1">
        <f>(Main_L[[#This Row],[P/E]]-VLOOKUP(Main_L[[#This Row],[Industry]], Mean_PE_L, 2, FALSE))/(VLOOKUP(Main_L[[#This Row],[Industry]], Mean_PE_L, 3, FALSE))</f>
        <v>-0.67461076679581355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107</v>
      </c>
      <c r="B40" t="s">
        <v>146</v>
      </c>
      <c r="C40" s="2">
        <v>57936</v>
      </c>
      <c r="D40">
        <f>RTD("tos.rtd", , "LAST", Main_L[[#This Row],[Symbol]])</f>
        <v>18</v>
      </c>
      <c r="E40">
        <v>2.0499999999999998</v>
      </c>
      <c r="F40">
        <v>9.11</v>
      </c>
      <c r="G40">
        <v>1.28</v>
      </c>
      <c r="H40" s="1">
        <f>IF(ISNUMBER(Main_L[[#This Row],[Free CF]]),IF(Main_L[[#This Row],[Free CF]]&lt;&gt;0,Main_L[[#This Row],[Current Price]]/Main_L[[#This Row],[Free CF]],""),"")</f>
        <v>8.7804878048780495</v>
      </c>
      <c r="I40" s="1">
        <f>IF(ISNUMBER(Main_L[[#This Row],[BVPS]]),IF(Main_L[[#This Row],[BVPS]]&lt;&gt;0,Main_L[[#This Row],[Current Price]]/Main_L[[#This Row],[BVPS]],""),"")</f>
        <v>1.9758507135016468</v>
      </c>
      <c r="J40">
        <v>14.4</v>
      </c>
      <c r="K40">
        <v>4.8</v>
      </c>
      <c r="L40">
        <v>4.01</v>
      </c>
      <c r="M40" s="1">
        <f>IF(ISNUMBER(Main_L[[#This Row],[EPS]]),IF(Main_L[[#This Row],[EPS]]&lt;&gt;0,Main_L[[#This Row],[Current Price]]/Main_L[[#This Row],[EPS]],""),"")</f>
        <v>14.0625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-0.84482821230917005</v>
      </c>
      <c r="P40" s="1">
        <f>(Main_L[[#This Row],[P/B]]-VLOOKUP(Main_L[[#This Row],[Industry]], Mean_PB_L, 2, FALSE))/(VLOOKUP(Main_L[[#This Row],[Industry]], Mean_PB_L, 3, FALSE))</f>
        <v>-7.2220367285386181E-2</v>
      </c>
      <c r="Q40" s="1">
        <f>(Main_L[[#This Row],[ROE]]-VLOOKUP(Main_L[[#This Row],[Industry]], Mean_ROE_L, 2, FALSE))/(VLOOKUP(Main_L[[#This Row],[Industry]], Mean_ROE_L, 3, FALSE))</f>
        <v>0.21571902124370834</v>
      </c>
      <c r="R40" s="1">
        <f>(Main_L[[#This Row],[ROA]]-VLOOKUP(Main_L[[#This Row],[Industry]], Mean_ROA_L, 2, FALSE))/(VLOOKUP(Main_L[[#This Row],[Industry]], Mean_ROA_L, 3, FALSE))</f>
        <v>-0.22942337338293367</v>
      </c>
      <c r="S40" s="1">
        <f>(Main_L[[#This Row],[A/E]]-VLOOKUP(Main_L[[#This Row],[Industry]], Mean_AE_L, 2, FALSE))/(VLOOKUP(Main_L[[#This Row],[Industry]], Mean_AE_L, 3, FALSE))</f>
        <v>1.4714185547651291</v>
      </c>
      <c r="T40" s="1">
        <f>(Main_L[[#This Row],[P/E]]-VLOOKUP(Main_L[[#This Row],[Industry]], Mean_PE_L, 2, FALSE))/(VLOOKUP(Main_L[[#This Row],[Industry]], Mean_PE_L, 3, FALSE))</f>
        <v>-0.4405958596180915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107</v>
      </c>
      <c r="B41" t="s">
        <v>147</v>
      </c>
      <c r="C41" s="2">
        <v>61215</v>
      </c>
      <c r="D41">
        <f>RTD("tos.rtd", , "LAST", Main_L[[#This Row],[Symbol]])</f>
        <v>27.5</v>
      </c>
      <c r="E41">
        <v>0.96</v>
      </c>
      <c r="F41">
        <v>13.77</v>
      </c>
      <c r="G41">
        <v>1.1599999999999999</v>
      </c>
      <c r="H41" s="1">
        <f>IF(ISNUMBER(Main_L[[#This Row],[Free CF]]),IF(Main_L[[#This Row],[Free CF]]&lt;&gt;0,Main_L[[#This Row],[Current Price]]/Main_L[[#This Row],[Free CF]],""),"")</f>
        <v>28.645833333333336</v>
      </c>
      <c r="I41" s="1">
        <f>IF(ISNUMBER(Main_L[[#This Row],[BVPS]]),IF(Main_L[[#This Row],[BVPS]]&lt;&gt;0,Main_L[[#This Row],[Current Price]]/Main_L[[#This Row],[BVPS]],""),"")</f>
        <v>1.9970951343500363</v>
      </c>
      <c r="J41">
        <v>8.4499999999999993</v>
      </c>
      <c r="K41">
        <v>3.73</v>
      </c>
      <c r="L41">
        <v>2.36</v>
      </c>
      <c r="M41" s="1">
        <f>IF(ISNUMBER(Main_L[[#This Row],[EPS]]),IF(Main_L[[#This Row],[EPS]]&lt;&gt;0,Main_L[[#This Row],[Current Price]]/Main_L[[#This Row],[EPS]],""),"")</f>
        <v>23.706896551724139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0.85484941131193193</v>
      </c>
      <c r="P41" s="1">
        <f>(Main_L[[#This Row],[P/B]]-VLOOKUP(Main_L[[#This Row],[Industry]], Mean_PB_L, 2, FALSE))/(VLOOKUP(Main_L[[#This Row],[Industry]], Mean_PB_L, 3, FALSE))</f>
        <v>-4.502256158445362E-2</v>
      </c>
      <c r="Q41" s="1">
        <f>(Main_L[[#This Row],[ROE]]-VLOOKUP(Main_L[[#This Row],[Industry]], Mean_ROE_L, 2, FALSE))/(VLOOKUP(Main_L[[#This Row],[Industry]], Mean_ROE_L, 3, FALSE))</f>
        <v>-0.55466094116886089</v>
      </c>
      <c r="R41" s="1">
        <f>(Main_L[[#This Row],[ROA]]-VLOOKUP(Main_L[[#This Row],[Industry]], Mean_ROA_L, 2, FALSE))/(VLOOKUP(Main_L[[#This Row],[Industry]], Mean_ROA_L, 3, FALSE))</f>
        <v>-0.57593326762346841</v>
      </c>
      <c r="S41" s="1">
        <f>(Main_L[[#This Row],[A/E]]-VLOOKUP(Main_L[[#This Row],[Industry]], Mean_AE_L, 2, FALSE))/(VLOOKUP(Main_L[[#This Row],[Industry]], Mean_AE_L, 3, FALSE))</f>
        <v>-0.25951517202528823</v>
      </c>
      <c r="T41" s="1">
        <f>(Main_L[[#This Row],[P/E]]-VLOOKUP(Main_L[[#This Row],[Industry]], Mean_PE_L, 2, FALSE))/(VLOOKUP(Main_L[[#This Row],[Industry]], Mean_PE_L, 3, FALSE))</f>
        <v>0.62266570687401623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107</v>
      </c>
      <c r="B42" t="s">
        <v>148</v>
      </c>
      <c r="C42" s="2">
        <v>52959</v>
      </c>
      <c r="D42">
        <f>RTD("tos.rtd", , "LAST", Main_L[[#This Row],[Symbol]])</f>
        <v>232.72</v>
      </c>
      <c r="E42">
        <v>13.82</v>
      </c>
      <c r="F42">
        <v>25.44</v>
      </c>
      <c r="G42">
        <v>14.2</v>
      </c>
      <c r="H42" s="1">
        <f>IF(ISNUMBER(Main_L[[#This Row],[Free CF]]),IF(Main_L[[#This Row],[Free CF]]&lt;&gt;0,Main_L[[#This Row],[Current Price]]/Main_L[[#This Row],[Free CF]],""),"")</f>
        <v>16.839363241678726</v>
      </c>
      <c r="I42" s="1">
        <f>IF(ISNUMBER(Main_L[[#This Row],[BVPS]]),IF(Main_L[[#This Row],[BVPS]]&lt;&gt;0,Main_L[[#This Row],[Current Price]]/Main_L[[#This Row],[BVPS]],""),"")</f>
        <v>9.1477987421383649</v>
      </c>
      <c r="J42">
        <v>47.09</v>
      </c>
      <c r="K42">
        <v>8.75</v>
      </c>
      <c r="L42">
        <v>7.7</v>
      </c>
      <c r="M42" s="1">
        <f>IF(ISNUMBER(Main_L[[#This Row],[EPS]]),IF(Main_L[[#This Row],[EPS]]&lt;&gt;0,Main_L[[#This Row],[Current Price]]/Main_L[[#This Row],[EPS]],""),"")</f>
        <v>16.388732394366198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-0.15531137345733909</v>
      </c>
      <c r="P42" s="1">
        <f>(Main_L[[#This Row],[P/B]]-VLOOKUP(Main_L[[#This Row],[Industry]], Mean_PB_L, 2, FALSE))/(VLOOKUP(Main_L[[#This Row],[Industry]], Mean_PB_L, 3, FALSE))</f>
        <v>9.1095431824060569</v>
      </c>
      <c r="Q42" s="1">
        <f>(Main_L[[#This Row],[ROE]]-VLOOKUP(Main_L[[#This Row],[Industry]], Mean_ROE_L, 2, FALSE))/(VLOOKUP(Main_L[[#This Row],[Industry]], Mean_ROE_L, 3, FALSE))</f>
        <v>4.4482771676751174</v>
      </c>
      <c r="R42" s="1">
        <f>(Main_L[[#This Row],[ROA]]-VLOOKUP(Main_L[[#This Row],[Industry]], Mean_ROA_L, 2, FALSE))/(VLOOKUP(Main_L[[#This Row],[Industry]], Mean_ROA_L, 3, FALSE))</f>
        <v>1.0497486661031528</v>
      </c>
      <c r="S42" s="1">
        <f>(Main_L[[#This Row],[A/E]]-VLOOKUP(Main_L[[#This Row],[Industry]], Mean_AE_L, 2, FALSE))/(VLOOKUP(Main_L[[#This Row],[Industry]], Mean_AE_L, 3, FALSE))</f>
        <v>5.3424157983146081</v>
      </c>
      <c r="T42" s="1">
        <f>(Main_L[[#This Row],[P/E]]-VLOOKUP(Main_L[[#This Row],[Industry]], Mean_PE_L, 2, FALSE))/(VLOOKUP(Main_L[[#This Row],[Industry]], Mean_PE_L, 3, FALSE))</f>
        <v>-0.18413673473730066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107</v>
      </c>
      <c r="B43" t="s">
        <v>149</v>
      </c>
      <c r="C43" s="2">
        <v>50215</v>
      </c>
      <c r="D43">
        <f>RTD("tos.rtd", , "LAST", Main_L[[#This Row],[Symbol]])</f>
        <v>50.44</v>
      </c>
      <c r="E43">
        <v>4.7699999999999996</v>
      </c>
      <c r="F43">
        <v>13.35</v>
      </c>
      <c r="G43">
        <v>4.21</v>
      </c>
      <c r="H43" s="1">
        <f>IF(ISNUMBER(Main_L[[#This Row],[Free CF]]),IF(Main_L[[#This Row],[Free CF]]&lt;&gt;0,Main_L[[#This Row],[Current Price]]/Main_L[[#This Row],[Free CF]],""),"")</f>
        <v>10.574423480083858</v>
      </c>
      <c r="I43" s="1">
        <f>IF(ISNUMBER(Main_L[[#This Row],[BVPS]]),IF(Main_L[[#This Row],[BVPS]]&lt;&gt;0,Main_L[[#This Row],[Current Price]]/Main_L[[#This Row],[BVPS]],""),"")</f>
        <v>3.7782771535580522</v>
      </c>
      <c r="J43">
        <v>31.58</v>
      </c>
      <c r="K43">
        <v>7.57</v>
      </c>
      <c r="L43">
        <v>2.76</v>
      </c>
      <c r="M43" s="1">
        <f>IF(ISNUMBER(Main_L[[#This Row],[EPS]]),IF(Main_L[[#This Row],[EPS]]&lt;&gt;0,Main_L[[#This Row],[Current Price]]/Main_L[[#This Row],[EPS]],""),"")</f>
        <v>11.980997624703088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-0.69133919692832235</v>
      </c>
      <c r="P43" s="1">
        <f>(Main_L[[#This Row],[P/B]]-VLOOKUP(Main_L[[#This Row],[Industry]], Mean_PB_L, 2, FALSE))/(VLOOKUP(Main_L[[#This Row],[Industry]], Mean_PB_L, 3, FALSE))</f>
        <v>2.2353051923296658</v>
      </c>
      <c r="Q43" s="1">
        <f>(Main_L[[#This Row],[ROE]]-VLOOKUP(Main_L[[#This Row],[Industry]], Mean_ROE_L, 2, FALSE))/(VLOOKUP(Main_L[[#This Row],[Industry]], Mean_ROE_L, 3, FALSE))</f>
        <v>2.4401102404450419</v>
      </c>
      <c r="R43" s="1">
        <f>(Main_L[[#This Row],[ROA]]-VLOOKUP(Main_L[[#This Row],[Industry]], Mean_ROA_L, 2, FALSE))/(VLOOKUP(Main_L[[#This Row],[Industry]], Mean_ROA_L, 3, FALSE))</f>
        <v>0.66761625937060043</v>
      </c>
      <c r="S43" s="1">
        <f>(Main_L[[#This Row],[A/E]]-VLOOKUP(Main_L[[#This Row],[Industry]], Mean_AE_L, 2, FALSE))/(VLOOKUP(Main_L[[#This Row],[Industry]], Mean_AE_L, 3, FALSE))</f>
        <v>0.1601051253784492</v>
      </c>
      <c r="T43" s="1">
        <f>(Main_L[[#This Row],[P/E]]-VLOOKUP(Main_L[[#This Row],[Industry]], Mean_PE_L, 2, FALSE))/(VLOOKUP(Main_L[[#This Row],[Industry]], Mean_PE_L, 3, FALSE))</f>
        <v>-0.67007434117426368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107</v>
      </c>
      <c r="B44" t="s">
        <v>150</v>
      </c>
      <c r="C44" s="2">
        <v>49914</v>
      </c>
      <c r="D44">
        <f>RTD("tos.rtd", , "LAST", Main_L[[#This Row],[Symbol]])</f>
        <v>86.51</v>
      </c>
      <c r="E44">
        <v>5.17</v>
      </c>
      <c r="F44">
        <v>34.200000000000003</v>
      </c>
      <c r="G44">
        <v>5.1100000000000003</v>
      </c>
      <c r="H44" s="1">
        <f>IF(ISNUMBER(Main_L[[#This Row],[Free CF]]),IF(Main_L[[#This Row],[Free CF]]&lt;&gt;0,Main_L[[#This Row],[Current Price]]/Main_L[[#This Row],[Free CF]],""),"")</f>
        <v>16.733075435203094</v>
      </c>
      <c r="I44" s="1">
        <f>IF(ISNUMBER(Main_L[[#This Row],[BVPS]]),IF(Main_L[[#This Row],[BVPS]]&lt;&gt;0,Main_L[[#This Row],[Current Price]]/Main_L[[#This Row],[BVPS]],""),"")</f>
        <v>2.5295321637426902</v>
      </c>
      <c r="J44">
        <v>16.41</v>
      </c>
      <c r="K44">
        <v>6.05</v>
      </c>
      <c r="L44">
        <v>3.01</v>
      </c>
      <c r="M44" s="1">
        <f>IF(ISNUMBER(Main_L[[#This Row],[EPS]]),IF(Main_L[[#This Row],[EPS]]&lt;&gt;0,Main_L[[#This Row],[Current Price]]/Main_L[[#This Row],[EPS]],""),"")</f>
        <v>16.92954990215264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-0.16440535101094514</v>
      </c>
      <c r="P44" s="1">
        <f>(Main_L[[#This Row],[P/B]]-VLOOKUP(Main_L[[#This Row],[Industry]], Mean_PB_L, 2, FALSE))/(VLOOKUP(Main_L[[#This Row],[Industry]], Mean_PB_L, 3, FALSE))</f>
        <v>0.63662082030613343</v>
      </c>
      <c r="Q44" s="1">
        <f>(Main_L[[#This Row],[ROE]]-VLOOKUP(Main_L[[#This Row],[Industry]], Mean_ROE_L, 2, FALSE))/(VLOOKUP(Main_L[[#This Row],[Industry]], Mean_ROE_L, 3, FALSE))</f>
        <v>0.47596502535282831</v>
      </c>
      <c r="R44" s="1">
        <f>(Main_L[[#This Row],[ROA]]-VLOOKUP(Main_L[[#This Row],[Industry]], Mean_ROA_L, 2, FALSE))/(VLOOKUP(Main_L[[#This Row],[Industry]], Mean_ROA_L, 3, FALSE))</f>
        <v>0.17537790493544811</v>
      </c>
      <c r="S44" s="1">
        <f>(Main_L[[#This Row],[A/E]]-VLOOKUP(Main_L[[#This Row],[Industry]], Mean_AE_L, 2, FALSE))/(VLOOKUP(Main_L[[#This Row],[Industry]], Mean_AE_L, 3, FALSE))</f>
        <v>0.42236781125578515</v>
      </c>
      <c r="T44" s="1">
        <f>(Main_L[[#This Row],[P/E]]-VLOOKUP(Main_L[[#This Row],[Industry]], Mean_PE_L, 2, FALSE))/(VLOOKUP(Main_L[[#This Row],[Industry]], Mean_PE_L, 3, FALSE))</f>
        <v>-0.12451346360453372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107</v>
      </c>
      <c r="B45" t="s">
        <v>151</v>
      </c>
      <c r="C45" s="2">
        <v>11760</v>
      </c>
      <c r="D45">
        <f>RTD("tos.rtd", , "LAST", Main_L[[#This Row],[Symbol]])</f>
        <v>17.579999999999998</v>
      </c>
      <c r="E45">
        <v>2.2999999999999998</v>
      </c>
      <c r="F45">
        <v>10.67</v>
      </c>
      <c r="G45">
        <v>0.73</v>
      </c>
      <c r="H45" s="1">
        <f>IF(ISNUMBER(Main_L[[#This Row],[Free CF]]),IF(Main_L[[#This Row],[Free CF]]&lt;&gt;0,Main_L[[#This Row],[Current Price]]/Main_L[[#This Row],[Free CF]],""),"")</f>
        <v>7.6434782608695651</v>
      </c>
      <c r="I45" s="1">
        <f>IF(ISNUMBER(Main_L[[#This Row],[BVPS]]),IF(Main_L[[#This Row],[BVPS]]&lt;&gt;0,Main_L[[#This Row],[Current Price]]/Main_L[[#This Row],[BVPS]],""),"")</f>
        <v>1.6476101218369259</v>
      </c>
      <c r="J45">
        <v>8.3000000000000007</v>
      </c>
      <c r="K45">
        <v>3.9</v>
      </c>
      <c r="L45">
        <v>3.54</v>
      </c>
      <c r="M45" s="1">
        <f>IF(ISNUMBER(Main_L[[#This Row],[EPS]]),IF(Main_L[[#This Row],[EPS]]&lt;&gt;0,Main_L[[#This Row],[Current Price]]/Main_L[[#This Row],[EPS]],""),"")</f>
        <v>24.082191780821915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-0.94211067221034084</v>
      </c>
      <c r="P45" s="1">
        <f>(Main_L[[#This Row],[P/B]]-VLOOKUP(Main_L[[#This Row],[Industry]], Mean_PB_L, 2, FALSE))/(VLOOKUP(Main_L[[#This Row],[Industry]], Mean_PB_L, 3, FALSE))</f>
        <v>-0.49244475932537857</v>
      </c>
      <c r="Q45" s="1">
        <f>(Main_L[[#This Row],[ROE]]-VLOOKUP(Main_L[[#This Row],[Industry]], Mean_ROE_L, 2, FALSE))/(VLOOKUP(Main_L[[#This Row],[Industry]], Mean_ROE_L, 3, FALSE))</f>
        <v>-0.57408228475909362</v>
      </c>
      <c r="R45" s="1">
        <f>(Main_L[[#This Row],[ROA]]-VLOOKUP(Main_L[[#This Row],[Industry]], Mean_ROA_L, 2, FALSE))/(VLOOKUP(Main_L[[#This Row],[Industry]], Mean_ROA_L, 3, FALSE))</f>
        <v>-0.52088029377216849</v>
      </c>
      <c r="S45" s="1">
        <f>(Main_L[[#This Row],[A/E]]-VLOOKUP(Main_L[[#This Row],[Industry]], Mean_AE_L, 2, FALSE))/(VLOOKUP(Main_L[[#This Row],[Industry]], Mean_AE_L, 3, FALSE))</f>
        <v>0.9783647053157376</v>
      </c>
      <c r="T45" s="1">
        <f>(Main_L[[#This Row],[P/E]]-VLOOKUP(Main_L[[#This Row],[Industry]], Mean_PE_L, 2, FALSE))/(VLOOKUP(Main_L[[#This Row],[Industry]], Mean_PE_L, 3, FALSE))</f>
        <v>0.66404071577658774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107</v>
      </c>
      <c r="B46" t="s">
        <v>152</v>
      </c>
      <c r="C46" s="2">
        <v>22882</v>
      </c>
      <c r="D46">
        <f>RTD("tos.rtd", , "LAST", Main_L[[#This Row],[Symbol]])</f>
        <v>37.18</v>
      </c>
      <c r="E46">
        <v>2.5499999999999998</v>
      </c>
      <c r="F46">
        <v>18.37</v>
      </c>
      <c r="G46">
        <v>2.09</v>
      </c>
      <c r="H46" s="1">
        <f>IF(ISNUMBER(Main_L[[#This Row],[Free CF]]),IF(Main_L[[#This Row],[Free CF]]&lt;&gt;0,Main_L[[#This Row],[Current Price]]/Main_L[[#This Row],[Free CF]],""),"")</f>
        <v>14.580392156862747</v>
      </c>
      <c r="I46" s="1">
        <f>IF(ISNUMBER(Main_L[[#This Row],[BVPS]]),IF(Main_L[[#This Row],[BVPS]]&lt;&gt;0,Main_L[[#This Row],[Current Price]]/Main_L[[#This Row],[BVPS]],""),"")</f>
        <v>2.023952095808383</v>
      </c>
      <c r="J46">
        <v>11.25</v>
      </c>
      <c r="K46">
        <v>4.68</v>
      </c>
      <c r="L46">
        <v>2.34</v>
      </c>
      <c r="M46" s="1">
        <f>IF(ISNUMBER(Main_L[[#This Row],[EPS]]),IF(Main_L[[#This Row],[EPS]]&lt;&gt;0,Main_L[[#This Row],[Current Price]]/Main_L[[#This Row],[EPS]],""),"")</f>
        <v>17.789473684210527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-0.3485887871206978</v>
      </c>
      <c r="P46" s="1">
        <f>(Main_L[[#This Row],[P/B]]-VLOOKUP(Main_L[[#This Row],[Industry]], Mean_PB_L, 2, FALSE))/(VLOOKUP(Main_L[[#This Row],[Industry]], Mean_PB_L, 3, FALSE))</f>
        <v>-1.0639396956225034E-2</v>
      </c>
      <c r="Q46" s="1">
        <f>(Main_L[[#This Row],[ROE]]-VLOOKUP(Main_L[[#This Row],[Industry]], Mean_ROE_L, 2, FALSE))/(VLOOKUP(Main_L[[#This Row],[Industry]], Mean_ROE_L, 3, FALSE))</f>
        <v>-0.19212919415118124</v>
      </c>
      <c r="R46" s="1">
        <f>(Main_L[[#This Row],[ROA]]-VLOOKUP(Main_L[[#This Row],[Industry]], Mean_ROA_L, 2, FALSE))/(VLOOKUP(Main_L[[#This Row],[Industry]], Mean_ROA_L, 3, FALSE))</f>
        <v>-0.26828429610149834</v>
      </c>
      <c r="S46" s="1">
        <f>(Main_L[[#This Row],[A/E]]-VLOOKUP(Main_L[[#This Row],[Industry]], Mean_AE_L, 2, FALSE))/(VLOOKUP(Main_L[[#This Row],[Industry]], Mean_AE_L, 3, FALSE))</f>
        <v>-0.28049618689547512</v>
      </c>
      <c r="T46" s="1">
        <f>(Main_L[[#This Row],[P/E]]-VLOOKUP(Main_L[[#This Row],[Industry]], Mean_PE_L, 2, FALSE))/(VLOOKUP(Main_L[[#This Row],[Industry]], Mean_PE_L, 3, FALSE))</f>
        <v>-2.9709822685057809E-2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107</v>
      </c>
      <c r="B47" t="s">
        <v>153</v>
      </c>
      <c r="C47" s="2">
        <v>34258</v>
      </c>
      <c r="D47">
        <f>RTD("tos.rtd", , "LAST", Main_L[[#This Row],[Symbol]])</f>
        <v>169.5</v>
      </c>
      <c r="E47">
        <v>2.92</v>
      </c>
      <c r="F47">
        <v>11.27</v>
      </c>
      <c r="G47">
        <v>5.44</v>
      </c>
      <c r="H47" s="1">
        <f>IF(ISNUMBER(Main_L[[#This Row],[Free CF]]),IF(Main_L[[#This Row],[Free CF]]&lt;&gt;0,Main_L[[#This Row],[Current Price]]/Main_L[[#This Row],[Free CF]],""),"")</f>
        <v>58.047945205479451</v>
      </c>
      <c r="I47" s="1">
        <f>IF(ISNUMBER(Main_L[[#This Row],[BVPS]]),IF(Main_L[[#This Row],[BVPS]]&lt;&gt;0,Main_L[[#This Row],[Current Price]]/Main_L[[#This Row],[BVPS]],""),"")</f>
        <v>15.039929015084295</v>
      </c>
      <c r="J47">
        <v>41.98</v>
      </c>
      <c r="K47">
        <v>7.44</v>
      </c>
      <c r="L47">
        <v>9.3000000000000007</v>
      </c>
      <c r="M47" s="1">
        <f>IF(ISNUMBER(Main_L[[#This Row],[EPS]]),IF(Main_L[[#This Row],[EPS]]&lt;&gt;0,Main_L[[#This Row],[Current Price]]/Main_L[[#This Row],[EPS]],""),"")</f>
        <v>31.158088235294116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3.3704921201038718</v>
      </c>
      <c r="P47" s="1">
        <f>(Main_L[[#This Row],[P/B]]-VLOOKUP(Main_L[[#This Row],[Industry]], Mean_PB_L, 2, FALSE))/(VLOOKUP(Main_L[[#This Row],[Industry]], Mean_PB_L, 3, FALSE))</f>
        <v>16.652841984091893</v>
      </c>
      <c r="Q47" s="1">
        <f>(Main_L[[#This Row],[ROE]]-VLOOKUP(Main_L[[#This Row],[Industry]], Mean_ROE_L, 2, FALSE))/(VLOOKUP(Main_L[[#This Row],[Industry]], Mean_ROE_L, 3, FALSE))</f>
        <v>3.7866567293678517</v>
      </c>
      <c r="R47" s="1">
        <f>(Main_L[[#This Row],[ROA]]-VLOOKUP(Main_L[[#This Row],[Industry]], Mean_ROA_L, 2, FALSE))/(VLOOKUP(Main_L[[#This Row],[Industry]], Mean_ROA_L, 3, FALSE))</f>
        <v>0.62551692642548884</v>
      </c>
      <c r="S47" s="1">
        <f>(Main_L[[#This Row],[A/E]]-VLOOKUP(Main_L[[#This Row],[Industry]], Mean_AE_L, 2, FALSE))/(VLOOKUP(Main_L[[#This Row],[Industry]], Mean_AE_L, 3, FALSE))</f>
        <v>7.0208969879295591</v>
      </c>
      <c r="T47" s="1">
        <f>(Main_L[[#This Row],[P/E]]-VLOOKUP(Main_L[[#This Row],[Industry]], Mean_PE_L, 2, FALSE))/(VLOOKUP(Main_L[[#This Row],[Industry]], Mean_PE_L, 3, FALSE))</f>
        <v>1.4441339759581253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107</v>
      </c>
      <c r="B48" t="s">
        <v>154</v>
      </c>
      <c r="C48" s="2">
        <v>52978</v>
      </c>
      <c r="D48">
        <f>RTD("tos.rtd", , "LAST", Main_L[[#This Row],[Symbol]])</f>
        <v>48.57</v>
      </c>
      <c r="E48">
        <v>0.39</v>
      </c>
      <c r="F48">
        <v>16.84</v>
      </c>
      <c r="G48">
        <v>2.8</v>
      </c>
      <c r="H48" s="1">
        <f>IF(ISNUMBER(Main_L[[#This Row],[Free CF]]),IF(Main_L[[#This Row],[Free CF]]&lt;&gt;0,Main_L[[#This Row],[Current Price]]/Main_L[[#This Row],[Free CF]],""),"")</f>
        <v>124.53846153846153</v>
      </c>
      <c r="I48" s="1">
        <f>IF(ISNUMBER(Main_L[[#This Row],[BVPS]]),IF(Main_L[[#This Row],[BVPS]]&lt;&gt;0,Main_L[[#This Row],[Current Price]]/Main_L[[#This Row],[BVPS]],""),"")</f>
        <v>2.8842042755344419</v>
      </c>
      <c r="J48">
        <v>12.74</v>
      </c>
      <c r="K48">
        <v>2.95</v>
      </c>
      <c r="L48">
        <v>4.78</v>
      </c>
      <c r="M48" s="1">
        <f>IF(ISNUMBER(Main_L[[#This Row],[EPS]]),IF(Main_L[[#This Row],[EPS]]&lt;&gt;0,Main_L[[#This Row],[Current Price]]/Main_L[[#This Row],[EPS]],""),"")</f>
        <v>17.346428571428572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9.0594162131836065</v>
      </c>
      <c r="P48" s="1">
        <f>(Main_L[[#This Row],[P/B]]-VLOOKUP(Main_L[[#This Row],[Industry]], Mean_PB_L, 2, FALSE))/(VLOOKUP(Main_L[[#This Row],[Industry]], Mean_PB_L, 3, FALSE))</f>
        <v>1.0906837130012177</v>
      </c>
      <c r="Q48" s="1">
        <f>(Main_L[[#This Row],[ROE]]-VLOOKUP(Main_L[[#This Row],[Industry]], Mean_ROE_L, 2, FALSE))/(VLOOKUP(Main_L[[#This Row],[Industry]], Mean_ROE_L, 3, FALSE))</f>
        <v>7.8948551179828467E-4</v>
      </c>
      <c r="R48" s="1">
        <f>(Main_L[[#This Row],[ROA]]-VLOOKUP(Main_L[[#This Row],[Industry]], Mean_ROA_L, 2, FALSE))/(VLOOKUP(Main_L[[#This Row],[Industry]], Mean_ROA_L, 3, FALSE))</f>
        <v>-0.82852926529413851</v>
      </c>
      <c r="S48" s="1">
        <f>(Main_L[[#This Row],[A/E]]-VLOOKUP(Main_L[[#This Row],[Industry]], Mean_AE_L, 2, FALSE))/(VLOOKUP(Main_L[[#This Row],[Industry]], Mean_AE_L, 3, FALSE))</f>
        <v>2.2791876272673242</v>
      </c>
      <c r="T48" s="1">
        <f>(Main_L[[#This Row],[P/E]]-VLOOKUP(Main_L[[#This Row],[Industry]], Mean_PE_L, 2, FALSE))/(VLOOKUP(Main_L[[#This Row],[Industry]], Mean_PE_L, 3, FALSE))</f>
        <v>-7.8554023368510709E-2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107</v>
      </c>
      <c r="B49" t="s">
        <v>155</v>
      </c>
      <c r="C49" s="2">
        <v>13644</v>
      </c>
      <c r="D49">
        <f>RTD("tos.rtd", , "LAST", Main_L[[#This Row],[Symbol]])</f>
        <v>39.369999999999997</v>
      </c>
      <c r="E49">
        <v>3.43</v>
      </c>
      <c r="F49">
        <v>8.4700000000000006</v>
      </c>
      <c r="G49">
        <v>4.0199999999999996</v>
      </c>
      <c r="H49" s="1">
        <f>IF(ISNUMBER(Main_L[[#This Row],[Free CF]]),IF(Main_L[[#This Row],[Free CF]]&lt;&gt;0,Main_L[[#This Row],[Current Price]]/Main_L[[#This Row],[Free CF]],""),"")</f>
        <v>11.47813411078717</v>
      </c>
      <c r="I49" s="1">
        <f>IF(ISNUMBER(Main_L[[#This Row],[BVPS]]),IF(Main_L[[#This Row],[BVPS]]&lt;&gt;0,Main_L[[#This Row],[Current Price]]/Main_L[[#This Row],[BVPS]],""),"")</f>
        <v>4.6481700118063749</v>
      </c>
      <c r="J49">
        <v>50.32</v>
      </c>
      <c r="K49">
        <v>7.65</v>
      </c>
      <c r="L49">
        <v>4.08</v>
      </c>
      <c r="M49" s="1">
        <f>IF(ISNUMBER(Main_L[[#This Row],[EPS]]),IF(Main_L[[#This Row],[EPS]]&lt;&gt;0,Main_L[[#This Row],[Current Price]]/Main_L[[#This Row],[EPS]],""),"")</f>
        <v>9.7935323383084576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-0.614017776314987</v>
      </c>
      <c r="P49" s="1">
        <f>(Main_L[[#This Row],[P/B]]-VLOOKUP(Main_L[[#This Row],[Industry]], Mean_PB_L, 2, FALSE))/(VLOOKUP(Main_L[[#This Row],[Industry]], Mean_PB_L, 3, FALSE))</f>
        <v>3.3489706157417753</v>
      </c>
      <c r="Q49" s="1">
        <f>(Main_L[[#This Row],[ROE]]-VLOOKUP(Main_L[[#This Row],[Industry]], Mean_ROE_L, 2, FALSE))/(VLOOKUP(Main_L[[#This Row],[Industry]], Mean_ROE_L, 3, FALSE))</f>
        <v>4.8664834329847979</v>
      </c>
      <c r="R49" s="1">
        <f>(Main_L[[#This Row],[ROA]]-VLOOKUP(Main_L[[#This Row],[Industry]], Mean_ROA_L, 2, FALSE))/(VLOOKUP(Main_L[[#This Row],[Industry]], Mean_ROA_L, 3, FALSE))</f>
        <v>0.69352354118297699</v>
      </c>
      <c r="S49" s="1">
        <f>(Main_L[[#This Row],[A/E]]-VLOOKUP(Main_L[[#This Row],[Industry]], Mean_AE_L, 2, FALSE))/(VLOOKUP(Main_L[[#This Row],[Industry]], Mean_AE_L, 3, FALSE))</f>
        <v>1.5448521068107834</v>
      </c>
      <c r="T49" s="1">
        <f>(Main_L[[#This Row],[P/E]]-VLOOKUP(Main_L[[#This Row],[Industry]], Mean_PE_L, 2, FALSE))/(VLOOKUP(Main_L[[#This Row],[Industry]], Mean_PE_L, 3, FALSE))</f>
        <v>-0.91123486942351606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107</v>
      </c>
      <c r="B50" t="s">
        <v>156</v>
      </c>
      <c r="C50" s="2">
        <v>71844</v>
      </c>
      <c r="D50">
        <f>RTD("tos.rtd", , "LAST", Main_L[[#This Row],[Symbol]])</f>
        <v>58.07</v>
      </c>
      <c r="E50">
        <v>1.66</v>
      </c>
      <c r="F50">
        <v>10.199999999999999</v>
      </c>
      <c r="G50">
        <v>1.86</v>
      </c>
      <c r="H50" s="1">
        <f>IF(ISNUMBER(Main_L[[#This Row],[Free CF]]),IF(Main_L[[#This Row],[Free CF]]&lt;&gt;0,Main_L[[#This Row],[Current Price]]/Main_L[[#This Row],[Free CF]],""),"")</f>
        <v>34.981927710843372</v>
      </c>
      <c r="I50" s="1">
        <f>IF(ISNUMBER(Main_L[[#This Row],[BVPS]]),IF(Main_L[[#This Row],[BVPS]]&lt;&gt;0,Main_L[[#This Row],[Current Price]]/Main_L[[#This Row],[BVPS]],""),"")</f>
        <v>5.693137254901961</v>
      </c>
      <c r="J50">
        <v>16.2</v>
      </c>
      <c r="K50">
        <v>3.99</v>
      </c>
      <c r="L50">
        <v>4.41</v>
      </c>
      <c r="M50" s="1">
        <f>IF(ISNUMBER(Main_L[[#This Row],[EPS]]),IF(Main_L[[#This Row],[EPS]]&lt;&gt;0,Main_L[[#This Row],[Current Price]]/Main_L[[#This Row],[EPS]],""),"")</f>
        <v>31.22043010752688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1.3969652189216826</v>
      </c>
      <c r="P50" s="1">
        <f>(Main_L[[#This Row],[P/B]]-VLOOKUP(Main_L[[#This Row],[Industry]], Mean_PB_L, 2, FALSE))/(VLOOKUP(Main_L[[#This Row],[Industry]], Mean_PB_L, 3, FALSE))</f>
        <v>4.686772019902314</v>
      </c>
      <c r="Q50" s="1">
        <f>(Main_L[[#This Row],[ROE]]-VLOOKUP(Main_L[[#This Row],[Industry]], Mean_ROE_L, 2, FALSE))/(VLOOKUP(Main_L[[#This Row],[Industry]], Mean_ROE_L, 3, FALSE))</f>
        <v>0.44877514432650223</v>
      </c>
      <c r="R50" s="1">
        <f>(Main_L[[#This Row],[ROA]]-VLOOKUP(Main_L[[#This Row],[Industry]], Mean_ROA_L, 2, FALSE))/(VLOOKUP(Main_L[[#This Row],[Industry]], Mean_ROA_L, 3, FALSE))</f>
        <v>-0.4917346017332449</v>
      </c>
      <c r="S50" s="1">
        <f>(Main_L[[#This Row],[A/E]]-VLOOKUP(Main_L[[#This Row],[Industry]], Mean_AE_L, 2, FALSE))/(VLOOKUP(Main_L[[#This Row],[Industry]], Mean_AE_L, 3, FALSE))</f>
        <v>1.8910388521688668</v>
      </c>
      <c r="T50" s="1">
        <f>(Main_L[[#This Row],[P/E]]-VLOOKUP(Main_L[[#This Row],[Industry]], Mean_PE_L, 2, FALSE))/(VLOOKUP(Main_L[[#This Row],[Industry]], Mean_PE_L, 3, FALSE))</f>
        <v>1.4510069530669327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107</v>
      </c>
      <c r="B51" t="s">
        <v>157</v>
      </c>
      <c r="C51" s="2">
        <v>21561</v>
      </c>
      <c r="D51">
        <f>RTD("tos.rtd", , "LAST", Main_L[[#This Row],[Symbol]])</f>
        <v>51.96</v>
      </c>
      <c r="E51">
        <v>1.1599999999999999</v>
      </c>
      <c r="F51">
        <v>10.36</v>
      </c>
      <c r="G51">
        <v>0.4</v>
      </c>
      <c r="H51" s="1">
        <f>IF(ISNUMBER(Main_L[[#This Row],[Free CF]]),IF(Main_L[[#This Row],[Free CF]]&lt;&gt;0,Main_L[[#This Row],[Current Price]]/Main_L[[#This Row],[Free CF]],""),"")</f>
        <v>44.793103448275865</v>
      </c>
      <c r="I51" s="1">
        <f>IF(ISNUMBER(Main_L[[#This Row],[BVPS]]),IF(Main_L[[#This Row],[BVPS]]&lt;&gt;0,Main_L[[#This Row],[Current Price]]/Main_L[[#This Row],[BVPS]],""),"")</f>
        <v>5.0154440154440154</v>
      </c>
      <c r="J51">
        <v>3.95</v>
      </c>
      <c r="K51">
        <v>3.54</v>
      </c>
      <c r="L51">
        <v>1.45</v>
      </c>
      <c r="M51" s="1">
        <f>IF(ISNUMBER(Main_L[[#This Row],[EPS]]),IF(Main_L[[#This Row],[EPS]]&lt;&gt;0,Main_L[[#This Row],[Current Price]]/Main_L[[#This Row],[EPS]],""),"")</f>
        <v>129.9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2.2364087533138561</v>
      </c>
      <c r="P51" s="1">
        <f>(Main_L[[#This Row],[P/B]]-VLOOKUP(Main_L[[#This Row],[Industry]], Mean_PB_L, 2, FALSE))/(VLOOKUP(Main_L[[#This Row],[Industry]], Mean_PB_L, 3, FALSE))</f>
        <v>3.8191668644993588</v>
      </c>
      <c r="Q51" s="1">
        <f>(Main_L[[#This Row],[ROE]]-VLOOKUP(Main_L[[#This Row],[Industry]], Mean_ROE_L, 2, FALSE))/(VLOOKUP(Main_L[[#This Row],[Industry]], Mean_ROE_L, 3, FALSE))</f>
        <v>-1.1373012488758458</v>
      </c>
      <c r="R51" s="1">
        <f>(Main_L[[#This Row],[ROA]]-VLOOKUP(Main_L[[#This Row],[Industry]], Mean_ROA_L, 2, FALSE))/(VLOOKUP(Main_L[[#This Row],[Industry]], Mean_ROA_L, 3, FALSE))</f>
        <v>-0.6374630619278624</v>
      </c>
      <c r="S51" s="1">
        <f>(Main_L[[#This Row],[A/E]]-VLOOKUP(Main_L[[#This Row],[Industry]], Mean_AE_L, 2, FALSE))/(VLOOKUP(Main_L[[#This Row],[Industry]], Mean_AE_L, 3, FALSE))</f>
        <v>-1.2141513486187911</v>
      </c>
      <c r="T51" s="1">
        <f>(Main_L[[#This Row],[P/E]]-VLOOKUP(Main_L[[#This Row],[Industry]], Mean_PE_L, 2, FALSE))/(VLOOKUP(Main_L[[#This Row],[Industry]], Mean_PE_L, 3, FALSE))</f>
        <v>12.330090315299831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51"/>
  <sheetViews>
    <sheetView topLeftCell="H1"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158</v>
      </c>
      <c r="C2" s="2">
        <v>2144</v>
      </c>
      <c r="D2">
        <f>RTD("tos.rtd", , "LAST", Main_M[[#This Row],[Symbol]])</f>
        <v>6.37</v>
      </c>
      <c r="E2">
        <v>1.03</v>
      </c>
      <c r="F2">
        <v>8.8800000000000008</v>
      </c>
      <c r="G2">
        <v>-2.61</v>
      </c>
      <c r="H2" s="1">
        <f>IF(ISNUMBER(Main_M[[#This Row],[Free CF]]),IF(Main_M[[#This Row],[Free CF]]&lt;&gt;0,Main_M[[#This Row],[Current Price]]/Main_M[[#This Row],[Free CF]],""),"")</f>
        <v>6.1844660194174761</v>
      </c>
      <c r="I2" s="1">
        <f>IF(ISNUMBER(Main_M[[#This Row],[BVPS]]),IF(Main_M[[#This Row],[BVPS]]&lt;&gt;0,Main_M[[#This Row],[Current Price]]/Main_M[[#This Row],[BVPS]],""),"")</f>
        <v>0.71734234234234229</v>
      </c>
      <c r="J2">
        <v>-24.84</v>
      </c>
      <c r="K2">
        <v>0.57999999999999996</v>
      </c>
      <c r="L2">
        <v>1.68</v>
      </c>
      <c r="M2" s="1">
        <f>IF(ISNUMBER(Main_M[[#This Row],[EPS]]),IF(Main_M[[#This Row],[EPS]]&lt;&gt;0,Main_M[[#This Row],[Current Price]]/Main_M[[#This Row],[EPS]],""),"")</f>
        <v>-2.4406130268199235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-0.91276965228429585</v>
      </c>
      <c r="P2" s="1">
        <f>(Main_M[[#This Row],[P/B]]-VLOOKUP(Main_M[[#This Row],[Industry]], Mean_PB_M, 2, FALSE))/(VLOOKUP(Main_M[[#This Row],[Industry]], Mean_PB_M, 3, FALSE))</f>
        <v>-1.2895158941804006</v>
      </c>
      <c r="Q2" s="1">
        <f>(Main_M[[#This Row],[ROE]]-VLOOKUP(Main_M[[#This Row],[Industry]], Mean_ROE_M, 2, FALSE))/(VLOOKUP(Main_M[[#This Row],[Industry]], Mean_ROE_M, 3, FALSE))</f>
        <v>-1.6302926345363995</v>
      </c>
      <c r="R2" s="1">
        <f>(Main_M[[#This Row],[ROA]]-VLOOKUP(Main_M[[#This Row],[Industry]], Mean_ROA_M, 2, FALSE))/(VLOOKUP(Main_M[[#This Row],[Industry]], Mean_ROA_M, 3, FALSE))</f>
        <v>-3.4434603870353957</v>
      </c>
      <c r="S2" s="1">
        <f>(Main_M[[#This Row],[A/E]]-VLOOKUP(Main_M[[#This Row],[Industry]], Mean_AE_M, 2, FALSE))/(VLOOKUP(Main_M[[#This Row],[Industry]], Mean_AE_M, 3, FALSE))</f>
        <v>-0.63618812229486266</v>
      </c>
      <c r="T2" s="1">
        <f>(Main_M[[#This Row],[P/E]]-VLOOKUP(Main_M[[#This Row],[Industry]], Mean_PE_M, 2, FALSE))/(VLOOKUP(Main_M[[#This Row],[Industry]], Mean_PE_M, 3, FALSE))</f>
        <v>-1.6232889860968231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106</v>
      </c>
      <c r="B3" t="s">
        <v>159</v>
      </c>
      <c r="C3" s="2">
        <v>2577</v>
      </c>
      <c r="D3">
        <f>RTD("tos.rtd", , "LAST", Main_M[[#This Row],[Symbol]])</f>
        <v>38.869999999999997</v>
      </c>
      <c r="E3">
        <v>1.1299999999999999</v>
      </c>
      <c r="F3">
        <v>31.04</v>
      </c>
      <c r="G3">
        <v>4.29</v>
      </c>
      <c r="H3" s="1">
        <f>IF(ISNUMBER(Main_M[[#This Row],[Free CF]]),IF(Main_M[[#This Row],[Free CF]]&lt;&gt;0,Main_M[[#This Row],[Current Price]]/Main_M[[#This Row],[Free CF]],""),"")</f>
        <v>34.398230088495573</v>
      </c>
      <c r="I3" s="1">
        <f>IF(ISNUMBER(Main_M[[#This Row],[BVPS]]),IF(Main_M[[#This Row],[BVPS]]&lt;&gt;0,Main_M[[#This Row],[Current Price]]/Main_M[[#This Row],[BVPS]],""),"")</f>
        <v>1.2522551546391751</v>
      </c>
      <c r="J3">
        <v>14.38</v>
      </c>
      <c r="K3">
        <v>6.95</v>
      </c>
      <c r="L3">
        <v>1.99</v>
      </c>
      <c r="M3" s="1">
        <f>IF(ISNUMBER(Main_M[[#This Row],[EPS]]),IF(Main_M[[#This Row],[EPS]]&lt;&gt;0,Main_M[[#This Row],[Current Price]]/Main_M[[#This Row],[EPS]],""),"")</f>
        <v>9.0606060606060606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0.69871265152827411</v>
      </c>
      <c r="P3" s="1">
        <f>(Main_M[[#This Row],[P/B]]-VLOOKUP(Main_M[[#This Row],[Industry]], Mean_PB_M, 2, FALSE))/(VLOOKUP(Main_M[[#This Row],[Industry]], Mean_PB_M, 3, FALSE))</f>
        <v>-0.7395094489410472</v>
      </c>
      <c r="Q3" s="1">
        <f>(Main_M[[#This Row],[ROE]]-VLOOKUP(Main_M[[#This Row],[Industry]], Mean_ROE_M, 2, FALSE))/(VLOOKUP(Main_M[[#This Row],[Industry]], Mean_ROE_M, 3, FALSE))</f>
        <v>-0.36665474666055786</v>
      </c>
      <c r="R3" s="1">
        <f>(Main_M[[#This Row],[ROA]]-VLOOKUP(Main_M[[#This Row],[Industry]], Mean_ROA_M, 2, FALSE))/(VLOOKUP(Main_M[[#This Row],[Industry]], Mean_ROA_M, 3, FALSE))</f>
        <v>-0.32919024996741536</v>
      </c>
      <c r="S3" s="1">
        <f>(Main_M[[#This Row],[A/E]]-VLOOKUP(Main_M[[#This Row],[Industry]], Mean_AE_M, 2, FALSE))/(VLOOKUP(Main_M[[#This Row],[Industry]], Mean_AE_M, 3, FALSE))</f>
        <v>7.664917136082651E-2</v>
      </c>
      <c r="T3" s="1">
        <f>(Main_M[[#This Row],[P/E]]-VLOOKUP(Main_M[[#This Row],[Industry]], Mean_PE_M, 2, FALSE))/(VLOOKUP(Main_M[[#This Row],[Industry]], Mean_PE_M, 3, FALSE))</f>
        <v>-0.54120311738351923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106</v>
      </c>
      <c r="B4" t="s">
        <v>160</v>
      </c>
      <c r="C4" s="2">
        <v>4158</v>
      </c>
      <c r="D4">
        <f>RTD("tos.rtd", , "LAST", Main_M[[#This Row],[Symbol]])</f>
        <v>25.46</v>
      </c>
      <c r="E4">
        <v>0.44</v>
      </c>
      <c r="F4">
        <v>7.56</v>
      </c>
      <c r="G4">
        <v>1.2</v>
      </c>
      <c r="H4" s="1">
        <f>IF(ISNUMBER(Main_M[[#This Row],[Free CF]]),IF(Main_M[[#This Row],[Free CF]]&lt;&gt;0,Main_M[[#This Row],[Current Price]]/Main_M[[#This Row],[Free CF]],""),"")</f>
        <v>57.863636363636367</v>
      </c>
      <c r="I4" s="1">
        <f>IF(ISNUMBER(Main_M[[#This Row],[BVPS]]),IF(Main_M[[#This Row],[BVPS]]&lt;&gt;0,Main_M[[#This Row],[Current Price]]/Main_M[[#This Row],[BVPS]],""),"")</f>
        <v>3.3677248677248679</v>
      </c>
      <c r="J4">
        <v>15.7</v>
      </c>
      <c r="K4">
        <v>7.07</v>
      </c>
      <c r="L4">
        <v>2.89</v>
      </c>
      <c r="M4" s="1">
        <f>IF(ISNUMBER(Main_M[[#This Row],[EPS]]),IF(Main_M[[#This Row],[EPS]]&lt;&gt;0,Main_M[[#This Row],[Current Price]]/Main_M[[#This Row],[EPS]],""),"")</f>
        <v>21.216666666666669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2.0389835516314454</v>
      </c>
      <c r="P4" s="1">
        <f>(Main_M[[#This Row],[P/B]]-VLOOKUP(Main_M[[#This Row],[Industry]], Mean_PB_M, 2, FALSE))/(VLOOKUP(Main_M[[#This Row],[Industry]], Mean_PB_M, 3, FALSE))</f>
        <v>1.4356524655956282</v>
      </c>
      <c r="Q4" s="1">
        <f>(Main_M[[#This Row],[ROE]]-VLOOKUP(Main_M[[#This Row],[Industry]], Mean_ROE_M, 2, FALSE))/(VLOOKUP(Main_M[[#This Row],[Industry]], Mean_ROE_M, 3, FALSE))</f>
        <v>-0.32412537358569532</v>
      </c>
      <c r="R4" s="1">
        <f>(Main_M[[#This Row],[ROA]]-VLOOKUP(Main_M[[#This Row],[Industry]], Mean_ROA_M, 2, FALSE))/(VLOOKUP(Main_M[[#This Row],[Industry]], Mean_ROA_M, 3, FALSE))</f>
        <v>-0.27052268066629165</v>
      </c>
      <c r="S4" s="1">
        <f>(Main_M[[#This Row],[A/E]]-VLOOKUP(Main_M[[#This Row],[Industry]], Mean_AE_M, 2, FALSE))/(VLOOKUP(Main_M[[#This Row],[Industry]], Mean_AE_M, 3, FALSE))</f>
        <v>2.1461767981031499</v>
      </c>
      <c r="T4" s="1">
        <f>(Main_M[[#This Row],[P/E]]-VLOOKUP(Main_M[[#This Row],[Industry]], Mean_PE_M, 2, FALSE))/(VLOOKUP(Main_M[[#This Row],[Industry]], Mean_PE_M, 3, FALSE))</f>
        <v>0.60249315525087632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106</v>
      </c>
      <c r="B5" t="s">
        <v>161</v>
      </c>
      <c r="C5" s="2">
        <v>4643</v>
      </c>
      <c r="D5">
        <f>RTD("tos.rtd", , "LAST", Main_M[[#This Row],[Symbol]])</f>
        <v>26.26</v>
      </c>
      <c r="E5">
        <v>1.8</v>
      </c>
      <c r="F5">
        <v>10.01</v>
      </c>
      <c r="G5">
        <v>1.51</v>
      </c>
      <c r="H5" s="1">
        <f>IF(ISNUMBER(Main_M[[#This Row],[Free CF]]),IF(Main_M[[#This Row],[Free CF]]&lt;&gt;0,Main_M[[#This Row],[Current Price]]/Main_M[[#This Row],[Free CF]],""),"")</f>
        <v>14.588888888888889</v>
      </c>
      <c r="I5" s="1">
        <f>IF(ISNUMBER(Main_M[[#This Row],[BVPS]]),IF(Main_M[[#This Row],[BVPS]]&lt;&gt;0,Main_M[[#This Row],[Current Price]]/Main_M[[#This Row],[BVPS]],""),"")</f>
        <v>2.6233766233766236</v>
      </c>
      <c r="J5">
        <v>16.829999999999998</v>
      </c>
      <c r="K5">
        <v>9.44</v>
      </c>
      <c r="L5">
        <v>1.83</v>
      </c>
      <c r="M5" s="1">
        <f>IF(ISNUMBER(Main_M[[#This Row],[EPS]]),IF(Main_M[[#This Row],[EPS]]&lt;&gt;0,Main_M[[#This Row],[Current Price]]/Main_M[[#This Row],[EPS]],""),"")</f>
        <v>17.390728476821192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-0.43273520190925996</v>
      </c>
      <c r="P5" s="1">
        <f>(Main_M[[#This Row],[P/B]]-VLOOKUP(Main_M[[#This Row],[Industry]], Mean_PB_M, 2, FALSE))/(VLOOKUP(Main_M[[#This Row],[Industry]], Mean_PB_M, 3, FALSE))</f>
        <v>0.67030094945555518</v>
      </c>
      <c r="Q5" s="1">
        <f>(Main_M[[#This Row],[ROE]]-VLOOKUP(Main_M[[#This Row],[Industry]], Mean_ROE_M, 2, FALSE))/(VLOOKUP(Main_M[[#This Row],[Industry]], Mean_ROE_M, 3, FALSE))</f>
        <v>-0.28771765269585087</v>
      </c>
      <c r="R5" s="1">
        <f>(Main_M[[#This Row],[ROA]]-VLOOKUP(Main_M[[#This Row],[Industry]], Mean_ROA_M, 2, FALSE))/(VLOOKUP(Main_M[[#This Row],[Industry]], Mean_ROA_M, 3, FALSE))</f>
        <v>0.88816181303089992</v>
      </c>
      <c r="S5" s="1">
        <f>(Main_M[[#This Row],[A/E]]-VLOOKUP(Main_M[[#This Row],[Industry]], Mean_AE_M, 2, FALSE))/(VLOOKUP(Main_M[[#This Row],[Industry]], Mean_AE_M, 3, FALSE))</f>
        <v>-0.29126685117114182</v>
      </c>
      <c r="T5" s="1">
        <f>(Main_M[[#This Row],[P/E]]-VLOOKUP(Main_M[[#This Row],[Industry]], Mean_PE_M, 2, FALSE))/(VLOOKUP(Main_M[[#This Row],[Industry]], Mean_PE_M, 3, FALSE))</f>
        <v>0.24253186607514826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106</v>
      </c>
      <c r="B6" t="s">
        <v>162</v>
      </c>
      <c r="C6" s="2">
        <v>2992</v>
      </c>
      <c r="D6">
        <f>RTD("tos.rtd", , "LAST", Main_M[[#This Row],[Symbol]])</f>
        <v>36.4</v>
      </c>
      <c r="E6">
        <v>-0.11</v>
      </c>
      <c r="F6">
        <v>15.49</v>
      </c>
      <c r="G6">
        <v>0.56000000000000005</v>
      </c>
      <c r="H6" s="1">
        <f>IF(ISNUMBER(Main_M[[#This Row],[Free CF]]),IF(Main_M[[#This Row],[Free CF]]&lt;&gt;0,Main_M[[#This Row],[Current Price]]/Main_M[[#This Row],[Free CF]],""),"")</f>
        <v>-330.90909090909088</v>
      </c>
      <c r="I6" s="1">
        <f>IF(ISNUMBER(Main_M[[#This Row],[BVPS]]),IF(Main_M[[#This Row],[BVPS]]&lt;&gt;0,Main_M[[#This Row],[Current Price]]/Main_M[[#This Row],[BVPS]],""),"")</f>
        <v>2.3499031633311813</v>
      </c>
      <c r="J6">
        <v>4</v>
      </c>
      <c r="K6">
        <v>5.66</v>
      </c>
      <c r="L6">
        <v>3.26</v>
      </c>
      <c r="M6" s="1">
        <f>IF(ISNUMBER(Main_M[[#This Row],[EPS]]),IF(Main_M[[#This Row],[EPS]]&lt;&gt;0,Main_M[[#This Row],[Current Price]]/Main_M[[#This Row],[EPS]],""),"")</f>
        <v>64.999999999999986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-20.166503411080715</v>
      </c>
      <c r="P6" s="1">
        <f>(Main_M[[#This Row],[P/B]]-VLOOKUP(Main_M[[#This Row],[Industry]], Mean_PB_M, 2, FALSE))/(VLOOKUP(Main_M[[#This Row],[Industry]], Mean_PB_M, 3, FALSE))</f>
        <v>0.38911088975021102</v>
      </c>
      <c r="Q6" s="1">
        <f>(Main_M[[#This Row],[ROE]]-VLOOKUP(Main_M[[#This Row],[Industry]], Mean_ROE_M, 2, FALSE))/(VLOOKUP(Main_M[[#This Row],[Industry]], Mean_ROE_M, 3, FALSE))</f>
        <v>-0.70109027129470469</v>
      </c>
      <c r="R6" s="1">
        <f>(Main_M[[#This Row],[ROA]]-VLOOKUP(Main_M[[#This Row],[Industry]], Mean_ROA_M, 2, FALSE))/(VLOOKUP(Main_M[[#This Row],[Industry]], Mean_ROA_M, 3, FALSE))</f>
        <v>-0.95986661995449463</v>
      </c>
      <c r="S6" s="1">
        <f>(Main_M[[#This Row],[A/E]]-VLOOKUP(Main_M[[#This Row],[Industry]], Mean_AE_M, 2, FALSE))/(VLOOKUP(Main_M[[#This Row],[Industry]], Mean_AE_M, 3, FALSE))</f>
        <v>2.9969826002083262</v>
      </c>
      <c r="T6" s="1">
        <f>(Main_M[[#This Row],[P/E]]-VLOOKUP(Main_M[[#This Row],[Industry]], Mean_PE_M, 2, FALSE))/(VLOOKUP(Main_M[[#This Row],[Industry]], Mean_PE_M, 3, FALSE))</f>
        <v>4.7218239779252009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" spans="1:26" x14ac:dyDescent="0.25">
      <c r="A7" t="s">
        <v>106</v>
      </c>
      <c r="B7" t="s">
        <v>163</v>
      </c>
      <c r="C7" s="2">
        <v>4439</v>
      </c>
      <c r="D7">
        <f>RTD("tos.rtd", , "LAST", Main_M[[#This Row],[Symbol]])</f>
        <v>13.07</v>
      </c>
      <c r="E7">
        <v>2.96</v>
      </c>
      <c r="F7">
        <v>17.03</v>
      </c>
      <c r="G7">
        <v>1.5</v>
      </c>
      <c r="H7" s="1">
        <f>IF(ISNUMBER(Main_M[[#This Row],[Free CF]]),IF(Main_M[[#This Row],[Free CF]]&lt;&gt;0,Main_M[[#This Row],[Current Price]]/Main_M[[#This Row],[Free CF]],""),"")</f>
        <v>4.4155405405405403</v>
      </c>
      <c r="I7" s="1">
        <f>IF(ISNUMBER(Main_M[[#This Row],[BVPS]]),IF(Main_M[[#This Row],[BVPS]]&lt;&gt;0,Main_M[[#This Row],[Current Price]]/Main_M[[#This Row],[BVPS]],""),"")</f>
        <v>0.76746917204932463</v>
      </c>
      <c r="J7">
        <v>9.18</v>
      </c>
      <c r="K7">
        <v>5.46</v>
      </c>
      <c r="L7">
        <v>1.75</v>
      </c>
      <c r="M7" s="1">
        <f>IF(ISNUMBER(Main_M[[#This Row],[EPS]]),IF(Main_M[[#This Row],[EPS]]&lt;&gt;0,Main_M[[#This Row],[Current Price]]/Main_M[[#This Row],[EPS]],""),"")</f>
        <v>8.7133333333333329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-1.0138051645609996</v>
      </c>
      <c r="P7" s="1">
        <f>(Main_M[[#This Row],[P/B]]-VLOOKUP(Main_M[[#This Row],[Industry]], Mean_PB_M, 2, FALSE))/(VLOOKUP(Main_M[[#This Row],[Industry]], Mean_PB_M, 3, FALSE))</f>
        <v>-1.2379746358959447</v>
      </c>
      <c r="Q7" s="1">
        <f>(Main_M[[#This Row],[ROE]]-VLOOKUP(Main_M[[#This Row],[Industry]], Mean_ROE_M, 2, FALSE))/(VLOOKUP(Main_M[[#This Row],[Industry]], Mean_ROE_M, 3, FALSE))</f>
        <v>-0.53419470119789536</v>
      </c>
      <c r="R7" s="1">
        <f>(Main_M[[#This Row],[ROA]]-VLOOKUP(Main_M[[#This Row],[Industry]], Mean_ROA_M, 2, FALSE))/(VLOOKUP(Main_M[[#This Row],[Industry]], Mean_ROA_M, 3, FALSE))</f>
        <v>-1.057645902123034</v>
      </c>
      <c r="S7" s="1">
        <f>(Main_M[[#This Row],[A/E]]-VLOOKUP(Main_M[[#This Row],[Industry]], Mean_AE_M, 2, FALSE))/(VLOOKUP(Main_M[[#This Row],[Industry]], Mean_AE_M, 3, FALSE))</f>
        <v>-0.47522486243712625</v>
      </c>
      <c r="T7" s="1">
        <f>(Main_M[[#This Row],[P/E]]-VLOOKUP(Main_M[[#This Row],[Industry]], Mean_PE_M, 2, FALSE))/(VLOOKUP(Main_M[[#This Row],[Industry]], Mean_PE_M, 3, FALSE))</f>
        <v>-0.57387608082460162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106</v>
      </c>
      <c r="B8" t="s">
        <v>164</v>
      </c>
      <c r="C8" s="2">
        <v>2709</v>
      </c>
      <c r="D8">
        <f>RTD("tos.rtd", , "LAST", Main_M[[#This Row],[Symbol]])</f>
        <v>24.6</v>
      </c>
      <c r="E8">
        <v>0.99</v>
      </c>
      <c r="F8">
        <v>-1.2</v>
      </c>
      <c r="G8">
        <v>0.72</v>
      </c>
      <c r="H8" s="1">
        <f>IF(ISNUMBER(Main_M[[#This Row],[Free CF]]),IF(Main_M[[#This Row],[Free CF]]&lt;&gt;0,Main_M[[#This Row],[Current Price]]/Main_M[[#This Row],[Free CF]],""),"")</f>
        <v>24.848484848484851</v>
      </c>
      <c r="I8" s="1">
        <f>IF(ISNUMBER(Main_M[[#This Row],[BVPS]]),IF(Main_M[[#This Row],[BVPS]]&lt;&gt;0,Main_M[[#This Row],[Current Price]]/Main_M[[#This Row],[BVPS]],""),"")</f>
        <v>-20.500000000000004</v>
      </c>
      <c r="J8">
        <v>94.47</v>
      </c>
      <c r="K8">
        <v>6.9</v>
      </c>
      <c r="L8">
        <v>-19.46</v>
      </c>
      <c r="M8" s="1">
        <f>IF(ISNUMBER(Main_M[[#This Row],[EPS]]),IF(Main_M[[#This Row],[EPS]]&lt;&gt;0,Main_M[[#This Row],[Current Price]]/Main_M[[#This Row],[EPS]],""),"")</f>
        <v>34.166666666666671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0.15326095559302641</v>
      </c>
      <c r="P8" s="1">
        <f>(Main_M[[#This Row],[P/B]]-VLOOKUP(Main_M[[#This Row],[Industry]], Mean_PB_M, 2, FALSE))/(VLOOKUP(Main_M[[#This Row],[Industry]], Mean_PB_M, 3, FALSE))</f>
        <v>-23.105547910744644</v>
      </c>
      <c r="Q8" s="1">
        <f>(Main_M[[#This Row],[ROE]]-VLOOKUP(Main_M[[#This Row],[Industry]], Mean_ROE_M, 2, FALSE))/(VLOOKUP(Main_M[[#This Row],[Industry]], Mean_ROE_M, 3, FALSE))</f>
        <v>2.2137827454347034</v>
      </c>
      <c r="R8" s="1">
        <f>(Main_M[[#This Row],[ROA]]-VLOOKUP(Main_M[[#This Row],[Industry]], Mean_ROA_M, 2, FALSE))/(VLOOKUP(Main_M[[#This Row],[Industry]], Mean_ROA_M, 3, FALSE))</f>
        <v>-0.35363507050955012</v>
      </c>
      <c r="S8" s="1">
        <f>(Main_M[[#This Row],[A/E]]-VLOOKUP(Main_M[[#This Row],[Industry]], Mean_AE_M, 2, FALSE))/(VLOOKUP(Main_M[[#This Row],[Industry]], Mean_AE_M, 3, FALSE))</f>
        <v>-49.247092599331211</v>
      </c>
      <c r="T8" s="1">
        <f>(Main_M[[#This Row],[P/E]]-VLOOKUP(Main_M[[#This Row],[Industry]], Mean_PE_M, 2, FALSE))/(VLOOKUP(Main_M[[#This Row],[Industry]], Mean_PE_M, 3, FALSE))</f>
        <v>1.8208867788587759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106</v>
      </c>
      <c r="B9" t="s">
        <v>165</v>
      </c>
      <c r="C9" s="2">
        <v>2730</v>
      </c>
      <c r="D9">
        <f>RTD("tos.rtd", , "LAST", Main_M[[#This Row],[Symbol]])</f>
        <v>44.1</v>
      </c>
      <c r="E9">
        <v>3.43</v>
      </c>
      <c r="F9">
        <v>16.2</v>
      </c>
      <c r="G9">
        <v>2.83</v>
      </c>
      <c r="H9" s="1">
        <f>IF(ISNUMBER(Main_M[[#This Row],[Free CF]]),IF(Main_M[[#This Row],[Free CF]]&lt;&gt;0,Main_M[[#This Row],[Current Price]]/Main_M[[#This Row],[Free CF]],""),"")</f>
        <v>12.857142857142858</v>
      </c>
      <c r="I9" s="1">
        <f>IF(ISNUMBER(Main_M[[#This Row],[BVPS]]),IF(Main_M[[#This Row],[BVPS]]&lt;&gt;0,Main_M[[#This Row],[Current Price]]/Main_M[[#This Row],[BVPS]],""),"")</f>
        <v>2.7222222222222223</v>
      </c>
      <c r="J9">
        <v>19.7</v>
      </c>
      <c r="K9">
        <v>11.16</v>
      </c>
      <c r="L9">
        <v>1.6</v>
      </c>
      <c r="M9" s="1">
        <f>IF(ISNUMBER(Main_M[[#This Row],[EPS]]),IF(Main_M[[#This Row],[EPS]]&lt;&gt;0,Main_M[[#This Row],[Current Price]]/Main_M[[#This Row],[EPS]],""),"")</f>
        <v>15.583038869257951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-0.53164713999819135</v>
      </c>
      <c r="P9" s="1">
        <f>(Main_M[[#This Row],[P/B]]-VLOOKUP(Main_M[[#This Row],[Industry]], Mean_PB_M, 2, FALSE))/(VLOOKUP(Main_M[[#This Row],[Industry]], Mean_PB_M, 3, FALSE))</f>
        <v>0.77193567421599774</v>
      </c>
      <c r="Q9" s="1">
        <f>(Main_M[[#This Row],[ROE]]-VLOOKUP(Main_M[[#This Row],[Industry]], Mean_ROE_M, 2, FALSE))/(VLOOKUP(Main_M[[#This Row],[Industry]], Mean_ROE_M, 3, FALSE))</f>
        <v>-0.19524848548005108</v>
      </c>
      <c r="R9" s="1">
        <f>(Main_M[[#This Row],[ROA]]-VLOOKUP(Main_M[[#This Row],[Industry]], Mean_ROA_M, 2, FALSE))/(VLOOKUP(Main_M[[#This Row],[Industry]], Mean_ROA_M, 3, FALSE))</f>
        <v>1.7290636396803392</v>
      </c>
      <c r="S9" s="1">
        <f>(Main_M[[#This Row],[A/E]]-VLOOKUP(Main_M[[#This Row],[Industry]], Mean_AE_M, 2, FALSE))/(VLOOKUP(Main_M[[#This Row],[Industry]], Mean_AE_M, 3, FALSE))</f>
        <v>-0.82014613356084654</v>
      </c>
      <c r="T9" s="1">
        <f>(Main_M[[#This Row],[P/E]]-VLOOKUP(Main_M[[#This Row],[Industry]], Mean_PE_M, 2, FALSE))/(VLOOKUP(Main_M[[#This Row],[Industry]], Mean_PE_M, 3, FALSE))</f>
        <v>7.2456384120142991E-2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107</v>
      </c>
      <c r="B10" t="s">
        <v>166</v>
      </c>
      <c r="C10" s="2">
        <v>5570</v>
      </c>
      <c r="D10">
        <f>RTD("tos.rtd", , "LAST", Main_M[[#This Row],[Symbol]])</f>
        <v>18.46</v>
      </c>
      <c r="E10">
        <v>2.0099999999999998</v>
      </c>
      <c r="F10">
        <v>14.45</v>
      </c>
      <c r="G10">
        <v>2.27</v>
      </c>
      <c r="H10" s="1">
        <f>IF(ISNUMBER(Main_M[[#This Row],[Free CF]]),IF(Main_M[[#This Row],[Free CF]]&lt;&gt;0,Main_M[[#This Row],[Current Price]]/Main_M[[#This Row],[Free CF]],""),"")</f>
        <v>9.1840796019900512</v>
      </c>
      <c r="I10" s="1">
        <f>IF(ISNUMBER(Main_M[[#This Row],[BVPS]]),IF(Main_M[[#This Row],[BVPS]]&lt;&gt;0,Main_M[[#This Row],[Current Price]]/Main_M[[#This Row],[BVPS]],""),"")</f>
        <v>1.2775086505190312</v>
      </c>
      <c r="J10">
        <v>22.24</v>
      </c>
      <c r="K10">
        <v>7.47</v>
      </c>
      <c r="L10">
        <v>3.67</v>
      </c>
      <c r="M10" s="1">
        <f>IF(ISNUMBER(Main_M[[#This Row],[EPS]]),IF(Main_M[[#This Row],[EPS]]&lt;&gt;0,Main_M[[#This Row],[Current Price]]/Main_M[[#This Row],[EPS]],""),"")</f>
        <v>8.1321585903083697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0.22781908121068098</v>
      </c>
      <c r="P10" s="1">
        <f>(Main_M[[#This Row],[P/B]]-VLOOKUP(Main_M[[#This Row],[Industry]], Mean_PB_M, 2, FALSE))/(VLOOKUP(Main_M[[#This Row],[Industry]], Mean_PB_M, 3, FALSE))</f>
        <v>-0.39900937912769635</v>
      </c>
      <c r="Q10" s="1">
        <f>(Main_M[[#This Row],[ROE]]-VLOOKUP(Main_M[[#This Row],[Industry]], Mean_ROE_M, 2, FALSE))/(VLOOKUP(Main_M[[#This Row],[Industry]], Mean_ROE_M, 3, FALSE))</f>
        <v>0.30414127910712474</v>
      </c>
      <c r="R10" s="1">
        <f>(Main_M[[#This Row],[ROA]]-VLOOKUP(Main_M[[#This Row],[Industry]], Mean_ROA_M, 2, FALSE))/(VLOOKUP(Main_M[[#This Row],[Industry]], Mean_ROA_M, 3, FALSE))</f>
        <v>0.51303550238466811</v>
      </c>
      <c r="S10" s="1">
        <f>(Main_M[[#This Row],[A/E]]-VLOOKUP(Main_M[[#This Row],[Industry]], Mean_AE_M, 2, FALSE))/(VLOOKUP(Main_M[[#This Row],[Industry]], Mean_AE_M, 3, FALSE))</f>
        <v>2.1278938326846677</v>
      </c>
      <c r="T10" s="1">
        <f>(Main_M[[#This Row],[P/E]]-VLOOKUP(Main_M[[#This Row],[Industry]], Mean_PE_M, 2, FALSE))/(VLOOKUP(Main_M[[#This Row],[Industry]], Mean_PE_M, 3, FALSE))</f>
        <v>-0.1142236841251241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107</v>
      </c>
      <c r="B11" t="s">
        <v>167</v>
      </c>
      <c r="C11" s="2">
        <v>2893</v>
      </c>
      <c r="D11">
        <f>RTD("tos.rtd", , "LAST", Main_M[[#This Row],[Symbol]])</f>
        <v>13.94</v>
      </c>
      <c r="E11">
        <v>1.17</v>
      </c>
      <c r="F11">
        <v>3.93</v>
      </c>
      <c r="G11">
        <v>1.1499999999999999</v>
      </c>
      <c r="H11" s="1">
        <f>IF(ISNUMBER(Main_M[[#This Row],[Free CF]]),IF(Main_M[[#This Row],[Free CF]]&lt;&gt;0,Main_M[[#This Row],[Current Price]]/Main_M[[#This Row],[Free CF]],""),"")</f>
        <v>11.914529914529915</v>
      </c>
      <c r="I11" s="1">
        <f>IF(ISNUMBER(Main_M[[#This Row],[BVPS]]),IF(Main_M[[#This Row],[BVPS]]&lt;&gt;0,Main_M[[#This Row],[Current Price]]/Main_M[[#This Row],[BVPS]],""),"")</f>
        <v>3.5470737913486001</v>
      </c>
      <c r="J11">
        <v>23.12</v>
      </c>
      <c r="K11">
        <v>13.73</v>
      </c>
      <c r="L11">
        <v>1.47</v>
      </c>
      <c r="M11" s="1">
        <f>IF(ISNUMBER(Main_M[[#This Row],[EPS]]),IF(Main_M[[#This Row],[EPS]]&lt;&gt;0,Main_M[[#This Row],[Current Price]]/Main_M[[#This Row],[EPS]],""),"")</f>
        <v>12.121739130434783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0.41510933759893787</v>
      </c>
      <c r="P11" s="1">
        <f>(Main_M[[#This Row],[P/B]]-VLOOKUP(Main_M[[#This Row],[Industry]], Mean_PB_M, 2, FALSE))/(VLOOKUP(Main_M[[#This Row],[Industry]], Mean_PB_M, 3, FALSE))</f>
        <v>1.5886072543394305</v>
      </c>
      <c r="Q11" s="1">
        <f>(Main_M[[#This Row],[ROE]]-VLOOKUP(Main_M[[#This Row],[Industry]], Mean_ROE_M, 2, FALSE))/(VLOOKUP(Main_M[[#This Row],[Industry]], Mean_ROE_M, 3, FALSE))</f>
        <v>0.32346237665124855</v>
      </c>
      <c r="R11" s="1">
        <f>(Main_M[[#This Row],[ROA]]-VLOOKUP(Main_M[[#This Row],[Industry]], Mean_ROA_M, 2, FALSE))/(VLOOKUP(Main_M[[#This Row],[Industry]], Mean_ROA_M, 3, FALSE))</f>
        <v>1.8507850577019733</v>
      </c>
      <c r="S11" s="1">
        <f>(Main_M[[#This Row],[A/E]]-VLOOKUP(Main_M[[#This Row],[Industry]], Mean_AE_M, 2, FALSE))/(VLOOKUP(Main_M[[#This Row],[Industry]], Mean_AE_M, 3, FALSE))</f>
        <v>-0.96552010910361585</v>
      </c>
      <c r="T11" s="1">
        <f>(Main_M[[#This Row],[P/E]]-VLOOKUP(Main_M[[#This Row],[Industry]], Mean_PE_M, 2, FALSE))/(VLOOKUP(Main_M[[#This Row],[Industry]], Mean_PE_M, 3, FALSE))</f>
        <v>0.57756333421928874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107</v>
      </c>
      <c r="B12" t="s">
        <v>168</v>
      </c>
      <c r="C12" s="2">
        <v>5356</v>
      </c>
      <c r="D12">
        <f>RTD("tos.rtd", , "LAST", Main_M[[#This Row],[Symbol]])</f>
        <v>99.49</v>
      </c>
      <c r="E12">
        <v>17.73</v>
      </c>
      <c r="F12">
        <v>144.87</v>
      </c>
      <c r="G12">
        <v>16.02</v>
      </c>
      <c r="H12" s="1">
        <f>IF(ISNUMBER(Main_M[[#This Row],[Free CF]]),IF(Main_M[[#This Row],[Free CF]]&lt;&gt;0,Main_M[[#This Row],[Current Price]]/Main_M[[#This Row],[Free CF]],""),"")</f>
        <v>5.6113931190073316</v>
      </c>
      <c r="I12" s="1">
        <f>IF(ISNUMBER(Main_M[[#This Row],[BVPS]]),IF(Main_M[[#This Row],[BVPS]]&lt;&gt;0,Main_M[[#This Row],[Current Price]]/Main_M[[#This Row],[BVPS]],""),"")</f>
        <v>0.6867536411955546</v>
      </c>
      <c r="J12">
        <v>12.32</v>
      </c>
      <c r="K12">
        <v>7.48</v>
      </c>
      <c r="L12">
        <v>1.5</v>
      </c>
      <c r="M12" s="1">
        <f>IF(ISNUMBER(Main_M[[#This Row],[EPS]]),IF(Main_M[[#This Row],[EPS]]&lt;&gt;0,Main_M[[#This Row],[Current Price]]/Main_M[[#This Row],[EPS]],""),"")</f>
        <v>6.2103620474406993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" s="1">
        <f>(Main_M[[#This Row],[P/FCF]]-VLOOKUP(Main_M[[#This Row],[Industry]], Mean_PFCF_M, 2, FALSE))/(VLOOKUP(Main_M[[#This Row],[Industry]], Mean_PFCF_M, 3, FALSE))</f>
        <v>-1.7242828291810352E-2</v>
      </c>
      <c r="P12" s="1">
        <f>(Main_M[[#This Row],[P/B]]-VLOOKUP(Main_M[[#This Row],[Industry]], Mean_PB_M, 2, FALSE))/(VLOOKUP(Main_M[[#This Row],[Industry]], Mean_PB_M, 3, FALSE))</f>
        <v>-0.91637478173789833</v>
      </c>
      <c r="Q12" s="1">
        <f>(Main_M[[#This Row],[ROE]]-VLOOKUP(Main_M[[#This Row],[Industry]], Mean_ROE_M, 2, FALSE))/(VLOOKUP(Main_M[[#This Row],[Industry]], Mean_ROE_M, 3, FALSE))</f>
        <v>8.6339815882457482E-2</v>
      </c>
      <c r="R12" s="1">
        <f>(Main_M[[#This Row],[ROA]]-VLOOKUP(Main_M[[#This Row],[Industry]], Mean_ROA_M, 2, FALSE))/(VLOOKUP(Main_M[[#This Row],[Industry]], Mean_ROA_M, 3, FALSE))</f>
        <v>0.51517248250498338</v>
      </c>
      <c r="S12" s="1">
        <f>(Main_M[[#This Row],[A/E]]-VLOOKUP(Main_M[[#This Row],[Industry]], Mean_AE_M, 2, FALSE))/(VLOOKUP(Main_M[[#This Row],[Industry]], Mean_AE_M, 3, FALSE))</f>
        <v>-0.92333719171559381</v>
      </c>
      <c r="T12" s="1">
        <f>(Main_M[[#This Row],[P/E]]-VLOOKUP(Main_M[[#This Row],[Industry]], Mean_PE_M, 2, FALSE))/(VLOOKUP(Main_M[[#This Row],[Industry]], Mean_PE_M, 3, FALSE))</f>
        <v>-0.44746019530303877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107</v>
      </c>
      <c r="B13" t="s">
        <v>169</v>
      </c>
      <c r="C13" s="2">
        <v>2512</v>
      </c>
      <c r="D13">
        <f>RTD("tos.rtd", , "LAST", Main_M[[#This Row],[Symbol]])</f>
        <v>31.8</v>
      </c>
      <c r="E13">
        <v>8.98</v>
      </c>
      <c r="F13">
        <v>70.569999999999993</v>
      </c>
      <c r="G13">
        <v>8.4600000000000009</v>
      </c>
      <c r="H13" s="1">
        <f>IF(ISNUMBER(Main_M[[#This Row],[Free CF]]),IF(Main_M[[#This Row],[Free CF]]&lt;&gt;0,Main_M[[#This Row],[Current Price]]/Main_M[[#This Row],[Free CF]],""),"")</f>
        <v>3.5412026726057904</v>
      </c>
      <c r="I13" s="1">
        <f>IF(ISNUMBER(Main_M[[#This Row],[BVPS]]),IF(Main_M[[#This Row],[BVPS]]&lt;&gt;0,Main_M[[#This Row],[Current Price]]/Main_M[[#This Row],[BVPS]],""),"")</f>
        <v>0.45061640923905349</v>
      </c>
      <c r="J13">
        <v>13.1</v>
      </c>
      <c r="K13">
        <v>6.66</v>
      </c>
      <c r="L13">
        <v>2.25</v>
      </c>
      <c r="M13" s="1">
        <f>IF(ISNUMBER(Main_M[[#This Row],[EPS]]),IF(Main_M[[#This Row],[EPS]]&lt;&gt;0,Main_M[[#This Row],[Current Price]]/Main_M[[#This Row],[EPS]],""),"")</f>
        <v>3.7588652482269502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-0.15924376407093521</v>
      </c>
      <c r="P13" s="1">
        <f>(Main_M[[#This Row],[P/B]]-VLOOKUP(Main_M[[#This Row],[Industry]], Mean_PB_M, 2, FALSE))/(VLOOKUP(Main_M[[#This Row],[Industry]], Mean_PB_M, 3, FALSE))</f>
        <v>-1.123176640637648</v>
      </c>
      <c r="Q13" s="1">
        <f>(Main_M[[#This Row],[ROE]]-VLOOKUP(Main_M[[#This Row],[Industry]], Mean_ROE_M, 2, FALSE))/(VLOOKUP(Main_M[[#This Row],[Industry]], Mean_ROE_M, 3, FALSE))</f>
        <v>0.10346533416020348</v>
      </c>
      <c r="R13" s="1">
        <f>(Main_M[[#This Row],[ROA]]-VLOOKUP(Main_M[[#This Row],[Industry]], Mean_ROA_M, 2, FALSE))/(VLOOKUP(Main_M[[#This Row],[Industry]], Mean_ROA_M, 3, FALSE))</f>
        <v>0.33994011263913826</v>
      </c>
      <c r="S13" s="1">
        <f>(Main_M[[#This Row],[A/E]]-VLOOKUP(Main_M[[#This Row],[Industry]], Mean_AE_M, 2, FALSE))/(VLOOKUP(Main_M[[#This Row],[Industry]], Mean_AE_M, 3, FALSE))</f>
        <v>0.13123574298495738</v>
      </c>
      <c r="T13" s="1">
        <f>(Main_M[[#This Row],[P/E]]-VLOOKUP(Main_M[[#This Row],[Industry]], Mean_PE_M, 2, FALSE))/(VLOOKUP(Main_M[[#This Row],[Industry]], Mean_PE_M, 3, FALSE))</f>
        <v>-0.87254590146983668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107</v>
      </c>
      <c r="B14" t="s">
        <v>170</v>
      </c>
      <c r="C14" s="2">
        <v>4549</v>
      </c>
      <c r="D14">
        <f>RTD("tos.rtd", , "LAST", Main_M[[#This Row],[Symbol]])</f>
        <v>32.64</v>
      </c>
      <c r="E14">
        <v>2.29</v>
      </c>
      <c r="F14">
        <v>25.92</v>
      </c>
      <c r="G14">
        <v>-1.97</v>
      </c>
      <c r="H14" s="1">
        <f>IF(ISNUMBER(Main_M[[#This Row],[Free CF]]),IF(Main_M[[#This Row],[Free CF]]&lt;&gt;0,Main_M[[#This Row],[Current Price]]/Main_M[[#This Row],[Free CF]],""),"")</f>
        <v>14.253275109170305</v>
      </c>
      <c r="I14" s="1">
        <f>IF(ISNUMBER(Main_M[[#This Row],[BVPS]]),IF(Main_M[[#This Row],[BVPS]]&lt;&gt;0,Main_M[[#This Row],[Current Price]]/Main_M[[#This Row],[BVPS]],""),"")</f>
        <v>1.2592592592592593</v>
      </c>
      <c r="J14">
        <v>-7.3</v>
      </c>
      <c r="K14">
        <v>-2.11</v>
      </c>
      <c r="L14">
        <v>2.4</v>
      </c>
      <c r="M14" s="1">
        <f>IF(ISNUMBER(Main_M[[#This Row],[EPS]]),IF(Main_M[[#This Row],[EPS]]&lt;&gt;0,Main_M[[#This Row],[Current Price]]/Main_M[[#This Row],[EPS]],""),"")</f>
        <v>-16.568527918781726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0.57553129624778521</v>
      </c>
      <c r="P14" s="1">
        <f>(Main_M[[#This Row],[P/B]]-VLOOKUP(Main_M[[#This Row],[Industry]], Mean_PB_M, 2, FALSE))/(VLOOKUP(Main_M[[#This Row],[Industry]], Mean_PB_M, 3, FALSE))</f>
        <v>-0.41499164505433717</v>
      </c>
      <c r="Q14" s="1">
        <f>(Main_M[[#This Row],[ROE]]-VLOOKUP(Main_M[[#This Row],[Industry]], Mean_ROE_M, 2, FALSE))/(VLOOKUP(Main_M[[#This Row],[Industry]], Mean_ROE_M, 3, FALSE))</f>
        <v>-0.34443283618084625</v>
      </c>
      <c r="R14" s="1">
        <f>(Main_M[[#This Row],[ROA]]-VLOOKUP(Main_M[[#This Row],[Industry]], Mean_ROA_M, 2, FALSE))/(VLOOKUP(Main_M[[#This Row],[Industry]], Mean_ROA_M, 3, FALSE))</f>
        <v>-1.534191452877278</v>
      </c>
      <c r="S14" s="1">
        <f>(Main_M[[#This Row],[A/E]]-VLOOKUP(Main_M[[#This Row],[Industry]], Mean_AE_M, 2, FALSE))/(VLOOKUP(Main_M[[#This Row],[Industry]], Mean_AE_M, 3, FALSE))</f>
        <v>0.3421503299250675</v>
      </c>
      <c r="T14" s="1">
        <f>(Main_M[[#This Row],[P/E]]-VLOOKUP(Main_M[[#This Row],[Industry]], Mean_PE_M, 2, FALSE))/(VLOOKUP(Main_M[[#This Row],[Industry]], Mean_PE_M, 3, FALSE))</f>
        <v>-4.3972840458146933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t="s">
        <v>107</v>
      </c>
      <c r="B15" t="s">
        <v>171</v>
      </c>
      <c r="C15" s="2">
        <v>3468</v>
      </c>
      <c r="D15">
        <f>RTD("tos.rtd", , "LAST", Main_M[[#This Row],[Symbol]])</f>
        <v>43.8</v>
      </c>
      <c r="E15">
        <v>4.4800000000000004</v>
      </c>
      <c r="F15">
        <v>38.840000000000003</v>
      </c>
      <c r="G15">
        <v>4.62</v>
      </c>
      <c r="H15" s="1">
        <f>IF(ISNUMBER(Main_M[[#This Row],[Free CF]]),IF(Main_M[[#This Row],[Free CF]]&lt;&gt;0,Main_M[[#This Row],[Current Price]]/Main_M[[#This Row],[Free CF]],""),"")</f>
        <v>9.7767857142857135</v>
      </c>
      <c r="I15" s="1">
        <f>IF(ISNUMBER(Main_M[[#This Row],[BVPS]]),IF(Main_M[[#This Row],[BVPS]]&lt;&gt;0,Main_M[[#This Row],[Current Price]]/Main_M[[#This Row],[BVPS]],""),"")</f>
        <v>1.1277033985581872</v>
      </c>
      <c r="J15">
        <v>13.06</v>
      </c>
      <c r="K15">
        <v>7.63</v>
      </c>
      <c r="L15">
        <v>2.02</v>
      </c>
      <c r="M15" s="1">
        <f>IF(ISNUMBER(Main_M[[#This Row],[EPS]]),IF(Main_M[[#This Row],[EPS]]&lt;&gt;0,Main_M[[#This Row],[Current Price]]/Main_M[[#This Row],[EPS]],""),"")</f>
        <v>9.4805194805194795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0.26847467535386166</v>
      </c>
      <c r="P15" s="1">
        <f>(Main_M[[#This Row],[P/B]]-VLOOKUP(Main_M[[#This Row],[Industry]], Mean_PB_M, 2, FALSE))/(VLOOKUP(Main_M[[#This Row],[Industry]], Mean_PB_M, 3, FALSE))</f>
        <v>-0.53020429626026744</v>
      </c>
      <c r="Q15" s="1">
        <f>(Main_M[[#This Row],[ROE]]-VLOOKUP(Main_M[[#This Row],[Industry]], Mean_ROE_M, 2, FALSE))/(VLOOKUP(Main_M[[#This Row],[Industry]], Mean_ROE_M, 3, FALSE))</f>
        <v>0.10258710245365242</v>
      </c>
      <c r="R15" s="1">
        <f>(Main_M[[#This Row],[ROA]]-VLOOKUP(Main_M[[#This Row],[Industry]], Mean_ROA_M, 2, FALSE))/(VLOOKUP(Main_M[[#This Row],[Industry]], Mean_ROA_M, 3, FALSE))</f>
        <v>0.54722718430971107</v>
      </c>
      <c r="S15" s="1">
        <f>(Main_M[[#This Row],[A/E]]-VLOOKUP(Main_M[[#This Row],[Industry]], Mean_AE_M, 2, FALSE))/(VLOOKUP(Main_M[[#This Row],[Industry]], Mean_AE_M, 3, FALSE))</f>
        <v>-0.19216662365654494</v>
      </c>
      <c r="T15" s="1">
        <f>(Main_M[[#This Row],[P/E]]-VLOOKUP(Main_M[[#This Row],[Industry]], Mean_PE_M, 2, FALSE))/(VLOOKUP(Main_M[[#This Row],[Industry]], Mean_PE_M, 3, FALSE))</f>
        <v>0.1195799828292485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107</v>
      </c>
      <c r="B16" t="s">
        <v>172</v>
      </c>
      <c r="C16" s="2">
        <v>2015</v>
      </c>
      <c r="D16">
        <f>RTD("tos.rtd", , "LAST", Main_M[[#This Row],[Symbol]])</f>
        <v>9.5</v>
      </c>
      <c r="E16">
        <v>-5.17</v>
      </c>
      <c r="F16">
        <v>16.7</v>
      </c>
      <c r="G16">
        <v>-0.62</v>
      </c>
      <c r="H16" s="1">
        <f>IF(ISNUMBER(Main_M[[#This Row],[Free CF]]),IF(Main_M[[#This Row],[Free CF]]&lt;&gt;0,Main_M[[#This Row],[Current Price]]/Main_M[[#This Row],[Free CF]],""),"")</f>
        <v>-1.8375241779497098</v>
      </c>
      <c r="I16" s="1">
        <f>IF(ISNUMBER(Main_M[[#This Row],[BVPS]]),IF(Main_M[[#This Row],[BVPS]]&lt;&gt;0,Main_M[[#This Row],[Current Price]]/Main_M[[#This Row],[BVPS]],""),"")</f>
        <v>0.56886227544910184</v>
      </c>
      <c r="J16">
        <v>-2.4900000000000002</v>
      </c>
      <c r="K16">
        <v>1.4</v>
      </c>
      <c r="L16">
        <v>3.03</v>
      </c>
      <c r="M16" s="1">
        <f>IF(ISNUMBER(Main_M[[#This Row],[EPS]]),IF(Main_M[[#This Row],[EPS]]&lt;&gt;0,Main_M[[#This Row],[Current Price]]/Main_M[[#This Row],[EPS]],""),"")</f>
        <v>-15.32258064516129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-0.52818771674293008</v>
      </c>
      <c r="P16" s="1">
        <f>(Main_M[[#This Row],[P/B]]-VLOOKUP(Main_M[[#This Row],[Industry]], Mean_PB_M, 2, FALSE))/(VLOOKUP(Main_M[[#This Row],[Industry]], Mean_PB_M, 3, FALSE))</f>
        <v>-1.0196204807858475</v>
      </c>
      <c r="Q16" s="1">
        <f>(Main_M[[#This Row],[ROE]]-VLOOKUP(Main_M[[#This Row],[Industry]], Mean_ROE_M, 2, FALSE))/(VLOOKUP(Main_M[[#This Row],[Industry]], Mean_ROE_M, 3, FALSE))</f>
        <v>-0.23882547346807914</v>
      </c>
      <c r="R16" s="1">
        <f>(Main_M[[#This Row],[ROA]]-VLOOKUP(Main_M[[#This Row],[Industry]], Mean_ROA_M, 2, FALSE))/(VLOOKUP(Main_M[[#This Row],[Industry]], Mean_ROA_M, 3, FALSE))</f>
        <v>-0.78411143064664857</v>
      </c>
      <c r="S16" s="1">
        <f>(Main_M[[#This Row],[A/E]]-VLOOKUP(Main_M[[#This Row],[Industry]], Mean_AE_M, 2, FALSE))/(VLOOKUP(Main_M[[#This Row],[Industry]], Mean_AE_M, 3, FALSE))</f>
        <v>1.2279915950735303</v>
      </c>
      <c r="T16" s="1">
        <f>(Main_M[[#This Row],[P/E]]-VLOOKUP(Main_M[[#This Row],[Industry]], Mean_PE_M, 2, FALSE))/(VLOOKUP(Main_M[[#This Row],[Industry]], Mean_PE_M, 3, FALSE))</f>
        <v>-4.1812387396069077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7" spans="1:26" x14ac:dyDescent="0.25">
      <c r="A17" t="s">
        <v>107</v>
      </c>
      <c r="B17" t="s">
        <v>173</v>
      </c>
      <c r="C17" s="2">
        <v>6514</v>
      </c>
      <c r="D17">
        <f>RTD("tos.rtd", , "LAST", Main_M[[#This Row],[Symbol]])</f>
        <v>23.65</v>
      </c>
      <c r="E17">
        <v>-1.45</v>
      </c>
      <c r="F17">
        <v>7.24</v>
      </c>
      <c r="G17">
        <v>-1.1200000000000001</v>
      </c>
      <c r="H17" s="1">
        <f>IF(ISNUMBER(Main_M[[#This Row],[Free CF]]),IF(Main_M[[#This Row],[Free CF]]&lt;&gt;0,Main_M[[#This Row],[Current Price]]/Main_M[[#This Row],[Free CF]],""),"")</f>
        <v>-16.310344827586206</v>
      </c>
      <c r="I17" s="1">
        <f>IF(ISNUMBER(Main_M[[#This Row],[BVPS]]),IF(Main_M[[#This Row],[BVPS]]&lt;&gt;0,Main_M[[#This Row],[Current Price]]/Main_M[[#This Row],[BVPS]],""),"")</f>
        <v>3.2665745856353587</v>
      </c>
      <c r="J17">
        <v>-13.44</v>
      </c>
      <c r="K17">
        <v>-0.28999999999999998</v>
      </c>
      <c r="L17">
        <v>3.11</v>
      </c>
      <c r="M17" s="1">
        <f>IF(ISNUMBER(Main_M[[#This Row],[EPS]]),IF(Main_M[[#This Row],[EPS]]&lt;&gt;0,Main_M[[#This Row],[Current Price]]/Main_M[[#This Row],[EPS]],""),"")</f>
        <v>-21.116071428571427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-1.5209244377456506</v>
      </c>
      <c r="P17" s="1">
        <f>(Main_M[[#This Row],[P/B]]-VLOOKUP(Main_M[[#This Row],[Industry]], Mean_PB_M, 2, FALSE))/(VLOOKUP(Main_M[[#This Row],[Industry]], Mean_PB_M, 3, FALSE))</f>
        <v>1.3429545180861013</v>
      </c>
      <c r="Q17" s="1">
        <f>(Main_M[[#This Row],[ROE]]-VLOOKUP(Main_M[[#This Row],[Industry]], Mean_ROE_M, 2, FALSE))/(VLOOKUP(Main_M[[#This Row],[Industry]], Mean_ROE_M, 3, FALSE))</f>
        <v>-0.47924140313643671</v>
      </c>
      <c r="R17" s="1">
        <f>(Main_M[[#This Row],[ROA]]-VLOOKUP(Main_M[[#This Row],[Industry]], Mean_ROA_M, 2, FALSE))/(VLOOKUP(Main_M[[#This Row],[Industry]], Mean_ROA_M, 3, FALSE))</f>
        <v>-1.1452610709799147</v>
      </c>
      <c r="S17" s="1">
        <f>(Main_M[[#This Row],[A/E]]-VLOOKUP(Main_M[[#This Row],[Industry]], Mean_AE_M, 2, FALSE))/(VLOOKUP(Main_M[[#This Row],[Industry]], Mean_AE_M, 3, FALSE))</f>
        <v>1.3404793747749226</v>
      </c>
      <c r="T17" s="1">
        <f>(Main_M[[#This Row],[P/E]]-VLOOKUP(Main_M[[#This Row],[Industry]], Mean_PE_M, 2, FALSE))/(VLOOKUP(Main_M[[#This Row],[Industry]], Mean_PE_M, 3, FALSE))</f>
        <v>-5.1858209693804023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8" spans="1:26" x14ac:dyDescent="0.25">
      <c r="A18" t="s">
        <v>107</v>
      </c>
      <c r="B18" t="s">
        <v>174</v>
      </c>
      <c r="C18" s="2">
        <v>3359</v>
      </c>
      <c r="D18">
        <f>RTD("tos.rtd", , "LAST", Main_M[[#This Row],[Symbol]])</f>
        <v>198.21</v>
      </c>
      <c r="E18">
        <v>10.62</v>
      </c>
      <c r="F18">
        <v>96.16</v>
      </c>
      <c r="G18">
        <v>-14.72</v>
      </c>
      <c r="H18" s="1">
        <f>IF(ISNUMBER(Main_M[[#This Row],[Free CF]]),IF(Main_M[[#This Row],[Free CF]]&lt;&gt;0,Main_M[[#This Row],[Current Price]]/Main_M[[#This Row],[Free CF]],""),"")</f>
        <v>18.663841807909606</v>
      </c>
      <c r="I18" s="1">
        <f>IF(ISNUMBER(Main_M[[#This Row],[BVPS]]),IF(Main_M[[#This Row],[BVPS]]&lt;&gt;0,Main_M[[#This Row],[Current Price]]/Main_M[[#This Row],[BVPS]],""),"")</f>
        <v>2.0612520798668887</v>
      </c>
      <c r="J18">
        <v>-13.22</v>
      </c>
      <c r="K18">
        <v>2.78</v>
      </c>
      <c r="L18">
        <v>1.67</v>
      </c>
      <c r="M18" s="1">
        <f>IF(ISNUMBER(Main_M[[#This Row],[EPS]]),IF(Main_M[[#This Row],[EPS]]&lt;&gt;0,Main_M[[#This Row],[Current Price]]/Main_M[[#This Row],[EPS]],""),"")</f>
        <v>-13.465353260869565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0.87806607010199034</v>
      </c>
      <c r="P18" s="1">
        <f>(Main_M[[#This Row],[P/B]]-VLOOKUP(Main_M[[#This Row],[Industry]], Mean_PB_M, 2, FALSE))/(VLOOKUP(Main_M[[#This Row],[Industry]], Mean_PB_M, 3, FALSE))</f>
        <v>0.28736945553001747</v>
      </c>
      <c r="Q18" s="1">
        <f>(Main_M[[#This Row],[ROE]]-VLOOKUP(Main_M[[#This Row],[Industry]], Mean_ROE_M, 2, FALSE))/(VLOOKUP(Main_M[[#This Row],[Industry]], Mean_ROE_M, 3, FALSE))</f>
        <v>-0.47441112875040581</v>
      </c>
      <c r="R18" s="1">
        <f>(Main_M[[#This Row],[ROA]]-VLOOKUP(Main_M[[#This Row],[Industry]], Mean_ROA_M, 2, FALSE))/(VLOOKUP(Main_M[[#This Row],[Industry]], Mean_ROA_M, 3, FALSE))</f>
        <v>-0.4892081740431532</v>
      </c>
      <c r="S18" s="1">
        <f>(Main_M[[#This Row],[A/E]]-VLOOKUP(Main_M[[#This Row],[Industry]], Mean_AE_M, 2, FALSE))/(VLOOKUP(Main_M[[#This Row],[Industry]], Mean_AE_M, 3, FALSE))</f>
        <v>-0.68430065985013566</v>
      </c>
      <c r="T18" s="1">
        <f>(Main_M[[#This Row],[P/E]]-VLOOKUP(Main_M[[#This Row],[Industry]], Mean_PE_M, 2, FALSE))/(VLOOKUP(Main_M[[#This Row],[Industry]], Mean_PE_M, 3, FALSE))</f>
        <v>-3.8591984194167419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t="s">
        <v>107</v>
      </c>
      <c r="B19" t="s">
        <v>175</v>
      </c>
      <c r="C19" s="2">
        <v>3855</v>
      </c>
      <c r="D19">
        <f>RTD("tos.rtd", , "LAST", Main_M[[#This Row],[Symbol]])</f>
        <v>23.32</v>
      </c>
      <c r="E19">
        <v>2.4</v>
      </c>
      <c r="F19">
        <v>10.3</v>
      </c>
      <c r="G19">
        <v>2.0099999999999998</v>
      </c>
      <c r="H19" s="1">
        <f>IF(ISNUMBER(Main_M[[#This Row],[Free CF]]),IF(Main_M[[#This Row],[Free CF]]&lt;&gt;0,Main_M[[#This Row],[Current Price]]/Main_M[[#This Row],[Free CF]],""),"")</f>
        <v>9.7166666666666668</v>
      </c>
      <c r="I19" s="1">
        <f>IF(ISNUMBER(Main_M[[#This Row],[BVPS]]),IF(Main_M[[#This Row],[BVPS]]&lt;&gt;0,Main_M[[#This Row],[Current Price]]/Main_M[[#This Row],[BVPS]],""),"")</f>
        <v>2.2640776699029126</v>
      </c>
      <c r="J19">
        <v>20.91</v>
      </c>
      <c r="K19">
        <v>11.52</v>
      </c>
      <c r="L19">
        <v>1.48</v>
      </c>
      <c r="M19" s="1">
        <f>IF(ISNUMBER(Main_M[[#This Row],[EPS]]),IF(Main_M[[#This Row],[EPS]]&lt;&gt;0,Main_M[[#This Row],[Current Price]]/Main_M[[#This Row],[EPS]],""),"")</f>
        <v>11.601990049751246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0.26435091899371926</v>
      </c>
      <c r="P19" s="1">
        <f>(Main_M[[#This Row],[P/B]]-VLOOKUP(Main_M[[#This Row],[Industry]], Mean_PB_M, 2, FALSE))/(VLOOKUP(Main_M[[#This Row],[Industry]], Mean_PB_M, 3, FALSE))</f>
        <v>0.46499798409519899</v>
      </c>
      <c r="Q19" s="1">
        <f>(Main_M[[#This Row],[ROE]]-VLOOKUP(Main_M[[#This Row],[Industry]], Mean_ROE_M, 2, FALSE))/(VLOOKUP(Main_M[[#This Row],[Industry]], Mean_ROE_M, 3, FALSE))</f>
        <v>0.27494007486430144</v>
      </c>
      <c r="R19" s="1">
        <f>(Main_M[[#This Row],[ROA]]-VLOOKUP(Main_M[[#This Row],[Industry]], Mean_ROA_M, 2, FALSE))/(VLOOKUP(Main_M[[#This Row],[Industry]], Mean_ROA_M, 3, FALSE))</f>
        <v>1.3785124511123177</v>
      </c>
      <c r="S19" s="1">
        <f>(Main_M[[#This Row],[A/E]]-VLOOKUP(Main_M[[#This Row],[Industry]], Mean_AE_M, 2, FALSE))/(VLOOKUP(Main_M[[#This Row],[Industry]], Mean_AE_M, 3, FALSE))</f>
        <v>-0.95145913664094184</v>
      </c>
      <c r="T19" s="1">
        <f>(Main_M[[#This Row],[P/E]]-VLOOKUP(Main_M[[#This Row],[Industry]], Mean_PE_M, 2, FALSE))/(VLOOKUP(Main_M[[#This Row],[Industry]], Mean_PE_M, 3, FALSE))</f>
        <v>0.4874396575076711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107</v>
      </c>
      <c r="B20" t="s">
        <v>176</v>
      </c>
      <c r="C20" s="2">
        <v>4980</v>
      </c>
      <c r="D20">
        <f>RTD("tos.rtd", , "LAST", Main_M[[#This Row],[Symbol]])</f>
        <v>46.36</v>
      </c>
      <c r="E20">
        <v>4.4000000000000004</v>
      </c>
      <c r="F20">
        <v>42.23</v>
      </c>
      <c r="G20">
        <v>7.44</v>
      </c>
      <c r="H20" s="1">
        <f>IF(ISNUMBER(Main_M[[#This Row],[Free CF]]),IF(Main_M[[#This Row],[Free CF]]&lt;&gt;0,Main_M[[#This Row],[Current Price]]/Main_M[[#This Row],[Free CF]],""),"")</f>
        <v>10.536363636363635</v>
      </c>
      <c r="I20" s="1">
        <f>IF(ISNUMBER(Main_M[[#This Row],[BVPS]]),IF(Main_M[[#This Row],[BVPS]]&lt;&gt;0,Main_M[[#This Row],[Current Price]]/Main_M[[#This Row],[BVPS]],""),"")</f>
        <v>1.0977977740942459</v>
      </c>
      <c r="J20">
        <v>19.850000000000001</v>
      </c>
      <c r="K20">
        <v>9.74</v>
      </c>
      <c r="L20">
        <v>2.1</v>
      </c>
      <c r="M20" s="1">
        <f>IF(ISNUMBER(Main_M[[#This Row],[EPS]]),IF(Main_M[[#This Row],[EPS]]&lt;&gt;0,Main_M[[#This Row],[Current Price]]/Main_M[[#This Row],[EPS]],""),"")</f>
        <v>6.2311827956989241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0.32057653676459058</v>
      </c>
      <c r="P20" s="1">
        <f>(Main_M[[#This Row],[P/B]]-VLOOKUP(Main_M[[#This Row],[Industry]], Mean_PB_M, 2, FALSE))/(VLOOKUP(Main_M[[#This Row],[Industry]], Mean_PB_M, 3, FALSE))</f>
        <v>-0.55639473933211703</v>
      </c>
      <c r="Q20" s="1">
        <f>(Main_M[[#This Row],[ROE]]-VLOOKUP(Main_M[[#This Row],[Industry]], Mean_ROE_M, 2, FALSE))/(VLOOKUP(Main_M[[#This Row],[Industry]], Mean_ROE_M, 3, FALSE))</f>
        <v>0.25166693464069795</v>
      </c>
      <c r="R20" s="1">
        <f>(Main_M[[#This Row],[ROA]]-VLOOKUP(Main_M[[#This Row],[Industry]], Mean_ROA_M, 2, FALSE))/(VLOOKUP(Main_M[[#This Row],[Industry]], Mean_ROA_M, 3, FALSE))</f>
        <v>0.99812998969621491</v>
      </c>
      <c r="S20" s="1">
        <f>(Main_M[[#This Row],[A/E]]-VLOOKUP(Main_M[[#This Row],[Industry]], Mean_AE_M, 2, FALSE))/(VLOOKUP(Main_M[[#This Row],[Industry]], Mean_AE_M, 3, FALSE))</f>
        <v>-7.967884395515272E-2</v>
      </c>
      <c r="T20" s="1">
        <f>(Main_M[[#This Row],[P/E]]-VLOOKUP(Main_M[[#This Row],[Industry]], Mean_PE_M, 2, FALSE))/(VLOOKUP(Main_M[[#This Row],[Industry]], Mean_PE_M, 3, FALSE))</f>
        <v>-0.4438499101584254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107</v>
      </c>
      <c r="B21" t="s">
        <v>177</v>
      </c>
      <c r="C21" s="2">
        <v>3004</v>
      </c>
      <c r="D21">
        <f>RTD("tos.rtd", , "LAST", Main_M[[#This Row],[Symbol]])</f>
        <v>23.33</v>
      </c>
      <c r="E21">
        <v>5.47</v>
      </c>
      <c r="F21">
        <v>35.61</v>
      </c>
      <c r="G21">
        <v>2.72</v>
      </c>
      <c r="H21" s="1">
        <f>IF(ISNUMBER(Main_M[[#This Row],[Free CF]]),IF(Main_M[[#This Row],[Free CF]]&lt;&gt;0,Main_M[[#This Row],[Current Price]]/Main_M[[#This Row],[Free CF]],""),"")</f>
        <v>4.2650822669104205</v>
      </c>
      <c r="I21" s="1">
        <f>IF(ISNUMBER(Main_M[[#This Row],[BVPS]]),IF(Main_M[[#This Row],[BVPS]]&lt;&gt;0,Main_M[[#This Row],[Current Price]]/Main_M[[#This Row],[BVPS]],""),"")</f>
        <v>0.65515304689693898</v>
      </c>
      <c r="J21">
        <v>8.98</v>
      </c>
      <c r="K21">
        <v>3.8</v>
      </c>
      <c r="L21">
        <v>1.86</v>
      </c>
      <c r="M21" s="1">
        <f>IF(ISNUMBER(Main_M[[#This Row],[EPS]]),IF(Main_M[[#This Row],[EPS]]&lt;&gt;0,Main_M[[#This Row],[Current Price]]/Main_M[[#This Row],[EPS]],""),"")</f>
        <v>8.5772058823529402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-0.10959056430791547</v>
      </c>
      <c r="P21" s="1">
        <f>(Main_M[[#This Row],[P/B]]-VLOOKUP(Main_M[[#This Row],[Industry]], Mean_PB_M, 2, FALSE))/(VLOOKUP(Main_M[[#This Row],[Industry]], Mean_PB_M, 3, FALSE))</f>
        <v>-0.94404962822078753</v>
      </c>
      <c r="Q21" s="1">
        <f>(Main_M[[#This Row],[ROE]]-VLOOKUP(Main_M[[#This Row],[Industry]], Mean_ROE_M, 2, FALSE))/(VLOOKUP(Main_M[[#This Row],[Industry]], Mean_ROE_M, 3, FALSE))</f>
        <v>1.3007468385442476E-2</v>
      </c>
      <c r="R21" s="1">
        <f>(Main_M[[#This Row],[ROA]]-VLOOKUP(Main_M[[#This Row],[Industry]], Mean_ROA_M, 2, FALSE))/(VLOOKUP(Main_M[[#This Row],[Industry]], Mean_ROA_M, 3, FALSE))</f>
        <v>-0.27123620177100444</v>
      </c>
      <c r="S21" s="1">
        <f>(Main_M[[#This Row],[A/E]]-VLOOKUP(Main_M[[#This Row],[Industry]], Mean_AE_M, 2, FALSE))/(VLOOKUP(Main_M[[#This Row],[Industry]], Mean_AE_M, 3, FALSE))</f>
        <v>-0.4171421830593291</v>
      </c>
      <c r="T21" s="1">
        <f>(Main_M[[#This Row],[P/E]]-VLOOKUP(Main_M[[#This Row],[Industry]], Mean_PE_M, 2, FALSE))/(VLOOKUP(Main_M[[#This Row],[Industry]], Mean_PE_M, 3, FALSE))</f>
        <v>-3.7053180587423067E-2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107</v>
      </c>
      <c r="B22" t="s">
        <v>178</v>
      </c>
      <c r="C22" s="2">
        <v>2396</v>
      </c>
      <c r="D22">
        <f>RTD("tos.rtd", , "LAST", Main_M[[#This Row],[Symbol]])</f>
        <v>29.61</v>
      </c>
      <c r="E22">
        <v>-1.22</v>
      </c>
      <c r="F22">
        <v>24.45</v>
      </c>
      <c r="G22">
        <v>6.43</v>
      </c>
      <c r="H22" s="1">
        <f>IF(ISNUMBER(Main_M[[#This Row],[Free CF]]),IF(Main_M[[#This Row],[Free CF]]&lt;&gt;0,Main_M[[#This Row],[Current Price]]/Main_M[[#This Row],[Free CF]],""),"")</f>
        <v>-24.270491803278688</v>
      </c>
      <c r="I22" s="1">
        <f>IF(ISNUMBER(Main_M[[#This Row],[BVPS]]),IF(Main_M[[#This Row],[BVPS]]&lt;&gt;0,Main_M[[#This Row],[Current Price]]/Main_M[[#This Row],[BVPS]],""),"")</f>
        <v>1.2110429447852762</v>
      </c>
      <c r="J22">
        <v>29.41</v>
      </c>
      <c r="K22">
        <v>12.36</v>
      </c>
      <c r="L22">
        <v>2.36</v>
      </c>
      <c r="M22" s="1">
        <f>IF(ISNUMBER(Main_M[[#This Row],[EPS]]),IF(Main_M[[#This Row],[EPS]]&lt;&gt;0,Main_M[[#This Row],[Current Price]]/Main_M[[#This Row],[EPS]],""),"")</f>
        <v>4.6049766718507001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-2.06693619306628</v>
      </c>
      <c r="P22" s="1">
        <f>(Main_M[[#This Row],[P/B]]-VLOOKUP(Main_M[[#This Row],[Industry]], Mean_PB_M, 2, FALSE))/(VLOOKUP(Main_M[[#This Row],[Industry]], Mean_PB_M, 3, FALSE))</f>
        <v>-0.45721803764773983</v>
      </c>
      <c r="Q22" s="1">
        <f>(Main_M[[#This Row],[ROE]]-VLOOKUP(Main_M[[#This Row],[Industry]], Mean_ROE_M, 2, FALSE))/(VLOOKUP(Main_M[[#This Row],[Industry]], Mean_ROE_M, 3, FALSE))</f>
        <v>0.46156431250640556</v>
      </c>
      <c r="R22" s="1">
        <f>(Main_M[[#This Row],[ROA]]-VLOOKUP(Main_M[[#This Row],[Industry]], Mean_ROA_M, 2, FALSE))/(VLOOKUP(Main_M[[#This Row],[Industry]], Mean_ROA_M, 3, FALSE))</f>
        <v>1.5580187812187929</v>
      </c>
      <c r="S22" s="1">
        <f>(Main_M[[#This Row],[A/E]]-VLOOKUP(Main_M[[#This Row],[Industry]], Mean_AE_M, 2, FALSE))/(VLOOKUP(Main_M[[#This Row],[Industry]], Mean_AE_M, 3, FALSE))</f>
        <v>0.28590644007437138</v>
      </c>
      <c r="T22" s="1">
        <f>(Main_M[[#This Row],[P/E]]-VLOOKUP(Main_M[[#This Row],[Industry]], Mean_PE_M, 2, FALSE))/(VLOOKUP(Main_M[[#This Row],[Industry]], Mean_PE_M, 3, FALSE))</f>
        <v>-0.72583150554557896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107</v>
      </c>
      <c r="B23" t="s">
        <v>179</v>
      </c>
      <c r="C23" s="2">
        <v>8755</v>
      </c>
      <c r="D23">
        <f>RTD("tos.rtd", , "LAST", Main_M[[#This Row],[Symbol]])</f>
        <v>39.340000000000003</v>
      </c>
      <c r="E23">
        <v>4.58</v>
      </c>
      <c r="F23">
        <v>39.67</v>
      </c>
      <c r="G23">
        <v>4.21</v>
      </c>
      <c r="H23" s="1">
        <f>IF(ISNUMBER(Main_M[[#This Row],[Free CF]]),IF(Main_M[[#This Row],[Free CF]]&lt;&gt;0,Main_M[[#This Row],[Current Price]]/Main_M[[#This Row],[Free CF]],""),"")</f>
        <v>8.5895196506550224</v>
      </c>
      <c r="I23" s="1">
        <f>IF(ISNUMBER(Main_M[[#This Row],[BVPS]]),IF(Main_M[[#This Row],[BVPS]]&lt;&gt;0,Main_M[[#This Row],[Current Price]]/Main_M[[#This Row],[BVPS]],""),"")</f>
        <v>0.991681371313335</v>
      </c>
      <c r="J23">
        <v>10.87</v>
      </c>
      <c r="K23">
        <v>6.56</v>
      </c>
      <c r="L23">
        <v>1.86</v>
      </c>
      <c r="M23" s="1">
        <f>IF(ISNUMBER(Main_M[[#This Row],[EPS]]),IF(Main_M[[#This Row],[EPS]]&lt;&gt;0,Main_M[[#This Row],[Current Price]]/Main_M[[#This Row],[EPS]],""),"")</f>
        <v>9.3444180522565325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0.18703632636166692</v>
      </c>
      <c r="P23" s="1">
        <f>(Main_M[[#This Row],[P/B]]-VLOOKUP(Main_M[[#This Row],[Industry]], Mean_PB_M, 2, FALSE))/(VLOOKUP(Main_M[[#This Row],[Industry]], Mean_PB_M, 3, FALSE))</f>
        <v>-0.64932828129423104</v>
      </c>
      <c r="Q23" s="1">
        <f>(Main_M[[#This Row],[ROE]]-VLOOKUP(Main_M[[#This Row],[Industry]], Mean_ROE_M, 2, FALSE))/(VLOOKUP(Main_M[[#This Row],[Industry]], Mean_ROE_M, 3, FALSE))</f>
        <v>5.4503916519980884E-2</v>
      </c>
      <c r="R23" s="1">
        <f>(Main_M[[#This Row],[ROA]]-VLOOKUP(Main_M[[#This Row],[Industry]], Mean_ROA_M, 2, FALSE))/(VLOOKUP(Main_M[[#This Row],[Industry]], Mean_ROA_M, 3, FALSE))</f>
        <v>0.3185703114359863</v>
      </c>
      <c r="S23" s="1">
        <f>(Main_M[[#This Row],[A/E]]-VLOOKUP(Main_M[[#This Row],[Industry]], Mean_AE_M, 2, FALSE))/(VLOOKUP(Main_M[[#This Row],[Industry]], Mean_AE_M, 3, FALSE))</f>
        <v>-0.4171421830593291</v>
      </c>
      <c r="T23" s="1">
        <f>(Main_M[[#This Row],[P/E]]-VLOOKUP(Main_M[[#This Row],[Industry]], Mean_PE_M, 2, FALSE))/(VLOOKUP(Main_M[[#This Row],[Industry]], Mean_PE_M, 3, FALSE))</f>
        <v>9.5980208290680907E-2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107</v>
      </c>
      <c r="B24" t="s">
        <v>180</v>
      </c>
      <c r="C24" s="2">
        <v>8393</v>
      </c>
      <c r="D24">
        <f>RTD("tos.rtd", , "LAST", Main_M[[#This Row],[Symbol]])</f>
        <v>13.95</v>
      </c>
      <c r="E24">
        <v>0.45</v>
      </c>
      <c r="F24">
        <v>12.99</v>
      </c>
      <c r="G24">
        <v>1.45</v>
      </c>
      <c r="H24" s="1">
        <f>IF(ISNUMBER(Main_M[[#This Row],[Free CF]]),IF(Main_M[[#This Row],[Free CF]]&lt;&gt;0,Main_M[[#This Row],[Current Price]]/Main_M[[#This Row],[Free CF]],""),"")</f>
        <v>30.999999999999996</v>
      </c>
      <c r="I24" s="1">
        <f>IF(ISNUMBER(Main_M[[#This Row],[BVPS]]),IF(Main_M[[#This Row],[BVPS]]&lt;&gt;0,Main_M[[#This Row],[Current Price]]/Main_M[[#This Row],[BVPS]],""),"")</f>
        <v>1.0739030023094687</v>
      </c>
      <c r="J24">
        <v>12.66</v>
      </c>
      <c r="K24">
        <v>7.29</v>
      </c>
      <c r="L24">
        <v>1.85</v>
      </c>
      <c r="M24" s="1">
        <f>IF(ISNUMBER(Main_M[[#This Row],[EPS]]),IF(Main_M[[#This Row],[EPS]]&lt;&gt;0,Main_M[[#This Row],[Current Price]]/Main_M[[#This Row],[EPS]],""),"")</f>
        <v>9.6206896551724128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1.7242423290259377</v>
      </c>
      <c r="P24" s="1">
        <f>(Main_M[[#This Row],[P/B]]-VLOOKUP(Main_M[[#This Row],[Industry]], Mean_PB_M, 2, FALSE))/(VLOOKUP(Main_M[[#This Row],[Industry]], Mean_PB_M, 3, FALSE))</f>
        <v>-0.57732105909175369</v>
      </c>
      <c r="Q24" s="1">
        <f>(Main_M[[#This Row],[ROE]]-VLOOKUP(Main_M[[#This Row],[Industry]], Mean_ROE_M, 2, FALSE))/(VLOOKUP(Main_M[[#This Row],[Industry]], Mean_ROE_M, 3, FALSE))</f>
        <v>9.3804785388141632E-2</v>
      </c>
      <c r="R24" s="1">
        <f>(Main_M[[#This Row],[ROA]]-VLOOKUP(Main_M[[#This Row],[Industry]], Mean_ROA_M, 2, FALSE))/(VLOOKUP(Main_M[[#This Row],[Industry]], Mean_ROA_M, 3, FALSE))</f>
        <v>0.47456986021899483</v>
      </c>
      <c r="S24" s="1">
        <f>(Main_M[[#This Row],[A/E]]-VLOOKUP(Main_M[[#This Row],[Industry]], Mean_AE_M, 2, FALSE))/(VLOOKUP(Main_M[[#This Row],[Industry]], Mean_AE_M, 3, FALSE))</f>
        <v>-0.43120315552200311</v>
      </c>
      <c r="T24" s="1">
        <f>(Main_M[[#This Row],[P/E]]-VLOOKUP(Main_M[[#This Row],[Industry]], Mean_PE_M, 2, FALSE))/(VLOOKUP(Main_M[[#This Row],[Industry]], Mean_PE_M, 3, FALSE))</f>
        <v>0.14388527162055983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107</v>
      </c>
      <c r="B25" t="s">
        <v>181</v>
      </c>
      <c r="C25" s="2">
        <v>8503</v>
      </c>
      <c r="D25">
        <f>RTD("tos.rtd", , "LAST", Main_M[[#This Row],[Symbol]])</f>
        <v>40.619999999999997</v>
      </c>
      <c r="E25">
        <v>1.29</v>
      </c>
      <c r="F25">
        <v>16.420000000000002</v>
      </c>
      <c r="G25">
        <v>1.1100000000000001</v>
      </c>
      <c r="H25" s="1">
        <f>IF(ISNUMBER(Main_M[[#This Row],[Free CF]]),IF(Main_M[[#This Row],[Free CF]]&lt;&gt;0,Main_M[[#This Row],[Current Price]]/Main_M[[#This Row],[Free CF]],""),"")</f>
        <v>31.488372093023251</v>
      </c>
      <c r="I25" s="1">
        <f>IF(ISNUMBER(Main_M[[#This Row],[BVPS]]),IF(Main_M[[#This Row],[BVPS]]&lt;&gt;0,Main_M[[#This Row],[Current Price]]/Main_M[[#This Row],[BVPS]],""),"")</f>
        <v>2.473812423873325</v>
      </c>
      <c r="J25">
        <v>6.99</v>
      </c>
      <c r="K25">
        <v>3.44</v>
      </c>
      <c r="L25">
        <v>1.87</v>
      </c>
      <c r="M25" s="1">
        <f>IF(ISNUMBER(Main_M[[#This Row],[EPS]]),IF(Main_M[[#This Row],[EPS]]&lt;&gt;0,Main_M[[#This Row],[Current Price]]/Main_M[[#This Row],[EPS]],""),"")</f>
        <v>36.594594594594589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1.757741321516342</v>
      </c>
      <c r="P25" s="1">
        <f>(Main_M[[#This Row],[P/B]]-VLOOKUP(Main_M[[#This Row],[Industry]], Mean_PB_M, 2, FALSE))/(VLOOKUP(Main_M[[#This Row],[Industry]], Mean_PB_M, 3, FALSE))</f>
        <v>0.64867734985041703</v>
      </c>
      <c r="Q25" s="1">
        <f>(Main_M[[#This Row],[ROE]]-VLOOKUP(Main_M[[#This Row],[Industry]], Mean_ROE_M, 2, FALSE))/(VLOOKUP(Main_M[[#This Row],[Industry]], Mean_ROE_M, 3, FALSE))</f>
        <v>-3.0684559015473654E-2</v>
      </c>
      <c r="R25" s="1">
        <f>(Main_M[[#This Row],[ROA]]-VLOOKUP(Main_M[[#This Row],[Industry]], Mean_ROA_M, 2, FALSE))/(VLOOKUP(Main_M[[#This Row],[Industry]], Mean_ROA_M, 3, FALSE))</f>
        <v>-0.34816748610235104</v>
      </c>
      <c r="S25" s="1">
        <f>(Main_M[[#This Row],[A/E]]-VLOOKUP(Main_M[[#This Row],[Industry]], Mean_AE_M, 2, FALSE))/(VLOOKUP(Main_M[[#This Row],[Industry]], Mean_AE_M, 3, FALSE))</f>
        <v>-0.40308121059665508</v>
      </c>
      <c r="T25" s="1">
        <f>(Main_M[[#This Row],[P/E]]-VLOOKUP(Main_M[[#This Row],[Industry]], Mean_PE_M, 2, FALSE))/(VLOOKUP(Main_M[[#This Row],[Industry]], Mean_PE_M, 3, FALSE))</f>
        <v>4.8211181494802542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6" spans="1:26" x14ac:dyDescent="0.25">
      <c r="A26" t="s">
        <v>107</v>
      </c>
      <c r="B26" t="s">
        <v>182</v>
      </c>
      <c r="C26" s="2">
        <v>2416</v>
      </c>
      <c r="D26">
        <f>RTD("tos.rtd", , "LAST", Main_M[[#This Row],[Symbol]])</f>
        <v>25.63</v>
      </c>
      <c r="E26">
        <v>-13.29</v>
      </c>
      <c r="F26">
        <v>38.47</v>
      </c>
      <c r="G26">
        <v>7.14</v>
      </c>
      <c r="H26" s="1">
        <f>IF(ISNUMBER(Main_M[[#This Row],[Free CF]]),IF(Main_M[[#This Row],[Free CF]]&lt;&gt;0,Main_M[[#This Row],[Current Price]]/Main_M[[#This Row],[Free CF]],""),"")</f>
        <v>-1.928517682468021</v>
      </c>
      <c r="I26" s="1">
        <f>IF(ISNUMBER(Main_M[[#This Row],[BVPS]]),IF(Main_M[[#This Row],[BVPS]]&lt;&gt;0,Main_M[[#This Row],[Current Price]]/Main_M[[#This Row],[BVPS]],""),"")</f>
        <v>0.6662334286456979</v>
      </c>
      <c r="J26">
        <v>20.28</v>
      </c>
      <c r="K26">
        <v>9.66</v>
      </c>
      <c r="L26">
        <v>2</v>
      </c>
      <c r="M26" s="1">
        <f>IF(ISNUMBER(Main_M[[#This Row],[EPS]]),IF(Main_M[[#This Row],[EPS]]&lt;&gt;0,Main_M[[#This Row],[Current Price]]/Main_M[[#This Row],[EPS]],""),"")</f>
        <v>3.5896358543417368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-0.53442925013126263</v>
      </c>
      <c r="P26" s="1">
        <f>(Main_M[[#This Row],[P/B]]-VLOOKUP(Main_M[[#This Row],[Industry]], Mean_PB_M, 2, FALSE))/(VLOOKUP(Main_M[[#This Row],[Industry]], Mean_PB_M, 3, FALSE))</f>
        <v>-0.93434576439560157</v>
      </c>
      <c r="Q26" s="1">
        <f>(Main_M[[#This Row],[ROE]]-VLOOKUP(Main_M[[#This Row],[Industry]], Mean_ROE_M, 2, FALSE))/(VLOOKUP(Main_M[[#This Row],[Industry]], Mean_ROE_M, 3, FALSE))</f>
        <v>0.26110792548612199</v>
      </c>
      <c r="R26" s="1">
        <f>(Main_M[[#This Row],[ROA]]-VLOOKUP(Main_M[[#This Row],[Industry]], Mean_ROA_M, 2, FALSE))/(VLOOKUP(Main_M[[#This Row],[Industry]], Mean_ROA_M, 3, FALSE))</f>
        <v>0.98103414873369343</v>
      </c>
      <c r="S26" s="1">
        <f>(Main_M[[#This Row],[A/E]]-VLOOKUP(Main_M[[#This Row],[Industry]], Mean_AE_M, 2, FALSE))/(VLOOKUP(Main_M[[#This Row],[Industry]], Mean_AE_M, 3, FALSE))</f>
        <v>-0.220288568581893</v>
      </c>
      <c r="T26" s="1">
        <f>(Main_M[[#This Row],[P/E]]-VLOOKUP(Main_M[[#This Row],[Industry]], Mean_PE_M, 2, FALSE))/(VLOOKUP(Main_M[[#This Row],[Industry]], Mean_PE_M, 3, FALSE))</f>
        <v>-0.90189001337198038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107</v>
      </c>
      <c r="B27" t="s">
        <v>183</v>
      </c>
      <c r="C27" s="2">
        <v>2660</v>
      </c>
      <c r="D27">
        <f>RTD("tos.rtd", , "LAST", Main_M[[#This Row],[Symbol]])</f>
        <v>18.0457</v>
      </c>
      <c r="E27">
        <v>-0.77</v>
      </c>
      <c r="F27">
        <v>5.97</v>
      </c>
      <c r="G27">
        <v>0.22</v>
      </c>
      <c r="H27" s="1">
        <f>IF(ISNUMBER(Main_M[[#This Row],[Free CF]]),IF(Main_M[[#This Row],[Free CF]]&lt;&gt;0,Main_M[[#This Row],[Current Price]]/Main_M[[#This Row],[Free CF]],""),"")</f>
        <v>-23.435974025974026</v>
      </c>
      <c r="I27" s="1">
        <f>IF(ISNUMBER(Main_M[[#This Row],[BVPS]]),IF(Main_M[[#This Row],[BVPS]]&lt;&gt;0,Main_M[[#This Row],[Current Price]]/Main_M[[#This Row],[BVPS]],""),"")</f>
        <v>3.0227303182579566</v>
      </c>
      <c r="J27">
        <v>3.62</v>
      </c>
      <c r="K27">
        <v>3.41</v>
      </c>
      <c r="L27">
        <v>1.44</v>
      </c>
      <c r="M27" s="1">
        <f>IF(ISNUMBER(Main_M[[#This Row],[EPS]]),IF(Main_M[[#This Row],[EPS]]&lt;&gt;0,Main_M[[#This Row],[Current Price]]/Main_M[[#This Row],[EPS]],""),"")</f>
        <v>82.025909090909096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-2.0096939690440596</v>
      </c>
      <c r="P27" s="1">
        <f>(Main_M[[#This Row],[P/B]]-VLOOKUP(Main_M[[#This Row],[Industry]], Mean_PB_M, 2, FALSE))/(VLOOKUP(Main_M[[#This Row],[Industry]], Mean_PB_M, 3, FALSE))</f>
        <v>1.1294030702357107</v>
      </c>
      <c r="Q27" s="1">
        <f>(Main_M[[#This Row],[ROE]]-VLOOKUP(Main_M[[#This Row],[Industry]], Mean_ROE_M, 2, FALSE))/(VLOOKUP(Main_M[[#This Row],[Industry]], Mean_ROE_M, 3, FALSE))</f>
        <v>-0.10467558029240197</v>
      </c>
      <c r="R27" s="1">
        <f>(Main_M[[#This Row],[ROA]]-VLOOKUP(Main_M[[#This Row],[Industry]], Mean_ROA_M, 2, FALSE))/(VLOOKUP(Main_M[[#This Row],[Industry]], Mean_ROA_M, 3, FALSE))</f>
        <v>-0.35457842646329657</v>
      </c>
      <c r="S27" s="1">
        <f>(Main_M[[#This Row],[A/E]]-VLOOKUP(Main_M[[#This Row],[Industry]], Mean_AE_M, 2, FALSE))/(VLOOKUP(Main_M[[#This Row],[Industry]], Mean_AE_M, 3, FALSE))</f>
        <v>-1.007703026491638</v>
      </c>
      <c r="T27" s="1">
        <f>(Main_M[[#This Row],[P/E]]-VLOOKUP(Main_M[[#This Row],[Industry]], Mean_PE_M, 2, FALSE))/(VLOOKUP(Main_M[[#This Row],[Industry]], Mean_PE_M, 3, FALSE))</f>
        <v>12.698836941911718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8" spans="1:26" x14ac:dyDescent="0.25">
      <c r="A28" t="s">
        <v>107</v>
      </c>
      <c r="B28" t="s">
        <v>184</v>
      </c>
      <c r="C28" s="2">
        <v>4722</v>
      </c>
      <c r="D28">
        <f>RTD("tos.rtd", , "LAST", Main_M[[#This Row],[Symbol]])</f>
        <v>51.27</v>
      </c>
      <c r="E28">
        <v>-2.41</v>
      </c>
      <c r="F28">
        <v>16.73</v>
      </c>
      <c r="G28">
        <v>4.66</v>
      </c>
      <c r="H28" s="1">
        <f>IF(ISNUMBER(Main_M[[#This Row],[Free CF]]),IF(Main_M[[#This Row],[Free CF]]&lt;&gt;0,Main_M[[#This Row],[Current Price]]/Main_M[[#This Row],[Free CF]],""),"")</f>
        <v>-21.273858921161825</v>
      </c>
      <c r="I28" s="1">
        <f>IF(ISNUMBER(Main_M[[#This Row],[BVPS]]),IF(Main_M[[#This Row],[BVPS]]&lt;&gt;0,Main_M[[#This Row],[Current Price]]/Main_M[[#This Row],[BVPS]],""),"")</f>
        <v>3.0645546921697551</v>
      </c>
      <c r="J28">
        <v>32.69</v>
      </c>
      <c r="K28">
        <v>10.95</v>
      </c>
      <c r="L28">
        <v>2.73</v>
      </c>
      <c r="M28" s="1">
        <f>IF(ISNUMBER(Main_M[[#This Row],[EPS]]),IF(Main_M[[#This Row],[EPS]]&lt;&gt;0,Main_M[[#This Row],[Current Price]]/Main_M[[#This Row],[EPS]],""),"")</f>
        <v>11.002145922746781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-1.8613876290746201</v>
      </c>
      <c r="P28" s="1">
        <f>(Main_M[[#This Row],[P/B]]-VLOOKUP(Main_M[[#This Row],[Industry]], Mean_PB_M, 2, FALSE))/(VLOOKUP(Main_M[[#This Row],[Industry]], Mean_PB_M, 3, FALSE))</f>
        <v>1.166031594253776</v>
      </c>
      <c r="Q28" s="1">
        <f>(Main_M[[#This Row],[ROE]]-VLOOKUP(Main_M[[#This Row],[Industry]], Mean_ROE_M, 2, FALSE))/(VLOOKUP(Main_M[[#This Row],[Industry]], Mean_ROE_M, 3, FALSE))</f>
        <v>0.5335793124435938</v>
      </c>
      <c r="R28" s="1">
        <f>(Main_M[[#This Row],[ROA]]-VLOOKUP(Main_M[[#This Row],[Industry]], Mean_ROA_M, 2, FALSE))/(VLOOKUP(Main_M[[#This Row],[Industry]], Mean_ROA_M, 3, FALSE))</f>
        <v>1.2567045842543521</v>
      </c>
      <c r="S28" s="1">
        <f>(Main_M[[#This Row],[A/E]]-VLOOKUP(Main_M[[#This Row],[Industry]], Mean_AE_M, 2, FALSE))/(VLOOKUP(Main_M[[#This Row],[Industry]], Mean_AE_M, 3, FALSE))</f>
        <v>0.80616242119331016</v>
      </c>
      <c r="T28" s="1">
        <f>(Main_M[[#This Row],[P/E]]-VLOOKUP(Main_M[[#This Row],[Industry]], Mean_PE_M, 2, FALSE))/(VLOOKUP(Main_M[[#This Row],[Industry]], Mean_PE_M, 3, FALSE))</f>
        <v>0.38342762518542661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107</v>
      </c>
      <c r="B29" t="s">
        <v>185</v>
      </c>
      <c r="C29" s="2">
        <v>5140</v>
      </c>
      <c r="D29">
        <f>RTD("tos.rtd", , "LAST", Main_M[[#This Row],[Symbol]])</f>
        <v>43.18</v>
      </c>
      <c r="E29">
        <v>-4.45</v>
      </c>
      <c r="F29">
        <v>20.36</v>
      </c>
      <c r="G29">
        <v>3.82</v>
      </c>
      <c r="H29" s="1">
        <f>IF(ISNUMBER(Main_M[[#This Row],[Free CF]]),IF(Main_M[[#This Row],[Free CF]]&lt;&gt;0,Main_M[[#This Row],[Current Price]]/Main_M[[#This Row],[Free CF]],""),"")</f>
        <v>-9.703370786516853</v>
      </c>
      <c r="I29" s="1">
        <f>IF(ISNUMBER(Main_M[[#This Row],[BVPS]]),IF(Main_M[[#This Row],[BVPS]]&lt;&gt;0,Main_M[[#This Row],[Current Price]]/Main_M[[#This Row],[BVPS]],""),"")</f>
        <v>2.1208251473477406</v>
      </c>
      <c r="J29">
        <v>16.059999999999999</v>
      </c>
      <c r="K29">
        <v>7.72</v>
      </c>
      <c r="L29">
        <v>2.33</v>
      </c>
      <c r="M29" s="1">
        <f>IF(ISNUMBER(Main_M[[#This Row],[EPS]]),IF(Main_M[[#This Row],[EPS]]&lt;&gt;0,Main_M[[#This Row],[Current Price]]/Main_M[[#This Row],[EPS]],""),"")</f>
        <v>11.30366492146597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-1.0677311104693936</v>
      </c>
      <c r="P29" s="1">
        <f>(Main_M[[#This Row],[P/B]]-VLOOKUP(Main_M[[#This Row],[Industry]], Mean_PB_M, 2, FALSE))/(VLOOKUP(Main_M[[#This Row],[Industry]], Mean_PB_M, 3, FALSE))</f>
        <v>0.33954174955296862</v>
      </c>
      <c r="Q29" s="1">
        <f>(Main_M[[#This Row],[ROE]]-VLOOKUP(Main_M[[#This Row],[Industry]], Mean_ROE_M, 2, FALSE))/(VLOOKUP(Main_M[[#This Row],[Industry]], Mean_ROE_M, 3, FALSE))</f>
        <v>0.16845448044498323</v>
      </c>
      <c r="R29" s="1">
        <f>(Main_M[[#This Row],[ROA]]-VLOOKUP(Main_M[[#This Row],[Industry]], Mean_ROA_M, 2, FALSE))/(VLOOKUP(Main_M[[#This Row],[Industry]], Mean_ROA_M, 3, FALSE))</f>
        <v>0.56646000539254771</v>
      </c>
      <c r="S29" s="1">
        <f>(Main_M[[#This Row],[A/E]]-VLOOKUP(Main_M[[#This Row],[Industry]], Mean_AE_M, 2, FALSE))/(VLOOKUP(Main_M[[#This Row],[Industry]], Mean_AE_M, 3, FALSE))</f>
        <v>0.24372352268634961</v>
      </c>
      <c r="T29" s="1">
        <f>(Main_M[[#This Row],[P/E]]-VLOOKUP(Main_M[[#This Row],[Industry]], Mean_PE_M, 2, FALSE))/(VLOOKUP(Main_M[[#This Row],[Industry]], Mean_PE_M, 3, FALSE))</f>
        <v>0.43571054741251652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107</v>
      </c>
      <c r="B30" t="s">
        <v>186</v>
      </c>
      <c r="C30" s="2">
        <v>3558</v>
      </c>
      <c r="D30">
        <f>RTD("tos.rtd", , "LAST", Main_M[[#This Row],[Symbol]])</f>
        <v>6.01</v>
      </c>
      <c r="E30">
        <v>0.59</v>
      </c>
      <c r="F30">
        <v>7.69</v>
      </c>
      <c r="G30">
        <v>0.32</v>
      </c>
      <c r="H30" s="1">
        <f>IF(ISNUMBER(Main_M[[#This Row],[Free CF]]),IF(Main_M[[#This Row],[Free CF]]&lt;&gt;0,Main_M[[#This Row],[Current Price]]/Main_M[[#This Row],[Free CF]],""),"")</f>
        <v>10.186440677966102</v>
      </c>
      <c r="I30" s="1">
        <f>IF(ISNUMBER(Main_M[[#This Row],[BVPS]]),IF(Main_M[[#This Row],[BVPS]]&lt;&gt;0,Main_M[[#This Row],[Current Price]]/Main_M[[#This Row],[BVPS]],""),"")</f>
        <v>0.78153446033810137</v>
      </c>
      <c r="J30">
        <v>4.17</v>
      </c>
      <c r="K30">
        <v>3.07</v>
      </c>
      <c r="L30">
        <v>1.74</v>
      </c>
      <c r="M30" s="1">
        <f>IF(ISNUMBER(Main_M[[#This Row],[EPS]]),IF(Main_M[[#This Row],[EPS]]&lt;&gt;0,Main_M[[#This Row],[Current Price]]/Main_M[[#This Row],[EPS]],""),"")</f>
        <v>18.78125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0.29657421000792872</v>
      </c>
      <c r="P30" s="1">
        <f>(Main_M[[#This Row],[P/B]]-VLOOKUP(Main_M[[#This Row],[Industry]], Mean_PB_M, 2, FALSE))/(VLOOKUP(Main_M[[#This Row],[Industry]], Mean_PB_M, 3, FALSE))</f>
        <v>-0.83336860171148763</v>
      </c>
      <c r="Q30" s="1">
        <f>(Main_M[[#This Row],[ROE]]-VLOOKUP(Main_M[[#This Row],[Industry]], Mean_ROE_M, 2, FALSE))/(VLOOKUP(Main_M[[#This Row],[Industry]], Mean_ROE_M, 3, FALSE))</f>
        <v>-9.2599894327324656E-2</v>
      </c>
      <c r="R30" s="1">
        <f>(Main_M[[#This Row],[ROA]]-VLOOKUP(Main_M[[#This Row],[Industry]], Mean_ROA_M, 2, FALSE))/(VLOOKUP(Main_M[[#This Row],[Industry]], Mean_ROA_M, 3, FALSE))</f>
        <v>-0.42723575055401286</v>
      </c>
      <c r="S30" s="1">
        <f>(Main_M[[#This Row],[A/E]]-VLOOKUP(Main_M[[#This Row],[Industry]], Mean_AE_M, 2, FALSE))/(VLOOKUP(Main_M[[#This Row],[Industry]], Mean_AE_M, 3, FALSE))</f>
        <v>-0.58587385261141744</v>
      </c>
      <c r="T30" s="1">
        <f>(Main_M[[#This Row],[P/E]]-VLOOKUP(Main_M[[#This Row],[Industry]], Mean_PE_M, 2, FALSE))/(VLOOKUP(Main_M[[#This Row],[Industry]], Mean_PE_M, 3, FALSE))</f>
        <v>1.7323120908248528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107</v>
      </c>
      <c r="B31" t="s">
        <v>187</v>
      </c>
      <c r="C31" s="2">
        <v>2449</v>
      </c>
      <c r="D31">
        <f>RTD("tos.rtd", , "LAST", Main_M[[#This Row],[Symbol]])</f>
        <v>5.71</v>
      </c>
      <c r="E31">
        <v>0.46</v>
      </c>
      <c r="F31">
        <v>0.95</v>
      </c>
      <c r="G31">
        <v>-0.84</v>
      </c>
      <c r="H31" s="1">
        <f>IF(ISNUMBER(Main_M[[#This Row],[Free CF]]),IF(Main_M[[#This Row],[Free CF]]&lt;&gt;0,Main_M[[#This Row],[Current Price]]/Main_M[[#This Row],[Free CF]],""),"")</f>
        <v>12.413043478260869</v>
      </c>
      <c r="I31" s="1">
        <f>IF(ISNUMBER(Main_M[[#This Row],[BVPS]]),IF(Main_M[[#This Row],[BVPS]]&lt;&gt;0,Main_M[[#This Row],[Current Price]]/Main_M[[#This Row],[BVPS]],""),"")</f>
        <v>6.0105263157894742</v>
      </c>
      <c r="J31">
        <v>-18.670000000000002</v>
      </c>
      <c r="K31">
        <v>4.43</v>
      </c>
      <c r="L31">
        <v>12.96</v>
      </c>
      <c r="M31" s="1">
        <f>IF(ISNUMBER(Main_M[[#This Row],[EPS]]),IF(Main_M[[#This Row],[EPS]]&lt;&gt;0,Main_M[[#This Row],[Current Price]]/Main_M[[#This Row],[EPS]],""),"")</f>
        <v>-6.7976190476190474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0.44930396576536086</v>
      </c>
      <c r="P31" s="1">
        <f>(Main_M[[#This Row],[P/B]]-VLOOKUP(Main_M[[#This Row],[Industry]], Mean_PB_M, 2, FALSE))/(VLOOKUP(Main_M[[#This Row],[Industry]], Mean_PB_M, 3, FALSE))</f>
        <v>3.7460246050243016</v>
      </c>
      <c r="Q31" s="1">
        <f>(Main_M[[#This Row],[ROE]]-VLOOKUP(Main_M[[#This Row],[Industry]], Mean_ROE_M, 2, FALSE))/(VLOOKUP(Main_M[[#This Row],[Industry]], Mean_ROE_M, 3, FALSE))</f>
        <v>-0.59407019876799017</v>
      </c>
      <c r="R31" s="1">
        <f>(Main_M[[#This Row],[ROA]]-VLOOKUP(Main_M[[#This Row],[Industry]], Mean_ROA_M, 2, FALSE))/(VLOOKUP(Main_M[[#This Row],[Industry]], Mean_ROA_M, 3, FALSE))</f>
        <v>-0.13660645419114786</v>
      </c>
      <c r="S31" s="1">
        <f>(Main_M[[#This Row],[A/E]]-VLOOKUP(Main_M[[#This Row],[Industry]], Mean_AE_M, 2, FALSE))/(VLOOKUP(Main_M[[#This Row],[Industry]], Mean_AE_M, 3, FALSE))</f>
        <v>15.190537250508831</v>
      </c>
      <c r="T31" s="1">
        <f>(Main_M[[#This Row],[P/E]]-VLOOKUP(Main_M[[#This Row],[Industry]], Mean_PE_M, 2, FALSE))/(VLOOKUP(Main_M[[#This Row],[Industry]], Mean_PE_M, 3, FALSE))</f>
        <v>-2.7030237478931416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107</v>
      </c>
      <c r="B32" t="s">
        <v>188</v>
      </c>
      <c r="C32" s="2">
        <v>2067</v>
      </c>
      <c r="D32">
        <f>RTD("tos.rtd", , "LAST", Main_M[[#This Row],[Symbol]])</f>
        <v>22.99</v>
      </c>
      <c r="E32">
        <v>-2.34</v>
      </c>
      <c r="F32">
        <v>5.77</v>
      </c>
      <c r="G32">
        <v>-1.97</v>
      </c>
      <c r="H32" s="1">
        <f>IF(ISNUMBER(Main_M[[#This Row],[Free CF]]),IF(Main_M[[#This Row],[Free CF]]&lt;&gt;0,Main_M[[#This Row],[Current Price]]/Main_M[[#This Row],[Free CF]],""),"")</f>
        <v>-9.8247863247863254</v>
      </c>
      <c r="I32" s="1">
        <f>IF(ISNUMBER(Main_M[[#This Row],[BVPS]]),IF(Main_M[[#This Row],[BVPS]]&lt;&gt;0,Main_M[[#This Row],[Current Price]]/Main_M[[#This Row],[BVPS]],""),"")</f>
        <v>3.9844020797227038</v>
      </c>
      <c r="J32">
        <v>-16.32</v>
      </c>
      <c r="K32">
        <v>-2.94</v>
      </c>
      <c r="L32">
        <v>7.33</v>
      </c>
      <c r="M32" s="1">
        <f>IF(ISNUMBER(Main_M[[#This Row],[EPS]]),IF(Main_M[[#This Row],[EPS]]&lt;&gt;0,Main_M[[#This Row],[Current Price]]/Main_M[[#This Row],[EPS]],""),"")</f>
        <v>-11.670050761421319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-1.0760593877456994</v>
      </c>
      <c r="P32" s="1">
        <f>(Main_M[[#This Row],[P/B]]-VLOOKUP(Main_M[[#This Row],[Industry]], Mean_PB_M, 2, FALSE))/(VLOOKUP(Main_M[[#This Row],[Industry]], Mean_PB_M, 3, FALSE))</f>
        <v>1.971606166606982</v>
      </c>
      <c r="Q32" s="1">
        <f>(Main_M[[#This Row],[ROE]]-VLOOKUP(Main_M[[#This Row],[Industry]], Mean_ROE_M, 2, FALSE))/(VLOOKUP(Main_M[[#This Row],[Industry]], Mean_ROE_M, 3, FALSE))</f>
        <v>-0.54247408600811431</v>
      </c>
      <c r="R32" s="1">
        <f>(Main_M[[#This Row],[ROA]]-VLOOKUP(Main_M[[#This Row],[Industry]], Mean_ROA_M, 2, FALSE))/(VLOOKUP(Main_M[[#This Row],[Industry]], Mean_ROA_M, 3, FALSE))</f>
        <v>-1.7115608028634384</v>
      </c>
      <c r="S32" s="1">
        <f>(Main_M[[#This Row],[A/E]]-VLOOKUP(Main_M[[#This Row],[Industry]], Mean_AE_M, 2, FALSE))/(VLOOKUP(Main_M[[#This Row],[Industry]], Mean_AE_M, 3, FALSE))</f>
        <v>7.2742097540233583</v>
      </c>
      <c r="T32" s="1">
        <f>(Main_M[[#This Row],[P/E]]-VLOOKUP(Main_M[[#This Row],[Industry]], Mean_PE_M, 2, FALSE))/(VLOOKUP(Main_M[[#This Row],[Industry]], Mean_PE_M, 3, FALSE))</f>
        <v>-3.5478957772898023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3" spans="1:26" x14ac:dyDescent="0.25">
      <c r="A33" t="s">
        <v>107</v>
      </c>
      <c r="B33" t="s">
        <v>189</v>
      </c>
      <c r="C33" s="2">
        <v>6169</v>
      </c>
      <c r="D33">
        <f>RTD("tos.rtd", , "LAST", Main_M[[#This Row],[Symbol]])</f>
        <v>36.71</v>
      </c>
      <c r="E33">
        <v>1.25</v>
      </c>
      <c r="F33">
        <v>48.76</v>
      </c>
      <c r="G33">
        <v>-0.75</v>
      </c>
      <c r="H33" s="1">
        <f>IF(ISNUMBER(Main_M[[#This Row],[Free CF]]),IF(Main_M[[#This Row],[Free CF]]&lt;&gt;0,Main_M[[#This Row],[Current Price]]/Main_M[[#This Row],[Free CF]],""),"")</f>
        <v>29.368000000000002</v>
      </c>
      <c r="I33" s="1">
        <f>IF(ISNUMBER(Main_M[[#This Row],[BVPS]]),IF(Main_M[[#This Row],[BVPS]]&lt;&gt;0,Main_M[[#This Row],[Current Price]]/Main_M[[#This Row],[BVPS]],""),"")</f>
        <v>0.75287120590648082</v>
      </c>
      <c r="J33">
        <v>-1.38</v>
      </c>
      <c r="K33">
        <v>-0.18</v>
      </c>
      <c r="L33">
        <v>1.8</v>
      </c>
      <c r="M33" s="1">
        <f>IF(ISNUMBER(Main_M[[#This Row],[EPS]]),IF(Main_M[[#This Row],[EPS]]&lt;&gt;0,Main_M[[#This Row],[Current Price]]/Main_M[[#This Row],[EPS]],""),"")</f>
        <v>-48.946666666666665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1.6122982672637181</v>
      </c>
      <c r="P33" s="1">
        <f>(Main_M[[#This Row],[P/B]]-VLOOKUP(Main_M[[#This Row],[Industry]], Mean_PB_M, 2, FALSE))/(VLOOKUP(Main_M[[#This Row],[Industry]], Mean_PB_M, 3, FALSE))</f>
        <v>-0.85847101461547026</v>
      </c>
      <c r="Q33" s="1">
        <f>(Main_M[[#This Row],[ROE]]-VLOOKUP(Main_M[[#This Row],[Industry]], Mean_ROE_M, 2, FALSE))/(VLOOKUP(Main_M[[#This Row],[Industry]], Mean_ROE_M, 3, FALSE))</f>
        <v>-0.21445454361128674</v>
      </c>
      <c r="R33" s="1">
        <f>(Main_M[[#This Row],[ROA]]-VLOOKUP(Main_M[[#This Row],[Industry]], Mean_ROA_M, 2, FALSE))/(VLOOKUP(Main_M[[#This Row],[Industry]], Mean_ROA_M, 3, FALSE))</f>
        <v>-1.1217542896564476</v>
      </c>
      <c r="S33" s="1">
        <f>(Main_M[[#This Row],[A/E]]-VLOOKUP(Main_M[[#This Row],[Industry]], Mean_AE_M, 2, FALSE))/(VLOOKUP(Main_M[[#This Row],[Industry]], Mean_AE_M, 3, FALSE))</f>
        <v>-0.50150801783537324</v>
      </c>
      <c r="T33" s="1">
        <f>(Main_M[[#This Row],[P/E]]-VLOOKUP(Main_M[[#This Row],[Industry]], Mean_PE_M, 2, FALSE))/(VLOOKUP(Main_M[[#This Row],[Industry]], Mean_PE_M, 3, FALSE))</f>
        <v>-10.011602603532367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4" spans="1:26" x14ac:dyDescent="0.25">
      <c r="A34" t="s">
        <v>107</v>
      </c>
      <c r="B34" t="s">
        <v>190</v>
      </c>
      <c r="C34" s="2">
        <v>2124</v>
      </c>
      <c r="D34">
        <f>RTD("tos.rtd", , "LAST", Main_M[[#This Row],[Symbol]])</f>
        <v>22.9</v>
      </c>
      <c r="E34">
        <v>-8.68</v>
      </c>
      <c r="F34">
        <v>44.22</v>
      </c>
      <c r="G34">
        <v>-9.16</v>
      </c>
      <c r="H34" s="1">
        <f>IF(ISNUMBER(Main_M[[#This Row],[Free CF]]),IF(Main_M[[#This Row],[Free CF]]&lt;&gt;0,Main_M[[#This Row],[Current Price]]/Main_M[[#This Row],[Free CF]],""),"")</f>
        <v>-2.6382488479262673</v>
      </c>
      <c r="I34" s="1">
        <f>IF(ISNUMBER(Main_M[[#This Row],[BVPS]]),IF(Main_M[[#This Row],[BVPS]]&lt;&gt;0,Main_M[[#This Row],[Current Price]]/Main_M[[#This Row],[BVPS]],""),"")</f>
        <v>0.51786521935775665</v>
      </c>
      <c r="J34">
        <v>-17.79</v>
      </c>
      <c r="K34">
        <v>-5.43</v>
      </c>
      <c r="L34">
        <v>2.5499999999999998</v>
      </c>
      <c r="M34" s="1">
        <f>IF(ISNUMBER(Main_M[[#This Row],[EPS]]),IF(Main_M[[#This Row],[EPS]]&lt;&gt;0,Main_M[[#This Row],[Current Price]]/Main_M[[#This Row],[EPS]],""),"")</f>
        <v>-2.5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-0.58311196423704093</v>
      </c>
      <c r="P34" s="1">
        <f>(Main_M[[#This Row],[P/B]]-VLOOKUP(Main_M[[#This Row],[Industry]], Mean_PB_M, 2, FALSE))/(VLOOKUP(Main_M[[#This Row],[Industry]], Mean_PB_M, 3, FALSE))</f>
        <v>-1.0642821629387396</v>
      </c>
      <c r="Q34" s="1">
        <f>(Main_M[[#This Row],[ROE]]-VLOOKUP(Main_M[[#This Row],[Industry]], Mean_ROE_M, 2, FALSE))/(VLOOKUP(Main_M[[#This Row],[Industry]], Mean_ROE_M, 3, FALSE))</f>
        <v>-0.57474910122386647</v>
      </c>
      <c r="R34" s="1">
        <f>(Main_M[[#This Row],[ROA]]-VLOOKUP(Main_M[[#This Row],[Industry]], Mean_ROA_M, 2, FALSE))/(VLOOKUP(Main_M[[#This Row],[Industry]], Mean_ROA_M, 3, FALSE))</f>
        <v>-2.2436688528219193</v>
      </c>
      <c r="S34" s="1">
        <f>(Main_M[[#This Row],[A/E]]-VLOOKUP(Main_M[[#This Row],[Industry]], Mean_AE_M, 2, FALSE))/(VLOOKUP(Main_M[[#This Row],[Industry]], Mean_AE_M, 3, FALSE))</f>
        <v>0.55306491686517756</v>
      </c>
      <c r="T34" s="1">
        <f>(Main_M[[#This Row],[P/E]]-VLOOKUP(Main_M[[#This Row],[Industry]], Mean_PE_M, 2, FALSE))/(VLOOKUP(Main_M[[#This Row],[Industry]], Mean_PE_M, 3, FALSE))</f>
        <v>-1.9578233347092699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107</v>
      </c>
      <c r="B35" t="s">
        <v>191</v>
      </c>
      <c r="C35" s="2">
        <v>7564</v>
      </c>
      <c r="D35">
        <f>RTD("tos.rtd", , "LAST", Main_M[[#This Row],[Symbol]])</f>
        <v>57.46</v>
      </c>
      <c r="E35">
        <v>1.73</v>
      </c>
      <c r="F35">
        <v>29.86</v>
      </c>
      <c r="G35">
        <v>6</v>
      </c>
      <c r="H35" s="1">
        <f>IF(ISNUMBER(Main_M[[#This Row],[Free CF]]),IF(Main_M[[#This Row],[Free CF]]&lt;&gt;0,Main_M[[#This Row],[Current Price]]/Main_M[[#This Row],[Free CF]],""),"")</f>
        <v>33.213872832369944</v>
      </c>
      <c r="I35" s="1">
        <f>IF(ISNUMBER(Main_M[[#This Row],[BVPS]]),IF(Main_M[[#This Row],[BVPS]]&lt;&gt;0,Main_M[[#This Row],[Current Price]]/Main_M[[#This Row],[BVPS]],""),"")</f>
        <v>1.9243134628265239</v>
      </c>
      <c r="J35">
        <v>34.64</v>
      </c>
      <c r="K35">
        <v>5.54</v>
      </c>
      <c r="L35">
        <v>3.53</v>
      </c>
      <c r="M35" s="1">
        <f>IF(ISNUMBER(Main_M[[#This Row],[EPS]]),IF(Main_M[[#This Row],[EPS]]&lt;&gt;0,Main_M[[#This Row],[Current Price]]/Main_M[[#This Row],[EPS]],""),"")</f>
        <v>9.5766666666666662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1.8760988958644929</v>
      </c>
      <c r="P35" s="1">
        <f>(Main_M[[#This Row],[P/B]]-VLOOKUP(Main_M[[#This Row],[Industry]], Mean_PB_M, 2, FALSE))/(VLOOKUP(Main_M[[#This Row],[Industry]], Mean_PB_M, 3, FALSE))</f>
        <v>0.16744274882446478</v>
      </c>
      <c r="Q35" s="1">
        <f>(Main_M[[#This Row],[ROE]]-VLOOKUP(Main_M[[#This Row],[Industry]], Mean_ROE_M, 2, FALSE))/(VLOOKUP(Main_M[[#This Row],[Industry]], Mean_ROE_M, 3, FALSE))</f>
        <v>0.57639310813795896</v>
      </c>
      <c r="R35" s="1">
        <f>(Main_M[[#This Row],[ROA]]-VLOOKUP(Main_M[[#This Row],[Industry]], Mean_ROA_M, 2, FALSE))/(VLOOKUP(Main_M[[#This Row],[Industry]], Mean_ROA_M, 3, FALSE))</f>
        <v>0.10059833916383762</v>
      </c>
      <c r="S35" s="1">
        <f>(Main_M[[#This Row],[A/E]]-VLOOKUP(Main_M[[#This Row],[Industry]], Mean_AE_M, 2, FALSE))/(VLOOKUP(Main_M[[#This Row],[Industry]], Mean_AE_M, 3, FALSE))</f>
        <v>1.931040218207231</v>
      </c>
      <c r="T35" s="1">
        <f>(Main_M[[#This Row],[P/E]]-VLOOKUP(Main_M[[#This Row],[Industry]], Mean_PE_M, 2, FALSE))/(VLOOKUP(Main_M[[#This Row],[Industry]], Mean_PE_M, 3, FALSE))</f>
        <v>0.13625175434958484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107</v>
      </c>
      <c r="B36" t="s">
        <v>192</v>
      </c>
      <c r="C36" s="2">
        <v>8506</v>
      </c>
      <c r="D36">
        <f>RTD("tos.rtd", , "LAST", Main_M[[#This Row],[Symbol]])</f>
        <v>18.43</v>
      </c>
      <c r="E36">
        <v>1.24</v>
      </c>
      <c r="F36">
        <v>4.3600000000000003</v>
      </c>
      <c r="G36">
        <v>0.87</v>
      </c>
      <c r="H36" s="1">
        <f>IF(ISNUMBER(Main_M[[#This Row],[Free CF]]),IF(Main_M[[#This Row],[Free CF]]&lt;&gt;0,Main_M[[#This Row],[Current Price]]/Main_M[[#This Row],[Free CF]],""),"")</f>
        <v>14.862903225806452</v>
      </c>
      <c r="I36" s="1">
        <f>IF(ISNUMBER(Main_M[[#This Row],[BVPS]]),IF(Main_M[[#This Row],[BVPS]]&lt;&gt;0,Main_M[[#This Row],[Current Price]]/Main_M[[#This Row],[BVPS]],""),"")</f>
        <v>4.227064220183486</v>
      </c>
      <c r="J36">
        <v>19.71</v>
      </c>
      <c r="K36">
        <v>7.3</v>
      </c>
      <c r="L36">
        <v>2.75</v>
      </c>
      <c r="M36" s="1">
        <f>IF(ISNUMBER(Main_M[[#This Row],[EPS]]),IF(Main_M[[#This Row],[EPS]]&lt;&gt;0,Main_M[[#This Row],[Current Price]]/Main_M[[#This Row],[EPS]],""),"")</f>
        <v>21.183908045977013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0.61734762439772561</v>
      </c>
      <c r="P36" s="1">
        <f>(Main_M[[#This Row],[P/B]]-VLOOKUP(Main_M[[#This Row],[Industry]], Mean_PB_M, 2, FALSE))/(VLOOKUP(Main_M[[#This Row],[Industry]], Mean_PB_M, 3, FALSE))</f>
        <v>2.1841223433915307</v>
      </c>
      <c r="Q36" s="1">
        <f>(Main_M[[#This Row],[ROE]]-VLOOKUP(Main_M[[#This Row],[Industry]], Mean_ROE_M, 2, FALSE))/(VLOOKUP(Main_M[[#This Row],[Industry]], Mean_ROE_M, 3, FALSE))</f>
        <v>0.24859312366776914</v>
      </c>
      <c r="R36" s="1">
        <f>(Main_M[[#This Row],[ROA]]-VLOOKUP(Main_M[[#This Row],[Industry]], Mean_ROA_M, 2, FALSE))/(VLOOKUP(Main_M[[#This Row],[Industry]], Mean_ROA_M, 3, FALSE))</f>
        <v>0.47670684033930999</v>
      </c>
      <c r="S36" s="1">
        <f>(Main_M[[#This Row],[A/E]]-VLOOKUP(Main_M[[#This Row],[Industry]], Mean_AE_M, 2, FALSE))/(VLOOKUP(Main_M[[#This Row],[Industry]], Mean_AE_M, 3, FALSE))</f>
        <v>0.83428436611865819</v>
      </c>
      <c r="T36" s="1">
        <f>(Main_M[[#This Row],[P/E]]-VLOOKUP(Main_M[[#This Row],[Industry]], Mean_PE_M, 2, FALSE))/(VLOOKUP(Main_M[[#This Row],[Industry]], Mean_PE_M, 3, FALSE))</f>
        <v>2.1489292336573635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107</v>
      </c>
      <c r="B37" t="s">
        <v>193</v>
      </c>
      <c r="C37" s="2">
        <v>2094</v>
      </c>
      <c r="D37">
        <f>RTD("tos.rtd", , "LAST", Main_M[[#This Row],[Symbol]])</f>
        <v>40.44</v>
      </c>
      <c r="E37">
        <v>1.57</v>
      </c>
      <c r="F37">
        <v>0.69</v>
      </c>
      <c r="G37">
        <v>2.99</v>
      </c>
      <c r="H37" s="1">
        <f>IF(ISNUMBER(Main_M[[#This Row],[Free CF]]),IF(Main_M[[#This Row],[Free CF]]&lt;&gt;0,Main_M[[#This Row],[Current Price]]/Main_M[[#This Row],[Free CF]],""),"")</f>
        <v>25.757961783439487</v>
      </c>
      <c r="I37" s="1">
        <f>IF(ISNUMBER(Main_M[[#This Row],[BVPS]]),IF(Main_M[[#This Row],[BVPS]]&lt;&gt;0,Main_M[[#This Row],[Current Price]]/Main_M[[#This Row],[BVPS]],""),"")</f>
        <v>58.608695652173914</v>
      </c>
      <c r="J37">
        <v>-225.87</v>
      </c>
      <c r="K37">
        <v>6.66</v>
      </c>
      <c r="L37">
        <v>57.46</v>
      </c>
      <c r="M37" s="1">
        <f>IF(ISNUMBER(Main_M[[#This Row],[EPS]]),IF(Main_M[[#This Row],[EPS]]&lt;&gt;0,Main_M[[#This Row],[Current Price]]/Main_M[[#This Row],[EPS]],""),"")</f>
        <v>13.525083612040133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1.364674283759659</v>
      </c>
      <c r="P37" s="1">
        <f>(Main_M[[#This Row],[P/B]]-VLOOKUP(Main_M[[#This Row],[Industry]], Mean_PB_M, 2, FALSE))/(VLOOKUP(Main_M[[#This Row],[Industry]], Mean_PB_M, 3, FALSE))</f>
        <v>49.809913401230048</v>
      </c>
      <c r="Q37" s="1">
        <f>(Main_M[[#This Row],[ROE]]-VLOOKUP(Main_M[[#This Row],[Industry]], Mean_ROE_M, 2, FALSE))/(VLOOKUP(Main_M[[#This Row],[Industry]], Mean_ROE_M, 3, FALSE))</f>
        <v>-5.1433104387025734</v>
      </c>
      <c r="R37" s="1">
        <f>(Main_M[[#This Row],[ROA]]-VLOOKUP(Main_M[[#This Row],[Industry]], Mean_ROA_M, 2, FALSE))/(VLOOKUP(Main_M[[#This Row],[Industry]], Mean_ROA_M, 3, FALSE))</f>
        <v>0.33994011263913826</v>
      </c>
      <c r="S37" s="1">
        <f>(Main_M[[#This Row],[A/E]]-VLOOKUP(Main_M[[#This Row],[Industry]], Mean_AE_M, 2, FALSE))/(VLOOKUP(Main_M[[#This Row],[Industry]], Mean_AE_M, 3, FALSE))</f>
        <v>77.761864709408201</v>
      </c>
      <c r="T37" s="1">
        <f>(Main_M[[#This Row],[P/E]]-VLOOKUP(Main_M[[#This Row],[Industry]], Mean_PE_M, 2, FALSE))/(VLOOKUP(Main_M[[#This Row],[Industry]], Mean_PE_M, 3, FALSE))</f>
        <v>0.82090106982221256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107</v>
      </c>
      <c r="B38" t="s">
        <v>194</v>
      </c>
      <c r="C38" s="2">
        <v>3804</v>
      </c>
      <c r="D38">
        <f>RTD("tos.rtd", , "LAST", Main_M[[#This Row],[Symbol]])</f>
        <v>17.84</v>
      </c>
      <c r="E38">
        <v>-0.8</v>
      </c>
      <c r="F38">
        <v>10.51</v>
      </c>
      <c r="G38">
        <v>2.23</v>
      </c>
      <c r="H38" s="1">
        <f>IF(ISNUMBER(Main_M[[#This Row],[Free CF]]),IF(Main_M[[#This Row],[Free CF]]&lt;&gt;0,Main_M[[#This Row],[Current Price]]/Main_M[[#This Row],[Free CF]],""),"")</f>
        <v>-22.299999999999997</v>
      </c>
      <c r="I38" s="1">
        <f>IF(ISNUMBER(Main_M[[#This Row],[BVPS]]),IF(Main_M[[#This Row],[BVPS]]&lt;&gt;0,Main_M[[#This Row],[Current Price]]/Main_M[[#This Row],[BVPS]],""),"")</f>
        <v>1.697431018078021</v>
      </c>
      <c r="J38">
        <v>21.46</v>
      </c>
      <c r="K38">
        <v>6.92</v>
      </c>
      <c r="L38">
        <v>2.66</v>
      </c>
      <c r="M38" s="1">
        <f>IF(ISNUMBER(Main_M[[#This Row],[EPS]]),IF(Main_M[[#This Row],[EPS]]&lt;&gt;0,Main_M[[#This Row],[Current Price]]/Main_M[[#This Row],[EPS]],""),"")</f>
        <v>8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-1.9317739037720534</v>
      </c>
      <c r="P38" s="1">
        <f>(Main_M[[#This Row],[P/B]]-VLOOKUP(Main_M[[#This Row],[Industry]], Mean_PB_M, 2, FALSE))/(VLOOKUP(Main_M[[#This Row],[Industry]], Mean_PB_M, 3, FALSE))</f>
        <v>-3.1254046835243895E-2</v>
      </c>
      <c r="Q38" s="1">
        <f>(Main_M[[#This Row],[ROE]]-VLOOKUP(Main_M[[#This Row],[Industry]], Mean_ROE_M, 2, FALSE))/(VLOOKUP(Main_M[[#This Row],[Industry]], Mean_ROE_M, 3, FALSE))</f>
        <v>0.2870157608293788</v>
      </c>
      <c r="R38" s="1">
        <f>(Main_M[[#This Row],[ROA]]-VLOOKUP(Main_M[[#This Row],[Industry]], Mean_ROA_M, 2, FALSE))/(VLOOKUP(Main_M[[#This Row],[Industry]], Mean_ROA_M, 3, FALSE))</f>
        <v>0.39550159576733301</v>
      </c>
      <c r="S38" s="1">
        <f>(Main_M[[#This Row],[A/E]]-VLOOKUP(Main_M[[#This Row],[Industry]], Mean_AE_M, 2, FALSE))/(VLOOKUP(Main_M[[#This Row],[Industry]], Mean_AE_M, 3, FALSE))</f>
        <v>0.70773561395459228</v>
      </c>
      <c r="T38" s="1">
        <f>(Main_M[[#This Row],[P/E]]-VLOOKUP(Main_M[[#This Row],[Industry]], Mean_PE_M, 2, FALSE))/(VLOOKUP(Main_M[[#This Row],[Industry]], Mean_PE_M, 3, FALSE))</f>
        <v>-0.13713977673648695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107</v>
      </c>
      <c r="B39" t="s">
        <v>195</v>
      </c>
      <c r="C39" s="2">
        <v>4081</v>
      </c>
      <c r="D39">
        <f>RTD("tos.rtd", , "LAST", Main_M[[#This Row],[Symbol]])</f>
        <v>39.840000000000003</v>
      </c>
      <c r="E39">
        <v>-1.17</v>
      </c>
      <c r="F39">
        <v>19.27</v>
      </c>
      <c r="G39">
        <v>0.48</v>
      </c>
      <c r="H39" s="1">
        <f>IF(ISNUMBER(Main_M[[#This Row],[Free CF]]),IF(Main_M[[#This Row],[Free CF]]&lt;&gt;0,Main_M[[#This Row],[Current Price]]/Main_M[[#This Row],[Free CF]],""),"")</f>
        <v>-34.051282051282058</v>
      </c>
      <c r="I39" s="1">
        <f>IF(ISNUMBER(Main_M[[#This Row],[BVPS]]),IF(Main_M[[#This Row],[BVPS]]&lt;&gt;0,Main_M[[#This Row],[Current Price]]/Main_M[[#This Row],[BVPS]],""),"")</f>
        <v>2.0674623767514273</v>
      </c>
      <c r="J39">
        <v>3.25</v>
      </c>
      <c r="K39">
        <v>1.26</v>
      </c>
      <c r="L39">
        <v>2.17</v>
      </c>
      <c r="M39" s="1">
        <f>IF(ISNUMBER(Main_M[[#This Row],[EPS]]),IF(Main_M[[#This Row],[EPS]]&lt;&gt;0,Main_M[[#This Row],[Current Price]]/Main_M[[#This Row],[EPS]],""),"")</f>
        <v>83.000000000000014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-2.737831651158074</v>
      </c>
      <c r="P39" s="1">
        <f>(Main_M[[#This Row],[P/B]]-VLOOKUP(Main_M[[#This Row],[Industry]], Mean_PB_M, 2, FALSE))/(VLOOKUP(Main_M[[#This Row],[Industry]], Mean_PB_M, 3, FALSE))</f>
        <v>0.29280824605619116</v>
      </c>
      <c r="Q39" s="1">
        <f>(Main_M[[#This Row],[ROE]]-VLOOKUP(Main_M[[#This Row],[Industry]], Mean_ROE_M, 2, FALSE))/(VLOOKUP(Main_M[[#This Row],[Industry]], Mean_ROE_M, 3, FALSE))</f>
        <v>-0.11279922357799944</v>
      </c>
      <c r="R39" s="1">
        <f>(Main_M[[#This Row],[ROA]]-VLOOKUP(Main_M[[#This Row],[Industry]], Mean_ROA_M, 2, FALSE))/(VLOOKUP(Main_M[[#This Row],[Industry]], Mean_ROA_M, 3, FALSE))</f>
        <v>-0.81402915233106121</v>
      </c>
      <c r="S39" s="1">
        <f>(Main_M[[#This Row],[A/E]]-VLOOKUP(Main_M[[#This Row],[Industry]], Mean_AE_M, 2, FALSE))/(VLOOKUP(Main_M[[#This Row],[Industry]], Mean_AE_M, 3, FALSE))</f>
        <v>1.8747963283565164E-2</v>
      </c>
      <c r="T39" s="1">
        <f>(Main_M[[#This Row],[P/E]]-VLOOKUP(Main_M[[#This Row],[Industry]], Mean_PE_M, 2, FALSE))/(VLOOKUP(Main_M[[#This Row],[Industry]], Mean_PE_M, 3, FALSE))</f>
        <v>12.867742780211966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0" spans="1:26" x14ac:dyDescent="0.25">
      <c r="A40" t="s">
        <v>107</v>
      </c>
      <c r="B40" t="s">
        <v>196</v>
      </c>
      <c r="C40" s="2">
        <v>2482</v>
      </c>
      <c r="D40">
        <f>RTD("tos.rtd", , "LAST", Main_M[[#This Row],[Symbol]])</f>
        <v>5.16</v>
      </c>
      <c r="E40">
        <v>1.92</v>
      </c>
      <c r="F40">
        <v>4.5</v>
      </c>
      <c r="G40">
        <v>1.5</v>
      </c>
      <c r="H40" s="1">
        <f>IF(ISNUMBER(Main_M[[#This Row],[Free CF]]),IF(Main_M[[#This Row],[Free CF]]&lt;&gt;0,Main_M[[#This Row],[Current Price]]/Main_M[[#This Row],[Free CF]],""),"")</f>
        <v>2.6875</v>
      </c>
      <c r="I40" s="1">
        <f>IF(ISNUMBER(Main_M[[#This Row],[BVPS]]),IF(Main_M[[#This Row],[BVPS]]&lt;&gt;0,Main_M[[#This Row],[Current Price]]/Main_M[[#This Row],[BVPS]],""),"")</f>
        <v>1.1466666666666667</v>
      </c>
      <c r="J40">
        <v>34.479999999999997</v>
      </c>
      <c r="K40">
        <v>12.76</v>
      </c>
      <c r="L40">
        <v>1.64</v>
      </c>
      <c r="M40" s="1">
        <f>IF(ISNUMBER(Main_M[[#This Row],[EPS]]),IF(Main_M[[#This Row],[EPS]]&lt;&gt;0,Main_M[[#This Row],[Current Price]]/Main_M[[#This Row],[EPS]],""),"")</f>
        <v>3.44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0" s="1">
        <f>(Main_M[[#This Row],[P/FCF]]-VLOOKUP(Main_M[[#This Row],[Industry]], Mean_PFCF_M, 2, FALSE))/(VLOOKUP(Main_M[[#This Row],[Industry]], Mean_PFCF_M, 3, FALSE))</f>
        <v>-0.21780194097580949</v>
      </c>
      <c r="P40" s="1">
        <f>(Main_M[[#This Row],[P/B]]-VLOOKUP(Main_M[[#This Row],[Industry]], Mean_PB_M, 2, FALSE))/(VLOOKUP(Main_M[[#This Row],[Industry]], Mean_PB_M, 3, FALSE))</f>
        <v>-0.51359683854106164</v>
      </c>
      <c r="Q40" s="1">
        <f>(Main_M[[#This Row],[ROE]]-VLOOKUP(Main_M[[#This Row],[Industry]], Mean_ROE_M, 2, FALSE))/(VLOOKUP(Main_M[[#This Row],[Industry]], Mean_ROE_M, 3, FALSE))</f>
        <v>0.57288018131175455</v>
      </c>
      <c r="R40" s="1">
        <f>(Main_M[[#This Row],[ROA]]-VLOOKUP(Main_M[[#This Row],[Industry]], Mean_ROA_M, 2, FALSE))/(VLOOKUP(Main_M[[#This Row],[Industry]], Mean_ROA_M, 3, FALSE))</f>
        <v>1.6434979860314005</v>
      </c>
      <c r="S40" s="1">
        <f>(Main_M[[#This Row],[A/E]]-VLOOKUP(Main_M[[#This Row],[Industry]], Mean_AE_M, 2, FALSE))/(VLOOKUP(Main_M[[#This Row],[Industry]], Mean_AE_M, 3, FALSE))</f>
        <v>-0.72648357723815771</v>
      </c>
      <c r="T40" s="1">
        <f>(Main_M[[#This Row],[P/E]]-VLOOKUP(Main_M[[#This Row],[Industry]], Mean_PE_M, 2, FALSE))/(VLOOKUP(Main_M[[#This Row],[Industry]], Mean_PE_M, 3, FALSE))</f>
        <v>-0.92783663619895285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107</v>
      </c>
      <c r="B41" t="s">
        <v>197</v>
      </c>
      <c r="C41" s="2">
        <v>4360</v>
      </c>
      <c r="D41">
        <f>RTD("tos.rtd", , "LAST", Main_M[[#This Row],[Symbol]])</f>
        <v>38.97</v>
      </c>
      <c r="E41">
        <v>7.13</v>
      </c>
      <c r="F41">
        <v>5.0999999999999996</v>
      </c>
      <c r="G41">
        <v>2.5499999999999998</v>
      </c>
      <c r="H41" s="1">
        <f>IF(ISNUMBER(Main_M[[#This Row],[Free CF]]),IF(Main_M[[#This Row],[Free CF]]&lt;&gt;0,Main_M[[#This Row],[Current Price]]/Main_M[[#This Row],[Free CF]],""),"")</f>
        <v>5.465638148667602</v>
      </c>
      <c r="I41" s="1">
        <f>IF(ISNUMBER(Main_M[[#This Row],[BVPS]]),IF(Main_M[[#This Row],[BVPS]]&lt;&gt;0,Main_M[[#This Row],[Current Price]]/Main_M[[#This Row],[BVPS]],""),"")</f>
        <v>7.6411764705882357</v>
      </c>
      <c r="J41">
        <v>159.08000000000001</v>
      </c>
      <c r="K41">
        <v>14.47</v>
      </c>
      <c r="L41">
        <v>7.82</v>
      </c>
      <c r="M41" s="1">
        <f>IF(ISNUMBER(Main_M[[#This Row],[EPS]]),IF(Main_M[[#This Row],[EPS]]&lt;&gt;0,Main_M[[#This Row],[Current Price]]/Main_M[[#This Row],[EPS]],""),"")</f>
        <v>15.282352941176471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-2.7240624493931203E-2</v>
      </c>
      <c r="P41" s="1">
        <f>(Main_M[[#This Row],[P/B]]-VLOOKUP(Main_M[[#This Row],[Industry]], Mean_PB_M, 2, FALSE))/(VLOOKUP(Main_M[[#This Row],[Industry]], Mean_PB_M, 3, FALSE))</f>
        <v>5.1740987822030524</v>
      </c>
      <c r="Q41" s="1">
        <f>(Main_M[[#This Row],[ROE]]-VLOOKUP(Main_M[[#This Row],[Industry]], Mean_ROE_M, 2, FALSE))/(VLOOKUP(Main_M[[#This Row],[Industry]], Mean_ROE_M, 3, FALSE))</f>
        <v>3.308571947218363</v>
      </c>
      <c r="R41" s="1">
        <f>(Main_M[[#This Row],[ROA]]-VLOOKUP(Main_M[[#This Row],[Industry]], Mean_ROA_M, 2, FALSE))/(VLOOKUP(Main_M[[#This Row],[Industry]], Mean_ROA_M, 3, FALSE))</f>
        <v>2.0089215866052972</v>
      </c>
      <c r="S41" s="1">
        <f>(Main_M[[#This Row],[A/E]]-VLOOKUP(Main_M[[#This Row],[Industry]], Mean_AE_M, 2, FALSE))/(VLOOKUP(Main_M[[#This Row],[Industry]], Mean_AE_M, 3, FALSE))</f>
        <v>7.9631974046943848</v>
      </c>
      <c r="T41" s="1">
        <f>(Main_M[[#This Row],[P/E]]-VLOOKUP(Main_M[[#This Row],[Industry]], Mean_PE_M, 2, FALSE))/(VLOOKUP(Main_M[[#This Row],[Industry]], Mean_PE_M, 3, FALSE))</f>
        <v>1.1256088197734881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107</v>
      </c>
      <c r="B42" t="s">
        <v>198</v>
      </c>
      <c r="C42" s="2">
        <v>2439</v>
      </c>
      <c r="D42">
        <f>RTD("tos.rtd", , "LAST", Main_M[[#This Row],[Symbol]])</f>
        <v>44.97</v>
      </c>
      <c r="E42">
        <v>6.1</v>
      </c>
      <c r="F42">
        <v>-49.67</v>
      </c>
      <c r="G42">
        <v>1.02</v>
      </c>
      <c r="H42" s="1">
        <f>IF(ISNUMBER(Main_M[[#This Row],[Free CF]]),IF(Main_M[[#This Row],[Free CF]]&lt;&gt;0,Main_M[[#This Row],[Current Price]]/Main_M[[#This Row],[Free CF]],""),"")</f>
        <v>7.3721311475409834</v>
      </c>
      <c r="I42" s="1">
        <f>IF(ISNUMBER(Main_M[[#This Row],[BVPS]]),IF(Main_M[[#This Row],[BVPS]]&lt;&gt;0,Main_M[[#This Row],[Current Price]]/Main_M[[#This Row],[BVPS]],""),"")</f>
        <v>-0.90537547815582842</v>
      </c>
      <c r="J42">
        <v>8.7100000000000009</v>
      </c>
      <c r="K42">
        <v>1.79</v>
      </c>
      <c r="L42">
        <v>-2.29</v>
      </c>
      <c r="M42" s="1">
        <f>IF(ISNUMBER(Main_M[[#This Row],[EPS]]),IF(Main_M[[#This Row],[EPS]]&lt;&gt;0,Main_M[[#This Row],[Current Price]]/Main_M[[#This Row],[EPS]],""),"")</f>
        <v>44.088235294117645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0.10353178360356984</v>
      </c>
      <c r="P42" s="1">
        <f>(Main_M[[#This Row],[P/B]]-VLOOKUP(Main_M[[#This Row],[Industry]], Mean_PB_M, 2, FALSE))/(VLOOKUP(Main_M[[#This Row],[Industry]], Mean_PB_M, 3, FALSE))</f>
        <v>-2.3107133989998276</v>
      </c>
      <c r="Q42" s="1">
        <f>(Main_M[[#This Row],[ROE]]-VLOOKUP(Main_M[[#This Row],[Industry]], Mean_ROE_M, 2, FALSE))/(VLOOKUP(Main_M[[#This Row],[Industry]], Mean_ROE_M, 3, FALSE))</f>
        <v>7.0794043662227102E-3</v>
      </c>
      <c r="R42" s="1">
        <f>(Main_M[[#This Row],[ROA]]-VLOOKUP(Main_M[[#This Row],[Industry]], Mean_ROA_M, 2, FALSE))/(VLOOKUP(Main_M[[#This Row],[Industry]], Mean_ROA_M, 3, FALSE))</f>
        <v>-0.70076920595435643</v>
      </c>
      <c r="S42" s="1">
        <f>(Main_M[[#This Row],[A/E]]-VLOOKUP(Main_M[[#This Row],[Industry]], Mean_AE_M, 2, FALSE))/(VLOOKUP(Main_M[[#This Row],[Industry]], Mean_AE_M, 3, FALSE))</f>
        <v>-6.2524457550690462</v>
      </c>
      <c r="T42" s="1">
        <f>(Main_M[[#This Row],[P/E]]-VLOOKUP(Main_M[[#This Row],[Industry]], Mean_PE_M, 2, FALSE))/(VLOOKUP(Main_M[[#This Row],[Industry]], Mean_PE_M, 3, FALSE))</f>
        <v>6.1205037124304722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3" spans="1:26" x14ac:dyDescent="0.25">
      <c r="A43" t="s">
        <v>107</v>
      </c>
      <c r="B43" t="s">
        <v>199</v>
      </c>
      <c r="C43" s="2">
        <v>3546</v>
      </c>
      <c r="D43">
        <f>RTD("tos.rtd", , "LAST", Main_M[[#This Row],[Symbol]])</f>
        <v>18.77</v>
      </c>
      <c r="E43">
        <v>9.36</v>
      </c>
      <c r="F43">
        <v>6.84</v>
      </c>
      <c r="G43">
        <v>0.52</v>
      </c>
      <c r="H43" s="1">
        <f>IF(ISNUMBER(Main_M[[#This Row],[Free CF]]),IF(Main_M[[#This Row],[Free CF]]&lt;&gt;0,Main_M[[#This Row],[Current Price]]/Main_M[[#This Row],[Free CF]],""),"")</f>
        <v>2.0053418803418803</v>
      </c>
      <c r="I43" s="1">
        <f>IF(ISNUMBER(Main_M[[#This Row],[BVPS]]),IF(Main_M[[#This Row],[BVPS]]&lt;&gt;0,Main_M[[#This Row],[Current Price]]/Main_M[[#This Row],[BVPS]],""),"")</f>
        <v>2.7441520467836256</v>
      </c>
      <c r="J43">
        <v>7.28</v>
      </c>
      <c r="K43">
        <v>2.95</v>
      </c>
      <c r="L43">
        <v>20.54</v>
      </c>
      <c r="M43" s="1">
        <f>IF(ISNUMBER(Main_M[[#This Row],[EPS]]),IF(Main_M[[#This Row],[EPS]]&lt;&gt;0,Main_M[[#This Row],[Current Price]]/Main_M[[#This Row],[EPS]],""),"")</f>
        <v>36.096153846153847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-0.26459333232299598</v>
      </c>
      <c r="P43" s="1">
        <f>(Main_M[[#This Row],[P/B]]-VLOOKUP(Main_M[[#This Row],[Industry]], Mean_PB_M, 2, FALSE))/(VLOOKUP(Main_M[[#This Row],[Industry]], Mean_PB_M, 3, FALSE))</f>
        <v>0.88543263019691509</v>
      </c>
      <c r="Q43" s="1">
        <f>(Main_M[[#This Row],[ROE]]-VLOOKUP(Main_M[[#This Row],[Industry]], Mean_ROE_M, 2, FALSE))/(VLOOKUP(Main_M[[#This Row],[Industry]], Mean_ROE_M, 3, FALSE))</f>
        <v>-2.4317379142978338E-2</v>
      </c>
      <c r="R43" s="1">
        <f>(Main_M[[#This Row],[ROA]]-VLOOKUP(Main_M[[#This Row],[Industry]], Mean_ROA_M, 2, FALSE))/(VLOOKUP(Main_M[[#This Row],[Industry]], Mean_ROA_M, 3, FALSE))</f>
        <v>-0.45287951199779503</v>
      </c>
      <c r="S43" s="1">
        <f>(Main_M[[#This Row],[A/E]]-VLOOKUP(Main_M[[#This Row],[Industry]], Mean_AE_M, 2, FALSE))/(VLOOKUP(Main_M[[#This Row],[Industry]], Mean_AE_M, 3, FALSE))</f>
        <v>25.84875437721573</v>
      </c>
      <c r="T43" s="1">
        <f>(Main_M[[#This Row],[P/E]]-VLOOKUP(Main_M[[#This Row],[Industry]], Mean_PE_M, 2, FALSE))/(VLOOKUP(Main_M[[#This Row],[Industry]], Mean_PE_M, 3, FALSE))</f>
        <v>4.7346893042126625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4" spans="1:26" x14ac:dyDescent="0.25">
      <c r="A44" t="s">
        <v>107</v>
      </c>
      <c r="B44" t="s">
        <v>200</v>
      </c>
      <c r="C44" s="2">
        <v>5409</v>
      </c>
      <c r="D44">
        <f>RTD("tos.rtd", , "LAST", Main_M[[#This Row],[Symbol]])</f>
        <v>25.27</v>
      </c>
      <c r="E44">
        <v>1.96</v>
      </c>
      <c r="F44">
        <v>12.55</v>
      </c>
      <c r="G44">
        <v>1.52</v>
      </c>
      <c r="H44" s="1">
        <f>IF(ISNUMBER(Main_M[[#This Row],[Free CF]]),IF(Main_M[[#This Row],[Free CF]]&lt;&gt;0,Main_M[[#This Row],[Current Price]]/Main_M[[#This Row],[Free CF]],""),"")</f>
        <v>12.892857142857142</v>
      </c>
      <c r="I44" s="1">
        <f>IF(ISNUMBER(Main_M[[#This Row],[BVPS]]),IF(Main_M[[#This Row],[BVPS]]&lt;&gt;0,Main_M[[#This Row],[Current Price]]/Main_M[[#This Row],[BVPS]],""),"")</f>
        <v>2.0135458167330675</v>
      </c>
      <c r="J44">
        <v>11.6</v>
      </c>
      <c r="K44">
        <v>3.99</v>
      </c>
      <c r="L44">
        <v>4.34</v>
      </c>
      <c r="M44" s="1">
        <f>IF(ISNUMBER(Main_M[[#This Row],[EPS]]),IF(Main_M[[#This Row],[EPS]]&lt;&gt;0,Main_M[[#This Row],[Current Price]]/Main_M[[#This Row],[EPS]],""),"")</f>
        <v>16.625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0.48221590847609752</v>
      </c>
      <c r="P44" s="1">
        <f>(Main_M[[#This Row],[P/B]]-VLOOKUP(Main_M[[#This Row],[Industry]], Mean_PB_M, 2, FALSE))/(VLOOKUP(Main_M[[#This Row],[Industry]], Mean_PB_M, 3, FALSE))</f>
        <v>0.2455897505021708</v>
      </c>
      <c r="Q44" s="1">
        <f>(Main_M[[#This Row],[ROE]]-VLOOKUP(Main_M[[#This Row],[Industry]], Mean_ROE_M, 2, FALSE))/(VLOOKUP(Main_M[[#This Row],[Industry]], Mean_ROE_M, 3, FALSE))</f>
        <v>7.0531645164538068E-2</v>
      </c>
      <c r="R44" s="1">
        <f>(Main_M[[#This Row],[ROA]]-VLOOKUP(Main_M[[#This Row],[Industry]], Mean_ROA_M, 2, FALSE))/(VLOOKUP(Main_M[[#This Row],[Industry]], Mean_ROA_M, 3, FALSE))</f>
        <v>-0.23063357948501587</v>
      </c>
      <c r="S44" s="1">
        <f>(Main_M[[#This Row],[A/E]]-VLOOKUP(Main_M[[#This Row],[Industry]], Mean_AE_M, 2, FALSE))/(VLOOKUP(Main_M[[#This Row],[Industry]], Mean_AE_M, 3, FALSE))</f>
        <v>3.0699789876838266</v>
      </c>
      <c r="T44" s="1">
        <f>(Main_M[[#This Row],[P/E]]-VLOOKUP(Main_M[[#This Row],[Industry]], Mean_PE_M, 2, FALSE))/(VLOOKUP(Main_M[[#This Row],[Industry]], Mean_PE_M, 3, FALSE))</f>
        <v>1.3584217173125848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107</v>
      </c>
      <c r="B45" t="s">
        <v>201</v>
      </c>
      <c r="C45" s="2">
        <v>2051</v>
      </c>
      <c r="D45">
        <f>RTD("tos.rtd", , "LAST", Main_M[[#This Row],[Symbol]])</f>
        <v>42.24</v>
      </c>
      <c r="E45">
        <v>14.01</v>
      </c>
      <c r="F45">
        <v>61.85</v>
      </c>
      <c r="G45">
        <v>10.31</v>
      </c>
      <c r="H45" s="1">
        <f>IF(ISNUMBER(Main_M[[#This Row],[Free CF]]),IF(Main_M[[#This Row],[Free CF]]&lt;&gt;0,Main_M[[#This Row],[Current Price]]/Main_M[[#This Row],[Free CF]],""),"")</f>
        <v>3.0149892933618845</v>
      </c>
      <c r="I45" s="1">
        <f>IF(ISNUMBER(Main_M[[#This Row],[BVPS]]),IF(Main_M[[#This Row],[BVPS]]&lt;&gt;0,Main_M[[#This Row],[Current Price]]/Main_M[[#This Row],[BVPS]],""),"")</f>
        <v>0.68294260307194832</v>
      </c>
      <c r="J45">
        <v>18.059999999999999</v>
      </c>
      <c r="K45">
        <v>6.34</v>
      </c>
      <c r="L45">
        <v>1.36</v>
      </c>
      <c r="M45" s="1">
        <f>IF(ISNUMBER(Main_M[[#This Row],[EPS]]),IF(Main_M[[#This Row],[EPS]]&lt;&gt;0,Main_M[[#This Row],[Current Price]]/Main_M[[#This Row],[EPS]],""),"")</f>
        <v>4.0969932104752669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5" s="1">
        <f>(Main_M[[#This Row],[P/FCF]]-VLOOKUP(Main_M[[#This Row],[Industry]], Mean_PFCF_M, 2, FALSE))/(VLOOKUP(Main_M[[#This Row],[Industry]], Mean_PFCF_M, 3, FALSE))</f>
        <v>-0.19533841053305914</v>
      </c>
      <c r="P45" s="1">
        <f>(Main_M[[#This Row],[P/B]]-VLOOKUP(Main_M[[#This Row],[Industry]], Mean_PB_M, 2, FALSE))/(VLOOKUP(Main_M[[#This Row],[Industry]], Mean_PB_M, 3, FALSE))</f>
        <v>-0.91971237387349503</v>
      </c>
      <c r="Q45" s="1">
        <f>(Main_M[[#This Row],[ROE]]-VLOOKUP(Main_M[[#This Row],[Industry]], Mean_ROE_M, 2, FALSE))/(VLOOKUP(Main_M[[#This Row],[Industry]], Mean_ROE_M, 3, FALSE))</f>
        <v>0.21236606577253714</v>
      </c>
      <c r="R45" s="1">
        <f>(Main_M[[#This Row],[ROA]]-VLOOKUP(Main_M[[#This Row],[Industry]], Mean_ROA_M, 2, FALSE))/(VLOOKUP(Main_M[[#This Row],[Industry]], Mean_ROA_M, 3, FALSE))</f>
        <v>0.27155674878905228</v>
      </c>
      <c r="S45" s="1">
        <f>(Main_M[[#This Row],[A/E]]-VLOOKUP(Main_M[[#This Row],[Industry]], Mean_AE_M, 2, FALSE))/(VLOOKUP(Main_M[[#This Row],[Industry]], Mean_AE_M, 3, FALSE))</f>
        <v>-1.1201908061930299</v>
      </c>
      <c r="T45" s="1">
        <f>(Main_M[[#This Row],[P/E]]-VLOOKUP(Main_M[[#This Row],[Industry]], Mean_PE_M, 2, FALSE))/(VLOOKUP(Main_M[[#This Row],[Industry]], Mean_PE_M, 3, FALSE))</f>
        <v>-0.81391504229304124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107</v>
      </c>
      <c r="B46" t="s">
        <v>202</v>
      </c>
      <c r="C46" s="2">
        <v>3922</v>
      </c>
      <c r="D46">
        <f>RTD("tos.rtd", , "LAST", Main_M[[#This Row],[Symbol]])</f>
        <v>29.7</v>
      </c>
      <c r="E46">
        <v>0.25</v>
      </c>
      <c r="F46">
        <v>2.88</v>
      </c>
      <c r="G46">
        <v>0.48</v>
      </c>
      <c r="H46" s="1">
        <f>IF(ISNUMBER(Main_M[[#This Row],[Free CF]]),IF(Main_M[[#This Row],[Free CF]]&lt;&gt;0,Main_M[[#This Row],[Current Price]]/Main_M[[#This Row],[Free CF]],""),"")</f>
        <v>118.8</v>
      </c>
      <c r="I46" s="1">
        <f>IF(ISNUMBER(Main_M[[#This Row],[BVPS]]),IF(Main_M[[#This Row],[BVPS]]&lt;&gt;0,Main_M[[#This Row],[Current Price]]/Main_M[[#This Row],[BVPS]],""),"")</f>
        <v>10.3125</v>
      </c>
      <c r="J46">
        <v>18.07</v>
      </c>
      <c r="K46">
        <v>9.6999999999999993</v>
      </c>
      <c r="L46">
        <v>1.52</v>
      </c>
      <c r="M46" s="1">
        <f>IF(ISNUMBER(Main_M[[#This Row],[EPS]]),IF(Main_M[[#This Row],[EPS]]&lt;&gt;0,Main_M[[#This Row],[Current Price]]/Main_M[[#This Row],[EPS]],""),"")</f>
        <v>61.875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7.7467231027532106</v>
      </c>
      <c r="P46" s="1">
        <f>(Main_M[[#This Row],[P/B]]-VLOOKUP(Main_M[[#This Row],[Industry]], Mean_PB_M, 2, FALSE))/(VLOOKUP(Main_M[[#This Row],[Industry]], Mean_PB_M, 3, FALSE))</f>
        <v>7.513563283534876</v>
      </c>
      <c r="Q46" s="1">
        <f>(Main_M[[#This Row],[ROE]]-VLOOKUP(Main_M[[#This Row],[Industry]], Mean_ROE_M, 2, FALSE))/(VLOOKUP(Main_M[[#This Row],[Industry]], Mean_ROE_M, 3, FALSE))</f>
        <v>0.21258562369917494</v>
      </c>
      <c r="R46" s="1">
        <f>(Main_M[[#This Row],[ROA]]-VLOOKUP(Main_M[[#This Row],[Industry]], Mean_ROA_M, 2, FALSE))/(VLOOKUP(Main_M[[#This Row],[Industry]], Mean_ROA_M, 3, FALSE))</f>
        <v>0.98958206921495406</v>
      </c>
      <c r="S46" s="1">
        <f>(Main_M[[#This Row],[A/E]]-VLOOKUP(Main_M[[#This Row],[Industry]], Mean_AE_M, 2, FALSE))/(VLOOKUP(Main_M[[#This Row],[Industry]], Mean_AE_M, 3, FALSE))</f>
        <v>-0.89521524679024578</v>
      </c>
      <c r="T46" s="1">
        <f>(Main_M[[#This Row],[P/E]]-VLOOKUP(Main_M[[#This Row],[Industry]], Mean_PE_M, 2, FALSE))/(VLOOKUP(Main_M[[#This Row],[Industry]], Mean_PE_M, 3, FALSE))</f>
        <v>9.2047008600048166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7" spans="1:26" x14ac:dyDescent="0.25">
      <c r="A47" t="s">
        <v>107</v>
      </c>
      <c r="B47" t="s">
        <v>203</v>
      </c>
      <c r="C47" s="2">
        <v>3195</v>
      </c>
      <c r="D47">
        <f>RTD("tos.rtd", , "LAST", Main_M[[#This Row],[Symbol]])</f>
        <v>3.11</v>
      </c>
      <c r="E47">
        <v>0.28999999999999998</v>
      </c>
      <c r="F47">
        <v>2.27</v>
      </c>
      <c r="G47">
        <v>0.34</v>
      </c>
      <c r="H47" s="1">
        <f>IF(ISNUMBER(Main_M[[#This Row],[Free CF]]),IF(Main_M[[#This Row],[Free CF]]&lt;&gt;0,Main_M[[#This Row],[Current Price]]/Main_M[[#This Row],[Free CF]],""),"")</f>
        <v>10.724137931034482</v>
      </c>
      <c r="I47" s="1">
        <f>IF(ISNUMBER(Main_M[[#This Row],[BVPS]]),IF(Main_M[[#This Row],[BVPS]]&lt;&gt;0,Main_M[[#This Row],[Current Price]]/Main_M[[#This Row],[BVPS]],""),"")</f>
        <v>1.3700440528634361</v>
      </c>
      <c r="J47">
        <v>16.920000000000002</v>
      </c>
      <c r="K47">
        <v>6.15</v>
      </c>
      <c r="L47">
        <v>2.61</v>
      </c>
      <c r="M47" s="1">
        <f>IF(ISNUMBER(Main_M[[#This Row],[EPS]]),IF(Main_M[[#This Row],[EPS]]&lt;&gt;0,Main_M[[#This Row],[Current Price]]/Main_M[[#This Row],[EPS]],""),"")</f>
        <v>9.1470588235294112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0.33345657183811422</v>
      </c>
      <c r="P47" s="1">
        <f>(Main_M[[#This Row],[P/B]]-VLOOKUP(Main_M[[#This Row],[Industry]], Mean_PB_M, 2, FALSE))/(VLOOKUP(Main_M[[#This Row],[Industry]], Mean_PB_M, 3, FALSE))</f>
        <v>-0.31796966734525145</v>
      </c>
      <c r="Q47" s="1">
        <f>(Main_M[[#This Row],[ROE]]-VLOOKUP(Main_M[[#This Row],[Industry]], Mean_ROE_M, 2, FALSE))/(VLOOKUP(Main_M[[#This Row],[Industry]], Mean_ROE_M, 3, FALSE))</f>
        <v>0.18733646213583147</v>
      </c>
      <c r="R47" s="1">
        <f>(Main_M[[#This Row],[ROA]]-VLOOKUP(Main_M[[#This Row],[Industry]], Mean_ROA_M, 2, FALSE))/(VLOOKUP(Main_M[[#This Row],[Industry]], Mean_ROA_M, 3, FALSE))</f>
        <v>0.23095412650306391</v>
      </c>
      <c r="S47" s="1">
        <f>(Main_M[[#This Row],[A/E]]-VLOOKUP(Main_M[[#This Row],[Industry]], Mean_AE_M, 2, FALSE))/(VLOOKUP(Main_M[[#This Row],[Industry]], Mean_AE_M, 3, FALSE))</f>
        <v>0.63743075164122176</v>
      </c>
      <c r="T47" s="1">
        <f>(Main_M[[#This Row],[P/E]]-VLOOKUP(Main_M[[#This Row],[Industry]], Mean_PE_M, 2, FALSE))/(VLOOKUP(Main_M[[#This Row],[Industry]], Mean_PE_M, 3, FALSE))</f>
        <v>6.1758427075665721E-2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8" spans="1:26" x14ac:dyDescent="0.25">
      <c r="A48" t="s">
        <v>107</v>
      </c>
      <c r="B48" t="s">
        <v>204</v>
      </c>
      <c r="C48" s="2">
        <v>3470</v>
      </c>
      <c r="D48">
        <f>RTD("tos.rtd", , "LAST", Main_M[[#This Row],[Symbol]])</f>
        <v>26.2</v>
      </c>
      <c r="E48">
        <v>2.5299999999999998</v>
      </c>
      <c r="F48">
        <v>14.1</v>
      </c>
      <c r="G48">
        <v>2.11</v>
      </c>
      <c r="H48" s="1">
        <f>IF(ISNUMBER(Main_M[[#This Row],[Free CF]]),IF(Main_M[[#This Row],[Free CF]]&lt;&gt;0,Main_M[[#This Row],[Current Price]]/Main_M[[#This Row],[Free CF]],""),"")</f>
        <v>10.355731225296443</v>
      </c>
      <c r="I48" s="1">
        <f>IF(ISNUMBER(Main_M[[#This Row],[BVPS]]),IF(Main_M[[#This Row],[BVPS]]&lt;&gt;0,Main_M[[#This Row],[Current Price]]/Main_M[[#This Row],[BVPS]],""),"")</f>
        <v>1.8581560283687943</v>
      </c>
      <c r="J48">
        <v>15</v>
      </c>
      <c r="K48">
        <v>7.48</v>
      </c>
      <c r="L48">
        <v>1.6</v>
      </c>
      <c r="M48" s="1">
        <f>IF(ISNUMBER(Main_M[[#This Row],[EPS]]),IF(Main_M[[#This Row],[EPS]]&lt;&gt;0,Main_M[[#This Row],[Current Price]]/Main_M[[#This Row],[EPS]],""),"")</f>
        <v>12.417061611374407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0.30818638616363198</v>
      </c>
      <c r="P48" s="1">
        <f>(Main_M[[#This Row],[P/B]]-VLOOKUP(Main_M[[#This Row],[Industry]], Mean_PB_M, 2, FALSE))/(VLOOKUP(Main_M[[#This Row],[Industry]], Mean_PB_M, 3, FALSE))</f>
        <v>0.10950406498143112</v>
      </c>
      <c r="Q48" s="1">
        <f>(Main_M[[#This Row],[ROE]]-VLOOKUP(Main_M[[#This Row],[Industry]], Mean_ROE_M, 2, FALSE))/(VLOOKUP(Main_M[[#This Row],[Industry]], Mean_ROE_M, 3, FALSE))</f>
        <v>0.14518134022137968</v>
      </c>
      <c r="R48" s="1">
        <f>(Main_M[[#This Row],[ROA]]-VLOOKUP(Main_M[[#This Row],[Industry]], Mean_ROA_M, 2, FALSE))/(VLOOKUP(Main_M[[#This Row],[Industry]], Mean_ROA_M, 3, FALSE))</f>
        <v>0.51517248250498338</v>
      </c>
      <c r="S48" s="1">
        <f>(Main_M[[#This Row],[A/E]]-VLOOKUP(Main_M[[#This Row],[Industry]], Mean_AE_M, 2, FALSE))/(VLOOKUP(Main_M[[#This Row],[Industry]], Mean_AE_M, 3, FALSE))</f>
        <v>-0.78272746708885355</v>
      </c>
      <c r="T48" s="1">
        <f>(Main_M[[#This Row],[P/E]]-VLOOKUP(Main_M[[#This Row],[Industry]], Mean_PE_M, 2, FALSE))/(VLOOKUP(Main_M[[#This Row],[Industry]], Mean_PE_M, 3, FALSE))</f>
        <v>0.62877178996657501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107</v>
      </c>
      <c r="B49" t="s">
        <v>205</v>
      </c>
      <c r="C49" s="2">
        <v>4011</v>
      </c>
      <c r="D49">
        <f>RTD("tos.rtd", , "LAST", Main_M[[#This Row],[Symbol]])</f>
        <v>74.84</v>
      </c>
      <c r="E49">
        <v>10.050000000000001</v>
      </c>
      <c r="F49">
        <v>53.33</v>
      </c>
      <c r="G49">
        <v>9.61</v>
      </c>
      <c r="H49" s="1">
        <f>IF(ISNUMBER(Main_M[[#This Row],[Free CF]]),IF(Main_M[[#This Row],[Free CF]]&lt;&gt;0,Main_M[[#This Row],[Current Price]]/Main_M[[#This Row],[Free CF]],""),"")</f>
        <v>7.4467661691542286</v>
      </c>
      <c r="I49" s="1">
        <f>IF(ISNUMBER(Main_M[[#This Row],[BVPS]]),IF(Main_M[[#This Row],[BVPS]]&lt;&gt;0,Main_M[[#This Row],[Current Price]]/Main_M[[#This Row],[BVPS]],""),"")</f>
        <v>1.403337708606788</v>
      </c>
      <c r="J49">
        <v>19.670000000000002</v>
      </c>
      <c r="K49">
        <v>7.45</v>
      </c>
      <c r="L49">
        <v>1.84</v>
      </c>
      <c r="M49" s="1">
        <f>IF(ISNUMBER(Main_M[[#This Row],[EPS]]),IF(Main_M[[#This Row],[EPS]]&lt;&gt;0,Main_M[[#This Row],[Current Price]]/Main_M[[#This Row],[EPS]],""),"")</f>
        <v>7.7877211238293453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0.10865123670963463</v>
      </c>
      <c r="P49" s="1">
        <f>(Main_M[[#This Row],[P/B]]-VLOOKUP(Main_M[[#This Row],[Industry]], Mean_PB_M, 2, FALSE))/(VLOOKUP(Main_M[[#This Row],[Industry]], Mean_PB_M, 3, FALSE))</f>
        <v>-0.28881208876161746</v>
      </c>
      <c r="Q49" s="1">
        <f>(Main_M[[#This Row],[ROE]]-VLOOKUP(Main_M[[#This Row],[Industry]], Mean_ROE_M, 2, FALSE))/(VLOOKUP(Main_M[[#This Row],[Industry]], Mean_ROE_M, 3, FALSE))</f>
        <v>0.24771489196121807</v>
      </c>
      <c r="R49" s="1">
        <f>(Main_M[[#This Row],[ROA]]-VLOOKUP(Main_M[[#This Row],[Industry]], Mean_ROA_M, 2, FALSE))/(VLOOKUP(Main_M[[#This Row],[Industry]], Mean_ROA_M, 3, FALSE))</f>
        <v>0.50876154214403779</v>
      </c>
      <c r="S49" s="1">
        <f>(Main_M[[#This Row],[A/E]]-VLOOKUP(Main_M[[#This Row],[Industry]], Mean_AE_M, 2, FALSE))/(VLOOKUP(Main_M[[#This Row],[Industry]], Mean_AE_M, 3, FALSE))</f>
        <v>-0.44526412798467713</v>
      </c>
      <c r="T49" s="1">
        <f>(Main_M[[#This Row],[P/E]]-VLOOKUP(Main_M[[#This Row],[Industry]], Mean_PE_M, 2, FALSE))/(VLOOKUP(Main_M[[#This Row],[Industry]], Mean_PE_M, 3, FALSE))</f>
        <v>-0.17394860145542518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t="s">
        <v>107</v>
      </c>
      <c r="B50" t="s">
        <v>206</v>
      </c>
      <c r="C50" s="2">
        <v>3173</v>
      </c>
      <c r="D50">
        <f>RTD("tos.rtd", , "LAST", Main_M[[#This Row],[Symbol]])</f>
        <v>5.7</v>
      </c>
      <c r="E50">
        <v>-0.19</v>
      </c>
      <c r="F50">
        <v>1.44</v>
      </c>
      <c r="G50">
        <v>-0.1</v>
      </c>
      <c r="H50" s="1">
        <f>IF(ISNUMBER(Main_M[[#This Row],[Free CF]]),IF(Main_M[[#This Row],[Free CF]]&lt;&gt;0,Main_M[[#This Row],[Current Price]]/Main_M[[#This Row],[Free CF]],""),"")</f>
        <v>-30</v>
      </c>
      <c r="I50" s="1">
        <f>IF(ISNUMBER(Main_M[[#This Row],[BVPS]]),IF(Main_M[[#This Row],[BVPS]]&lt;&gt;0,Main_M[[#This Row],[Current Price]]/Main_M[[#This Row],[BVPS]],""),"")</f>
        <v>3.9583333333333335</v>
      </c>
      <c r="J50">
        <v>-7.76</v>
      </c>
      <c r="K50">
        <v>-3.67</v>
      </c>
      <c r="L50">
        <v>1.41</v>
      </c>
      <c r="M50" s="1">
        <f>IF(ISNUMBER(Main_M[[#This Row],[EPS]]),IF(Main_M[[#This Row],[EPS]]&lt;&gt;0,Main_M[[#This Row],[Current Price]]/Main_M[[#This Row],[EPS]],""),"")</f>
        <v>-57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-2.4599413520374296</v>
      </c>
      <c r="P50" s="1">
        <f>(Main_M[[#This Row],[P/B]]-VLOOKUP(Main_M[[#This Row],[Industry]], Mean_PB_M, 2, FALSE))/(VLOOKUP(Main_M[[#This Row],[Industry]], Mean_PB_M, 3, FALSE))</f>
        <v>1.9487759455196907</v>
      </c>
      <c r="Q50" s="1">
        <f>(Main_M[[#This Row],[ROE]]-VLOOKUP(Main_M[[#This Row],[Industry]], Mean_ROE_M, 2, FALSE))/(VLOOKUP(Main_M[[#This Row],[Industry]], Mean_ROE_M, 3, FALSE))</f>
        <v>-0.35453250080618365</v>
      </c>
      <c r="R50" s="1">
        <f>(Main_M[[#This Row],[ROA]]-VLOOKUP(Main_M[[#This Row],[Industry]], Mean_ROA_M, 2, FALSE))/(VLOOKUP(Main_M[[#This Row],[Industry]], Mean_ROA_M, 3, FALSE))</f>
        <v>-1.867560351646447</v>
      </c>
      <c r="S50" s="1">
        <f>(Main_M[[#This Row],[A/E]]-VLOOKUP(Main_M[[#This Row],[Industry]], Mean_AE_M, 2, FALSE))/(VLOOKUP(Main_M[[#This Row],[Industry]], Mean_AE_M, 3, FALSE))</f>
        <v>-1.0498859438796599</v>
      </c>
      <c r="T50" s="1">
        <f>(Main_M[[#This Row],[P/E]]-VLOOKUP(Main_M[[#This Row],[Industry]], Mean_PE_M, 2, FALSE))/(VLOOKUP(Main_M[[#This Row],[Industry]], Mean_PE_M, 3, FALSE))</f>
        <v>-11.408037992758477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t="s">
        <v>107</v>
      </c>
      <c r="B51" t="s">
        <v>207</v>
      </c>
      <c r="C51" s="2">
        <v>2454</v>
      </c>
      <c r="D51">
        <f>RTD("tos.rtd", , "LAST", Main_M[[#This Row],[Symbol]])</f>
        <v>5.63</v>
      </c>
      <c r="E51">
        <v>-0.12</v>
      </c>
      <c r="F51">
        <v>2.0499999999999998</v>
      </c>
      <c r="G51">
        <v>-0.16</v>
      </c>
      <c r="H51" s="1">
        <f>IF(ISNUMBER(Main_M[[#This Row],[Free CF]]),IF(Main_M[[#This Row],[Free CF]]&lt;&gt;0,Main_M[[#This Row],[Current Price]]/Main_M[[#This Row],[Free CF]],""),"")</f>
        <v>-46.916666666666664</v>
      </c>
      <c r="I51" s="1">
        <f>IF(ISNUMBER(Main_M[[#This Row],[BVPS]]),IF(Main_M[[#This Row],[BVPS]]&lt;&gt;0,Main_M[[#This Row],[Current Price]]/Main_M[[#This Row],[BVPS]],""),"")</f>
        <v>2.7463414634146344</v>
      </c>
      <c r="J51">
        <v>-7.92</v>
      </c>
      <c r="K51">
        <v>-3.34</v>
      </c>
      <c r="L51">
        <v>1.1200000000000001</v>
      </c>
      <c r="M51" s="1">
        <f>IF(ISNUMBER(Main_M[[#This Row],[EPS]]),IF(Main_M[[#This Row],[EPS]]&lt;&gt;0,Main_M[[#This Row],[Current Price]]/Main_M[[#This Row],[EPS]],""),"")</f>
        <v>-35.1875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-3.6203092308022704</v>
      </c>
      <c r="P51" s="1">
        <f>(Main_M[[#This Row],[P/B]]-VLOOKUP(Main_M[[#This Row],[Industry]], Mean_PB_M, 2, FALSE))/(VLOOKUP(Main_M[[#This Row],[Industry]], Mean_PB_M, 3, FALSE))</f>
        <v>0.88735005518511878</v>
      </c>
      <c r="Q51" s="1">
        <f>(Main_M[[#This Row],[ROE]]-VLOOKUP(Main_M[[#This Row],[Industry]], Mean_ROE_M, 2, FALSE))/(VLOOKUP(Main_M[[#This Row],[Industry]], Mean_ROE_M, 3, FALSE))</f>
        <v>-0.35804542763238795</v>
      </c>
      <c r="R51" s="1">
        <f>(Main_M[[#This Row],[ROA]]-VLOOKUP(Main_M[[#This Row],[Industry]], Mean_ROA_M, 2, FALSE))/(VLOOKUP(Main_M[[#This Row],[Industry]], Mean_ROA_M, 3, FALSE))</f>
        <v>-1.7970400076760458</v>
      </c>
      <c r="S51" s="1">
        <f>(Main_M[[#This Row],[A/E]]-VLOOKUP(Main_M[[#This Row],[Industry]], Mean_AE_M, 2, FALSE))/(VLOOKUP(Main_M[[#This Row],[Industry]], Mean_AE_M, 3, FALSE))</f>
        <v>-1.4576541452972063</v>
      </c>
      <c r="T51" s="1">
        <f>(Main_M[[#This Row],[P/E]]-VLOOKUP(Main_M[[#This Row],[Industry]], Mean_PE_M, 2, FALSE))/(VLOOKUP(Main_M[[#This Row],[Industry]], Mean_PE_M, 3, FALSE))</f>
        <v>-7.625784649112636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98"/>
  <sheetViews>
    <sheetView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208</v>
      </c>
      <c r="C2" s="2">
        <v>398</v>
      </c>
      <c r="D2">
        <f>RTD("tos.rtd", , "LAST", Main_S[[#This Row],[Symbol]])</f>
        <v>1.85</v>
      </c>
      <c r="E2">
        <v>-1.32</v>
      </c>
      <c r="F2">
        <v>4.0599999999999996</v>
      </c>
      <c r="G2">
        <v>0.32</v>
      </c>
      <c r="H2" s="1">
        <f>IF(ISNUMBER(Main_S[[#This Row],[Free CF]]),IF(Main_S[[#This Row],[Free CF]]&lt;&gt;0,Main_S[[#This Row],[Current Price]]/Main_S[[#This Row],[Free CF]],""),"")</f>
        <v>-1.4015151515151516</v>
      </c>
      <c r="I2" s="1">
        <f>IF(ISNUMBER(Main_S[[#This Row],[BVPS]]),IF(Main_S[[#This Row],[BVPS]]&lt;&gt;0,Main_S[[#This Row],[Current Price]]/Main_S[[#This Row],[BVPS]],""),"")</f>
        <v>0.45566502463054193</v>
      </c>
      <c r="J2">
        <v>8.3000000000000007</v>
      </c>
      <c r="K2">
        <v>7.19</v>
      </c>
      <c r="L2">
        <v>3.44</v>
      </c>
      <c r="M2" s="1">
        <f>IF(ISNUMBER(Main_S[[#This Row],[EPS]]),IF(Main_S[[#This Row],[EPS]]&lt;&gt;0,Main_S[[#This Row],[Current Price]]/Main_S[[#This Row],[EPS]],""),"")</f>
        <v>5.78125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-0.89935959157983625</v>
      </c>
      <c r="P2" s="1">
        <f>(Main_S[[#This Row],[P/B]]-VLOOKUP(Main_S[[#This Row],[Industry]], Mean_PB_S, 2, FALSE))/(VLOOKUP(Main_S[[#This Row],[Industry]], Mean_PB_S, 3, FALSE))</f>
        <v>-1.1853984659954131</v>
      </c>
      <c r="Q2" s="1">
        <f>(Main_S[[#This Row],[ROE]]-VLOOKUP(Main_S[[#This Row],[Industry]], Mean_ROE_S, 2, FALSE))/(VLOOKUP(Main_S[[#This Row],[Industry]], Mean_ROE_S, 3, FALSE))</f>
        <v>-0.18166838186977488</v>
      </c>
      <c r="R2" s="1">
        <f>(Main_S[[#This Row],[ROA]]-VLOOKUP(Main_S[[#This Row],[Industry]], Mean_ROA_S, 2, FALSE))/(VLOOKUP(Main_S[[#This Row],[Industry]], Mean_ROA_S, 3, FALSE))</f>
        <v>1.3056410516893457</v>
      </c>
      <c r="S2" s="1">
        <f>(Main_S[[#This Row],[A/E]]-VLOOKUP(Main_S[[#This Row],[Industry]], Mean_AE_S, 2, FALSE))/(VLOOKUP(Main_S[[#This Row],[Industry]], Mean_AE_S, 3, FALSE))</f>
        <v>1.5807682546307538</v>
      </c>
      <c r="T2" s="1">
        <f>(Main_S[[#This Row],[P/E]]-VLOOKUP(Main_S[[#This Row],[Industry]], Mean_PE_S, 2, FALSE))/(VLOOKUP(Main_S[[#This Row],[Industry]], Mean_PE_S, 3, FALSE))</f>
        <v>-0.64099823000812761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106</v>
      </c>
      <c r="B3" t="s">
        <v>209</v>
      </c>
      <c r="C3" s="2">
        <v>1898</v>
      </c>
      <c r="D3">
        <f>RTD("tos.rtd", , "LAST", Main_S[[#This Row],[Symbol]])</f>
        <v>19.12</v>
      </c>
      <c r="E3">
        <v>2.06</v>
      </c>
      <c r="F3">
        <v>29.71</v>
      </c>
      <c r="G3">
        <v>3.03</v>
      </c>
      <c r="H3" s="1">
        <f>IF(ISNUMBER(Main_S[[#This Row],[Free CF]]),IF(Main_S[[#This Row],[Free CF]]&lt;&gt;0,Main_S[[#This Row],[Current Price]]/Main_S[[#This Row],[Free CF]],""),"")</f>
        <v>9.2815533980582519</v>
      </c>
      <c r="I3" s="1">
        <f>IF(ISNUMBER(Main_S[[#This Row],[BVPS]]),IF(Main_S[[#This Row],[BVPS]]&lt;&gt;0,Main_S[[#This Row],[Current Price]]/Main_S[[#This Row],[BVPS]],""),"")</f>
        <v>0.64355435880175027</v>
      </c>
      <c r="J3">
        <v>10.65</v>
      </c>
      <c r="K3">
        <v>5.34</v>
      </c>
      <c r="L3">
        <v>1.97</v>
      </c>
      <c r="M3" s="1">
        <f>IF(ISNUMBER(Main_S[[#This Row],[EPS]]),IF(Main_S[[#This Row],[EPS]]&lt;&gt;0,Main_S[[#This Row],[Current Price]]/Main_S[[#This Row],[EPS]],""),"")</f>
        <v>6.3102310231023111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0.32320260761657787</v>
      </c>
      <c r="P3" s="1">
        <f>(Main_S[[#This Row],[P/B]]-VLOOKUP(Main_S[[#This Row],[Industry]], Mean_PB_S, 2, FALSE))/(VLOOKUP(Main_S[[#This Row],[Industry]], Mean_PB_S, 3, FALSE))</f>
        <v>-0.8945822356537787</v>
      </c>
      <c r="Q3" s="1">
        <f>(Main_S[[#This Row],[ROE]]-VLOOKUP(Main_S[[#This Row],[Industry]], Mean_ROE_S, 2, FALSE))/(VLOOKUP(Main_S[[#This Row],[Industry]], Mean_ROE_S, 3, FALSE))</f>
        <v>0.1891949035376182</v>
      </c>
      <c r="R3" s="1">
        <f>(Main_S[[#This Row],[ROA]]-VLOOKUP(Main_S[[#This Row],[Industry]], Mean_ROA_S, 2, FALSE))/(VLOOKUP(Main_S[[#This Row],[Industry]], Mean_ROA_S, 3, FALSE))</f>
        <v>0.37713739329412194</v>
      </c>
      <c r="S3" s="1">
        <f>(Main_S[[#This Row],[A/E]]-VLOOKUP(Main_S[[#This Row],[Industry]], Mean_AE_S, 2, FALSE))/(VLOOKUP(Main_S[[#This Row],[Industry]], Mean_AE_S, 3, FALSE))</f>
        <v>-0.16968698778522254</v>
      </c>
      <c r="T3" s="1">
        <f>(Main_S[[#This Row],[P/E]]-VLOOKUP(Main_S[[#This Row],[Industry]], Mean_PE_S, 2, FALSE))/(VLOOKUP(Main_S[[#This Row],[Industry]], Mean_PE_S, 3, FALSE))</f>
        <v>-0.58215221133121897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106</v>
      </c>
      <c r="B4" t="s">
        <v>210</v>
      </c>
      <c r="C4" s="2">
        <v>374</v>
      </c>
      <c r="D4">
        <f>RTD("tos.rtd", , "LAST", Main_S[[#This Row],[Symbol]])</f>
        <v>31.65</v>
      </c>
      <c r="E4">
        <v>1.47</v>
      </c>
      <c r="F4">
        <v>32.76</v>
      </c>
      <c r="G4">
        <v>-14.66</v>
      </c>
      <c r="H4" s="1">
        <f>IF(ISNUMBER(Main_S[[#This Row],[Free CF]]),IF(Main_S[[#This Row],[Free CF]]&lt;&gt;0,Main_S[[#This Row],[Current Price]]/Main_S[[#This Row],[Free CF]],""),"")</f>
        <v>21.530612244897959</v>
      </c>
      <c r="I4" s="1">
        <f>IF(ISNUMBER(Main_S[[#This Row],[BVPS]]),IF(Main_S[[#This Row],[BVPS]]&lt;&gt;0,Main_S[[#This Row],[Current Price]]/Main_S[[#This Row],[BVPS]],""),"")</f>
        <v>0.96611721611721613</v>
      </c>
      <c r="J4">
        <v>-1.6</v>
      </c>
      <c r="K4">
        <v>3.05</v>
      </c>
      <c r="L4">
        <v>14.74</v>
      </c>
      <c r="M4" s="1">
        <f>IF(ISNUMBER(Main_S[[#This Row],[EPS]]),IF(Main_S[[#This Row],[EPS]]&lt;&gt;0,Main_S[[#This Row],[Current Price]]/Main_S[[#This Row],[EPS]],""),"")</f>
        <v>-2.1589358799454295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1.7249755394655115</v>
      </c>
      <c r="P4" s="1">
        <f>(Main_S[[#This Row],[P/B]]-VLOOKUP(Main_S[[#This Row],[Industry]], Mean_PB_S, 2, FALSE))/(VLOOKUP(Main_S[[#This Row],[Industry]], Mean_PB_S, 3, FALSE))</f>
        <v>-0.3953175241868041</v>
      </c>
      <c r="Q4" s="1">
        <f>(Main_S[[#This Row],[ROE]]-VLOOKUP(Main_S[[#This Row],[Industry]], Mean_ROE_S, 2, FALSE))/(VLOOKUP(Main_S[[#This Row],[Industry]], Mean_ROE_S, 3, FALSE))</f>
        <v>-1.7440286055009204</v>
      </c>
      <c r="R4" s="1">
        <f>(Main_S[[#This Row],[ROA]]-VLOOKUP(Main_S[[#This Row],[Industry]], Mean_ROA_S, 2, FALSE))/(VLOOKUP(Main_S[[#This Row],[Industry]], Mean_ROA_S, 3, FALSE))</f>
        <v>-0.77219956763834419</v>
      </c>
      <c r="S4" s="1">
        <f>(Main_S[[#This Row],[A/E]]-VLOOKUP(Main_S[[#This Row],[Industry]], Mean_AE_S, 2, FALSE))/(VLOOKUP(Main_S[[#This Row],[Industry]], Mean_AE_S, 3, FALSE))</f>
        <v>15.036648689529075</v>
      </c>
      <c r="T4" s="1">
        <f>(Main_S[[#This Row],[P/E]]-VLOOKUP(Main_S[[#This Row],[Industry]], Mean_PE_S, 2, FALSE))/(VLOOKUP(Main_S[[#This Row],[Industry]], Mean_PE_S, 3, FALSE))</f>
        <v>-1.5242970747362956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106</v>
      </c>
      <c r="B5" t="s">
        <v>211</v>
      </c>
      <c r="C5" s="2">
        <v>537</v>
      </c>
      <c r="D5">
        <f>RTD("tos.rtd", , "LAST", Main_S[[#This Row],[Symbol]])</f>
        <v>45.46</v>
      </c>
      <c r="E5">
        <v>12.8</v>
      </c>
      <c r="F5">
        <v>87.16</v>
      </c>
      <c r="G5">
        <v>5.2</v>
      </c>
      <c r="H5" s="1">
        <f>IF(ISNUMBER(Main_S[[#This Row],[Free CF]]),IF(Main_S[[#This Row],[Free CF]]&lt;&gt;0,Main_S[[#This Row],[Current Price]]/Main_S[[#This Row],[Free CF]],""),"")</f>
        <v>3.5515624999999997</v>
      </c>
      <c r="I5" s="1">
        <f>IF(ISNUMBER(Main_S[[#This Row],[BVPS]]),IF(Main_S[[#This Row],[BVPS]]&lt;&gt;0,Main_S[[#This Row],[Current Price]]/Main_S[[#This Row],[BVPS]],""),"")</f>
        <v>0.52156952730610373</v>
      </c>
      <c r="J5">
        <v>6.58</v>
      </c>
      <c r="K5">
        <v>4.43</v>
      </c>
      <c r="L5">
        <v>1.72</v>
      </c>
      <c r="M5" s="1">
        <f>IF(ISNUMBER(Main_S[[#This Row],[EPS]]),IF(Main_S[[#This Row],[EPS]]&lt;&gt;0,Main_S[[#This Row],[Current Price]]/Main_S[[#This Row],[EPS]],""),"")</f>
        <v>8.7423076923076923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-0.33253317103152108</v>
      </c>
      <c r="P5" s="1">
        <f>(Main_S[[#This Row],[P/B]]-VLOOKUP(Main_S[[#This Row],[Industry]], Mean_PB_S, 2, FALSE))/(VLOOKUP(Main_S[[#This Row],[Industry]], Mean_PB_S, 3, FALSE))</f>
        <v>-1.0833910842821832</v>
      </c>
      <c r="Q5" s="1">
        <f>(Main_S[[#This Row],[ROE]]-VLOOKUP(Main_S[[#This Row],[Industry]], Mean_ROE_S, 2, FALSE))/(VLOOKUP(Main_S[[#This Row],[Industry]], Mean_ROE_S, 3, FALSE))</f>
        <v>-0.45310874395518613</v>
      </c>
      <c r="R5" s="1">
        <f>(Main_S[[#This Row],[ROA]]-VLOOKUP(Main_S[[#This Row],[Industry]], Mean_ROA_S, 2, FALSE))/(VLOOKUP(Main_S[[#This Row],[Industry]], Mean_ROA_S, 3, FALSE))</f>
        <v>-7.9586027862447645E-2</v>
      </c>
      <c r="S5" s="1">
        <f>(Main_S[[#This Row],[A/E]]-VLOOKUP(Main_S[[#This Row],[Industry]], Mean_AE_S, 2, FALSE))/(VLOOKUP(Main_S[[#This Row],[Industry]], Mean_AE_S, 3, FALSE))</f>
        <v>-0.46738345758385796</v>
      </c>
      <c r="T5" s="1">
        <f>(Main_S[[#This Row],[P/E]]-VLOOKUP(Main_S[[#This Row],[Industry]], Mean_PE_S, 2, FALSE))/(VLOOKUP(Main_S[[#This Row],[Industry]], Mean_PE_S, 3, FALSE))</f>
        <v>-0.31159802725030317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t="s">
        <v>106</v>
      </c>
      <c r="B6" t="s">
        <v>212</v>
      </c>
      <c r="C6" s="2">
        <v>1415</v>
      </c>
      <c r="D6">
        <f>RTD("tos.rtd", , "LAST", Main_S[[#This Row],[Symbol]])</f>
        <v>24.69</v>
      </c>
      <c r="E6">
        <v>-1.01</v>
      </c>
      <c r="F6">
        <v>46.95</v>
      </c>
      <c r="G6">
        <v>6.37</v>
      </c>
      <c r="H6" s="1">
        <f>IF(ISNUMBER(Main_S[[#This Row],[Free CF]]),IF(Main_S[[#This Row],[Free CF]]&lt;&gt;0,Main_S[[#This Row],[Current Price]]/Main_S[[#This Row],[Free CF]],""),"")</f>
        <v>-24.445544554455445</v>
      </c>
      <c r="I6" s="1">
        <f>IF(ISNUMBER(Main_S[[#This Row],[BVPS]]),IF(Main_S[[#This Row],[BVPS]]&lt;&gt;0,Main_S[[#This Row],[Current Price]]/Main_S[[#This Row],[BVPS]],""),"")</f>
        <v>0.52587859424920125</v>
      </c>
      <c r="J6">
        <v>15.12</v>
      </c>
      <c r="K6">
        <v>3.02</v>
      </c>
      <c r="L6">
        <v>1.42</v>
      </c>
      <c r="M6" s="1">
        <f>IF(ISNUMBER(Main_S[[#This Row],[EPS]]),IF(Main_S[[#This Row],[EPS]]&lt;&gt;0,Main_S[[#This Row],[Current Price]]/Main_S[[#This Row],[EPS]],""),"")</f>
        <v>3.8759811616954476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-3.5365007027197168</v>
      </c>
      <c r="P6" s="1">
        <f>(Main_S[[#This Row],[P/B]]-VLOOKUP(Main_S[[#This Row],[Industry]], Mean_PB_S, 2, FALSE))/(VLOOKUP(Main_S[[#This Row],[Industry]], Mean_PB_S, 3, FALSE))</f>
        <v>-1.0767214848064648</v>
      </c>
      <c r="Q6" s="1">
        <f>(Main_S[[#This Row],[ROE]]-VLOOKUP(Main_S[[#This Row],[Industry]], Mean_ROE_S, 2, FALSE))/(VLOOKUP(Main_S[[#This Row],[Industry]], Mean_ROE_S, 3, FALSE))</f>
        <v>0.89462421663168068</v>
      </c>
      <c r="R6" s="1">
        <f>(Main_S[[#This Row],[ROA]]-VLOOKUP(Main_S[[#This Row],[Industry]], Mean_ROA_S, 2, FALSE))/(VLOOKUP(Main_S[[#This Row],[Industry]], Mean_ROA_S, 3, FALSE))</f>
        <v>-0.78725638372042872</v>
      </c>
      <c r="S6" s="1">
        <f>(Main_S[[#This Row],[A/E]]-VLOOKUP(Main_S[[#This Row],[Industry]], Mean_AE_S, 2, FALSE))/(VLOOKUP(Main_S[[#This Row],[Industry]], Mean_AE_S, 3, FALSE))</f>
        <v>-0.82461922134222054</v>
      </c>
      <c r="T6" s="1">
        <f>(Main_S[[#This Row],[P/E]]-VLOOKUP(Main_S[[#This Row],[Industry]], Mean_PE_S, 2, FALSE))/(VLOOKUP(Main_S[[#This Row],[Industry]], Mean_PE_S, 3, FALSE))</f>
        <v>-0.85294815022618631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106</v>
      </c>
      <c r="B7" t="s">
        <v>213</v>
      </c>
      <c r="C7" s="2">
        <v>678</v>
      </c>
      <c r="D7">
        <f>RTD("tos.rtd", , "LAST", Main_S[[#This Row],[Symbol]])</f>
        <v>5.69</v>
      </c>
      <c r="E7">
        <v>0.7</v>
      </c>
      <c r="F7">
        <v>6.29</v>
      </c>
      <c r="G7">
        <v>-1.38</v>
      </c>
      <c r="H7" s="1">
        <f>IF(ISNUMBER(Main_S[[#This Row],[Free CF]]),IF(Main_S[[#This Row],[Free CF]]&lt;&gt;0,Main_S[[#This Row],[Current Price]]/Main_S[[#This Row],[Free CF]],""),"")</f>
        <v>8.1285714285714299</v>
      </c>
      <c r="I7" s="1">
        <f>IF(ISNUMBER(Main_S[[#This Row],[BVPS]]),IF(Main_S[[#This Row],[BVPS]]&lt;&gt;0,Main_S[[#This Row],[Current Price]]/Main_S[[#This Row],[BVPS]],""),"")</f>
        <v>0.90461049284578698</v>
      </c>
      <c r="J7">
        <v>-16.84</v>
      </c>
      <c r="K7">
        <v>0.73</v>
      </c>
      <c r="L7">
        <v>2.97</v>
      </c>
      <c r="M7" s="1">
        <f>IF(ISNUMBER(Main_S[[#This Row],[EPS]]),IF(Main_S[[#This Row],[EPS]]&lt;&gt;0,Main_S[[#This Row],[Current Price]]/Main_S[[#This Row],[EPS]],""),"")</f>
        <v>-4.1231884057971024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0.19125623231171196</v>
      </c>
      <c r="P7" s="1">
        <f>(Main_S[[#This Row],[P/B]]-VLOOKUP(Main_S[[#This Row],[Industry]], Mean_PB_S, 2, FALSE))/(VLOOKUP(Main_S[[#This Row],[Industry]], Mean_PB_S, 3, FALSE))</f>
        <v>-0.49051799674882829</v>
      </c>
      <c r="Q7" s="1">
        <f>(Main_S[[#This Row],[ROE]]-VLOOKUP(Main_S[[#This Row],[Industry]], Mean_ROE_S, 2, FALSE))/(VLOOKUP(Main_S[[#This Row],[Industry]], Mean_ROE_S, 3, FALSE))</f>
        <v>-4.1491164649088654</v>
      </c>
      <c r="R7" s="1">
        <f>(Main_S[[#This Row],[ROA]]-VLOOKUP(Main_S[[#This Row],[Industry]], Mean_ROA_S, 2, FALSE))/(VLOOKUP(Main_S[[#This Row],[Industry]], Mean_ROA_S, 3, FALSE))</f>
        <v>-1.9365933446528949</v>
      </c>
      <c r="S7" s="1">
        <f>(Main_S[[#This Row],[A/E]]-VLOOKUP(Main_S[[#This Row],[Industry]], Mean_AE_S, 2, FALSE))/(VLOOKUP(Main_S[[#This Row],[Industry]], Mean_AE_S, 3, FALSE))</f>
        <v>1.0210988914093195</v>
      </c>
      <c r="T7" s="1">
        <f>(Main_S[[#This Row],[P/E]]-VLOOKUP(Main_S[[#This Row],[Industry]], Mean_PE_S, 2, FALSE))/(VLOOKUP(Main_S[[#This Row],[Industry]], Mean_PE_S, 3, FALSE))</f>
        <v>-1.7428085822844153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106</v>
      </c>
      <c r="B8" t="s">
        <v>214</v>
      </c>
      <c r="C8" s="2">
        <v>1477</v>
      </c>
      <c r="D8">
        <f>RTD("tos.rtd", , "LAST", Main_S[[#This Row],[Symbol]])</f>
        <v>13.36</v>
      </c>
      <c r="E8">
        <v>-1.08</v>
      </c>
      <c r="F8">
        <v>11</v>
      </c>
      <c r="G8">
        <v>0.3</v>
      </c>
      <c r="H8" s="1">
        <f>IF(ISNUMBER(Main_S[[#This Row],[Free CF]]),IF(Main_S[[#This Row],[Free CF]]&lt;&gt;0,Main_S[[#This Row],[Current Price]]/Main_S[[#This Row],[Free CF]],""),"")</f>
        <v>-12.370370370370368</v>
      </c>
      <c r="I8" s="1">
        <f>IF(ISNUMBER(Main_S[[#This Row],[BVPS]]),IF(Main_S[[#This Row],[BVPS]]&lt;&gt;0,Main_S[[#This Row],[Current Price]]/Main_S[[#This Row],[BVPS]],""),"")</f>
        <v>1.2145454545454546</v>
      </c>
      <c r="J8">
        <v>2.9</v>
      </c>
      <c r="K8">
        <v>3.2</v>
      </c>
      <c r="L8">
        <v>1.76</v>
      </c>
      <c r="M8" s="1">
        <f>IF(ISNUMBER(Main_S[[#This Row],[EPS]]),IF(Main_S[[#This Row],[EPS]]&lt;&gt;0,Main_S[[#This Row],[Current Price]]/Main_S[[#This Row],[EPS]],""),"")</f>
        <v>44.533333333333331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-2.1546269987674642</v>
      </c>
      <c r="P8" s="1">
        <f>(Main_S[[#This Row],[P/B]]-VLOOKUP(Main_S[[#This Row],[Industry]], Mean_PB_S, 2, FALSE))/(VLOOKUP(Main_S[[#This Row],[Industry]], Mean_PB_S, 3, FALSE))</f>
        <v>-1.0798817317151373E-2</v>
      </c>
      <c r="Q8" s="1">
        <f>(Main_S[[#This Row],[ROE]]-VLOOKUP(Main_S[[#This Row],[Industry]], Mean_ROE_S, 2, FALSE))/(VLOOKUP(Main_S[[#This Row],[Industry]], Mean_ROE_S, 3, FALSE))</f>
        <v>-1.0338648674867634</v>
      </c>
      <c r="R8" s="1">
        <f>(Main_S[[#This Row],[ROA]]-VLOOKUP(Main_S[[#This Row],[Industry]], Mean_ROA_S, 2, FALSE))/(VLOOKUP(Main_S[[#This Row],[Industry]], Mean_ROA_S, 3, FALSE))</f>
        <v>-0.6969154872279204</v>
      </c>
      <c r="S8" s="1">
        <f>(Main_S[[#This Row],[A/E]]-VLOOKUP(Main_S[[#This Row],[Industry]], Mean_AE_S, 2, FALSE))/(VLOOKUP(Main_S[[#This Row],[Industry]], Mean_AE_S, 3, FALSE))</f>
        <v>-0.41975202241607623</v>
      </c>
      <c r="T8" s="1">
        <f>(Main_S[[#This Row],[P/E]]-VLOOKUP(Main_S[[#This Row],[Industry]], Mean_PE_S, 2, FALSE))/(VLOOKUP(Main_S[[#This Row],[Industry]], Mean_PE_S, 3, FALSE))</f>
        <v>3.6699424654228308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t="s">
        <v>106</v>
      </c>
      <c r="B9" t="s">
        <v>105</v>
      </c>
      <c r="C9" s="2">
        <v>649</v>
      </c>
      <c r="D9">
        <f>RTD("tos.rtd", , "LAST", Main_S[[#This Row],[Symbol]])</f>
        <v>24.33</v>
      </c>
      <c r="E9">
        <v>2.58</v>
      </c>
      <c r="F9">
        <v>11.3</v>
      </c>
      <c r="G9">
        <v>0.81</v>
      </c>
      <c r="H9" s="1">
        <f>IF(ISNUMBER(Main_S[[#This Row],[Free CF]]),IF(Main_S[[#This Row],[Free CF]]&lt;&gt;0,Main_S[[#This Row],[Current Price]]/Main_S[[#This Row],[Free CF]],""),"")</f>
        <v>9.4302325581395348</v>
      </c>
      <c r="I9" s="1">
        <f>IF(ISNUMBER(Main_S[[#This Row],[BVPS]]),IF(Main_S[[#This Row],[BVPS]]&lt;&gt;0,Main_S[[#This Row],[Current Price]]/Main_S[[#This Row],[BVPS]],""),"")</f>
        <v>2.1530973451327431</v>
      </c>
      <c r="J9">
        <v>8.4600000000000009</v>
      </c>
      <c r="K9">
        <v>4.9800000000000004</v>
      </c>
      <c r="L9">
        <v>4.07</v>
      </c>
      <c r="M9" s="1">
        <f>IF(ISNUMBER(Main_S[[#This Row],[EPS]]),IF(Main_S[[#This Row],[EPS]]&lt;&gt;0,Main_S[[#This Row],[Current Price]]/Main_S[[#This Row],[EPS]],""),"")</f>
        <v>30.037037037037035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0.34021733705317853</v>
      </c>
      <c r="P9" s="1">
        <f>(Main_S[[#This Row],[P/B]]-VLOOKUP(Main_S[[#This Row],[Industry]], Mean_PB_S, 2, FALSE))/(VLOOKUP(Main_S[[#This Row],[Industry]], Mean_PB_S, 3, FALSE))</f>
        <v>1.4418973881624833</v>
      </c>
      <c r="Q9" s="1">
        <f>(Main_S[[#This Row],[ROE]]-VLOOKUP(Main_S[[#This Row],[Industry]], Mean_ROE_S, 2, FALSE))/(VLOOKUP(Main_S[[#This Row],[Industry]], Mean_ROE_S, 3, FALSE))</f>
        <v>-0.15641811562927149</v>
      </c>
      <c r="R9" s="1">
        <f>(Main_S[[#This Row],[ROA]]-VLOOKUP(Main_S[[#This Row],[Industry]], Mean_ROA_S, 2, FALSE))/(VLOOKUP(Main_S[[#This Row],[Industry]], Mean_ROA_S, 3, FALSE))</f>
        <v>0.19645560030910569</v>
      </c>
      <c r="S9" s="1">
        <f>(Main_S[[#This Row],[A/E]]-VLOOKUP(Main_S[[#This Row],[Industry]], Mean_AE_S, 2, FALSE))/(VLOOKUP(Main_S[[#This Row],[Industry]], Mean_AE_S, 3, FALSE))</f>
        <v>2.3309633585233156</v>
      </c>
      <c r="T9" s="1">
        <f>(Main_S[[#This Row],[P/E]]-VLOOKUP(Main_S[[#This Row],[Industry]], Mean_PE_S, 2, FALSE))/(VLOOKUP(Main_S[[#This Row],[Industry]], Mean_PE_S, 3, FALSE))</f>
        <v>2.057315007456602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106</v>
      </c>
      <c r="B10" t="s">
        <v>215</v>
      </c>
      <c r="C10" s="2">
        <v>546</v>
      </c>
      <c r="D10">
        <f>RTD("tos.rtd", , "LAST", Main_S[[#This Row],[Symbol]])</f>
        <v>12.46</v>
      </c>
      <c r="E10">
        <v>0.94</v>
      </c>
      <c r="F10">
        <v>5.43</v>
      </c>
      <c r="G10">
        <v>0.59</v>
      </c>
      <c r="H10" s="1">
        <f>IF(ISNUMBER(Main_S[[#This Row],[Free CF]]),IF(Main_S[[#This Row],[Free CF]]&lt;&gt;0,Main_S[[#This Row],[Current Price]]/Main_S[[#This Row],[Free CF]],""),"")</f>
        <v>13.255319148936172</v>
      </c>
      <c r="I10" s="1">
        <f>IF(ISNUMBER(Main_S[[#This Row],[BVPS]]),IF(Main_S[[#This Row],[BVPS]]&lt;&gt;0,Main_S[[#This Row],[Current Price]]/Main_S[[#This Row],[BVPS]],""),"")</f>
        <v>2.2946593001841622</v>
      </c>
      <c r="J10">
        <v>11.57</v>
      </c>
      <c r="K10">
        <v>5.3</v>
      </c>
      <c r="L10">
        <v>2.33</v>
      </c>
      <c r="M10" s="1">
        <f>IF(ISNUMBER(Main_S[[#This Row],[EPS]]),IF(Main_S[[#This Row],[EPS]]&lt;&gt;0,Main_S[[#This Row],[Current Price]]/Main_S[[#This Row],[EPS]],""),"")</f>
        <v>21.118644067796613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0.77795732279424068</v>
      </c>
      <c r="P10" s="1">
        <f>(Main_S[[#This Row],[P/B]]-VLOOKUP(Main_S[[#This Row],[Industry]], Mean_PB_S, 2, FALSE))/(VLOOKUP(Main_S[[#This Row],[Industry]], Mean_PB_S, 3, FALSE))</f>
        <v>1.6610078252154565</v>
      </c>
      <c r="Q10" s="1">
        <f>(Main_S[[#This Row],[ROE]]-VLOOKUP(Main_S[[#This Row],[Industry]], Mean_ROE_S, 2, FALSE))/(VLOOKUP(Main_S[[#This Row],[Industry]], Mean_ROE_S, 3, FALSE))</f>
        <v>0.33438393442051251</v>
      </c>
      <c r="R10" s="1">
        <f>(Main_S[[#This Row],[ROA]]-VLOOKUP(Main_S[[#This Row],[Industry]], Mean_ROA_S, 2, FALSE))/(VLOOKUP(Main_S[[#This Row],[Industry]], Mean_ROA_S, 3, FALSE))</f>
        <v>0.35706163851800893</v>
      </c>
      <c r="S10" s="1">
        <f>(Main_S[[#This Row],[A/E]]-VLOOKUP(Main_S[[#This Row],[Industry]], Mean_AE_S, 2, FALSE))/(VLOOKUP(Main_S[[#This Row],[Industry]], Mean_AE_S, 3, FALSE))</f>
        <v>0.25899592872481259</v>
      </c>
      <c r="T10" s="1">
        <f>(Main_S[[#This Row],[P/E]]-VLOOKUP(Main_S[[#This Row],[Industry]], Mean_PE_S, 2, FALSE))/(VLOOKUP(Main_S[[#This Row],[Industry]], Mean_PE_S, 3, FALSE))</f>
        <v>1.0651963939039404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106</v>
      </c>
      <c r="B11" t="s">
        <v>216</v>
      </c>
      <c r="C11" s="2">
        <v>848</v>
      </c>
      <c r="D11">
        <f>RTD("tos.rtd", , "LAST", Main_S[[#This Row],[Symbol]])</f>
        <v>7.27</v>
      </c>
      <c r="E11">
        <v>1.99</v>
      </c>
      <c r="F11">
        <v>8.4499999999999993</v>
      </c>
      <c r="G11">
        <v>0.26</v>
      </c>
      <c r="H11" s="1">
        <f>IF(ISNUMBER(Main_S[[#This Row],[Free CF]]),IF(Main_S[[#This Row],[Free CF]]&lt;&gt;0,Main_S[[#This Row],[Current Price]]/Main_S[[#This Row],[Free CF]],""),"")</f>
        <v>3.6532663316582914</v>
      </c>
      <c r="I11" s="1">
        <f>IF(ISNUMBER(Main_S[[#This Row],[BVPS]]),IF(Main_S[[#This Row],[BVPS]]&lt;&gt;0,Main_S[[#This Row],[Current Price]]/Main_S[[#This Row],[BVPS]],""),"")</f>
        <v>0.86035502958579879</v>
      </c>
      <c r="J11">
        <v>3.04</v>
      </c>
      <c r="K11">
        <v>3.85</v>
      </c>
      <c r="L11">
        <v>2.66</v>
      </c>
      <c r="M11" s="1">
        <f>IF(ISNUMBER(Main_S[[#This Row],[EPS]]),IF(Main_S[[#This Row],[EPS]]&lt;&gt;0,Main_S[[#This Row],[Current Price]]/Main_S[[#This Row],[EPS]],""),"")</f>
        <v>27.96153846153846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-0.32089426227399676</v>
      </c>
      <c r="P11" s="1">
        <f>(Main_S[[#This Row],[P/B]]-VLOOKUP(Main_S[[#This Row],[Industry]], Mean_PB_S, 2, FALSE))/(VLOOKUP(Main_S[[#This Row],[Industry]], Mean_PB_S, 3, FALSE))</f>
        <v>-0.5590168663310946</v>
      </c>
      <c r="Q11" s="1">
        <f>(Main_S[[#This Row],[ROE]]-VLOOKUP(Main_S[[#This Row],[Industry]], Mean_ROE_S, 2, FALSE))/(VLOOKUP(Main_S[[#This Row],[Industry]], Mean_ROE_S, 3, FALSE))</f>
        <v>-1.0117708845263229</v>
      </c>
      <c r="R11" s="1">
        <f>(Main_S[[#This Row],[ROA]]-VLOOKUP(Main_S[[#This Row],[Industry]], Mean_ROA_S, 2, FALSE))/(VLOOKUP(Main_S[[#This Row],[Industry]], Mean_ROA_S, 3, FALSE))</f>
        <v>-0.37068447211608513</v>
      </c>
      <c r="S11" s="1">
        <f>(Main_S[[#This Row],[A/E]]-VLOOKUP(Main_S[[#This Row],[Industry]], Mean_AE_S, 2, FALSE))/(VLOOKUP(Main_S[[#This Row],[Industry]], Mean_AE_S, 3, FALSE))</f>
        <v>0.65195526885901145</v>
      </c>
      <c r="T11" s="1">
        <f>(Main_S[[#This Row],[P/E]]-VLOOKUP(Main_S[[#This Row],[Industry]], Mean_PE_S, 2, FALSE))/(VLOOKUP(Main_S[[#This Row],[Industry]], Mean_PE_S, 3, FALSE))</f>
        <v>1.8264280330592912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106</v>
      </c>
      <c r="B12" t="s">
        <v>217</v>
      </c>
      <c r="C12" s="2">
        <v>1876</v>
      </c>
      <c r="D12">
        <f>RTD("tos.rtd", , "LAST", Main_S[[#This Row],[Symbol]])</f>
        <v>19.98</v>
      </c>
      <c r="H12" s="1" t="str">
        <f>IF(ISNUMBER(Main_S[[#This Row],[Free CF]]),IF(Main_S[[#This Row],[Free CF]]&lt;&gt;0,Main_S[[#This Row],[Current Price]]/Main_S[[#This Row],[Free CF]],""),"")</f>
        <v/>
      </c>
      <c r="I12" s="1" t="str">
        <f>IF(ISNUMBER(Main_S[[#This Row],[BVPS]]),IF(Main_S[[#This Row],[BVPS]]&lt;&gt;0,Main_S[[#This Row],[Current Price]]/Main_S[[#This Row],[BVPS]],""),"")</f>
        <v/>
      </c>
      <c r="J12">
        <v>16.5</v>
      </c>
      <c r="K12">
        <v>7.5</v>
      </c>
      <c r="L12">
        <v>1.89</v>
      </c>
      <c r="M12" s="1" t="str">
        <f>IF(ISNUMBER(Main_S[[#This Row],[EPS]]),IF(Main_S[[#This Row],[EPS]]&lt;&gt;0,Main_S[[#This Row],[Current Price]]/Main_S[[#This Row],[EPS]],""),"")</f>
        <v/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 t="e">
        <f>(Main_S[[#This Row],[P/FCF]]-VLOOKUP(Main_S[[#This Row],[Industry]], Mean_PFCF_S, 2, FALSE))/(VLOOKUP(Main_S[[#This Row],[Industry]], Mean_PFCF_S, 3, FALSE))</f>
        <v>#VALUE!</v>
      </c>
      <c r="P12" s="1" t="e">
        <f>(Main_S[[#This Row],[P/B]]-VLOOKUP(Main_S[[#This Row],[Industry]], Mean_PB_S, 2, FALSE))/(VLOOKUP(Main_S[[#This Row],[Industry]], Mean_PB_S, 3, FALSE))</f>
        <v>#VALUE!</v>
      </c>
      <c r="Q12" s="1">
        <f>(Main_S[[#This Row],[ROE]]-VLOOKUP(Main_S[[#This Row],[Industry]], Mean_ROE_S, 2, FALSE))/(VLOOKUP(Main_S[[#This Row],[Industry]], Mean_ROE_S, 3, FALSE))</f>
        <v>1.1124077629560223</v>
      </c>
      <c r="R12" s="1">
        <f>(Main_S[[#This Row],[ROA]]-VLOOKUP(Main_S[[#This Row],[Industry]], Mean_ROA_S, 2, FALSE))/(VLOOKUP(Main_S[[#This Row],[Industry]], Mean_ROA_S, 3, FALSE))</f>
        <v>1.4612281512042209</v>
      </c>
      <c r="S12" s="1">
        <f>(Main_S[[#This Row],[A/E]]-VLOOKUP(Main_S[[#This Row],[Industry]], Mean_AE_S, 2, FALSE))/(VLOOKUP(Main_S[[#This Row],[Industry]], Mean_AE_S, 3, FALSE))</f>
        <v>-0.26494985812078597</v>
      </c>
      <c r="T12" s="1" t="e">
        <f>(Main_S[[#This Row],[P/E]]-VLOOKUP(Main_S[[#This Row],[Industry]], Mean_PE_S, 2, FALSE))/(VLOOKUP(Main_S[[#This Row],[Industry]], Mean_PE_S, 3, FALSE))</f>
        <v>#VALUE!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" spans="1:26" x14ac:dyDescent="0.25">
      <c r="A13" t="s">
        <v>106</v>
      </c>
      <c r="B13" t="s">
        <v>218</v>
      </c>
      <c r="C13" s="2">
        <v>983</v>
      </c>
      <c r="D13">
        <f>RTD("tos.rtd", , "LAST", Main_S[[#This Row],[Symbol]])</f>
        <v>6.73</v>
      </c>
      <c r="E13">
        <v>0.75</v>
      </c>
      <c r="F13">
        <v>10.199999999999999</v>
      </c>
      <c r="G13">
        <v>0.55000000000000004</v>
      </c>
      <c r="H13" s="1">
        <f>IF(ISNUMBER(Main_S[[#This Row],[Free CF]]),IF(Main_S[[#This Row],[Free CF]]&lt;&gt;0,Main_S[[#This Row],[Current Price]]/Main_S[[#This Row],[Free CF]],""),"")</f>
        <v>8.9733333333333345</v>
      </c>
      <c r="I13" s="1">
        <f>IF(ISNUMBER(Main_S[[#This Row],[BVPS]]),IF(Main_S[[#This Row],[BVPS]]&lt;&gt;0,Main_S[[#This Row],[Current Price]]/Main_S[[#This Row],[BVPS]],""),"")</f>
        <v>0.65980392156862755</v>
      </c>
      <c r="J13">
        <v>5.64</v>
      </c>
      <c r="K13">
        <v>3.27</v>
      </c>
      <c r="L13">
        <v>1.71</v>
      </c>
      <c r="M13" s="1">
        <f>IF(ISNUMBER(Main_S[[#This Row],[EPS]]),IF(Main_S[[#This Row],[EPS]]&lt;&gt;0,Main_S[[#This Row],[Current Price]]/Main_S[[#This Row],[EPS]],""),"")</f>
        <v>12.236363636363636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0.28793013899784914</v>
      </c>
      <c r="P13" s="1">
        <f>(Main_S[[#This Row],[P/B]]-VLOOKUP(Main_S[[#This Row],[Industry]], Mean_PB_S, 2, FALSE))/(VLOOKUP(Main_S[[#This Row],[Industry]], Mean_PB_S, 3, FALSE))</f>
        <v>-0.86943106563442596</v>
      </c>
      <c r="Q13" s="1">
        <f>(Main_S[[#This Row],[ROE]]-VLOOKUP(Main_S[[#This Row],[Industry]], Mean_ROE_S, 2, FALSE))/(VLOOKUP(Main_S[[#This Row],[Industry]], Mean_ROE_S, 3, FALSE))</f>
        <v>-0.60145405811814345</v>
      </c>
      <c r="R13" s="1">
        <f>(Main_S[[#This Row],[ROA]]-VLOOKUP(Main_S[[#This Row],[Industry]], Mean_ROA_S, 2, FALSE))/(VLOOKUP(Main_S[[#This Row],[Industry]], Mean_ROA_S, 3, FALSE))</f>
        <v>-0.66178291636972286</v>
      </c>
      <c r="S13" s="1">
        <f>(Main_S[[#This Row],[A/E]]-VLOOKUP(Main_S[[#This Row],[Industry]], Mean_AE_S, 2, FALSE))/(VLOOKUP(Main_S[[#This Row],[Industry]], Mean_AE_S, 3, FALSE))</f>
        <v>-0.47929131637580341</v>
      </c>
      <c r="T13" s="1">
        <f>(Main_S[[#This Row],[P/E]]-VLOOKUP(Main_S[[#This Row],[Industry]], Mean_PE_S, 2, FALSE))/(VLOOKUP(Main_S[[#This Row],[Industry]], Mean_PE_S, 3, FALSE))</f>
        <v>7.7095087176057717E-2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106</v>
      </c>
      <c r="B14" t="s">
        <v>219</v>
      </c>
      <c r="C14" s="2">
        <v>1056</v>
      </c>
      <c r="D14">
        <f>RTD("tos.rtd", , "LAST", Main_S[[#This Row],[Symbol]])</f>
        <v>15.19</v>
      </c>
      <c r="E14">
        <v>1.61</v>
      </c>
      <c r="F14">
        <v>13.85</v>
      </c>
      <c r="G14">
        <v>2.77</v>
      </c>
      <c r="H14" s="1">
        <f>IF(ISNUMBER(Main_S[[#This Row],[Free CF]]),IF(Main_S[[#This Row],[Free CF]]&lt;&gt;0,Main_S[[#This Row],[Current Price]]/Main_S[[#This Row],[Free CF]],""),"")</f>
        <v>9.4347826086956506</v>
      </c>
      <c r="I14" s="1">
        <f>IF(ISNUMBER(Main_S[[#This Row],[BVPS]]),IF(Main_S[[#This Row],[BVPS]]&lt;&gt;0,Main_S[[#This Row],[Current Price]]/Main_S[[#This Row],[BVPS]],""),"")</f>
        <v>1.0967509025270759</v>
      </c>
      <c r="J14">
        <v>21.8</v>
      </c>
      <c r="K14">
        <v>6.37</v>
      </c>
      <c r="L14">
        <v>1.25</v>
      </c>
      <c r="M14" s="1">
        <f>IF(ISNUMBER(Main_S[[#This Row],[EPS]]),IF(Main_S[[#This Row],[EPS]]&lt;&gt;0,Main_S[[#This Row],[Current Price]]/Main_S[[#This Row],[EPS]],""),"")</f>
        <v>5.4837545126353788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0.34073804136098357</v>
      </c>
      <c r="P14" s="1">
        <f>(Main_S[[#This Row],[P/B]]-VLOOKUP(Main_S[[#This Row],[Industry]], Mean_PB_S, 2, FALSE))/(VLOOKUP(Main_S[[#This Row],[Industry]], Mean_PB_S, 3, FALSE))</f>
        <v>-0.19312192641684747</v>
      </c>
      <c r="Q14" s="1">
        <f>(Main_S[[#This Row],[ROE]]-VLOOKUP(Main_S[[#This Row],[Industry]], Mean_ROE_S, 2, FALSE))/(VLOOKUP(Main_S[[#This Row],[Industry]], Mean_ROE_S, 3, FALSE))</f>
        <v>1.9488228321726964</v>
      </c>
      <c r="R14" s="1">
        <f>(Main_S[[#This Row],[ROA]]-VLOOKUP(Main_S[[#This Row],[Industry]], Mean_ROA_S, 2, FALSE))/(VLOOKUP(Main_S[[#This Row],[Industry]], Mean_ROA_S, 3, FALSE))</f>
        <v>0.8940880787790304</v>
      </c>
      <c r="S14" s="1">
        <f>(Main_S[[#This Row],[A/E]]-VLOOKUP(Main_S[[#This Row],[Industry]], Mean_AE_S, 2, FALSE))/(VLOOKUP(Main_S[[#This Row],[Industry]], Mean_AE_S, 3, FALSE))</f>
        <v>-1.0270528208052925</v>
      </c>
      <c r="T14" s="1">
        <f>(Main_S[[#This Row],[P/E]]-VLOOKUP(Main_S[[#This Row],[Industry]], Mean_PE_S, 2, FALSE))/(VLOOKUP(Main_S[[#This Row],[Industry]], Mean_PE_S, 3, FALSE))</f>
        <v>-0.67409284822918358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106</v>
      </c>
      <c r="B15" t="s">
        <v>220</v>
      </c>
      <c r="C15" s="2">
        <v>1803</v>
      </c>
      <c r="D15">
        <f>RTD("tos.rtd", , "LAST", Main_S[[#This Row],[Symbol]])</f>
        <v>12.64</v>
      </c>
      <c r="E15">
        <v>1.35</v>
      </c>
      <c r="F15">
        <v>12.28</v>
      </c>
      <c r="G15">
        <v>1.51</v>
      </c>
      <c r="H15" s="1">
        <f>IF(ISNUMBER(Main_S[[#This Row],[Free CF]]),IF(Main_S[[#This Row],[Free CF]]&lt;&gt;0,Main_S[[#This Row],[Current Price]]/Main_S[[#This Row],[Free CF]],""),"")</f>
        <v>9.3629629629629623</v>
      </c>
      <c r="I15" s="1">
        <f>IF(ISNUMBER(Main_S[[#This Row],[BVPS]]),IF(Main_S[[#This Row],[BVPS]]&lt;&gt;0,Main_S[[#This Row],[Current Price]]/Main_S[[#This Row],[BVPS]],""),"")</f>
        <v>1.0293159609120521</v>
      </c>
      <c r="J15">
        <v>13.18</v>
      </c>
      <c r="K15">
        <v>5.86</v>
      </c>
      <c r="L15">
        <v>1.7</v>
      </c>
      <c r="M15" s="1">
        <f>IF(ISNUMBER(Main_S[[#This Row],[EPS]]),IF(Main_S[[#This Row],[EPS]]&lt;&gt;0,Main_S[[#This Row],[Current Price]]/Main_S[[#This Row],[EPS]],""),"")</f>
        <v>8.370860927152318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0.33251905599877052</v>
      </c>
      <c r="P15" s="1">
        <f>(Main_S[[#This Row],[P/B]]-VLOOKUP(Main_S[[#This Row],[Industry]], Mean_PB_S, 2, FALSE))/(VLOOKUP(Main_S[[#This Row],[Industry]], Mean_PB_S, 3, FALSE))</f>
        <v>-0.29749813063458841</v>
      </c>
      <c r="Q15" s="1">
        <f>(Main_S[[#This Row],[ROE]]-VLOOKUP(Main_S[[#This Row],[Industry]], Mean_ROE_S, 2, FALSE))/(VLOOKUP(Main_S[[#This Row],[Industry]], Mean_ROE_S, 3, FALSE))</f>
        <v>0.58846473846557756</v>
      </c>
      <c r="R15" s="1">
        <f>(Main_S[[#This Row],[ROA]]-VLOOKUP(Main_S[[#This Row],[Industry]], Mean_ROA_S, 2, FALSE))/(VLOOKUP(Main_S[[#This Row],[Industry]], Mean_ROA_S, 3, FALSE))</f>
        <v>0.63812220538359044</v>
      </c>
      <c r="S15" s="1">
        <f>(Main_S[[#This Row],[A/E]]-VLOOKUP(Main_S[[#This Row],[Industry]], Mean_AE_S, 2, FALSE))/(VLOOKUP(Main_S[[#This Row],[Industry]], Mean_AE_S, 3, FALSE))</f>
        <v>-0.4911991751677488</v>
      </c>
      <c r="T15" s="1">
        <f>(Main_S[[#This Row],[P/E]]-VLOOKUP(Main_S[[#This Row],[Industry]], Mean_PE_S, 2, FALSE))/(VLOOKUP(Main_S[[#This Row],[Industry]], Mean_PE_S, 3, FALSE))</f>
        <v>-0.35291928893114582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106</v>
      </c>
      <c r="B16" t="s">
        <v>221</v>
      </c>
      <c r="C16" s="2">
        <v>584</v>
      </c>
      <c r="D16">
        <f>RTD("tos.rtd", , "LAST", Main_S[[#This Row],[Symbol]])</f>
        <v>6.66</v>
      </c>
      <c r="E16">
        <v>1.41</v>
      </c>
      <c r="F16">
        <v>8.92</v>
      </c>
      <c r="G16">
        <v>0.48</v>
      </c>
      <c r="H16" s="1">
        <f>IF(ISNUMBER(Main_S[[#This Row],[Free CF]]),IF(Main_S[[#This Row],[Free CF]]&lt;&gt;0,Main_S[[#This Row],[Current Price]]/Main_S[[#This Row],[Free CF]],""),"")</f>
        <v>4.7234042553191493</v>
      </c>
      <c r="I16" s="1">
        <f>IF(ISNUMBER(Main_S[[#This Row],[BVPS]]),IF(Main_S[[#This Row],[BVPS]]&lt;&gt;0,Main_S[[#This Row],[Current Price]]/Main_S[[#This Row],[BVPS]],""),"")</f>
        <v>0.74663677130044848</v>
      </c>
      <c r="J16">
        <v>1.55</v>
      </c>
      <c r="K16">
        <v>2.78</v>
      </c>
      <c r="L16">
        <v>2.1</v>
      </c>
      <c r="M16" s="1">
        <f>IF(ISNUMBER(Main_S[[#This Row],[EPS]]),IF(Main_S[[#This Row],[EPS]]&lt;&gt;0,Main_S[[#This Row],[Current Price]]/Main_S[[#This Row],[EPS]],""),"")</f>
        <v>13.875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-0.19842849625150441</v>
      </c>
      <c r="P16" s="1">
        <f>(Main_S[[#This Row],[P/B]]-VLOOKUP(Main_S[[#This Row],[Industry]], Mean_PB_S, 2, FALSE))/(VLOOKUP(Main_S[[#This Row],[Industry]], Mean_PB_S, 3, FALSE))</f>
        <v>-0.73503066371581949</v>
      </c>
      <c r="Q16" s="1">
        <f>(Main_S[[#This Row],[ROE]]-VLOOKUP(Main_S[[#This Row],[Industry]], Mean_ROE_S, 2, FALSE))/(VLOOKUP(Main_S[[#This Row],[Industry]], Mean_ROE_S, 3, FALSE))</f>
        <v>-1.2469139888910106</v>
      </c>
      <c r="R16" s="1">
        <f>(Main_S[[#This Row],[ROA]]-VLOOKUP(Main_S[[#This Row],[Industry]], Mean_ROA_S, 2, FALSE))/(VLOOKUP(Main_S[[#This Row],[Industry]], Mean_ROA_S, 3, FALSE))</f>
        <v>-0.90771091237710655</v>
      </c>
      <c r="S16" s="1">
        <f>(Main_S[[#This Row],[A/E]]-VLOOKUP(Main_S[[#This Row],[Industry]], Mean_AE_S, 2, FALSE))/(VLOOKUP(Main_S[[#This Row],[Industry]], Mean_AE_S, 3, FALSE))</f>
        <v>-1.4884823489931982E-2</v>
      </c>
      <c r="T16" s="1">
        <f>(Main_S[[#This Row],[P/E]]-VLOOKUP(Main_S[[#This Row],[Industry]], Mean_PE_S, 2, FALSE))/(VLOOKUP(Main_S[[#This Row],[Industry]], Mean_PE_S, 3, FALSE))</f>
        <v>0.25938371729305365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106</v>
      </c>
      <c r="B17" t="s">
        <v>222</v>
      </c>
      <c r="C17" s="2">
        <v>468</v>
      </c>
      <c r="D17">
        <f>RTD("tos.rtd", , "LAST", Main_S[[#This Row],[Symbol]])</f>
        <v>16.440000000000001</v>
      </c>
      <c r="E17">
        <v>-1.73</v>
      </c>
      <c r="F17">
        <v>10.130000000000001</v>
      </c>
      <c r="G17">
        <v>1.05</v>
      </c>
      <c r="H17" s="1">
        <f>IF(ISNUMBER(Main_S[[#This Row],[Free CF]]),IF(Main_S[[#This Row],[Free CF]]&lt;&gt;0,Main_S[[#This Row],[Current Price]]/Main_S[[#This Row],[Free CF]],""),"")</f>
        <v>-9.502890173410405</v>
      </c>
      <c r="I17" s="1">
        <f>IF(ISNUMBER(Main_S[[#This Row],[BVPS]]),IF(Main_S[[#This Row],[BVPS]]&lt;&gt;0,Main_S[[#This Row],[Current Price]]/Main_S[[#This Row],[BVPS]],""),"")</f>
        <v>1.6229022704837117</v>
      </c>
      <c r="J17">
        <v>11.83</v>
      </c>
      <c r="K17">
        <v>5.94</v>
      </c>
      <c r="L17">
        <v>4.3600000000000003</v>
      </c>
      <c r="M17" s="1">
        <f>IF(ISNUMBER(Main_S[[#This Row],[EPS]]),IF(Main_S[[#This Row],[EPS]]&lt;&gt;0,Main_S[[#This Row],[Current Price]]/Main_S[[#This Row],[EPS]],""),"")</f>
        <v>15.657142857142858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-1.8264747567894297</v>
      </c>
      <c r="P17" s="1">
        <f>(Main_S[[#This Row],[P/B]]-VLOOKUP(Main_S[[#This Row],[Industry]], Mean_PB_S, 2, FALSE))/(VLOOKUP(Main_S[[#This Row],[Industry]], Mean_PB_S, 3, FALSE))</f>
        <v>0.62125829422310863</v>
      </c>
      <c r="Q17" s="1">
        <f>(Main_S[[#This Row],[ROE]]-VLOOKUP(Main_S[[#This Row],[Industry]], Mean_ROE_S, 2, FALSE))/(VLOOKUP(Main_S[[#This Row],[Industry]], Mean_ROE_S, 3, FALSE))</f>
        <v>0.37541561706133048</v>
      </c>
      <c r="R17" s="1">
        <f>(Main_S[[#This Row],[ROA]]-VLOOKUP(Main_S[[#This Row],[Industry]], Mean_ROA_S, 2, FALSE))/(VLOOKUP(Main_S[[#This Row],[Industry]], Mean_ROA_S, 3, FALSE))</f>
        <v>0.67827371493581634</v>
      </c>
      <c r="S17" s="1">
        <f>(Main_S[[#This Row],[A/E]]-VLOOKUP(Main_S[[#This Row],[Industry]], Mean_AE_S, 2, FALSE))/(VLOOKUP(Main_S[[#This Row],[Industry]], Mean_AE_S, 3, FALSE))</f>
        <v>2.6762912634897327</v>
      </c>
      <c r="T17" s="1">
        <f>(Main_S[[#This Row],[P/E]]-VLOOKUP(Main_S[[#This Row],[Industry]], Mean_PE_S, 2, FALSE))/(VLOOKUP(Main_S[[#This Row],[Industry]], Mean_PE_S, 3, FALSE))</f>
        <v>0.45763659835352349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106</v>
      </c>
      <c r="B18" t="s">
        <v>223</v>
      </c>
      <c r="C18" s="2">
        <v>664</v>
      </c>
      <c r="D18">
        <f>RTD("tos.rtd", , "LAST", Main_S[[#This Row],[Symbol]])</f>
        <v>8.59</v>
      </c>
      <c r="E18">
        <v>-0.05</v>
      </c>
      <c r="F18">
        <v>3.86</v>
      </c>
      <c r="G18">
        <v>0.49</v>
      </c>
      <c r="H18" s="1">
        <f>IF(ISNUMBER(Main_S[[#This Row],[Free CF]]),IF(Main_S[[#This Row],[Free CF]]&lt;&gt;0,Main_S[[#This Row],[Current Price]]/Main_S[[#This Row],[Free CF]],""),"")</f>
        <v>-171.79999999999998</v>
      </c>
      <c r="I18" s="1">
        <f>IF(ISNUMBER(Main_S[[#This Row],[BVPS]]),IF(Main_S[[#This Row],[BVPS]]&lt;&gt;0,Main_S[[#This Row],[Current Price]]/Main_S[[#This Row],[BVPS]],""),"")</f>
        <v>2.2253886010362693</v>
      </c>
      <c r="J18">
        <v>11.2</v>
      </c>
      <c r="K18">
        <v>4.67</v>
      </c>
      <c r="L18">
        <v>1.19</v>
      </c>
      <c r="M18" s="1">
        <f>IF(ISNUMBER(Main_S[[#This Row],[EPS]]),IF(Main_S[[#This Row],[EPS]]&lt;&gt;0,Main_S[[#This Row],[Current Price]]/Main_S[[#This Row],[EPS]],""),"")</f>
        <v>17.530612244897959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-20.399631953346084</v>
      </c>
      <c r="P18" s="1">
        <f>(Main_S[[#This Row],[P/B]]-VLOOKUP(Main_S[[#This Row],[Industry]], Mean_PB_S, 2, FALSE))/(VLOOKUP(Main_S[[#This Row],[Industry]], Mean_PB_S, 3, FALSE))</f>
        <v>1.553790224556107</v>
      </c>
      <c r="Q18" s="1">
        <f>(Main_S[[#This Row],[ROE]]-VLOOKUP(Main_S[[#This Row],[Industry]], Mean_ROE_S, 2, FALSE))/(VLOOKUP(Main_S[[#This Row],[Industry]], Mean_ROE_S, 3, FALSE))</f>
        <v>0.27599269373934832</v>
      </c>
      <c r="R18" s="1">
        <f>(Main_S[[#This Row],[ROA]]-VLOOKUP(Main_S[[#This Row],[Industry]], Mean_ROA_S, 2, FALSE))/(VLOOKUP(Main_S[[#This Row],[Industry]], Mean_ROA_S, 3, FALSE))</f>
        <v>4.0868500794230135E-2</v>
      </c>
      <c r="S18" s="1">
        <f>(Main_S[[#This Row],[A/E]]-VLOOKUP(Main_S[[#This Row],[Industry]], Mean_AE_S, 2, FALSE))/(VLOOKUP(Main_S[[#This Row],[Industry]], Mean_AE_S, 3, FALSE))</f>
        <v>-1.0984999735569652</v>
      </c>
      <c r="T18" s="1">
        <f>(Main_S[[#This Row],[P/E]]-VLOOKUP(Main_S[[#This Row],[Industry]], Mean_PE_S, 2, FALSE))/(VLOOKUP(Main_S[[#This Row],[Industry]], Mean_PE_S, 3, FALSE))</f>
        <v>0.6660490172639284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106</v>
      </c>
      <c r="B19" t="s">
        <v>224</v>
      </c>
      <c r="C19" s="2">
        <v>1850</v>
      </c>
      <c r="D19">
        <f>RTD("tos.rtd", , "LAST", Main_S[[#This Row],[Symbol]])</f>
        <v>20.02</v>
      </c>
      <c r="E19">
        <v>0.84</v>
      </c>
      <c r="F19">
        <v>7.69</v>
      </c>
      <c r="G19">
        <v>1.78</v>
      </c>
      <c r="H19" s="1">
        <f>IF(ISNUMBER(Main_S[[#This Row],[Free CF]]),IF(Main_S[[#This Row],[Free CF]]&lt;&gt;0,Main_S[[#This Row],[Current Price]]/Main_S[[#This Row],[Free CF]],""),"")</f>
        <v>23.833333333333332</v>
      </c>
      <c r="I19" s="1">
        <f>IF(ISNUMBER(Main_S[[#This Row],[BVPS]]),IF(Main_S[[#This Row],[BVPS]]&lt;&gt;0,Main_S[[#This Row],[Current Price]]/Main_S[[#This Row],[BVPS]],""),"")</f>
        <v>2.6033810143042913</v>
      </c>
      <c r="J19">
        <v>25.95</v>
      </c>
      <c r="K19">
        <v>7.86</v>
      </c>
      <c r="L19">
        <v>2.94</v>
      </c>
      <c r="M19" s="1">
        <f>IF(ISNUMBER(Main_S[[#This Row],[EPS]]),IF(Main_S[[#This Row],[EPS]]&lt;&gt;0,Main_S[[#This Row],[Current Price]]/Main_S[[#This Row],[EPS]],""),"")</f>
        <v>11.247191011235955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1.9884971807383205</v>
      </c>
      <c r="P19" s="1">
        <f>(Main_S[[#This Row],[P/B]]-VLOOKUP(Main_S[[#This Row],[Industry]], Mean_PB_S, 2, FALSE))/(VLOOKUP(Main_S[[#This Row],[Industry]], Mean_PB_S, 3, FALSE))</f>
        <v>2.1388491328184376</v>
      </c>
      <c r="Q19" s="1">
        <f>(Main_S[[#This Row],[ROE]]-VLOOKUP(Main_S[[#This Row],[Industry]], Mean_ROE_S, 2, FALSE))/(VLOOKUP(Main_S[[#This Row],[Industry]], Mean_ROE_S, 3, FALSE))</f>
        <v>2.6037516127857518</v>
      </c>
      <c r="R19" s="1">
        <f>(Main_S[[#This Row],[ROA]]-VLOOKUP(Main_S[[#This Row],[Industry]], Mean_ROA_S, 2, FALSE))/(VLOOKUP(Main_S[[#This Row],[Industry]], Mean_ROA_S, 3, FALSE))</f>
        <v>1.6419099441892375</v>
      </c>
      <c r="S19" s="1">
        <f>(Main_S[[#This Row],[A/E]]-VLOOKUP(Main_S[[#This Row],[Industry]], Mean_AE_S, 2, FALSE))/(VLOOKUP(Main_S[[#This Row],[Industry]], Mean_AE_S, 3, FALSE))</f>
        <v>0.98537531503348286</v>
      </c>
      <c r="T19" s="1">
        <f>(Main_S[[#This Row],[P/E]]-VLOOKUP(Main_S[[#This Row],[Industry]], Mean_PE_S, 2, FALSE))/(VLOOKUP(Main_S[[#This Row],[Industry]], Mean_PE_S, 3, FALSE))</f>
        <v>-3.2944532830673764E-2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106</v>
      </c>
      <c r="B20" t="s">
        <v>225</v>
      </c>
      <c r="C20" s="2">
        <v>263</v>
      </c>
      <c r="D20">
        <f>RTD("tos.rtd", , "LAST", Main_S[[#This Row],[Symbol]])</f>
        <v>4.8099999999999996</v>
      </c>
      <c r="E20">
        <v>0.49</v>
      </c>
      <c r="F20">
        <v>11.05</v>
      </c>
      <c r="G20">
        <v>0.08</v>
      </c>
      <c r="H20" s="1">
        <f>IF(ISNUMBER(Main_S[[#This Row],[Free CF]]),IF(Main_S[[#This Row],[Free CF]]&lt;&gt;0,Main_S[[#This Row],[Current Price]]/Main_S[[#This Row],[Free CF]],""),"")</f>
        <v>9.816326530612244</v>
      </c>
      <c r="I20" s="1">
        <f>IF(ISNUMBER(Main_S[[#This Row],[BVPS]]),IF(Main_S[[#This Row],[BVPS]]&lt;&gt;0,Main_S[[#This Row],[Current Price]]/Main_S[[#This Row],[BVPS]],""),"")</f>
        <v>0.43529411764705878</v>
      </c>
      <c r="J20">
        <v>0.77</v>
      </c>
      <c r="K20">
        <v>0.81</v>
      </c>
      <c r="L20">
        <v>1.45</v>
      </c>
      <c r="M20" s="1">
        <f>IF(ISNUMBER(Main_S[[#This Row],[EPS]]),IF(Main_S[[#This Row],[EPS]]&lt;&gt;0,Main_S[[#This Row],[Current Price]]/Main_S[[#This Row],[EPS]],""),"")</f>
        <v>60.124999999999993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0.3844016361515461</v>
      </c>
      <c r="P20" s="1">
        <f>(Main_S[[#This Row],[P/B]]-VLOOKUP(Main_S[[#This Row],[Industry]], Mean_PB_S, 2, FALSE))/(VLOOKUP(Main_S[[#This Row],[Industry]], Mean_PB_S, 3, FALSE))</f>
        <v>-1.2169286771365011</v>
      </c>
      <c r="Q20" s="1">
        <f>(Main_S[[#This Row],[ROE]]-VLOOKUP(Main_S[[#This Row],[Industry]], Mean_ROE_S, 2, FALSE))/(VLOOKUP(Main_S[[#This Row],[Industry]], Mean_ROE_S, 3, FALSE))</f>
        <v>-1.3700090368134645</v>
      </c>
      <c r="R20" s="1">
        <f>(Main_S[[#This Row],[ROA]]-VLOOKUP(Main_S[[#This Row],[Industry]], Mean_ROA_S, 2, FALSE))/(VLOOKUP(Main_S[[#This Row],[Industry]], Mean_ROA_S, 3, FALSE))</f>
        <v>-1.8964418351006689</v>
      </c>
      <c r="S20" s="1">
        <f>(Main_S[[#This Row],[A/E]]-VLOOKUP(Main_S[[#This Row],[Industry]], Mean_AE_S, 2, FALSE))/(VLOOKUP(Main_S[[#This Row],[Industry]], Mean_AE_S, 3, FALSE))</f>
        <v>-0.7888956449663842</v>
      </c>
      <c r="T20" s="1">
        <f>(Main_S[[#This Row],[P/E]]-VLOOKUP(Main_S[[#This Row],[Industry]], Mean_PE_S, 2, FALSE))/(VLOOKUP(Main_S[[#This Row],[Industry]], Mean_PE_S, 3, FALSE))</f>
        <v>5.4044234161569458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" spans="1:26" x14ac:dyDescent="0.25">
      <c r="A21" t="s">
        <v>106</v>
      </c>
      <c r="B21" t="s">
        <v>226</v>
      </c>
      <c r="C21" s="2">
        <v>658</v>
      </c>
      <c r="D21">
        <f>RTD("tos.rtd", , "LAST", Main_S[[#This Row],[Symbol]])</f>
        <v>8.5</v>
      </c>
      <c r="E21">
        <v>0.6</v>
      </c>
      <c r="F21">
        <v>4.47</v>
      </c>
      <c r="G21">
        <v>0.63</v>
      </c>
      <c r="H21" s="1">
        <f>IF(ISNUMBER(Main_S[[#This Row],[Free CF]]),IF(Main_S[[#This Row],[Free CF]]&lt;&gt;0,Main_S[[#This Row],[Current Price]]/Main_S[[#This Row],[Free CF]],""),"")</f>
        <v>14.166666666666668</v>
      </c>
      <c r="I21" s="1">
        <f>IF(ISNUMBER(Main_S[[#This Row],[BVPS]]),IF(Main_S[[#This Row],[BVPS]]&lt;&gt;0,Main_S[[#This Row],[Current Price]]/Main_S[[#This Row],[BVPS]],""),"")</f>
        <v>1.9015659955257271</v>
      </c>
      <c r="J21">
        <v>14.57</v>
      </c>
      <c r="K21">
        <v>10.19</v>
      </c>
      <c r="L21">
        <v>1.22</v>
      </c>
      <c r="M21" s="1">
        <f>IF(ISNUMBER(Main_S[[#This Row],[EPS]]),IF(Main_S[[#This Row],[EPS]]&lt;&gt;0,Main_S[[#This Row],[Current Price]]/Main_S[[#This Row],[EPS]],""),"")</f>
        <v>13.492063492063492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0.88225123613370715</v>
      </c>
      <c r="P21" s="1">
        <f>(Main_S[[#This Row],[P/B]]-VLOOKUP(Main_S[[#This Row],[Industry]], Mean_PB_S, 2, FALSE))/(VLOOKUP(Main_S[[#This Row],[Industry]], Mean_PB_S, 3, FALSE))</f>
        <v>1.0525756673307887</v>
      </c>
      <c r="Q21" s="1">
        <f>(Main_S[[#This Row],[ROE]]-VLOOKUP(Main_S[[#This Row],[Industry]], Mean_ROE_S, 2, FALSE))/(VLOOKUP(Main_S[[#This Row],[Industry]], Mean_ROE_S, 3, FALSE))</f>
        <v>0.80782642642995062</v>
      </c>
      <c r="R21" s="1">
        <f>(Main_S[[#This Row],[ROA]]-VLOOKUP(Main_S[[#This Row],[Industry]], Mean_ROA_S, 2, FALSE))/(VLOOKUP(Main_S[[#This Row],[Industry]], Mean_ROA_S, 3, FALSE))</f>
        <v>2.811322659897816</v>
      </c>
      <c r="S21" s="1">
        <f>(Main_S[[#This Row],[A/E]]-VLOOKUP(Main_S[[#This Row],[Industry]], Mean_AE_S, 2, FALSE))/(VLOOKUP(Main_S[[#This Row],[Industry]], Mean_AE_S, 3, FALSE))</f>
        <v>-1.0627763971811288</v>
      </c>
      <c r="T21" s="1">
        <f>(Main_S[[#This Row],[P/E]]-VLOOKUP(Main_S[[#This Row],[Industry]], Mean_PE_S, 2, FALSE))/(VLOOKUP(Main_S[[#This Row],[Industry]], Mean_PE_S, 3, FALSE))</f>
        <v>0.21678428949894246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106</v>
      </c>
      <c r="B22" t="s">
        <v>227</v>
      </c>
      <c r="C22" s="2">
        <v>533</v>
      </c>
      <c r="D22">
        <f>RTD("tos.rtd", , "LAST", Main_S[[#This Row],[Symbol]])</f>
        <v>6.07</v>
      </c>
      <c r="E22">
        <v>0.82</v>
      </c>
      <c r="F22">
        <v>7.96</v>
      </c>
      <c r="G22">
        <v>-1.42</v>
      </c>
      <c r="H22" s="1">
        <f>IF(ISNUMBER(Main_S[[#This Row],[Free CF]]),IF(Main_S[[#This Row],[Free CF]]&lt;&gt;0,Main_S[[#This Row],[Current Price]]/Main_S[[#This Row],[Free CF]],""),"")</f>
        <v>7.4024390243902447</v>
      </c>
      <c r="I22" s="1">
        <f>IF(ISNUMBER(Main_S[[#This Row],[BVPS]]),IF(Main_S[[#This Row],[BVPS]]&lt;&gt;0,Main_S[[#This Row],[Current Price]]/Main_S[[#This Row],[BVPS]],""),"")</f>
        <v>0.76256281407035176</v>
      </c>
      <c r="J22">
        <v>-16.239999999999998</v>
      </c>
      <c r="K22">
        <v>2.08</v>
      </c>
      <c r="L22">
        <v>1.51</v>
      </c>
      <c r="M22" s="1">
        <f>IF(ISNUMBER(Main_S[[#This Row],[EPS]]),IF(Main_S[[#This Row],[EPS]]&lt;&gt;0,Main_S[[#This Row],[Current Price]]/Main_S[[#This Row],[EPS]],""),"")</f>
        <v>-4.274647887323944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0.10815819499742564</v>
      </c>
      <c r="P22" s="1">
        <f>(Main_S[[#This Row],[P/B]]-VLOOKUP(Main_S[[#This Row],[Industry]], Mean_PB_S, 2, FALSE))/(VLOOKUP(Main_S[[#This Row],[Industry]], Mean_PB_S, 3, FALSE))</f>
        <v>-0.71038023987439713</v>
      </c>
      <c r="Q22" s="1">
        <f>(Main_S[[#This Row],[ROE]]-VLOOKUP(Main_S[[#This Row],[Industry]], Mean_ROE_S, 2, FALSE))/(VLOOKUP(Main_S[[#This Row],[Industry]], Mean_ROE_S, 3, FALSE))</f>
        <v>-4.054427966506978</v>
      </c>
      <c r="R22" s="1">
        <f>(Main_S[[#This Row],[ROA]]-VLOOKUP(Main_S[[#This Row],[Industry]], Mean_ROA_S, 2, FALSE))/(VLOOKUP(Main_S[[#This Row],[Industry]], Mean_ROA_S, 3, FALSE))</f>
        <v>-1.2590366209590829</v>
      </c>
      <c r="S22" s="1">
        <f>(Main_S[[#This Row],[A/E]]-VLOOKUP(Main_S[[#This Row],[Industry]], Mean_AE_S, 2, FALSE))/(VLOOKUP(Main_S[[#This Row],[Industry]], Mean_AE_S, 3, FALSE))</f>
        <v>-0.71744849221471163</v>
      </c>
      <c r="T22" s="1">
        <f>(Main_S[[#This Row],[P/E]]-VLOOKUP(Main_S[[#This Row],[Industry]], Mean_PE_S, 2, FALSE))/(VLOOKUP(Main_S[[#This Row],[Industry]], Mean_PE_S, 3, FALSE))</f>
        <v>-1.7596575562352248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106</v>
      </c>
      <c r="B23" t="s">
        <v>228</v>
      </c>
      <c r="C23" s="2">
        <v>1025</v>
      </c>
      <c r="D23">
        <f>RTD("tos.rtd", , "LAST", Main_S[[#This Row],[Symbol]])</f>
        <v>4.97</v>
      </c>
      <c r="E23">
        <v>0.63</v>
      </c>
      <c r="F23">
        <v>5.09</v>
      </c>
      <c r="G23">
        <v>0.35</v>
      </c>
      <c r="H23" s="1">
        <f>IF(ISNUMBER(Main_S[[#This Row],[Free CF]]),IF(Main_S[[#This Row],[Free CF]]&lt;&gt;0,Main_S[[#This Row],[Current Price]]/Main_S[[#This Row],[Free CF]],""),"")</f>
        <v>7.8888888888888884</v>
      </c>
      <c r="I23" s="1">
        <f>IF(ISNUMBER(Main_S[[#This Row],[BVPS]]),IF(Main_S[[#This Row],[BVPS]]&lt;&gt;0,Main_S[[#This Row],[Current Price]]/Main_S[[#This Row],[BVPS]],""),"")</f>
        <v>0.97642436149312373</v>
      </c>
      <c r="J23">
        <v>7.19</v>
      </c>
      <c r="K23">
        <v>3.27</v>
      </c>
      <c r="L23">
        <v>1.24</v>
      </c>
      <c r="M23" s="1">
        <f>IF(ISNUMBER(Main_S[[#This Row],[EPS]]),IF(Main_S[[#This Row],[EPS]]&lt;&gt;0,Main_S[[#This Row],[Current Price]]/Main_S[[#This Row],[EPS]],""),"")</f>
        <v>14.200000000000001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0.16382714567208997</v>
      </c>
      <c r="P23" s="1">
        <f>(Main_S[[#This Row],[P/B]]-VLOOKUP(Main_S[[#This Row],[Industry]], Mean_PB_S, 2, FALSE))/(VLOOKUP(Main_S[[#This Row],[Industry]], Mean_PB_S, 3, FALSE))</f>
        <v>-0.379364063193253</v>
      </c>
      <c r="Q23" s="1">
        <f>(Main_S[[#This Row],[ROE]]-VLOOKUP(Main_S[[#This Row],[Industry]], Mean_ROE_S, 2, FALSE))/(VLOOKUP(Main_S[[#This Row],[Industry]], Mean_ROE_S, 3, FALSE))</f>
        <v>-0.35684210391326698</v>
      </c>
      <c r="R23" s="1">
        <f>(Main_S[[#This Row],[ROA]]-VLOOKUP(Main_S[[#This Row],[Industry]], Mean_ROA_S, 2, FALSE))/(VLOOKUP(Main_S[[#This Row],[Industry]], Mean_ROA_S, 3, FALSE))</f>
        <v>-0.66178291636972286</v>
      </c>
      <c r="S23" s="1">
        <f>(Main_S[[#This Row],[A/E]]-VLOOKUP(Main_S[[#This Row],[Industry]], Mean_AE_S, 2, FALSE))/(VLOOKUP(Main_S[[#This Row],[Industry]], Mean_AE_S, 3, FALSE))</f>
        <v>-1.0389606795972379</v>
      </c>
      <c r="T23" s="1">
        <f>(Main_S[[#This Row],[P/E]]-VLOOKUP(Main_S[[#This Row],[Industry]], Mean_PE_S, 2, FALSE))/(VLOOKUP(Main_S[[#This Row],[Industry]], Mean_PE_S, 3, FALSE))</f>
        <v>0.29553805031209734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106</v>
      </c>
      <c r="B24" t="s">
        <v>229</v>
      </c>
      <c r="C24" s="2">
        <v>250</v>
      </c>
      <c r="D24">
        <f>RTD("tos.rtd", , "LAST", Main_S[[#This Row],[Symbol]])</f>
        <v>12.06</v>
      </c>
      <c r="E24">
        <v>2.16</v>
      </c>
      <c r="F24">
        <v>12.12</v>
      </c>
      <c r="G24">
        <v>0.87</v>
      </c>
      <c r="H24" s="1">
        <f>IF(ISNUMBER(Main_S[[#This Row],[Free CF]]),IF(Main_S[[#This Row],[Free CF]]&lt;&gt;0,Main_S[[#This Row],[Current Price]]/Main_S[[#This Row],[Free CF]],""),"")</f>
        <v>5.583333333333333</v>
      </c>
      <c r="I24" s="1">
        <f>IF(ISNUMBER(Main_S[[#This Row],[BVPS]]),IF(Main_S[[#This Row],[BVPS]]&lt;&gt;0,Main_S[[#This Row],[Current Price]]/Main_S[[#This Row],[BVPS]],""),"")</f>
        <v>0.99504950495049516</v>
      </c>
      <c r="J24">
        <v>7.41</v>
      </c>
      <c r="K24">
        <v>5.17</v>
      </c>
      <c r="L24">
        <v>1.38</v>
      </c>
      <c r="M24" s="1">
        <f>IF(ISNUMBER(Main_S[[#This Row],[EPS]]),IF(Main_S[[#This Row],[EPS]]&lt;&gt;0,Main_S[[#This Row],[Current Price]]/Main_S[[#This Row],[EPS]],""),"")</f>
        <v>13.862068965517242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-0.10001886985142421</v>
      </c>
      <c r="P24" s="1">
        <f>(Main_S[[#This Row],[P/B]]-VLOOKUP(Main_S[[#This Row],[Industry]], Mean_PB_S, 2, FALSE))/(VLOOKUP(Main_S[[#This Row],[Industry]], Mean_PB_S, 3, FALSE))</f>
        <v>-0.35053595523418546</v>
      </c>
      <c r="Q24" s="1">
        <f>(Main_S[[#This Row],[ROE]]-VLOOKUP(Main_S[[#This Row],[Industry]], Mean_ROE_S, 2, FALSE))/(VLOOKUP(Main_S[[#This Row],[Industry]], Mean_ROE_S, 3, FALSE))</f>
        <v>-0.32212298783257493</v>
      </c>
      <c r="R24" s="1">
        <f>(Main_S[[#This Row],[ROA]]-VLOOKUP(Main_S[[#This Row],[Industry]], Mean_ROA_S, 2, FALSE))/(VLOOKUP(Main_S[[#This Row],[Industry]], Mean_ROA_S, 3, FALSE))</f>
        <v>0.29181543549564193</v>
      </c>
      <c r="S24" s="1">
        <f>(Main_S[[#This Row],[A/E]]-VLOOKUP(Main_S[[#This Row],[Industry]], Mean_AE_S, 2, FALSE))/(VLOOKUP(Main_S[[#This Row],[Industry]], Mean_AE_S, 3, FALSE))</f>
        <v>-0.87225065651000222</v>
      </c>
      <c r="T24" s="1">
        <f>(Main_S[[#This Row],[P/E]]-VLOOKUP(Main_S[[#This Row],[Industry]], Mean_PE_S, 2, FALSE))/(VLOOKUP(Main_S[[#This Row],[Industry]], Mean_PE_S, 3, FALSE))</f>
        <v>0.25794521597929865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106</v>
      </c>
      <c r="B25" t="s">
        <v>230</v>
      </c>
      <c r="C25" s="2">
        <v>858</v>
      </c>
      <c r="D25">
        <f>RTD("tos.rtd", , "LAST", Main_S[[#This Row],[Symbol]])</f>
        <v>22.66</v>
      </c>
      <c r="E25">
        <v>-8.52</v>
      </c>
      <c r="F25">
        <v>9.4</v>
      </c>
      <c r="G25">
        <v>0.5</v>
      </c>
      <c r="H25" s="1">
        <f>IF(ISNUMBER(Main_S[[#This Row],[Free CF]]),IF(Main_S[[#This Row],[Free CF]]&lt;&gt;0,Main_S[[#This Row],[Current Price]]/Main_S[[#This Row],[Free CF]],""),"")</f>
        <v>-2.65962441314554</v>
      </c>
      <c r="I25" s="1">
        <f>IF(ISNUMBER(Main_S[[#This Row],[BVPS]]),IF(Main_S[[#This Row],[BVPS]]&lt;&gt;0,Main_S[[#This Row],[Current Price]]/Main_S[[#This Row],[BVPS]],""),"")</f>
        <v>2.4106382978723402</v>
      </c>
      <c r="J25">
        <v>7.07</v>
      </c>
      <c r="K25">
        <v>4.68</v>
      </c>
      <c r="L25">
        <v>3.13</v>
      </c>
      <c r="M25" s="1">
        <f>IF(ISNUMBER(Main_S[[#This Row],[EPS]]),IF(Main_S[[#This Row],[EPS]]&lt;&gt;0,Main_S[[#This Row],[Current Price]]/Main_S[[#This Row],[EPS]],""),"")</f>
        <v>45.32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-1.0433366538434352</v>
      </c>
      <c r="P25" s="1">
        <f>(Main_S[[#This Row],[P/B]]-VLOOKUP(Main_S[[#This Row],[Industry]], Mean_PB_S, 2, FALSE))/(VLOOKUP(Main_S[[#This Row],[Industry]], Mean_PB_S, 3, FALSE))</f>
        <v>1.8405208085109477</v>
      </c>
      <c r="Q25" s="1">
        <f>(Main_S[[#This Row],[ROE]]-VLOOKUP(Main_S[[#This Row],[Industry]], Mean_ROE_S, 2, FALSE))/(VLOOKUP(Main_S[[#This Row],[Industry]], Mean_ROE_S, 3, FALSE))</f>
        <v>-0.37577980359364455</v>
      </c>
      <c r="R25" s="1">
        <f>(Main_S[[#This Row],[ROA]]-VLOOKUP(Main_S[[#This Row],[Industry]], Mean_ROA_S, 2, FALSE))/(VLOOKUP(Main_S[[#This Row],[Industry]], Mean_ROA_S, 3, FALSE))</f>
        <v>4.5887439488258262E-2</v>
      </c>
      <c r="S25" s="1">
        <f>(Main_S[[#This Row],[A/E]]-VLOOKUP(Main_S[[#This Row],[Industry]], Mean_AE_S, 2, FALSE))/(VLOOKUP(Main_S[[#This Row],[Industry]], Mean_AE_S, 3, FALSE))</f>
        <v>1.2116246320804458</v>
      </c>
      <c r="T25" s="1">
        <f>(Main_S[[#This Row],[P/E]]-VLOOKUP(Main_S[[#This Row],[Industry]], Mean_PE_S, 2, FALSE))/(VLOOKUP(Main_S[[#This Row],[Industry]], Mean_PE_S, 3, FALSE))</f>
        <v>3.7574544920125152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" spans="1:26" x14ac:dyDescent="0.25">
      <c r="A26" t="s">
        <v>106</v>
      </c>
      <c r="B26" t="s">
        <v>231</v>
      </c>
      <c r="C26" s="2">
        <v>1941</v>
      </c>
      <c r="D26">
        <f>RTD("tos.rtd", , "LAST", Main_S[[#This Row],[Symbol]])</f>
        <v>42.45</v>
      </c>
      <c r="E26">
        <v>5.32</v>
      </c>
      <c r="F26">
        <v>21.62</v>
      </c>
      <c r="G26">
        <v>3.34</v>
      </c>
      <c r="H26" s="1">
        <f>IF(ISNUMBER(Main_S[[#This Row],[Free CF]]),IF(Main_S[[#This Row],[Free CF]]&lt;&gt;0,Main_S[[#This Row],[Current Price]]/Main_S[[#This Row],[Free CF]],""),"")</f>
        <v>7.9793233082706765</v>
      </c>
      <c r="I26" s="1">
        <f>IF(ISNUMBER(Main_S[[#This Row],[BVPS]]),IF(Main_S[[#This Row],[BVPS]]&lt;&gt;0,Main_S[[#This Row],[Current Price]]/Main_S[[#This Row],[BVPS]],""),"")</f>
        <v>1.9634597594819612</v>
      </c>
      <c r="J26">
        <v>16.149999999999999</v>
      </c>
      <c r="K26">
        <v>8.9700000000000006</v>
      </c>
      <c r="L26">
        <v>1.86</v>
      </c>
      <c r="M26" s="1">
        <f>IF(ISNUMBER(Main_S[[#This Row],[EPS]]),IF(Main_S[[#This Row],[EPS]]&lt;&gt;0,Main_S[[#This Row],[Current Price]]/Main_S[[#This Row],[EPS]],""),"")</f>
        <v>12.709580838323355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0.17417639150248057</v>
      </c>
      <c r="P26" s="1">
        <f>(Main_S[[#This Row],[P/B]]-VLOOKUP(Main_S[[#This Row],[Industry]], Mean_PB_S, 2, FALSE))/(VLOOKUP(Main_S[[#This Row],[Industry]], Mean_PB_S, 3, FALSE))</f>
        <v>1.1483752037696437</v>
      </c>
      <c r="Q26" s="1">
        <f>(Main_S[[#This Row],[ROE]]-VLOOKUP(Main_S[[#This Row],[Industry]], Mean_ROE_S, 2, FALSE))/(VLOOKUP(Main_S[[#This Row],[Industry]], Mean_ROE_S, 3, FALSE))</f>
        <v>1.057172805554921</v>
      </c>
      <c r="R26" s="1">
        <f>(Main_S[[#This Row],[ROA]]-VLOOKUP(Main_S[[#This Row],[Industry]], Mean_ROA_S, 2, FALSE))/(VLOOKUP(Main_S[[#This Row],[Industry]], Mean_ROA_S, 3, FALSE))</f>
        <v>2.199012139226372</v>
      </c>
      <c r="S26" s="1">
        <f>(Main_S[[#This Row],[A/E]]-VLOOKUP(Main_S[[#This Row],[Industry]], Mean_AE_S, 2, FALSE))/(VLOOKUP(Main_S[[#This Row],[Industry]], Mean_AE_S, 3, FALSE))</f>
        <v>-0.30067343449662198</v>
      </c>
      <c r="T26" s="1">
        <f>(Main_S[[#This Row],[P/E]]-VLOOKUP(Main_S[[#This Row],[Industry]], Mean_PE_S, 2, FALSE))/(VLOOKUP(Main_S[[#This Row],[Industry]], Mean_PE_S, 3, FALSE))</f>
        <v>0.12973770966833972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106</v>
      </c>
      <c r="B27" t="s">
        <v>232</v>
      </c>
      <c r="C27" s="2">
        <v>376</v>
      </c>
      <c r="D27">
        <f>RTD("tos.rtd", , "LAST", Main_S[[#This Row],[Symbol]])</f>
        <v>3.01</v>
      </c>
      <c r="E27">
        <v>-0.06</v>
      </c>
      <c r="F27">
        <v>2.0499999999999998</v>
      </c>
      <c r="G27">
        <v>0.88</v>
      </c>
      <c r="H27" s="1">
        <f>IF(ISNUMBER(Main_S[[#This Row],[Free CF]]),IF(Main_S[[#This Row],[Free CF]]&lt;&gt;0,Main_S[[#This Row],[Current Price]]/Main_S[[#This Row],[Free CF]],""),"")</f>
        <v>-50.166666666666664</v>
      </c>
      <c r="I27" s="1">
        <f>IF(ISNUMBER(Main_S[[#This Row],[BVPS]]),IF(Main_S[[#This Row],[BVPS]]&lt;&gt;0,Main_S[[#This Row],[Current Price]]/Main_S[[#This Row],[BVPS]],""),"")</f>
        <v>1.4682926829268292</v>
      </c>
      <c r="J27">
        <v>55.88</v>
      </c>
      <c r="K27">
        <v>6.84</v>
      </c>
      <c r="L27">
        <v>2.25</v>
      </c>
      <c r="M27" s="1">
        <f>IF(ISNUMBER(Main_S[[#This Row],[EPS]]),IF(Main_S[[#This Row],[EPS]]&lt;&gt;0,Main_S[[#This Row],[Current Price]]/Main_S[[#This Row],[EPS]],""),"")</f>
        <v>3.4204545454545454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-6.4800062572694115</v>
      </c>
      <c r="P27" s="1">
        <f>(Main_S[[#This Row],[P/B]]-VLOOKUP(Main_S[[#This Row],[Industry]], Mean_PB_S, 2, FALSE))/(VLOOKUP(Main_S[[#This Row],[Industry]], Mean_PB_S, 3, FALSE))</f>
        <v>0.38195265387741278</v>
      </c>
      <c r="Q27" s="1">
        <f>(Main_S[[#This Row],[ROE]]-VLOOKUP(Main_S[[#This Row],[Industry]], Mean_ROE_S, 2, FALSE))/(VLOOKUP(Main_S[[#This Row],[Industry]], Mean_ROE_S, 3, FALSE))</f>
        <v>7.3271295413999127</v>
      </c>
      <c r="R27" s="1">
        <f>(Main_S[[#This Row],[ROA]]-VLOOKUP(Main_S[[#This Row],[Industry]], Mean_ROA_S, 2, FALSE))/(VLOOKUP(Main_S[[#This Row],[Industry]], Mean_ROA_S, 3, FALSE))</f>
        <v>1.1299781973983574</v>
      </c>
      <c r="S27" s="1">
        <f>(Main_S[[#This Row],[A/E]]-VLOOKUP(Main_S[[#This Row],[Industry]], Mean_AE_S, 2, FALSE))/(VLOOKUP(Main_S[[#This Row],[Industry]], Mean_AE_S, 3, FALSE))</f>
        <v>0.16373305838924918</v>
      </c>
      <c r="T27" s="1">
        <f>(Main_S[[#This Row],[P/E]]-VLOOKUP(Main_S[[#This Row],[Industry]], Mean_PE_S, 2, FALSE))/(VLOOKUP(Main_S[[#This Row],[Industry]], Mean_PE_S, 3, FALSE))</f>
        <v>-0.90362279940345303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106</v>
      </c>
      <c r="B28" t="s">
        <v>233</v>
      </c>
      <c r="C28" s="2">
        <v>789</v>
      </c>
      <c r="D28">
        <f>RTD("tos.rtd", , "LAST", Main_S[[#This Row],[Symbol]])</f>
        <v>30.22</v>
      </c>
      <c r="E28">
        <v>-2.73</v>
      </c>
      <c r="F28">
        <v>31.15</v>
      </c>
      <c r="G28">
        <v>3.21</v>
      </c>
      <c r="H28" s="1">
        <f>IF(ISNUMBER(Main_S[[#This Row],[Free CF]]),IF(Main_S[[#This Row],[Free CF]]&lt;&gt;0,Main_S[[#This Row],[Current Price]]/Main_S[[#This Row],[Free CF]],""),"")</f>
        <v>-11.069597069597069</v>
      </c>
      <c r="I28" s="1">
        <f>IF(ISNUMBER(Main_S[[#This Row],[BVPS]]),IF(Main_S[[#This Row],[BVPS]]&lt;&gt;0,Main_S[[#This Row],[Current Price]]/Main_S[[#This Row],[BVPS]],""),"")</f>
        <v>0.97014446227929374</v>
      </c>
      <c r="J28">
        <v>11.07</v>
      </c>
      <c r="K28">
        <v>4.5199999999999996</v>
      </c>
      <c r="L28">
        <v>2.38</v>
      </c>
      <c r="M28" s="1">
        <f>IF(ISNUMBER(Main_S[[#This Row],[EPS]]),IF(Main_S[[#This Row],[EPS]]&lt;&gt;0,Main_S[[#This Row],[Current Price]]/Main_S[[#This Row],[EPS]],""),"")</f>
        <v>9.4143302180685353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-2.0057674964746623</v>
      </c>
      <c r="P28" s="1">
        <f>(Main_S[[#This Row],[P/B]]-VLOOKUP(Main_S[[#This Row],[Industry]], Mean_PB_S, 2, FALSE))/(VLOOKUP(Main_S[[#This Row],[Industry]], Mean_PB_S, 3, FALSE))</f>
        <v>-0.38908412859423674</v>
      </c>
      <c r="Q28" s="1">
        <f>(Main_S[[#This Row],[ROE]]-VLOOKUP(Main_S[[#This Row],[Industry]], Mean_ROE_S, 2, FALSE))/(VLOOKUP(Main_S[[#This Row],[Industry]], Mean_ROE_S, 3, FALSE))</f>
        <v>0.25547685241893953</v>
      </c>
      <c r="R28" s="1">
        <f>(Main_S[[#This Row],[ROA]]-VLOOKUP(Main_S[[#This Row],[Industry]], Mean_ROA_S, 2, FALSE))/(VLOOKUP(Main_S[[#This Row],[Industry]], Mean_ROA_S, 3, FALSE))</f>
        <v>-3.4415579616193584E-2</v>
      </c>
      <c r="S28" s="1">
        <f>(Main_S[[#This Row],[A/E]]-VLOOKUP(Main_S[[#This Row],[Industry]], Mean_AE_S, 2, FALSE))/(VLOOKUP(Main_S[[#This Row],[Industry]], Mean_AE_S, 3, FALSE))</f>
        <v>0.31853522268453949</v>
      </c>
      <c r="T28" s="1">
        <f>(Main_S[[#This Row],[P/E]]-VLOOKUP(Main_S[[#This Row],[Industry]], Mean_PE_S, 2, FALSE))/(VLOOKUP(Main_S[[#This Row],[Industry]], Mean_PE_S, 3, FALSE))</f>
        <v>-0.23683948511905298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106</v>
      </c>
      <c r="B29" t="s">
        <v>234</v>
      </c>
      <c r="C29" s="2">
        <v>763</v>
      </c>
      <c r="D29">
        <f>RTD("tos.rtd", , "LAST", Main_S[[#This Row],[Symbol]])</f>
        <v>8.67</v>
      </c>
      <c r="E29">
        <v>0.62</v>
      </c>
      <c r="F29">
        <v>7.7</v>
      </c>
      <c r="G29">
        <v>0.3</v>
      </c>
      <c r="H29" s="1">
        <f>IF(ISNUMBER(Main_S[[#This Row],[Free CF]]),IF(Main_S[[#This Row],[Free CF]]&lt;&gt;0,Main_S[[#This Row],[Current Price]]/Main_S[[#This Row],[Free CF]],""),"")</f>
        <v>13.983870967741936</v>
      </c>
      <c r="I29" s="1">
        <f>IF(ISNUMBER(Main_S[[#This Row],[BVPS]]),IF(Main_S[[#This Row],[BVPS]]&lt;&gt;0,Main_S[[#This Row],[Current Price]]/Main_S[[#This Row],[BVPS]],""),"")</f>
        <v>1.1259740259740258</v>
      </c>
      <c r="J29">
        <v>3.92</v>
      </c>
      <c r="K29">
        <v>2.96</v>
      </c>
      <c r="L29">
        <v>1.72</v>
      </c>
      <c r="M29" s="1">
        <f>IF(ISNUMBER(Main_S[[#This Row],[EPS]]),IF(Main_S[[#This Row],[EPS]]&lt;&gt;0,Main_S[[#This Row],[Current Price]]/Main_S[[#This Row],[EPS]],""),"")</f>
        <v>28.900000000000002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0.86133223606888121</v>
      </c>
      <c r="P29" s="1">
        <f>(Main_S[[#This Row],[P/B]]-VLOOKUP(Main_S[[#This Row],[Industry]], Mean_PB_S, 2, FALSE))/(VLOOKUP(Main_S[[#This Row],[Industry]], Mean_PB_S, 3, FALSE))</f>
        <v>-0.14789020191722163</v>
      </c>
      <c r="Q29" s="1">
        <f>(Main_S[[#This Row],[ROE]]-VLOOKUP(Main_S[[#This Row],[Industry]], Mean_ROE_S, 2, FALSE))/(VLOOKUP(Main_S[[#This Row],[Industry]], Mean_ROE_S, 3, FALSE))</f>
        <v>-0.87289442020355457</v>
      </c>
      <c r="R29" s="1">
        <f>(Main_S[[#This Row],[ROA]]-VLOOKUP(Main_S[[#This Row],[Industry]], Mean_ROA_S, 2, FALSE))/(VLOOKUP(Main_S[[#This Row],[Industry]], Mean_ROA_S, 3, FALSE))</f>
        <v>-0.81737001588459823</v>
      </c>
      <c r="S29" s="1">
        <f>(Main_S[[#This Row],[A/E]]-VLOOKUP(Main_S[[#This Row],[Industry]], Mean_AE_S, 2, FALSE))/(VLOOKUP(Main_S[[#This Row],[Industry]], Mean_AE_S, 3, FALSE))</f>
        <v>-0.46738345758385796</v>
      </c>
      <c r="T29" s="1">
        <f>(Main_S[[#This Row],[P/E]]-VLOOKUP(Main_S[[#This Row],[Industry]], Mean_PE_S, 2, FALSE))/(VLOOKUP(Main_S[[#This Row],[Industry]], Mean_PE_S, 3, FALSE))</f>
        <v>1.9308263437888376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106</v>
      </c>
      <c r="B30" t="s">
        <v>235</v>
      </c>
      <c r="C30" s="2">
        <v>891</v>
      </c>
      <c r="D30">
        <f>RTD("tos.rtd", , "LAST", Main_S[[#This Row],[Symbol]])</f>
        <v>8.65</v>
      </c>
      <c r="E30">
        <v>0.3</v>
      </c>
      <c r="F30">
        <v>12.93</v>
      </c>
      <c r="G30">
        <v>0.57999999999999996</v>
      </c>
      <c r="H30" s="1">
        <f>IF(ISNUMBER(Main_S[[#This Row],[Free CF]]),IF(Main_S[[#This Row],[Free CF]]&lt;&gt;0,Main_S[[#This Row],[Current Price]]/Main_S[[#This Row],[Free CF]],""),"")</f>
        <v>28.833333333333336</v>
      </c>
      <c r="I30" s="1">
        <f>IF(ISNUMBER(Main_S[[#This Row],[BVPS]]),IF(Main_S[[#This Row],[BVPS]]&lt;&gt;0,Main_S[[#This Row],[Current Price]]/Main_S[[#This Row],[BVPS]],""),"")</f>
        <v>0.66898685228151589</v>
      </c>
      <c r="J30">
        <v>4.91</v>
      </c>
      <c r="K30">
        <v>3.84</v>
      </c>
      <c r="L30">
        <v>1.53</v>
      </c>
      <c r="M30" s="1">
        <f>IF(ISNUMBER(Main_S[[#This Row],[EPS]]),IF(Main_S[[#This Row],[EPS]]&lt;&gt;0,Main_S[[#This Row],[Current Price]]/Main_S[[#This Row],[EPS]],""),"")</f>
        <v>14.913793103448278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2.5606933589820864</v>
      </c>
      <c r="P30" s="1">
        <f>(Main_S[[#This Row],[P/B]]-VLOOKUP(Main_S[[#This Row],[Industry]], Mean_PB_S, 2, FALSE))/(VLOOKUP(Main_S[[#This Row],[Industry]], Mean_PB_S, 3, FALSE))</f>
        <v>-0.85521767079117661</v>
      </c>
      <c r="Q30" s="1">
        <f>(Main_S[[#This Row],[ROE]]-VLOOKUP(Main_S[[#This Row],[Industry]], Mean_ROE_S, 2, FALSE))/(VLOOKUP(Main_S[[#This Row],[Industry]], Mean_ROE_S, 3, FALSE))</f>
        <v>-0.71665839784043994</v>
      </c>
      <c r="R30" s="1">
        <f>(Main_S[[#This Row],[ROA]]-VLOOKUP(Main_S[[#This Row],[Industry]], Mean_ROA_S, 2, FALSE))/(VLOOKUP(Main_S[[#This Row],[Industry]], Mean_ROA_S, 3, FALSE))</f>
        <v>-0.37570341081011349</v>
      </c>
      <c r="S30" s="1">
        <f>(Main_S[[#This Row],[A/E]]-VLOOKUP(Main_S[[#This Row],[Industry]], Mean_AE_S, 2, FALSE))/(VLOOKUP(Main_S[[#This Row],[Industry]], Mean_AE_S, 3, FALSE))</f>
        <v>-0.69363277463082085</v>
      </c>
      <c r="T30" s="1">
        <f>(Main_S[[#This Row],[P/E]]-VLOOKUP(Main_S[[#This Row],[Industry]], Mean_PE_S, 2, FALSE))/(VLOOKUP(Main_S[[#This Row],[Industry]], Mean_PE_S, 3, FALSE))</f>
        <v>0.37494332283137616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107</v>
      </c>
      <c r="B31" t="s">
        <v>236</v>
      </c>
      <c r="C31" s="2">
        <v>1542</v>
      </c>
      <c r="D31">
        <f>RTD("tos.rtd", , "LAST", Main_S[[#This Row],[Symbol]])</f>
        <v>22.38</v>
      </c>
      <c r="E31">
        <v>0.25</v>
      </c>
      <c r="F31">
        <v>18.48</v>
      </c>
      <c r="G31">
        <v>-2</v>
      </c>
      <c r="H31" s="1">
        <f>IF(ISNUMBER(Main_S[[#This Row],[Free CF]]),IF(Main_S[[#This Row],[Free CF]]&lt;&gt;0,Main_S[[#This Row],[Current Price]]/Main_S[[#This Row],[Free CF]],""),"")</f>
        <v>89.52</v>
      </c>
      <c r="I31" s="1">
        <f>IF(ISNUMBER(Main_S[[#This Row],[BVPS]]),IF(Main_S[[#This Row],[BVPS]]&lt;&gt;0,Main_S[[#This Row],[Current Price]]/Main_S[[#This Row],[BVPS]],""),"")</f>
        <v>1.2110389610389609</v>
      </c>
      <c r="J31">
        <v>-10.02</v>
      </c>
      <c r="K31">
        <v>-3.94</v>
      </c>
      <c r="L31">
        <v>1.43</v>
      </c>
      <c r="M31" s="1">
        <f>IF(ISNUMBER(Main_S[[#This Row],[EPS]]),IF(Main_S[[#This Row],[EPS]]&lt;&gt;0,Main_S[[#This Row],[Current Price]]/Main_S[[#This Row],[EPS]],""),"")</f>
        <v>-11.19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11.715909484502475</v>
      </c>
      <c r="P31" s="1">
        <f>(Main_S[[#This Row],[P/B]]-VLOOKUP(Main_S[[#This Row],[Industry]], Mean_PB_S, 2, FALSE))/(VLOOKUP(Main_S[[#This Row],[Industry]], Mean_PB_S, 3, FALSE))</f>
        <v>-1.1018700718065232E-2</v>
      </c>
      <c r="Q31" s="1">
        <f>(Main_S[[#This Row],[ROE]]-VLOOKUP(Main_S[[#This Row],[Industry]], Mean_ROE_S, 2, FALSE))/(VLOOKUP(Main_S[[#This Row],[Industry]], Mean_ROE_S, 3, FALSE))</f>
        <v>-0.95938502082262933</v>
      </c>
      <c r="R31" s="1">
        <f>(Main_S[[#This Row],[ROA]]-VLOOKUP(Main_S[[#This Row],[Industry]], Mean_ROA_S, 2, FALSE))/(VLOOKUP(Main_S[[#This Row],[Industry]], Mean_ROA_S, 3, FALSE))</f>
        <v>-1.5286418119452021</v>
      </c>
      <c r="S31" s="1">
        <f>(Main_S[[#This Row],[A/E]]-VLOOKUP(Main_S[[#This Row],[Industry]], Mean_AE_S, 2, FALSE))/(VLOOKUP(Main_S[[#This Row],[Industry]], Mean_AE_S, 3, FALSE))</f>
        <v>-0.61375880818013351</v>
      </c>
      <c r="T31" s="1">
        <f>(Main_S[[#This Row],[P/E]]-VLOOKUP(Main_S[[#This Row],[Industry]], Mean_PE_S, 2, FALSE))/(VLOOKUP(Main_S[[#This Row],[Industry]], Mean_PE_S, 3, FALSE))</f>
        <v>-1.5911420391811639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107</v>
      </c>
      <c r="B32" t="s">
        <v>237</v>
      </c>
      <c r="C32" s="2">
        <v>1149</v>
      </c>
      <c r="D32">
        <f>RTD("tos.rtd", , "LAST", Main_S[[#This Row],[Symbol]])</f>
        <v>1.94</v>
      </c>
      <c r="E32">
        <v>0.51</v>
      </c>
      <c r="F32">
        <v>3.75</v>
      </c>
      <c r="G32">
        <v>0.2</v>
      </c>
      <c r="H32" s="1">
        <f>IF(ISNUMBER(Main_S[[#This Row],[Free CF]]),IF(Main_S[[#This Row],[Free CF]]&lt;&gt;0,Main_S[[#This Row],[Current Price]]/Main_S[[#This Row],[Free CF]],""),"")</f>
        <v>3.8039215686274508</v>
      </c>
      <c r="I32" s="1">
        <f>IF(ISNUMBER(Main_S[[#This Row],[BVPS]]),IF(Main_S[[#This Row],[BVPS]]&lt;&gt;0,Main_S[[#This Row],[Current Price]]/Main_S[[#This Row],[BVPS]],""),"")</f>
        <v>0.51733333333333331</v>
      </c>
      <c r="J32">
        <v>5.92</v>
      </c>
      <c r="K32">
        <v>6.33</v>
      </c>
      <c r="L32">
        <v>1.86</v>
      </c>
      <c r="M32" s="1">
        <f>IF(ISNUMBER(Main_S[[#This Row],[EPS]]),IF(Main_S[[#This Row],[EPS]]&lt;&gt;0,Main_S[[#This Row],[Current Price]]/Main_S[[#This Row],[EPS]],""),"")</f>
        <v>9.6999999999999993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0.30878308061927462</v>
      </c>
      <c r="P32" s="1">
        <f>(Main_S[[#This Row],[P/B]]-VLOOKUP(Main_S[[#This Row],[Industry]], Mean_PB_S, 2, FALSE))/(VLOOKUP(Main_S[[#This Row],[Industry]], Mean_PB_S, 3, FALSE))</f>
        <v>-1.0056128417154468</v>
      </c>
      <c r="Q32" s="1">
        <f>(Main_S[[#This Row],[ROE]]-VLOOKUP(Main_S[[#This Row],[Industry]], Mean_ROE_S, 2, FALSE))/(VLOOKUP(Main_S[[#This Row],[Industry]], Mean_ROE_S, 3, FALSE))</f>
        <v>-0.13570873825915999</v>
      </c>
      <c r="R32" s="1">
        <f>(Main_S[[#This Row],[ROA]]-VLOOKUP(Main_S[[#This Row],[Industry]], Mean_ROA_S, 2, FALSE))/(VLOOKUP(Main_S[[#This Row],[Industry]], Mean_ROA_S, 3, FALSE))</f>
        <v>0.37401656872951772</v>
      </c>
      <c r="S32" s="1">
        <f>(Main_S[[#This Row],[A/E]]-VLOOKUP(Main_S[[#This Row],[Industry]], Mean_AE_S, 2, FALSE))/(VLOOKUP(Main_S[[#This Row],[Industry]], Mean_AE_S, 3, FALSE))</f>
        <v>-0.27744697298015453</v>
      </c>
      <c r="T32" s="1">
        <f>(Main_S[[#This Row],[P/E]]-VLOOKUP(Main_S[[#This Row],[Industry]], Mean_PE_S, 2, FALSE))/(VLOOKUP(Main_S[[#This Row],[Industry]], Mean_PE_S, 3, FALSE))</f>
        <v>0.59789803261294161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107</v>
      </c>
      <c r="B33" t="s">
        <v>238</v>
      </c>
      <c r="C33" s="2">
        <v>999</v>
      </c>
      <c r="D33">
        <f>RTD("tos.rtd", , "LAST", Main_S[[#This Row],[Symbol]])</f>
        <v>4.53</v>
      </c>
      <c r="E33">
        <v>0.33</v>
      </c>
      <c r="F33">
        <v>2.11</v>
      </c>
      <c r="G33">
        <v>0.59</v>
      </c>
      <c r="H33" s="1">
        <f>IF(ISNUMBER(Main_S[[#This Row],[Free CF]]),IF(Main_S[[#This Row],[Free CF]]&lt;&gt;0,Main_S[[#This Row],[Current Price]]/Main_S[[#This Row],[Free CF]],""),"")</f>
        <v>13.727272727272727</v>
      </c>
      <c r="I33" s="1">
        <f>IF(ISNUMBER(Main_S[[#This Row],[BVPS]]),IF(Main_S[[#This Row],[BVPS]]&lt;&gt;0,Main_S[[#This Row],[Current Price]]/Main_S[[#This Row],[BVPS]],""),"")</f>
        <v>2.1469194312796209</v>
      </c>
      <c r="J33">
        <v>29.71</v>
      </c>
      <c r="K33">
        <v>17.52</v>
      </c>
      <c r="L33">
        <v>1.34</v>
      </c>
      <c r="M33" s="1">
        <f>IF(ISNUMBER(Main_S[[#This Row],[EPS]]),IF(Main_S[[#This Row],[EPS]]&lt;&gt;0,Main_S[[#This Row],[Current Price]]/Main_S[[#This Row],[EPS]],""),"")</f>
        <v>7.6779661016949161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1.6293862053576176</v>
      </c>
      <c r="P33" s="1">
        <f>(Main_S[[#This Row],[P/B]]-VLOOKUP(Main_S[[#This Row],[Industry]], Mean_PB_S, 2, FALSE))/(VLOOKUP(Main_S[[#This Row],[Industry]], Mean_PB_S, 3, FALSE))</f>
        <v>1.3307914204623652</v>
      </c>
      <c r="Q33" s="1">
        <f>(Main_S[[#This Row],[ROE]]-VLOOKUP(Main_S[[#This Row],[Industry]], Mean_ROE_S, 2, FALSE))/(VLOOKUP(Main_S[[#This Row],[Industry]], Mean_ROE_S, 3, FALSE))</f>
        <v>1.0936048603722663</v>
      </c>
      <c r="R33" s="1">
        <f>(Main_S[[#This Row],[ROA]]-VLOOKUP(Main_S[[#This Row],[Industry]], Mean_ROA_S, 2, FALSE))/(VLOOKUP(Main_S[[#This Row],[Industry]], Mean_ROA_S, 3, FALSE))</f>
        <v>2.447117569678896</v>
      </c>
      <c r="S33" s="1">
        <f>(Main_S[[#This Row],[A/E]]-VLOOKUP(Main_S[[#This Row],[Industry]], Mean_AE_S, 2, FALSE))/(VLOOKUP(Main_S[[#This Row],[Industry]], Mean_AE_S, 3, FALSE))</f>
        <v>-0.68414965740803602</v>
      </c>
      <c r="T33" s="1">
        <f>(Main_S[[#This Row],[P/E]]-VLOOKUP(Main_S[[#This Row],[Industry]], Mean_PE_S, 2, FALSE))/(VLOOKUP(Main_S[[#This Row],[Industry]], Mean_PE_S, 3, FALSE))</f>
        <v>0.38601132940969241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107</v>
      </c>
      <c r="B34" t="s">
        <v>239</v>
      </c>
      <c r="C34" s="2">
        <v>766</v>
      </c>
      <c r="D34">
        <f>RTD("tos.rtd", , "LAST", Main_S[[#This Row],[Symbol]])</f>
        <v>13.99</v>
      </c>
      <c r="E34">
        <v>0.11</v>
      </c>
      <c r="F34">
        <v>8.82</v>
      </c>
      <c r="G34">
        <v>-1.84</v>
      </c>
      <c r="H34" s="1">
        <f>IF(ISNUMBER(Main_S[[#This Row],[Free CF]]),IF(Main_S[[#This Row],[Free CF]]&lt;&gt;0,Main_S[[#This Row],[Current Price]]/Main_S[[#This Row],[Free CF]],""),"")</f>
        <v>127.18181818181819</v>
      </c>
      <c r="I34" s="1">
        <f>IF(ISNUMBER(Main_S[[#This Row],[BVPS]]),IF(Main_S[[#This Row],[BVPS]]&lt;&gt;0,Main_S[[#This Row],[Current Price]]/Main_S[[#This Row],[BVPS]],""),"")</f>
        <v>1.5861678004535147</v>
      </c>
      <c r="J34">
        <v>-16.37</v>
      </c>
      <c r="K34">
        <v>-0.91</v>
      </c>
      <c r="L34">
        <v>8.84</v>
      </c>
      <c r="M34" s="1">
        <f>IF(ISNUMBER(Main_S[[#This Row],[EPS]]),IF(Main_S[[#This Row],[EPS]]&lt;&gt;0,Main_S[[#This Row],[Current Price]]/Main_S[[#This Row],[EPS]],""),"")</f>
        <v>-7.6032608695652169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16.727957731017053</v>
      </c>
      <c r="P34" s="1">
        <f>(Main_S[[#This Row],[P/B]]-VLOOKUP(Main_S[[#This Row],[Industry]], Mean_PB_S, 2, FALSE))/(VLOOKUP(Main_S[[#This Row],[Industry]], Mean_PB_S, 3, FALSE))</f>
        <v>0.52681886452536875</v>
      </c>
      <c r="Q34" s="1">
        <f>(Main_S[[#This Row],[ROE]]-VLOOKUP(Main_S[[#This Row],[Industry]], Mean_ROE_S, 2, FALSE))/(VLOOKUP(Main_S[[#This Row],[Industry]], Mean_ROE_S, 3, FALSE))</f>
        <v>-1.2875120217183653</v>
      </c>
      <c r="R34" s="1">
        <f>(Main_S[[#This Row],[ROA]]-VLOOKUP(Main_S[[#This Row],[Industry]], Mean_ROA_S, 2, FALSE))/(VLOOKUP(Main_S[[#This Row],[Industry]], Mean_ROA_S, 3, FALSE))</f>
        <v>-0.96729274734496851</v>
      </c>
      <c r="S34" s="1">
        <f>(Main_S[[#This Row],[A/E]]-VLOOKUP(Main_S[[#This Row],[Industry]], Mean_AE_S, 2, FALSE))/(VLOOKUP(Main_S[[#This Row],[Industry]], Mean_AE_S, 3, FALSE))</f>
        <v>5.1817544449171775</v>
      </c>
      <c r="T34" s="1">
        <f>(Main_S[[#This Row],[P/E]]-VLOOKUP(Main_S[[#This Row],[Industry]], Mean_PE_S, 2, FALSE))/(VLOOKUP(Main_S[[#This Row],[Industry]], Mean_PE_S, 3, FALSE))</f>
        <v>-1.2152915995644247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107</v>
      </c>
      <c r="B35" t="s">
        <v>240</v>
      </c>
      <c r="C35" s="2">
        <v>1294</v>
      </c>
      <c r="D35">
        <f>RTD("tos.rtd", , "LAST", Main_S[[#This Row],[Symbol]])</f>
        <v>28.7</v>
      </c>
      <c r="E35">
        <v>3.17</v>
      </c>
      <c r="F35">
        <v>7.68</v>
      </c>
      <c r="G35">
        <v>2.13</v>
      </c>
      <c r="H35" s="1">
        <f>IF(ISNUMBER(Main_S[[#This Row],[Free CF]]),IF(Main_S[[#This Row],[Free CF]]&lt;&gt;0,Main_S[[#This Row],[Current Price]]/Main_S[[#This Row],[Free CF]],""),"")</f>
        <v>9.0536277602523665</v>
      </c>
      <c r="I35" s="1">
        <f>IF(ISNUMBER(Main_S[[#This Row],[BVPS]]),IF(Main_S[[#This Row],[BVPS]]&lt;&gt;0,Main_S[[#This Row],[Current Price]]/Main_S[[#This Row],[BVPS]],""),"")</f>
        <v>3.7369791666666665</v>
      </c>
      <c r="J35">
        <v>33.78</v>
      </c>
      <c r="K35">
        <v>20.71</v>
      </c>
      <c r="L35">
        <v>1.01</v>
      </c>
      <c r="M35" s="1">
        <f>IF(ISNUMBER(Main_S[[#This Row],[EPS]]),IF(Main_S[[#This Row],[EPS]]&lt;&gt;0,Main_S[[#This Row],[Current Price]]/Main_S[[#This Row],[EPS]],""),"")</f>
        <v>13.474178403755868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1.0074158599881895</v>
      </c>
      <c r="P35" s="1">
        <f>(Main_S[[#This Row],[P/B]]-VLOOKUP(Main_S[[#This Row],[Industry]], Mean_PB_S, 2, FALSE))/(VLOOKUP(Main_S[[#This Row],[Industry]], Mean_PB_S, 3, FALSE))</f>
        <v>3.6105251194412253</v>
      </c>
      <c r="Q35" s="1">
        <f>(Main_S[[#This Row],[ROE]]-VLOOKUP(Main_S[[#This Row],[Industry]], Mean_ROE_S, 2, FALSE))/(VLOOKUP(Main_S[[#This Row],[Industry]], Mean_ROE_S, 3, FALSE))</f>
        <v>1.3039161822062262</v>
      </c>
      <c r="R35" s="1">
        <f>(Main_S[[#This Row],[ROA]]-VLOOKUP(Main_S[[#This Row],[Industry]], Mean_ROA_S, 2, FALSE))/(VLOOKUP(Main_S[[#This Row],[Industry]], Mean_ROA_S, 3, FALSE))</f>
        <v>3.0381088291095057</v>
      </c>
      <c r="S35" s="1">
        <f>(Main_S[[#This Row],[A/E]]-VLOOKUP(Main_S[[#This Row],[Industry]], Mean_AE_S, 2, FALSE))/(VLOOKUP(Main_S[[#This Row],[Industry]], Mean_AE_S, 3, FALSE))</f>
        <v>-0.94224943791034543</v>
      </c>
      <c r="T35" s="1">
        <f>(Main_S[[#This Row],[P/E]]-VLOOKUP(Main_S[[#This Row],[Industry]], Mean_PE_S, 2, FALSE))/(VLOOKUP(Main_S[[#This Row],[Industry]], Mean_PE_S, 3, FALSE))</f>
        <v>0.99339002705628821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107</v>
      </c>
      <c r="B36" t="s">
        <v>241</v>
      </c>
      <c r="C36" s="2">
        <v>340</v>
      </c>
      <c r="D36">
        <f>RTD("tos.rtd", , "LAST", Main_S[[#This Row],[Symbol]])</f>
        <v>3.83</v>
      </c>
      <c r="E36">
        <v>0.1</v>
      </c>
      <c r="F36">
        <v>4.83</v>
      </c>
      <c r="G36">
        <v>0.56000000000000005</v>
      </c>
      <c r="H36" s="1">
        <f>IF(ISNUMBER(Main_S[[#This Row],[Free CF]]),IF(Main_S[[#This Row],[Free CF]]&lt;&gt;0,Main_S[[#This Row],[Current Price]]/Main_S[[#This Row],[Free CF]],""),"")</f>
        <v>38.299999999999997</v>
      </c>
      <c r="I36" s="1">
        <f>IF(ISNUMBER(Main_S[[#This Row],[BVPS]]),IF(Main_S[[#This Row],[BVPS]]&lt;&gt;0,Main_S[[#This Row],[Current Price]]/Main_S[[#This Row],[BVPS]],""),"")</f>
        <v>0.79296066252587993</v>
      </c>
      <c r="J36">
        <v>11.93</v>
      </c>
      <c r="K36">
        <v>9.5399999999999991</v>
      </c>
      <c r="L36">
        <v>1.9</v>
      </c>
      <c r="M36" s="1">
        <f>IF(ISNUMBER(Main_S[[#This Row],[EPS]]),IF(Main_S[[#This Row],[EPS]]&lt;&gt;0,Main_S[[#This Row],[Current Price]]/Main_S[[#This Row],[EPS]],""),"")</f>
        <v>6.8392857142857135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4.8995335478141442</v>
      </c>
      <c r="P36" s="1">
        <f>(Main_S[[#This Row],[P/B]]-VLOOKUP(Main_S[[#This Row],[Industry]], Mean_PB_S, 2, FALSE))/(VLOOKUP(Main_S[[#This Row],[Industry]], Mean_PB_S, 3, FALSE))</f>
        <v>-0.61043466272279634</v>
      </c>
      <c r="Q36" s="1">
        <f>(Main_S[[#This Row],[ROE]]-VLOOKUP(Main_S[[#This Row],[Industry]], Mean_ROE_S, 2, FALSE))/(VLOOKUP(Main_S[[#This Row],[Industry]], Mean_ROE_S, 3, FALSE))</f>
        <v>0.17484925786420577</v>
      </c>
      <c r="R36" s="1">
        <f>(Main_S[[#This Row],[ROA]]-VLOOKUP(Main_S[[#This Row],[Industry]], Mean_ROA_S, 2, FALSE))/(VLOOKUP(Main_S[[#This Row],[Industry]], Mean_ROA_S, 3, FALSE))</f>
        <v>0.96871310251392373</v>
      </c>
      <c r="S36" s="1">
        <f>(Main_S[[#This Row],[A/E]]-VLOOKUP(Main_S[[#This Row],[Industry]], Mean_AE_S, 2, FALSE))/(VLOOKUP(Main_S[[#This Row],[Industry]], Mean_AE_S, 3, FALSE))</f>
        <v>-0.24616215110108688</v>
      </c>
      <c r="T36" s="1">
        <f>(Main_S[[#This Row],[P/E]]-VLOOKUP(Main_S[[#This Row],[Industry]], Mean_PE_S, 2, FALSE))/(VLOOKUP(Main_S[[#This Row],[Industry]], Mean_PE_S, 3, FALSE))</f>
        <v>0.29812693613699981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107</v>
      </c>
      <c r="B37" t="s">
        <v>242</v>
      </c>
      <c r="C37" s="2">
        <v>275</v>
      </c>
      <c r="D37">
        <f>RTD("tos.rtd", , "LAST", Main_S[[#This Row],[Symbol]])</f>
        <v>4.2699999999999996</v>
      </c>
      <c r="E37">
        <v>0.56999999999999995</v>
      </c>
      <c r="F37">
        <v>8.1999999999999993</v>
      </c>
      <c r="G37">
        <v>1.18</v>
      </c>
      <c r="H37" s="1">
        <f>IF(ISNUMBER(Main_S[[#This Row],[Free CF]]),IF(Main_S[[#This Row],[Free CF]]&lt;&gt;0,Main_S[[#This Row],[Current Price]]/Main_S[[#This Row],[Free CF]],""),"")</f>
        <v>7.4912280701754383</v>
      </c>
      <c r="I37" s="1">
        <f>IF(ISNUMBER(Main_S[[#This Row],[BVPS]]),IF(Main_S[[#This Row],[BVPS]]&lt;&gt;0,Main_S[[#This Row],[Current Price]]/Main_S[[#This Row],[BVPS]],""),"")</f>
        <v>0.52073170731707319</v>
      </c>
      <c r="J37">
        <v>16.010000000000002</v>
      </c>
      <c r="K37">
        <v>6.11</v>
      </c>
      <c r="L37">
        <v>1.53</v>
      </c>
      <c r="M37" s="1">
        <f>IF(ISNUMBER(Main_S[[#This Row],[EPS]]),IF(Main_S[[#This Row],[EPS]]&lt;&gt;0,Main_S[[#This Row],[Current Price]]/Main_S[[#This Row],[EPS]],""),"")</f>
        <v>3.6186440677966099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0.79949114989584902</v>
      </c>
      <c r="P37" s="1">
        <f>(Main_S[[#This Row],[P/B]]-VLOOKUP(Main_S[[#This Row],[Industry]], Mean_PB_S, 2, FALSE))/(VLOOKUP(Main_S[[#This Row],[Industry]], Mean_PB_S, 3, FALSE))</f>
        <v>-1.0007404538924956</v>
      </c>
      <c r="Q37" s="1">
        <f>(Main_S[[#This Row],[ROE]]-VLOOKUP(Main_S[[#This Row],[Industry]], Mean_ROE_S, 2, FALSE))/(VLOOKUP(Main_S[[#This Row],[Industry]], Mean_ROE_S, 3, FALSE))</f>
        <v>0.38567731513264719</v>
      </c>
      <c r="R37" s="1">
        <f>(Main_S[[#This Row],[ROA]]-VLOOKUP(Main_S[[#This Row],[Industry]], Mean_ROA_S, 2, FALSE))/(VLOOKUP(Main_S[[#This Row],[Industry]], Mean_ROA_S, 3, FALSE))</f>
        <v>0.33325855083775163</v>
      </c>
      <c r="S37" s="1">
        <f>(Main_S[[#This Row],[A/E]]-VLOOKUP(Main_S[[#This Row],[Industry]], Mean_AE_S, 2, FALSE))/(VLOOKUP(Main_S[[#This Row],[Industry]], Mean_AE_S, 3, FALSE))</f>
        <v>-0.53554675348246394</v>
      </c>
      <c r="T37" s="1">
        <f>(Main_S[[#This Row],[P/E]]-VLOOKUP(Main_S[[#This Row],[Industry]], Mean_PE_S, 2, FALSE))/(VLOOKUP(Main_S[[#This Row],[Industry]], Mean_PE_S, 3, FALSE))</f>
        <v>-3.936055170663804E-2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107</v>
      </c>
      <c r="B38" t="s">
        <v>243</v>
      </c>
      <c r="C38" s="2">
        <v>348</v>
      </c>
      <c r="D38">
        <f>RTD("tos.rtd", , "LAST", Main_S[[#This Row],[Symbol]])</f>
        <v>7.14</v>
      </c>
      <c r="E38">
        <v>5.33</v>
      </c>
      <c r="F38">
        <v>3.97</v>
      </c>
      <c r="G38">
        <v>1.81</v>
      </c>
      <c r="H38" s="1">
        <f>IF(ISNUMBER(Main_S[[#This Row],[Free CF]]),IF(Main_S[[#This Row],[Free CF]]&lt;&gt;0,Main_S[[#This Row],[Current Price]]/Main_S[[#This Row],[Free CF]],""),"")</f>
        <v>1.3395872420262664</v>
      </c>
      <c r="I38" s="1">
        <f>IF(ISNUMBER(Main_S[[#This Row],[BVPS]]),IF(Main_S[[#This Row],[BVPS]]&lt;&gt;0,Main_S[[#This Row],[Current Price]]/Main_S[[#This Row],[BVPS]],""),"")</f>
        <v>1.7984886649874054</v>
      </c>
      <c r="J38">
        <v>50.82</v>
      </c>
      <c r="K38">
        <v>15.14</v>
      </c>
      <c r="L38">
        <v>5.9</v>
      </c>
      <c r="M38" s="1">
        <f>IF(ISNUMBER(Main_S[[#This Row],[EPS]]),IF(Main_S[[#This Row],[EPS]]&lt;&gt;0,Main_S[[#This Row],[Current Price]]/Main_S[[#This Row],[EPS]],""),"")</f>
        <v>3.9447513812154695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-1.9171413793051831E-2</v>
      </c>
      <c r="P38" s="1">
        <f>(Main_S[[#This Row],[P/B]]-VLOOKUP(Main_S[[#This Row],[Industry]], Mean_PB_S, 2, FALSE))/(VLOOKUP(Main_S[[#This Row],[Industry]], Mean_PB_S, 3, FALSE))</f>
        <v>0.83123197499031265</v>
      </c>
      <c r="Q38" s="1">
        <f>(Main_S[[#This Row],[ROE]]-VLOOKUP(Main_S[[#This Row],[Industry]], Mean_ROE_S, 2, FALSE))/(VLOOKUP(Main_S[[#This Row],[Industry]], Mean_ROE_S, 3, FALSE))</f>
        <v>2.1844333625626575</v>
      </c>
      <c r="R38" s="1">
        <f>(Main_S[[#This Row],[ROA]]-VLOOKUP(Main_S[[#This Row],[Industry]], Mean_ROA_S, 2, FALSE))/(VLOOKUP(Main_S[[#This Row],[Industry]], Mean_ROA_S, 3, FALSE))</f>
        <v>2.0061899215770627</v>
      </c>
      <c r="S38" s="1">
        <f>(Main_S[[#This Row],[A/E]]-VLOOKUP(Main_S[[#This Row],[Industry]], Mean_AE_S, 2, FALSE))/(VLOOKUP(Main_S[[#This Row],[Industry]], Mean_AE_S, 3, FALSE))</f>
        <v>2.882320036805694</v>
      </c>
      <c r="T38" s="1">
        <f>(Main_S[[#This Row],[P/E]]-VLOOKUP(Main_S[[#This Row],[Industry]], Mean_PE_S, 2, FALSE))/(VLOOKUP(Main_S[[#This Row],[Industry]], Mean_PE_S, 3, FALSE))</f>
        <v>-5.1881258196584583E-3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107</v>
      </c>
      <c r="B39" t="s">
        <v>244</v>
      </c>
      <c r="C39" s="2">
        <v>648</v>
      </c>
      <c r="D39">
        <f>RTD("tos.rtd", , "LAST", Main_S[[#This Row],[Symbol]])</f>
        <v>5.7</v>
      </c>
      <c r="E39">
        <v>-0.55000000000000004</v>
      </c>
      <c r="F39">
        <v>4.8600000000000003</v>
      </c>
      <c r="G39">
        <v>0.14000000000000001</v>
      </c>
      <c r="H39" s="1">
        <f>IF(ISNUMBER(Main_S[[#This Row],[Free CF]]),IF(Main_S[[#This Row],[Free CF]]&lt;&gt;0,Main_S[[#This Row],[Current Price]]/Main_S[[#This Row],[Free CF]],""),"")</f>
        <v>-10.363636363636363</v>
      </c>
      <c r="I39" s="1">
        <f>IF(ISNUMBER(Main_S[[#This Row],[BVPS]]),IF(Main_S[[#This Row],[BVPS]]&lt;&gt;0,Main_S[[#This Row],[Current Price]]/Main_S[[#This Row],[BVPS]],""),"")</f>
        <v>1.1728395061728394</v>
      </c>
      <c r="J39">
        <v>2.87</v>
      </c>
      <c r="K39">
        <v>6</v>
      </c>
      <c r="L39">
        <v>1.63</v>
      </c>
      <c r="M39" s="1">
        <f>IF(ISNUMBER(Main_S[[#This Row],[EPS]]),IF(Main_S[[#This Row],[EPS]]&lt;&gt;0,Main_S[[#This Row],[Current Price]]/Main_S[[#This Row],[EPS]],""),"")</f>
        <v>40.714285714285708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-1.5766406009723102</v>
      </c>
      <c r="P39" s="1">
        <f>(Main_S[[#This Row],[P/B]]-VLOOKUP(Main_S[[#This Row],[Industry]], Mean_PB_S, 2, FALSE))/(VLOOKUP(Main_S[[#This Row],[Industry]], Mean_PB_S, 3, FALSE))</f>
        <v>-6.5786822067746151E-2</v>
      </c>
      <c r="Q39" s="1">
        <f>(Main_S[[#This Row],[ROE]]-VLOOKUP(Main_S[[#This Row],[Industry]], Mean_ROE_S, 2, FALSE))/(VLOOKUP(Main_S[[#This Row],[Industry]], Mean_ROE_S, 3, FALSE))</f>
        <v>-0.29331304577600953</v>
      </c>
      <c r="R39" s="1">
        <f>(Main_S[[#This Row],[ROA]]-VLOOKUP(Main_S[[#This Row],[Industry]], Mean_ROA_S, 2, FALSE))/(VLOOKUP(Main_S[[#This Row],[Industry]], Mean_ROA_S, 3, FALSE))</f>
        <v>0.31287954189186851</v>
      </c>
      <c r="S39" s="1">
        <f>(Main_S[[#This Row],[A/E]]-VLOOKUP(Main_S[[#This Row],[Industry]], Mean_AE_S, 2, FALSE))/(VLOOKUP(Main_S[[#This Row],[Industry]], Mean_AE_S, 3, FALSE))</f>
        <v>-0.45733469878479455</v>
      </c>
      <c r="T39" s="1">
        <f>(Main_S[[#This Row],[P/E]]-VLOOKUP(Main_S[[#This Row],[Industry]], Mean_PE_S, 2, FALSE))/(VLOOKUP(Main_S[[#This Row],[Industry]], Mean_PE_S, 3, FALSE))</f>
        <v>3.8478508438452486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0" spans="1:26" x14ac:dyDescent="0.25">
      <c r="A40" t="s">
        <v>107</v>
      </c>
      <c r="B40" t="s">
        <v>245</v>
      </c>
      <c r="C40" s="2">
        <v>1020</v>
      </c>
      <c r="D40">
        <f>RTD("tos.rtd", , "LAST", Main_S[[#This Row],[Symbol]])</f>
        <v>10.3</v>
      </c>
      <c r="E40">
        <v>0.56000000000000005</v>
      </c>
      <c r="F40">
        <v>12.71</v>
      </c>
      <c r="G40">
        <v>0.67</v>
      </c>
      <c r="H40" s="1">
        <f>IF(ISNUMBER(Main_S[[#This Row],[Free CF]]),IF(Main_S[[#This Row],[Free CF]]&lt;&gt;0,Main_S[[#This Row],[Current Price]]/Main_S[[#This Row],[Free CF]],""),"")</f>
        <v>18.392857142857142</v>
      </c>
      <c r="I40" s="1">
        <f>IF(ISNUMBER(Main_S[[#This Row],[BVPS]]),IF(Main_S[[#This Row],[BVPS]]&lt;&gt;0,Main_S[[#This Row],[Current Price]]/Main_S[[#This Row],[BVPS]],""),"")</f>
        <v>0.81038552321007085</v>
      </c>
      <c r="J40">
        <v>6.03</v>
      </c>
      <c r="K40">
        <v>6.86</v>
      </c>
      <c r="L40">
        <v>1.91</v>
      </c>
      <c r="M40" s="1">
        <f>IF(ISNUMBER(Main_S[[#This Row],[EPS]]),IF(Main_S[[#This Row],[EPS]]&lt;&gt;0,Main_S[[#This Row],[Current Price]]/Main_S[[#This Row],[EPS]],""),"")</f>
        <v>15.373134328358208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2.2502838496562845</v>
      </c>
      <c r="P40" s="1">
        <f>(Main_S[[#This Row],[P/B]]-VLOOKUP(Main_S[[#This Row],[Industry]], Mean_PB_S, 2, FALSE))/(VLOOKUP(Main_S[[#This Row],[Industry]], Mean_PB_S, 3, FALSE))</f>
        <v>-0.58545192703199389</v>
      </c>
      <c r="Q40" s="1">
        <f>(Main_S[[#This Row],[ROE]]-VLOOKUP(Main_S[[#This Row],[Industry]], Mean_ROE_S, 2, FALSE))/(VLOOKUP(Main_S[[#This Row],[Industry]], Mean_ROE_S, 3, FALSE))</f>
        <v>-0.13002464847986378</v>
      </c>
      <c r="R40" s="1">
        <f>(Main_S[[#This Row],[ROA]]-VLOOKUP(Main_S[[#This Row],[Industry]], Mean_ROA_S, 2, FALSE))/(VLOOKUP(Main_S[[#This Row],[Industry]], Mean_ROA_S, 3, FALSE))</f>
        <v>0.47220633910513626</v>
      </c>
      <c r="S40" s="1">
        <f>(Main_S[[#This Row],[A/E]]-VLOOKUP(Main_S[[#This Row],[Industry]], Mean_AE_S, 2, FALSE))/(VLOOKUP(Main_S[[#This Row],[Industry]], Mean_AE_S, 3, FALSE))</f>
        <v>-0.23834094563131991</v>
      </c>
      <c r="T40" s="1">
        <f>(Main_S[[#This Row],[P/E]]-VLOOKUP(Main_S[[#This Row],[Industry]], Mean_PE_S, 2, FALSE))/(VLOOKUP(Main_S[[#This Row],[Industry]], Mean_PE_S, 3, FALSE))</f>
        <v>1.1923795250709053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107</v>
      </c>
      <c r="B41" t="s">
        <v>246</v>
      </c>
      <c r="C41" s="2">
        <v>724</v>
      </c>
      <c r="D41">
        <f>RTD("tos.rtd", , "LAST", Main_S[[#This Row],[Symbol]])</f>
        <v>2.0699999999999998</v>
      </c>
      <c r="E41">
        <v>-0.54</v>
      </c>
      <c r="F41">
        <v>2.54</v>
      </c>
      <c r="G41">
        <v>0.4</v>
      </c>
      <c r="H41" s="1">
        <f>IF(ISNUMBER(Main_S[[#This Row],[Free CF]]),IF(Main_S[[#This Row],[Free CF]]&lt;&gt;0,Main_S[[#This Row],[Current Price]]/Main_S[[#This Row],[Free CF]],""),"")</f>
        <v>-3.8333333333333326</v>
      </c>
      <c r="I41" s="1">
        <f>IF(ISNUMBER(Main_S[[#This Row],[BVPS]]),IF(Main_S[[#This Row],[BVPS]]&lt;&gt;0,Main_S[[#This Row],[Current Price]]/Main_S[[#This Row],[BVPS]],""),"")</f>
        <v>0.81496062992125973</v>
      </c>
      <c r="J41">
        <v>17.010000000000002</v>
      </c>
      <c r="K41">
        <v>5.31</v>
      </c>
      <c r="L41">
        <v>4.42</v>
      </c>
      <c r="M41" s="1">
        <f>IF(ISNUMBER(Main_S[[#This Row],[EPS]]),IF(Main_S[[#This Row],[EPS]]&lt;&gt;0,Main_S[[#This Row],[Current Price]]/Main_S[[#This Row],[EPS]],""),"")</f>
        <v>5.1749999999999989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-0.7075855358602352</v>
      </c>
      <c r="P41" s="1">
        <f>(Main_S[[#This Row],[P/B]]-VLOOKUP(Main_S[[#This Row],[Industry]], Mean_PB_S, 2, FALSE))/(VLOOKUP(Main_S[[#This Row],[Industry]], Mean_PB_S, 3, FALSE))</f>
        <v>-0.57889240935237496</v>
      </c>
      <c r="Q41" s="1">
        <f>(Main_S[[#This Row],[ROE]]-VLOOKUP(Main_S[[#This Row],[Industry]], Mean_ROE_S, 2, FALSE))/(VLOOKUP(Main_S[[#This Row],[Industry]], Mean_ROE_S, 3, FALSE))</f>
        <v>0.43735085858079453</v>
      </c>
      <c r="R41" s="1">
        <f>(Main_S[[#This Row],[ROA]]-VLOOKUP(Main_S[[#This Row],[Industry]], Mean_ROA_S, 2, FALSE))/(VLOOKUP(Main_S[[#This Row],[Industry]], Mean_ROA_S, 3, FALSE))</f>
        <v>0.18504757668587457</v>
      </c>
      <c r="S41" s="1">
        <f>(Main_S[[#This Row],[A/E]]-VLOOKUP(Main_S[[#This Row],[Industry]], Mean_AE_S, 2, FALSE))/(VLOOKUP(Main_S[[#This Row],[Industry]], Mean_AE_S, 3, FALSE))</f>
        <v>1.7247816272801848</v>
      </c>
      <c r="T41" s="1">
        <f>(Main_S[[#This Row],[P/E]]-VLOOKUP(Main_S[[#This Row],[Industry]], Mean_PE_S, 2, FALSE))/(VLOOKUP(Main_S[[#This Row],[Industry]], Mean_PE_S, 3, FALSE))</f>
        <v>0.12372827077147058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107</v>
      </c>
      <c r="B42" t="s">
        <v>247</v>
      </c>
      <c r="C42" s="2">
        <v>1113</v>
      </c>
      <c r="D42">
        <f>RTD("tos.rtd", , "LAST", Main_S[[#This Row],[Symbol]])</f>
        <v>13.95</v>
      </c>
      <c r="E42">
        <v>3.03</v>
      </c>
      <c r="F42">
        <v>5.73</v>
      </c>
      <c r="G42">
        <v>-0.12</v>
      </c>
      <c r="H42" s="1">
        <f>IF(ISNUMBER(Main_S[[#This Row],[Free CF]]),IF(Main_S[[#This Row],[Free CF]]&lt;&gt;0,Main_S[[#This Row],[Current Price]]/Main_S[[#This Row],[Free CF]],""),"")</f>
        <v>4.6039603960396036</v>
      </c>
      <c r="I42" s="1">
        <f>IF(ISNUMBER(Main_S[[#This Row],[BVPS]]),IF(Main_S[[#This Row],[BVPS]]&lt;&gt;0,Main_S[[#This Row],[Current Price]]/Main_S[[#This Row],[BVPS]],""),"")</f>
        <v>2.4345549738219892</v>
      </c>
      <c r="J42">
        <v>1.17</v>
      </c>
      <c r="K42">
        <v>5.04</v>
      </c>
      <c r="L42">
        <v>2.41</v>
      </c>
      <c r="M42" s="1">
        <f>IF(ISNUMBER(Main_S[[#This Row],[EPS]]),IF(Main_S[[#This Row],[EPS]]&lt;&gt;0,Main_S[[#This Row],[Current Price]]/Main_S[[#This Row],[EPS]],""),"")</f>
        <v>-116.25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0.41525253418406466</v>
      </c>
      <c r="P42" s="1">
        <f>(Main_S[[#This Row],[P/B]]-VLOOKUP(Main_S[[#This Row],[Industry]], Mean_PB_S, 2, FALSE))/(VLOOKUP(Main_S[[#This Row],[Industry]], Mean_PB_S, 3, FALSE))</f>
        <v>1.7431862662436082</v>
      </c>
      <c r="Q42" s="1">
        <f>(Main_S[[#This Row],[ROE]]-VLOOKUP(Main_S[[#This Row],[Industry]], Mean_ROE_S, 2, FALSE))/(VLOOKUP(Main_S[[#This Row],[Industry]], Mean_ROE_S, 3, FALSE))</f>
        <v>-0.38115806963786009</v>
      </c>
      <c r="R42" s="1">
        <f>(Main_S[[#This Row],[ROA]]-VLOOKUP(Main_S[[#This Row],[Industry]], Mean_ROA_S, 2, FALSE))/(VLOOKUP(Main_S[[#This Row],[Industry]], Mean_ROA_S, 3, FALSE))</f>
        <v>0.13502637290961619</v>
      </c>
      <c r="S42" s="1">
        <f>(Main_S[[#This Row],[A/E]]-VLOOKUP(Main_S[[#This Row],[Industry]], Mean_AE_S, 2, FALSE))/(VLOOKUP(Main_S[[#This Row],[Industry]], Mean_AE_S, 3, FALSE))</f>
        <v>0.15271932785702783</v>
      </c>
      <c r="T42" s="1">
        <f>(Main_S[[#This Row],[P/E]]-VLOOKUP(Main_S[[#This Row],[Industry]], Mean_PE_S, 2, FALSE))/(VLOOKUP(Main_S[[#This Row],[Industry]], Mean_PE_S, 3, FALSE))</f>
        <v>-12.600263625714852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3" spans="1:26" x14ac:dyDescent="0.25">
      <c r="A43" t="s">
        <v>107</v>
      </c>
      <c r="B43" t="s">
        <v>248</v>
      </c>
      <c r="C43" s="2">
        <v>1569</v>
      </c>
      <c r="D43">
        <f>RTD("tos.rtd", , "LAST", Main_S[[#This Row],[Symbol]])</f>
        <v>14.33</v>
      </c>
      <c r="E43">
        <v>1.63</v>
      </c>
      <c r="F43">
        <v>11.59</v>
      </c>
      <c r="G43">
        <v>1.9</v>
      </c>
      <c r="H43" s="1">
        <f>IF(ISNUMBER(Main_S[[#This Row],[Free CF]]),IF(Main_S[[#This Row],[Free CF]]&lt;&gt;0,Main_S[[#This Row],[Current Price]]/Main_S[[#This Row],[Free CF]],""),"")</f>
        <v>8.7914110429447856</v>
      </c>
      <c r="I43" s="1">
        <f>IF(ISNUMBER(Main_S[[#This Row],[BVPS]]),IF(Main_S[[#This Row],[BVPS]]&lt;&gt;0,Main_S[[#This Row],[Current Price]]/Main_S[[#This Row],[BVPS]],""),"")</f>
        <v>1.2364106988783434</v>
      </c>
      <c r="J43">
        <v>15.49</v>
      </c>
      <c r="K43">
        <v>7.83</v>
      </c>
      <c r="L43">
        <v>1.95</v>
      </c>
      <c r="M43" s="1">
        <f>IF(ISNUMBER(Main_S[[#This Row],[EPS]]),IF(Main_S[[#This Row],[EPS]]&lt;&gt;0,Main_S[[#This Row],[Current Price]]/Main_S[[#This Row],[EPS]],""),"")</f>
        <v>7.5421052631578949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0.97251996537567875</v>
      </c>
      <c r="P43" s="1">
        <f>(Main_S[[#This Row],[P/B]]-VLOOKUP(Main_S[[#This Row],[Industry]], Mean_PB_S, 2, FALSE))/(VLOOKUP(Main_S[[#This Row],[Industry]], Mean_PB_S, 3, FALSE))</f>
        <v>2.5357797891918152E-2</v>
      </c>
      <c r="Q43" s="1">
        <f>(Main_S[[#This Row],[ROE]]-VLOOKUP(Main_S[[#This Row],[Industry]], Mean_ROE_S, 2, FALSE))/(VLOOKUP(Main_S[[#This Row],[Industry]], Mean_ROE_S, 3, FALSE))</f>
        <v>0.35880707253961047</v>
      </c>
      <c r="R43" s="1">
        <f>(Main_S[[#This Row],[ROA]]-VLOOKUP(Main_S[[#This Row],[Industry]], Mean_ROA_S, 2, FALSE))/(VLOOKUP(Main_S[[#This Row],[Industry]], Mean_ROA_S, 3, FALSE))</f>
        <v>0.65191214526428698</v>
      </c>
      <c r="S43" s="1">
        <f>(Main_S[[#This Row],[A/E]]-VLOOKUP(Main_S[[#This Row],[Industry]], Mean_AE_S, 2, FALSE))/(VLOOKUP(Main_S[[#This Row],[Industry]], Mean_AE_S, 3, FALSE))</f>
        <v>-0.20705612375225207</v>
      </c>
      <c r="T43" s="1">
        <f>(Main_S[[#This Row],[P/E]]-VLOOKUP(Main_S[[#This Row],[Industry]], Mean_PE_S, 2, FALSE))/(VLOOKUP(Main_S[[#This Row],[Industry]], Mean_PE_S, 3, FALSE))</f>
        <v>0.37177462190633731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107</v>
      </c>
      <c r="B44" t="s">
        <v>249</v>
      </c>
      <c r="C44" s="2">
        <v>301</v>
      </c>
      <c r="D44">
        <f>RTD("tos.rtd", , "LAST", Main_S[[#This Row],[Symbol]])</f>
        <v>5.13</v>
      </c>
      <c r="E44">
        <v>-0.59</v>
      </c>
      <c r="F44">
        <v>13.27</v>
      </c>
      <c r="G44">
        <v>-1.86</v>
      </c>
      <c r="H44" s="1">
        <f>IF(ISNUMBER(Main_S[[#This Row],[Free CF]]),IF(Main_S[[#This Row],[Free CF]]&lt;&gt;0,Main_S[[#This Row],[Current Price]]/Main_S[[#This Row],[Free CF]],""),"")</f>
        <v>-8.6949152542372889</v>
      </c>
      <c r="I44" s="1">
        <f>IF(ISNUMBER(Main_S[[#This Row],[BVPS]]),IF(Main_S[[#This Row],[BVPS]]&lt;&gt;0,Main_S[[#This Row],[Current Price]]/Main_S[[#This Row],[BVPS]],""),"")</f>
        <v>0.38658628485305202</v>
      </c>
      <c r="J44">
        <v>-13.29</v>
      </c>
      <c r="K44">
        <v>-6.43</v>
      </c>
      <c r="L44">
        <v>1.5</v>
      </c>
      <c r="M44" s="1">
        <f>IF(ISNUMBER(Main_S[[#This Row],[EPS]]),IF(Main_S[[#This Row],[EPS]]&lt;&gt;0,Main_S[[#This Row],[Current Price]]/Main_S[[#This Row],[EPS]],""),"")</f>
        <v>-2.758064516129032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-1.354566598333659</v>
      </c>
      <c r="P44" s="1">
        <f>(Main_S[[#This Row],[P/B]]-VLOOKUP(Main_S[[#This Row],[Industry]], Mean_PB_S, 2, FALSE))/(VLOOKUP(Main_S[[#This Row],[Industry]], Mean_PB_S, 3, FALSE))</f>
        <v>-1.1930702345598518</v>
      </c>
      <c r="Q44" s="1">
        <f>(Main_S[[#This Row],[ROE]]-VLOOKUP(Main_S[[#This Row],[Industry]], Mean_ROE_S, 2, FALSE))/(VLOOKUP(Main_S[[#This Row],[Industry]], Mean_ROE_S, 3, FALSE))</f>
        <v>-1.128357507898071</v>
      </c>
      <c r="R44" s="1">
        <f>(Main_S[[#This Row],[ROA]]-VLOOKUP(Main_S[[#This Row],[Industry]], Mean_ROA_S, 2, FALSE))/(VLOOKUP(Main_S[[#This Row],[Industry]], Mean_ROA_S, 3, FALSE))</f>
        <v>-1.9899484689929192</v>
      </c>
      <c r="S44" s="1">
        <f>(Main_S[[#This Row],[A/E]]-VLOOKUP(Main_S[[#This Row],[Industry]], Mean_AE_S, 2, FALSE))/(VLOOKUP(Main_S[[#This Row],[Industry]], Mean_AE_S, 3, FALSE))</f>
        <v>-0.55901036989176489</v>
      </c>
      <c r="T44" s="1">
        <f>(Main_S[[#This Row],[P/E]]-VLOOKUP(Main_S[[#This Row],[Industry]], Mean_PE_S, 2, FALSE))/(VLOOKUP(Main_S[[#This Row],[Industry]], Mean_PE_S, 3, FALSE))</f>
        <v>-0.70756881481657941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107</v>
      </c>
      <c r="B45" t="s">
        <v>250</v>
      </c>
      <c r="C45" s="2">
        <v>449</v>
      </c>
      <c r="D45">
        <f>RTD("tos.rtd", , "LAST", Main_S[[#This Row],[Symbol]])</f>
        <v>10.51</v>
      </c>
      <c r="F45">
        <v>0</v>
      </c>
      <c r="G45">
        <v>0.55000000000000004</v>
      </c>
      <c r="H45" s="1" t="str">
        <f>IF(ISNUMBER(Main_S[[#This Row],[Free CF]]),IF(Main_S[[#This Row],[Free CF]]&lt;&gt;0,Main_S[[#This Row],[Current Price]]/Main_S[[#This Row],[Free CF]],""),"")</f>
        <v/>
      </c>
      <c r="I45" s="1" t="str">
        <f>IF(ISNUMBER(Main_S[[#This Row],[BVPS]]),IF(Main_S[[#This Row],[BVPS]]&lt;&gt;0,Main_S[[#This Row],[Current Price]]/Main_S[[#This Row],[BVPS]],""),"")</f>
        <v/>
      </c>
      <c r="J45">
        <v>13173</v>
      </c>
      <c r="K45">
        <v>371.14</v>
      </c>
      <c r="L45">
        <v>13.91</v>
      </c>
      <c r="M45" s="1">
        <f>IF(ISNUMBER(Main_S[[#This Row],[EPS]]),IF(Main_S[[#This Row],[EPS]]&lt;&gt;0,Main_S[[#This Row],[Current Price]]/Main_S[[#This Row],[EPS]],""),"")</f>
        <v>19.109090909090906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 t="e">
        <f>(Main_S[[#This Row],[P/FCF]]-VLOOKUP(Main_S[[#This Row],[Industry]], Mean_PFCF_S, 2, FALSE))/(VLOOKUP(Main_S[[#This Row],[Industry]], Mean_PFCF_S, 3, FALSE))</f>
        <v>#VALUE!</v>
      </c>
      <c r="P45" s="1" t="e">
        <f>(Main_S[[#This Row],[P/B]]-VLOOKUP(Main_S[[#This Row],[Industry]], Mean_PB_S, 2, FALSE))/(VLOOKUP(Main_S[[#This Row],[Industry]], Mean_PB_S, 3, FALSE))</f>
        <v>#VALUE!</v>
      </c>
      <c r="Q45" s="1">
        <f>(Main_S[[#This Row],[ROE]]-VLOOKUP(Main_S[[#This Row],[Industry]], Mean_ROE_S, 2, FALSE))/(VLOOKUP(Main_S[[#This Row],[Industry]], Mean_ROE_S, 3, FALSE))</f>
        <v>680.2539717269733</v>
      </c>
      <c r="R45" s="1">
        <f>(Main_S[[#This Row],[ROA]]-VLOOKUP(Main_S[[#This Row],[Industry]], Mean_ROA_S, 2, FALSE))/(VLOOKUP(Main_S[[#This Row],[Industry]], Mean_ROA_S, 3, FALSE))</f>
        <v>67.960073419162285</v>
      </c>
      <c r="S45" s="1">
        <f>(Main_S[[#This Row],[A/E]]-VLOOKUP(Main_S[[#This Row],[Industry]], Mean_AE_S, 2, FALSE))/(VLOOKUP(Main_S[[#This Row],[Industry]], Mean_AE_S, 3, FALSE))</f>
        <v>9.1471056180890216</v>
      </c>
      <c r="T45" s="1">
        <f>(Main_S[[#This Row],[P/E]]-VLOOKUP(Main_S[[#This Row],[Industry]], Mean_PE_S, 2, FALSE))/(VLOOKUP(Main_S[[#This Row],[Industry]], Mean_PE_S, 3, FALSE))</f>
        <v>1.5838662968136896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107</v>
      </c>
      <c r="B46" t="s">
        <v>251</v>
      </c>
      <c r="C46" s="2">
        <v>276</v>
      </c>
      <c r="D46">
        <f>RTD("tos.rtd", , "LAST", Main_S[[#This Row],[Symbol]])</f>
        <v>181.4</v>
      </c>
      <c r="E46">
        <v>-1.89</v>
      </c>
      <c r="F46">
        <v>118.78</v>
      </c>
      <c r="G46">
        <v>21.95</v>
      </c>
      <c r="H46" s="1">
        <f>IF(ISNUMBER(Main_S[[#This Row],[Free CF]]),IF(Main_S[[#This Row],[Free CF]]&lt;&gt;0,Main_S[[#This Row],[Current Price]]/Main_S[[#This Row],[Free CF]],""),"")</f>
        <v>-95.978835978835988</v>
      </c>
      <c r="I46" s="1">
        <f>IF(ISNUMBER(Main_S[[#This Row],[BVPS]]),IF(Main_S[[#This Row],[BVPS]]&lt;&gt;0,Main_S[[#This Row],[Current Price]]/Main_S[[#This Row],[BVPS]],""),"")</f>
        <v>1.527193130156592</v>
      </c>
      <c r="J46">
        <v>30.45</v>
      </c>
      <c r="K46">
        <v>14.07</v>
      </c>
      <c r="L46">
        <v>1.6</v>
      </c>
      <c r="M46" s="1">
        <f>IF(ISNUMBER(Main_S[[#This Row],[EPS]]),IF(Main_S[[#This Row],[EPS]]&lt;&gt;0,Main_S[[#This Row],[Current Price]]/Main_S[[#This Row],[EPS]],""),"")</f>
        <v>8.264236902050115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-12.970342015884745</v>
      </c>
      <c r="P46" s="1">
        <f>(Main_S[[#This Row],[P/B]]-VLOOKUP(Main_S[[#This Row],[Industry]], Mean_PB_S, 2, FALSE))/(VLOOKUP(Main_S[[#This Row],[Industry]], Mean_PB_S, 3, FALSE))</f>
        <v>0.44226446680688558</v>
      </c>
      <c r="Q46" s="1">
        <f>(Main_S[[#This Row],[ROE]]-VLOOKUP(Main_S[[#This Row],[Industry]], Mean_ROE_S, 2, FALSE))/(VLOOKUP(Main_S[[#This Row],[Industry]], Mean_ROE_S, 3, FALSE))</f>
        <v>1.1318432825238951</v>
      </c>
      <c r="R46" s="1">
        <f>(Main_S[[#This Row],[ROA]]-VLOOKUP(Main_S[[#This Row],[Industry]], Mean_ROA_S, 2, FALSE))/(VLOOKUP(Main_S[[#This Row],[Industry]], Mean_ROA_S, 3, FALSE))</f>
        <v>1.8079577436489269</v>
      </c>
      <c r="S46" s="1">
        <f>(Main_S[[#This Row],[A/E]]-VLOOKUP(Main_S[[#This Row],[Industry]], Mean_AE_S, 2, FALSE))/(VLOOKUP(Main_S[[#This Row],[Industry]], Mean_AE_S, 3, FALSE))</f>
        <v>-0.48079831519409527</v>
      </c>
      <c r="T46" s="1">
        <f>(Main_S[[#This Row],[P/E]]-VLOOKUP(Main_S[[#This Row],[Industry]], Mean_PE_S, 2, FALSE))/(VLOOKUP(Main_S[[#This Row],[Industry]], Mean_PE_S, 3, FALSE))</f>
        <v>0.44744600030008652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107</v>
      </c>
      <c r="B47" t="s">
        <v>252</v>
      </c>
      <c r="C47" s="2">
        <v>1639</v>
      </c>
      <c r="D47">
        <f>RTD("tos.rtd", , "LAST", Main_S[[#This Row],[Symbol]])</f>
        <v>13.08</v>
      </c>
      <c r="E47">
        <v>-0.13</v>
      </c>
      <c r="F47">
        <v>17.45</v>
      </c>
      <c r="G47">
        <v>1.57</v>
      </c>
      <c r="H47" s="1">
        <f>IF(ISNUMBER(Main_S[[#This Row],[Free CF]]),IF(Main_S[[#This Row],[Free CF]]&lt;&gt;0,Main_S[[#This Row],[Current Price]]/Main_S[[#This Row],[Free CF]],""),"")</f>
        <v>-100.61538461538461</v>
      </c>
      <c r="I47" s="1">
        <f>IF(ISNUMBER(Main_S[[#This Row],[BVPS]]),IF(Main_S[[#This Row],[BVPS]]&lt;&gt;0,Main_S[[#This Row],[Current Price]]/Main_S[[#This Row],[BVPS]],""),"")</f>
        <v>0.74957020057306589</v>
      </c>
      <c r="J47">
        <v>9.34</v>
      </c>
      <c r="K47">
        <v>5.1100000000000003</v>
      </c>
      <c r="L47">
        <v>1.29</v>
      </c>
      <c r="M47" s="1">
        <f>IF(ISNUMBER(Main_S[[#This Row],[EPS]]),IF(Main_S[[#This Row],[EPS]]&lt;&gt;0,Main_S[[#This Row],[Current Price]]/Main_S[[#This Row],[EPS]],""),"")</f>
        <v>8.3312101910828016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-13.58737556831456</v>
      </c>
      <c r="P47" s="1">
        <f>(Main_S[[#This Row],[P/B]]-VLOOKUP(Main_S[[#This Row],[Industry]], Mean_PB_S, 2, FALSE))/(VLOOKUP(Main_S[[#This Row],[Industry]], Mean_PB_S, 3, FALSE))</f>
        <v>-0.67264534331965575</v>
      </c>
      <c r="Q47" s="1">
        <f>(Main_S[[#This Row],[ROE]]-VLOOKUP(Main_S[[#This Row],[Industry]], Mean_ROE_S, 2, FALSE))/(VLOOKUP(Main_S[[#This Row],[Industry]], Mean_ROE_S, 3, FALSE))</f>
        <v>4.1014780333504045E-2</v>
      </c>
      <c r="R47" s="1">
        <f>(Main_S[[#This Row],[ROA]]-VLOOKUP(Main_S[[#This Row],[Industry]], Mean_ROA_S, 2, FALSE))/(VLOOKUP(Main_S[[#This Row],[Industry]], Mean_ROA_S, 3, FALSE))</f>
        <v>0.14799483314790546</v>
      </c>
      <c r="S47" s="1">
        <f>(Main_S[[#This Row],[A/E]]-VLOOKUP(Main_S[[#This Row],[Industry]], Mean_AE_S, 2, FALSE))/(VLOOKUP(Main_S[[#This Row],[Industry]], Mean_AE_S, 3, FALSE))</f>
        <v>-0.72325568475687085</v>
      </c>
      <c r="T47" s="1">
        <f>(Main_S[[#This Row],[P/E]]-VLOOKUP(Main_S[[#This Row],[Industry]], Mean_PE_S, 2, FALSE))/(VLOOKUP(Main_S[[#This Row],[Industry]], Mean_PE_S, 3, FALSE))</f>
        <v>0.45446405742944984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107</v>
      </c>
      <c r="B48" t="s">
        <v>253</v>
      </c>
      <c r="C48" s="2">
        <v>545</v>
      </c>
      <c r="D48">
        <f>RTD("tos.rtd", , "LAST", Main_S[[#This Row],[Symbol]])</f>
        <v>29.47</v>
      </c>
      <c r="E48">
        <v>5.62</v>
      </c>
      <c r="F48">
        <v>23.77</v>
      </c>
      <c r="G48">
        <v>4.26</v>
      </c>
      <c r="H48" s="1">
        <f>IF(ISNUMBER(Main_S[[#This Row],[Free CF]]),IF(Main_S[[#This Row],[Free CF]]&lt;&gt;0,Main_S[[#This Row],[Current Price]]/Main_S[[#This Row],[Free CF]],""),"")</f>
        <v>5.2437722419928825</v>
      </c>
      <c r="I48" s="1">
        <f>IF(ISNUMBER(Main_S[[#This Row],[BVPS]]),IF(Main_S[[#This Row],[BVPS]]&lt;&gt;0,Main_S[[#This Row],[Current Price]]/Main_S[[#This Row],[BVPS]],""),"")</f>
        <v>1.2397980647875473</v>
      </c>
      <c r="J48">
        <v>19.07</v>
      </c>
      <c r="K48">
        <v>10.01</v>
      </c>
      <c r="L48">
        <v>1.95</v>
      </c>
      <c r="M48" s="1">
        <f>IF(ISNUMBER(Main_S[[#This Row],[EPS]]),IF(Main_S[[#This Row],[EPS]]&lt;&gt;0,Main_S[[#This Row],[Current Price]]/Main_S[[#This Row],[EPS]],""),"")</f>
        <v>6.9178403755868549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0.50039892369527261</v>
      </c>
      <c r="P48" s="1">
        <f>(Main_S[[#This Row],[P/B]]-VLOOKUP(Main_S[[#This Row],[Industry]], Mean_PB_S, 2, FALSE))/(VLOOKUP(Main_S[[#This Row],[Industry]], Mean_PB_S, 3, FALSE))</f>
        <v>3.0214402988018182E-2</v>
      </c>
      <c r="Q48" s="1">
        <f>(Main_S[[#This Row],[ROE]]-VLOOKUP(Main_S[[#This Row],[Industry]], Mean_ROE_S, 2, FALSE))/(VLOOKUP(Main_S[[#This Row],[Industry]], Mean_ROE_S, 3, FALSE))</f>
        <v>0.54379835808397814</v>
      </c>
      <c r="R48" s="1">
        <f>(Main_S[[#This Row],[ROA]]-VLOOKUP(Main_S[[#This Row],[Industry]], Mean_ROA_S, 2, FALSE))/(VLOOKUP(Main_S[[#This Row],[Industry]], Mean_ROA_S, 3, FALSE))</f>
        <v>1.0557870498281516</v>
      </c>
      <c r="S48" s="1">
        <f>(Main_S[[#This Row],[A/E]]-VLOOKUP(Main_S[[#This Row],[Industry]], Mean_AE_S, 2, FALSE))/(VLOOKUP(Main_S[[#This Row],[Industry]], Mean_AE_S, 3, FALSE))</f>
        <v>-0.20705612375225207</v>
      </c>
      <c r="T48" s="1">
        <f>(Main_S[[#This Row],[P/E]]-VLOOKUP(Main_S[[#This Row],[Industry]], Mean_PE_S, 2, FALSE))/(VLOOKUP(Main_S[[#This Row],[Industry]], Mean_PE_S, 3, FALSE))</f>
        <v>0.30635859249958536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107</v>
      </c>
      <c r="B49" t="s">
        <v>254</v>
      </c>
      <c r="C49" s="2">
        <v>916</v>
      </c>
      <c r="D49">
        <f>RTD("tos.rtd", , "LAST", Main_S[[#This Row],[Symbol]])</f>
        <v>66.180000000000007</v>
      </c>
      <c r="F49">
        <v>0.6</v>
      </c>
      <c r="G49">
        <v>5.46</v>
      </c>
      <c r="H49" s="1" t="str">
        <f>IF(ISNUMBER(Main_S[[#This Row],[Free CF]]),IF(Main_S[[#This Row],[Free CF]]&lt;&gt;0,Main_S[[#This Row],[Current Price]]/Main_S[[#This Row],[Free CF]],""),"")</f>
        <v/>
      </c>
      <c r="I49" s="1">
        <f>IF(ISNUMBER(Main_S[[#This Row],[BVPS]]),IF(Main_S[[#This Row],[BVPS]]&lt;&gt;0,Main_S[[#This Row],[Current Price]]/Main_S[[#This Row],[BVPS]],""),"")</f>
        <v>110.30000000000001</v>
      </c>
      <c r="J49">
        <v>922.55</v>
      </c>
      <c r="K49">
        <v>536.58000000000004</v>
      </c>
      <c r="L49">
        <v>1.06</v>
      </c>
      <c r="M49" s="1">
        <f>IF(ISNUMBER(Main_S[[#This Row],[EPS]]),IF(Main_S[[#This Row],[EPS]]&lt;&gt;0,Main_S[[#This Row],[Current Price]]/Main_S[[#This Row],[EPS]],""),"")</f>
        <v>12.120879120879122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 t="e">
        <f>(Main_S[[#This Row],[P/FCF]]-VLOOKUP(Main_S[[#This Row],[Industry]], Mean_PFCF_S, 2, FALSE))/(VLOOKUP(Main_S[[#This Row],[Industry]], Mean_PFCF_S, 3, FALSE))</f>
        <v>#VALUE!</v>
      </c>
      <c r="P49" s="1">
        <f>(Main_S[[#This Row],[P/B]]-VLOOKUP(Main_S[[#This Row],[Industry]], Mean_PB_S, 2, FALSE))/(VLOOKUP(Main_S[[#This Row],[Industry]], Mean_PB_S, 3, FALSE))</f>
        <v>156.39428805121693</v>
      </c>
      <c r="Q49" s="1">
        <f>(Main_S[[#This Row],[ROE]]-VLOOKUP(Main_S[[#This Row],[Industry]], Mean_ROE_S, 2, FALSE))/(VLOOKUP(Main_S[[#This Row],[Industry]], Mean_ROE_S, 3, FALSE))</f>
        <v>47.22981139261617</v>
      </c>
      <c r="R49" s="1">
        <f>(Main_S[[#This Row],[ROA]]-VLOOKUP(Main_S[[#This Row],[Industry]], Mean_ROA_S, 2, FALSE))/(VLOOKUP(Main_S[[#This Row],[Industry]], Mean_ROA_S, 3, FALSE))</f>
        <v>98.610102873770458</v>
      </c>
      <c r="S49" s="1">
        <f>(Main_S[[#This Row],[A/E]]-VLOOKUP(Main_S[[#This Row],[Industry]], Mean_AE_S, 2, FALSE))/(VLOOKUP(Main_S[[#This Row],[Industry]], Mean_AE_S, 3, FALSE))</f>
        <v>-0.90314341056151071</v>
      </c>
      <c r="T49" s="1">
        <f>(Main_S[[#This Row],[P/E]]-VLOOKUP(Main_S[[#This Row],[Industry]], Mean_PE_S, 2, FALSE))/(VLOOKUP(Main_S[[#This Row],[Industry]], Mean_PE_S, 3, FALSE))</f>
        <v>0.85157928702050922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107</v>
      </c>
      <c r="B50" t="s">
        <v>255</v>
      </c>
      <c r="C50" s="2">
        <v>343</v>
      </c>
      <c r="D50">
        <f>RTD("tos.rtd", , "LAST", Main_S[[#This Row],[Symbol]])</f>
        <v>10.81</v>
      </c>
      <c r="E50">
        <v>-2.21</v>
      </c>
      <c r="F50">
        <v>12.4</v>
      </c>
      <c r="G50">
        <v>1.69</v>
      </c>
      <c r="H50" s="1">
        <f>IF(ISNUMBER(Main_S[[#This Row],[Free CF]]),IF(Main_S[[#This Row],[Free CF]]&lt;&gt;0,Main_S[[#This Row],[Current Price]]/Main_S[[#This Row],[Free CF]],""),"")</f>
        <v>-4.8914027149321271</v>
      </c>
      <c r="I50" s="1">
        <f>IF(ISNUMBER(Main_S[[#This Row],[BVPS]]),IF(Main_S[[#This Row],[BVPS]]&lt;&gt;0,Main_S[[#This Row],[Current Price]]/Main_S[[#This Row],[BVPS]],""),"")</f>
        <v>0.87177419354838714</v>
      </c>
      <c r="J50">
        <v>13.56</v>
      </c>
      <c r="K50">
        <v>3.64</v>
      </c>
      <c r="L50">
        <v>1.26</v>
      </c>
      <c r="M50" s="1">
        <f>IF(ISNUMBER(Main_S[[#This Row],[EPS]]),IF(Main_S[[#This Row],[EPS]]&lt;&gt;0,Main_S[[#This Row],[Current Price]]/Main_S[[#This Row],[EPS]],""),"")</f>
        <v>6.3964497041420127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-0.84839378795076092</v>
      </c>
      <c r="P50" s="1">
        <f>(Main_S[[#This Row],[P/B]]-VLOOKUP(Main_S[[#This Row],[Industry]], Mean_PB_S, 2, FALSE))/(VLOOKUP(Main_S[[#This Row],[Industry]], Mean_PB_S, 3, FALSE))</f>
        <v>-0.49743647868677959</v>
      </c>
      <c r="Q50" s="1">
        <f>(Main_S[[#This Row],[ROE]]-VLOOKUP(Main_S[[#This Row],[Industry]], Mean_ROE_S, 2, FALSE))/(VLOOKUP(Main_S[[#This Row],[Industry]], Mean_ROE_S, 3, FALSE))</f>
        <v>0.25907713368468605</v>
      </c>
      <c r="R50" s="1">
        <f>(Main_S[[#This Row],[ROA]]-VLOOKUP(Main_S[[#This Row],[Industry]], Mean_ROA_S, 2, FALSE))/(VLOOKUP(Main_S[[#This Row],[Industry]], Mean_ROA_S, 3, FALSE))</f>
        <v>-0.12434283185616841</v>
      </c>
      <c r="S50" s="1">
        <f>(Main_S[[#This Row],[A/E]]-VLOOKUP(Main_S[[#This Row],[Industry]], Mean_AE_S, 2, FALSE))/(VLOOKUP(Main_S[[#This Row],[Industry]], Mean_AE_S, 3, FALSE))</f>
        <v>-0.74671930116617169</v>
      </c>
      <c r="T50" s="1">
        <f>(Main_S[[#This Row],[P/E]]-VLOOKUP(Main_S[[#This Row],[Industry]], Mean_PE_S, 2, FALSE))/(VLOOKUP(Main_S[[#This Row],[Industry]], Mean_PE_S, 3, FALSE))</f>
        <v>0.25172263879674217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107</v>
      </c>
      <c r="B51" t="s">
        <v>256</v>
      </c>
      <c r="C51" s="2">
        <v>289</v>
      </c>
      <c r="D51">
        <f>RTD("tos.rtd", , "LAST", Main_S[[#This Row],[Symbol]])</f>
        <v>6.35</v>
      </c>
      <c r="F51">
        <v>0.06</v>
      </c>
      <c r="G51">
        <v>0.11</v>
      </c>
      <c r="H51" s="1" t="str">
        <f>IF(ISNUMBER(Main_S[[#This Row],[Free CF]]),IF(Main_S[[#This Row],[Free CF]]&lt;&gt;0,Main_S[[#This Row],[Current Price]]/Main_S[[#This Row],[Free CF]],""),"")</f>
        <v/>
      </c>
      <c r="I51" s="1">
        <f>IF(ISNUMBER(Main_S[[#This Row],[BVPS]]),IF(Main_S[[#This Row],[BVPS]]&lt;&gt;0,Main_S[[#This Row],[Current Price]]/Main_S[[#This Row],[BVPS]],""),"")</f>
        <v>105.83333333333333</v>
      </c>
      <c r="J51">
        <v>189.96</v>
      </c>
      <c r="K51">
        <v>79.180000000000007</v>
      </c>
      <c r="L51">
        <v>1.28</v>
      </c>
      <c r="M51" s="1">
        <f>IF(ISNUMBER(Main_S[[#This Row],[EPS]]),IF(Main_S[[#This Row],[EPS]]&lt;&gt;0,Main_S[[#This Row],[Current Price]]/Main_S[[#This Row],[EPS]],""),"")</f>
        <v>57.727272727272727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 t="e">
        <f>(Main_S[[#This Row],[P/FCF]]-VLOOKUP(Main_S[[#This Row],[Industry]], Mean_PFCF_S, 2, FALSE))/(VLOOKUP(Main_S[[#This Row],[Industry]], Mean_PFCF_S, 3, FALSE))</f>
        <v>#VALUE!</v>
      </c>
      <c r="P51" s="1">
        <f>(Main_S[[#This Row],[P/B]]-VLOOKUP(Main_S[[#This Row],[Industry]], Mean_PB_S, 2, FALSE))/(VLOOKUP(Main_S[[#This Row],[Industry]], Mean_PB_S, 3, FALSE))</f>
        <v>149.99024530018974</v>
      </c>
      <c r="Q51" s="1">
        <f>(Main_S[[#This Row],[ROE]]-VLOOKUP(Main_S[[#This Row],[Industry]], Mean_ROE_S, 2, FALSE))/(VLOOKUP(Main_S[[#This Row],[Industry]], Mean_ROE_S, 3, FALSE))</f>
        <v>9.3742901979378832</v>
      </c>
      <c r="R51" s="1">
        <f>(Main_S[[#This Row],[ROA]]-VLOOKUP(Main_S[[#This Row],[Industry]], Mean_ROA_S, 2, FALSE))/(VLOOKUP(Main_S[[#This Row],[Industry]], Mean_ROA_S, 3, FALSE))</f>
        <v>13.870478402434811</v>
      </c>
      <c r="S51" s="1">
        <f>(Main_S[[#This Row],[A/E]]-VLOOKUP(Main_S[[#This Row],[Industry]], Mean_AE_S, 2, FALSE))/(VLOOKUP(Main_S[[#This Row],[Industry]], Mean_AE_S, 3, FALSE))</f>
        <v>-0.7310768902266378</v>
      </c>
      <c r="T51" s="1">
        <f>(Main_S[[#This Row],[P/E]]-VLOOKUP(Main_S[[#This Row],[Industry]], Mean_PE_S, 2, FALSE))/(VLOOKUP(Main_S[[#This Row],[Industry]], Mean_PE_S, 3, FALSE))</f>
        <v>5.6306229985767606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2" spans="1:26" x14ac:dyDescent="0.25">
      <c r="A52" t="s">
        <v>107</v>
      </c>
      <c r="B52" t="s">
        <v>257</v>
      </c>
      <c r="C52" s="2">
        <v>1797</v>
      </c>
      <c r="D52">
        <f>RTD("tos.rtd", , "LAST", Main_S[[#This Row],[Symbol]])</f>
        <v>28.06</v>
      </c>
      <c r="E52">
        <v>-3.85</v>
      </c>
      <c r="F52">
        <v>4.3</v>
      </c>
      <c r="G52">
        <v>-9.2100000000000009</v>
      </c>
      <c r="H52" s="1">
        <f>IF(ISNUMBER(Main_S[[#This Row],[Free CF]]),IF(Main_S[[#This Row],[Free CF]]&lt;&gt;0,Main_S[[#This Row],[Current Price]]/Main_S[[#This Row],[Free CF]],""),"")</f>
        <v>-7.2883116883116879</v>
      </c>
      <c r="I52" s="1">
        <f>IF(ISNUMBER(Main_S[[#This Row],[BVPS]]),IF(Main_S[[#This Row],[BVPS]]&lt;&gt;0,Main_S[[#This Row],[Current Price]]/Main_S[[#This Row],[BVPS]],""),"")</f>
        <v>6.5255813953488371</v>
      </c>
      <c r="J52">
        <v>-173.97</v>
      </c>
      <c r="K52">
        <v>-13.45</v>
      </c>
      <c r="L52">
        <v>4.12</v>
      </c>
      <c r="M52" s="1">
        <f>IF(ISNUMBER(Main_S[[#This Row],[EPS]]),IF(Main_S[[#This Row],[EPS]]&lt;&gt;0,Main_S[[#This Row],[Current Price]]/Main_S[[#This Row],[EPS]],""),"")</f>
        <v>-3.0466883821932678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-1.1673752922181715</v>
      </c>
      <c r="P52" s="1">
        <f>(Main_S[[#This Row],[P/B]]-VLOOKUP(Main_S[[#This Row],[Industry]], Mean_PB_S, 2, FALSE))/(VLOOKUP(Main_S[[#This Row],[Industry]], Mean_PB_S, 3, FALSE))</f>
        <v>7.6086582287151607</v>
      </c>
      <c r="Q52" s="1">
        <f>(Main_S[[#This Row],[ROE]]-VLOOKUP(Main_S[[#This Row],[Industry]], Mean_ROE_S, 2, FALSE))/(VLOOKUP(Main_S[[#This Row],[Industry]], Mean_ROE_S, 3, FALSE))</f>
        <v>-9.4312624691463931</v>
      </c>
      <c r="R52" s="1">
        <f>(Main_S[[#This Row],[ROA]]-VLOOKUP(Main_S[[#This Row],[Industry]], Mean_ROA_S, 2, FALSE))/(VLOOKUP(Main_S[[#This Row],[Industry]], Mean_ROA_S, 3, FALSE))</f>
        <v>-3.2904997671756395</v>
      </c>
      <c r="S52" s="1">
        <f>(Main_S[[#This Row],[A/E]]-VLOOKUP(Main_S[[#This Row],[Industry]], Mean_AE_S, 2, FALSE))/(VLOOKUP(Main_S[[#This Row],[Industry]], Mean_AE_S, 3, FALSE))</f>
        <v>1.4901454631871764</v>
      </c>
      <c r="T52" s="1">
        <f>(Main_S[[#This Row],[P/E]]-VLOOKUP(Main_S[[#This Row],[Industry]], Mean_PE_S, 2, FALSE))/(VLOOKUP(Main_S[[#This Row],[Industry]], Mean_PE_S, 3, FALSE))</f>
        <v>-0.73781339157535153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107</v>
      </c>
      <c r="B53" t="s">
        <v>258</v>
      </c>
      <c r="C53" s="2">
        <v>1318</v>
      </c>
      <c r="D53">
        <f>RTD("tos.rtd", , "LAST", Main_S[[#This Row],[Symbol]])</f>
        <v>18.82</v>
      </c>
      <c r="E53">
        <v>1.64</v>
      </c>
      <c r="F53">
        <v>18.55</v>
      </c>
      <c r="G53">
        <v>0.49</v>
      </c>
      <c r="H53" s="1">
        <f>IF(ISNUMBER(Main_S[[#This Row],[Free CF]]),IF(Main_S[[#This Row],[Free CF]]&lt;&gt;0,Main_S[[#This Row],[Current Price]]/Main_S[[#This Row],[Free CF]],""),"")</f>
        <v>11.475609756097562</v>
      </c>
      <c r="I53" s="1">
        <f>IF(ISNUMBER(Main_S[[#This Row],[BVPS]]),IF(Main_S[[#This Row],[BVPS]]&lt;&gt;0,Main_S[[#This Row],[Current Price]]/Main_S[[#This Row],[BVPS]],""),"")</f>
        <v>1.01455525606469</v>
      </c>
      <c r="J53">
        <v>2.73</v>
      </c>
      <c r="K53">
        <v>2.62</v>
      </c>
      <c r="L53">
        <v>3.24</v>
      </c>
      <c r="M53" s="1">
        <f>IF(ISNUMBER(Main_S[[#This Row],[EPS]]),IF(Main_S[[#This Row],[EPS]]&lt;&gt;0,Main_S[[#This Row],[Current Price]]/Main_S[[#This Row],[EPS]],""),"")</f>
        <v>38.408163265306122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1.3297340910614337</v>
      </c>
      <c r="P53" s="1">
        <f>(Main_S[[#This Row],[P/B]]-VLOOKUP(Main_S[[#This Row],[Industry]], Mean_PB_S, 2, FALSE))/(VLOOKUP(Main_S[[#This Row],[Industry]], Mean_PB_S, 3, FALSE))</f>
        <v>-0.29272542755435754</v>
      </c>
      <c r="Q53" s="1">
        <f>(Main_S[[#This Row],[ROE]]-VLOOKUP(Main_S[[#This Row],[Industry]], Mean_ROE_S, 2, FALSE))/(VLOOKUP(Main_S[[#This Row],[Industry]], Mean_ROE_S, 3, FALSE))</f>
        <v>-0.30054734185875009</v>
      </c>
      <c r="R53" s="1">
        <f>(Main_S[[#This Row],[ROA]]-VLOOKUP(Main_S[[#This Row],[Industry]], Mean_ROA_S, 2, FALSE))/(VLOOKUP(Main_S[[#This Row],[Industry]], Mean_ROA_S, 3, FALSE))</f>
        <v>-0.31331182389981149</v>
      </c>
      <c r="S53" s="1">
        <f>(Main_S[[#This Row],[A/E]]-VLOOKUP(Main_S[[#This Row],[Industry]], Mean_AE_S, 2, FALSE))/(VLOOKUP(Main_S[[#This Row],[Industry]], Mean_AE_S, 3, FALSE))</f>
        <v>0.80187938184768481</v>
      </c>
      <c r="T53" s="1">
        <f>(Main_S[[#This Row],[P/E]]-VLOOKUP(Main_S[[#This Row],[Industry]], Mean_PE_S, 2, FALSE))/(VLOOKUP(Main_S[[#This Row],[Industry]], Mean_PE_S, 3, FALSE))</f>
        <v>3.6061948145833878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t="s">
        <v>107</v>
      </c>
      <c r="B54" t="s">
        <v>259</v>
      </c>
      <c r="C54" s="2">
        <v>1314</v>
      </c>
      <c r="D54">
        <f>RTD("tos.rtd", , "LAST", Main_S[[#This Row],[Symbol]])</f>
        <v>8.69</v>
      </c>
      <c r="E54">
        <v>3.55</v>
      </c>
      <c r="F54">
        <v>15.31</v>
      </c>
      <c r="G54">
        <v>0.14000000000000001</v>
      </c>
      <c r="H54" s="1">
        <f>IF(ISNUMBER(Main_S[[#This Row],[Free CF]]),IF(Main_S[[#This Row],[Free CF]]&lt;&gt;0,Main_S[[#This Row],[Current Price]]/Main_S[[#This Row],[Free CF]],""),"")</f>
        <v>2.4478873239436618</v>
      </c>
      <c r="I54" s="1">
        <f>IF(ISNUMBER(Main_S[[#This Row],[BVPS]]),IF(Main_S[[#This Row],[BVPS]]&lt;&gt;0,Main_S[[#This Row],[Current Price]]/Main_S[[#This Row],[BVPS]],""),"")</f>
        <v>0.5676028739386022</v>
      </c>
      <c r="J54">
        <v>0.95</v>
      </c>
      <c r="K54">
        <v>1.44</v>
      </c>
      <c r="L54">
        <v>2.25</v>
      </c>
      <c r="M54" s="1">
        <f>IF(ISNUMBER(Main_S[[#This Row],[EPS]]),IF(Main_S[[#This Row],[EPS]]&lt;&gt;0,Main_S[[#This Row],[Current Price]]/Main_S[[#This Row],[EPS]],""),"")</f>
        <v>62.071428571428562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0.12832155787839372</v>
      </c>
      <c r="P54" s="1">
        <f>(Main_S[[#This Row],[P/B]]-VLOOKUP(Main_S[[#This Row],[Industry]], Mean_PB_S, 2, FALSE))/(VLOOKUP(Main_S[[#This Row],[Industry]], Mean_PB_S, 3, FALSE))</f>
        <v>-0.93353934460112487</v>
      </c>
      <c r="Q54" s="1">
        <f>(Main_S[[#This Row],[ROE]]-VLOOKUP(Main_S[[#This Row],[Industry]], Mean_ROE_S, 2, FALSE))/(VLOOKUP(Main_S[[#This Row],[Industry]], Mean_ROE_S, 3, FALSE))</f>
        <v>-0.39252624919645246</v>
      </c>
      <c r="R54" s="1">
        <f>(Main_S[[#This Row],[ROA]]-VLOOKUP(Main_S[[#This Row],[Industry]], Mean_ROA_S, 2, FALSE))/(VLOOKUP(Main_S[[#This Row],[Industry]], Mean_ROA_S, 3, FALSE))</f>
        <v>-0.53192301077382997</v>
      </c>
      <c r="S54" s="1">
        <f>(Main_S[[#This Row],[A/E]]-VLOOKUP(Main_S[[#This Row],[Industry]], Mean_AE_S, 2, FALSE))/(VLOOKUP(Main_S[[#This Row],[Industry]], Mean_AE_S, 3, FALSE))</f>
        <v>2.7580040340756482E-2</v>
      </c>
      <c r="T54" s="1">
        <f>(Main_S[[#This Row],[P/E]]-VLOOKUP(Main_S[[#This Row],[Industry]], Mean_PE_S, 2, FALSE))/(VLOOKUP(Main_S[[#This Row],[Industry]], Mean_PE_S, 3, FALSE))</f>
        <v>6.0858423006818674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t="s">
        <v>107</v>
      </c>
      <c r="B55" t="s">
        <v>260</v>
      </c>
      <c r="C55" s="2">
        <v>304</v>
      </c>
      <c r="D55">
        <f>RTD("tos.rtd", , "LAST", Main_S[[#This Row],[Symbol]])</f>
        <v>20.27</v>
      </c>
      <c r="E55">
        <v>-0.04</v>
      </c>
      <c r="F55">
        <v>0.08</v>
      </c>
      <c r="G55">
        <v>-0.01</v>
      </c>
      <c r="H55" s="1">
        <f>IF(ISNUMBER(Main_S[[#This Row],[Free CF]]),IF(Main_S[[#This Row],[Free CF]]&lt;&gt;0,Main_S[[#This Row],[Current Price]]/Main_S[[#This Row],[Free CF]],""),"")</f>
        <v>-506.75</v>
      </c>
      <c r="I55" s="1">
        <f>IF(ISNUMBER(Main_S[[#This Row],[BVPS]]),IF(Main_S[[#This Row],[BVPS]]&lt;&gt;0,Main_S[[#This Row],[Current Price]]/Main_S[[#This Row],[BVPS]],""),"")</f>
        <v>253.375</v>
      </c>
      <c r="J55">
        <v>-12.97</v>
      </c>
      <c r="K55">
        <v>-5.42</v>
      </c>
      <c r="L55">
        <v>1.49</v>
      </c>
      <c r="M55" s="1">
        <f>IF(ISNUMBER(Main_S[[#This Row],[EPS]]),IF(Main_S[[#This Row],[EPS]]&lt;&gt;0,Main_S[[#This Row],[Current Price]]/Main_S[[#This Row],[EPS]],""),"")</f>
        <v>-2027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-67.635915579323211</v>
      </c>
      <c r="P55" s="1">
        <f>(Main_S[[#This Row],[P/B]]-VLOOKUP(Main_S[[#This Row],[Industry]], Mean_PB_S, 2, FALSE))/(VLOOKUP(Main_S[[#This Row],[Industry]], Mean_PB_S, 3, FALSE))</f>
        <v>361.52676938029401</v>
      </c>
      <c r="Q55" s="1">
        <f>(Main_S[[#This Row],[ROE]]-VLOOKUP(Main_S[[#This Row],[Industry]], Mean_ROE_S, 2, FALSE))/(VLOOKUP(Main_S[[#This Row],[Industry]], Mean_ROE_S, 3, FALSE))</f>
        <v>-1.111821973994664</v>
      </c>
      <c r="R55" s="1">
        <f>(Main_S[[#This Row],[ROA]]-VLOOKUP(Main_S[[#This Row],[Industry]], Mean_ROA_S, 2, FALSE))/(VLOOKUP(Main_S[[#This Row],[Industry]], Mean_ROA_S, 3, FALSE))</f>
        <v>-1.8028321141261745</v>
      </c>
      <c r="S55" s="1">
        <f>(Main_S[[#This Row],[A/E]]-VLOOKUP(Main_S[[#This Row],[Industry]], Mean_AE_S, 2, FALSE))/(VLOOKUP(Main_S[[#This Row],[Industry]], Mean_AE_S, 3, FALSE))</f>
        <v>-0.56683157536153184</v>
      </c>
      <c r="T55" s="1">
        <f>(Main_S[[#This Row],[P/E]]-VLOOKUP(Main_S[[#This Row],[Industry]], Mean_PE_S, 2, FALSE))/(VLOOKUP(Main_S[[#This Row],[Industry]], Mean_PE_S, 3, FALSE))</f>
        <v>-212.82564979998904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6" spans="1:26" x14ac:dyDescent="0.25">
      <c r="A56" t="s">
        <v>107</v>
      </c>
      <c r="B56" t="s">
        <v>261</v>
      </c>
      <c r="C56" s="2">
        <v>704</v>
      </c>
      <c r="D56">
        <f>RTD("tos.rtd", , "LAST", Main_S[[#This Row],[Symbol]])</f>
        <v>17.68</v>
      </c>
      <c r="E56">
        <v>-4.7</v>
      </c>
      <c r="F56">
        <v>14.3</v>
      </c>
      <c r="G56">
        <v>0.4</v>
      </c>
      <c r="H56" s="1">
        <f>IF(ISNUMBER(Main_S[[#This Row],[Free CF]]),IF(Main_S[[#This Row],[Free CF]]&lt;&gt;0,Main_S[[#This Row],[Current Price]]/Main_S[[#This Row],[Free CF]],""),"")</f>
        <v>-3.7617021276595741</v>
      </c>
      <c r="I56" s="1">
        <f>IF(ISNUMBER(Main_S[[#This Row],[BVPS]]),IF(Main_S[[#This Row],[BVPS]]&lt;&gt;0,Main_S[[#This Row],[Current Price]]/Main_S[[#This Row],[BVPS]],""),"")</f>
        <v>1.2363636363636363</v>
      </c>
      <c r="J56">
        <v>2.97</v>
      </c>
      <c r="K56">
        <v>-0.95</v>
      </c>
      <c r="L56">
        <v>1.76</v>
      </c>
      <c r="M56" s="1">
        <f>IF(ISNUMBER(Main_S[[#This Row],[EPS]]),IF(Main_S[[#This Row],[EPS]]&lt;&gt;0,Main_S[[#This Row],[Current Price]]/Main_S[[#This Row],[EPS]],""),"")</f>
        <v>44.199999999999996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-0.6980528293653</v>
      </c>
      <c r="P56" s="1">
        <f>(Main_S[[#This Row],[P/B]]-VLOOKUP(Main_S[[#This Row],[Industry]], Mean_PB_S, 2, FALSE))/(VLOOKUP(Main_S[[#This Row],[Industry]], Mean_PB_S, 3, FALSE))</f>
        <v>2.5290322439047608E-2</v>
      </c>
      <c r="Q56" s="1">
        <f>(Main_S[[#This Row],[ROE]]-VLOOKUP(Main_S[[#This Row],[Industry]], Mean_ROE_S, 2, FALSE))/(VLOOKUP(Main_S[[#This Row],[Industry]], Mean_ROE_S, 3, FALSE))</f>
        <v>-0.28814569143119473</v>
      </c>
      <c r="R56" s="1">
        <f>(Main_S[[#This Row],[ROA]]-VLOOKUP(Main_S[[#This Row],[Industry]], Mean_ROA_S, 2, FALSE))/(VLOOKUP(Main_S[[#This Row],[Industry]], Mean_ROA_S, 3, FALSE))</f>
        <v>-0.97470329605256234</v>
      </c>
      <c r="S56" s="1">
        <f>(Main_S[[#This Row],[A/E]]-VLOOKUP(Main_S[[#This Row],[Industry]], Mean_AE_S, 2, FALSE))/(VLOOKUP(Main_S[[#This Row],[Industry]], Mean_AE_S, 3, FALSE))</f>
        <v>-0.35565902767782409</v>
      </c>
      <c r="T56" s="1">
        <f>(Main_S[[#This Row],[P/E]]-VLOOKUP(Main_S[[#This Row],[Industry]], Mean_PE_S, 2, FALSE))/(VLOOKUP(Main_S[[#This Row],[Industry]], Mean_PE_S, 3, FALSE))</f>
        <v>4.213115001349018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7" spans="1:26" x14ac:dyDescent="0.25">
      <c r="A57" t="s">
        <v>107</v>
      </c>
      <c r="B57" t="s">
        <v>262</v>
      </c>
      <c r="C57" s="2">
        <v>945</v>
      </c>
      <c r="D57">
        <f>RTD("tos.rtd", , "LAST", Main_S[[#This Row],[Symbol]])</f>
        <v>7.04</v>
      </c>
      <c r="E57">
        <v>1.46</v>
      </c>
      <c r="F57">
        <v>12.67</v>
      </c>
      <c r="G57">
        <v>-0.21</v>
      </c>
      <c r="H57" s="1">
        <f>IF(ISNUMBER(Main_S[[#This Row],[Free CF]]),IF(Main_S[[#This Row],[Free CF]]&lt;&gt;0,Main_S[[#This Row],[Current Price]]/Main_S[[#This Row],[Free CF]],""),"")</f>
        <v>4.8219178082191778</v>
      </c>
      <c r="I57" s="1">
        <f>IF(ISNUMBER(Main_S[[#This Row],[BVPS]]),IF(Main_S[[#This Row],[BVPS]]&lt;&gt;0,Main_S[[#This Row],[Current Price]]/Main_S[[#This Row],[BVPS]],""),"")</f>
        <v>0.5556432517758485</v>
      </c>
      <c r="J57">
        <v>-1.6</v>
      </c>
      <c r="K57">
        <v>1.44</v>
      </c>
      <c r="L57">
        <v>2.1800000000000002</v>
      </c>
      <c r="M57" s="1">
        <f>IF(ISNUMBER(Main_S[[#This Row],[EPS]]),IF(Main_S[[#This Row],[EPS]]&lt;&gt;0,Main_S[[#This Row],[Current Price]]/Main_S[[#This Row],[EPS]],""),"")</f>
        <v>-33.523809523809526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0.44425838462537098</v>
      </c>
      <c r="P57" s="1">
        <f>(Main_S[[#This Row],[P/B]]-VLOOKUP(Main_S[[#This Row],[Industry]], Mean_PB_S, 2, FALSE))/(VLOOKUP(Main_S[[#This Row],[Industry]], Mean_PB_S, 3, FALSE))</f>
        <v>-0.95068634421673837</v>
      </c>
      <c r="Q57" s="1">
        <f>(Main_S[[#This Row],[ROE]]-VLOOKUP(Main_S[[#This Row],[Industry]], Mean_ROE_S, 2, FALSE))/(VLOOKUP(Main_S[[#This Row],[Industry]], Mean_ROE_S, 3, FALSE))</f>
        <v>-0.5242937849892283</v>
      </c>
      <c r="R57" s="1">
        <f>(Main_S[[#This Row],[ROA]]-VLOOKUP(Main_S[[#This Row],[Industry]], Mean_ROA_S, 2, FALSE))/(VLOOKUP(Main_S[[#This Row],[Industry]], Mean_ROA_S, 3, FALSE))</f>
        <v>-0.53192301077382997</v>
      </c>
      <c r="S57" s="1">
        <f>(Main_S[[#This Row],[A/E]]-VLOOKUP(Main_S[[#This Row],[Industry]], Mean_AE_S, 2, FALSE))/(VLOOKUP(Main_S[[#This Row],[Industry]], Mean_AE_S, 3, FALSE))</f>
        <v>-2.7168397947612052E-2</v>
      </c>
      <c r="T57" s="1">
        <f>(Main_S[[#This Row],[P/E]]-VLOOKUP(Main_S[[#This Row],[Industry]], Mean_PE_S, 2, FALSE))/(VLOOKUP(Main_S[[#This Row],[Industry]], Mean_PE_S, 3, FALSE))</f>
        <v>-3.931477319383935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8" spans="1:26" x14ac:dyDescent="0.25">
      <c r="A58" t="s">
        <v>107</v>
      </c>
      <c r="B58" t="s">
        <v>263</v>
      </c>
      <c r="C58" s="2">
        <v>536</v>
      </c>
      <c r="D58">
        <f>RTD("tos.rtd", , "LAST", Main_S[[#This Row],[Symbol]])</f>
        <v>18.239999999999998</v>
      </c>
      <c r="E58">
        <v>-20.11</v>
      </c>
      <c r="F58">
        <v>74.37</v>
      </c>
      <c r="G58">
        <v>-4.74</v>
      </c>
      <c r="H58" s="1">
        <f>IF(ISNUMBER(Main_S[[#This Row],[Free CF]]),IF(Main_S[[#This Row],[Free CF]]&lt;&gt;0,Main_S[[#This Row],[Current Price]]/Main_S[[#This Row],[Free CF]],""),"")</f>
        <v>-0.9070114370959721</v>
      </c>
      <c r="I58" s="1">
        <f>IF(ISNUMBER(Main_S[[#This Row],[BVPS]]),IF(Main_S[[#This Row],[BVPS]]&lt;&gt;0,Main_S[[#This Row],[Current Price]]/Main_S[[#This Row],[BVPS]],""),"")</f>
        <v>0.24526018555869297</v>
      </c>
      <c r="J58">
        <v>-6.33</v>
      </c>
      <c r="K58">
        <v>5.2</v>
      </c>
      <c r="L58">
        <v>2.1800000000000002</v>
      </c>
      <c r="M58" s="1">
        <f>IF(ISNUMBER(Main_S[[#This Row],[EPS]]),IF(Main_S[[#This Row],[EPS]]&lt;&gt;0,Main_S[[#This Row],[Current Price]]/Main_S[[#This Row],[EPS]],""),"")</f>
        <v>-3.8481012658227844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-0.31814957028982299</v>
      </c>
      <c r="P58" s="1">
        <f>(Main_S[[#This Row],[P/B]]-VLOOKUP(Main_S[[#This Row],[Industry]], Mean_PB_S, 2, FALSE))/(VLOOKUP(Main_S[[#This Row],[Industry]], Mean_PB_S, 3, FALSE))</f>
        <v>-1.3956952453920126</v>
      </c>
      <c r="Q58" s="1">
        <f>(Main_S[[#This Row],[ROE]]-VLOOKUP(Main_S[[#This Row],[Industry]], Mean_ROE_S, 2, FALSE))/(VLOOKUP(Main_S[[#This Row],[Industry]], Mean_ROE_S, 3, FALSE))</f>
        <v>-0.76870964549896548</v>
      </c>
      <c r="R58" s="1">
        <f>(Main_S[[#This Row],[ROA]]-VLOOKUP(Main_S[[#This Row],[Industry]], Mean_ROA_S, 2, FALSE))/(VLOOKUP(Main_S[[#This Row],[Industry]], Mean_ROA_S, 3, FALSE))</f>
        <v>0.16466856773999158</v>
      </c>
      <c r="S58" s="1">
        <f>(Main_S[[#This Row],[A/E]]-VLOOKUP(Main_S[[#This Row],[Industry]], Mean_AE_S, 2, FALSE))/(VLOOKUP(Main_S[[#This Row],[Industry]], Mean_AE_S, 3, FALSE))</f>
        <v>-2.7168397947612052E-2</v>
      </c>
      <c r="T58" s="1">
        <f>(Main_S[[#This Row],[P/E]]-VLOOKUP(Main_S[[#This Row],[Industry]], Mean_PE_S, 2, FALSE))/(VLOOKUP(Main_S[[#This Row],[Industry]], Mean_PE_S, 3, FALSE))</f>
        <v>-0.8217925642090077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107</v>
      </c>
      <c r="B59" t="s">
        <v>264</v>
      </c>
      <c r="C59" s="2">
        <v>773</v>
      </c>
      <c r="D59">
        <f>RTD("tos.rtd", , "LAST", Main_S[[#This Row],[Symbol]])</f>
        <v>22.77</v>
      </c>
      <c r="E59">
        <v>0.64</v>
      </c>
      <c r="F59">
        <v>16.440000000000001</v>
      </c>
      <c r="G59">
        <v>0.76</v>
      </c>
      <c r="H59" s="1">
        <f>IF(ISNUMBER(Main_S[[#This Row],[Free CF]]),IF(Main_S[[#This Row],[Free CF]]&lt;&gt;0,Main_S[[#This Row],[Current Price]]/Main_S[[#This Row],[Free CF]],""),"")</f>
        <v>35.578125</v>
      </c>
      <c r="I59" s="1">
        <f>IF(ISNUMBER(Main_S[[#This Row],[BVPS]]),IF(Main_S[[#This Row],[BVPS]]&lt;&gt;0,Main_S[[#This Row],[Current Price]]/Main_S[[#This Row],[BVPS]],""),"")</f>
        <v>1.3850364963503647</v>
      </c>
      <c r="J59">
        <v>4.3499999999999996</v>
      </c>
      <c r="K59">
        <v>3.41</v>
      </c>
      <c r="L59">
        <v>1.46</v>
      </c>
      <c r="M59" s="1">
        <f>IF(ISNUMBER(Main_S[[#This Row],[EPS]]),IF(Main_S[[#This Row],[EPS]]&lt;&gt;0,Main_S[[#This Row],[Current Price]]/Main_S[[#This Row],[EPS]],""),"")</f>
        <v>29.960526315789473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4.5373054483867028</v>
      </c>
      <c r="P59" s="1">
        <f>(Main_S[[#This Row],[P/B]]-VLOOKUP(Main_S[[#This Row],[Industry]], Mean_PB_S, 2, FALSE))/(VLOOKUP(Main_S[[#This Row],[Industry]], Mean_PB_S, 3, FALSE))</f>
        <v>0.23844868466423064</v>
      </c>
      <c r="Q59" s="1">
        <f>(Main_S[[#This Row],[ROE]]-VLOOKUP(Main_S[[#This Row],[Industry]], Mean_ROE_S, 2, FALSE))/(VLOOKUP(Main_S[[#This Row],[Industry]], Mean_ROE_S, 3, FALSE))</f>
        <v>-0.2168362014727514</v>
      </c>
      <c r="R59" s="1">
        <f>(Main_S[[#This Row],[ROA]]-VLOOKUP(Main_S[[#This Row],[Industry]], Mean_ROA_S, 2, FALSE))/(VLOOKUP(Main_S[[#This Row],[Industry]], Mean_ROA_S, 3, FALSE))</f>
        <v>-0.16695348692483303</v>
      </c>
      <c r="S59" s="1">
        <f>(Main_S[[#This Row],[A/E]]-VLOOKUP(Main_S[[#This Row],[Industry]], Mean_AE_S, 2, FALSE))/(VLOOKUP(Main_S[[#This Row],[Industry]], Mean_AE_S, 3, FALSE))</f>
        <v>-0.59029519177083267</v>
      </c>
      <c r="T59" s="1">
        <f>(Main_S[[#This Row],[P/E]]-VLOOKUP(Main_S[[#This Row],[Industry]], Mean_PE_S, 2, FALSE))/(VLOOKUP(Main_S[[#This Row],[Industry]], Mean_PE_S, 3, FALSE))</f>
        <v>2.7209762509423889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t="s">
        <v>107</v>
      </c>
      <c r="B60" t="s">
        <v>265</v>
      </c>
      <c r="C60" s="2">
        <v>968</v>
      </c>
      <c r="D60">
        <f>RTD("tos.rtd", , "LAST", Main_S[[#This Row],[Symbol]])</f>
        <v>14</v>
      </c>
      <c r="E60">
        <v>-1.48</v>
      </c>
      <c r="F60">
        <v>-8.2899999999999991</v>
      </c>
      <c r="G60">
        <v>-2.67</v>
      </c>
      <c r="H60" s="1">
        <f>IF(ISNUMBER(Main_S[[#This Row],[Free CF]]),IF(Main_S[[#This Row],[Free CF]]&lt;&gt;0,Main_S[[#This Row],[Current Price]]/Main_S[[#This Row],[Free CF]],""),"")</f>
        <v>-9.4594594594594597</v>
      </c>
      <c r="I60" s="1">
        <f>IF(ISNUMBER(Main_S[[#This Row],[BVPS]]),IF(Main_S[[#This Row],[BVPS]]&lt;&gt;0,Main_S[[#This Row],[Current Price]]/Main_S[[#This Row],[BVPS]],""),"")</f>
        <v>-1.6887816646562124</v>
      </c>
      <c r="J60">
        <v>62.45</v>
      </c>
      <c r="K60">
        <v>1.76</v>
      </c>
      <c r="L60">
        <v>-3.87</v>
      </c>
      <c r="M60" s="1">
        <f>IF(ISNUMBER(Main_S[[#This Row],[EPS]]),IF(Main_S[[#This Row],[EPS]]&lt;&gt;0,Main_S[[#This Row],[Current Price]]/Main_S[[#This Row],[EPS]],""),"")</f>
        <v>-5.2434456928838955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-1.4563124148703812</v>
      </c>
      <c r="P60" s="1">
        <f>(Main_S[[#This Row],[P/B]]-VLOOKUP(Main_S[[#This Row],[Industry]], Mean_PB_S, 2, FALSE))/(VLOOKUP(Main_S[[#This Row],[Industry]], Mean_PB_S, 3, FALSE))</f>
        <v>-4.1686101762245329</v>
      </c>
      <c r="Q60" s="1">
        <f>(Main_S[[#This Row],[ROE]]-VLOOKUP(Main_S[[#This Row],[Industry]], Mean_ROE_S, 2, FALSE))/(VLOOKUP(Main_S[[#This Row],[Industry]], Mean_ROE_S, 3, FALSE))</f>
        <v>2.7853966728646116</v>
      </c>
      <c r="R60" s="1">
        <f>(Main_S[[#This Row],[ROA]]-VLOOKUP(Main_S[[#This Row],[Industry]], Mean_ROA_S, 2, FALSE))/(VLOOKUP(Main_S[[#This Row],[Industry]], Mean_ROA_S, 3, FALSE))</f>
        <v>-0.47263862111307925</v>
      </c>
      <c r="S60" s="1">
        <f>(Main_S[[#This Row],[A/E]]-VLOOKUP(Main_S[[#This Row],[Industry]], Mean_AE_S, 2, FALSE))/(VLOOKUP(Main_S[[#This Row],[Industry]], Mean_AE_S, 3, FALSE))</f>
        <v>-4.7589977071566176</v>
      </c>
      <c r="T60" s="1">
        <f>(Main_S[[#This Row],[P/E]]-VLOOKUP(Main_S[[#This Row],[Industry]], Mean_PE_S, 2, FALSE))/(VLOOKUP(Main_S[[#This Row],[Industry]], Mean_PE_S, 3, FALSE))</f>
        <v>-0.96800916855517138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t="s">
        <v>107</v>
      </c>
      <c r="B61" t="s">
        <v>266</v>
      </c>
      <c r="C61" s="2">
        <v>357</v>
      </c>
      <c r="D61">
        <f>RTD("tos.rtd", , "LAST", Main_S[[#This Row],[Symbol]])</f>
        <v>2.08</v>
      </c>
      <c r="E61">
        <v>-7.0000000000000007E-2</v>
      </c>
      <c r="F61">
        <v>3.19</v>
      </c>
      <c r="G61">
        <v>-0.37</v>
      </c>
      <c r="H61" s="1">
        <f>IF(ISNUMBER(Main_S[[#This Row],[Free CF]]),IF(Main_S[[#This Row],[Free CF]]&lt;&gt;0,Main_S[[#This Row],[Current Price]]/Main_S[[#This Row],[Free CF]],""),"")</f>
        <v>-29.714285714285712</v>
      </c>
      <c r="I61" s="1">
        <f>IF(ISNUMBER(Main_S[[#This Row],[BVPS]]),IF(Main_S[[#This Row],[BVPS]]&lt;&gt;0,Main_S[[#This Row],[Current Price]]/Main_S[[#This Row],[BVPS]],""),"")</f>
        <v>0.65203761755485901</v>
      </c>
      <c r="J61">
        <v>-11.52</v>
      </c>
      <c r="K61">
        <v>-1.41</v>
      </c>
      <c r="L61">
        <v>1.74</v>
      </c>
      <c r="M61" s="1">
        <f>IF(ISNUMBER(Main_S[[#This Row],[EPS]]),IF(Main_S[[#This Row],[EPS]]&lt;&gt;0,Main_S[[#This Row],[Current Price]]/Main_S[[#This Row],[EPS]],""),"")</f>
        <v>-5.6216216216216219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-4.151831944062117</v>
      </c>
      <c r="P61" s="1">
        <f>(Main_S[[#This Row],[P/B]]-VLOOKUP(Main_S[[#This Row],[Industry]], Mean_PB_S, 2, FALSE))/(VLOOKUP(Main_S[[#This Row],[Industry]], Mean_PB_S, 3, FALSE))</f>
        <v>-0.81248179808085785</v>
      </c>
      <c r="Q61" s="1">
        <f>(Main_S[[#This Row],[ROE]]-VLOOKUP(Main_S[[#This Row],[Industry]], Mean_ROE_S, 2, FALSE))/(VLOOKUP(Main_S[[#This Row],[Industry]], Mean_ROE_S, 3, FALSE))</f>
        <v>-1.0368953359948505</v>
      </c>
      <c r="R61" s="1">
        <f>(Main_S[[#This Row],[ROA]]-VLOOKUP(Main_S[[#This Row],[Industry]], Mean_ROA_S, 2, FALSE))/(VLOOKUP(Main_S[[#This Row],[Industry]], Mean_ROA_S, 3, FALSE))</f>
        <v>-1.0599246061898915</v>
      </c>
      <c r="S61" s="1">
        <f>(Main_S[[#This Row],[A/E]]-VLOOKUP(Main_S[[#This Row],[Industry]], Mean_AE_S, 2, FALSE))/(VLOOKUP(Main_S[[#This Row],[Industry]], Mean_AE_S, 3, FALSE))</f>
        <v>-0.37130143861735804</v>
      </c>
      <c r="T61" s="1">
        <f>(Main_S[[#This Row],[P/E]]-VLOOKUP(Main_S[[#This Row],[Industry]], Mean_PE_S, 2, FALSE))/(VLOOKUP(Main_S[[#This Row],[Industry]], Mean_PE_S, 3, FALSE))</f>
        <v>-1.0076378072432919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107</v>
      </c>
      <c r="B62" t="s">
        <v>267</v>
      </c>
      <c r="C62" s="2">
        <v>865</v>
      </c>
      <c r="D62">
        <f>RTD("tos.rtd", , "LAST", Main_S[[#This Row],[Symbol]])</f>
        <v>17.329999999999998</v>
      </c>
      <c r="E62">
        <v>-7.79</v>
      </c>
      <c r="F62">
        <v>5</v>
      </c>
      <c r="G62">
        <v>-10.43</v>
      </c>
      <c r="H62" s="1">
        <f>IF(ISNUMBER(Main_S[[#This Row],[Free CF]]),IF(Main_S[[#This Row],[Free CF]]&lt;&gt;0,Main_S[[#This Row],[Current Price]]/Main_S[[#This Row],[Free CF]],""),"")</f>
        <v>-2.224646983311938</v>
      </c>
      <c r="I62" s="1">
        <f>IF(ISNUMBER(Main_S[[#This Row],[BVPS]]),IF(Main_S[[#This Row],[BVPS]]&lt;&gt;0,Main_S[[#This Row],[Current Price]]/Main_S[[#This Row],[BVPS]],""),"")</f>
        <v>3.4659999999999997</v>
      </c>
      <c r="J62">
        <v>-81.67</v>
      </c>
      <c r="K62">
        <v>-2.31</v>
      </c>
      <c r="L62">
        <v>21.31</v>
      </c>
      <c r="M62" s="1">
        <f>IF(ISNUMBER(Main_S[[#This Row],[EPS]]),IF(Main_S[[#This Row],[EPS]]&lt;&gt;0,Main_S[[#This Row],[Current Price]]/Main_S[[#This Row],[EPS]],""),"")</f>
        <v>-1.6615532118887821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-0.49350098049192564</v>
      </c>
      <c r="P62" s="1">
        <f>(Main_S[[#This Row],[P/B]]-VLOOKUP(Main_S[[#This Row],[Industry]], Mean_PB_S, 2, FALSE))/(VLOOKUP(Main_S[[#This Row],[Industry]], Mean_PB_S, 3, FALSE))</f>
        <v>3.2220112012387521</v>
      </c>
      <c r="Q62" s="1">
        <f>(Main_S[[#This Row],[ROE]]-VLOOKUP(Main_S[[#This Row],[Industry]], Mean_ROE_S, 2, FALSE))/(VLOOKUP(Main_S[[#This Row],[Industry]], Mean_ROE_S, 3, FALSE))</f>
        <v>-4.6617944088823888</v>
      </c>
      <c r="R62" s="1">
        <f>(Main_S[[#This Row],[ROA]]-VLOOKUP(Main_S[[#This Row],[Industry]], Mean_ROA_S, 2, FALSE))/(VLOOKUP(Main_S[[#This Row],[Industry]], Mean_ROA_S, 3, FALSE))</f>
        <v>-1.2266619521107531</v>
      </c>
      <c r="S62" s="1">
        <f>(Main_S[[#This Row],[A/E]]-VLOOKUP(Main_S[[#This Row],[Industry]], Mean_AE_S, 2, FALSE))/(VLOOKUP(Main_S[[#This Row],[Industry]], Mean_AE_S, 3, FALSE))</f>
        <v>14.934797665716564</v>
      </c>
      <c r="T62" s="1">
        <f>(Main_S[[#This Row],[P/E]]-VLOOKUP(Main_S[[#This Row],[Industry]], Mean_PE_S, 2, FALSE))/(VLOOKUP(Main_S[[#This Row],[Industry]], Mean_PE_S, 3, FALSE))</f>
        <v>-0.59266660399048443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107</v>
      </c>
      <c r="B63" t="s">
        <v>268</v>
      </c>
      <c r="C63" s="2">
        <v>260</v>
      </c>
      <c r="D63">
        <f>RTD("tos.rtd", , "LAST", Main_S[[#This Row],[Symbol]])</f>
        <v>1.24</v>
      </c>
      <c r="E63">
        <v>-0.47</v>
      </c>
      <c r="F63">
        <v>2.11</v>
      </c>
      <c r="G63">
        <v>-0.34</v>
      </c>
      <c r="H63" s="1">
        <f>IF(ISNUMBER(Main_S[[#This Row],[Free CF]]),IF(Main_S[[#This Row],[Free CF]]&lt;&gt;0,Main_S[[#This Row],[Current Price]]/Main_S[[#This Row],[Free CF]],""),"")</f>
        <v>-2.6382978723404258</v>
      </c>
      <c r="I63" s="1">
        <f>IF(ISNUMBER(Main_S[[#This Row],[BVPS]]),IF(Main_S[[#This Row],[BVPS]]&lt;&gt;0,Main_S[[#This Row],[Current Price]]/Main_S[[#This Row],[BVPS]],""),"")</f>
        <v>0.58767772511848348</v>
      </c>
      <c r="J63">
        <v>-15.02</v>
      </c>
      <c r="K63">
        <v>-8.69</v>
      </c>
      <c r="L63">
        <v>1.19</v>
      </c>
      <c r="M63" s="1">
        <f>IF(ISNUMBER(Main_S[[#This Row],[EPS]]),IF(Main_S[[#This Row],[EPS]]&lt;&gt;0,Main_S[[#This Row],[Current Price]]/Main_S[[#This Row],[EPS]],""),"")</f>
        <v>-3.6470588235294117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-0.54854978889027628</v>
      </c>
      <c r="P63" s="1">
        <f>(Main_S[[#This Row],[P/B]]-VLOOKUP(Main_S[[#This Row],[Industry]], Mean_PB_S, 2, FALSE))/(VLOOKUP(Main_S[[#This Row],[Industry]], Mean_PB_S, 3, FALSE))</f>
        <v>-0.90475720911385604</v>
      </c>
      <c r="Q63" s="1">
        <f>(Main_S[[#This Row],[ROE]]-VLOOKUP(Main_S[[#This Row],[Industry]], Mean_ROE_S, 2, FALSE))/(VLOOKUP(Main_S[[#This Row],[Industry]], Mean_ROE_S, 3, FALSE))</f>
        <v>-1.2177527380633661</v>
      </c>
      <c r="R63" s="1">
        <f>(Main_S[[#This Row],[ROA]]-VLOOKUP(Main_S[[#This Row],[Industry]], Mean_ROA_S, 2, FALSE))/(VLOOKUP(Main_S[[#This Row],[Industry]], Mean_ROA_S, 3, FALSE))</f>
        <v>-2.4086444709719714</v>
      </c>
      <c r="S63" s="1">
        <f>(Main_S[[#This Row],[A/E]]-VLOOKUP(Main_S[[#This Row],[Industry]], Mean_AE_S, 2, FALSE))/(VLOOKUP(Main_S[[#This Row],[Industry]], Mean_AE_S, 3, FALSE))</f>
        <v>-0.80146773945454042</v>
      </c>
      <c r="T63" s="1">
        <f>(Main_S[[#This Row],[P/E]]-VLOOKUP(Main_S[[#This Row],[Industry]], Mean_PE_S, 2, FALSE))/(VLOOKUP(Main_S[[#This Row],[Industry]], Mean_PE_S, 3, FALSE))</f>
        <v>-0.80072554830132237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107</v>
      </c>
      <c r="B64" t="s">
        <v>269</v>
      </c>
      <c r="C64" s="2">
        <v>896</v>
      </c>
      <c r="D64">
        <f>RTD("tos.rtd", , "LAST", Main_S[[#This Row],[Symbol]])</f>
        <v>19.11</v>
      </c>
      <c r="E64">
        <v>-0.91</v>
      </c>
      <c r="F64">
        <v>21.56</v>
      </c>
      <c r="G64">
        <v>-0.59</v>
      </c>
      <c r="H64" s="1">
        <f>IF(ISNUMBER(Main_S[[#This Row],[Free CF]]),IF(Main_S[[#This Row],[Free CF]]&lt;&gt;0,Main_S[[#This Row],[Current Price]]/Main_S[[#This Row],[Free CF]],""),"")</f>
        <v>-21</v>
      </c>
      <c r="I64" s="1">
        <f>IF(ISNUMBER(Main_S[[#This Row],[BVPS]]),IF(Main_S[[#This Row],[BVPS]]&lt;&gt;0,Main_S[[#This Row],[Current Price]]/Main_S[[#This Row],[BVPS]],""),"")</f>
        <v>0.88636363636363635</v>
      </c>
      <c r="J64">
        <v>-2.64</v>
      </c>
      <c r="K64">
        <v>0.81</v>
      </c>
      <c r="L64">
        <v>3.21</v>
      </c>
      <c r="M64" s="1">
        <f>IF(ISNUMBER(Main_S[[#This Row],[EPS]]),IF(Main_S[[#This Row],[EPS]]&lt;&gt;0,Main_S[[#This Row],[Current Price]]/Main_S[[#This Row],[EPS]],""),"")</f>
        <v>-32.389830508474574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-2.9921316815028818</v>
      </c>
      <c r="P64" s="1">
        <f>(Main_S[[#This Row],[P/B]]-VLOOKUP(Main_S[[#This Row],[Industry]], Mean_PB_S, 2, FALSE))/(VLOOKUP(Main_S[[#This Row],[Industry]], Mean_PB_S, 3, FALSE))</f>
        <v>-0.47651899760412542</v>
      </c>
      <c r="Q64" s="1">
        <f>(Main_S[[#This Row],[ROE]]-VLOOKUP(Main_S[[#This Row],[Industry]], Mean_ROE_S, 2, FALSE))/(VLOOKUP(Main_S[[#This Row],[Industry]], Mean_ROE_S, 3, FALSE))</f>
        <v>-0.57803427017530162</v>
      </c>
      <c r="R64" s="1">
        <f>(Main_S[[#This Row],[ROA]]-VLOOKUP(Main_S[[#This Row],[Industry]], Mean_ROA_S, 2, FALSE))/(VLOOKUP(Main_S[[#This Row],[Industry]], Mean_ROA_S, 3, FALSE))</f>
        <v>-0.64863915291843299</v>
      </c>
      <c r="S64" s="1">
        <f>(Main_S[[#This Row],[A/E]]-VLOOKUP(Main_S[[#This Row],[Industry]], Mean_AE_S, 2, FALSE))/(VLOOKUP(Main_S[[#This Row],[Industry]], Mean_AE_S, 3, FALSE))</f>
        <v>0.77841576543838376</v>
      </c>
      <c r="T64" s="1">
        <f>(Main_S[[#This Row],[P/E]]-VLOOKUP(Main_S[[#This Row],[Industry]], Mean_PE_S, 2, FALSE))/(VLOOKUP(Main_S[[#This Row],[Industry]], Mean_PE_S, 3, FALSE))</f>
        <v>-3.8126489084149626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5" spans="1:26" x14ac:dyDescent="0.25">
      <c r="A65" t="s">
        <v>107</v>
      </c>
      <c r="B65" t="s">
        <v>270</v>
      </c>
      <c r="C65" s="2">
        <v>654</v>
      </c>
      <c r="D65">
        <f>RTD("tos.rtd", , "LAST", Main_S[[#This Row],[Symbol]])</f>
        <v>42.68</v>
      </c>
      <c r="E65">
        <v>-0.4</v>
      </c>
      <c r="F65">
        <v>32.590000000000003</v>
      </c>
      <c r="G65">
        <v>3.3</v>
      </c>
      <c r="H65" s="1">
        <f>IF(ISNUMBER(Main_S[[#This Row],[Free CF]]),IF(Main_S[[#This Row],[Free CF]]&lt;&gt;0,Main_S[[#This Row],[Current Price]]/Main_S[[#This Row],[Free CF]],""),"")</f>
        <v>-106.69999999999999</v>
      </c>
      <c r="I65" s="1">
        <f>IF(ISNUMBER(Main_S[[#This Row],[BVPS]]),IF(Main_S[[#This Row],[BVPS]]&lt;&gt;0,Main_S[[#This Row],[Current Price]]/Main_S[[#This Row],[BVPS]],""),"")</f>
        <v>1.3096041730592205</v>
      </c>
      <c r="J65">
        <v>11.61</v>
      </c>
      <c r="K65">
        <v>5.81</v>
      </c>
      <c r="L65">
        <v>1.28</v>
      </c>
      <c r="M65" s="1">
        <f>IF(ISNUMBER(Main_S[[#This Row],[EPS]]),IF(Main_S[[#This Row],[EPS]]&lt;&gt;0,Main_S[[#This Row],[Current Price]]/Main_S[[#This Row],[EPS]],""),"")</f>
        <v>12.933333333333334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-14.397118361982969</v>
      </c>
      <c r="P65" s="1">
        <f>(Main_S[[#This Row],[P/B]]-VLOOKUP(Main_S[[#This Row],[Industry]], Mean_PB_S, 2, FALSE))/(VLOOKUP(Main_S[[#This Row],[Industry]], Mean_PB_S, 3, FALSE))</f>
        <v>0.13029827649278519</v>
      </c>
      <c r="Q65" s="1">
        <f>(Main_S[[#This Row],[ROE]]-VLOOKUP(Main_S[[#This Row],[Industry]], Mean_ROE_S, 2, FALSE))/(VLOOKUP(Main_S[[#This Row],[Industry]], Mean_ROE_S, 3, FALSE))</f>
        <v>0.15831372396079857</v>
      </c>
      <c r="R65" s="1">
        <f>(Main_S[[#This Row],[ROA]]-VLOOKUP(Main_S[[#This Row],[Industry]], Mean_ROA_S, 2, FALSE))/(VLOOKUP(Main_S[[#This Row],[Industry]], Mean_ROA_S, 3, FALSE))</f>
        <v>0.27767943553079766</v>
      </c>
      <c r="S65" s="1">
        <f>(Main_S[[#This Row],[A/E]]-VLOOKUP(Main_S[[#This Row],[Industry]], Mean_AE_S, 2, FALSE))/(VLOOKUP(Main_S[[#This Row],[Industry]], Mean_AE_S, 3, FALSE))</f>
        <v>-0.7310768902266378</v>
      </c>
      <c r="T65" s="1">
        <f>(Main_S[[#This Row],[P/E]]-VLOOKUP(Main_S[[#This Row],[Industry]], Mean_PE_S, 2, FALSE))/(VLOOKUP(Main_S[[#This Row],[Industry]], Mean_PE_S, 3, FALSE))</f>
        <v>0.93671546833023589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107</v>
      </c>
      <c r="B66" t="s">
        <v>271</v>
      </c>
      <c r="C66" s="2">
        <v>1464</v>
      </c>
      <c r="D66">
        <f>RTD("tos.rtd", , "LAST", Main_S[[#This Row],[Symbol]])</f>
        <v>27.65</v>
      </c>
      <c r="E66">
        <v>3.4</v>
      </c>
      <c r="F66">
        <v>33.94</v>
      </c>
      <c r="G66">
        <v>0.32</v>
      </c>
      <c r="H66" s="1">
        <f>IF(ISNUMBER(Main_S[[#This Row],[Free CF]]),IF(Main_S[[#This Row],[Free CF]]&lt;&gt;0,Main_S[[#This Row],[Current Price]]/Main_S[[#This Row],[Free CF]],""),"")</f>
        <v>8.132352941176471</v>
      </c>
      <c r="I66" s="1">
        <f>IF(ISNUMBER(Main_S[[#This Row],[BVPS]]),IF(Main_S[[#This Row],[BVPS]]&lt;&gt;0,Main_S[[#This Row],[Current Price]]/Main_S[[#This Row],[BVPS]],""),"")</f>
        <v>0.8146729522687095</v>
      </c>
      <c r="J66">
        <v>1</v>
      </c>
      <c r="K66">
        <v>2.15</v>
      </c>
      <c r="L66">
        <v>3.43</v>
      </c>
      <c r="M66" s="1">
        <f>IF(ISNUMBER(Main_S[[#This Row],[EPS]]),IF(Main_S[[#This Row],[EPS]]&lt;&gt;0,Main_S[[#This Row],[Current Price]]/Main_S[[#This Row],[EPS]],""),"")</f>
        <v>86.40625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0.88481227725047318</v>
      </c>
      <c r="P66" s="1">
        <f>(Main_S[[#This Row],[P/B]]-VLOOKUP(Main_S[[#This Row],[Industry]], Mean_PB_S, 2, FALSE))/(VLOOKUP(Main_S[[#This Row],[Industry]], Mean_PB_S, 3, FALSE))</f>
        <v>-0.57930486457299735</v>
      </c>
      <c r="Q66" s="1">
        <f>(Main_S[[#This Row],[ROE]]-VLOOKUP(Main_S[[#This Row],[Industry]], Mean_ROE_S, 2, FALSE))/(VLOOKUP(Main_S[[#This Row],[Industry]], Mean_ROE_S, 3, FALSE))</f>
        <v>-0.38994257202404509</v>
      </c>
      <c r="R66" s="1">
        <f>(Main_S[[#This Row],[ROA]]-VLOOKUP(Main_S[[#This Row],[Industry]], Mean_ROA_S, 2, FALSE))/(VLOOKUP(Main_S[[#This Row],[Industry]], Mean_ROA_S, 3, FALSE))</f>
        <v>-0.40038577121403923</v>
      </c>
      <c r="S66" s="1">
        <f>(Main_S[[#This Row],[A/E]]-VLOOKUP(Main_S[[#This Row],[Industry]], Mean_AE_S, 2, FALSE))/(VLOOKUP(Main_S[[#This Row],[Industry]], Mean_AE_S, 3, FALSE))</f>
        <v>0.95048228577325689</v>
      </c>
      <c r="T66" s="1">
        <f>(Main_S[[#This Row],[P/E]]-VLOOKUP(Main_S[[#This Row],[Industry]], Mean_PE_S, 2, FALSE))/(VLOOKUP(Main_S[[#This Row],[Industry]], Mean_PE_S, 3, FALSE))</f>
        <v>8.6358614125582083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7" spans="1:26" x14ac:dyDescent="0.25">
      <c r="A67" t="s">
        <v>107</v>
      </c>
      <c r="B67" t="s">
        <v>272</v>
      </c>
      <c r="C67" s="2">
        <v>394</v>
      </c>
      <c r="D67">
        <f>RTD("tos.rtd", , "LAST", Main_S[[#This Row],[Symbol]])</f>
        <v>9.82</v>
      </c>
      <c r="E67">
        <v>2.2999999999999998</v>
      </c>
      <c r="F67">
        <v>15.02</v>
      </c>
      <c r="G67">
        <v>3.06</v>
      </c>
      <c r="H67" s="1">
        <f>IF(ISNUMBER(Main_S[[#This Row],[Free CF]]),IF(Main_S[[#This Row],[Free CF]]&lt;&gt;0,Main_S[[#This Row],[Current Price]]/Main_S[[#This Row],[Free CF]],""),"")</f>
        <v>4.269565217391305</v>
      </c>
      <c r="I67" s="1">
        <f>IF(ISNUMBER(Main_S[[#This Row],[BVPS]]),IF(Main_S[[#This Row],[BVPS]]&lt;&gt;0,Main_S[[#This Row],[Current Price]]/Main_S[[#This Row],[BVPS]],""),"")</f>
        <v>0.65379494007989347</v>
      </c>
      <c r="J67">
        <v>21.99</v>
      </c>
      <c r="K67">
        <v>11.49</v>
      </c>
      <c r="L67">
        <v>1.1599999999999999</v>
      </c>
      <c r="M67" s="1">
        <f>IF(ISNUMBER(Main_S[[#This Row],[EPS]]),IF(Main_S[[#This Row],[EPS]]&lt;&gt;0,Main_S[[#This Row],[Current Price]]/Main_S[[#This Row],[EPS]],""),"")</f>
        <v>3.2091503267973858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0.37075110409654305</v>
      </c>
      <c r="P67" s="1">
        <f>(Main_S[[#This Row],[P/B]]-VLOOKUP(Main_S[[#This Row],[Industry]], Mean_PB_S, 2, FALSE))/(VLOOKUP(Main_S[[#This Row],[Industry]], Mean_PB_S, 3, FALSE))</f>
        <v>-0.80996225287690327</v>
      </c>
      <c r="Q67" s="1">
        <f>(Main_S[[#This Row],[ROE]]-VLOOKUP(Main_S[[#This Row],[Industry]], Mean_ROE_S, 2, FALSE))/(VLOOKUP(Main_S[[#This Row],[Industry]], Mean_ROE_S, 3, FALSE))</f>
        <v>0.69468510495256841</v>
      </c>
      <c r="R67" s="1">
        <f>(Main_S[[#This Row],[ROA]]-VLOOKUP(Main_S[[#This Row],[Industry]], Mean_ROA_S, 2, FALSE))/(VLOOKUP(Main_S[[#This Row],[Industry]], Mean_ROA_S, 3, FALSE))</f>
        <v>1.3299773520091238</v>
      </c>
      <c r="S67" s="1">
        <f>(Main_S[[#This Row],[A/E]]-VLOOKUP(Main_S[[#This Row],[Industry]], Mean_AE_S, 2, FALSE))/(VLOOKUP(Main_S[[#This Row],[Industry]], Mean_AE_S, 3, FALSE))</f>
        <v>-0.82493135586384125</v>
      </c>
      <c r="T67" s="1">
        <f>(Main_S[[#This Row],[P/E]]-VLOOKUP(Main_S[[#This Row],[Industry]], Mean_PE_S, 2, FALSE))/(VLOOKUP(Main_S[[#This Row],[Industry]], Mean_PE_S, 3, FALSE))</f>
        <v>-8.2270949418278949E-2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8" spans="1:26" x14ac:dyDescent="0.25">
      <c r="A68" t="s">
        <v>107</v>
      </c>
      <c r="B68" t="s">
        <v>273</v>
      </c>
      <c r="C68" s="2">
        <v>1528</v>
      </c>
      <c r="D68">
        <f>RTD("tos.rtd", , "LAST", Main_S[[#This Row],[Symbol]])</f>
        <v>11.46</v>
      </c>
      <c r="E68">
        <v>1.1000000000000001</v>
      </c>
      <c r="F68">
        <v>11.91</v>
      </c>
      <c r="G68">
        <v>2.64</v>
      </c>
      <c r="H68" s="1">
        <f>IF(ISNUMBER(Main_S[[#This Row],[Free CF]]),IF(Main_S[[#This Row],[Free CF]]&lt;&gt;0,Main_S[[#This Row],[Current Price]]/Main_S[[#This Row],[Free CF]],""),"")</f>
        <v>10.418181818181818</v>
      </c>
      <c r="I68" s="1">
        <f>IF(ISNUMBER(Main_S[[#This Row],[BVPS]]),IF(Main_S[[#This Row],[BVPS]]&lt;&gt;0,Main_S[[#This Row],[Current Price]]/Main_S[[#This Row],[BVPS]],""),"")</f>
        <v>0.96221662468513858</v>
      </c>
      <c r="J68">
        <v>22.41</v>
      </c>
      <c r="K68">
        <v>8.8000000000000007</v>
      </c>
      <c r="L68">
        <v>1.84</v>
      </c>
      <c r="M68" s="1">
        <f>IF(ISNUMBER(Main_S[[#This Row],[EPS]]),IF(Main_S[[#This Row],[EPS]]&lt;&gt;0,Main_S[[#This Row],[Current Price]]/Main_S[[#This Row],[EPS]],""),"")</f>
        <v>4.3409090909090908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1.1890112025258843</v>
      </c>
      <c r="P68" s="1">
        <f>(Main_S[[#This Row],[P/B]]-VLOOKUP(Main_S[[#This Row],[Industry]], Mean_PB_S, 2, FALSE))/(VLOOKUP(Main_S[[#This Row],[Industry]], Mean_PB_S, 3, FALSE))</f>
        <v>-0.36776546476739463</v>
      </c>
      <c r="Q68" s="1">
        <f>(Main_S[[#This Row],[ROE]]-VLOOKUP(Main_S[[#This Row],[Industry]], Mean_ROE_S, 2, FALSE))/(VLOOKUP(Main_S[[#This Row],[Industry]], Mean_ROE_S, 3, FALSE))</f>
        <v>0.71638799320079039</v>
      </c>
      <c r="R68" s="1">
        <f>(Main_S[[#This Row],[ROA]]-VLOOKUP(Main_S[[#This Row],[Industry]], Mean_ROA_S, 2, FALSE))/(VLOOKUP(Main_S[[#This Row],[Industry]], Mean_ROA_S, 3, FALSE))</f>
        <v>0.83161795142343786</v>
      </c>
      <c r="S68" s="1">
        <f>(Main_S[[#This Row],[A/E]]-VLOOKUP(Main_S[[#This Row],[Industry]], Mean_AE_S, 2, FALSE))/(VLOOKUP(Main_S[[#This Row],[Industry]], Mean_AE_S, 3, FALSE))</f>
        <v>-0.29308938391968847</v>
      </c>
      <c r="T68" s="1">
        <f>(Main_S[[#This Row],[P/E]]-VLOOKUP(Main_S[[#This Row],[Industry]], Mean_PE_S, 2, FALSE))/(VLOOKUP(Main_S[[#This Row],[Industry]], Mean_PE_S, 3, FALSE))</f>
        <v>3.6324803872515465E-2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107</v>
      </c>
      <c r="B69" t="s">
        <v>274</v>
      </c>
      <c r="C69" s="2">
        <v>861</v>
      </c>
      <c r="D69">
        <f>RTD("tos.rtd", , "LAST", Main_S[[#This Row],[Symbol]])</f>
        <v>22.16</v>
      </c>
      <c r="E69">
        <v>1.62</v>
      </c>
      <c r="F69">
        <v>-1.41</v>
      </c>
      <c r="G69">
        <v>0.52</v>
      </c>
      <c r="H69" s="1">
        <f>IF(ISNUMBER(Main_S[[#This Row],[Free CF]]),IF(Main_S[[#This Row],[Free CF]]&lt;&gt;0,Main_S[[#This Row],[Current Price]]/Main_S[[#This Row],[Free CF]],""),"")</f>
        <v>13.679012345679011</v>
      </c>
      <c r="I69" s="1">
        <f>IF(ISNUMBER(Main_S[[#This Row],[BVPS]]),IF(Main_S[[#This Row],[BVPS]]&lt;&gt;0,Main_S[[#This Row],[Current Price]]/Main_S[[#This Row],[BVPS]],""),"")</f>
        <v>-15.716312056737589</v>
      </c>
      <c r="J69">
        <v>752.45</v>
      </c>
      <c r="K69">
        <v>3.81</v>
      </c>
      <c r="L69">
        <v>-20.73</v>
      </c>
      <c r="M69" s="1">
        <f>IF(ISNUMBER(Main_S[[#This Row],[EPS]]),IF(Main_S[[#This Row],[EPS]]&lt;&gt;0,Main_S[[#This Row],[Current Price]]/Main_S[[#This Row],[EPS]],""),"")</f>
        <v>42.615384615384613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1.622963696497977</v>
      </c>
      <c r="P69" s="1">
        <f>(Main_S[[#This Row],[P/B]]-VLOOKUP(Main_S[[#This Row],[Industry]], Mean_PB_S, 2, FALSE))/(VLOOKUP(Main_S[[#This Row],[Industry]], Mean_PB_S, 3, FALSE))</f>
        <v>-24.28045442746825</v>
      </c>
      <c r="Q69" s="1">
        <f>(Main_S[[#This Row],[ROE]]-VLOOKUP(Main_S[[#This Row],[Industry]], Mean_ROE_S, 2, FALSE))/(VLOOKUP(Main_S[[#This Row],[Industry]], Mean_ROE_S, 3, FALSE))</f>
        <v>38.440141652086311</v>
      </c>
      <c r="R69" s="1">
        <f>(Main_S[[#This Row],[ROA]]-VLOOKUP(Main_S[[#This Row],[Industry]], Mean_ROA_S, 2, FALSE))/(VLOOKUP(Main_S[[#This Row],[Industry]], Mean_ROA_S, 3, FALSE))</f>
        <v>-9.284799984889458E-2</v>
      </c>
      <c r="S69" s="1">
        <f>(Main_S[[#This Row],[A/E]]-VLOOKUP(Main_S[[#This Row],[Industry]], Mean_AE_S, 2, FALSE))/(VLOOKUP(Main_S[[#This Row],[Industry]], Mean_AE_S, 3, FALSE))</f>
        <v>-17.945550129183697</v>
      </c>
      <c r="T69" s="1">
        <f>(Main_S[[#This Row],[P/E]]-VLOOKUP(Main_S[[#This Row],[Industry]], Mean_PE_S, 2, FALSE))/(VLOOKUP(Main_S[[#This Row],[Industry]], Mean_PE_S, 3, FALSE))</f>
        <v>4.0470649020046192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0" spans="1:26" x14ac:dyDescent="0.25">
      <c r="A70" t="s">
        <v>107</v>
      </c>
      <c r="B70" t="s">
        <v>275</v>
      </c>
      <c r="C70" s="2">
        <v>320</v>
      </c>
      <c r="D70">
        <f>RTD("tos.rtd", , "LAST", Main_S[[#This Row],[Symbol]])</f>
        <v>6.66</v>
      </c>
      <c r="E70">
        <v>-0.77</v>
      </c>
      <c r="F70">
        <v>14.17</v>
      </c>
      <c r="G70">
        <v>1.82</v>
      </c>
      <c r="H70" s="1">
        <f>IF(ISNUMBER(Main_S[[#This Row],[Free CF]]),IF(Main_S[[#This Row],[Free CF]]&lt;&gt;0,Main_S[[#This Row],[Current Price]]/Main_S[[#This Row],[Free CF]],""),"")</f>
        <v>-8.6493506493506498</v>
      </c>
      <c r="I70" s="1">
        <f>IF(ISNUMBER(Main_S[[#This Row],[BVPS]]),IF(Main_S[[#This Row],[BVPS]]&lt;&gt;0,Main_S[[#This Row],[Current Price]]/Main_S[[#This Row],[BVPS]],""),"")</f>
        <v>0.47000705716302049</v>
      </c>
      <c r="J70">
        <v>12.86</v>
      </c>
      <c r="K70">
        <v>4.74</v>
      </c>
      <c r="L70">
        <v>2.95</v>
      </c>
      <c r="M70" s="1">
        <f>IF(ISNUMBER(Main_S[[#This Row],[EPS]]),IF(Main_S[[#This Row],[EPS]]&lt;&gt;0,Main_S[[#This Row],[Current Price]]/Main_S[[#This Row],[EPS]],""),"")</f>
        <v>3.6593406593406592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-1.3485028444032803</v>
      </c>
      <c r="P70" s="1">
        <f>(Main_S[[#This Row],[P/B]]-VLOOKUP(Main_S[[#This Row],[Industry]], Mean_PB_S, 2, FALSE))/(VLOOKUP(Main_S[[#This Row],[Industry]], Mean_PB_S, 3, FALSE))</f>
        <v>-1.0734664601874471</v>
      </c>
      <c r="Q70" s="1">
        <f>(Main_S[[#This Row],[ROE]]-VLOOKUP(Main_S[[#This Row],[Industry]], Mean_ROE_S, 2, FALSE))/(VLOOKUP(Main_S[[#This Row],[Industry]], Mean_ROE_S, 3, FALSE))</f>
        <v>0.2229056532709828</v>
      </c>
      <c r="R70" s="1">
        <f>(Main_S[[#This Row],[ROA]]-VLOOKUP(Main_S[[#This Row],[Industry]], Mean_ROA_S, 2, FALSE))/(VLOOKUP(Main_S[[#This Row],[Industry]], Mean_ROA_S, 3, FALSE))</f>
        <v>7.9447257602662372E-2</v>
      </c>
      <c r="S70" s="1">
        <f>(Main_S[[#This Row],[A/E]]-VLOOKUP(Main_S[[#This Row],[Industry]], Mean_AE_S, 2, FALSE))/(VLOOKUP(Main_S[[#This Row],[Industry]], Mean_AE_S, 3, FALSE))</f>
        <v>0.57506442322444318</v>
      </c>
      <c r="T70" s="1">
        <f>(Main_S[[#This Row],[P/E]]-VLOOKUP(Main_S[[#This Row],[Industry]], Mean_PE_S, 2, FALSE))/(VLOOKUP(Main_S[[#This Row],[Industry]], Mean_PE_S, 3, FALSE))</f>
        <v>-3.5096000740847656E-2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107</v>
      </c>
      <c r="B71" t="s">
        <v>276</v>
      </c>
      <c r="C71" s="2">
        <v>1808</v>
      </c>
      <c r="D71">
        <f>RTD("tos.rtd", , "LAST", Main_S[[#This Row],[Symbol]])</f>
        <v>9.33</v>
      </c>
      <c r="E71">
        <v>-3.38</v>
      </c>
      <c r="F71">
        <v>6.14</v>
      </c>
      <c r="G71">
        <v>4.4400000000000004</v>
      </c>
      <c r="H71" s="1">
        <f>IF(ISNUMBER(Main_S[[#This Row],[Free CF]]),IF(Main_S[[#This Row],[Free CF]]&lt;&gt;0,Main_S[[#This Row],[Current Price]]/Main_S[[#This Row],[Free CF]],""),"")</f>
        <v>-2.7603550295857988</v>
      </c>
      <c r="I71" s="1">
        <f>IF(ISNUMBER(Main_S[[#This Row],[BVPS]]),IF(Main_S[[#This Row],[BVPS]]&lt;&gt;0,Main_S[[#This Row],[Current Price]]/Main_S[[#This Row],[BVPS]],""),"")</f>
        <v>1.5195439739413681</v>
      </c>
      <c r="J71">
        <v>49.06</v>
      </c>
      <c r="K71">
        <v>6.3</v>
      </c>
      <c r="L71">
        <v>3.28</v>
      </c>
      <c r="M71" s="1">
        <f>IF(ISNUMBER(Main_S[[#This Row],[EPS]]),IF(Main_S[[#This Row],[EPS]]&lt;&gt;0,Main_S[[#This Row],[Current Price]]/Main_S[[#This Row],[EPS]],""),"")</f>
        <v>2.1013513513513513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-0.56479319907278203</v>
      </c>
      <c r="P71" s="1">
        <f>(Main_S[[#This Row],[P/B]]-VLOOKUP(Main_S[[#This Row],[Industry]], Mean_PB_S, 2, FALSE))/(VLOOKUP(Main_S[[#This Row],[Industry]], Mean_PB_S, 3, FALSE))</f>
        <v>0.43129755858041269</v>
      </c>
      <c r="Q71" s="1">
        <f>(Main_S[[#This Row],[ROE]]-VLOOKUP(Main_S[[#This Row],[Industry]], Mean_ROE_S, 2, FALSE))/(VLOOKUP(Main_S[[#This Row],[Industry]], Mean_ROE_S, 3, FALSE))</f>
        <v>2.0934879260939181</v>
      </c>
      <c r="R71" s="1">
        <f>(Main_S[[#This Row],[ROA]]-VLOOKUP(Main_S[[#This Row],[Industry]], Mean_ROA_S, 2, FALSE))/(VLOOKUP(Main_S[[#This Row],[Industry]], Mean_ROA_S, 3, FALSE))</f>
        <v>0.36845865719882231</v>
      </c>
      <c r="S71" s="1">
        <f>(Main_S[[#This Row],[A/E]]-VLOOKUP(Main_S[[#This Row],[Industry]], Mean_AE_S, 2, FALSE))/(VLOOKUP(Main_S[[#This Row],[Industry]], Mean_AE_S, 3, FALSE))</f>
        <v>0.83316420372675226</v>
      </c>
      <c r="T71" s="1">
        <f>(Main_S[[#This Row],[P/E]]-VLOOKUP(Main_S[[#This Row],[Industry]], Mean_PE_S, 2, FALSE))/(VLOOKUP(Main_S[[#This Row],[Industry]], Mean_PE_S, 3, FALSE))</f>
        <v>-0.19835598286700196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107</v>
      </c>
      <c r="B72" t="s">
        <v>277</v>
      </c>
      <c r="C72" s="2">
        <v>1780</v>
      </c>
      <c r="D72">
        <f>RTD("tos.rtd", , "LAST", Main_S[[#This Row],[Symbol]])</f>
        <v>11.32</v>
      </c>
      <c r="E72">
        <v>1.25</v>
      </c>
      <c r="F72">
        <v>6.49</v>
      </c>
      <c r="G72">
        <v>1.1200000000000001</v>
      </c>
      <c r="H72" s="1">
        <f>IF(ISNUMBER(Main_S[[#This Row],[Free CF]]),IF(Main_S[[#This Row],[Free CF]]&lt;&gt;0,Main_S[[#This Row],[Current Price]]/Main_S[[#This Row],[Free CF]],""),"")</f>
        <v>9.0560000000000009</v>
      </c>
      <c r="I72" s="1">
        <f>IF(ISNUMBER(Main_S[[#This Row],[BVPS]]),IF(Main_S[[#This Row],[BVPS]]&lt;&gt;0,Main_S[[#This Row],[Current Price]]/Main_S[[#This Row],[BVPS]],""),"")</f>
        <v>1.7442218798151001</v>
      </c>
      <c r="J72">
        <v>17.5</v>
      </c>
      <c r="K72">
        <v>7.67</v>
      </c>
      <c r="L72">
        <v>1.43</v>
      </c>
      <c r="M72" s="1">
        <f>IF(ISNUMBER(Main_S[[#This Row],[EPS]]),IF(Main_S[[#This Row],[EPS]]&lt;&gt;0,Main_S[[#This Row],[Current Price]]/Main_S[[#This Row],[EPS]],""),"")</f>
        <v>10.107142857142856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1.0077315585030633</v>
      </c>
      <c r="P72" s="1">
        <f>(Main_S[[#This Row],[P/B]]-VLOOKUP(Main_S[[#This Row],[Industry]], Mean_PB_S, 2, FALSE))/(VLOOKUP(Main_S[[#This Row],[Industry]], Mean_PB_S, 3, FALSE))</f>
        <v>0.75342746479533129</v>
      </c>
      <c r="Q72" s="1">
        <f>(Main_S[[#This Row],[ROE]]-VLOOKUP(Main_S[[#This Row],[Industry]], Mean_ROE_S, 2, FALSE))/(VLOOKUP(Main_S[[#This Row],[Industry]], Mean_ROE_S, 3, FALSE))</f>
        <v>0.46267089487038671</v>
      </c>
      <c r="R72" s="1">
        <f>(Main_S[[#This Row],[ROA]]-VLOOKUP(Main_S[[#This Row],[Industry]], Mean_ROA_S, 2, FALSE))/(VLOOKUP(Main_S[[#This Row],[Industry]], Mean_ROA_S, 3, FALSE))</f>
        <v>0.62226995043391153</v>
      </c>
      <c r="S72" s="1">
        <f>(Main_S[[#This Row],[A/E]]-VLOOKUP(Main_S[[#This Row],[Industry]], Mean_AE_S, 2, FALSE))/(VLOOKUP(Main_S[[#This Row],[Industry]], Mean_AE_S, 3, FALSE))</f>
        <v>-0.61375880818013351</v>
      </c>
      <c r="T72" s="1">
        <f>(Main_S[[#This Row],[P/E]]-VLOOKUP(Main_S[[#This Row],[Industry]], Mean_PE_S, 2, FALSE))/(VLOOKUP(Main_S[[#This Row],[Industry]], Mean_PE_S, 3, FALSE))</f>
        <v>0.64056208379678348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107</v>
      </c>
      <c r="B73" t="s">
        <v>278</v>
      </c>
      <c r="C73" s="2">
        <v>777</v>
      </c>
      <c r="D73">
        <f>RTD("tos.rtd", , "LAST", Main_S[[#This Row],[Symbol]])</f>
        <v>24.43</v>
      </c>
      <c r="E73">
        <v>5.0599999999999996</v>
      </c>
      <c r="F73">
        <v>12.75</v>
      </c>
      <c r="G73">
        <v>3.38</v>
      </c>
      <c r="H73" s="1">
        <f>IF(ISNUMBER(Main_S[[#This Row],[Free CF]]),IF(Main_S[[#This Row],[Free CF]]&lt;&gt;0,Main_S[[#This Row],[Current Price]]/Main_S[[#This Row],[Free CF]],""),"")</f>
        <v>4.8280632411067197</v>
      </c>
      <c r="I73" s="1">
        <f>IF(ISNUMBER(Main_S[[#This Row],[BVPS]]),IF(Main_S[[#This Row],[BVPS]]&lt;&gt;0,Main_S[[#This Row],[Current Price]]/Main_S[[#This Row],[BVPS]],""),"")</f>
        <v>1.916078431372549</v>
      </c>
      <c r="J73">
        <v>26.6</v>
      </c>
      <c r="K73">
        <v>9.2100000000000009</v>
      </c>
      <c r="L73">
        <v>2.64</v>
      </c>
      <c r="M73" s="1">
        <f>IF(ISNUMBER(Main_S[[#This Row],[EPS]]),IF(Main_S[[#This Row],[EPS]]&lt;&gt;0,Main_S[[#This Row],[Current Price]]/Main_S[[#This Row],[EPS]],""),"")</f>
        <v>7.2278106508875739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0.44507622103410144</v>
      </c>
      <c r="P73" s="1">
        <f>(Main_S[[#This Row],[P/B]]-VLOOKUP(Main_S[[#This Row],[Industry]], Mean_PB_S, 2, FALSE))/(VLOOKUP(Main_S[[#This Row],[Industry]], Mean_PB_S, 3, FALSE))</f>
        <v>0.9998252341724968</v>
      </c>
      <c r="Q73" s="1">
        <f>(Main_S[[#This Row],[ROE]]-VLOOKUP(Main_S[[#This Row],[Industry]], Mean_ROE_S, 2, FALSE))/(VLOOKUP(Main_S[[#This Row],[Industry]], Mean_ROE_S, 3, FALSE))</f>
        <v>0.93290014024852808</v>
      </c>
      <c r="R73" s="1">
        <f>(Main_S[[#This Row],[ROA]]-VLOOKUP(Main_S[[#This Row],[Industry]], Mean_ROA_S, 2, FALSE))/(VLOOKUP(Main_S[[#This Row],[Industry]], Mean_ROA_S, 3, FALSE))</f>
        <v>0.90757607567627485</v>
      </c>
      <c r="S73" s="1">
        <f>(Main_S[[#This Row],[A/E]]-VLOOKUP(Main_S[[#This Row],[Industry]], Mean_AE_S, 2, FALSE))/(VLOOKUP(Main_S[[#This Row],[Industry]], Mean_AE_S, 3, FALSE))</f>
        <v>0.33260705366166765</v>
      </c>
      <c r="T73" s="1">
        <f>(Main_S[[#This Row],[P/E]]-VLOOKUP(Main_S[[#This Row],[Industry]], Mean_PE_S, 2, FALSE))/(VLOOKUP(Main_S[[#This Row],[Industry]], Mean_PE_S, 3, FALSE))</f>
        <v>0.33884003595091727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107</v>
      </c>
      <c r="B74" t="s">
        <v>279</v>
      </c>
      <c r="C74" s="2">
        <v>799</v>
      </c>
      <c r="D74">
        <f>RTD("tos.rtd", , "LAST", Main_S[[#This Row],[Symbol]])</f>
        <v>29.8</v>
      </c>
      <c r="E74">
        <v>5.16</v>
      </c>
      <c r="F74">
        <v>20.45</v>
      </c>
      <c r="G74">
        <v>1.27</v>
      </c>
      <c r="H74" s="1">
        <f>IF(ISNUMBER(Main_S[[#This Row],[Free CF]]),IF(Main_S[[#This Row],[Free CF]]&lt;&gt;0,Main_S[[#This Row],[Current Price]]/Main_S[[#This Row],[Free CF]],""),"")</f>
        <v>5.775193798449612</v>
      </c>
      <c r="I74" s="1">
        <f>IF(ISNUMBER(Main_S[[#This Row],[BVPS]]),IF(Main_S[[#This Row],[BVPS]]&lt;&gt;0,Main_S[[#This Row],[Current Price]]/Main_S[[#This Row],[BVPS]],""),"")</f>
        <v>1.4572127139364304</v>
      </c>
      <c r="J74">
        <v>8.2799999999999994</v>
      </c>
      <c r="K74">
        <v>4.68</v>
      </c>
      <c r="L74">
        <v>5.91</v>
      </c>
      <c r="M74" s="1">
        <f>IF(ISNUMBER(Main_S[[#This Row],[EPS]]),IF(Main_S[[#This Row],[EPS]]&lt;&gt;0,Main_S[[#This Row],[Current Price]]/Main_S[[#This Row],[EPS]],""),"")</f>
        <v>23.464566929133859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0.5711206946767079</v>
      </c>
      <c r="P74" s="1">
        <f>(Main_S[[#This Row],[P/B]]-VLOOKUP(Main_S[[#This Row],[Industry]], Mean_PB_S, 2, FALSE))/(VLOOKUP(Main_S[[#This Row],[Industry]], Mean_PB_S, 3, FALSE))</f>
        <v>0.34193068086466405</v>
      </c>
      <c r="Q74" s="1">
        <f>(Main_S[[#This Row],[ROE]]-VLOOKUP(Main_S[[#This Row],[Industry]], Mean_ROE_S, 2, FALSE))/(VLOOKUP(Main_S[[#This Row],[Industry]], Mean_ROE_S, 3, FALSE))</f>
        <v>-1.3759175721532204E-2</v>
      </c>
      <c r="R74" s="1">
        <f>(Main_S[[#This Row],[ROA]]-VLOOKUP(Main_S[[#This Row],[Industry]], Mean_ROA_S, 2, FALSE))/(VLOOKUP(Main_S[[#This Row],[Industry]], Mean_ROA_S, 3, FALSE))</f>
        <v>6.833143454127151E-2</v>
      </c>
      <c r="S74" s="1">
        <f>(Main_S[[#This Row],[A/E]]-VLOOKUP(Main_S[[#This Row],[Industry]], Mean_AE_S, 2, FALSE))/(VLOOKUP(Main_S[[#This Row],[Industry]], Mean_AE_S, 3, FALSE))</f>
        <v>2.8901412422754609</v>
      </c>
      <c r="T74" s="1">
        <f>(Main_S[[#This Row],[P/E]]-VLOOKUP(Main_S[[#This Row],[Industry]], Mean_PE_S, 2, FALSE))/(VLOOKUP(Main_S[[#This Row],[Industry]], Mean_PE_S, 3, FALSE))</f>
        <v>2.0402718276711491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107</v>
      </c>
      <c r="B75" t="s">
        <v>280</v>
      </c>
      <c r="C75" s="2">
        <v>1296</v>
      </c>
      <c r="D75">
        <f>RTD("tos.rtd", , "LAST", Main_S[[#This Row],[Symbol]])</f>
        <v>24.34</v>
      </c>
      <c r="E75">
        <v>3.39</v>
      </c>
      <c r="F75">
        <v>14.91</v>
      </c>
      <c r="G75">
        <v>2.1800000000000002</v>
      </c>
      <c r="H75" s="1">
        <f>IF(ISNUMBER(Main_S[[#This Row],[Free CF]]),IF(Main_S[[#This Row],[Free CF]]&lt;&gt;0,Main_S[[#This Row],[Current Price]]/Main_S[[#This Row],[Free CF]],""),"")</f>
        <v>7.1799410029498523</v>
      </c>
      <c r="I75" s="1">
        <f>IF(ISNUMBER(Main_S[[#This Row],[BVPS]]),IF(Main_S[[#This Row],[BVPS]]&lt;&gt;0,Main_S[[#This Row],[Current Price]]/Main_S[[#This Row],[BVPS]],""),"")</f>
        <v>1.6324614352783366</v>
      </c>
      <c r="J75">
        <v>14.23</v>
      </c>
      <c r="K75">
        <v>4.5999999999999996</v>
      </c>
      <c r="L75">
        <v>3.31</v>
      </c>
      <c r="M75" s="1">
        <f>IF(ISNUMBER(Main_S[[#This Row],[EPS]]),IF(Main_S[[#This Row],[EPS]]&lt;&gt;0,Main_S[[#This Row],[Current Price]]/Main_S[[#This Row],[EPS]],""),"")</f>
        <v>11.165137614678898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0.75806495554913345</v>
      </c>
      <c r="P75" s="1">
        <f>(Main_S[[#This Row],[P/B]]-VLOOKUP(Main_S[[#This Row],[Industry]], Mean_PB_S, 2, FALSE))/(VLOOKUP(Main_S[[#This Row],[Industry]], Mean_PB_S, 3, FALSE))</f>
        <v>0.59319194285042831</v>
      </c>
      <c r="Q75" s="1">
        <f>(Main_S[[#This Row],[ROE]]-VLOOKUP(Main_S[[#This Row],[Industry]], Mean_ROE_S, 2, FALSE))/(VLOOKUP(Main_S[[#This Row],[Industry]], Mean_ROE_S, 3, FALSE))</f>
        <v>0.29369840779494477</v>
      </c>
      <c r="R75" s="1">
        <f>(Main_S[[#This Row],[ROA]]-VLOOKUP(Main_S[[#This Row],[Industry]], Mean_ROA_S, 2, FALSE))/(VLOOKUP(Main_S[[#This Row],[Industry]], Mean_ROA_S, 3, FALSE))</f>
        <v>5.3510337126083808E-2</v>
      </c>
      <c r="S75" s="1">
        <f>(Main_S[[#This Row],[A/E]]-VLOOKUP(Main_S[[#This Row],[Industry]], Mean_AE_S, 2, FALSE))/(VLOOKUP(Main_S[[#This Row],[Industry]], Mean_AE_S, 3, FALSE))</f>
        <v>0.85662782013605332</v>
      </c>
      <c r="T75" s="1">
        <f>(Main_S[[#This Row],[P/E]]-VLOOKUP(Main_S[[#This Row],[Industry]], Mean_PE_S, 2, FALSE))/(VLOOKUP(Main_S[[#This Row],[Industry]], Mean_PE_S, 3, FALSE))</f>
        <v>0.75142818815267065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107</v>
      </c>
      <c r="B76" t="s">
        <v>281</v>
      </c>
      <c r="C76" s="2">
        <v>1760</v>
      </c>
      <c r="D76">
        <f>RTD("tos.rtd", , "LAST", Main_S[[#This Row],[Symbol]])</f>
        <v>15.27</v>
      </c>
      <c r="E76">
        <v>-2.31</v>
      </c>
      <c r="F76">
        <v>2.36</v>
      </c>
      <c r="G76">
        <v>-1.24</v>
      </c>
      <c r="H76" s="1">
        <f>IF(ISNUMBER(Main_S[[#This Row],[Free CF]]),IF(Main_S[[#This Row],[Free CF]]&lt;&gt;0,Main_S[[#This Row],[Current Price]]/Main_S[[#This Row],[Free CF]],""),"")</f>
        <v>-6.6103896103896105</v>
      </c>
      <c r="I76" s="1">
        <f>IF(ISNUMBER(Main_S[[#This Row],[BVPS]]),IF(Main_S[[#This Row],[BVPS]]&lt;&gt;0,Main_S[[#This Row],[Current Price]]/Main_S[[#This Row],[BVPS]],""),"")</f>
        <v>6.4703389830508478</v>
      </c>
      <c r="J76">
        <v>-2.0499999999999998</v>
      </c>
      <c r="K76">
        <v>2.2799999999999998</v>
      </c>
      <c r="L76">
        <v>24.32</v>
      </c>
      <c r="M76" s="1">
        <f>IF(ISNUMBER(Main_S[[#This Row],[EPS]]),IF(Main_S[[#This Row],[EPS]]&lt;&gt;0,Main_S[[#This Row],[Current Price]]/Main_S[[#This Row],[EPS]],""),"")</f>
        <v>-12.314516129032258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-1.0771571793931463</v>
      </c>
      <c r="P76" s="1">
        <f>(Main_S[[#This Row],[P/B]]-VLOOKUP(Main_S[[#This Row],[Industry]], Mean_PB_S, 2, FALSE))/(VLOOKUP(Main_S[[#This Row],[Industry]], Mean_PB_S, 3, FALSE))</f>
        <v>7.5294549219928788</v>
      </c>
      <c r="Q76" s="1">
        <f>(Main_S[[#This Row],[ROE]]-VLOOKUP(Main_S[[#This Row],[Industry]], Mean_ROE_S, 2, FALSE))/(VLOOKUP(Main_S[[#This Row],[Industry]], Mean_ROE_S, 3, FALSE))</f>
        <v>-0.54754687954089454</v>
      </c>
      <c r="R76" s="1">
        <f>(Main_S[[#This Row],[ROA]]-VLOOKUP(Main_S[[#This Row],[Industry]], Mean_ROA_S, 2, FALSE))/(VLOOKUP(Main_S[[#This Row],[Industry]], Mean_ROA_S, 3, FALSE))</f>
        <v>-0.37630148791435925</v>
      </c>
      <c r="S76" s="1">
        <f>(Main_S[[#This Row],[A/E]]-VLOOKUP(Main_S[[#This Row],[Industry]], Mean_AE_S, 2, FALSE))/(VLOOKUP(Main_S[[#This Row],[Industry]], Mean_AE_S, 3, FALSE))</f>
        <v>17.288980512116417</v>
      </c>
      <c r="T76" s="1">
        <f>(Main_S[[#This Row],[P/E]]-VLOOKUP(Main_S[[#This Row],[Industry]], Mean_PE_S, 2, FALSE))/(VLOOKUP(Main_S[[#This Row],[Industry]], Mean_PE_S, 3, FALSE))</f>
        <v>-1.7089788447259417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107</v>
      </c>
      <c r="B77" t="s">
        <v>282</v>
      </c>
      <c r="C77" s="2">
        <v>1694</v>
      </c>
      <c r="D77">
        <f>RTD("tos.rtd", , "LAST", Main_S[[#This Row],[Symbol]])</f>
        <v>48.71</v>
      </c>
      <c r="E77">
        <v>-8.4700000000000006</v>
      </c>
      <c r="F77">
        <v>19.05</v>
      </c>
      <c r="G77">
        <v>2.41</v>
      </c>
      <c r="H77" s="1">
        <f>IF(ISNUMBER(Main_S[[#This Row],[Free CF]]),IF(Main_S[[#This Row],[Free CF]]&lt;&gt;0,Main_S[[#This Row],[Current Price]]/Main_S[[#This Row],[Free CF]],""),"")</f>
        <v>-5.7508854781582048</v>
      </c>
      <c r="I77" s="1">
        <f>IF(ISNUMBER(Main_S[[#This Row],[BVPS]]),IF(Main_S[[#This Row],[BVPS]]&lt;&gt;0,Main_S[[#This Row],[Current Price]]/Main_S[[#This Row],[BVPS]],""),"")</f>
        <v>2.5569553805774277</v>
      </c>
      <c r="J77">
        <v>14.2</v>
      </c>
      <c r="K77">
        <v>4.1900000000000004</v>
      </c>
      <c r="L77">
        <v>5.91</v>
      </c>
      <c r="M77" s="1">
        <f>IF(ISNUMBER(Main_S[[#This Row],[EPS]]),IF(Main_S[[#This Row],[EPS]]&lt;&gt;0,Main_S[[#This Row],[Current Price]]/Main_S[[#This Row],[EPS]],""),"")</f>
        <v>20.21161825726141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-0.96277406177451397</v>
      </c>
      <c r="P77" s="1">
        <f>(Main_S[[#This Row],[P/B]]-VLOOKUP(Main_S[[#This Row],[Industry]], Mean_PB_S, 2, FALSE))/(VLOOKUP(Main_S[[#This Row],[Industry]], Mean_PB_S, 3, FALSE))</f>
        <v>1.9186767373491922</v>
      </c>
      <c r="Q77" s="1">
        <f>(Main_S[[#This Row],[ROE]]-VLOOKUP(Main_S[[#This Row],[Industry]], Mean_ROE_S, 2, FALSE))/(VLOOKUP(Main_S[[#This Row],[Industry]], Mean_ROE_S, 3, FALSE))</f>
        <v>0.29214820149150028</v>
      </c>
      <c r="R77" s="1">
        <f>(Main_S[[#This Row],[ROA]]-VLOOKUP(Main_S[[#This Row],[Industry]], Mean_ROA_S, 2, FALSE))/(VLOOKUP(Main_S[[#This Row],[Industry]], Mean_ROA_S, 3, FALSE))</f>
        <v>-2.244778712675298E-2</v>
      </c>
      <c r="S77" s="1">
        <f>(Main_S[[#This Row],[A/E]]-VLOOKUP(Main_S[[#This Row],[Industry]], Mean_AE_S, 2, FALSE))/(VLOOKUP(Main_S[[#This Row],[Industry]], Mean_AE_S, 3, FALSE))</f>
        <v>2.8901412422754609</v>
      </c>
      <c r="T77" s="1">
        <f>(Main_S[[#This Row],[P/E]]-VLOOKUP(Main_S[[#This Row],[Industry]], Mean_PE_S, 2, FALSE))/(VLOOKUP(Main_S[[#This Row],[Industry]], Mean_PE_S, 3, FALSE))</f>
        <v>1.699398922251417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t="s">
        <v>107</v>
      </c>
      <c r="B78" t="s">
        <v>283</v>
      </c>
      <c r="C78" s="2">
        <v>1785</v>
      </c>
      <c r="D78">
        <f>RTD("tos.rtd", , "LAST", Main_S[[#This Row],[Symbol]])</f>
        <v>38.71</v>
      </c>
      <c r="E78">
        <v>5.42</v>
      </c>
      <c r="F78">
        <v>37.729999999999997</v>
      </c>
      <c r="G78">
        <v>8.3800000000000008</v>
      </c>
      <c r="H78" s="1">
        <f>IF(ISNUMBER(Main_S[[#This Row],[Free CF]]),IF(Main_S[[#This Row],[Free CF]]&lt;&gt;0,Main_S[[#This Row],[Current Price]]/Main_S[[#This Row],[Free CF]],""),"")</f>
        <v>7.1420664206642073</v>
      </c>
      <c r="I78" s="1">
        <f>IF(ISNUMBER(Main_S[[#This Row],[BVPS]]),IF(Main_S[[#This Row],[BVPS]]&lt;&gt;0,Main_S[[#This Row],[Current Price]]/Main_S[[#This Row],[BVPS]],""),"")</f>
        <v>1.025974025974026</v>
      </c>
      <c r="J78">
        <v>23.33</v>
      </c>
      <c r="K78">
        <v>10.23</v>
      </c>
      <c r="L78">
        <v>1.42</v>
      </c>
      <c r="M78" s="1">
        <f>IF(ISNUMBER(Main_S[[#This Row],[EPS]]),IF(Main_S[[#This Row],[EPS]]&lt;&gt;0,Main_S[[#This Row],[Current Price]]/Main_S[[#This Row],[EPS]],""),"")</f>
        <v>4.6193317422434363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0.75302459257951238</v>
      </c>
      <c r="P78" s="1">
        <f>(Main_S[[#This Row],[P/B]]-VLOOKUP(Main_S[[#This Row],[Industry]], Mean_PB_S, 2, FALSE))/(VLOOKUP(Main_S[[#This Row],[Industry]], Mean_PB_S, 3, FALSE))</f>
        <v>-0.27635386994311945</v>
      </c>
      <c r="Q78" s="1">
        <f>(Main_S[[#This Row],[ROE]]-VLOOKUP(Main_S[[#This Row],[Industry]], Mean_ROE_S, 2, FALSE))/(VLOOKUP(Main_S[[#This Row],[Industry]], Mean_ROE_S, 3, FALSE))</f>
        <v>0.76392765317308586</v>
      </c>
      <c r="R78" s="1">
        <f>(Main_S[[#This Row],[ROA]]-VLOOKUP(Main_S[[#This Row],[Industry]], Mean_ROA_S, 2, FALSE))/(VLOOKUP(Main_S[[#This Row],[Industry]], Mean_ROA_S, 3, FALSE))</f>
        <v>1.0965450677199178</v>
      </c>
      <c r="S78" s="1">
        <f>(Main_S[[#This Row],[A/E]]-VLOOKUP(Main_S[[#This Row],[Industry]], Mean_AE_S, 2, FALSE))/(VLOOKUP(Main_S[[#This Row],[Industry]], Mean_AE_S, 3, FALSE))</f>
        <v>-0.62158001364990056</v>
      </c>
      <c r="T78" s="1">
        <f>(Main_S[[#This Row],[P/E]]-VLOOKUP(Main_S[[#This Row],[Industry]], Mean_PE_S, 2, FALSE))/(VLOOKUP(Main_S[[#This Row],[Industry]], Mean_PE_S, 3, FALSE))</f>
        <v>6.5500406585107182E-2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107</v>
      </c>
      <c r="B79" t="s">
        <v>284</v>
      </c>
      <c r="C79" s="2">
        <v>912</v>
      </c>
      <c r="D79">
        <f>RTD("tos.rtd", , "LAST", Main_S[[#This Row],[Symbol]])</f>
        <v>23.7</v>
      </c>
      <c r="E79">
        <v>5.92</v>
      </c>
      <c r="F79">
        <v>24.96</v>
      </c>
      <c r="G79">
        <v>3.87</v>
      </c>
      <c r="H79" s="1">
        <f>IF(ISNUMBER(Main_S[[#This Row],[Free CF]]),IF(Main_S[[#This Row],[Free CF]]&lt;&gt;0,Main_S[[#This Row],[Current Price]]/Main_S[[#This Row],[Free CF]],""),"")</f>
        <v>4.0033783783783781</v>
      </c>
      <c r="I79" s="1">
        <f>IF(ISNUMBER(Main_S[[#This Row],[BVPS]]),IF(Main_S[[#This Row],[BVPS]]&lt;&gt;0,Main_S[[#This Row],[Current Price]]/Main_S[[#This Row],[BVPS]],""),"")</f>
        <v>0.94951923076923073</v>
      </c>
      <c r="J79">
        <v>15.72</v>
      </c>
      <c r="K79">
        <v>6.19</v>
      </c>
      <c r="L79">
        <v>1.7</v>
      </c>
      <c r="M79" s="1">
        <f>IF(ISNUMBER(Main_S[[#This Row],[EPS]]),IF(Main_S[[#This Row],[EPS]]&lt;&gt;0,Main_S[[#This Row],[Current Price]]/Main_S[[#This Row],[EPS]],""),"")</f>
        <v>6.1240310077519373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0.3353268642661868</v>
      </c>
      <c r="P79" s="1">
        <f>(Main_S[[#This Row],[P/B]]-VLOOKUP(Main_S[[#This Row],[Industry]], Mean_PB_S, 2, FALSE))/(VLOOKUP(Main_S[[#This Row],[Industry]], Mean_PB_S, 3, FALSE))</f>
        <v>-0.38597023793100049</v>
      </c>
      <c r="Q79" s="1">
        <f>(Main_S[[#This Row],[ROE]]-VLOOKUP(Main_S[[#This Row],[Industry]], Mean_ROE_S, 2, FALSE))/(VLOOKUP(Main_S[[#This Row],[Industry]], Mean_ROE_S, 3, FALSE))</f>
        <v>0.3706919875326844</v>
      </c>
      <c r="R79" s="1">
        <f>(Main_S[[#This Row],[ROA]]-VLOOKUP(Main_S[[#This Row],[Industry]], Mean_ROA_S, 2, FALSE))/(VLOOKUP(Main_S[[#This Row],[Industry]], Mean_ROA_S, 3, FALSE))</f>
        <v>0.34807964825293936</v>
      </c>
      <c r="S79" s="1">
        <f>(Main_S[[#This Row],[A/E]]-VLOOKUP(Main_S[[#This Row],[Industry]], Mean_AE_S, 2, FALSE))/(VLOOKUP(Main_S[[#This Row],[Industry]], Mean_AE_S, 3, FALSE))</f>
        <v>-0.40258626049642587</v>
      </c>
      <c r="T79" s="1">
        <f>(Main_S[[#This Row],[P/E]]-VLOOKUP(Main_S[[#This Row],[Industry]], Mean_PE_S, 2, FALSE))/(VLOOKUP(Main_S[[#This Row],[Industry]], Mean_PE_S, 3, FALSE))</f>
        <v>0.22317618390426788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107</v>
      </c>
      <c r="B80" t="s">
        <v>285</v>
      </c>
      <c r="C80" s="2">
        <v>552</v>
      </c>
      <c r="D80">
        <f>RTD("tos.rtd", , "LAST", Main_S[[#This Row],[Symbol]])</f>
        <v>2.64</v>
      </c>
      <c r="E80">
        <v>0.6</v>
      </c>
      <c r="F80">
        <v>2.4</v>
      </c>
      <c r="G80">
        <v>0.22</v>
      </c>
      <c r="H80" s="1">
        <f>IF(ISNUMBER(Main_S[[#This Row],[Free CF]]),IF(Main_S[[#This Row],[Free CF]]&lt;&gt;0,Main_S[[#This Row],[Current Price]]/Main_S[[#This Row],[Free CF]],""),"")</f>
        <v>4.4000000000000004</v>
      </c>
      <c r="I80" s="1">
        <f>IF(ISNUMBER(Main_S[[#This Row],[BVPS]]),IF(Main_S[[#This Row],[BVPS]]&lt;&gt;0,Main_S[[#This Row],[Current Price]]/Main_S[[#This Row],[BVPS]],""),"")</f>
        <v>1.1000000000000001</v>
      </c>
      <c r="J80">
        <v>8.91</v>
      </c>
      <c r="K80">
        <v>5.7</v>
      </c>
      <c r="L80">
        <v>1.61</v>
      </c>
      <c r="M80" s="1">
        <f>IF(ISNUMBER(Main_S[[#This Row],[EPS]]),IF(Main_S[[#This Row],[EPS]]&lt;&gt;0,Main_S[[#This Row],[Current Price]]/Main_S[[#This Row],[EPS]],""),"")</f>
        <v>12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0.38810941166157786</v>
      </c>
      <c r="P80" s="1">
        <f>(Main_S[[#This Row],[P/B]]-VLOOKUP(Main_S[[#This Row],[Industry]], Mean_PB_S, 2, FALSE))/(VLOOKUP(Main_S[[#This Row],[Industry]], Mean_PB_S, 3, FALSE))</f>
        <v>-0.17021980225309757</v>
      </c>
      <c r="Q80" s="1">
        <f>(Main_S[[#This Row],[ROE]]-VLOOKUP(Main_S[[#This Row],[Industry]], Mean_ROE_S, 2, FALSE))/(VLOOKUP(Main_S[[#This Row],[Industry]], Mean_ROE_S, 3, FALSE))</f>
        <v>1.8795156650800688E-2</v>
      </c>
      <c r="R80" s="1">
        <f>(Main_S[[#This Row],[ROA]]-VLOOKUP(Main_S[[#This Row],[Industry]], Mean_ROA_S, 2, FALSE))/(VLOOKUP(Main_S[[#This Row],[Industry]], Mean_ROA_S, 3, FALSE))</f>
        <v>0.2573004265849147</v>
      </c>
      <c r="S80" s="1">
        <f>(Main_S[[#This Row],[A/E]]-VLOOKUP(Main_S[[#This Row],[Industry]], Mean_AE_S, 2, FALSE))/(VLOOKUP(Main_S[[#This Row],[Industry]], Mean_AE_S, 3, FALSE))</f>
        <v>-0.47297710972432833</v>
      </c>
      <c r="T80" s="1">
        <f>(Main_S[[#This Row],[P/E]]-VLOOKUP(Main_S[[#This Row],[Industry]], Mean_PE_S, 2, FALSE))/(VLOOKUP(Main_S[[#This Row],[Industry]], Mean_PE_S, 3, FALSE))</f>
        <v>0.83891249719534677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t="s">
        <v>107</v>
      </c>
      <c r="B81" t="s">
        <v>286</v>
      </c>
      <c r="C81" s="2">
        <v>1937</v>
      </c>
      <c r="D81">
        <f>RTD("tos.rtd", , "LAST", Main_S[[#This Row],[Symbol]])</f>
        <v>8.3000000000000007</v>
      </c>
      <c r="E81">
        <v>-10.3</v>
      </c>
      <c r="F81">
        <v>1.45</v>
      </c>
      <c r="G81">
        <v>-0.24</v>
      </c>
      <c r="H81" s="1">
        <f>IF(ISNUMBER(Main_S[[#This Row],[Free CF]]),IF(Main_S[[#This Row],[Free CF]]&lt;&gt;0,Main_S[[#This Row],[Current Price]]/Main_S[[#This Row],[Free CF]],""),"")</f>
        <v>-0.80582524271844658</v>
      </c>
      <c r="I81" s="1">
        <f>IF(ISNUMBER(Main_S[[#This Row],[BVPS]]),IF(Main_S[[#This Row],[BVPS]]&lt;&gt;0,Main_S[[#This Row],[Current Price]]/Main_S[[#This Row],[BVPS]],""),"")</f>
        <v>5.7241379310344831</v>
      </c>
      <c r="J81">
        <v>22.33</v>
      </c>
      <c r="K81">
        <v>-2.2000000000000002</v>
      </c>
      <c r="L81">
        <v>16.96</v>
      </c>
      <c r="M81" s="1">
        <f>IF(ISNUMBER(Main_S[[#This Row],[EPS]]),IF(Main_S[[#This Row],[EPS]]&lt;&gt;0,Main_S[[#This Row],[Current Price]]/Main_S[[#This Row],[EPS]],""),"")</f>
        <v>-34.583333333333336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-0.30468367531754587</v>
      </c>
      <c r="P81" s="1">
        <f>(Main_S[[#This Row],[P/B]]-VLOOKUP(Main_S[[#This Row],[Industry]], Mean_PB_S, 2, FALSE))/(VLOOKUP(Main_S[[#This Row],[Industry]], Mean_PB_S, 3, FALSE))</f>
        <v>6.4595959433419274</v>
      </c>
      <c r="Q81" s="1">
        <f>(Main_S[[#This Row],[ROE]]-VLOOKUP(Main_S[[#This Row],[Industry]], Mean_ROE_S, 2, FALSE))/(VLOOKUP(Main_S[[#This Row],[Industry]], Mean_ROE_S, 3, FALSE))</f>
        <v>0.71225410972493841</v>
      </c>
      <c r="R81" s="1">
        <f>(Main_S[[#This Row],[ROA]]-VLOOKUP(Main_S[[#This Row],[Industry]], Mean_ROA_S, 2, FALSE))/(VLOOKUP(Main_S[[#This Row],[Industry]], Mean_ROA_S, 3, FALSE))</f>
        <v>-1.2062829431648701</v>
      </c>
      <c r="S81" s="1">
        <f>(Main_S[[#This Row],[A/E]]-VLOOKUP(Main_S[[#This Row],[Industry]], Mean_AE_S, 2, FALSE))/(VLOOKUP(Main_S[[#This Row],[Industry]], Mean_AE_S, 3, FALSE))</f>
        <v>11.532573286367942</v>
      </c>
      <c r="T81" s="1">
        <f>(Main_S[[#This Row],[P/E]]-VLOOKUP(Main_S[[#This Row],[Industry]], Mean_PE_S, 2, FALSE))/(VLOOKUP(Main_S[[#This Row],[Industry]], Mean_PE_S, 3, FALSE))</f>
        <v>-4.0425036514120611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2" spans="1:26" x14ac:dyDescent="0.25">
      <c r="A82" t="s">
        <v>107</v>
      </c>
      <c r="B82" t="s">
        <v>287</v>
      </c>
      <c r="C82" s="2">
        <v>1619</v>
      </c>
      <c r="D82">
        <f>RTD("tos.rtd", , "LAST", Main_S[[#This Row],[Symbol]])</f>
        <v>7.05</v>
      </c>
      <c r="E82">
        <v>-9.35</v>
      </c>
      <c r="F82">
        <v>7.04</v>
      </c>
      <c r="G82">
        <v>-1.34</v>
      </c>
      <c r="H82" s="1">
        <f>IF(ISNUMBER(Main_S[[#This Row],[Free CF]]),IF(Main_S[[#This Row],[Free CF]]&lt;&gt;0,Main_S[[#This Row],[Current Price]]/Main_S[[#This Row],[Free CF]],""),"")</f>
        <v>-0.75401069518716579</v>
      </c>
      <c r="I82" s="1">
        <f>IF(ISNUMBER(Main_S[[#This Row],[BVPS]]),IF(Main_S[[#This Row],[BVPS]]&lt;&gt;0,Main_S[[#This Row],[Current Price]]/Main_S[[#This Row],[BVPS]],""),"")</f>
        <v>1.0014204545454546</v>
      </c>
      <c r="J82">
        <v>-12.53</v>
      </c>
      <c r="K82">
        <v>3.39</v>
      </c>
      <c r="L82">
        <v>6.86</v>
      </c>
      <c r="M82" s="1">
        <f>IF(ISNUMBER(Main_S[[#This Row],[EPS]]),IF(Main_S[[#This Row],[EPS]]&lt;&gt;0,Main_S[[#This Row],[Current Price]]/Main_S[[#This Row],[EPS]],""),"")</f>
        <v>-5.2611940298507456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-0.29778817678254754</v>
      </c>
      <c r="P82" s="1">
        <f>(Main_S[[#This Row],[P/B]]-VLOOKUP(Main_S[[#This Row],[Industry]], Mean_PB_S, 2, FALSE))/(VLOOKUP(Main_S[[#This Row],[Industry]], Mean_PB_S, 3, FALSE))</f>
        <v>-0.31155732989512774</v>
      </c>
      <c r="Q82" s="1">
        <f>(Main_S[[#This Row],[ROE]]-VLOOKUP(Main_S[[#This Row],[Industry]], Mean_ROE_S, 2, FALSE))/(VLOOKUP(Main_S[[#This Row],[Industry]], Mean_ROE_S, 3, FALSE))</f>
        <v>-1.0890856148774792</v>
      </c>
      <c r="R82" s="1">
        <f>(Main_S[[#This Row],[ROA]]-VLOOKUP(Main_S[[#This Row],[Industry]], Mean_ROA_S, 2, FALSE))/(VLOOKUP(Main_S[[#This Row],[Industry]], Mean_ROA_S, 3, FALSE))</f>
        <v>-0.17065876127862994</v>
      </c>
      <c r="S82" s="1">
        <f>(Main_S[[#This Row],[A/E]]-VLOOKUP(Main_S[[#This Row],[Industry]], Mean_AE_S, 2, FALSE))/(VLOOKUP(Main_S[[#This Row],[Industry]], Mean_AE_S, 3, FALSE))</f>
        <v>3.6331557619033212</v>
      </c>
      <c r="T82" s="1">
        <f>(Main_S[[#This Row],[P/E]]-VLOOKUP(Main_S[[#This Row],[Industry]], Mean_PE_S, 2, FALSE))/(VLOOKUP(Main_S[[#This Row],[Industry]], Mean_PE_S, 3, FALSE))</f>
        <v>-0.9698689972209511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107</v>
      </c>
      <c r="B83" t="s">
        <v>288</v>
      </c>
      <c r="C83" s="2">
        <v>405</v>
      </c>
      <c r="D83">
        <f>RTD("tos.rtd", , "LAST", Main_S[[#This Row],[Symbol]])</f>
        <v>3.38</v>
      </c>
      <c r="E83">
        <v>-3.03</v>
      </c>
      <c r="F83">
        <v>-1.17</v>
      </c>
      <c r="G83">
        <v>-2.5299999999999998</v>
      </c>
      <c r="H83" s="1">
        <f>IF(ISNUMBER(Main_S[[#This Row],[Free CF]]),IF(Main_S[[#This Row],[Free CF]]&lt;&gt;0,Main_S[[#This Row],[Current Price]]/Main_S[[#This Row],[Free CF]],""),"")</f>
        <v>-1.1155115511551155</v>
      </c>
      <c r="I83" s="1">
        <f>IF(ISNUMBER(Main_S[[#This Row],[BVPS]]),IF(Main_S[[#This Row],[BVPS]]&lt;&gt;0,Main_S[[#This Row],[Current Price]]/Main_S[[#This Row],[BVPS]],""),"")</f>
        <v>-2.8888888888888888</v>
      </c>
      <c r="J83">
        <v>-19.600000000000001</v>
      </c>
      <c r="K83">
        <v>3.04</v>
      </c>
      <c r="L83">
        <v>-31.46</v>
      </c>
      <c r="M83" s="1">
        <f>IF(ISNUMBER(Main_S[[#This Row],[EPS]]),IF(Main_S[[#This Row],[EPS]]&lt;&gt;0,Main_S[[#This Row],[Current Price]]/Main_S[[#This Row],[EPS]],""),"")</f>
        <v>-1.3359683794466404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-0.34589684011156291</v>
      </c>
      <c r="P83" s="1">
        <f>(Main_S[[#This Row],[P/B]]-VLOOKUP(Main_S[[#This Row],[Industry]], Mean_PB_S, 2, FALSE))/(VLOOKUP(Main_S[[#This Row],[Industry]], Mean_PB_S, 3, FALSE))</f>
        <v>-5.8892530052848162</v>
      </c>
      <c r="Q83" s="1">
        <f>(Main_S[[#This Row],[ROE]]-VLOOKUP(Main_S[[#This Row],[Industry]], Mean_ROE_S, 2, FALSE))/(VLOOKUP(Main_S[[#This Row],[Industry]], Mean_ROE_S, 3, FALSE))</f>
        <v>-1.4544175670558812</v>
      </c>
      <c r="R83" s="1">
        <f>(Main_S[[#This Row],[ROA]]-VLOOKUP(Main_S[[#This Row],[Industry]], Mean_ROA_S, 2, FALSE))/(VLOOKUP(Main_S[[#This Row],[Industry]], Mean_ROA_S, 3, FALSE))</f>
        <v>-0.23550106247007613</v>
      </c>
      <c r="S83" s="1">
        <f>(Main_S[[#This Row],[A/E]]-VLOOKUP(Main_S[[#This Row],[Industry]], Mean_AE_S, 2, FALSE))/(VLOOKUP(Main_S[[#This Row],[Industry]], Mean_AE_S, 3, FALSE))</f>
        <v>-26.337703598243635</v>
      </c>
      <c r="T83" s="1">
        <f>(Main_S[[#This Row],[P/E]]-VLOOKUP(Main_S[[#This Row],[Industry]], Mean_PE_S, 2, FALSE))/(VLOOKUP(Main_S[[#This Row],[Industry]], Mean_PE_S, 3, FALSE))</f>
        <v>-0.55854892830909542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107</v>
      </c>
      <c r="B84" t="s">
        <v>289</v>
      </c>
      <c r="C84" s="2">
        <v>374</v>
      </c>
      <c r="D84">
        <f>RTD("tos.rtd", , "LAST", Main_S[[#This Row],[Symbol]])</f>
        <v>3.06</v>
      </c>
      <c r="E84">
        <v>-2.93</v>
      </c>
      <c r="F84">
        <v>0.33</v>
      </c>
      <c r="G84">
        <v>-4.59</v>
      </c>
      <c r="H84" s="1">
        <f>IF(ISNUMBER(Main_S[[#This Row],[Free CF]]),IF(Main_S[[#This Row],[Free CF]]&lt;&gt;0,Main_S[[#This Row],[Current Price]]/Main_S[[#This Row],[Free CF]],""),"")</f>
        <v>-1.0443686006825939</v>
      </c>
      <c r="I84" s="1">
        <f>IF(ISNUMBER(Main_S[[#This Row],[BVPS]]),IF(Main_S[[#This Row],[BVPS]]&lt;&gt;0,Main_S[[#This Row],[Current Price]]/Main_S[[#This Row],[BVPS]],""),"")</f>
        <v>9.2727272727272716</v>
      </c>
      <c r="J84">
        <v>-12984</v>
      </c>
      <c r="K84">
        <v>-50.78</v>
      </c>
      <c r="L84">
        <v>5.65</v>
      </c>
      <c r="M84" s="1">
        <f>IF(ISNUMBER(Main_S[[#This Row],[EPS]]),IF(Main_S[[#This Row],[EPS]]&lt;&gt;0,Main_S[[#This Row],[Current Price]]/Main_S[[#This Row],[EPS]],""),"")</f>
        <v>-0.66666666666666674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-0.33642911079360294</v>
      </c>
      <c r="P84" s="1">
        <f>(Main_S[[#This Row],[P/B]]-VLOOKUP(Main_S[[#This Row],[Industry]], Mean_PB_S, 2, FALSE))/(VLOOKUP(Main_S[[#This Row],[Industry]], Mean_PB_S, 3, FALSE))</f>
        <v>11.547353670962814</v>
      </c>
      <c r="Q84" s="1">
        <f>(Main_S[[#This Row],[ROE]]-VLOOKUP(Main_S[[#This Row],[Industry]], Mean_ROE_S, 2, FALSE))/(VLOOKUP(Main_S[[#This Row],[Industry]], Mean_ROE_S, 3, FALSE))</f>
        <v>-671.37090424621783</v>
      </c>
      <c r="R84" s="1">
        <f>(Main_S[[#This Row],[ROA]]-VLOOKUP(Main_S[[#This Row],[Industry]], Mean_ROA_S, 2, FALSE))/(VLOOKUP(Main_S[[#This Row],[Industry]], Mean_ROA_S, 3, FALSE))</f>
        <v>-10.206394348537597</v>
      </c>
      <c r="S84" s="1">
        <f>(Main_S[[#This Row],[A/E]]-VLOOKUP(Main_S[[#This Row],[Industry]], Mean_AE_S, 2, FALSE))/(VLOOKUP(Main_S[[#This Row],[Industry]], Mean_AE_S, 3, FALSE))</f>
        <v>2.6867899000615201</v>
      </c>
      <c r="T84" s="1">
        <f>(Main_S[[#This Row],[P/E]]-VLOOKUP(Main_S[[#This Row],[Industry]], Mean_PE_S, 2, FALSE))/(VLOOKUP(Main_S[[#This Row],[Industry]], Mean_PE_S, 3, FALSE))</f>
        <v>-0.48841353963529016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107</v>
      </c>
      <c r="B85" t="s">
        <v>290</v>
      </c>
      <c r="C85" s="2">
        <v>339</v>
      </c>
      <c r="D85">
        <f>RTD("tos.rtd", , "LAST", Main_S[[#This Row],[Symbol]])</f>
        <v>29.52</v>
      </c>
      <c r="E85">
        <v>0.77</v>
      </c>
      <c r="F85">
        <v>33.54</v>
      </c>
      <c r="G85">
        <v>-13.33</v>
      </c>
      <c r="H85" s="1">
        <f>IF(ISNUMBER(Main_S[[#This Row],[Free CF]]),IF(Main_S[[#This Row],[Free CF]]&lt;&gt;0,Main_S[[#This Row],[Current Price]]/Main_S[[#This Row],[Free CF]],""),"")</f>
        <v>38.337662337662337</v>
      </c>
      <c r="I85" s="1">
        <f>IF(ISNUMBER(Main_S[[#This Row],[BVPS]]),IF(Main_S[[#This Row],[BVPS]]&lt;&gt;0,Main_S[[#This Row],[Current Price]]/Main_S[[#This Row],[BVPS]],""),"")</f>
        <v>0.88014311270125223</v>
      </c>
      <c r="J85">
        <v>-11.66</v>
      </c>
      <c r="K85">
        <v>1.48</v>
      </c>
      <c r="L85">
        <v>6.6</v>
      </c>
      <c r="M85" s="1">
        <f>IF(ISNUMBER(Main_S[[#This Row],[EPS]]),IF(Main_S[[#This Row],[EPS]]&lt;&gt;0,Main_S[[#This Row],[Current Price]]/Main_S[[#This Row],[EPS]],""),"")</f>
        <v>-2.2145536384096025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4.9045456651933126</v>
      </c>
      <c r="P85" s="1">
        <f>(Main_S[[#This Row],[P/B]]-VLOOKUP(Main_S[[#This Row],[Industry]], Mean_PB_S, 2, FALSE))/(VLOOKUP(Main_S[[#This Row],[Industry]], Mean_PB_S, 3, FALSE))</f>
        <v>-0.4854376168879353</v>
      </c>
      <c r="Q85" s="1">
        <f>(Main_S[[#This Row],[ROE]]-VLOOKUP(Main_S[[#This Row],[Industry]], Mean_ROE_S, 2, FALSE))/(VLOOKUP(Main_S[[#This Row],[Industry]], Mean_ROE_S, 3, FALSE))</f>
        <v>-1.044129632077591</v>
      </c>
      <c r="R85" s="1">
        <f>(Main_S[[#This Row],[ROA]]-VLOOKUP(Main_S[[#This Row],[Industry]], Mean_ROA_S, 2, FALSE))/(VLOOKUP(Main_S[[#This Row],[Industry]], Mean_ROA_S, 3, FALSE))</f>
        <v>-0.52451246206623614</v>
      </c>
      <c r="S85" s="1">
        <f>(Main_S[[#This Row],[A/E]]-VLOOKUP(Main_S[[#This Row],[Industry]], Mean_AE_S, 2, FALSE))/(VLOOKUP(Main_S[[#This Row],[Industry]], Mean_AE_S, 3, FALSE))</f>
        <v>3.42980441968938</v>
      </c>
      <c r="T85" s="1">
        <f>(Main_S[[#This Row],[P/E]]-VLOOKUP(Main_S[[#This Row],[Industry]], Mean_PE_S, 2, FALSE))/(VLOOKUP(Main_S[[#This Row],[Industry]], Mean_PE_S, 3, FALSE))</f>
        <v>-0.65061490908255282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107</v>
      </c>
      <c r="B86" t="s">
        <v>291</v>
      </c>
      <c r="C86" s="2">
        <v>520</v>
      </c>
      <c r="D86">
        <f>RTD("tos.rtd", , "LAST", Main_S[[#This Row],[Symbol]])</f>
        <v>18.13</v>
      </c>
      <c r="E86">
        <v>2.2400000000000002</v>
      </c>
      <c r="F86">
        <v>56.99</v>
      </c>
      <c r="G86">
        <v>4.95</v>
      </c>
      <c r="H86" s="1">
        <f>IF(ISNUMBER(Main_S[[#This Row],[Free CF]]),IF(Main_S[[#This Row],[Free CF]]&lt;&gt;0,Main_S[[#This Row],[Current Price]]/Main_S[[#This Row],[Free CF]],""),"")</f>
        <v>8.0937499999999982</v>
      </c>
      <c r="I86" s="1">
        <f>IF(ISNUMBER(Main_S[[#This Row],[BVPS]]),IF(Main_S[[#This Row],[BVPS]]&lt;&gt;0,Main_S[[#This Row],[Current Price]]/Main_S[[#This Row],[BVPS]],""),"")</f>
        <v>0.31812598701526579</v>
      </c>
      <c r="J86">
        <v>10.86</v>
      </c>
      <c r="K86">
        <v>5.03</v>
      </c>
      <c r="L86">
        <v>2.08</v>
      </c>
      <c r="M86" s="1">
        <f>IF(ISNUMBER(Main_S[[#This Row],[EPS]]),IF(Main_S[[#This Row],[EPS]]&lt;&gt;0,Main_S[[#This Row],[Current Price]]/Main_S[[#This Row],[EPS]],""),"")</f>
        <v>3.6626262626262625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0.8796749840189092</v>
      </c>
      <c r="P86" s="1">
        <f>(Main_S[[#This Row],[P/B]]-VLOOKUP(Main_S[[#This Row],[Industry]], Mean_PB_S, 2, FALSE))/(VLOOKUP(Main_S[[#This Row],[Industry]], Mean_PB_S, 3, FALSE))</f>
        <v>-1.2912245645825164</v>
      </c>
      <c r="Q86" s="1">
        <f>(Main_S[[#This Row],[ROE]]-VLOOKUP(Main_S[[#This Row],[Industry]], Mean_ROE_S, 2, FALSE))/(VLOOKUP(Main_S[[#This Row],[Industry]], Mean_ROE_S, 3, FALSE))</f>
        <v>0.11955856637468805</v>
      </c>
      <c r="R86" s="1">
        <f>(Main_S[[#This Row],[ROA]]-VLOOKUP(Main_S[[#This Row],[Industry]], Mean_ROA_S, 2, FALSE))/(VLOOKUP(Main_S[[#This Row],[Industry]], Mean_ROA_S, 3, FALSE))</f>
        <v>0.13317373573271776</v>
      </c>
      <c r="S86" s="1">
        <f>(Main_S[[#This Row],[A/E]]-VLOOKUP(Main_S[[#This Row],[Industry]], Mean_AE_S, 2, FALSE))/(VLOOKUP(Main_S[[#This Row],[Industry]], Mean_AE_S, 3, FALSE))</f>
        <v>-0.10538045264528163</v>
      </c>
      <c r="T86" s="1">
        <f>(Main_S[[#This Row],[P/E]]-VLOOKUP(Main_S[[#This Row],[Industry]], Mean_PE_S, 2, FALSE))/(VLOOKUP(Main_S[[#This Row],[Industry]], Mean_PE_S, 3, FALSE))</f>
        <v>-3.4751705994452063E-2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t="s">
        <v>107</v>
      </c>
      <c r="B87" t="s">
        <v>292</v>
      </c>
      <c r="C87" s="2">
        <v>658</v>
      </c>
      <c r="D87">
        <f>RTD("tos.rtd", , "LAST", Main_S[[#This Row],[Symbol]])</f>
        <v>8.14</v>
      </c>
      <c r="E87">
        <v>5.0599999999999996</v>
      </c>
      <c r="F87">
        <v>8.44</v>
      </c>
      <c r="G87">
        <v>1.42</v>
      </c>
      <c r="H87" s="1">
        <f>IF(ISNUMBER(Main_S[[#This Row],[Free CF]]),IF(Main_S[[#This Row],[Free CF]]&lt;&gt;0,Main_S[[#This Row],[Current Price]]/Main_S[[#This Row],[Free CF]],""),"")</f>
        <v>1.6086956521739133</v>
      </c>
      <c r="I87" s="1">
        <f>IF(ISNUMBER(Main_S[[#This Row],[BVPS]]),IF(Main_S[[#This Row],[BVPS]]&lt;&gt;0,Main_S[[#This Row],[Current Price]]/Main_S[[#This Row],[BVPS]],""),"")</f>
        <v>0.96445497630331767</v>
      </c>
      <c r="J87">
        <v>21.5</v>
      </c>
      <c r="K87">
        <v>9.56</v>
      </c>
      <c r="L87">
        <v>3.03</v>
      </c>
      <c r="M87" s="1">
        <f>IF(ISNUMBER(Main_S[[#This Row],[EPS]]),IF(Main_S[[#This Row],[EPS]]&lt;&gt;0,Main_S[[#This Row],[Current Price]]/Main_S[[#This Row],[EPS]],""),"")</f>
        <v>5.7323943661971839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1.6641629769831308E-2</v>
      </c>
      <c r="P87" s="1">
        <f>(Main_S[[#This Row],[P/B]]-VLOOKUP(Main_S[[#This Row],[Industry]], Mean_PB_S, 2, FALSE))/(VLOOKUP(Main_S[[#This Row],[Industry]], Mean_PB_S, 3, FALSE))</f>
        <v>-0.36455624847157753</v>
      </c>
      <c r="Q87" s="1">
        <f>(Main_S[[#This Row],[ROE]]-VLOOKUP(Main_S[[#This Row],[Industry]], Mean_ROE_S, 2, FALSE))/(VLOOKUP(Main_S[[#This Row],[Industry]], Mean_ROE_S, 3, FALSE))</f>
        <v>0.66936506866297618</v>
      </c>
      <c r="R87" s="1">
        <f>(Main_S[[#This Row],[ROA]]-VLOOKUP(Main_S[[#This Row],[Industry]], Mean_ROA_S, 2, FALSE))/(VLOOKUP(Main_S[[#This Row],[Industry]], Mean_ROA_S, 3, FALSE))</f>
        <v>0.97241837686772092</v>
      </c>
      <c r="S87" s="1">
        <f>(Main_S[[#This Row],[A/E]]-VLOOKUP(Main_S[[#This Row],[Industry]], Mean_AE_S, 2, FALSE))/(VLOOKUP(Main_S[[#This Row],[Industry]], Mean_AE_S, 3, FALSE))</f>
        <v>0.63763406698257852</v>
      </c>
      <c r="T87" s="1">
        <f>(Main_S[[#This Row],[P/E]]-VLOOKUP(Main_S[[#This Row],[Industry]], Mean_PE_S, 2, FALSE))/(VLOOKUP(Main_S[[#This Row],[Industry]], Mean_PE_S, 3, FALSE))</f>
        <v>0.18213701195854171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107</v>
      </c>
      <c r="B88" t="s">
        <v>293</v>
      </c>
      <c r="C88" s="2">
        <v>1586</v>
      </c>
      <c r="D88">
        <f>RTD("tos.rtd", , "LAST", Main_S[[#This Row],[Symbol]])</f>
        <v>45.66</v>
      </c>
      <c r="E88">
        <v>11.53</v>
      </c>
      <c r="F88">
        <v>51.12</v>
      </c>
      <c r="G88">
        <v>11.63</v>
      </c>
      <c r="H88" s="1">
        <f>IF(ISNUMBER(Main_S[[#This Row],[Free CF]]),IF(Main_S[[#This Row],[Free CF]]&lt;&gt;0,Main_S[[#This Row],[Current Price]]/Main_S[[#This Row],[Free CF]],""),"")</f>
        <v>3.9601040763226365</v>
      </c>
      <c r="I88" s="1">
        <f>IF(ISNUMBER(Main_S[[#This Row],[BVPS]]),IF(Main_S[[#This Row],[BVPS]]&lt;&gt;0,Main_S[[#This Row],[Current Price]]/Main_S[[#This Row],[BVPS]],""),"")</f>
        <v>0.89319248826291076</v>
      </c>
      <c r="J88">
        <v>24.42</v>
      </c>
      <c r="K88">
        <v>11.1</v>
      </c>
      <c r="L88">
        <v>1.1200000000000001</v>
      </c>
      <c r="M88" s="1">
        <f>IF(ISNUMBER(Main_S[[#This Row],[EPS]]),IF(Main_S[[#This Row],[EPS]]&lt;&gt;0,Main_S[[#This Row],[Current Price]]/Main_S[[#This Row],[EPS]],""),"")</f>
        <v>3.9260533104041269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0.32956790465646912</v>
      </c>
      <c r="P88" s="1">
        <f>(Main_S[[#This Row],[P/B]]-VLOOKUP(Main_S[[#This Row],[Industry]], Mean_PB_S, 2, FALSE))/(VLOOKUP(Main_S[[#This Row],[Industry]], Mean_PB_S, 3, FALSE))</f>
        <v>-0.46672819323769565</v>
      </c>
      <c r="Q88" s="1">
        <f>(Main_S[[#This Row],[ROE]]-VLOOKUP(Main_S[[#This Row],[Industry]], Mean_ROE_S, 2, FALSE))/(VLOOKUP(Main_S[[#This Row],[Industry]], Mean_ROE_S, 3, FALSE))</f>
        <v>0.82025181553156667</v>
      </c>
      <c r="R88" s="1">
        <f>(Main_S[[#This Row],[ROA]]-VLOOKUP(Main_S[[#This Row],[Industry]], Mean_ROA_S, 2, FALSE))/(VLOOKUP(Main_S[[#This Row],[Industry]], Mean_ROA_S, 3, FALSE))</f>
        <v>1.2577245021100838</v>
      </c>
      <c r="S88" s="1">
        <f>(Main_S[[#This Row],[A/E]]-VLOOKUP(Main_S[[#This Row],[Industry]], Mean_AE_S, 2, FALSE))/(VLOOKUP(Main_S[[#This Row],[Industry]], Mean_AE_S, 3, FALSE))</f>
        <v>-0.85621617774290892</v>
      </c>
      <c r="T88" s="1">
        <f>(Main_S[[#This Row],[P/E]]-VLOOKUP(Main_S[[#This Row],[Industry]], Mean_PE_S, 2, FALSE))/(VLOOKUP(Main_S[[#This Row],[Industry]], Mean_PE_S, 3, FALSE))</f>
        <v>-7.1474760480583072E-3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107</v>
      </c>
      <c r="B89" t="s">
        <v>294</v>
      </c>
      <c r="C89" s="2">
        <v>1616</v>
      </c>
      <c r="D89">
        <f>RTD("tos.rtd", , "LAST", Main_S[[#This Row],[Symbol]])</f>
        <v>17.27</v>
      </c>
      <c r="E89">
        <v>2.6</v>
      </c>
      <c r="F89">
        <v>21.31</v>
      </c>
      <c r="G89">
        <v>6.36</v>
      </c>
      <c r="H89" s="1">
        <f>IF(ISNUMBER(Main_S[[#This Row],[Free CF]]),IF(Main_S[[#This Row],[Free CF]]&lt;&gt;0,Main_S[[#This Row],[Current Price]]/Main_S[[#This Row],[Free CF]],""),"")</f>
        <v>6.6423076923076918</v>
      </c>
      <c r="I89" s="1">
        <f>IF(ISNUMBER(Main_S[[#This Row],[BVPS]]),IF(Main_S[[#This Row],[BVPS]]&lt;&gt;0,Main_S[[#This Row],[Current Price]]/Main_S[[#This Row],[BVPS]],""),"")</f>
        <v>0.81041764429845142</v>
      </c>
      <c r="J89">
        <v>32.69</v>
      </c>
      <c r="K89">
        <v>11.98</v>
      </c>
      <c r="L89">
        <v>1.67</v>
      </c>
      <c r="M89" s="1">
        <f>IF(ISNUMBER(Main_S[[#This Row],[EPS]]),IF(Main_S[[#This Row],[EPS]]&lt;&gt;0,Main_S[[#This Row],[Current Price]]/Main_S[[#This Row],[EPS]],""),"")</f>
        <v>2.7154088050314464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0.68651652209690184</v>
      </c>
      <c r="P89" s="1">
        <f>(Main_S[[#This Row],[P/B]]-VLOOKUP(Main_S[[#This Row],[Industry]], Mean_PB_S, 2, FALSE))/(VLOOKUP(Main_S[[#This Row],[Industry]], Mean_PB_S, 3, FALSE))</f>
        <v>-0.58540587371336739</v>
      </c>
      <c r="Q89" s="1">
        <f>(Main_S[[#This Row],[ROE]]-VLOOKUP(Main_S[[#This Row],[Industry]], Mean_ROE_S, 2, FALSE))/(VLOOKUP(Main_S[[#This Row],[Industry]], Mean_ROE_S, 3, FALSE))</f>
        <v>1.2475920198477455</v>
      </c>
      <c r="R89" s="1">
        <f>(Main_S[[#This Row],[ROA]]-VLOOKUP(Main_S[[#This Row],[Industry]], Mean_ROA_S, 2, FALSE))/(VLOOKUP(Main_S[[#This Row],[Industry]], Mean_ROA_S, 3, FALSE))</f>
        <v>1.4207565736771486</v>
      </c>
      <c r="S89" s="1">
        <f>(Main_S[[#This Row],[A/E]]-VLOOKUP(Main_S[[#This Row],[Industry]], Mean_AE_S, 2, FALSE))/(VLOOKUP(Main_S[[#This Row],[Industry]], Mean_AE_S, 3, FALSE))</f>
        <v>-0.42604987690572677</v>
      </c>
      <c r="T89" s="1">
        <f>(Main_S[[#This Row],[P/E]]-VLOOKUP(Main_S[[#This Row],[Industry]], Mean_PE_S, 2, FALSE))/(VLOOKUP(Main_S[[#This Row],[Industry]], Mean_PE_S, 3, FALSE))</f>
        <v>-0.13400957920546147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107</v>
      </c>
      <c r="B90" t="s">
        <v>295</v>
      </c>
      <c r="C90" s="2">
        <v>1754</v>
      </c>
      <c r="D90">
        <f>RTD("tos.rtd", , "LAST", Main_S[[#This Row],[Symbol]])</f>
        <v>15.28</v>
      </c>
      <c r="E90">
        <v>1.64</v>
      </c>
      <c r="F90">
        <v>30.07</v>
      </c>
      <c r="G90">
        <v>2.73</v>
      </c>
      <c r="H90" s="1">
        <f>IF(ISNUMBER(Main_S[[#This Row],[Free CF]]),IF(Main_S[[#This Row],[Free CF]]&lt;&gt;0,Main_S[[#This Row],[Current Price]]/Main_S[[#This Row],[Free CF]],""),"")</f>
        <v>9.3170731707317067</v>
      </c>
      <c r="I90" s="1">
        <f>IF(ISNUMBER(Main_S[[#This Row],[BVPS]]),IF(Main_S[[#This Row],[BVPS]]&lt;&gt;0,Main_S[[#This Row],[Current Price]]/Main_S[[#This Row],[BVPS]],""),"")</f>
        <v>0.50814765547056862</v>
      </c>
      <c r="J90">
        <v>11.13</v>
      </c>
      <c r="K90">
        <v>3.88</v>
      </c>
      <c r="L90">
        <v>1.63</v>
      </c>
      <c r="M90" s="1">
        <f>IF(ISNUMBER(Main_S[[#This Row],[EPS]]),IF(Main_S[[#This Row],[EPS]]&lt;&gt;0,Main_S[[#This Row],[Current Price]]/Main_S[[#This Row],[EPS]],""),"")</f>
        <v>5.5970695970695967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1.0424752695278685</v>
      </c>
      <c r="P90" s="1">
        <f>(Main_S[[#This Row],[P/B]]-VLOOKUP(Main_S[[#This Row],[Industry]], Mean_PB_S, 2, FALSE))/(VLOOKUP(Main_S[[#This Row],[Industry]], Mean_PB_S, 3, FALSE))</f>
        <v>-1.0187827238938743</v>
      </c>
      <c r="Q90" s="1">
        <f>(Main_S[[#This Row],[ROE]]-VLOOKUP(Main_S[[#This Row],[Industry]], Mean_ROE_S, 2, FALSE))/(VLOOKUP(Main_S[[#This Row],[Industry]], Mean_ROE_S, 3, FALSE))</f>
        <v>0.13351042310568792</v>
      </c>
      <c r="R90" s="1">
        <f>(Main_S[[#This Row],[ROA]]-VLOOKUP(Main_S[[#This Row],[Industry]], Mean_ROA_S, 2, FALSE))/(VLOOKUP(Main_S[[#This Row],[Industry]], Mean_ROA_S, 3, FALSE))</f>
        <v>-7.9879539610605385E-2</v>
      </c>
      <c r="S90" s="1">
        <f>(Main_S[[#This Row],[A/E]]-VLOOKUP(Main_S[[#This Row],[Industry]], Mean_AE_S, 2, FALSE))/(VLOOKUP(Main_S[[#This Row],[Industry]], Mean_AE_S, 3, FALSE))</f>
        <v>-0.45733469878479455</v>
      </c>
      <c r="T90" s="1">
        <f>(Main_S[[#This Row],[P/E]]-VLOOKUP(Main_S[[#This Row],[Industry]], Mean_PE_S, 2, FALSE))/(VLOOKUP(Main_S[[#This Row],[Industry]], Mean_PE_S, 3, FALSE))</f>
        <v>0.16795647857766213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107</v>
      </c>
      <c r="B91" t="s">
        <v>296</v>
      </c>
      <c r="C91" s="2">
        <v>1357</v>
      </c>
      <c r="D91">
        <f>RTD("tos.rtd", , "LAST", Main_S[[#This Row],[Symbol]])</f>
        <v>1.52</v>
      </c>
      <c r="E91">
        <v>-0.04</v>
      </c>
      <c r="F91">
        <v>0.44</v>
      </c>
      <c r="G91">
        <v>-7.0000000000000007E-2</v>
      </c>
      <c r="H91" s="1">
        <f>IF(ISNUMBER(Main_S[[#This Row],[Free CF]]),IF(Main_S[[#This Row],[Free CF]]&lt;&gt;0,Main_S[[#This Row],[Current Price]]/Main_S[[#This Row],[Free CF]],""),"")</f>
        <v>-38</v>
      </c>
      <c r="I91" s="1">
        <f>IF(ISNUMBER(Main_S[[#This Row],[BVPS]]),IF(Main_S[[#This Row],[BVPS]]&lt;&gt;0,Main_S[[#This Row],[Current Price]]/Main_S[[#This Row],[BVPS]],""),"")</f>
        <v>3.4545454545454546</v>
      </c>
      <c r="J91">
        <v>-15.19</v>
      </c>
      <c r="K91">
        <v>-5.32</v>
      </c>
      <c r="L91">
        <v>1.18</v>
      </c>
      <c r="M91" s="1">
        <f>IF(ISNUMBER(Main_S[[#This Row],[EPS]]),IF(Main_S[[#This Row],[EPS]]&lt;&gt;0,Main_S[[#This Row],[Current Price]]/Main_S[[#This Row],[EPS]],""),"")</f>
        <v>-21.714285714285712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-5.2544977674790951</v>
      </c>
      <c r="P91" s="1">
        <f>(Main_S[[#This Row],[P/B]]-VLOOKUP(Main_S[[#This Row],[Industry]], Mean_PB_S, 2, FALSE))/(VLOOKUP(Main_S[[#This Row],[Industry]], Mean_PB_S, 3, FALSE))</f>
        <v>3.2055883507646121</v>
      </c>
      <c r="Q91" s="1">
        <f>(Main_S[[#This Row],[ROE]]-VLOOKUP(Main_S[[#This Row],[Industry]], Mean_ROE_S, 2, FALSE))/(VLOOKUP(Main_S[[#This Row],[Industry]], Mean_ROE_S, 3, FALSE))</f>
        <v>-1.2265372404495511</v>
      </c>
      <c r="R91" s="1">
        <f>(Main_S[[#This Row],[ROA]]-VLOOKUP(Main_S[[#This Row],[Industry]], Mean_ROA_S, 2, FALSE))/(VLOOKUP(Main_S[[#This Row],[Industry]], Mean_ROA_S, 3, FALSE))</f>
        <v>-1.78430574235719</v>
      </c>
      <c r="S91" s="1">
        <f>(Main_S[[#This Row],[A/E]]-VLOOKUP(Main_S[[#This Row],[Industry]], Mean_AE_S, 2, FALSE))/(VLOOKUP(Main_S[[#This Row],[Industry]], Mean_AE_S, 3, FALSE))</f>
        <v>-0.80928894492430736</v>
      </c>
      <c r="T91" s="1">
        <f>(Main_S[[#This Row],[P/E]]-VLOOKUP(Main_S[[#This Row],[Industry]], Mean_PE_S, 2, FALSE))/(VLOOKUP(Main_S[[#This Row],[Industry]], Mean_PE_S, 3, FALSE))</f>
        <v>-2.6939703376771753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t="s">
        <v>107</v>
      </c>
      <c r="B92" t="s">
        <v>297</v>
      </c>
      <c r="C92" s="2">
        <v>300</v>
      </c>
      <c r="D92">
        <f>RTD("tos.rtd", , "LAST", Main_S[[#This Row],[Symbol]])</f>
        <v>1.71</v>
      </c>
      <c r="E92">
        <v>-0.36</v>
      </c>
      <c r="F92">
        <v>1.54</v>
      </c>
      <c r="G92">
        <v>-0.34</v>
      </c>
      <c r="H92" s="1">
        <f>IF(ISNUMBER(Main_S[[#This Row],[Free CF]]),IF(Main_S[[#This Row],[Free CF]]&lt;&gt;0,Main_S[[#This Row],[Current Price]]/Main_S[[#This Row],[Free CF]],""),"")</f>
        <v>-4.75</v>
      </c>
      <c r="I92" s="1">
        <f>IF(ISNUMBER(Main_S[[#This Row],[BVPS]]),IF(Main_S[[#This Row],[BVPS]]&lt;&gt;0,Main_S[[#This Row],[Current Price]]/Main_S[[#This Row],[BVPS]],""),"")</f>
        <v>1.1103896103896103</v>
      </c>
      <c r="J92">
        <v>-23.42</v>
      </c>
      <c r="K92">
        <v>-12.54</v>
      </c>
      <c r="L92">
        <v>1.37</v>
      </c>
      <c r="M92" s="1">
        <f>IF(ISNUMBER(Main_S[[#This Row],[EPS]]),IF(Main_S[[#This Row],[EPS]]&lt;&gt;0,Main_S[[#This Row],[Current Price]]/Main_S[[#This Row],[EPS]],""),"")</f>
        <v>-5.0294117647058822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-0.82957586402561934</v>
      </c>
      <c r="P92" s="1">
        <f>(Main_S[[#This Row],[P/B]]-VLOOKUP(Main_S[[#This Row],[Industry]], Mean_PB_S, 2, FALSE))/(VLOOKUP(Main_S[[#This Row],[Industry]], Mean_PB_S, 3, FALSE))</f>
        <v>-0.15532379275274397</v>
      </c>
      <c r="Q92" s="1">
        <f>(Main_S[[#This Row],[ROE]]-VLOOKUP(Main_S[[#This Row],[Industry]], Mean_ROE_S, 2, FALSE))/(VLOOKUP(Main_S[[#This Row],[Industry]], Mean_ROE_S, 3, FALSE))</f>
        <v>-1.6518105030278041</v>
      </c>
      <c r="R92" s="1">
        <f>(Main_S[[#This Row],[ROA]]-VLOOKUP(Main_S[[#This Row],[Industry]], Mean_ROA_S, 2, FALSE))/(VLOOKUP(Main_S[[#This Row],[Industry]], Mean_ROA_S, 3, FALSE))</f>
        <v>-3.1219097840778787</v>
      </c>
      <c r="S92" s="1">
        <f>(Main_S[[#This Row],[A/E]]-VLOOKUP(Main_S[[#This Row],[Industry]], Mean_AE_S, 2, FALSE))/(VLOOKUP(Main_S[[#This Row],[Industry]], Mean_AE_S, 3, FALSE))</f>
        <v>-0.66068604099873518</v>
      </c>
      <c r="T92" s="1">
        <f>(Main_S[[#This Row],[P/E]]-VLOOKUP(Main_S[[#This Row],[Industry]], Mean_PE_S, 2, FALSE))/(VLOOKUP(Main_S[[#This Row],[Industry]], Mean_PE_S, 3, FALSE))</f>
        <v>-0.94558078916287014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107</v>
      </c>
      <c r="B93" t="s">
        <v>298</v>
      </c>
      <c r="C93" s="2">
        <v>649</v>
      </c>
      <c r="D93">
        <f>RTD("tos.rtd", , "LAST", Main_S[[#This Row],[Symbol]])</f>
        <v>18.440000000000001</v>
      </c>
      <c r="E93">
        <v>0.32</v>
      </c>
      <c r="F93">
        <v>2.4500000000000002</v>
      </c>
      <c r="G93">
        <v>-5.72</v>
      </c>
      <c r="H93" s="1">
        <f>IF(ISNUMBER(Main_S[[#This Row],[Free CF]]),IF(Main_S[[#This Row],[Free CF]]&lt;&gt;0,Main_S[[#This Row],[Current Price]]/Main_S[[#This Row],[Free CF]],""),"")</f>
        <v>57.625</v>
      </c>
      <c r="I93" s="1">
        <f>IF(ISNUMBER(Main_S[[#This Row],[BVPS]]),IF(Main_S[[#This Row],[BVPS]]&lt;&gt;0,Main_S[[#This Row],[Current Price]]/Main_S[[#This Row],[BVPS]],""),"")</f>
        <v>7.5265306122448976</v>
      </c>
      <c r="J93">
        <v>-121.29</v>
      </c>
      <c r="K93">
        <v>0.21</v>
      </c>
      <c r="L93">
        <v>3.54</v>
      </c>
      <c r="M93" s="1">
        <f>IF(ISNUMBER(Main_S[[#This Row],[EPS]]),IF(Main_S[[#This Row],[EPS]]&lt;&gt;0,Main_S[[#This Row],[Current Price]]/Main_S[[#This Row],[EPS]],""),"")</f>
        <v>-3.2237762237762242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7.471311466137105</v>
      </c>
      <c r="P93" s="1">
        <f>(Main_S[[#This Row],[P/B]]-VLOOKUP(Main_S[[#This Row],[Industry]], Mean_PB_S, 2, FALSE))/(VLOOKUP(Main_S[[#This Row],[Industry]], Mean_PB_S, 3, FALSE))</f>
        <v>9.0437600742247568</v>
      </c>
      <c r="Q93" s="1">
        <f>(Main_S[[#This Row],[ROE]]-VLOOKUP(Main_S[[#This Row],[Industry]], Mean_ROE_S, 2, FALSE))/(VLOOKUP(Main_S[[#This Row],[Industry]], Mean_ROE_S, 3, FALSE))</f>
        <v>-6.7091002002979891</v>
      </c>
      <c r="R93" s="1">
        <f>(Main_S[[#This Row],[ROA]]-VLOOKUP(Main_S[[#This Row],[Industry]], Mean_ROA_S, 2, FALSE))/(VLOOKUP(Main_S[[#This Row],[Industry]], Mean_ROA_S, 3, FALSE))</f>
        <v>-0.75979738353234072</v>
      </c>
      <c r="S93" s="1">
        <f>(Main_S[[#This Row],[A/E]]-VLOOKUP(Main_S[[#This Row],[Industry]], Mean_AE_S, 2, FALSE))/(VLOOKUP(Main_S[[#This Row],[Industry]], Mean_AE_S, 3, FALSE))</f>
        <v>1.0365155459406932</v>
      </c>
      <c r="T93" s="1">
        <f>(Main_S[[#This Row],[P/E]]-VLOOKUP(Main_S[[#This Row],[Industry]], Mean_PE_S, 2, FALSE))/(VLOOKUP(Main_S[[#This Row],[Industry]], Mean_PE_S, 3, FALSE))</f>
        <v>-0.75637023128107761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107</v>
      </c>
      <c r="B94" t="s">
        <v>299</v>
      </c>
      <c r="C94" s="2">
        <v>1230</v>
      </c>
      <c r="D94">
        <f>RTD("tos.rtd", , "LAST", Main_S[[#This Row],[Symbol]])</f>
        <v>92.57</v>
      </c>
      <c r="E94">
        <v>2.02</v>
      </c>
      <c r="F94">
        <v>9.6300000000000008</v>
      </c>
      <c r="G94">
        <v>4.47</v>
      </c>
      <c r="H94" s="1">
        <f>IF(ISNUMBER(Main_S[[#This Row],[Free CF]]),IF(Main_S[[#This Row],[Free CF]]&lt;&gt;0,Main_S[[#This Row],[Current Price]]/Main_S[[#This Row],[Free CF]],""),"")</f>
        <v>45.826732673267323</v>
      </c>
      <c r="I94" s="1">
        <f>IF(ISNUMBER(Main_S[[#This Row],[BVPS]]),IF(Main_S[[#This Row],[BVPS]]&lt;&gt;0,Main_S[[#This Row],[Current Price]]/Main_S[[#This Row],[BVPS]],""),"")</f>
        <v>9.6126687435098628</v>
      </c>
      <c r="J94">
        <v>75.58</v>
      </c>
      <c r="K94">
        <v>4.17</v>
      </c>
      <c r="L94">
        <v>6.77</v>
      </c>
      <c r="M94" s="1">
        <f>IF(ISNUMBER(Main_S[[#This Row],[EPS]]),IF(Main_S[[#This Row],[EPS]]&lt;&gt;0,Main_S[[#This Row],[Current Price]]/Main_S[[#This Row],[EPS]],""),"")</f>
        <v>20.709172259507831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5.9011938265323254</v>
      </c>
      <c r="P94" s="1">
        <f>(Main_S[[#This Row],[P/B]]-VLOOKUP(Main_S[[#This Row],[Industry]], Mean_PB_S, 2, FALSE))/(VLOOKUP(Main_S[[#This Row],[Industry]], Mean_PB_S, 3, FALSE))</f>
        <v>12.034741666128207</v>
      </c>
      <c r="Q94" s="1">
        <f>(Main_S[[#This Row],[ROE]]-VLOOKUP(Main_S[[#This Row],[Industry]], Mean_ROE_S, 2, FALSE))/(VLOOKUP(Main_S[[#This Row],[Industry]], Mean_ROE_S, 3, FALSE))</f>
        <v>3.4638702983387866</v>
      </c>
      <c r="R94" s="1">
        <f>(Main_S[[#This Row],[ROA]]-VLOOKUP(Main_S[[#This Row],[Industry]], Mean_ROA_S, 2, FALSE))/(VLOOKUP(Main_S[[#This Row],[Industry]], Mean_ROA_S, 3, FALSE))</f>
        <v>-2.615306148054999E-2</v>
      </c>
      <c r="S94" s="1">
        <f>(Main_S[[#This Row],[A/E]]-VLOOKUP(Main_S[[#This Row],[Industry]], Mean_AE_S, 2, FALSE))/(VLOOKUP(Main_S[[#This Row],[Industry]], Mean_AE_S, 3, FALSE))</f>
        <v>3.5627649126754179</v>
      </c>
      <c r="T94" s="1">
        <f>(Main_S[[#This Row],[P/E]]-VLOOKUP(Main_S[[#This Row],[Industry]], Mean_PE_S, 2, FALSE))/(VLOOKUP(Main_S[[#This Row],[Industry]], Mean_PE_S, 3, FALSE))</f>
        <v>1.7515370576654403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t="s">
        <v>107</v>
      </c>
      <c r="B95" t="s">
        <v>300</v>
      </c>
      <c r="C95" s="2">
        <v>1300</v>
      </c>
      <c r="D95">
        <f>RTD("tos.rtd", , "LAST", Main_S[[#This Row],[Symbol]])</f>
        <v>97</v>
      </c>
      <c r="E95">
        <v>18.64</v>
      </c>
      <c r="F95">
        <v>41.5</v>
      </c>
      <c r="G95">
        <v>11.35</v>
      </c>
      <c r="H95" s="1">
        <f>IF(ISNUMBER(Main_S[[#This Row],[Free CF]]),IF(Main_S[[#This Row],[Free CF]]&lt;&gt;0,Main_S[[#This Row],[Current Price]]/Main_S[[#This Row],[Free CF]],""),"")</f>
        <v>5.203862660944206</v>
      </c>
      <c r="I95" s="1">
        <f>IF(ISNUMBER(Main_S[[#This Row],[BVPS]]),IF(Main_S[[#This Row],[BVPS]]&lt;&gt;0,Main_S[[#This Row],[Current Price]]/Main_S[[#This Row],[BVPS]],""),"")</f>
        <v>2.3373493975903616</v>
      </c>
      <c r="J95">
        <v>32.520000000000003</v>
      </c>
      <c r="K95">
        <v>14.02</v>
      </c>
      <c r="L95">
        <v>1.43</v>
      </c>
      <c r="M95" s="1">
        <f>IF(ISNUMBER(Main_S[[#This Row],[EPS]]),IF(Main_S[[#This Row],[EPS]]&lt;&gt;0,Main_S[[#This Row],[Current Price]]/Main_S[[#This Row],[EPS]],""),"")</f>
        <v>8.5462555066079293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0.49508774236174063</v>
      </c>
      <c r="P95" s="1">
        <f>(Main_S[[#This Row],[P/B]]-VLOOKUP(Main_S[[#This Row],[Industry]], Mean_PB_S, 2, FALSE))/(VLOOKUP(Main_S[[#This Row],[Industry]], Mean_PB_S, 3, FALSE))</f>
        <v>1.6038186544916142</v>
      </c>
      <c r="Q95" s="1">
        <f>(Main_S[[#This Row],[ROE]]-VLOOKUP(Main_S[[#This Row],[Industry]], Mean_ROE_S, 2, FALSE))/(VLOOKUP(Main_S[[#This Row],[Industry]], Mean_ROE_S, 3, FALSE))</f>
        <v>1.2388075174615607</v>
      </c>
      <c r="R95" s="1">
        <f>(Main_S[[#This Row],[ROA]]-VLOOKUP(Main_S[[#This Row],[Industry]], Mean_ROA_S, 2, FALSE))/(VLOOKUP(Main_S[[#This Row],[Industry]], Mean_ROA_S, 3, FALSE))</f>
        <v>1.7986945577644347</v>
      </c>
      <c r="S95" s="1">
        <f>(Main_S[[#This Row],[A/E]]-VLOOKUP(Main_S[[#This Row],[Industry]], Mean_AE_S, 2, FALSE))/(VLOOKUP(Main_S[[#This Row],[Industry]], Mean_AE_S, 3, FALSE))</f>
        <v>-0.61375880818013351</v>
      </c>
      <c r="T95" s="1">
        <f>(Main_S[[#This Row],[P/E]]-VLOOKUP(Main_S[[#This Row],[Industry]], Mean_PE_S, 2, FALSE))/(VLOOKUP(Main_S[[#This Row],[Industry]], Mean_PE_S, 3, FALSE))</f>
        <v>0.47699841898694684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t="s">
        <v>107</v>
      </c>
      <c r="B96" t="s">
        <v>301</v>
      </c>
      <c r="C96" s="2">
        <v>254</v>
      </c>
      <c r="D96">
        <f>RTD("tos.rtd", , "LAST", Main_S[[#This Row],[Symbol]])</f>
        <v>0.72940000000000005</v>
      </c>
      <c r="E96">
        <v>-0.25</v>
      </c>
      <c r="F96">
        <v>0.36</v>
      </c>
      <c r="G96">
        <v>-0.17</v>
      </c>
      <c r="H96" s="1">
        <f>IF(ISNUMBER(Main_S[[#This Row],[Free CF]]),IF(Main_S[[#This Row],[Free CF]]&lt;&gt;0,Main_S[[#This Row],[Current Price]]/Main_S[[#This Row],[Free CF]],""),"")</f>
        <v>-2.9176000000000002</v>
      </c>
      <c r="I96" s="1">
        <f>IF(ISNUMBER(Main_S[[#This Row],[BVPS]]),IF(Main_S[[#This Row],[BVPS]]&lt;&gt;0,Main_S[[#This Row],[Current Price]]/Main_S[[#This Row],[BVPS]],""),"")</f>
        <v>2.0261111111111112</v>
      </c>
      <c r="J96">
        <v>-51.22</v>
      </c>
      <c r="K96">
        <v>-24.45</v>
      </c>
      <c r="L96">
        <v>1.46</v>
      </c>
      <c r="M96" s="1">
        <f>IF(ISNUMBER(Main_S[[#This Row],[EPS]]),IF(Main_S[[#This Row],[EPS]]&lt;&gt;0,Main_S[[#This Row],[Current Price]]/Main_S[[#This Row],[EPS]],""),"")</f>
        <v>-4.290588235294118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-0.58571941602898325</v>
      </c>
      <c r="P96" s="1">
        <f>(Main_S[[#This Row],[P/B]]-VLOOKUP(Main_S[[#This Row],[Industry]], Mean_PB_S, 2, FALSE))/(VLOOKUP(Main_S[[#This Row],[Industry]], Mean_PB_S, 3, FALSE))</f>
        <v>1.1575835890357429</v>
      </c>
      <c r="Q96" s="1">
        <f>(Main_S[[#This Row],[ROE]]-VLOOKUP(Main_S[[#This Row],[Industry]], Mean_ROE_S, 2, FALSE))/(VLOOKUP(Main_S[[#This Row],[Industry]], Mean_ROE_S, 3, FALSE))</f>
        <v>-3.0883350108863015</v>
      </c>
      <c r="R96" s="1">
        <f>(Main_S[[#This Row],[ROA]]-VLOOKUP(Main_S[[#This Row],[Industry]], Mean_ROA_S, 2, FALSE))/(VLOOKUP(Main_S[[#This Row],[Industry]], Mean_ROA_S, 3, FALSE))</f>
        <v>-5.328400661763947</v>
      </c>
      <c r="S96" s="1">
        <f>(Main_S[[#This Row],[A/E]]-VLOOKUP(Main_S[[#This Row],[Industry]], Mean_AE_S, 2, FALSE))/(VLOOKUP(Main_S[[#This Row],[Industry]], Mean_AE_S, 3, FALSE))</f>
        <v>-0.59029519177083267</v>
      </c>
      <c r="T96" s="1">
        <f>(Main_S[[#This Row],[P/E]]-VLOOKUP(Main_S[[#This Row],[Industry]], Mean_PE_S, 2, FALSE))/(VLOOKUP(Main_S[[#This Row],[Industry]], Mean_PE_S, 3, FALSE))</f>
        <v>-0.86816028596197481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t="s">
        <v>107</v>
      </c>
      <c r="B97" t="s">
        <v>302</v>
      </c>
      <c r="C97" s="2">
        <v>257</v>
      </c>
      <c r="D97">
        <f>RTD("tos.rtd", , "LAST", Main_S[[#This Row],[Symbol]])</f>
        <v>1.96</v>
      </c>
      <c r="E97">
        <v>-0.27</v>
      </c>
      <c r="F97">
        <v>1.53</v>
      </c>
      <c r="G97">
        <v>0</v>
      </c>
      <c r="H97" s="1">
        <f>IF(ISNUMBER(Main_S[[#This Row],[Free CF]]),IF(Main_S[[#This Row],[Free CF]]&lt;&gt;0,Main_S[[#This Row],[Current Price]]/Main_S[[#This Row],[Free CF]],""),"")</f>
        <v>-7.2592592592592586</v>
      </c>
      <c r="I97" s="1">
        <f>IF(ISNUMBER(Main_S[[#This Row],[BVPS]]),IF(Main_S[[#This Row],[BVPS]]&lt;&gt;0,Main_S[[#This Row],[Current Price]]/Main_S[[#This Row],[BVPS]],""),"")</f>
        <v>1.2810457516339868</v>
      </c>
      <c r="J97">
        <v>0.4</v>
      </c>
      <c r="K97">
        <v>-7.0000000000000007E-2</v>
      </c>
      <c r="L97">
        <v>1</v>
      </c>
      <c r="M97" s="1" t="str">
        <f>IF(ISNUMBER(Main_S[[#This Row],[EPS]]),IF(Main_S[[#This Row],[EPS]]&lt;&gt;0,Main_S[[#This Row],[Current Price]]/Main_S[[#This Row],[EPS]],""),"")</f>
        <v/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-1.1635089845591453</v>
      </c>
      <c r="P97" s="1">
        <f>(Main_S[[#This Row],[P/B]]-VLOOKUP(Main_S[[#This Row],[Industry]], Mean_PB_S, 2, FALSE))/(VLOOKUP(Main_S[[#This Row],[Industry]], Mean_PB_S, 3, FALSE))</f>
        <v>8.9352899244491205E-2</v>
      </c>
      <c r="Q97" s="1">
        <f>(Main_S[[#This Row],[ROE]]-VLOOKUP(Main_S[[#This Row],[Industry]], Mean_ROE_S, 2, FALSE))/(VLOOKUP(Main_S[[#This Row],[Industry]], Mean_ROE_S, 3, FALSE))</f>
        <v>-0.4209466980929335</v>
      </c>
      <c r="R97" s="1">
        <f>(Main_S[[#This Row],[ROA]]-VLOOKUP(Main_S[[#This Row],[Industry]], Mean_ROA_S, 2, FALSE))/(VLOOKUP(Main_S[[#This Row],[Industry]], Mean_ROA_S, 3, FALSE))</f>
        <v>-0.81167122448549778</v>
      </c>
      <c r="S97" s="1">
        <f>(Main_S[[#This Row],[A/E]]-VLOOKUP(Main_S[[#This Row],[Industry]], Mean_AE_S, 2, FALSE))/(VLOOKUP(Main_S[[#This Row],[Industry]], Mean_AE_S, 3, FALSE))</f>
        <v>-0.95007064338011238</v>
      </c>
      <c r="T97" s="1" t="e">
        <f>(Main_S[[#This Row],[P/E]]-VLOOKUP(Main_S[[#This Row],[Industry]], Mean_PE_S, 2, FALSE))/(VLOOKUP(Main_S[[#This Row],[Industry]], Mean_PE_S, 3, FALSE))</f>
        <v>#VALUE!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8" spans="1:26" x14ac:dyDescent="0.25">
      <c r="A98" t="s">
        <v>107</v>
      </c>
      <c r="B98" t="s">
        <v>303</v>
      </c>
      <c r="C98" s="2">
        <v>1013</v>
      </c>
      <c r="D98">
        <f>RTD("tos.rtd", , "LAST", Main_S[[#This Row],[Symbol]])</f>
        <v>4.5199999999999996</v>
      </c>
      <c r="E98">
        <v>-0.44</v>
      </c>
      <c r="F98">
        <v>2.66</v>
      </c>
      <c r="G98">
        <v>-0.28000000000000003</v>
      </c>
      <c r="H98" s="1">
        <f>IF(ISNUMBER(Main_S[[#This Row],[Free CF]]),IF(Main_S[[#This Row],[Free CF]]&lt;&gt;0,Main_S[[#This Row],[Current Price]]/Main_S[[#This Row],[Free CF]],""),"")</f>
        <v>-10.272727272727272</v>
      </c>
      <c r="I98" s="1">
        <f>IF(ISNUMBER(Main_S[[#This Row],[BVPS]]),IF(Main_S[[#This Row],[BVPS]]&lt;&gt;0,Main_S[[#This Row],[Current Price]]/Main_S[[#This Row],[BVPS]],""),"")</f>
        <v>1.6992481203007517</v>
      </c>
      <c r="J98">
        <v>-10.5</v>
      </c>
      <c r="K98">
        <v>-4.58</v>
      </c>
      <c r="L98">
        <v>1.1599999999999999</v>
      </c>
      <c r="M98" s="1">
        <f>IF(ISNUMBER(Main_S[[#This Row],[EPS]]),IF(Main_S[[#This Row],[EPS]]&lt;&gt;0,Main_S[[#This Row],[Current Price]]/Main_S[[#This Row],[EPS]],""),"")</f>
        <v>-16.142857142857139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-1.5645423866088009</v>
      </c>
      <c r="P98" s="1">
        <f>(Main_S[[#This Row],[P/B]]-VLOOKUP(Main_S[[#This Row],[Industry]], Mean_PB_S, 2, FALSE))/(VLOOKUP(Main_S[[#This Row],[Industry]], Mean_PB_S, 3, FALSE))</f>
        <v>0.68894674570481595</v>
      </c>
      <c r="Q98" s="1">
        <f>(Main_S[[#This Row],[ROE]]-VLOOKUP(Main_S[[#This Row],[Industry]], Mean_ROE_S, 2, FALSE))/(VLOOKUP(Main_S[[#This Row],[Industry]], Mean_ROE_S, 3, FALSE))</f>
        <v>-0.98418832167773995</v>
      </c>
      <c r="R98" s="1">
        <f>(Main_S[[#This Row],[ROA]]-VLOOKUP(Main_S[[#This Row],[Industry]], Mean_ROA_S, 2, FALSE))/(VLOOKUP(Main_S[[#This Row],[Industry]], Mean_ROA_S, 3, FALSE))</f>
        <v>-1.6472105912667039</v>
      </c>
      <c r="S98" s="1">
        <f>(Main_S[[#This Row],[A/E]]-VLOOKUP(Main_S[[#This Row],[Industry]], Mean_AE_S, 2, FALSE))/(VLOOKUP(Main_S[[#This Row],[Industry]], Mean_AE_S, 3, FALSE))</f>
        <v>-0.82493135586384125</v>
      </c>
      <c r="T98" s="1">
        <f>(Main_S[[#This Row],[P/E]]-VLOOKUP(Main_S[[#This Row],[Industry]], Mean_PE_S, 2, FALSE))/(VLOOKUP(Main_S[[#This Row],[Industry]], Mean_PE_S, 3, FALSE))</f>
        <v>-2.11014647937197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16"/>
  <sheetViews>
    <sheetView topLeftCell="A5" workbookViewId="0">
      <selection activeCell="B24" sqref="B24"/>
    </sheetView>
  </sheetViews>
  <sheetFormatPr defaultRowHeight="15" x14ac:dyDescent="0.25"/>
  <cols>
    <col min="1" max="1" width="27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106</v>
      </c>
      <c r="B3" s="1" cm="1">
        <f t="array" ref="B3">_xlfn.QUARTILE.INC(IF(Quartile_L[[#This Row],[Industry]]=Main_L[Industry],Main_L[P/FCF]),1)</f>
        <v>11.158284044802562</v>
      </c>
      <c r="C3" s="1" cm="1">
        <f t="array" ref="C3">_xlfn.QUARTILE.INC(IF(Quartile_L[[#This Row],[Industry]]=Main_L[Industry],Main_L[P/FCF]),3)</f>
        <v>18.507525998905312</v>
      </c>
      <c r="D3" s="1">
        <f>Quartile_L[[#This Row],[P/FCF Q1]]-1.5*(Quartile_L[[#This Row],[P/FCF Q3]]-Quartile_L[[#This Row],[P/FCF Q1]])</f>
        <v>0.1344211136484379</v>
      </c>
      <c r="E3" s="1">
        <f>Quartile_L[[#This Row],[P/FCF Q3]]+1.5*(Quartile_L[[#This Row],[P/FCF Q3]]-Quartile_L[[#This Row],[P/FCF Q1]])</f>
        <v>29.531388930059435</v>
      </c>
      <c r="F3" s="1" cm="1">
        <f t="array" ref="F3">_xlfn.QUARTILE.INC(IF(Quartile_L[[#This Row],[Industry]]=Main_L[Industry],Main_L[P/B]),1)</f>
        <v>2.0722460370491032</v>
      </c>
      <c r="G3" s="1" cm="1">
        <f t="array" ref="G3">_xlfn.QUARTILE.INC(IF(Quartile_L[[#This Row],[Industry]]=Main_L[Industry],Main_L[P/B]),3)</f>
        <v>2.2929522986190265</v>
      </c>
      <c r="H3" s="1">
        <f>Quartile_L[[#This Row],[P/B Q1]]-1.5*(Quartile_L[[#This Row],[P/B Q3]]-Quartile_L[[#This Row],[P/B Q1]])</f>
        <v>1.7411866446942181</v>
      </c>
      <c r="I3" s="1">
        <f>Quartile_L[[#This Row],[P/B Q3]]+1.5*(Quartile_L[[#This Row],[P/B Q3]]-Quartile_L[[#This Row],[P/B Q1]])</f>
        <v>2.6240116909739113</v>
      </c>
      <c r="J3" s="1" cm="1">
        <f t="array" ref="J3">_xlfn.QUARTILE.INC(IF(Quartile_L[[#This Row],[Industry]]=Main_L[Industry],Main_L[ROE]),1)</f>
        <v>16.164999999999999</v>
      </c>
      <c r="K3" s="1" cm="1">
        <f t="array" ref="K3">_xlfn.QUARTILE.INC(IF(Quartile_L[[#This Row],[Industry]]=Main_L[Industry],Main_L[ROE]),3)</f>
        <v>20.399999999999999</v>
      </c>
      <c r="L3" s="1">
        <f>Quartile_L[[#This Row],[ROE Q1]]-1.5*(Quartile_L[[#This Row],[ROE Q3]]-Quartile_L[[#This Row],[ROE Q1]])</f>
        <v>9.8125</v>
      </c>
      <c r="M3" s="1">
        <f>Quartile_L[[#This Row],[ROE Q3]]+1.5*(Quartile_L[[#This Row],[ROE Q3]]-Quartile_L[[#This Row],[ROE Q1]])</f>
        <v>26.752499999999998</v>
      </c>
      <c r="N3" s="1" cm="1">
        <f t="array" ref="N3">_xlfn.QUARTILE.INC(IF(Quartile_L[[#This Row],[Industry]]=Main_L[Industry],Main_L[ROA]),1)</f>
        <v>6.4350000000000005</v>
      </c>
      <c r="O3" s="1" cm="1">
        <f t="array" ref="O3">_xlfn.QUARTILE.INC(IF(Quartile_L[[#This Row],[Industry]]=Main_L[Industry],Main_L[ROA]),3)</f>
        <v>8.3775000000000013</v>
      </c>
      <c r="P3" s="1">
        <f>Quartile_L[[#This Row],[ROA Q1]]-1.5*(Quartile_L[[#This Row],[ROA Q3]]-Quartile_L[[#This Row],[ROA Q1]])</f>
        <v>3.5212499999999993</v>
      </c>
      <c r="Q3" s="1">
        <f>Quartile_L[[#This Row],[ROA Q3]]+1.5*(Quartile_L[[#This Row],[ROA Q3]]-Quartile_L[[#This Row],[ROA Q1]])</f>
        <v>11.291250000000002</v>
      </c>
      <c r="R3" s="1" cm="1">
        <f t="array" ref="R3">_xlfn.QUARTILE.INC(IF(Quartile_L[[#This Row],[Industry]]=Main_L[Industry],Main_L[P/E]),1)</f>
        <v>11.36928490990991</v>
      </c>
      <c r="S3" s="1" cm="1">
        <f t="array" ref="S3">_xlfn.QUARTILE.INC(IF(Quartile_L[[#This Row],[Industry]]=Main_L[Industry],Main_L[P/E]),3)</f>
        <v>15.108927113214262</v>
      </c>
      <c r="T3" s="1">
        <f>Quartile_L[[#This Row],[P/E Q1]]-1.5*(Quartile_L[[#This Row],[P/E Q3]]-Quartile_L[[#This Row],[P/E Q1]])</f>
        <v>5.7598216049533804</v>
      </c>
      <c r="U3" s="1">
        <f>Quartile_L[[#This Row],[P/E Q3]]+1.5*(Quartile_L[[#This Row],[P/E Q3]]-Quartile_L[[#This Row],[P/E Q1]])</f>
        <v>20.718390418170792</v>
      </c>
      <c r="V3" s="1" cm="1">
        <f t="array" ref="V3">_xlfn.QUARTILE.INC(IF(Quartile_L[[#This Row],[Industry]]=Main_L[Industry],Main_L[A/E]),1)</f>
        <v>1.9800000000000002</v>
      </c>
      <c r="W3" s="1" cm="1">
        <f t="array" ref="W3">_xlfn.QUARTILE.INC(IF(Quartile_L[[#This Row],[Industry]]=Main_L[Industry],Main_L[A/E]),3)</f>
        <v>2.4500000000000002</v>
      </c>
      <c r="X3" s="1">
        <f>Quartile_L[[#This Row],[A/E Q1]]-1.5*(Quartile_L[[#This Row],[A/E Q3]]-Quartile_L[[#This Row],[A/E Q1]])</f>
        <v>1.2750000000000004</v>
      </c>
      <c r="Y3" s="1">
        <f>Quartile_L[[#This Row],[A/E Q3]]+1.5*(Quartile_L[[#This Row],[A/E Q3]]-Quartile_L[[#This Row],[A/E Q1]])</f>
        <v>3.1550000000000002</v>
      </c>
    </row>
    <row r="4" spans="1:25" x14ac:dyDescent="0.25">
      <c r="A4" t="s">
        <v>107</v>
      </c>
      <c r="B4" s="1" cm="1">
        <f t="array" ref="B4">_xlfn.QUARTILE.INC(IF(Quartile_L[[#This Row],[Industry]]=Main_L[Industry],Main_L[P/FCF]),1)</f>
        <v>9.8864142538975504</v>
      </c>
      <c r="C4" s="1" cm="1">
        <f t="array" ref="C4">_xlfn.QUARTILE.INC(IF(Quartile_L[[#This Row],[Industry]]=Main_L[Industry],Main_L[P/FCF]),3)</f>
        <v>28.645833333333336</v>
      </c>
      <c r="D4" s="1">
        <f>Quartile_L[[#This Row],[P/FCF Q1]]-1.5*(Quartile_L[[#This Row],[P/FCF Q3]]-Quartile_L[[#This Row],[P/FCF Q1]])</f>
        <v>-18.252714365256132</v>
      </c>
      <c r="E4" s="1">
        <f>Quartile_L[[#This Row],[P/FCF Q3]]+1.5*(Quartile_L[[#This Row],[P/FCF Q3]]-Quartile_L[[#This Row],[P/FCF Q1]])</f>
        <v>56.784961952487016</v>
      </c>
      <c r="F4" s="1" cm="1">
        <f t="array" ref="F4">_xlfn.QUARTILE.INC(IF(Quartile_L[[#This Row],[Industry]]=Main_L[Industry],Main_L[P/B]),1)</f>
        <v>1.6100834240116069</v>
      </c>
      <c r="G4" s="1" cm="1">
        <f t="array" ref="G4">_xlfn.QUARTILE.INC(IF(Quartile_L[[#This Row],[Industry]]=Main_L[Industry],Main_L[P/B]),3)</f>
        <v>2.8995726495726499</v>
      </c>
      <c r="H4" s="1">
        <f>Quartile_L[[#This Row],[P/B Q1]]-1.5*(Quartile_L[[#This Row],[P/B Q3]]-Quartile_L[[#This Row],[P/B Q1]])</f>
        <v>-0.32415041432995761</v>
      </c>
      <c r="I4" s="1">
        <f>Quartile_L[[#This Row],[P/B Q3]]+1.5*(Quartile_L[[#This Row],[P/B Q3]]-Quartile_L[[#This Row],[P/B Q1]])</f>
        <v>4.8338064879142149</v>
      </c>
      <c r="J4" s="1" cm="1">
        <f t="array" ref="J4">_xlfn.QUARTILE.INC(IF(Quartile_L[[#This Row],[Industry]]=Main_L[Industry],Main_L[ROE]),1)</f>
        <v>8.35</v>
      </c>
      <c r="K4" s="1" cm="1">
        <f t="array" ref="K4">_xlfn.QUARTILE.INC(IF(Quartile_L[[#This Row],[Industry]]=Main_L[Industry],Main_L[ROE]),3)</f>
        <v>19.925000000000001</v>
      </c>
      <c r="L4" s="1">
        <f>Quartile_L[[#This Row],[ROE Q1]]-1.5*(Quartile_L[[#This Row],[ROE Q3]]-Quartile_L[[#This Row],[ROE Q1]])</f>
        <v>-9.0125000000000011</v>
      </c>
      <c r="M4" s="1">
        <f>Quartile_L[[#This Row],[ROE Q3]]+1.5*(Quartile_L[[#This Row],[ROE Q3]]-Quartile_L[[#This Row],[ROE Q1]])</f>
        <v>37.287500000000001</v>
      </c>
      <c r="N4" s="1" cm="1">
        <f t="array" ref="N4">_xlfn.QUARTILE.INC(IF(Quartile_L[[#This Row],[Industry]]=Main_L[Industry],Main_L[ROA]),1)</f>
        <v>3.5874999999999999</v>
      </c>
      <c r="O4" s="1" cm="1">
        <f t="array" ref="O4">_xlfn.QUARTILE.INC(IF(Quartile_L[[#This Row],[Industry]]=Main_L[Industry],Main_L[ROA]),3)</f>
        <v>7.6300000000000008</v>
      </c>
      <c r="P4" s="1">
        <f>Quartile_L[[#This Row],[ROA Q1]]-1.5*(Quartile_L[[#This Row],[ROA Q3]]-Quartile_L[[#This Row],[ROA Q1]])</f>
        <v>-2.4762500000000007</v>
      </c>
      <c r="Q4" s="1">
        <f>Quartile_L[[#This Row],[ROA Q3]]+1.5*(Quartile_L[[#This Row],[ROA Q3]]-Quartile_L[[#This Row],[ROA Q1]])</f>
        <v>13.693750000000001</v>
      </c>
      <c r="R4" s="1" cm="1">
        <f t="array" ref="R4">_xlfn.QUARTILE.INC(IF(Quartile_L[[#This Row],[Industry]]=Main_L[Industry],Main_L[P/E]),1)</f>
        <v>11.375579598145286</v>
      </c>
      <c r="S4" s="1" cm="1">
        <f t="array" ref="S4">_xlfn.QUARTILE.INC(IF(Quartile_L[[#This Row],[Industry]]=Main_L[Industry],Main_L[P/E]),3)</f>
        <v>27.831521739130434</v>
      </c>
      <c r="T4" s="1">
        <f>Quartile_L[[#This Row],[P/E Q1]]-1.5*(Quartile_L[[#This Row],[P/E Q3]]-Quartile_L[[#This Row],[P/E Q1]])</f>
        <v>-13.308333613332437</v>
      </c>
      <c r="U4" s="1">
        <f>Quartile_L[[#This Row],[P/E Q3]]+1.5*(Quartile_L[[#This Row],[P/E Q3]]-Quartile_L[[#This Row],[P/E Q1]])</f>
        <v>52.515434950608153</v>
      </c>
      <c r="V4" s="1" cm="1">
        <f t="array" ref="V4">_xlfn.QUARTILE.INC(IF(Quartile_L[[#This Row],[Industry]]=Main_L[Industry],Main_L[A/E]),1)</f>
        <v>1.8975</v>
      </c>
      <c r="W4" s="1" cm="1">
        <f t="array" ref="W4">_xlfn.QUARTILE.INC(IF(Quartile_L[[#This Row],[Industry]]=Main_L[Industry],Main_L[A/E]),3)</f>
        <v>3.585</v>
      </c>
      <c r="X4" s="1">
        <f>Quartile_L[[#This Row],[A/E Q1]]-1.5*(Quartile_L[[#This Row],[A/E Q3]]-Quartile_L[[#This Row],[A/E Q1]])</f>
        <v>-0.63375000000000004</v>
      </c>
      <c r="Y4" s="1">
        <f>Quartile_L[[#This Row],[A/E Q3]]+1.5*(Quartile_L[[#This Row],[A/E Q3]]-Quartile_L[[#This Row],[A/E Q1]])</f>
        <v>6.11625</v>
      </c>
    </row>
    <row r="7" spans="1:25" x14ac:dyDescent="0.25">
      <c r="A7" t="s">
        <v>22</v>
      </c>
    </row>
    <row r="8" spans="1:25" x14ac:dyDescent="0.25">
      <c r="A8" t="s">
        <v>1</v>
      </c>
      <c r="B8" t="s">
        <v>2</v>
      </c>
      <c r="C8" t="s">
        <v>3</v>
      </c>
      <c r="D8" t="s">
        <v>4</v>
      </c>
      <c r="E8" t="s">
        <v>5</v>
      </c>
      <c r="F8" t="s">
        <v>72</v>
      </c>
      <c r="G8" t="s">
        <v>73</v>
      </c>
      <c r="H8" t="s">
        <v>74</v>
      </c>
      <c r="I8" t="s">
        <v>75</v>
      </c>
      <c r="J8" t="s">
        <v>6</v>
      </c>
      <c r="K8" t="s">
        <v>7</v>
      </c>
      <c r="L8" t="s">
        <v>8</v>
      </c>
      <c r="M8" t="s">
        <v>9</v>
      </c>
      <c r="N8" t="s">
        <v>10</v>
      </c>
      <c r="O8" t="s">
        <v>11</v>
      </c>
      <c r="P8" t="s">
        <v>12</v>
      </c>
      <c r="Q8" t="s">
        <v>13</v>
      </c>
      <c r="R8" t="s">
        <v>14</v>
      </c>
      <c r="S8" t="s">
        <v>15</v>
      </c>
      <c r="T8" t="s">
        <v>16</v>
      </c>
      <c r="U8" t="s">
        <v>17</v>
      </c>
      <c r="V8" t="s">
        <v>18</v>
      </c>
      <c r="W8" t="s">
        <v>19</v>
      </c>
      <c r="X8" t="s">
        <v>20</v>
      </c>
      <c r="Y8" t="s">
        <v>21</v>
      </c>
    </row>
    <row r="9" spans="1:25" x14ac:dyDescent="0.25">
      <c r="A9" t="s">
        <v>106</v>
      </c>
      <c r="B9" s="1" cm="1">
        <f t="array" ref="B9">_xlfn.QUARTILE.INC(IF(Quartile_M[[#This Row],[Industry]]=Main_M[Industry],Main_M[P/FCF]),1)</f>
        <v>5.7422346496982417</v>
      </c>
      <c r="C9" s="1" cm="1">
        <f t="array" ref="C9">_xlfn.QUARTILE.INC(IF(Quartile_M[[#This Row],[Industry]]=Main_M[Industry],Main_M[P/FCF]),3)</f>
        <v>27.235921158487532</v>
      </c>
      <c r="D9" s="1">
        <f>Quartile_M[[#This Row],[P/FCF Q1]]-1.5*(Quartile_M[[#This Row],[P/FCF Q3]]-Quartile_M[[#This Row],[P/FCF Q1]])</f>
        <v>-26.498295113485689</v>
      </c>
      <c r="E9" s="1">
        <f>Quartile_M[[#This Row],[P/FCF Q3]]+1.5*(Quartile_M[[#This Row],[P/FCF Q3]]-Quartile_M[[#This Row],[P/FCF Q1]])</f>
        <v>59.476450921671457</v>
      </c>
      <c r="F9" s="1" cm="1">
        <f t="array" ref="F9">_xlfn.QUARTILE.INC(IF(Quartile_M[[#This Row],[Industry]]=Main_M[Industry],Main_M[P/B]),1)</f>
        <v>0.75493746462257905</v>
      </c>
      <c r="G9" s="1" cm="1">
        <f t="array" ref="G9">_xlfn.QUARTILE.INC(IF(Quartile_M[[#This Row],[Industry]]=Main_M[Industry],Main_M[P/B]),3)</f>
        <v>2.6480880230880235</v>
      </c>
      <c r="H9" s="1">
        <f>Quartile_M[[#This Row],[P/B Q1]]-1.5*(Quartile_M[[#This Row],[P/B Q3]]-Quartile_M[[#This Row],[P/B Q1]])</f>
        <v>-2.0847883730755874</v>
      </c>
      <c r="I9" s="1">
        <f>Quartile_M[[#This Row],[P/B Q3]]+1.5*(Quartile_M[[#This Row],[P/B Q3]]-Quartile_M[[#This Row],[P/B Q1]])</f>
        <v>5.4878138607861899</v>
      </c>
      <c r="J9" s="1" cm="1">
        <f t="array" ref="J9">_xlfn.QUARTILE.INC(IF(Quartile_M[[#This Row],[Industry]]=Main_M[Industry],Main_M[ROE]),1)</f>
        <v>7.8849999999999998</v>
      </c>
      <c r="K9" s="1" cm="1">
        <f t="array" ref="K9">_xlfn.QUARTILE.INC(IF(Quartile_M[[#This Row],[Industry]]=Main_M[Industry],Main_M[ROE]),3)</f>
        <v>17.547499999999999</v>
      </c>
      <c r="L9" s="1">
        <f>Quartile_M[[#This Row],[ROE Q1]]-1.5*(Quartile_M[[#This Row],[ROE Q3]]-Quartile_M[[#This Row],[ROE Q1]])</f>
        <v>-6.6087499999999988</v>
      </c>
      <c r="M9" s="1">
        <f>Quartile_M[[#This Row],[ROE Q3]]+1.5*(Quartile_M[[#This Row],[ROE Q3]]-Quartile_M[[#This Row],[ROE Q1]])</f>
        <v>32.041249999999998</v>
      </c>
      <c r="N9" s="1" cm="1">
        <f t="array" ref="N9">_xlfn.QUARTILE.INC(IF(Quartile_M[[#This Row],[Industry]]=Main_M[Industry],Main_M[ROA]),1)</f>
        <v>5.61</v>
      </c>
      <c r="O9" s="1" cm="1">
        <f t="array" ref="O9">_xlfn.QUARTILE.INC(IF(Quartile_M[[#This Row],[Industry]]=Main_M[Industry],Main_M[ROA]),3)</f>
        <v>7.6624999999999996</v>
      </c>
      <c r="P9" s="1">
        <f>Quartile_M[[#This Row],[ROA Q1]]-1.5*(Quartile_M[[#This Row],[ROA Q3]]-Quartile_M[[#This Row],[ROA Q1]])</f>
        <v>2.5312500000000013</v>
      </c>
      <c r="Q9" s="1">
        <f>Quartile_M[[#This Row],[ROA Q3]]+1.5*(Quartile_M[[#This Row],[ROA Q3]]-Quartile_M[[#This Row],[ROA Q1]])</f>
        <v>10.741249999999999</v>
      </c>
      <c r="R9" s="1" cm="1">
        <f t="array" ref="R9">_xlfn.QUARTILE.INC(IF(Quartile_M[[#This Row],[Industry]]=Main_M[Industry],Main_M[P/E]),1)</f>
        <v>8.9737878787878778</v>
      </c>
      <c r="S9" s="1" cm="1">
        <f t="array" ref="S9">_xlfn.QUARTILE.INC(IF(Quartile_M[[#This Row],[Industry]]=Main_M[Industry],Main_M[P/E]),3)</f>
        <v>24.454166666666669</v>
      </c>
      <c r="T9" s="1">
        <f>Quartile_M[[#This Row],[P/E Q1]]-1.5*(Quartile_M[[#This Row],[P/E Q3]]-Quartile_M[[#This Row],[P/E Q1]])</f>
        <v>-14.24678030303031</v>
      </c>
      <c r="U9" s="1">
        <f>Quartile_M[[#This Row],[P/E Q3]]+1.5*(Quartile_M[[#This Row],[P/E Q3]]-Quartile_M[[#This Row],[P/E Q1]])</f>
        <v>47.67473484848486</v>
      </c>
      <c r="V9" s="1" cm="1">
        <f t="array" ref="V9">_xlfn.QUARTILE.INC(IF(Quartile_M[[#This Row],[Industry]]=Main_M[Industry],Main_M[A/E]),1)</f>
        <v>1.66</v>
      </c>
      <c r="W9" s="1" cm="1">
        <f t="array" ref="W9">_xlfn.QUARTILE.INC(IF(Quartile_M[[#This Row],[Industry]]=Main_M[Industry],Main_M[A/E]),3)</f>
        <v>2.2149999999999999</v>
      </c>
      <c r="X9" s="1">
        <f>Quartile_M[[#This Row],[A/E Q1]]-1.5*(Quartile_M[[#This Row],[A/E Q3]]-Quartile_M[[#This Row],[A/E Q1]])</f>
        <v>0.82750000000000001</v>
      </c>
      <c r="Y9" s="1">
        <f>Quartile_M[[#This Row],[A/E Q3]]+1.5*(Quartile_M[[#This Row],[A/E Q3]]-Quartile_M[[#This Row],[A/E Q1]])</f>
        <v>3.0474999999999999</v>
      </c>
    </row>
    <row r="10" spans="1:25" x14ac:dyDescent="0.25">
      <c r="A10" t="s">
        <v>107</v>
      </c>
      <c r="B10" s="1" cm="1">
        <f t="array" ref="B10">_xlfn.QUARTILE.INC(IF(Quartile_M[[#This Row],[Industry]]=Main_M[Industry],Main_M[P/FCF]),1)</f>
        <v>-2.4608160565617059</v>
      </c>
      <c r="C10" s="1" cm="1">
        <f t="array" ref="C10">_xlfn.QUARTILE.INC(IF(Quartile_M[[#This Row],[Industry]]=Main_M[Industry],Main_M[P/FCF]),3)</f>
        <v>12.288415087328131</v>
      </c>
      <c r="D10" s="1">
        <f>Quartile_M[[#This Row],[P/FCF Q1]]-1.5*(Quartile_M[[#This Row],[P/FCF Q3]]-Quartile_M[[#This Row],[P/FCF Q1]])</f>
        <v>-24.584662772396463</v>
      </c>
      <c r="E10" s="1">
        <f>Quartile_M[[#This Row],[P/FCF Q3]]+1.5*(Quartile_M[[#This Row],[P/FCF Q3]]-Quartile_M[[#This Row],[P/FCF Q1]])</f>
        <v>34.412261803162885</v>
      </c>
      <c r="F10" s="1" cm="1">
        <f t="array" ref="F10">_xlfn.QUARTILE.INC(IF(Quartile_M[[#This Row],[Industry]]=Main_M[Industry],Main_M[P/B]),1)</f>
        <v>1.0122367790623685</v>
      </c>
      <c r="G10" s="1" cm="1">
        <f t="array" ref="G10">_xlfn.QUARTILE.INC(IF(Quartile_M[[#This Row],[Industry]]=Main_M[Industry],Main_M[P/B]),3)</f>
        <v>2.953633104547126</v>
      </c>
      <c r="H10" s="1">
        <f>Quartile_M[[#This Row],[P/B Q1]]-1.5*(Quartile_M[[#This Row],[P/B Q3]]-Quartile_M[[#This Row],[P/B Q1]])</f>
        <v>-1.8998577091647677</v>
      </c>
      <c r="I10" s="1">
        <f>Quartile_M[[#This Row],[P/B Q3]]+1.5*(Quartile_M[[#This Row],[P/B Q3]]-Quartile_M[[#This Row],[P/B Q1]])</f>
        <v>5.8657275927742623</v>
      </c>
      <c r="J10" s="1" cm="1">
        <f t="array" ref="J10">_xlfn.QUARTILE.INC(IF(Quartile_M[[#This Row],[Industry]]=Main_M[Industry],Main_M[ROE]),1)</f>
        <v>-0.22249999999999992</v>
      </c>
      <c r="K10" s="1" cm="1">
        <f t="array" ref="K10">_xlfn.QUARTILE.INC(IF(Quartile_M[[#This Row],[Industry]]=Main_M[Industry],Main_M[ROE]),3)</f>
        <v>19.815000000000001</v>
      </c>
      <c r="L10" s="1">
        <f>Quartile_M[[#This Row],[ROE Q1]]-1.5*(Quartile_M[[#This Row],[ROE Q3]]-Quartile_M[[#This Row],[ROE Q1]])</f>
        <v>-30.278750000000002</v>
      </c>
      <c r="M10" s="1">
        <f>Quartile_M[[#This Row],[ROE Q3]]+1.5*(Quartile_M[[#This Row],[ROE Q3]]-Quartile_M[[#This Row],[ROE Q1]])</f>
        <v>49.871250000000003</v>
      </c>
      <c r="N10" s="1" cm="1">
        <f t="array" ref="N10">_xlfn.QUARTILE.INC(IF(Quartile_M[[#This Row],[Industry]]=Main_M[Industry],Main_M[ROA]),1)</f>
        <v>2.8224999999999998</v>
      </c>
      <c r="O10" s="1" cm="1">
        <f t="array" ref="O10">_xlfn.QUARTILE.INC(IF(Quartile_M[[#This Row],[Industry]]=Main_M[Industry],Main_M[ROA]),3)</f>
        <v>7.5925000000000002</v>
      </c>
      <c r="P10" s="1">
        <f>Quartile_M[[#This Row],[ROA Q1]]-1.5*(Quartile_M[[#This Row],[ROA Q3]]-Quartile_M[[#This Row],[ROA Q1]])</f>
        <v>-4.3325000000000014</v>
      </c>
      <c r="Q10" s="1">
        <f>Quartile_M[[#This Row],[ROA Q3]]+1.5*(Quartile_M[[#This Row],[ROA Q3]]-Quartile_M[[#This Row],[ROA Q1]])</f>
        <v>14.747500000000002</v>
      </c>
      <c r="R10" s="1" cm="1">
        <f t="array" ref="R10">_xlfn.QUARTILE.INC(IF(Quartile_M[[#This Row],[Industry]]=Main_M[Industry],Main_M[P/E]),1)</f>
        <v>3.4774089635854342</v>
      </c>
      <c r="S10" s="1" cm="1">
        <f t="array" ref="S10">_xlfn.QUARTILE.INC(IF(Quartile_M[[#This Row],[Industry]]=Main_M[Industry],Main_M[P/E]),3)</f>
        <v>13.248078111873701</v>
      </c>
      <c r="T10" s="1">
        <f>Quartile_M[[#This Row],[P/E Q1]]-1.5*(Quartile_M[[#This Row],[P/E Q3]]-Quartile_M[[#This Row],[P/E Q1]])</f>
        <v>-11.178594758846966</v>
      </c>
      <c r="U10" s="1">
        <f>Quartile_M[[#This Row],[P/E Q3]]+1.5*(Quartile_M[[#This Row],[P/E Q3]]-Quartile_M[[#This Row],[P/E Q1]])</f>
        <v>27.904081834306101</v>
      </c>
      <c r="V10" s="1" cm="1">
        <f t="array" ref="V10">_xlfn.QUARTILE.INC(IF(Quartile_M[[#This Row],[Industry]]=Main_M[Industry],Main_M[A/E]),1)</f>
        <v>1.6475</v>
      </c>
      <c r="W10" s="1" cm="1">
        <f t="array" ref="W10">_xlfn.QUARTILE.INC(IF(Quartile_M[[#This Row],[Industry]]=Main_M[Industry],Main_M[A/E]),3)</f>
        <v>2.7450000000000001</v>
      </c>
      <c r="X10" s="1">
        <f>Quartile_M[[#This Row],[A/E Q1]]-1.5*(Quartile_M[[#This Row],[A/E Q3]]-Quartile_M[[#This Row],[A/E Q1]])</f>
        <v>1.2499999999997513E-3</v>
      </c>
      <c r="Y10" s="1">
        <f>Quartile_M[[#This Row],[A/E Q3]]+1.5*(Quartile_M[[#This Row],[A/E Q3]]-Quartile_M[[#This Row],[A/E Q1]])</f>
        <v>4.3912500000000003</v>
      </c>
    </row>
    <row r="13" spans="1:25" x14ac:dyDescent="0.25">
      <c r="A13" t="s">
        <v>23</v>
      </c>
    </row>
    <row r="14" spans="1:25" x14ac:dyDescent="0.25">
      <c r="A14" t="s">
        <v>1</v>
      </c>
      <c r="B14" t="s">
        <v>2</v>
      </c>
      <c r="C14" t="s">
        <v>3</v>
      </c>
      <c r="D14" t="s">
        <v>4</v>
      </c>
      <c r="E14" t="s">
        <v>5</v>
      </c>
      <c r="F14" t="s">
        <v>72</v>
      </c>
      <c r="G14" t="s">
        <v>73</v>
      </c>
      <c r="H14" t="s">
        <v>74</v>
      </c>
      <c r="I14" t="s">
        <v>75</v>
      </c>
      <c r="J14" t="s">
        <v>6</v>
      </c>
      <c r="K14" t="s">
        <v>7</v>
      </c>
      <c r="L14" t="s">
        <v>8</v>
      </c>
      <c r="M14" t="s">
        <v>9</v>
      </c>
      <c r="N14" t="s">
        <v>10</v>
      </c>
      <c r="O14" t="s">
        <v>11</v>
      </c>
      <c r="P14" t="s">
        <v>12</v>
      </c>
      <c r="Q14" t="s">
        <v>13</v>
      </c>
      <c r="R14" t="s">
        <v>14</v>
      </c>
      <c r="S14" t="s">
        <v>15</v>
      </c>
      <c r="T14" t="s">
        <v>16</v>
      </c>
      <c r="U14" t="s">
        <v>17</v>
      </c>
      <c r="V14" t="s">
        <v>18</v>
      </c>
      <c r="W14" t="s">
        <v>19</v>
      </c>
      <c r="X14" t="s">
        <v>20</v>
      </c>
      <c r="Y14" t="s">
        <v>21</v>
      </c>
    </row>
    <row r="15" spans="1:25" x14ac:dyDescent="0.25">
      <c r="A15" t="s">
        <v>106</v>
      </c>
      <c r="B15" s="1" cm="1">
        <f t="array" ref="B15">_xlfn.QUARTILE.INC(IF(Quartile_S[[#This Row],[Industry]]=Main_S[Industry],Main_S[P/FCF]),1)</f>
        <v>-1.7160424669227488</v>
      </c>
      <c r="C15" s="1" cm="1">
        <f t="array" ref="C15">_xlfn.QUARTILE.INC(IF(Quartile_S[[#This Row],[Industry]]=Main_S[Industry],Main_S[P/FCF]),3)</f>
        <v>9.5301685891747994</v>
      </c>
      <c r="D15" s="1">
        <f>Quartile_S[[#This Row],[P/FCF Q1]]-1.5*(Quartile_S[[#This Row],[P/FCF Q3]]-Quartile_S[[#This Row],[P/FCF Q1]])</f>
        <v>-18.585359051069069</v>
      </c>
      <c r="E15" s="1">
        <f>Quartile_S[[#This Row],[P/FCF Q3]]+1.5*(Quartile_S[[#This Row],[P/FCF Q3]]-Quartile_S[[#This Row],[P/FCF Q1]])</f>
        <v>26.399485173321121</v>
      </c>
      <c r="F15" s="1" cm="1">
        <f t="array" ref="F15">_xlfn.QUARTILE.INC(IF(Quartile_S[[#This Row],[Industry]]=Main_S[Industry],Main_S[P/B]),1)</f>
        <v>0.72722429154571533</v>
      </c>
      <c r="G15" s="1" cm="1">
        <f t="array" ref="G15">_xlfn.QUARTILE.INC(IF(Quartile_S[[#This Row],[Industry]]=Main_S[Industry],Main_S[P/B]),3)</f>
        <v>1.6925682017442156</v>
      </c>
      <c r="H15" s="1">
        <f>Quartile_S[[#This Row],[P/B Q1]]-1.5*(Quartile_S[[#This Row],[P/B Q3]]-Quartile_S[[#This Row],[P/B Q1]])</f>
        <v>-0.72079157375203506</v>
      </c>
      <c r="I15" s="1">
        <f>Quartile_S[[#This Row],[P/B Q3]]+1.5*(Quartile_S[[#This Row],[P/B Q3]]-Quartile_S[[#This Row],[P/B Q1]])</f>
        <v>3.1405840670419662</v>
      </c>
      <c r="J15" s="1" cm="1">
        <f t="array" ref="J15">_xlfn.QUARTILE.INC(IF(Quartile_S[[#This Row],[Industry]]=Main_S[Industry],Main_S[ROE]),1)</f>
        <v>3.92</v>
      </c>
      <c r="K15" s="1" cm="1">
        <f t="array" ref="K15">_xlfn.QUARTILE.INC(IF(Quartile_S[[#This Row],[Industry]]=Main_S[Industry],Main_S[ROE]),3)</f>
        <v>13.18</v>
      </c>
      <c r="L15" s="1">
        <f>Quartile_S[[#This Row],[ROE Q1]]-1.5*(Quartile_S[[#This Row],[ROE Q3]]-Quartile_S[[#This Row],[ROE Q1]])</f>
        <v>-9.9700000000000006</v>
      </c>
      <c r="M15" s="1">
        <f>Quartile_S[[#This Row],[ROE Q3]]+1.5*(Quartile_S[[#This Row],[ROE Q3]]-Quartile_S[[#This Row],[ROE Q1]])</f>
        <v>27.07</v>
      </c>
      <c r="N15" s="1" cm="1">
        <f t="array" ref="N15">_xlfn.QUARTILE.INC(IF(Quartile_S[[#This Row],[Industry]]=Main_S[Industry],Main_S[ROA]),1)</f>
        <v>3.2</v>
      </c>
      <c r="O15" s="1" cm="1">
        <f t="array" ref="O15">_xlfn.QUARTILE.INC(IF(Quartile_S[[#This Row],[Industry]]=Main_S[Industry],Main_S[ROA]),3)</f>
        <v>5.94</v>
      </c>
      <c r="P15" s="1">
        <f>Quartile_S[[#This Row],[ROA Q1]]-1.5*(Quartile_S[[#This Row],[ROA Q3]]-Quartile_S[[#This Row],[ROA Q1]])</f>
        <v>-0.91000000000000014</v>
      </c>
      <c r="Q15" s="1">
        <f>Quartile_S[[#This Row],[ROA Q3]]+1.5*(Quartile_S[[#This Row],[ROA Q3]]-Quartile_S[[#This Row],[ROA Q1]])</f>
        <v>10.050000000000001</v>
      </c>
      <c r="R15" s="1" cm="1">
        <f t="array" ref="R15">_xlfn.QUARTILE.INC(IF(Quartile_S[[#This Row],[Industry]]=Main_S[Industry],Main_S[P/E]),1)</f>
        <v>6.1779857673267333</v>
      </c>
      <c r="S15" s="1" cm="1">
        <f t="array" ref="S15">_xlfn.QUARTILE.INC(IF(Quartile_S[[#This Row],[Industry]]=Main_S[Industry],Main_S[P/E]),3)</f>
        <v>18.427620200622624</v>
      </c>
      <c r="T15" s="1">
        <f>Quartile_S[[#This Row],[P/E Q1]]-1.5*(Quartile_S[[#This Row],[P/E Q3]]-Quartile_S[[#This Row],[P/E Q1]])</f>
        <v>-12.196465882617103</v>
      </c>
      <c r="U15" s="1">
        <f>Quartile_S[[#This Row],[P/E Q3]]+1.5*(Quartile_S[[#This Row],[P/E Q3]]-Quartile_S[[#This Row],[P/E Q1]])</f>
        <v>36.802071850566463</v>
      </c>
      <c r="V15" s="1" cm="1">
        <f t="array" ref="V15">_xlfn.QUARTILE.INC(IF(Quartile_S[[#This Row],[Industry]]=Main_S[Industry],Main_S[A/E]),1)</f>
        <v>1.51</v>
      </c>
      <c r="W15" s="1" cm="1">
        <f t="array" ref="W15">_xlfn.QUARTILE.INC(IF(Quartile_S[[#This Row],[Industry]]=Main_S[Industry],Main_S[A/E]),3)</f>
        <v>2.66</v>
      </c>
      <c r="X15" s="1">
        <f>Quartile_S[[#This Row],[A/E Q1]]-1.5*(Quartile_S[[#This Row],[A/E Q3]]-Quartile_S[[#This Row],[A/E Q1]])</f>
        <v>-0.21500000000000008</v>
      </c>
      <c r="Y15" s="1">
        <f>Quartile_S[[#This Row],[A/E Q3]]+1.5*(Quartile_S[[#This Row],[A/E Q3]]-Quartile_S[[#This Row],[A/E Q1]])</f>
        <v>4.3849999999999998</v>
      </c>
    </row>
    <row r="16" spans="1:25" x14ac:dyDescent="0.25">
      <c r="A16" t="s">
        <v>107</v>
      </c>
      <c r="B16" s="1" cm="1">
        <f t="array" ref="B16">_xlfn.QUARTILE.INC(IF(Quartile_S[[#This Row],[Industry]]=Main_S[Industry],Main_S[P/FCF]),1)</f>
        <v>-4.8914027149321271</v>
      </c>
      <c r="C16" s="1" cm="1">
        <f t="array" ref="C16">_xlfn.QUARTILE.INC(IF(Quartile_S[[#This Row],[Industry]]=Main_S[Industry],Main_S[P/FCF]),3)</f>
        <v>8.132352941176471</v>
      </c>
      <c r="D16" s="1">
        <f>Quartile_S[[#This Row],[P/FCF Q1]]-1.5*(Quartile_S[[#This Row],[P/FCF Q3]]-Quartile_S[[#This Row],[P/FCF Q1]])</f>
        <v>-24.427036199095024</v>
      </c>
      <c r="E16" s="1">
        <f>Quartile_S[[#This Row],[P/FCF Q3]]+1.5*(Quartile_S[[#This Row],[P/FCF Q3]]-Quartile_S[[#This Row],[P/FCF Q1]])</f>
        <v>27.667986425339368</v>
      </c>
      <c r="F16" s="1" cm="1">
        <f t="array" ref="F16">_xlfn.QUARTILE.INC(IF(Quartile_S[[#This Row],[Industry]]=Main_S[Industry],Main_S[P/B]),1)</f>
        <v>0.80167309286797539</v>
      </c>
      <c r="G16" s="1" cm="1">
        <f t="array" ref="G16">_xlfn.QUARTILE.INC(IF(Quartile_S[[#This Row],[Industry]]=Main_S[Industry],Main_S[P/B]),3)</f>
        <v>1.9710947712418301</v>
      </c>
      <c r="H16" s="1">
        <f>Quartile_S[[#This Row],[P/B Q1]]-1.5*(Quartile_S[[#This Row],[P/B Q3]]-Quartile_S[[#This Row],[P/B Q1]])</f>
        <v>-0.95245942469280664</v>
      </c>
      <c r="I16" s="1">
        <f>Quartile_S[[#This Row],[P/B Q3]]+1.5*(Quartile_S[[#This Row],[P/B Q3]]-Quartile_S[[#This Row],[P/B Q1]])</f>
        <v>3.7252272888026123</v>
      </c>
      <c r="J16" s="1" cm="1">
        <f t="array" ref="J16">_xlfn.QUARTILE.INC(IF(Quartile_S[[#This Row],[Industry]]=Main_S[Industry],Main_S[ROE]),1)</f>
        <v>-7.2524999999999995</v>
      </c>
      <c r="K16" s="1" cm="1">
        <f t="array" ref="K16">_xlfn.QUARTILE.INC(IF(Quartile_S[[#This Row],[Industry]]=Main_S[Industry],Main_S[ROE]),3)</f>
        <v>22.349999999999998</v>
      </c>
      <c r="L16" s="1">
        <f>Quartile_S[[#This Row],[ROE Q1]]-1.5*(Quartile_S[[#This Row],[ROE Q3]]-Quartile_S[[#This Row],[ROE Q1]])</f>
        <v>-51.65625</v>
      </c>
      <c r="M16" s="1">
        <f>Quartile_S[[#This Row],[ROE Q3]]+1.5*(Quartile_S[[#This Row],[ROE Q3]]-Quartile_S[[#This Row],[ROE Q1]])</f>
        <v>66.753749999999997</v>
      </c>
      <c r="N16" s="1" cm="1">
        <f t="array" ref="N16">_xlfn.QUARTILE.INC(IF(Quartile_S[[#This Row],[Industry]]=Main_S[Industry],Main_S[ROA]),1)</f>
        <v>0.66</v>
      </c>
      <c r="O16" s="1" cm="1">
        <f t="array" ref="O16">_xlfn.QUARTILE.INC(IF(Quartile_S[[#This Row],[Industry]]=Main_S[Industry],Main_S[ROA]),3)</f>
        <v>8.0724999999999998</v>
      </c>
      <c r="P16" s="1">
        <f>Quartile_S[[#This Row],[ROA Q1]]-1.5*(Quartile_S[[#This Row],[ROA Q3]]-Quartile_S[[#This Row],[ROA Q1]])</f>
        <v>-10.458749999999998</v>
      </c>
      <c r="Q16" s="1">
        <f>Quartile_S[[#This Row],[ROA Q3]]+1.5*(Quartile_S[[#This Row],[ROA Q3]]-Quartile_S[[#This Row],[ROA Q1]])</f>
        <v>19.191249999999997</v>
      </c>
      <c r="R16" s="1" cm="1">
        <f t="array" ref="R16">_xlfn.QUARTILE.INC(IF(Quartile_S[[#This Row],[Industry]]=Main_S[Industry],Main_S[P/E]),1)</f>
        <v>-3.4354175236528182</v>
      </c>
      <c r="S16" s="1" cm="1">
        <f t="array" ref="S16">_xlfn.QUARTILE.INC(IF(Quartile_S[[#This Row],[Industry]]=Main_S[Industry],Main_S[P/E]),3)</f>
        <v>11.582568807339449</v>
      </c>
      <c r="T16" s="1">
        <f>Quartile_S[[#This Row],[P/E Q1]]-1.5*(Quartile_S[[#This Row],[P/E Q3]]-Quartile_S[[#This Row],[P/E Q1]])</f>
        <v>-25.962397020141218</v>
      </c>
      <c r="U16" s="1">
        <f>Quartile_S[[#This Row],[P/E Q3]]+1.5*(Quartile_S[[#This Row],[P/E Q3]]-Quartile_S[[#This Row],[P/E Q1]])</f>
        <v>34.10954830382785</v>
      </c>
      <c r="V16" s="1" cm="1">
        <f t="array" ref="V16">_xlfn.QUARTILE.INC(IF(Quartile_S[[#This Row],[Industry]]=Main_S[Industry],Main_S[A/E]),1)</f>
        <v>1.4075</v>
      </c>
      <c r="W16" s="1" cm="1">
        <f t="array" ref="W16">_xlfn.QUARTILE.INC(IF(Quartile_S[[#This Row],[Industry]]=Main_S[Industry],Main_S[A/E]),3)</f>
        <v>3.2874999999999996</v>
      </c>
      <c r="X16" s="1">
        <f>Quartile_S[[#This Row],[A/E Q1]]-1.5*(Quartile_S[[#This Row],[A/E Q3]]-Quartile_S[[#This Row],[A/E Q1]])</f>
        <v>-1.4124999999999994</v>
      </c>
      <c r="Y16" s="1">
        <f>Quartile_S[[#This Row],[A/E Q3]]+1.5*(Quartile_S[[#This Row],[A/E Q3]]-Quartile_S[[#This Row],[A/E Q1]])</f>
        <v>6.107499999999999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6"/>
  <sheetViews>
    <sheetView workbookViewId="0">
      <selection activeCell="I29" sqref="I29"/>
    </sheetView>
  </sheetViews>
  <sheetFormatPr defaultRowHeight="15" x14ac:dyDescent="0.25"/>
  <cols>
    <col min="1" max="1" width="27" bestFit="1" customWidth="1"/>
    <col min="2" max="2" width="14.85546875" bestFit="1" customWidth="1"/>
    <col min="3" max="3" width="15.4257812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14.580998848147491</v>
      </c>
      <c r="C5" s="1">
        <v>4.1186634429509397</v>
      </c>
      <c r="E5" s="6" t="s">
        <v>106</v>
      </c>
      <c r="F5" s="1">
        <v>2.1694510887956238</v>
      </c>
      <c r="G5" s="1">
        <v>0.26570081066269469</v>
      </c>
      <c r="I5" s="6" t="s">
        <v>106</v>
      </c>
      <c r="J5" s="1">
        <v>17.445</v>
      </c>
      <c r="K5" s="1">
        <v>4.1310137980887918</v>
      </c>
    </row>
    <row r="6" spans="1:11" x14ac:dyDescent="0.25">
      <c r="A6" s="6" t="s">
        <v>107</v>
      </c>
      <c r="B6" s="1">
        <v>18.654598116428591</v>
      </c>
      <c r="C6" s="1">
        <v>11.687713747818179</v>
      </c>
      <c r="E6" s="6" t="s">
        <v>107</v>
      </c>
      <c r="F6" s="1">
        <v>2.0322626128036334</v>
      </c>
      <c r="G6" s="1">
        <v>0.7811078982618469</v>
      </c>
      <c r="I6" s="6" t="s">
        <v>107</v>
      </c>
      <c r="J6" s="1">
        <v>12.733902439024389</v>
      </c>
      <c r="K6" s="1">
        <v>7.7234615258769388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7.4224999999999994</v>
      </c>
      <c r="C25" s="1">
        <v>1.2887857657500785</v>
      </c>
      <c r="E25" s="6" t="s">
        <v>106</v>
      </c>
      <c r="F25" s="1">
        <v>2.3933333333333331</v>
      </c>
      <c r="G25" s="1">
        <v>0.11323525167642071</v>
      </c>
      <c r="I25" s="6" t="s">
        <v>106</v>
      </c>
      <c r="J25" s="1">
        <v>11.369735904846825</v>
      </c>
      <c r="K25" s="1">
        <v>1.7935076764075746</v>
      </c>
    </row>
    <row r="26" spans="1:11" x14ac:dyDescent="0.25">
      <c r="A26" s="6" t="s">
        <v>107</v>
      </c>
      <c r="B26" s="1">
        <v>5.5084444444444447</v>
      </c>
      <c r="C26" s="1">
        <v>3.0879349126384374</v>
      </c>
      <c r="E26" s="6" t="s">
        <v>107</v>
      </c>
      <c r="F26" s="1">
        <v>2.6073809523809528</v>
      </c>
      <c r="G26" s="1">
        <v>0.9532427350985363</v>
      </c>
      <c r="I26" s="6" t="s">
        <v>107</v>
      </c>
      <c r="J26" s="1">
        <v>18.058958936462645</v>
      </c>
      <c r="K26" s="1">
        <v>9.0705776035362096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6"/>
  <sheetViews>
    <sheetView workbookViewId="0">
      <selection activeCell="G13" sqref="G13"/>
    </sheetView>
  </sheetViews>
  <sheetFormatPr defaultRowHeight="15" x14ac:dyDescent="0.25"/>
  <cols>
    <col min="1" max="1" width="27" bestFit="1" customWidth="1"/>
    <col min="2" max="2" width="16.28515625" bestFit="1" customWidth="1"/>
    <col min="3" max="3" width="16.8554687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22.165198515229509</v>
      </c>
      <c r="C5" s="1">
        <v>17.507957737002624</v>
      </c>
      <c r="E5" s="6" t="s">
        <v>106</v>
      </c>
      <c r="F5" s="1">
        <v>1.9714705065265339</v>
      </c>
      <c r="G5" s="1">
        <v>0.97255735260347387</v>
      </c>
      <c r="I5" s="6" t="s">
        <v>106</v>
      </c>
      <c r="J5" s="1">
        <v>25.76</v>
      </c>
      <c r="K5" s="1">
        <v>31.037372633649259</v>
      </c>
    </row>
    <row r="6" spans="1:11" x14ac:dyDescent="0.25">
      <c r="A6" s="6" t="s">
        <v>107</v>
      </c>
      <c r="B6" s="1">
        <v>5.862771310304403</v>
      </c>
      <c r="C6" s="1">
        <v>14.578709886965926</v>
      </c>
      <c r="E6" s="6" t="s">
        <v>107</v>
      </c>
      <c r="F6" s="1">
        <v>1.7331185314610174</v>
      </c>
      <c r="G6" s="1">
        <v>1.1418525598020486</v>
      </c>
      <c r="I6" s="6" t="s">
        <v>107</v>
      </c>
      <c r="J6" s="1">
        <v>8.3875609756097571</v>
      </c>
      <c r="K6" s="1">
        <v>45.546066831365991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7.6233333333333322</v>
      </c>
      <c r="C25" s="1">
        <v>2.0454230749543201</v>
      </c>
      <c r="E25" s="6" t="s">
        <v>106</v>
      </c>
      <c r="F25" s="1">
        <v>1.9566666666666668</v>
      </c>
      <c r="G25" s="1">
        <v>0.43488184857754453</v>
      </c>
      <c r="I25" s="6" t="s">
        <v>106</v>
      </c>
      <c r="J25" s="1">
        <v>14.812918149504565</v>
      </c>
      <c r="K25" s="1">
        <v>10.628748992999933</v>
      </c>
    </row>
    <row r="26" spans="1:11" x14ac:dyDescent="0.25">
      <c r="A26" s="6" t="s">
        <v>107</v>
      </c>
      <c r="B26" s="1">
        <v>5.0692499999999985</v>
      </c>
      <c r="C26" s="1">
        <v>4.6795007145527849</v>
      </c>
      <c r="E26" s="6" t="s">
        <v>107</v>
      </c>
      <c r="F26" s="1">
        <v>2.1566666666666667</v>
      </c>
      <c r="G26" s="1">
        <v>0.71118836385931383</v>
      </c>
      <c r="I26" s="6" t="s">
        <v>107</v>
      </c>
      <c r="J26" s="1">
        <v>8.7908939746434722</v>
      </c>
      <c r="K26" s="1">
        <v>5.7670647675267039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6"/>
  <sheetViews>
    <sheetView workbookViewId="0">
      <selection activeCell="F12" sqref="F12"/>
    </sheetView>
  </sheetViews>
  <sheetFormatPr defaultRowHeight="15" x14ac:dyDescent="0.25"/>
  <cols>
    <col min="1" max="1" width="27" bestFit="1" customWidth="1"/>
    <col min="2" max="2" width="16.28515625" bestFit="1" customWidth="1"/>
    <col min="3" max="3" width="16.8554687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6.4573244019071465</v>
      </c>
      <c r="C5" s="1">
        <v>8.7382617887215446</v>
      </c>
      <c r="E5" s="6" t="s">
        <v>106</v>
      </c>
      <c r="F5" s="1">
        <v>1.2215223092869267</v>
      </c>
      <c r="G5" s="1">
        <v>0.64607581891315546</v>
      </c>
      <c r="I5" s="6" t="s">
        <v>106</v>
      </c>
      <c r="J5" s="1">
        <v>9.4511538461538436</v>
      </c>
      <c r="K5" s="1">
        <v>6.3365668494753429</v>
      </c>
    </row>
    <row r="6" spans="1:11" x14ac:dyDescent="0.25">
      <c r="A6" s="6" t="s">
        <v>107</v>
      </c>
      <c r="B6" s="1">
        <v>1.4836461706418131</v>
      </c>
      <c r="C6" s="1">
        <v>7.5142569124326677</v>
      </c>
      <c r="E6" s="6" t="s">
        <v>107</v>
      </c>
      <c r="F6" s="1">
        <v>1.2187242412784571</v>
      </c>
      <c r="G6" s="1">
        <v>0.6974760850792644</v>
      </c>
      <c r="I6" s="6" t="s">
        <v>107</v>
      </c>
      <c r="J6" s="1">
        <v>8.5462711864406788</v>
      </c>
      <c r="K6" s="1">
        <v>19.352262942901632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4.5885714285714281</v>
      </c>
      <c r="C25" s="1">
        <v>1.9924531080442285</v>
      </c>
      <c r="E25" s="6" t="s">
        <v>106</v>
      </c>
      <c r="F25" s="1">
        <v>2.1125000000000003</v>
      </c>
      <c r="G25" s="1">
        <v>0.83978154047007092</v>
      </c>
      <c r="I25" s="6" t="s">
        <v>106</v>
      </c>
      <c r="J25" s="1">
        <v>11.543337344908583</v>
      </c>
      <c r="K25" s="1">
        <v>8.9892406486606387</v>
      </c>
    </row>
    <row r="26" spans="1:11" x14ac:dyDescent="0.25">
      <c r="A26" s="6" t="s">
        <v>107</v>
      </c>
      <c r="B26" s="1">
        <v>4.3111666666666668</v>
      </c>
      <c r="C26" s="1">
        <v>5.3977109628887012</v>
      </c>
      <c r="E26" s="6" t="s">
        <v>107</v>
      </c>
      <c r="F26" s="1">
        <v>2.214736842105264</v>
      </c>
      <c r="G26" s="1">
        <v>1.2785752833952808</v>
      </c>
      <c r="I26" s="6" t="s">
        <v>107</v>
      </c>
      <c r="J26" s="1">
        <v>3.9942616436218761</v>
      </c>
      <c r="K26" s="1">
        <v>9.5429957035363255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5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Energy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7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5">_xlfn._xlws.FILTER(_xlfn._xlws.FILTER(Main_L[], Main_L[Preliminary Criteria]="YES"), COUNTIF($A$8:$S$8,Main_L[#Headers]))</f>
        <v>Oil, Gas &amp; Consumable Fuels</v>
      </c>
      <c r="B9" t="str">
        <v>CVE</v>
      </c>
      <c r="C9" s="9">
        <v>21435</v>
      </c>
      <c r="D9" s="1">
        <v>13.93</v>
      </c>
      <c r="E9" s="1">
        <v>1.57</v>
      </c>
      <c r="F9" s="1">
        <v>11.22</v>
      </c>
      <c r="G9" s="1">
        <v>1.1599999999999999</v>
      </c>
      <c r="H9" s="1">
        <v>8.872611464968152</v>
      </c>
      <c r="I9" s="1">
        <v>1.2415329768270944</v>
      </c>
      <c r="J9" s="1">
        <v>10.74</v>
      </c>
      <c r="K9" s="1">
        <v>5.41</v>
      </c>
      <c r="L9" s="1">
        <v>1.92</v>
      </c>
      <c r="M9" s="1">
        <v>12.008620689655173</v>
      </c>
      <c r="N9" s="1">
        <v>-0.83694611816502651</v>
      </c>
      <c r="O9" s="1">
        <v>-1.0123180648103838</v>
      </c>
      <c r="P9" s="1">
        <v>-0.25816176235797283</v>
      </c>
      <c r="Q9" s="1">
        <v>-3.1880349563563261E-2</v>
      </c>
      <c r="R9" s="1">
        <v>-0.72109749916939947</v>
      </c>
      <c r="S9" s="1">
        <v>-0.66702899321965092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3</v>
      </c>
    </row>
    <row r="10" spans="1:20" x14ac:dyDescent="0.25">
      <c r="A10" t="str">
        <v>Oil, Gas &amp; Consumable Fuels</v>
      </c>
      <c r="B10" t="str">
        <v>CVX</v>
      </c>
      <c r="C10" s="2">
        <v>236436</v>
      </c>
      <c r="D10" s="1">
        <v>142.35</v>
      </c>
      <c r="E10" s="1">
        <v>7.64</v>
      </c>
      <c r="F10" s="1">
        <v>86.1</v>
      </c>
      <c r="G10" s="1">
        <v>8.74</v>
      </c>
      <c r="H10" s="1">
        <v>18.63219895287958</v>
      </c>
      <c r="I10" s="1">
        <v>1.6533101045296168</v>
      </c>
      <c r="J10" s="1">
        <v>11.27</v>
      </c>
      <c r="K10" s="1">
        <v>5.62</v>
      </c>
      <c r="L10" s="1">
        <v>1.69</v>
      </c>
      <c r="M10" s="1">
        <v>16.287185354691076</v>
      </c>
      <c r="N10" s="1">
        <v>-1.9164709225696285E-3</v>
      </c>
      <c r="O10" s="1">
        <v>-0.4851474541702589</v>
      </c>
      <c r="P10" s="1">
        <v>-0.18953968167248358</v>
      </c>
      <c r="Q10" s="1">
        <v>3.6126265193924867E-2</v>
      </c>
      <c r="R10" s="1">
        <v>-0.9623791701765485</v>
      </c>
      <c r="S10" s="1">
        <v>-0.19533194678592844</v>
      </c>
      <c r="T10">
        <f t="shared" si="0"/>
        <v>3</v>
      </c>
    </row>
    <row r="11" spans="1:20" x14ac:dyDescent="0.25">
      <c r="A11" t="str">
        <v>Oil, Gas &amp; Consumable Fuels</v>
      </c>
      <c r="B11" t="str">
        <v>SU</v>
      </c>
      <c r="C11" s="2">
        <v>41741</v>
      </c>
      <c r="D11" s="1">
        <v>36.409999999999997</v>
      </c>
      <c r="E11" s="1">
        <v>5.17</v>
      </c>
      <c r="F11" s="1">
        <v>24.88</v>
      </c>
      <c r="G11" s="1">
        <v>3.28</v>
      </c>
      <c r="H11" s="1">
        <v>7.0425531914893611</v>
      </c>
      <c r="I11" s="1">
        <v>1.4634244372990353</v>
      </c>
      <c r="J11" s="1">
        <v>13.7</v>
      </c>
      <c r="K11" s="1">
        <v>6.48</v>
      </c>
      <c r="L11" s="1">
        <v>2.02</v>
      </c>
      <c r="M11" s="1">
        <v>11.10060975609756</v>
      </c>
      <c r="N11" s="1">
        <v>-0.99352578061786678</v>
      </c>
      <c r="O11" s="1">
        <v>-0.7282453253518496</v>
      </c>
      <c r="P11" s="1">
        <v>0.12508608448928832</v>
      </c>
      <c r="Q11" s="1">
        <v>0.31462954467697163</v>
      </c>
      <c r="R11" s="1">
        <v>-0.61619242481846503</v>
      </c>
      <c r="S11" s="1">
        <v>-0.7671340772887868</v>
      </c>
      <c r="T11">
        <f t="shared" si="0"/>
        <v>4</v>
      </c>
    </row>
    <row r="12" spans="1:20" x14ac:dyDescent="0.25">
      <c r="A12" t="str">
        <v>Oil, Gas &amp; Consumable Fuels</v>
      </c>
      <c r="B12" t="str">
        <v>TTE</v>
      </c>
      <c r="C12" s="2">
        <v>126573</v>
      </c>
      <c r="D12" s="1">
        <v>59.9</v>
      </c>
      <c r="E12" s="1">
        <v>6.82</v>
      </c>
      <c r="F12" s="1">
        <v>53.12</v>
      </c>
      <c r="G12" s="1">
        <v>5.94</v>
      </c>
      <c r="H12" s="1">
        <v>8.7829912023460412</v>
      </c>
      <c r="I12" s="1">
        <v>1.1276355421686748</v>
      </c>
      <c r="J12" s="1">
        <v>11.71</v>
      </c>
      <c r="K12" s="1">
        <v>5.26</v>
      </c>
      <c r="L12" s="1">
        <v>2.4700000000000002</v>
      </c>
      <c r="M12" s="1">
        <v>10.084175084175083</v>
      </c>
      <c r="N12" s="1">
        <v>-0.84461402179064715</v>
      </c>
      <c r="O12" s="1">
        <v>-1.1581333035397179</v>
      </c>
      <c r="P12" s="1">
        <v>-0.13257040714113377</v>
      </c>
      <c r="Q12" s="1">
        <v>-8.0456502961769191E-2</v>
      </c>
      <c r="R12" s="1">
        <v>-0.1441195902392601</v>
      </c>
      <c r="S12" s="1">
        <v>-0.87919250579792763</v>
      </c>
      <c r="T12">
        <f t="shared" si="0"/>
        <v>3</v>
      </c>
    </row>
    <row r="13" spans="1:20" x14ac:dyDescent="0.25">
      <c r="A13" t="str">
        <v>Oil, Gas &amp; Consumable Fuels</v>
      </c>
      <c r="B13" t="str">
        <v>XOM</v>
      </c>
      <c r="C13" s="2">
        <v>449711</v>
      </c>
      <c r="D13" s="1">
        <v>109.46</v>
      </c>
      <c r="E13" s="1">
        <v>6.41</v>
      </c>
      <c r="F13" s="1">
        <v>60.96</v>
      </c>
      <c r="G13" s="1">
        <v>7.54</v>
      </c>
      <c r="H13" s="1">
        <v>17.076443057722308</v>
      </c>
      <c r="I13" s="1">
        <v>1.7956036745406823</v>
      </c>
      <c r="J13" s="1">
        <v>14.3</v>
      </c>
      <c r="K13" s="1">
        <v>6.2</v>
      </c>
      <c r="L13" s="1">
        <v>1.72</v>
      </c>
      <c r="M13" s="1">
        <v>14.517241379310343</v>
      </c>
      <c r="N13" s="1">
        <v>-0.13502684038620363</v>
      </c>
      <c r="O13" s="1">
        <v>-0.30297854981312344</v>
      </c>
      <c r="P13" s="1">
        <v>0.20277145885021983</v>
      </c>
      <c r="Q13" s="1">
        <v>0.22395405833365403</v>
      </c>
      <c r="R13" s="1">
        <v>-0.93090764787126823</v>
      </c>
      <c r="S13" s="1">
        <v>-0.39046218575667613</v>
      </c>
      <c r="T13">
        <f t="shared" si="0"/>
        <v>4</v>
      </c>
    </row>
    <row r="14" spans="1:20" x14ac:dyDescent="0.25">
      <c r="A14" t="str">
        <v>Oil, Gas &amp; Consumable Fuels</v>
      </c>
      <c r="B14" t="str">
        <v>COP</v>
      </c>
      <c r="C14" s="2">
        <v>110437</v>
      </c>
      <c r="D14" s="1">
        <v>94.17</v>
      </c>
      <c r="E14" s="1">
        <v>6.79</v>
      </c>
      <c r="F14" s="1">
        <v>50.79</v>
      </c>
      <c r="G14" s="1">
        <v>7.81</v>
      </c>
      <c r="H14" s="1">
        <v>13.868924889543447</v>
      </c>
      <c r="I14" s="1">
        <v>1.8541051388068519</v>
      </c>
      <c r="J14" s="1">
        <v>16.21</v>
      </c>
      <c r="K14" s="1">
        <v>8.4</v>
      </c>
      <c r="L14" s="1">
        <v>1.89</v>
      </c>
      <c r="M14" s="1">
        <v>12.057618437900128</v>
      </c>
      <c r="N14" s="1">
        <v>-0.40946187852851179</v>
      </c>
      <c r="O14" s="1">
        <v>-0.22808305279363422</v>
      </c>
      <c r="P14" s="1">
        <v>0.45006990056585128</v>
      </c>
      <c r="Q14" s="1">
        <v>0.93640430817400599</v>
      </c>
      <c r="R14" s="1">
        <v>-0.75256902147467986</v>
      </c>
      <c r="S14" s="1">
        <v>-0.66162715990907395</v>
      </c>
      <c r="T14">
        <f t="shared" si="0"/>
        <v>4</v>
      </c>
    </row>
    <row r="15" spans="1:20" x14ac:dyDescent="0.25">
      <c r="A15" t="str">
        <v>Oil, Gas &amp; Consumable Fuels</v>
      </c>
      <c r="B15" t="str">
        <v>FANG</v>
      </c>
      <c r="C15" s="2">
        <v>37951</v>
      </c>
      <c r="D15" s="1">
        <v>146.16999999999999</v>
      </c>
      <c r="E15" s="1">
        <v>8.4</v>
      </c>
      <c r="F15" s="1">
        <v>133.91999999999999</v>
      </c>
      <c r="G15" s="1">
        <v>16.37</v>
      </c>
      <c r="H15" s="1">
        <v>17.401190476190475</v>
      </c>
      <c r="I15" s="1">
        <v>1.0914725209080047</v>
      </c>
      <c r="J15" s="1">
        <v>14.67</v>
      </c>
      <c r="K15" s="1">
        <v>7.19</v>
      </c>
      <c r="L15" s="1">
        <v>1.82</v>
      </c>
      <c r="M15" s="1">
        <v>8.9291386682956606</v>
      </c>
      <c r="N15" s="1">
        <v>-0.10724147316425316</v>
      </c>
      <c r="O15" s="1">
        <v>-1.2044303917411578</v>
      </c>
      <c r="P15" s="1">
        <v>0.25067743970612738</v>
      </c>
      <c r="Q15" s="1">
        <v>0.54455667076181247</v>
      </c>
      <c r="R15" s="1">
        <v>-0.82600257352033368</v>
      </c>
      <c r="S15" s="1">
        <v>-1.0065313001244462</v>
      </c>
      <c r="T15">
        <f t="shared" si="0"/>
        <v>5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1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Energy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5/5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3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_xlfn._xlws.FILTER(_xlfn._xlws.FILTER(Main_M[], Main_M[Preliminary Criteria]="YES"), COUNTIF($A$8:$S$8,Main_M[#Headers]))</f>
        <v>Oil, Gas &amp; Consumable Fuels</v>
      </c>
      <c r="B9" t="str">
        <v>CHRD</v>
      </c>
      <c r="C9" s="2">
        <v>5356</v>
      </c>
      <c r="D9" s="1">
        <v>99.49</v>
      </c>
      <c r="E9" s="1">
        <v>17.73</v>
      </c>
      <c r="F9" s="1">
        <v>144.87</v>
      </c>
      <c r="G9" s="1">
        <v>16.02</v>
      </c>
      <c r="H9" s="1">
        <v>5.6113931190073316</v>
      </c>
      <c r="I9" s="1">
        <v>0.6867536411955546</v>
      </c>
      <c r="J9" s="1">
        <v>12.32</v>
      </c>
      <c r="K9" s="1">
        <v>7.48</v>
      </c>
      <c r="L9" s="1">
        <v>1.5</v>
      </c>
      <c r="M9" s="1">
        <v>6.2103620474406993</v>
      </c>
      <c r="N9" s="1">
        <v>-1.7242828291810352E-2</v>
      </c>
      <c r="O9" s="1">
        <v>-0.91637478173789833</v>
      </c>
      <c r="P9" s="1">
        <v>8.6339815882457482E-2</v>
      </c>
      <c r="Q9" s="1">
        <v>0.51517248250498338</v>
      </c>
      <c r="R9" s="1">
        <v>-0.92333719171559381</v>
      </c>
      <c r="S9" s="1">
        <v>-0.44746019530303877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5</v>
      </c>
    </row>
    <row r="10" spans="1:20" x14ac:dyDescent="0.25">
      <c r="A10" t="str">
        <v>Oil, Gas &amp; Consumable Fuels</v>
      </c>
      <c r="B10" t="str">
        <v>HAFN</v>
      </c>
      <c r="C10" s="2">
        <v>2482</v>
      </c>
      <c r="D10" s="1">
        <v>5.16</v>
      </c>
      <c r="E10" s="1">
        <v>1.92</v>
      </c>
      <c r="F10" s="1">
        <v>4.5</v>
      </c>
      <c r="G10" s="1">
        <v>1.5</v>
      </c>
      <c r="H10" s="1">
        <v>2.6875</v>
      </c>
      <c r="I10" s="1">
        <v>1.1466666666666667</v>
      </c>
      <c r="J10" s="1">
        <v>34.479999999999997</v>
      </c>
      <c r="K10" s="1">
        <v>12.76</v>
      </c>
      <c r="L10" s="1">
        <v>1.64</v>
      </c>
      <c r="M10" s="1">
        <v>3.44</v>
      </c>
      <c r="N10" s="1">
        <v>-0.21780194097580949</v>
      </c>
      <c r="O10" s="1">
        <v>-0.51359683854106164</v>
      </c>
      <c r="P10" s="1">
        <v>0.57288018131175455</v>
      </c>
      <c r="Q10" s="1">
        <v>1.6434979860314005</v>
      </c>
      <c r="R10" s="1">
        <v>-0.72648357723815771</v>
      </c>
      <c r="S10" s="1">
        <v>-0.92783663619895285</v>
      </c>
      <c r="T10">
        <f t="shared" si="0"/>
        <v>5</v>
      </c>
    </row>
    <row r="11" spans="1:20" x14ac:dyDescent="0.25">
      <c r="A11" t="str">
        <v>Oil, Gas &amp; Consumable Fuels</v>
      </c>
      <c r="B11" t="str">
        <v>STNG</v>
      </c>
      <c r="C11" s="2">
        <v>2051</v>
      </c>
      <c r="D11" s="1">
        <v>42.24</v>
      </c>
      <c r="E11" s="1">
        <v>14.01</v>
      </c>
      <c r="F11" s="1">
        <v>61.85</v>
      </c>
      <c r="G11" s="1">
        <v>10.31</v>
      </c>
      <c r="H11" s="1">
        <v>3.0149892933618845</v>
      </c>
      <c r="I11" s="1">
        <v>0.68294260307194832</v>
      </c>
      <c r="J11" s="1">
        <v>18.059999999999999</v>
      </c>
      <c r="K11" s="1">
        <v>6.34</v>
      </c>
      <c r="L11" s="1">
        <v>1.36</v>
      </c>
      <c r="M11" s="1">
        <v>4.0969932104752669</v>
      </c>
      <c r="N11" s="1">
        <v>-0.19533841053305914</v>
      </c>
      <c r="O11" s="1">
        <v>-0.91971237387349503</v>
      </c>
      <c r="P11" s="1">
        <v>0.21236606577253714</v>
      </c>
      <c r="Q11" s="1">
        <v>0.27155674878905228</v>
      </c>
      <c r="R11" s="1">
        <v>-1.1201908061930299</v>
      </c>
      <c r="S11" s="1">
        <v>-0.81391504229304124</v>
      </c>
      <c r="T11">
        <f t="shared" si="0"/>
        <v>5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Energy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2025-05-14T02:59:20Z</dcterms:modified>
</cp:coreProperties>
</file>
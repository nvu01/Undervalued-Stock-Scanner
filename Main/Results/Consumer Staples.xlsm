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Results\"/>
    </mc:Choice>
  </mc:AlternateContent>
  <xr:revisionPtr revIDLastSave="0" documentId="13_ncr:1_{EF7AF369-E27C-4980-B416-C46F7DB5A727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Main_L!$A$1:$M$62</definedName>
    <definedName name="ExternalData_1" localSheetId="2" hidden="1">Main_M!$A$1:$M$44</definedName>
    <definedName name="ExternalData_1" localSheetId="3" hidden="1">Main_S!$A$1:$M$55</definedName>
    <definedName name="ExternalData_5" localSheetId="4" hidden="1">'Quartile Tables'!$A$2:$Y$8</definedName>
    <definedName name="ExternalData_6" localSheetId="4" hidden="1">'Quartile Tables'!$A$12:$Y$18</definedName>
    <definedName name="ExternalData_7" localSheetId="4" hidden="1">'Quartile Tables'!$A$22:$Y$28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302" r:id="rId12"/>
    <pivotCache cacheId="362" r:id="rId13"/>
    <pivotCache cacheId="42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8" i="1" l="1"/>
  <c r="Y27" i="1"/>
  <c r="Y26" i="1"/>
  <c r="Y25" i="1"/>
  <c r="Y24" i="1"/>
  <c r="Y23" i="1"/>
  <c r="X28" i="1"/>
  <c r="X27" i="1"/>
  <c r="X26" i="1"/>
  <c r="X25" i="1"/>
  <c r="X24" i="1"/>
  <c r="X23" i="1"/>
  <c r="W28" i="1" a="1"/>
  <c r="W28" i="1" s="1"/>
  <c r="W27" i="1" a="1"/>
  <c r="W27" i="1" s="1"/>
  <c r="W26" i="1" a="1"/>
  <c r="W26" i="1" s="1"/>
  <c r="W25" i="1" a="1"/>
  <c r="W25" i="1" s="1"/>
  <c r="W24" i="1" a="1"/>
  <c r="W24" i="1" s="1"/>
  <c r="W23" i="1" a="1"/>
  <c r="W23" i="1" s="1"/>
  <c r="V28" i="1" a="1"/>
  <c r="V28" i="1" s="1"/>
  <c r="V27" i="1" a="1"/>
  <c r="V27" i="1" s="1"/>
  <c r="V26" i="1" a="1"/>
  <c r="V26" i="1"/>
  <c r="V25" i="1" a="1"/>
  <c r="V25" i="1"/>
  <c r="V24" i="1" a="1"/>
  <c r="V24" i="1"/>
  <c r="V23" i="1" a="1"/>
  <c r="V23" i="1" s="1"/>
  <c r="Q28" i="1"/>
  <c r="Q27" i="1"/>
  <c r="Q26" i="1"/>
  <c r="Q25" i="1"/>
  <c r="Q24" i="1"/>
  <c r="Q23" i="1"/>
  <c r="P28" i="1"/>
  <c r="P27" i="1"/>
  <c r="P26" i="1"/>
  <c r="P25" i="1"/>
  <c r="P24" i="1"/>
  <c r="P23" i="1"/>
  <c r="O28" i="1" a="1"/>
  <c r="O28" i="1"/>
  <c r="O27" i="1" a="1"/>
  <c r="O27" i="1" s="1"/>
  <c r="O26" i="1" a="1"/>
  <c r="O26" i="1" s="1"/>
  <c r="O25" i="1" a="1"/>
  <c r="O25" i="1" s="1"/>
  <c r="O24" i="1" a="1"/>
  <c r="O24" i="1" s="1"/>
  <c r="O23" i="1" a="1"/>
  <c r="O23" i="1" s="1"/>
  <c r="N28" i="1" a="1"/>
  <c r="N28" i="1"/>
  <c r="N27" i="1" a="1"/>
  <c r="N27" i="1"/>
  <c r="N26" i="1" a="1"/>
  <c r="N26" i="1" s="1"/>
  <c r="N25" i="1" a="1"/>
  <c r="N25" i="1" s="1"/>
  <c r="N24" i="1" a="1"/>
  <c r="N24" i="1" s="1"/>
  <c r="N23" i="1" a="1"/>
  <c r="N23" i="1"/>
  <c r="M28" i="1"/>
  <c r="M27" i="1"/>
  <c r="M26" i="1"/>
  <c r="M25" i="1"/>
  <c r="M24" i="1"/>
  <c r="M23" i="1"/>
  <c r="L28" i="1"/>
  <c r="L27" i="1"/>
  <c r="L26" i="1"/>
  <c r="L25" i="1"/>
  <c r="L24" i="1"/>
  <c r="L23" i="1"/>
  <c r="K28" i="1" a="1"/>
  <c r="K28" i="1" s="1"/>
  <c r="K27" i="1" a="1"/>
  <c r="K27" i="1" s="1"/>
  <c r="K26" i="1" a="1"/>
  <c r="K26" i="1"/>
  <c r="K25" i="1" a="1"/>
  <c r="K25" i="1" s="1"/>
  <c r="K24" i="1" a="1"/>
  <c r="K24" i="1" s="1"/>
  <c r="K23" i="1" a="1"/>
  <c r="K23" i="1"/>
  <c r="J28" i="1" a="1"/>
  <c r="J28" i="1" s="1"/>
  <c r="J27" i="1" a="1"/>
  <c r="J27" i="1" s="1"/>
  <c r="J26" i="1" a="1"/>
  <c r="J26" i="1" s="1"/>
  <c r="J25" i="1" a="1"/>
  <c r="J25" i="1"/>
  <c r="J24" i="1" a="1"/>
  <c r="J24" i="1" s="1"/>
  <c r="J23" i="1" a="1"/>
  <c r="J23" i="1"/>
  <c r="Y18" i="1"/>
  <c r="Y17" i="1"/>
  <c r="Y16" i="1"/>
  <c r="Y15" i="1"/>
  <c r="Y14" i="1"/>
  <c r="Y13" i="1"/>
  <c r="X18" i="1"/>
  <c r="X17" i="1"/>
  <c r="X16" i="1"/>
  <c r="X15" i="1"/>
  <c r="X14" i="1"/>
  <c r="X13" i="1"/>
  <c r="W18" i="1" a="1"/>
  <c r="W18" i="1"/>
  <c r="W17" i="1" a="1"/>
  <c r="W17" i="1" s="1"/>
  <c r="W16" i="1" a="1"/>
  <c r="W16" i="1"/>
  <c r="W15" i="1" a="1"/>
  <c r="W15" i="1"/>
  <c r="W14" i="1" a="1"/>
  <c r="W14" i="1"/>
  <c r="W13" i="1" a="1"/>
  <c r="W13" i="1" s="1"/>
  <c r="V18" i="1" a="1"/>
  <c r="V18" i="1" s="1"/>
  <c r="V17" i="1" a="1"/>
  <c r="V17" i="1" s="1"/>
  <c r="V16" i="1" a="1"/>
  <c r="V16" i="1" s="1"/>
  <c r="V15" i="1" a="1"/>
  <c r="V15" i="1"/>
  <c r="V14" i="1" a="1"/>
  <c r="V14" i="1" s="1"/>
  <c r="V13" i="1" a="1"/>
  <c r="V13" i="1" s="1"/>
  <c r="Q18" i="1"/>
  <c r="Q17" i="1"/>
  <c r="Q16" i="1"/>
  <c r="Q15" i="1"/>
  <c r="Q14" i="1"/>
  <c r="Q13" i="1"/>
  <c r="P18" i="1"/>
  <c r="P17" i="1"/>
  <c r="P16" i="1"/>
  <c r="P15" i="1"/>
  <c r="P14" i="1"/>
  <c r="P13" i="1"/>
  <c r="O18" i="1" a="1"/>
  <c r="O18" i="1" s="1"/>
  <c r="O17" i="1" a="1"/>
  <c r="O17" i="1"/>
  <c r="O16" i="1" a="1"/>
  <c r="O16" i="1"/>
  <c r="O15" i="1" a="1"/>
  <c r="O15" i="1"/>
  <c r="O14" i="1" a="1"/>
  <c r="O14" i="1" s="1"/>
  <c r="O13" i="1" a="1"/>
  <c r="O13" i="1"/>
  <c r="N18" i="1" a="1"/>
  <c r="N18" i="1" s="1"/>
  <c r="N17" i="1" a="1"/>
  <c r="N17" i="1"/>
  <c r="N16" i="1" a="1"/>
  <c r="N16" i="1" s="1"/>
  <c r="N15" i="1" a="1"/>
  <c r="N15" i="1"/>
  <c r="N14" i="1" a="1"/>
  <c r="N14" i="1"/>
  <c r="N13" i="1" a="1"/>
  <c r="N13" i="1"/>
  <c r="M18" i="1"/>
  <c r="M17" i="1"/>
  <c r="M16" i="1"/>
  <c r="M15" i="1"/>
  <c r="M14" i="1"/>
  <c r="M13" i="1"/>
  <c r="L18" i="1"/>
  <c r="L17" i="1"/>
  <c r="L16" i="1"/>
  <c r="L15" i="1"/>
  <c r="L14" i="1"/>
  <c r="L13" i="1"/>
  <c r="K18" i="1" a="1"/>
  <c r="K18" i="1" s="1"/>
  <c r="K17" i="1" a="1"/>
  <c r="K17" i="1" s="1"/>
  <c r="K16" i="1" a="1"/>
  <c r="K16" i="1" s="1"/>
  <c r="K15" i="1" a="1"/>
  <c r="K15" i="1"/>
  <c r="K14" i="1" a="1"/>
  <c r="K14" i="1" s="1"/>
  <c r="K13" i="1" a="1"/>
  <c r="K13" i="1" s="1"/>
  <c r="J18" i="1" a="1"/>
  <c r="J18" i="1" s="1"/>
  <c r="J17" i="1" a="1"/>
  <c r="J17" i="1" s="1"/>
  <c r="J16" i="1" a="1"/>
  <c r="J16" i="1" s="1"/>
  <c r="J15" i="1" a="1"/>
  <c r="J15" i="1" s="1"/>
  <c r="J14" i="1" a="1"/>
  <c r="J14" i="1"/>
  <c r="J13" i="1" a="1"/>
  <c r="J13" i="1" s="1"/>
  <c r="Y8" i="1"/>
  <c r="Y7" i="1"/>
  <c r="Y6" i="1"/>
  <c r="Y5" i="1"/>
  <c r="Y4" i="1"/>
  <c r="Y3" i="1"/>
  <c r="X8" i="1"/>
  <c r="X7" i="1"/>
  <c r="X6" i="1"/>
  <c r="X5" i="1"/>
  <c r="X4" i="1"/>
  <c r="X3" i="1"/>
  <c r="W8" i="1" a="1"/>
  <c r="W8" i="1"/>
  <c r="W7" i="1" a="1"/>
  <c r="W7" i="1"/>
  <c r="W6" i="1" a="1"/>
  <c r="W6" i="1" s="1"/>
  <c r="W5" i="1" a="1"/>
  <c r="W5" i="1"/>
  <c r="W4" i="1" a="1"/>
  <c r="W4" i="1"/>
  <c r="W3" i="1" a="1"/>
  <c r="W3" i="1" s="1"/>
  <c r="V8" i="1" a="1"/>
  <c r="V8" i="1"/>
  <c r="V7" i="1" a="1"/>
  <c r="V7" i="1" s="1"/>
  <c r="V6" i="1" a="1"/>
  <c r="V6" i="1"/>
  <c r="V5" i="1" a="1"/>
  <c r="V5" i="1" s="1"/>
  <c r="V4" i="1" a="1"/>
  <c r="V4" i="1"/>
  <c r="V3" i="1" a="1"/>
  <c r="V3" i="1"/>
  <c r="Q8" i="1"/>
  <c r="Q7" i="1"/>
  <c r="Q6" i="1"/>
  <c r="Q5" i="1"/>
  <c r="Q4" i="1"/>
  <c r="Q3" i="1"/>
  <c r="P8" i="1"/>
  <c r="P7" i="1"/>
  <c r="P6" i="1"/>
  <c r="P5" i="1"/>
  <c r="P4" i="1"/>
  <c r="P3" i="1"/>
  <c r="O8" i="1" a="1"/>
  <c r="O8" i="1" s="1"/>
  <c r="O7" i="1" a="1"/>
  <c r="O7" i="1" s="1"/>
  <c r="O6" i="1" a="1"/>
  <c r="O6" i="1"/>
  <c r="O5" i="1" a="1"/>
  <c r="O5" i="1"/>
  <c r="O4" i="1" a="1"/>
  <c r="O4" i="1" s="1"/>
  <c r="O3" i="1" a="1"/>
  <c r="O3" i="1"/>
  <c r="N8" i="1" a="1"/>
  <c r="N8" i="1"/>
  <c r="N7" i="1" a="1"/>
  <c r="N7" i="1"/>
  <c r="N6" i="1" a="1"/>
  <c r="N6" i="1" s="1"/>
  <c r="N5" i="1" a="1"/>
  <c r="N5" i="1" s="1"/>
  <c r="N4" i="1" a="1"/>
  <c r="N4" i="1" s="1"/>
  <c r="N3" i="1" a="1"/>
  <c r="N3" i="1" s="1"/>
  <c r="M8" i="1"/>
  <c r="M7" i="1"/>
  <c r="M6" i="1"/>
  <c r="M5" i="1"/>
  <c r="M4" i="1"/>
  <c r="M3" i="1"/>
  <c r="L8" i="1"/>
  <c r="L7" i="1"/>
  <c r="L6" i="1"/>
  <c r="L5" i="1"/>
  <c r="L4" i="1"/>
  <c r="L3" i="1"/>
  <c r="K8" i="1" a="1"/>
  <c r="K8" i="1" s="1"/>
  <c r="K7" i="1" a="1"/>
  <c r="K7" i="1" s="1"/>
  <c r="K6" i="1" a="1"/>
  <c r="K6" i="1" s="1"/>
  <c r="K5" i="1" a="1"/>
  <c r="K5" i="1" s="1"/>
  <c r="K4" i="1" a="1"/>
  <c r="K4" i="1" s="1"/>
  <c r="K3" i="1" a="1"/>
  <c r="K3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M55" i="4"/>
  <c r="T55" i="4" s="1"/>
  <c r="M54" i="4"/>
  <c r="T54" i="4" s="1"/>
  <c r="M52" i="4"/>
  <c r="M51" i="4"/>
  <c r="M47" i="4"/>
  <c r="M32" i="4"/>
  <c r="M31" i="4"/>
  <c r="M27" i="4"/>
  <c r="M21" i="4"/>
  <c r="T21" i="4" s="1"/>
  <c r="M19" i="4"/>
  <c r="T19" i="4" s="1"/>
  <c r="M17" i="4"/>
  <c r="T17" i="4" s="1"/>
  <c r="M16" i="4"/>
  <c r="T16" i="4" s="1"/>
  <c r="M12" i="4"/>
  <c r="M11" i="4"/>
  <c r="M7" i="4"/>
  <c r="I52" i="4"/>
  <c r="I51" i="4"/>
  <c r="P51" i="4" s="1"/>
  <c r="I50" i="4"/>
  <c r="I49" i="4"/>
  <c r="P49" i="4" s="1"/>
  <c r="I48" i="4"/>
  <c r="P48" i="4" s="1"/>
  <c r="I47" i="4"/>
  <c r="P47" i="4" s="1"/>
  <c r="I46" i="4"/>
  <c r="P46" i="4" s="1"/>
  <c r="I45" i="4"/>
  <c r="P45" i="4" s="1"/>
  <c r="I35" i="4"/>
  <c r="P35" i="4" s="1"/>
  <c r="I34" i="4"/>
  <c r="P34" i="4" s="1"/>
  <c r="I33" i="4"/>
  <c r="P33" i="4" s="1"/>
  <c r="I32" i="4"/>
  <c r="P32" i="4" s="1"/>
  <c r="I31" i="4"/>
  <c r="I30" i="4"/>
  <c r="P30" i="4" s="1"/>
  <c r="I29" i="4"/>
  <c r="P29" i="4" s="1"/>
  <c r="I28" i="4"/>
  <c r="I27" i="4"/>
  <c r="I25" i="4"/>
  <c r="I12" i="4"/>
  <c r="P12" i="4" s="1"/>
  <c r="I11" i="4"/>
  <c r="P11" i="4" s="1"/>
  <c r="I10" i="4"/>
  <c r="P10" i="4" s="1"/>
  <c r="I9" i="4"/>
  <c r="N9" i="4" s="1"/>
  <c r="I8" i="4"/>
  <c r="P8" i="4" s="1"/>
  <c r="I7" i="4"/>
  <c r="P7" i="4" s="1"/>
  <c r="I6" i="4"/>
  <c r="P6" i="4" s="1"/>
  <c r="I5" i="4"/>
  <c r="P5" i="4" s="1"/>
  <c r="H51" i="4"/>
  <c r="N51" i="4" s="1"/>
  <c r="H50" i="4"/>
  <c r="H49" i="4"/>
  <c r="H48" i="4"/>
  <c r="O48" i="4" s="1"/>
  <c r="H47" i="4"/>
  <c r="H46" i="4"/>
  <c r="H45" i="4"/>
  <c r="H44" i="4"/>
  <c r="H31" i="4"/>
  <c r="O31" i="4" s="1"/>
  <c r="H30" i="4"/>
  <c r="H29" i="4"/>
  <c r="N29" i="4" s="1"/>
  <c r="H28" i="4"/>
  <c r="N28" i="4" s="1"/>
  <c r="H27" i="4"/>
  <c r="N27" i="4" s="1"/>
  <c r="H25" i="4"/>
  <c r="N25" i="4" s="1"/>
  <c r="H24" i="4"/>
  <c r="O24" i="4" s="1"/>
  <c r="H11" i="4"/>
  <c r="H10" i="4"/>
  <c r="H9" i="4"/>
  <c r="O9" i="4" s="1"/>
  <c r="H8" i="4"/>
  <c r="O8" i="4" s="1"/>
  <c r="H7" i="4"/>
  <c r="O7" i="4" s="1"/>
  <c r="H6" i="4"/>
  <c r="O6" i="4" s="1"/>
  <c r="H5" i="4"/>
  <c r="N5" i="4" s="1"/>
  <c r="H4" i="4"/>
  <c r="N4" i="4" s="1"/>
  <c r="H3" i="4"/>
  <c r="H2" i="4"/>
  <c r="D55" i="4"/>
  <c r="H55" i="4" s="1"/>
  <c r="D54" i="4"/>
  <c r="H54" i="4" s="1"/>
  <c r="D53" i="4"/>
  <c r="H53" i="4" s="1"/>
  <c r="O53" i="4" s="1"/>
  <c r="D52" i="4"/>
  <c r="H52" i="4" s="1"/>
  <c r="D51" i="4"/>
  <c r="D50" i="4"/>
  <c r="M50" i="4" s="1"/>
  <c r="D49" i="4"/>
  <c r="M49" i="4" s="1"/>
  <c r="T49" i="4" s="1"/>
  <c r="D48" i="4"/>
  <c r="M48" i="4" s="1"/>
  <c r="T48" i="4" s="1"/>
  <c r="D47" i="4"/>
  <c r="D46" i="4"/>
  <c r="M46" i="4" s="1"/>
  <c r="T46" i="4" s="1"/>
  <c r="D45" i="4"/>
  <c r="M45" i="4" s="1"/>
  <c r="T45" i="4" s="1"/>
  <c r="D44" i="4"/>
  <c r="I44" i="4" s="1"/>
  <c r="D43" i="4"/>
  <c r="D42" i="4"/>
  <c r="D41" i="4"/>
  <c r="I41" i="4" s="1"/>
  <c r="D40" i="4"/>
  <c r="I40" i="4" s="1"/>
  <c r="P40" i="4" s="1"/>
  <c r="D39" i="4"/>
  <c r="I39" i="4" s="1"/>
  <c r="P39" i="4" s="1"/>
  <c r="D38" i="4"/>
  <c r="D37" i="4"/>
  <c r="D36" i="4"/>
  <c r="M36" i="4" s="1"/>
  <c r="T36" i="4" s="1"/>
  <c r="D35" i="4"/>
  <c r="H35" i="4" s="1"/>
  <c r="O35" i="4" s="1"/>
  <c r="D34" i="4"/>
  <c r="H34" i="4" s="1"/>
  <c r="O34" i="4" s="1"/>
  <c r="D33" i="4"/>
  <c r="H33" i="4" s="1"/>
  <c r="O33" i="4" s="1"/>
  <c r="D32" i="4"/>
  <c r="H32" i="4" s="1"/>
  <c r="O32" i="4" s="1"/>
  <c r="D31" i="4"/>
  <c r="D30" i="4"/>
  <c r="M30" i="4" s="1"/>
  <c r="D29" i="4"/>
  <c r="M29" i="4" s="1"/>
  <c r="D28" i="4"/>
  <c r="M28" i="4" s="1"/>
  <c r="T28" i="4" s="1"/>
  <c r="D27" i="4"/>
  <c r="D26" i="4"/>
  <c r="M26" i="4" s="1"/>
  <c r="T26" i="4" s="1"/>
  <c r="D25" i="4"/>
  <c r="M25" i="4" s="1"/>
  <c r="T25" i="4" s="1"/>
  <c r="D24" i="4"/>
  <c r="I24" i="4" s="1"/>
  <c r="D23" i="4"/>
  <c r="D22" i="4"/>
  <c r="D21" i="4"/>
  <c r="I21" i="4" s="1"/>
  <c r="P21" i="4" s="1"/>
  <c r="D20" i="4"/>
  <c r="I20" i="4" s="1"/>
  <c r="P20" i="4" s="1"/>
  <c r="D19" i="4"/>
  <c r="I19" i="4" s="1"/>
  <c r="P19" i="4" s="1"/>
  <c r="D18" i="4"/>
  <c r="D17" i="4"/>
  <c r="D16" i="4"/>
  <c r="D15" i="4"/>
  <c r="H15" i="4" s="1"/>
  <c r="D14" i="4"/>
  <c r="H14" i="4" s="1"/>
  <c r="D13" i="4"/>
  <c r="H13" i="4" s="1"/>
  <c r="O13" i="4" s="1"/>
  <c r="D12" i="4"/>
  <c r="H12" i="4" s="1"/>
  <c r="O12" i="4" s="1"/>
  <c r="D11" i="4"/>
  <c r="D10" i="4"/>
  <c r="M10" i="4" s="1"/>
  <c r="T10" i="4" s="1"/>
  <c r="D9" i="4"/>
  <c r="M9" i="4" s="1"/>
  <c r="T9" i="4" s="1"/>
  <c r="D8" i="4"/>
  <c r="M8" i="4" s="1"/>
  <c r="D7" i="4"/>
  <c r="D6" i="4"/>
  <c r="M6" i="4" s="1"/>
  <c r="D5" i="4"/>
  <c r="M5" i="4" s="1"/>
  <c r="T5" i="4" s="1"/>
  <c r="D4" i="4"/>
  <c r="I4" i="4" s="1"/>
  <c r="P4" i="4" s="1"/>
  <c r="D3" i="4"/>
  <c r="D2" i="4"/>
  <c r="M44" i="3"/>
  <c r="T44" i="3" s="1"/>
  <c r="M43" i="3"/>
  <c r="M42" i="3"/>
  <c r="T42" i="3" s="1"/>
  <c r="M41" i="3"/>
  <c r="T41" i="3" s="1"/>
  <c r="M40" i="3"/>
  <c r="T40" i="3" s="1"/>
  <c r="M39" i="3"/>
  <c r="M38" i="3"/>
  <c r="T38" i="3" s="1"/>
  <c r="M37" i="3"/>
  <c r="T37" i="3" s="1"/>
  <c r="M36" i="3"/>
  <c r="T36" i="3" s="1"/>
  <c r="M26" i="3"/>
  <c r="T26" i="3" s="1"/>
  <c r="M25" i="3"/>
  <c r="T25" i="3" s="1"/>
  <c r="M24" i="3"/>
  <c r="T24" i="3" s="1"/>
  <c r="M23" i="3"/>
  <c r="M22" i="3"/>
  <c r="M21" i="3"/>
  <c r="M20" i="3"/>
  <c r="T20" i="3" s="1"/>
  <c r="M19" i="3"/>
  <c r="T19" i="3" s="1"/>
  <c r="M18" i="3"/>
  <c r="T18" i="3" s="1"/>
  <c r="M17" i="3"/>
  <c r="T17" i="3" s="1"/>
  <c r="M16" i="3"/>
  <c r="M6" i="3"/>
  <c r="T6" i="3" s="1"/>
  <c r="M4" i="3"/>
  <c r="M3" i="3"/>
  <c r="M2" i="3"/>
  <c r="I44" i="3"/>
  <c r="P44" i="3" s="1"/>
  <c r="I43" i="3"/>
  <c r="N43" i="3" s="1"/>
  <c r="I42" i="3"/>
  <c r="P42" i="3" s="1"/>
  <c r="I41" i="3"/>
  <c r="P41" i="3" s="1"/>
  <c r="I40" i="3"/>
  <c r="P40" i="3" s="1"/>
  <c r="I39" i="3"/>
  <c r="N39" i="3" s="1"/>
  <c r="I29" i="3"/>
  <c r="P29" i="3" s="1"/>
  <c r="I24" i="3"/>
  <c r="I23" i="3"/>
  <c r="I22" i="3"/>
  <c r="I21" i="3"/>
  <c r="P21" i="3" s="1"/>
  <c r="I20" i="3"/>
  <c r="P20" i="3" s="1"/>
  <c r="I19" i="3"/>
  <c r="P19" i="3" s="1"/>
  <c r="I9" i="3"/>
  <c r="P9" i="3" s="1"/>
  <c r="I8" i="3"/>
  <c r="P8" i="3" s="1"/>
  <c r="I7" i="3"/>
  <c r="I6" i="3"/>
  <c r="P6" i="3" s="1"/>
  <c r="I5" i="3"/>
  <c r="P5" i="3" s="1"/>
  <c r="I4" i="3"/>
  <c r="P4" i="3" s="1"/>
  <c r="I3" i="3"/>
  <c r="P3" i="3" s="1"/>
  <c r="I2" i="3"/>
  <c r="H44" i="3"/>
  <c r="O44" i="3" s="1"/>
  <c r="H43" i="3"/>
  <c r="O43" i="3" s="1"/>
  <c r="H42" i="3"/>
  <c r="H39" i="3"/>
  <c r="H38" i="3"/>
  <c r="H31" i="3"/>
  <c r="H30" i="3"/>
  <c r="H29" i="3"/>
  <c r="H28" i="3"/>
  <c r="O28" i="3" s="1"/>
  <c r="H27" i="3"/>
  <c r="O27" i="3" s="1"/>
  <c r="H25" i="3"/>
  <c r="O25" i="3" s="1"/>
  <c r="H24" i="3"/>
  <c r="H23" i="3"/>
  <c r="H22" i="3"/>
  <c r="N22" i="3" s="1"/>
  <c r="H19" i="3"/>
  <c r="H18" i="3"/>
  <c r="O18" i="3" s="1"/>
  <c r="H12" i="3"/>
  <c r="H11" i="3"/>
  <c r="H10" i="3"/>
  <c r="H9" i="3"/>
  <c r="O9" i="3" s="1"/>
  <c r="H4" i="3"/>
  <c r="H3" i="3"/>
  <c r="N3" i="3" s="1"/>
  <c r="H2" i="3"/>
  <c r="D44" i="3"/>
  <c r="D43" i="3"/>
  <c r="D42" i="3"/>
  <c r="D41" i="3"/>
  <c r="H41" i="3" s="1"/>
  <c r="D40" i="3"/>
  <c r="H40" i="3" s="1"/>
  <c r="O40" i="3" s="1"/>
  <c r="D39" i="3"/>
  <c r="D38" i="3"/>
  <c r="I38" i="3" s="1"/>
  <c r="P38" i="3" s="1"/>
  <c r="D37" i="3"/>
  <c r="I37" i="3" s="1"/>
  <c r="P37" i="3" s="1"/>
  <c r="D36" i="3"/>
  <c r="I36" i="3" s="1"/>
  <c r="P36" i="3" s="1"/>
  <c r="D35" i="3"/>
  <c r="D34" i="3"/>
  <c r="D33" i="3"/>
  <c r="D32" i="3"/>
  <c r="H32" i="3" s="1"/>
  <c r="O32" i="3" s="1"/>
  <c r="D31" i="3"/>
  <c r="D30" i="3"/>
  <c r="D29" i="3"/>
  <c r="M29" i="3" s="1"/>
  <c r="T29" i="3" s="1"/>
  <c r="D28" i="3"/>
  <c r="M28" i="3" s="1"/>
  <c r="T28" i="3" s="1"/>
  <c r="D27" i="3"/>
  <c r="M27" i="3" s="1"/>
  <c r="T27" i="3" s="1"/>
  <c r="D26" i="3"/>
  <c r="I26" i="3" s="1"/>
  <c r="P26" i="3" s="1"/>
  <c r="D25" i="3"/>
  <c r="I25" i="3" s="1"/>
  <c r="D24" i="3"/>
  <c r="D23" i="3"/>
  <c r="D22" i="3"/>
  <c r="D21" i="3"/>
  <c r="H21" i="3" s="1"/>
  <c r="N21" i="3" s="1"/>
  <c r="D20" i="3"/>
  <c r="H20" i="3" s="1"/>
  <c r="N20" i="3" s="1"/>
  <c r="D19" i="3"/>
  <c r="D18" i="3"/>
  <c r="I18" i="3" s="1"/>
  <c r="P18" i="3" s="1"/>
  <c r="D17" i="3"/>
  <c r="I17" i="3" s="1"/>
  <c r="P17" i="3" s="1"/>
  <c r="D16" i="3"/>
  <c r="I16" i="3" s="1"/>
  <c r="P16" i="3" s="1"/>
  <c r="D15" i="3"/>
  <c r="D14" i="3"/>
  <c r="D13" i="3"/>
  <c r="D12" i="3"/>
  <c r="D11" i="3"/>
  <c r="D10" i="3"/>
  <c r="D9" i="3"/>
  <c r="M9" i="3" s="1"/>
  <c r="T9" i="3" s="1"/>
  <c r="D8" i="3"/>
  <c r="M8" i="3" s="1"/>
  <c r="D7" i="3"/>
  <c r="M7" i="3" s="1"/>
  <c r="T7" i="3" s="1"/>
  <c r="D6" i="3"/>
  <c r="H6" i="3" s="1"/>
  <c r="D5" i="3"/>
  <c r="H5" i="3" s="1"/>
  <c r="D4" i="3"/>
  <c r="D3" i="3"/>
  <c r="D2" i="3"/>
  <c r="M62" i="2"/>
  <c r="T62" i="2" s="1"/>
  <c r="M50" i="2"/>
  <c r="T50" i="2" s="1"/>
  <c r="M49" i="2"/>
  <c r="T49" i="2" s="1"/>
  <c r="M48" i="2"/>
  <c r="M47" i="2"/>
  <c r="M46" i="2"/>
  <c r="T46" i="2" s="1"/>
  <c r="M42" i="2"/>
  <c r="M30" i="2"/>
  <c r="T30" i="2" s="1"/>
  <c r="M29" i="2"/>
  <c r="T29" i="2" s="1"/>
  <c r="M28" i="2"/>
  <c r="T28" i="2" s="1"/>
  <c r="M27" i="2"/>
  <c r="T27" i="2" s="1"/>
  <c r="M26" i="2"/>
  <c r="T26" i="2" s="1"/>
  <c r="M22" i="2"/>
  <c r="T22" i="2" s="1"/>
  <c r="M16" i="2"/>
  <c r="T16" i="2" s="1"/>
  <c r="M15" i="2"/>
  <c r="T15" i="2" s="1"/>
  <c r="M14" i="2"/>
  <c r="T14" i="2" s="1"/>
  <c r="M13" i="2"/>
  <c r="T13" i="2" s="1"/>
  <c r="M8" i="2"/>
  <c r="T8" i="2" s="1"/>
  <c r="M7" i="2"/>
  <c r="T7" i="2" s="1"/>
  <c r="M6" i="2"/>
  <c r="M2" i="2"/>
  <c r="T2" i="2" s="1"/>
  <c r="I50" i="2"/>
  <c r="I49" i="2"/>
  <c r="P49" i="2" s="1"/>
  <c r="I48" i="2"/>
  <c r="P48" i="2" s="1"/>
  <c r="I47" i="2"/>
  <c r="I44" i="2"/>
  <c r="P44" i="2" s="1"/>
  <c r="I43" i="2"/>
  <c r="I30" i="2"/>
  <c r="P30" i="2" s="1"/>
  <c r="I29" i="2"/>
  <c r="I28" i="2"/>
  <c r="P28" i="2" s="1"/>
  <c r="I27" i="2"/>
  <c r="P27" i="2" s="1"/>
  <c r="I24" i="2"/>
  <c r="I23" i="2"/>
  <c r="I17" i="2"/>
  <c r="I16" i="2"/>
  <c r="P16" i="2" s="1"/>
  <c r="I15" i="2"/>
  <c r="P15" i="2" s="1"/>
  <c r="I14" i="2"/>
  <c r="P14" i="2" s="1"/>
  <c r="I13" i="2"/>
  <c r="P13" i="2" s="1"/>
  <c r="I12" i="2"/>
  <c r="P12" i="2" s="1"/>
  <c r="I9" i="2"/>
  <c r="I8" i="2"/>
  <c r="I7" i="2"/>
  <c r="I4" i="2"/>
  <c r="P4" i="2" s="1"/>
  <c r="I3" i="2"/>
  <c r="H50" i="2"/>
  <c r="O50" i="2" s="1"/>
  <c r="H49" i="2"/>
  <c r="H48" i="2"/>
  <c r="O48" i="2" s="1"/>
  <c r="H47" i="2"/>
  <c r="H44" i="2"/>
  <c r="O44" i="2" s="1"/>
  <c r="H30" i="2"/>
  <c r="O30" i="2" s="1"/>
  <c r="H29" i="2"/>
  <c r="O29" i="2" s="1"/>
  <c r="H28" i="2"/>
  <c r="O28" i="2" s="1"/>
  <c r="H27" i="2"/>
  <c r="H24" i="2"/>
  <c r="H19" i="2"/>
  <c r="O19" i="2" s="1"/>
  <c r="H18" i="2"/>
  <c r="H17" i="2"/>
  <c r="H16" i="2"/>
  <c r="O16" i="2" s="1"/>
  <c r="H15" i="2"/>
  <c r="O15" i="2" s="1"/>
  <c r="H10" i="2"/>
  <c r="H9" i="2"/>
  <c r="N9" i="2" s="1"/>
  <c r="H8" i="2"/>
  <c r="H4" i="2"/>
  <c r="N4" i="2" s="1"/>
  <c r="D62" i="2"/>
  <c r="I62" i="2" s="1"/>
  <c r="P62" i="2" s="1"/>
  <c r="D61" i="2"/>
  <c r="M61" i="2" s="1"/>
  <c r="T61" i="2" s="1"/>
  <c r="D60" i="2"/>
  <c r="D59" i="2"/>
  <c r="H59" i="2" s="1"/>
  <c r="D58" i="2"/>
  <c r="H58" i="2" s="1"/>
  <c r="D57" i="2"/>
  <c r="M57" i="2" s="1"/>
  <c r="D56" i="2"/>
  <c r="I56" i="2" s="1"/>
  <c r="P56" i="2" s="1"/>
  <c r="D55" i="2"/>
  <c r="M55" i="2" s="1"/>
  <c r="T55" i="2" s="1"/>
  <c r="D54" i="2"/>
  <c r="H54" i="2" s="1"/>
  <c r="O54" i="2" s="1"/>
  <c r="D53" i="2"/>
  <c r="M53" i="2" s="1"/>
  <c r="T53" i="2" s="1"/>
  <c r="D52" i="2"/>
  <c r="H52" i="2" s="1"/>
  <c r="D51" i="2"/>
  <c r="M51" i="2" s="1"/>
  <c r="T51" i="2" s="1"/>
  <c r="D50" i="2"/>
  <c r="D49" i="2"/>
  <c r="D48" i="2"/>
  <c r="D47" i="2"/>
  <c r="D46" i="2"/>
  <c r="I46" i="2" s="1"/>
  <c r="D45" i="2"/>
  <c r="M45" i="2" s="1"/>
  <c r="T45" i="2" s="1"/>
  <c r="D44" i="2"/>
  <c r="M44" i="2" s="1"/>
  <c r="T44" i="2" s="1"/>
  <c r="D43" i="2"/>
  <c r="M43" i="2" s="1"/>
  <c r="T43" i="2" s="1"/>
  <c r="D42" i="2"/>
  <c r="I42" i="2" s="1"/>
  <c r="P42" i="2" s="1"/>
  <c r="D41" i="2"/>
  <c r="M41" i="2" s="1"/>
  <c r="T41" i="2" s="1"/>
  <c r="D40" i="2"/>
  <c r="D39" i="2"/>
  <c r="D38" i="2"/>
  <c r="D37" i="2"/>
  <c r="M37" i="2" s="1"/>
  <c r="T37" i="2" s="1"/>
  <c r="D36" i="2"/>
  <c r="I36" i="2" s="1"/>
  <c r="P36" i="2" s="1"/>
  <c r="D35" i="2"/>
  <c r="H35" i="2" s="1"/>
  <c r="D34" i="2"/>
  <c r="H34" i="2" s="1"/>
  <c r="O34" i="2" s="1"/>
  <c r="D33" i="2"/>
  <c r="I33" i="2" s="1"/>
  <c r="P33" i="2" s="1"/>
  <c r="D32" i="2"/>
  <c r="I32" i="2" s="1"/>
  <c r="P32" i="2" s="1"/>
  <c r="D31" i="2"/>
  <c r="I31" i="2" s="1"/>
  <c r="P31" i="2" s="1"/>
  <c r="D30" i="2"/>
  <c r="D29" i="2"/>
  <c r="D28" i="2"/>
  <c r="D27" i="2"/>
  <c r="D26" i="2"/>
  <c r="I26" i="2" s="1"/>
  <c r="D25" i="2"/>
  <c r="M25" i="2" s="1"/>
  <c r="D24" i="2"/>
  <c r="M24" i="2" s="1"/>
  <c r="D23" i="2"/>
  <c r="M23" i="2" s="1"/>
  <c r="D22" i="2"/>
  <c r="I22" i="2" s="1"/>
  <c r="P22" i="2" s="1"/>
  <c r="D21" i="2"/>
  <c r="M21" i="2" s="1"/>
  <c r="T21" i="2" s="1"/>
  <c r="D20" i="2"/>
  <c r="D19" i="2"/>
  <c r="D18" i="2"/>
  <c r="D17" i="2"/>
  <c r="M17" i="2" s="1"/>
  <c r="T17" i="2" s="1"/>
  <c r="D16" i="2"/>
  <c r="D15" i="2"/>
  <c r="D14" i="2"/>
  <c r="H14" i="2" s="1"/>
  <c r="D13" i="2"/>
  <c r="H13" i="2" s="1"/>
  <c r="D12" i="2"/>
  <c r="M12" i="2" s="1"/>
  <c r="T12" i="2" s="1"/>
  <c r="D11" i="2"/>
  <c r="I11" i="2" s="1"/>
  <c r="P11" i="2" s="1"/>
  <c r="D10" i="2"/>
  <c r="I10" i="2" s="1"/>
  <c r="P10" i="2" s="1"/>
  <c r="D9" i="2"/>
  <c r="M9" i="2" s="1"/>
  <c r="T9" i="2" s="1"/>
  <c r="D8" i="2"/>
  <c r="D7" i="2"/>
  <c r="H7" i="2" s="1"/>
  <c r="O7" i="2" s="1"/>
  <c r="D6" i="2"/>
  <c r="I6" i="2" s="1"/>
  <c r="P6" i="2" s="1"/>
  <c r="D5" i="2"/>
  <c r="M5" i="2" s="1"/>
  <c r="D4" i="2"/>
  <c r="M4" i="2" s="1"/>
  <c r="T4" i="2" s="1"/>
  <c r="D3" i="2"/>
  <c r="M3" i="2" s="1"/>
  <c r="D2" i="2"/>
  <c r="I2" i="2" s="1"/>
  <c r="N7" i="4"/>
  <c r="N31" i="4"/>
  <c r="O5" i="4"/>
  <c r="O2" i="4"/>
  <c r="O3" i="4"/>
  <c r="O30" i="4"/>
  <c r="O4" i="4"/>
  <c r="O11" i="4"/>
  <c r="O46" i="4"/>
  <c r="O54" i="4"/>
  <c r="O49" i="4"/>
  <c r="O50" i="4"/>
  <c r="O51" i="4"/>
  <c r="P41" i="4"/>
  <c r="P52" i="4"/>
  <c r="P44" i="4"/>
  <c r="P24" i="4"/>
  <c r="P25" i="4"/>
  <c r="P27" i="4"/>
  <c r="P28" i="4"/>
  <c r="P31" i="4"/>
  <c r="P50" i="4"/>
  <c r="Q15" i="4"/>
  <c r="Q16" i="4"/>
  <c r="Q5" i="4"/>
  <c r="Q17" i="4"/>
  <c r="Q18" i="4"/>
  <c r="Q2" i="4"/>
  <c r="Q3" i="4"/>
  <c r="Q19" i="4"/>
  <c r="Q20" i="4"/>
  <c r="Q6" i="4"/>
  <c r="Q7" i="4"/>
  <c r="Q21" i="4"/>
  <c r="Q38" i="4"/>
  <c r="Q41" i="4"/>
  <c r="Q22" i="4"/>
  <c r="Q52" i="4"/>
  <c r="Q42" i="4"/>
  <c r="Q8" i="4"/>
  <c r="Q9" i="4"/>
  <c r="Q43" i="4"/>
  <c r="Q23" i="4"/>
  <c r="Q44" i="4"/>
  <c r="Q10" i="4"/>
  <c r="Q24" i="4"/>
  <c r="Q25" i="4"/>
  <c r="Q26" i="4"/>
  <c r="Q27" i="4"/>
  <c r="Q28" i="4"/>
  <c r="Q29" i="4"/>
  <c r="Q30" i="4"/>
  <c r="Q4" i="4"/>
  <c r="Q45" i="4"/>
  <c r="Q11" i="4"/>
  <c r="Q12" i="4"/>
  <c r="Q46" i="4"/>
  <c r="Q39" i="4"/>
  <c r="Q47" i="4"/>
  <c r="Q31" i="4"/>
  <c r="Q32" i="4"/>
  <c r="Q33" i="4"/>
  <c r="Q40" i="4"/>
  <c r="Q13" i="4"/>
  <c r="Q53" i="4"/>
  <c r="Q34" i="4"/>
  <c r="Q35" i="4"/>
  <c r="Q54" i="4"/>
  <c r="Q48" i="4"/>
  <c r="Q49" i="4"/>
  <c r="Q36" i="4"/>
  <c r="Q55" i="4"/>
  <c r="Q37" i="4"/>
  <c r="Q14" i="4"/>
  <c r="Q50" i="4"/>
  <c r="Q51" i="4"/>
  <c r="R15" i="4"/>
  <c r="R16" i="4"/>
  <c r="R5" i="4"/>
  <c r="R17" i="4"/>
  <c r="R18" i="4"/>
  <c r="R2" i="4"/>
  <c r="R3" i="4"/>
  <c r="R19" i="4"/>
  <c r="R20" i="4"/>
  <c r="R6" i="4"/>
  <c r="R7" i="4"/>
  <c r="R21" i="4"/>
  <c r="R38" i="4"/>
  <c r="R41" i="4"/>
  <c r="R22" i="4"/>
  <c r="R52" i="4"/>
  <c r="R42" i="4"/>
  <c r="R8" i="4"/>
  <c r="R9" i="4"/>
  <c r="R43" i="4"/>
  <c r="R23" i="4"/>
  <c r="R44" i="4"/>
  <c r="R10" i="4"/>
  <c r="R24" i="4"/>
  <c r="R25" i="4"/>
  <c r="R26" i="4"/>
  <c r="R27" i="4"/>
  <c r="R28" i="4"/>
  <c r="R29" i="4"/>
  <c r="R30" i="4"/>
  <c r="R4" i="4"/>
  <c r="R45" i="4"/>
  <c r="R11" i="4"/>
  <c r="R12" i="4"/>
  <c r="R46" i="4"/>
  <c r="R39" i="4"/>
  <c r="R47" i="4"/>
  <c r="R31" i="4"/>
  <c r="R32" i="4"/>
  <c r="R33" i="4"/>
  <c r="R40" i="4"/>
  <c r="R13" i="4"/>
  <c r="R53" i="4"/>
  <c r="R34" i="4"/>
  <c r="R35" i="4"/>
  <c r="R54" i="4"/>
  <c r="R48" i="4"/>
  <c r="R49" i="4"/>
  <c r="R36" i="4"/>
  <c r="R55" i="4"/>
  <c r="R37" i="4"/>
  <c r="R14" i="4"/>
  <c r="R50" i="4"/>
  <c r="R51" i="4"/>
  <c r="S15" i="4"/>
  <c r="S16" i="4"/>
  <c r="S5" i="4"/>
  <c r="S17" i="4"/>
  <c r="S18" i="4"/>
  <c r="S2" i="4"/>
  <c r="S3" i="4"/>
  <c r="S19" i="4"/>
  <c r="S20" i="4"/>
  <c r="S6" i="4"/>
  <c r="S7" i="4"/>
  <c r="S21" i="4"/>
  <c r="S38" i="4"/>
  <c r="S41" i="4"/>
  <c r="S22" i="4"/>
  <c r="S52" i="4"/>
  <c r="S42" i="4"/>
  <c r="S8" i="4"/>
  <c r="S9" i="4"/>
  <c r="S43" i="4"/>
  <c r="S23" i="4"/>
  <c r="S44" i="4"/>
  <c r="S10" i="4"/>
  <c r="S24" i="4"/>
  <c r="S25" i="4"/>
  <c r="S26" i="4"/>
  <c r="S27" i="4"/>
  <c r="S28" i="4"/>
  <c r="S29" i="4"/>
  <c r="S30" i="4"/>
  <c r="S4" i="4"/>
  <c r="S45" i="4"/>
  <c r="S11" i="4"/>
  <c r="S12" i="4"/>
  <c r="S46" i="4"/>
  <c r="S39" i="4"/>
  <c r="S47" i="4"/>
  <c r="S31" i="4"/>
  <c r="S32" i="4"/>
  <c r="S33" i="4"/>
  <c r="S40" i="4"/>
  <c r="S13" i="4"/>
  <c r="S53" i="4"/>
  <c r="S34" i="4"/>
  <c r="S35" i="4"/>
  <c r="S54" i="4"/>
  <c r="S48" i="4"/>
  <c r="S49" i="4"/>
  <c r="S36" i="4"/>
  <c r="S55" i="4"/>
  <c r="S37" i="4"/>
  <c r="S14" i="4"/>
  <c r="S50" i="4"/>
  <c r="S51" i="4"/>
  <c r="T6" i="4"/>
  <c r="T7" i="4"/>
  <c r="T52" i="4"/>
  <c r="T8" i="4"/>
  <c r="T27" i="4"/>
  <c r="T29" i="4"/>
  <c r="T30" i="4"/>
  <c r="T11" i="4"/>
  <c r="T12" i="4"/>
  <c r="T47" i="4"/>
  <c r="T31" i="4"/>
  <c r="T32" i="4"/>
  <c r="T50" i="4"/>
  <c r="T51" i="4"/>
  <c r="N29" i="3"/>
  <c r="N44" i="3"/>
  <c r="O19" i="3"/>
  <c r="O2" i="3"/>
  <c r="O38" i="3"/>
  <c r="O4" i="3"/>
  <c r="O41" i="3"/>
  <c r="O42" i="3"/>
  <c r="O29" i="3"/>
  <c r="O30" i="3"/>
  <c r="O31" i="3"/>
  <c r="O39" i="3"/>
  <c r="P22" i="3"/>
  <c r="P7" i="3"/>
  <c r="P23" i="3"/>
  <c r="P24" i="3"/>
  <c r="P43" i="3"/>
  <c r="Q17" i="3"/>
  <c r="Q9" i="3"/>
  <c r="Q18" i="3"/>
  <c r="Q40" i="3"/>
  <c r="Q19" i="3"/>
  <c r="Q20" i="3"/>
  <c r="Q21" i="3"/>
  <c r="Q2" i="3"/>
  <c r="Q3" i="3"/>
  <c r="Q37" i="3"/>
  <c r="Q38" i="3"/>
  <c r="Q10" i="3"/>
  <c r="Q4" i="3"/>
  <c r="Q5" i="3"/>
  <c r="Q41" i="3"/>
  <c r="Q22" i="3"/>
  <c r="Q6" i="3"/>
  <c r="Q42" i="3"/>
  <c r="Q11" i="3"/>
  <c r="Q7" i="3"/>
  <c r="Q23" i="3"/>
  <c r="Q24" i="3"/>
  <c r="Q25" i="3"/>
  <c r="Q43" i="3"/>
  <c r="Q26" i="3"/>
  <c r="Q27" i="3"/>
  <c r="Q28" i="3"/>
  <c r="Q29" i="3"/>
  <c r="Q30" i="3"/>
  <c r="Q31" i="3"/>
  <c r="Q12" i="3"/>
  <c r="Q44" i="3"/>
  <c r="Q13" i="3"/>
  <c r="Q8" i="3"/>
  <c r="Q32" i="3"/>
  <c r="Q33" i="3"/>
  <c r="Q34" i="3"/>
  <c r="Q35" i="3"/>
  <c r="Q14" i="3"/>
  <c r="Q36" i="3"/>
  <c r="Q15" i="3"/>
  <c r="Q39" i="3"/>
  <c r="Q16" i="3"/>
  <c r="R17" i="3"/>
  <c r="R9" i="3"/>
  <c r="R18" i="3"/>
  <c r="R40" i="3"/>
  <c r="R19" i="3"/>
  <c r="R20" i="3"/>
  <c r="R21" i="3"/>
  <c r="R2" i="3"/>
  <c r="R3" i="3"/>
  <c r="R37" i="3"/>
  <c r="R38" i="3"/>
  <c r="R10" i="3"/>
  <c r="R4" i="3"/>
  <c r="R5" i="3"/>
  <c r="R41" i="3"/>
  <c r="R22" i="3"/>
  <c r="R6" i="3"/>
  <c r="R42" i="3"/>
  <c r="R11" i="3"/>
  <c r="R7" i="3"/>
  <c r="R23" i="3"/>
  <c r="R24" i="3"/>
  <c r="R25" i="3"/>
  <c r="R43" i="3"/>
  <c r="R26" i="3"/>
  <c r="R27" i="3"/>
  <c r="R28" i="3"/>
  <c r="R29" i="3"/>
  <c r="R30" i="3"/>
  <c r="R31" i="3"/>
  <c r="R12" i="3"/>
  <c r="R44" i="3"/>
  <c r="R13" i="3"/>
  <c r="R8" i="3"/>
  <c r="R32" i="3"/>
  <c r="R33" i="3"/>
  <c r="R34" i="3"/>
  <c r="R35" i="3"/>
  <c r="R14" i="3"/>
  <c r="R36" i="3"/>
  <c r="R15" i="3"/>
  <c r="R39" i="3"/>
  <c r="R16" i="3"/>
  <c r="S17" i="3"/>
  <c r="S9" i="3"/>
  <c r="S18" i="3"/>
  <c r="S40" i="3"/>
  <c r="S19" i="3"/>
  <c r="S20" i="3"/>
  <c r="S21" i="3"/>
  <c r="S2" i="3"/>
  <c r="S3" i="3"/>
  <c r="S37" i="3"/>
  <c r="S38" i="3"/>
  <c r="S10" i="3"/>
  <c r="S4" i="3"/>
  <c r="S5" i="3"/>
  <c r="S41" i="3"/>
  <c r="S22" i="3"/>
  <c r="S6" i="3"/>
  <c r="S42" i="3"/>
  <c r="S11" i="3"/>
  <c r="S7" i="3"/>
  <c r="S23" i="3"/>
  <c r="S24" i="3"/>
  <c r="S25" i="3"/>
  <c r="S43" i="3"/>
  <c r="S26" i="3"/>
  <c r="S27" i="3"/>
  <c r="S28" i="3"/>
  <c r="S29" i="3"/>
  <c r="S30" i="3"/>
  <c r="S31" i="3"/>
  <c r="S12" i="3"/>
  <c r="S44" i="3"/>
  <c r="S13" i="3"/>
  <c r="S8" i="3"/>
  <c r="S32" i="3"/>
  <c r="S33" i="3"/>
  <c r="S34" i="3"/>
  <c r="S35" i="3"/>
  <c r="S14" i="3"/>
  <c r="S36" i="3"/>
  <c r="S15" i="3"/>
  <c r="S39" i="3"/>
  <c r="S16" i="3"/>
  <c r="T21" i="3"/>
  <c r="T2" i="3"/>
  <c r="T3" i="3"/>
  <c r="T4" i="3"/>
  <c r="T22" i="3"/>
  <c r="T23" i="3"/>
  <c r="T43" i="3"/>
  <c r="T8" i="3"/>
  <c r="T39" i="3"/>
  <c r="T16" i="3"/>
  <c r="N16" i="2"/>
  <c r="N7" i="2"/>
  <c r="N29" i="2"/>
  <c r="O4" i="2"/>
  <c r="O24" i="2"/>
  <c r="O10" i="2"/>
  <c r="O47" i="2"/>
  <c r="O27" i="2"/>
  <c r="P2" i="2"/>
  <c r="P17" i="2"/>
  <c r="P3" i="2"/>
  <c r="P23" i="2"/>
  <c r="P7" i="2"/>
  <c r="P43" i="2"/>
  <c r="P8" i="2"/>
  <c r="P9" i="2"/>
  <c r="P26" i="2"/>
  <c r="P46" i="2"/>
  <c r="P29" i="2"/>
  <c r="P50" i="2"/>
  <c r="Q2" i="2"/>
  <c r="Q16" i="2"/>
  <c r="Q35" i="2"/>
  <c r="Q17" i="2"/>
  <c r="Q3" i="2"/>
  <c r="Q36" i="2"/>
  <c r="Q18" i="2"/>
  <c r="Q60" i="2"/>
  <c r="Q4" i="2"/>
  <c r="Q37" i="2"/>
  <c r="Q19" i="2"/>
  <c r="Q20" i="2"/>
  <c r="Q5" i="2"/>
  <c r="Q52" i="2"/>
  <c r="Q38" i="2"/>
  <c r="Q53" i="2"/>
  <c r="Q54" i="2"/>
  <c r="Q21" i="2"/>
  <c r="Q39" i="2"/>
  <c r="Q6" i="2"/>
  <c r="Q22" i="2"/>
  <c r="Q23" i="2"/>
  <c r="Q24" i="2"/>
  <c r="Q57" i="2"/>
  <c r="Q7" i="2"/>
  <c r="Q40" i="2"/>
  <c r="Q41" i="2"/>
  <c r="Q42" i="2"/>
  <c r="Q43" i="2"/>
  <c r="Q44" i="2"/>
  <c r="Q8" i="2"/>
  <c r="Q45" i="2"/>
  <c r="Q55" i="2"/>
  <c r="Q9" i="2"/>
  <c r="Q10" i="2"/>
  <c r="Q25" i="2"/>
  <c r="Q58" i="2"/>
  <c r="Q26" i="2"/>
  <c r="Q46" i="2"/>
  <c r="Q47" i="2"/>
  <c r="Q11" i="2"/>
  <c r="Q61" i="2"/>
  <c r="Q27" i="2"/>
  <c r="Q28" i="2"/>
  <c r="Q56" i="2"/>
  <c r="Q62" i="2"/>
  <c r="Q48" i="2"/>
  <c r="Q12" i="2"/>
  <c r="Q13" i="2"/>
  <c r="Q29" i="2"/>
  <c r="Q49" i="2"/>
  <c r="Q14" i="2"/>
  <c r="Q30" i="2"/>
  <c r="Q15" i="2"/>
  <c r="Q31" i="2"/>
  <c r="Q50" i="2"/>
  <c r="Q59" i="2"/>
  <c r="Q32" i="2"/>
  <c r="Q51" i="2"/>
  <c r="Q33" i="2"/>
  <c r="Q34" i="2"/>
  <c r="R2" i="2"/>
  <c r="R16" i="2"/>
  <c r="R35" i="2"/>
  <c r="R17" i="2"/>
  <c r="R3" i="2"/>
  <c r="R36" i="2"/>
  <c r="R18" i="2"/>
  <c r="R60" i="2"/>
  <c r="R4" i="2"/>
  <c r="R37" i="2"/>
  <c r="R19" i="2"/>
  <c r="R20" i="2"/>
  <c r="R5" i="2"/>
  <c r="R52" i="2"/>
  <c r="R38" i="2"/>
  <c r="R53" i="2"/>
  <c r="R54" i="2"/>
  <c r="R21" i="2"/>
  <c r="R39" i="2"/>
  <c r="R6" i="2"/>
  <c r="R22" i="2"/>
  <c r="R23" i="2"/>
  <c r="R24" i="2"/>
  <c r="R57" i="2"/>
  <c r="R7" i="2"/>
  <c r="R40" i="2"/>
  <c r="R41" i="2"/>
  <c r="R42" i="2"/>
  <c r="R43" i="2"/>
  <c r="R44" i="2"/>
  <c r="R8" i="2"/>
  <c r="R45" i="2"/>
  <c r="R55" i="2"/>
  <c r="R9" i="2"/>
  <c r="R10" i="2"/>
  <c r="R25" i="2"/>
  <c r="R58" i="2"/>
  <c r="R26" i="2"/>
  <c r="R46" i="2"/>
  <c r="R47" i="2"/>
  <c r="R11" i="2"/>
  <c r="R61" i="2"/>
  <c r="R27" i="2"/>
  <c r="R28" i="2"/>
  <c r="R56" i="2"/>
  <c r="R62" i="2"/>
  <c r="R48" i="2"/>
  <c r="R12" i="2"/>
  <c r="R13" i="2"/>
  <c r="R29" i="2"/>
  <c r="R49" i="2"/>
  <c r="R14" i="2"/>
  <c r="R30" i="2"/>
  <c r="R15" i="2"/>
  <c r="R31" i="2"/>
  <c r="R50" i="2"/>
  <c r="R59" i="2"/>
  <c r="R32" i="2"/>
  <c r="R51" i="2"/>
  <c r="R33" i="2"/>
  <c r="R34" i="2"/>
  <c r="S2" i="2"/>
  <c r="S16" i="2"/>
  <c r="S35" i="2"/>
  <c r="S17" i="2"/>
  <c r="S3" i="2"/>
  <c r="S36" i="2"/>
  <c r="S18" i="2"/>
  <c r="S60" i="2"/>
  <c r="S4" i="2"/>
  <c r="S37" i="2"/>
  <c r="S19" i="2"/>
  <c r="S20" i="2"/>
  <c r="S5" i="2"/>
  <c r="S52" i="2"/>
  <c r="S38" i="2"/>
  <c r="S53" i="2"/>
  <c r="S54" i="2"/>
  <c r="S21" i="2"/>
  <c r="S39" i="2"/>
  <c r="S6" i="2"/>
  <c r="S22" i="2"/>
  <c r="S23" i="2"/>
  <c r="S24" i="2"/>
  <c r="S57" i="2"/>
  <c r="S7" i="2"/>
  <c r="S40" i="2"/>
  <c r="S41" i="2"/>
  <c r="S42" i="2"/>
  <c r="S43" i="2"/>
  <c r="S44" i="2"/>
  <c r="S8" i="2"/>
  <c r="S45" i="2"/>
  <c r="S55" i="2"/>
  <c r="S9" i="2"/>
  <c r="S10" i="2"/>
  <c r="S25" i="2"/>
  <c r="S58" i="2"/>
  <c r="S26" i="2"/>
  <c r="S46" i="2"/>
  <c r="S47" i="2"/>
  <c r="S11" i="2"/>
  <c r="S61" i="2"/>
  <c r="S27" i="2"/>
  <c r="S28" i="2"/>
  <c r="S56" i="2"/>
  <c r="S62" i="2"/>
  <c r="S48" i="2"/>
  <c r="S12" i="2"/>
  <c r="S13" i="2"/>
  <c r="S29" i="2"/>
  <c r="S49" i="2"/>
  <c r="S14" i="2"/>
  <c r="S30" i="2"/>
  <c r="S15" i="2"/>
  <c r="S31" i="2"/>
  <c r="S50" i="2"/>
  <c r="S59" i="2"/>
  <c r="S32" i="2"/>
  <c r="S51" i="2"/>
  <c r="S33" i="2"/>
  <c r="S34" i="2"/>
  <c r="T5" i="2"/>
  <c r="T6" i="2"/>
  <c r="T23" i="2"/>
  <c r="T24" i="2"/>
  <c r="T57" i="2"/>
  <c r="T42" i="2"/>
  <c r="T25" i="2"/>
  <c r="T47" i="2"/>
  <c r="T48" i="2"/>
  <c r="X44" i="3"/>
  <c r="C1" i="12" a="1"/>
  <c r="C1" i="12" s="1"/>
  <c r="C1" i="11" a="1"/>
  <c r="C1" i="11" s="1"/>
  <c r="C1" i="9" a="1"/>
  <c r="C1" i="9" s="1"/>
  <c r="I26" i="4" l="1"/>
  <c r="P26" i="4" s="1"/>
  <c r="H26" i="4"/>
  <c r="M20" i="4"/>
  <c r="T20" i="4" s="1"/>
  <c r="O35" i="2"/>
  <c r="O58" i="2"/>
  <c r="N5" i="3"/>
  <c r="P25" i="3"/>
  <c r="N25" i="3"/>
  <c r="O59" i="2"/>
  <c r="N6" i="3"/>
  <c r="O6" i="3"/>
  <c r="O52" i="2"/>
  <c r="O13" i="2"/>
  <c r="N13" i="2"/>
  <c r="O14" i="2"/>
  <c r="N14" i="2"/>
  <c r="M15" i="3"/>
  <c r="T15" i="3" s="1"/>
  <c r="I15" i="3"/>
  <c r="P15" i="3" s="1"/>
  <c r="H15" i="3"/>
  <c r="H51" i="2"/>
  <c r="O51" i="2" s="1"/>
  <c r="H53" i="2"/>
  <c r="N48" i="4"/>
  <c r="H38" i="4"/>
  <c r="I38" i="4"/>
  <c r="P38" i="4" s="1"/>
  <c r="M38" i="4"/>
  <c r="T38" i="4" s="1"/>
  <c r="I51" i="2"/>
  <c r="N51" i="2" s="1"/>
  <c r="O10" i="3"/>
  <c r="H55" i="2"/>
  <c r="N41" i="3"/>
  <c r="H39" i="4"/>
  <c r="M33" i="4"/>
  <c r="T33" i="4" s="1"/>
  <c r="M56" i="2"/>
  <c r="T56" i="2" s="1"/>
  <c r="I19" i="2"/>
  <c r="P19" i="2" s="1"/>
  <c r="M19" i="2"/>
  <c r="T19" i="2" s="1"/>
  <c r="I54" i="2"/>
  <c r="P54" i="2" s="1"/>
  <c r="N38" i="3"/>
  <c r="O29" i="4"/>
  <c r="N34" i="4"/>
  <c r="H20" i="2"/>
  <c r="O20" i="2" s="1"/>
  <c r="M20" i="2"/>
  <c r="T20" i="2" s="1"/>
  <c r="I20" i="2"/>
  <c r="P20" i="2" s="1"/>
  <c r="M40" i="2"/>
  <c r="T40" i="2" s="1"/>
  <c r="H40" i="2"/>
  <c r="I40" i="2"/>
  <c r="P40" i="2" s="1"/>
  <c r="M60" i="2"/>
  <c r="T60" i="2" s="1"/>
  <c r="I60" i="2"/>
  <c r="P60" i="2" s="1"/>
  <c r="H60" i="2"/>
  <c r="H56" i="2"/>
  <c r="I55" i="2"/>
  <c r="P55" i="2" s="1"/>
  <c r="H26" i="3"/>
  <c r="M5" i="3"/>
  <c r="R17" i="1" s="1" a="1"/>
  <c r="R17" i="1" s="1"/>
  <c r="H40" i="4"/>
  <c r="I13" i="4"/>
  <c r="N13" i="4" s="1"/>
  <c r="M34" i="4"/>
  <c r="T34" i="4" s="1"/>
  <c r="P47" i="2"/>
  <c r="N47" i="2"/>
  <c r="O11" i="3"/>
  <c r="N11" i="3"/>
  <c r="N12" i="3"/>
  <c r="P2" i="3"/>
  <c r="O3" i="3"/>
  <c r="O27" i="4"/>
  <c r="H32" i="2"/>
  <c r="I57" i="2"/>
  <c r="P57" i="2" s="1"/>
  <c r="M32" i="2"/>
  <c r="T32" i="2" s="1"/>
  <c r="I2" i="4"/>
  <c r="M2" i="4"/>
  <c r="I22" i="4"/>
  <c r="P22" i="4" s="1"/>
  <c r="M22" i="4"/>
  <c r="T22" i="4" s="1"/>
  <c r="I42" i="4"/>
  <c r="P42" i="4" s="1"/>
  <c r="M42" i="4"/>
  <c r="T42" i="4" s="1"/>
  <c r="H42" i="4"/>
  <c r="I15" i="4"/>
  <c r="P15" i="4" s="1"/>
  <c r="I53" i="4"/>
  <c r="P53" i="4" s="1"/>
  <c r="H33" i="3"/>
  <c r="M33" i="3"/>
  <c r="T33" i="3" s="1"/>
  <c r="I33" i="3"/>
  <c r="P33" i="3" s="1"/>
  <c r="N52" i="4"/>
  <c r="O52" i="4"/>
  <c r="N18" i="2"/>
  <c r="M54" i="2"/>
  <c r="T54" i="2" s="1"/>
  <c r="I52" i="2"/>
  <c r="P52" i="2" s="1"/>
  <c r="H37" i="4"/>
  <c r="I37" i="4"/>
  <c r="P37" i="4" s="1"/>
  <c r="M18" i="2"/>
  <c r="T18" i="2" s="1"/>
  <c r="I18" i="2"/>
  <c r="P18" i="2" s="1"/>
  <c r="H31" i="2"/>
  <c r="M35" i="4"/>
  <c r="T35" i="4" s="1"/>
  <c r="N8" i="2"/>
  <c r="O8" i="2"/>
  <c r="O44" i="4"/>
  <c r="N44" i="4"/>
  <c r="N4" i="3"/>
  <c r="N45" i="4"/>
  <c r="M40" i="4"/>
  <c r="T40" i="4" s="1"/>
  <c r="M52" i="2"/>
  <c r="T52" i="2" s="1"/>
  <c r="N48" i="2"/>
  <c r="O23" i="3"/>
  <c r="N23" i="3"/>
  <c r="N53" i="4"/>
  <c r="H57" i="2"/>
  <c r="M31" i="2"/>
  <c r="T31" i="2" s="1"/>
  <c r="H41" i="4"/>
  <c r="M33" i="2"/>
  <c r="T33" i="2" s="1"/>
  <c r="M3" i="4"/>
  <c r="T3" i="4" s="1"/>
  <c r="I3" i="4"/>
  <c r="M37" i="4"/>
  <c r="T37" i="4" s="1"/>
  <c r="M34" i="2"/>
  <c r="T34" i="2" s="1"/>
  <c r="O20" i="3"/>
  <c r="P39" i="3"/>
  <c r="N12" i="4"/>
  <c r="H36" i="2"/>
  <c r="I34" i="2"/>
  <c r="P34" i="2" s="1"/>
  <c r="M36" i="2"/>
  <c r="T36" i="2" s="1"/>
  <c r="H19" i="4"/>
  <c r="N46" i="4"/>
  <c r="M41" i="4"/>
  <c r="T41" i="4" s="1"/>
  <c r="M14" i="3"/>
  <c r="T14" i="3" s="1"/>
  <c r="I14" i="3"/>
  <c r="P14" i="3" s="1"/>
  <c r="H14" i="3"/>
  <c r="N17" i="2"/>
  <c r="O17" i="2"/>
  <c r="O15" i="4"/>
  <c r="I17" i="4"/>
  <c r="P17" i="4" s="1"/>
  <c r="H17" i="4"/>
  <c r="M38" i="2"/>
  <c r="T38" i="2" s="1"/>
  <c r="I38" i="2"/>
  <c r="P38" i="2" s="1"/>
  <c r="I53" i="2"/>
  <c r="P53" i="2" s="1"/>
  <c r="O21" i="3"/>
  <c r="O25" i="4"/>
  <c r="N24" i="4"/>
  <c r="M39" i="4"/>
  <c r="T39" i="4" s="1"/>
  <c r="M35" i="2"/>
  <c r="T35" i="2" s="1"/>
  <c r="N19" i="3"/>
  <c r="N10" i="2"/>
  <c r="N40" i="3"/>
  <c r="N11" i="4"/>
  <c r="H11" i="2"/>
  <c r="H37" i="2"/>
  <c r="I35" i="2"/>
  <c r="P35" i="2" s="1"/>
  <c r="H20" i="4"/>
  <c r="N47" i="4"/>
  <c r="O47" i="4"/>
  <c r="N6" i="4"/>
  <c r="P9" i="4"/>
  <c r="I39" i="2"/>
  <c r="P39" i="2" s="1"/>
  <c r="M39" i="2"/>
  <c r="T39" i="2" s="1"/>
  <c r="O26" i="4"/>
  <c r="N50" i="2"/>
  <c r="N9" i="3"/>
  <c r="O14" i="4"/>
  <c r="H12" i="2"/>
  <c r="H38" i="2"/>
  <c r="M10" i="2"/>
  <c r="T10" i="2" s="1"/>
  <c r="I10" i="3"/>
  <c r="P10" i="3" s="1"/>
  <c r="M10" i="3"/>
  <c r="T10" i="3" s="1"/>
  <c r="I30" i="3"/>
  <c r="M30" i="3"/>
  <c r="T30" i="3" s="1"/>
  <c r="H7" i="3"/>
  <c r="B16" i="1" s="1" a="1"/>
  <c r="B16" i="1" s="1"/>
  <c r="I27" i="3"/>
  <c r="H21" i="4"/>
  <c r="N21" i="4" s="1"/>
  <c r="M13" i="4"/>
  <c r="T13" i="4" s="1"/>
  <c r="M13" i="3"/>
  <c r="T13" i="3" s="1"/>
  <c r="H13" i="3"/>
  <c r="N13" i="3" s="1"/>
  <c r="I13" i="3"/>
  <c r="P13" i="3" s="1"/>
  <c r="M35" i="3"/>
  <c r="T35" i="3" s="1"/>
  <c r="I35" i="3"/>
  <c r="P35" i="3" s="1"/>
  <c r="H35" i="3"/>
  <c r="M58" i="2"/>
  <c r="T58" i="2" s="1"/>
  <c r="I58" i="2"/>
  <c r="P58" i="2" s="1"/>
  <c r="N24" i="3"/>
  <c r="O24" i="3"/>
  <c r="O28" i="4"/>
  <c r="I14" i="4"/>
  <c r="P14" i="4" s="1"/>
  <c r="T3" i="2"/>
  <c r="H39" i="2"/>
  <c r="I37" i="2"/>
  <c r="P37" i="2" s="1"/>
  <c r="M11" i="2"/>
  <c r="T11" i="2" s="1"/>
  <c r="I11" i="3"/>
  <c r="P11" i="3" s="1"/>
  <c r="M11" i="3"/>
  <c r="T11" i="3" s="1"/>
  <c r="M31" i="3"/>
  <c r="T31" i="3" s="1"/>
  <c r="I31" i="3"/>
  <c r="H8" i="3"/>
  <c r="N8" i="3" s="1"/>
  <c r="N42" i="3"/>
  <c r="I28" i="3"/>
  <c r="H22" i="4"/>
  <c r="N49" i="4"/>
  <c r="M14" i="4"/>
  <c r="T14" i="4" s="1"/>
  <c r="M34" i="3"/>
  <c r="T34" i="3" s="1"/>
  <c r="I34" i="3"/>
  <c r="P34" i="3" s="1"/>
  <c r="H34" i="3"/>
  <c r="N49" i="2"/>
  <c r="O49" i="2"/>
  <c r="O22" i="3"/>
  <c r="I16" i="4"/>
  <c r="P16" i="4" s="1"/>
  <c r="H16" i="4"/>
  <c r="H36" i="4"/>
  <c r="I36" i="4"/>
  <c r="P36" i="4" s="1"/>
  <c r="H18" i="4"/>
  <c r="I18" i="4"/>
  <c r="P18" i="4" s="1"/>
  <c r="M18" i="4"/>
  <c r="T18" i="4" s="1"/>
  <c r="I59" i="2"/>
  <c r="P59" i="2" s="1"/>
  <c r="M59" i="2"/>
  <c r="T59" i="2" s="1"/>
  <c r="N2" i="3"/>
  <c r="N33" i="4"/>
  <c r="H33" i="2"/>
  <c r="M23" i="4"/>
  <c r="T23" i="4" s="1"/>
  <c r="I23" i="4"/>
  <c r="P23" i="4" s="1"/>
  <c r="I43" i="4"/>
  <c r="P43" i="4" s="1"/>
  <c r="M43" i="4"/>
  <c r="T43" i="4" s="1"/>
  <c r="H43" i="4"/>
  <c r="I54" i="4"/>
  <c r="P54" i="4" s="1"/>
  <c r="I55" i="4"/>
  <c r="P55" i="4" s="1"/>
  <c r="N15" i="2"/>
  <c r="O55" i="4"/>
  <c r="M12" i="3"/>
  <c r="T12" i="3" s="1"/>
  <c r="I12" i="3"/>
  <c r="P12" i="3" s="1"/>
  <c r="M32" i="3"/>
  <c r="T32" i="3" s="1"/>
  <c r="I32" i="3"/>
  <c r="H23" i="4"/>
  <c r="N50" i="4"/>
  <c r="M15" i="4"/>
  <c r="T15" i="4" s="1"/>
  <c r="M53" i="4"/>
  <c r="T53" i="4" s="1"/>
  <c r="H21" i="2"/>
  <c r="H41" i="2"/>
  <c r="H61" i="2"/>
  <c r="M4" i="4"/>
  <c r="T4" i="4" s="1"/>
  <c r="M24" i="4"/>
  <c r="T24" i="4" s="1"/>
  <c r="M44" i="4"/>
  <c r="T44" i="4" s="1"/>
  <c r="N10" i="4"/>
  <c r="H2" i="2"/>
  <c r="H22" i="2"/>
  <c r="H42" i="2"/>
  <c r="H62" i="2"/>
  <c r="I21" i="2"/>
  <c r="P21" i="2" s="1"/>
  <c r="I41" i="2"/>
  <c r="P41" i="2" s="1"/>
  <c r="I61" i="2"/>
  <c r="P61" i="2" s="1"/>
  <c r="H16" i="3"/>
  <c r="H36" i="3"/>
  <c r="H3" i="2"/>
  <c r="H23" i="2"/>
  <c r="H43" i="2"/>
  <c r="H17" i="3"/>
  <c r="O17" i="3" s="1"/>
  <c r="H37" i="3"/>
  <c r="H5" i="2"/>
  <c r="H25" i="2"/>
  <c r="O25" i="2" s="1"/>
  <c r="H45" i="2"/>
  <c r="N24" i="2"/>
  <c r="H6" i="2"/>
  <c r="H26" i="2"/>
  <c r="H46" i="2"/>
  <c r="I5" i="2"/>
  <c r="I25" i="2"/>
  <c r="P25" i="2" s="1"/>
  <c r="I45" i="2"/>
  <c r="P45" i="2" s="1"/>
  <c r="N30" i="4"/>
  <c r="O10" i="4"/>
  <c r="N35" i="4"/>
  <c r="N32" i="4"/>
  <c r="P13" i="4"/>
  <c r="N8" i="4"/>
  <c r="O45" i="4"/>
  <c r="O21" i="4"/>
  <c r="N17" i="3"/>
  <c r="N18" i="3"/>
  <c r="O12" i="3"/>
  <c r="O8" i="3"/>
  <c r="O5" i="3"/>
  <c r="N44" i="2"/>
  <c r="N34" i="2"/>
  <c r="N27" i="2"/>
  <c r="P24" i="2"/>
  <c r="N30" i="2"/>
  <c r="N28" i="2"/>
  <c r="N19" i="2"/>
  <c r="O18" i="2"/>
  <c r="O9" i="2"/>
  <c r="Y34" i="4"/>
  <c r="Y44" i="4"/>
  <c r="W23" i="4"/>
  <c r="Y3" i="4"/>
  <c r="X12" i="4"/>
  <c r="Y38" i="4"/>
  <c r="W22" i="4"/>
  <c r="X41" i="4"/>
  <c r="X53" i="4"/>
  <c r="X54" i="4"/>
  <c r="X55" i="4"/>
  <c r="X52" i="4"/>
  <c r="Y48" i="4"/>
  <c r="Y40" i="4"/>
  <c r="X46" i="4"/>
  <c r="X43" i="4"/>
  <c r="X48" i="4"/>
  <c r="X42" i="4"/>
  <c r="X49" i="4"/>
  <c r="X40" i="4"/>
  <c r="X39" i="4"/>
  <c r="X38" i="4"/>
  <c r="W20" i="4"/>
  <c r="W30" i="4"/>
  <c r="W29" i="4"/>
  <c r="W52" i="4"/>
  <c r="W55" i="4"/>
  <c r="W53" i="4"/>
  <c r="W54" i="4"/>
  <c r="W38" i="4"/>
  <c r="Y33" i="4"/>
  <c r="Y22" i="4"/>
  <c r="Y24" i="4"/>
  <c r="Y51" i="4"/>
  <c r="Y41" i="4"/>
  <c r="W16" i="4"/>
  <c r="Y35" i="4"/>
  <c r="Y23" i="4"/>
  <c r="Y43" i="4"/>
  <c r="Y42" i="4"/>
  <c r="W35" i="4"/>
  <c r="W34" i="4"/>
  <c r="Y50" i="4"/>
  <c r="Y18" i="4"/>
  <c r="Y16" i="4"/>
  <c r="Y45" i="4"/>
  <c r="Y21" i="4"/>
  <c r="W33" i="4"/>
  <c r="W17" i="4"/>
  <c r="Y37" i="4"/>
  <c r="W32" i="4"/>
  <c r="Y31" i="4"/>
  <c r="W26" i="4"/>
  <c r="W25" i="4"/>
  <c r="Y30" i="4"/>
  <c r="W31" i="4"/>
  <c r="Y36" i="4"/>
  <c r="Y29" i="4"/>
  <c r="Y26" i="4"/>
  <c r="Y15" i="4"/>
  <c r="Y49" i="4"/>
  <c r="Y28" i="4"/>
  <c r="Y19" i="4"/>
  <c r="Y25" i="4"/>
  <c r="Y17" i="4"/>
  <c r="Y47" i="4"/>
  <c r="W18" i="4"/>
  <c r="W15" i="3"/>
  <c r="Y37" i="3"/>
  <c r="Y43" i="3"/>
  <c r="X17" i="3"/>
  <c r="X38" i="3"/>
  <c r="W38" i="3"/>
  <c r="W13" i="3"/>
  <c r="W18" i="3"/>
  <c r="W12" i="3"/>
  <c r="W42" i="3"/>
  <c r="W10" i="3"/>
  <c r="Y36" i="3"/>
  <c r="Y24" i="3"/>
  <c r="Y17" i="3"/>
  <c r="X20" i="3"/>
  <c r="X30" i="3"/>
  <c r="X12" i="3"/>
  <c r="X10" i="3"/>
  <c r="W26" i="3"/>
  <c r="W30" i="3"/>
  <c r="Y44" i="3"/>
  <c r="Y39" i="3"/>
  <c r="W16" i="3"/>
  <c r="X11" i="3"/>
  <c r="Y40" i="3"/>
  <c r="W9" i="3"/>
  <c r="Y41" i="3"/>
  <c r="W14" i="3"/>
  <c r="W11" i="3"/>
  <c r="Y38" i="3"/>
  <c r="Y29" i="3"/>
  <c r="X2" i="3"/>
  <c r="Y11" i="2"/>
  <c r="X58" i="2"/>
  <c r="X62" i="2"/>
  <c r="Y8" i="2"/>
  <c r="Y12" i="2"/>
  <c r="Y18" i="2"/>
  <c r="X53" i="2"/>
  <c r="W22" i="2"/>
  <c r="W58" i="2"/>
  <c r="Y42" i="2"/>
  <c r="W62" i="2"/>
  <c r="W61" i="2"/>
  <c r="W60" i="2"/>
  <c r="Y29" i="2"/>
  <c r="Y13" i="2"/>
  <c r="Y4" i="2"/>
  <c r="X6" i="2"/>
  <c r="Y24" i="2"/>
  <c r="Y22" i="2"/>
  <c r="Y47" i="2"/>
  <c r="Y6" i="2"/>
  <c r="X60" i="2"/>
  <c r="Y7" i="2"/>
  <c r="Y35" i="2"/>
  <c r="Y34" i="2"/>
  <c r="Y2" i="2"/>
  <c r="Y32" i="2"/>
  <c r="Y26" i="2"/>
  <c r="Y3" i="2"/>
  <c r="X19" i="2"/>
  <c r="Y15" i="2"/>
  <c r="Y9" i="2"/>
  <c r="Y10" i="2"/>
  <c r="Y5" i="2"/>
  <c r="X36" i="2"/>
  <c r="Y14" i="2"/>
  <c r="Y20" i="2"/>
  <c r="Y19" i="2"/>
  <c r="Y27" i="2"/>
  <c r="Y16" i="2"/>
  <c r="Y25" i="2"/>
  <c r="Y31" i="2"/>
  <c r="Y44" i="2"/>
  <c r="A2" i="15" a="1"/>
  <c r="A2" i="15" s="1"/>
  <c r="N15" i="4" l="1"/>
  <c r="N26" i="4"/>
  <c r="C23" i="1" a="1"/>
  <c r="C23" i="1" s="1"/>
  <c r="O13" i="3"/>
  <c r="C13" i="1" a="1"/>
  <c r="C13" i="1" s="1"/>
  <c r="F4" i="1" a="1"/>
  <c r="F4" i="1" s="1"/>
  <c r="P31" i="3"/>
  <c r="N31" i="3"/>
  <c r="G3" i="1" a="1"/>
  <c r="G3" i="1" s="1"/>
  <c r="R6" i="1" a="1"/>
  <c r="R6" i="1" s="1"/>
  <c r="F3" i="1" a="1"/>
  <c r="F3" i="1" s="1"/>
  <c r="G15" i="1" a="1"/>
  <c r="G15" i="1" s="1"/>
  <c r="I15" i="1" s="1"/>
  <c r="N59" i="2"/>
  <c r="N26" i="2"/>
  <c r="O26" i="2"/>
  <c r="C8" i="1" a="1"/>
  <c r="C8" i="1" s="1"/>
  <c r="C7" i="1" a="1"/>
  <c r="C7" i="1" s="1"/>
  <c r="O2" i="2"/>
  <c r="C3" i="1" a="1"/>
  <c r="C3" i="1" s="1"/>
  <c r="B8" i="1" a="1"/>
  <c r="B8" i="1" s="1"/>
  <c r="C6" i="1" a="1"/>
  <c r="C6" i="1" s="1"/>
  <c r="C5" i="1" a="1"/>
  <c r="C5" i="1" s="1"/>
  <c r="C4" i="1" a="1"/>
  <c r="C4" i="1" s="1"/>
  <c r="B5" i="1" a="1"/>
  <c r="B5" i="1" s="1"/>
  <c r="N2" i="2"/>
  <c r="B7" i="1" a="1"/>
  <c r="B7" i="1" s="1"/>
  <c r="B6" i="1" a="1"/>
  <c r="B6" i="1" s="1"/>
  <c r="B4" i="1" a="1"/>
  <c r="B4" i="1" s="1"/>
  <c r="B3" i="1" a="1"/>
  <c r="B3" i="1" s="1"/>
  <c r="N5" i="2"/>
  <c r="O5" i="2"/>
  <c r="N43" i="4"/>
  <c r="O43" i="4"/>
  <c r="N36" i="4"/>
  <c r="O36" i="4"/>
  <c r="N55" i="4"/>
  <c r="P3" i="4"/>
  <c r="N3" i="4"/>
  <c r="R3" i="1" a="1"/>
  <c r="R3" i="1" s="1"/>
  <c r="F6" i="1" a="1"/>
  <c r="F6" i="1" s="1"/>
  <c r="S4" i="1" a="1"/>
  <c r="S4" i="1" s="1"/>
  <c r="N16" i="4"/>
  <c r="O16" i="4"/>
  <c r="C24" i="1" a="1"/>
  <c r="C24" i="1" s="1"/>
  <c r="P27" i="3"/>
  <c r="N27" i="3"/>
  <c r="F7" i="1" a="1"/>
  <c r="F7" i="1" s="1"/>
  <c r="S3" i="1" a="1"/>
  <c r="S3" i="1" s="1"/>
  <c r="O7" i="3"/>
  <c r="N7" i="3"/>
  <c r="N33" i="3"/>
  <c r="O33" i="3"/>
  <c r="F8" i="1" a="1"/>
  <c r="F8" i="1" s="1"/>
  <c r="O38" i="4"/>
  <c r="N38" i="4"/>
  <c r="N10" i="3"/>
  <c r="N39" i="2"/>
  <c r="O39" i="2"/>
  <c r="O37" i="3"/>
  <c r="N37" i="3"/>
  <c r="O41" i="4"/>
  <c r="N41" i="4"/>
  <c r="B18" i="1" a="1"/>
  <c r="B18" i="1" s="1"/>
  <c r="O40" i="4"/>
  <c r="N40" i="4"/>
  <c r="G16" i="1" a="1"/>
  <c r="G16" i="1" s="1"/>
  <c r="N52" i="2"/>
  <c r="O6" i="2"/>
  <c r="N6" i="2"/>
  <c r="R16" i="1" a="1"/>
  <c r="R16" i="1" s="1"/>
  <c r="O20" i="4"/>
  <c r="N20" i="4"/>
  <c r="R7" i="1" a="1"/>
  <c r="R7" i="1" s="1"/>
  <c r="N20" i="2"/>
  <c r="N21" i="2"/>
  <c r="O21" i="2"/>
  <c r="P30" i="3"/>
  <c r="N30" i="3"/>
  <c r="N37" i="2"/>
  <c r="O37" i="2"/>
  <c r="T5" i="3"/>
  <c r="R13" i="1" a="1"/>
  <c r="R13" i="1" s="1"/>
  <c r="R15" i="1" a="1"/>
  <c r="R15" i="1" s="1"/>
  <c r="C28" i="1" a="1"/>
  <c r="C28" i="1" s="1"/>
  <c r="N53" i="2"/>
  <c r="O53" i="2"/>
  <c r="N54" i="4"/>
  <c r="O14" i="3"/>
  <c r="N14" i="3"/>
  <c r="C27" i="1" a="1"/>
  <c r="C27" i="1" s="1"/>
  <c r="C15" i="1" a="1"/>
  <c r="C15" i="1" s="1"/>
  <c r="E15" i="1" s="1"/>
  <c r="O42" i="2"/>
  <c r="N42" i="2"/>
  <c r="O31" i="2"/>
  <c r="N31" i="2"/>
  <c r="O57" i="2"/>
  <c r="N57" i="2"/>
  <c r="N32" i="2"/>
  <c r="O32" i="2"/>
  <c r="N22" i="2"/>
  <c r="O22" i="2"/>
  <c r="O11" i="2"/>
  <c r="N11" i="2"/>
  <c r="O26" i="3"/>
  <c r="N26" i="3"/>
  <c r="R14" i="1" a="1"/>
  <c r="R14" i="1" s="1"/>
  <c r="F13" i="1" a="1"/>
  <c r="F13" i="1" s="1"/>
  <c r="O56" i="2"/>
  <c r="N56" i="2"/>
  <c r="B23" i="1" a="1"/>
  <c r="B23" i="1" s="1"/>
  <c r="N15" i="3"/>
  <c r="O15" i="3"/>
  <c r="G8" i="1" a="1"/>
  <c r="G8" i="1" s="1"/>
  <c r="N45" i="2"/>
  <c r="O45" i="2"/>
  <c r="G17" i="1" a="1"/>
  <c r="G17" i="1" s="1"/>
  <c r="N23" i="2"/>
  <c r="O23" i="2"/>
  <c r="N34" i="3"/>
  <c r="O34" i="3"/>
  <c r="B25" i="1" a="1"/>
  <c r="B25" i="1" s="1"/>
  <c r="O38" i="2"/>
  <c r="N38" i="2"/>
  <c r="S13" i="1" a="1"/>
  <c r="S13" i="1" s="1"/>
  <c r="F16" i="1" a="1"/>
  <c r="F16" i="1" s="1"/>
  <c r="N60" i="2"/>
  <c r="O60" i="2"/>
  <c r="B26" i="1" a="1"/>
  <c r="B26" i="1" s="1"/>
  <c r="D26" i="1" s="1"/>
  <c r="B15" i="1" a="1"/>
  <c r="B15" i="1" s="1"/>
  <c r="O61" i="2"/>
  <c r="N61" i="2"/>
  <c r="C14" i="1" a="1"/>
  <c r="C14" i="1" s="1"/>
  <c r="E14" i="1" s="1"/>
  <c r="S8" i="1" a="1"/>
  <c r="S8" i="1" s="1"/>
  <c r="N37" i="4"/>
  <c r="O37" i="4"/>
  <c r="F17" i="1" a="1"/>
  <c r="F17" i="1" s="1"/>
  <c r="H17" i="1" s="1"/>
  <c r="R4" i="1" a="1"/>
  <c r="R4" i="1" s="1"/>
  <c r="B24" i="1" a="1"/>
  <c r="B24" i="1" s="1"/>
  <c r="B13" i="1" a="1"/>
  <c r="B13" i="1" s="1"/>
  <c r="D13" i="1" s="1"/>
  <c r="B27" i="1" a="1"/>
  <c r="B27" i="1" s="1"/>
  <c r="D27" i="1" s="1"/>
  <c r="N19" i="4"/>
  <c r="O19" i="4"/>
  <c r="C26" i="1" a="1"/>
  <c r="C26" i="1" s="1"/>
  <c r="S15" i="1" a="1"/>
  <c r="S15" i="1" s="1"/>
  <c r="F18" i="1" a="1"/>
  <c r="F18" i="1" s="1"/>
  <c r="B28" i="1" a="1"/>
  <c r="B28" i="1" s="1"/>
  <c r="N55" i="2"/>
  <c r="O55" i="2"/>
  <c r="S6" i="1" a="1"/>
  <c r="S6" i="1" s="1"/>
  <c r="C18" i="1" a="1"/>
  <c r="C18" i="1" s="1"/>
  <c r="N36" i="3"/>
  <c r="O36" i="3"/>
  <c r="B17" i="1" a="1"/>
  <c r="B17" i="1" s="1"/>
  <c r="N23" i="4"/>
  <c r="O23" i="4"/>
  <c r="R18" i="1" a="1"/>
  <c r="R18" i="1" s="1"/>
  <c r="T18" i="1" s="1"/>
  <c r="R28" i="1" a="1"/>
  <c r="R28" i="1" s="1"/>
  <c r="T28" i="1" s="1"/>
  <c r="R27" i="1" a="1"/>
  <c r="R27" i="1" s="1"/>
  <c r="R26" i="1" a="1"/>
  <c r="R26" i="1" s="1"/>
  <c r="T2" i="4"/>
  <c r="R25" i="1" a="1"/>
  <c r="R25" i="1" s="1"/>
  <c r="R24" i="1" a="1"/>
  <c r="R24" i="1" s="1"/>
  <c r="R23" i="1" a="1"/>
  <c r="R23" i="1" s="1"/>
  <c r="S28" i="1" a="1"/>
  <c r="S28" i="1" s="1"/>
  <c r="S24" i="1" a="1"/>
  <c r="S24" i="1" s="1"/>
  <c r="S27" i="1" a="1"/>
  <c r="S27" i="1" s="1"/>
  <c r="S26" i="1" a="1"/>
  <c r="S26" i="1" s="1"/>
  <c r="S25" i="1" a="1"/>
  <c r="S25" i="1" s="1"/>
  <c r="S23" i="1" a="1"/>
  <c r="S23" i="1" s="1"/>
  <c r="G13" i="1" a="1"/>
  <c r="G13" i="1" s="1"/>
  <c r="I13" i="1" s="1"/>
  <c r="C25" i="1" a="1"/>
  <c r="C25" i="1" s="1"/>
  <c r="O18" i="4"/>
  <c r="N18" i="4"/>
  <c r="O17" i="4"/>
  <c r="N17" i="4"/>
  <c r="O41" i="2"/>
  <c r="N41" i="2"/>
  <c r="O43" i="2"/>
  <c r="N43" i="2"/>
  <c r="N14" i="4"/>
  <c r="C17" i="1" a="1"/>
  <c r="C17" i="1" s="1"/>
  <c r="R8" i="1" a="1"/>
  <c r="R8" i="1" s="1"/>
  <c r="O12" i="2"/>
  <c r="N12" i="2"/>
  <c r="B14" i="1" a="1"/>
  <c r="B14" i="1" s="1"/>
  <c r="P51" i="2"/>
  <c r="O22" i="4"/>
  <c r="N22" i="4"/>
  <c r="N35" i="3"/>
  <c r="O35" i="3"/>
  <c r="R5" i="1" a="1"/>
  <c r="R5" i="1" s="1"/>
  <c r="S16" i="1" a="1"/>
  <c r="S16" i="1" s="1"/>
  <c r="N2" i="4"/>
  <c r="G23" i="1" a="1"/>
  <c r="G23" i="1" s="1"/>
  <c r="P2" i="4"/>
  <c r="G28" i="1" a="1"/>
  <c r="G28" i="1" s="1"/>
  <c r="G27" i="1" a="1"/>
  <c r="G27" i="1" s="1"/>
  <c r="G26" i="1" a="1"/>
  <c r="G26" i="1" s="1"/>
  <c r="G24" i="1" a="1"/>
  <c r="G24" i="1" s="1"/>
  <c r="I24" i="1" s="1"/>
  <c r="G25" i="1" a="1"/>
  <c r="G25" i="1" s="1"/>
  <c r="F27" i="1" a="1"/>
  <c r="F27" i="1" s="1"/>
  <c r="F25" i="1" a="1"/>
  <c r="F25" i="1" s="1"/>
  <c r="F24" i="1" a="1"/>
  <c r="F24" i="1" s="1"/>
  <c r="F28" i="1" a="1"/>
  <c r="F28" i="1" s="1"/>
  <c r="F26" i="1" a="1"/>
  <c r="F26" i="1" s="1"/>
  <c r="F23" i="1" a="1"/>
  <c r="F23" i="1" s="1"/>
  <c r="F15" i="1" a="1"/>
  <c r="F15" i="1" s="1"/>
  <c r="O40" i="2"/>
  <c r="N40" i="2"/>
  <c r="N58" i="2"/>
  <c r="C16" i="1" a="1"/>
  <c r="C16" i="1" s="1"/>
  <c r="E16" i="1" s="1"/>
  <c r="G4" i="1" a="1"/>
  <c r="G4" i="1" s="1"/>
  <c r="N25" i="2"/>
  <c r="S7" i="1" a="1"/>
  <c r="S7" i="1" s="1"/>
  <c r="N16" i="3"/>
  <c r="O16" i="3"/>
  <c r="F14" i="1" a="1"/>
  <c r="F14" i="1" s="1"/>
  <c r="H14" i="1" s="1"/>
  <c r="N32" i="3"/>
  <c r="P32" i="3"/>
  <c r="N54" i="2"/>
  <c r="P5" i="2"/>
  <c r="G6" i="1" a="1"/>
  <c r="G6" i="1" s="1"/>
  <c r="G7" i="1" a="1"/>
  <c r="G7" i="1" s="1"/>
  <c r="G5" i="1" a="1"/>
  <c r="G5" i="1" s="1"/>
  <c r="P28" i="3"/>
  <c r="N28" i="3"/>
  <c r="G18" i="1" a="1"/>
  <c r="G18" i="1" s="1"/>
  <c r="I18" i="1" s="1"/>
  <c r="N36" i="2"/>
  <c r="O36" i="2"/>
  <c r="S17" i="1" a="1"/>
  <c r="S17" i="1" s="1"/>
  <c r="U17" i="1" s="1"/>
  <c r="G14" i="1" a="1"/>
  <c r="G14" i="1" s="1"/>
  <c r="N39" i="4"/>
  <c r="O39" i="4"/>
  <c r="F5" i="1" a="1"/>
  <c r="F5" i="1" s="1"/>
  <c r="N42" i="4"/>
  <c r="O42" i="4"/>
  <c r="N3" i="2"/>
  <c r="O3" i="2"/>
  <c r="S14" i="1" a="1"/>
  <c r="S14" i="1" s="1"/>
  <c r="U14" i="1" s="1"/>
  <c r="S5" i="1" a="1"/>
  <c r="S5" i="1" s="1"/>
  <c r="N33" i="2"/>
  <c r="O33" i="2"/>
  <c r="O46" i="2"/>
  <c r="N46" i="2"/>
  <c r="N62" i="2"/>
  <c r="O62" i="2"/>
  <c r="S18" i="1" a="1"/>
  <c r="S18" i="1" s="1"/>
  <c r="N35" i="2"/>
  <c r="X11" i="4"/>
  <c r="W37" i="4"/>
  <c r="X7" i="4"/>
  <c r="Y2" i="4"/>
  <c r="W28" i="4"/>
  <c r="X9" i="4"/>
  <c r="Y46" i="4"/>
  <c r="X14" i="4"/>
  <c r="X45" i="4"/>
  <c r="X44" i="4"/>
  <c r="W19" i="4"/>
  <c r="W21" i="4"/>
  <c r="W27" i="4"/>
  <c r="Y32" i="4"/>
  <c r="Y27" i="4"/>
  <c r="X51" i="4"/>
  <c r="X50" i="4"/>
  <c r="X47" i="4"/>
  <c r="Y20" i="4"/>
  <c r="W15" i="4"/>
  <c r="W36" i="4"/>
  <c r="W24" i="4"/>
  <c r="Y39" i="4"/>
  <c r="X6" i="4"/>
  <c r="X10" i="4"/>
  <c r="X5" i="4"/>
  <c r="Y4" i="4"/>
  <c r="X8" i="4"/>
  <c r="X13" i="4"/>
  <c r="W14" i="4"/>
  <c r="W8" i="4"/>
  <c r="W7" i="4"/>
  <c r="W12" i="4"/>
  <c r="W9" i="4"/>
  <c r="W6" i="4"/>
  <c r="W13" i="4"/>
  <c r="W11" i="4"/>
  <c r="W5" i="4"/>
  <c r="W10" i="4"/>
  <c r="W40" i="4"/>
  <c r="X15" i="4"/>
  <c r="X23" i="4"/>
  <c r="X33" i="4"/>
  <c r="X16" i="4"/>
  <c r="X32" i="4"/>
  <c r="X17" i="4"/>
  <c r="X24" i="4"/>
  <c r="X34" i="4"/>
  <c r="X31" i="4"/>
  <c r="X18" i="4"/>
  <c r="X25" i="4"/>
  <c r="X35" i="4"/>
  <c r="X30" i="4"/>
  <c r="X26" i="4"/>
  <c r="X37" i="4"/>
  <c r="X21" i="4"/>
  <c r="X27" i="4"/>
  <c r="X19" i="4"/>
  <c r="X28" i="4"/>
  <c r="X22" i="4"/>
  <c r="X20" i="4"/>
  <c r="X29" i="4"/>
  <c r="X36" i="4"/>
  <c r="Y55" i="4"/>
  <c r="Y53" i="4"/>
  <c r="Y52" i="4"/>
  <c r="Y54" i="4"/>
  <c r="W46" i="4"/>
  <c r="W45" i="4"/>
  <c r="W50" i="4"/>
  <c r="W42" i="4"/>
  <c r="W47" i="4"/>
  <c r="W48" i="4"/>
  <c r="W49" i="4"/>
  <c r="W51" i="4"/>
  <c r="W43" i="4"/>
  <c r="W41" i="4"/>
  <c r="W44" i="4"/>
  <c r="W3" i="4"/>
  <c r="W2" i="4"/>
  <c r="W4" i="4"/>
  <c r="X4" i="4"/>
  <c r="X2" i="4"/>
  <c r="X3" i="4"/>
  <c r="W39" i="4"/>
  <c r="Y13" i="4"/>
  <c r="Y6" i="4"/>
  <c r="Y7" i="4"/>
  <c r="Y9" i="4"/>
  <c r="Y14" i="4"/>
  <c r="Y10" i="4"/>
  <c r="Y11" i="4"/>
  <c r="Y12" i="4"/>
  <c r="Y8" i="4"/>
  <c r="Y5" i="4"/>
  <c r="W43" i="3"/>
  <c r="W39" i="3"/>
  <c r="X43" i="3"/>
  <c r="W25" i="3"/>
  <c r="X36" i="3"/>
  <c r="X39" i="3"/>
  <c r="X18" i="3"/>
  <c r="W41" i="3"/>
  <c r="W21" i="3"/>
  <c r="X19" i="3"/>
  <c r="X21" i="3"/>
  <c r="W19" i="3"/>
  <c r="W40" i="3"/>
  <c r="W36" i="3"/>
  <c r="Y20" i="3"/>
  <c r="X23" i="3"/>
  <c r="W32" i="3"/>
  <c r="Y18" i="3"/>
  <c r="X7" i="3"/>
  <c r="X22" i="3"/>
  <c r="X29" i="3"/>
  <c r="X25" i="3"/>
  <c r="X3" i="3"/>
  <c r="W33" i="3"/>
  <c r="W31" i="3"/>
  <c r="Y27" i="3"/>
  <c r="W17" i="3"/>
  <c r="X5" i="3"/>
  <c r="X4" i="3"/>
  <c r="X24" i="3"/>
  <c r="Y35" i="3"/>
  <c r="W28" i="3"/>
  <c r="Y19" i="3"/>
  <c r="X6" i="3"/>
  <c r="X8" i="3"/>
  <c r="W29" i="3"/>
  <c r="W23" i="3"/>
  <c r="Y42" i="3"/>
  <c r="W20" i="3"/>
  <c r="W37" i="3"/>
  <c r="Y28" i="3"/>
  <c r="X37" i="3"/>
  <c r="X26" i="3"/>
  <c r="X33" i="3"/>
  <c r="W35" i="3"/>
  <c r="W34" i="3"/>
  <c r="W22" i="3"/>
  <c r="Y34" i="3"/>
  <c r="W44" i="3"/>
  <c r="Y22" i="3"/>
  <c r="W5" i="3"/>
  <c r="W8" i="3"/>
  <c r="W3" i="3"/>
  <c r="W6" i="3"/>
  <c r="W7" i="3"/>
  <c r="W4" i="3"/>
  <c r="W2" i="3"/>
  <c r="X9" i="3"/>
  <c r="X32" i="3"/>
  <c r="Y31" i="3"/>
  <c r="X15" i="3"/>
  <c r="X27" i="3"/>
  <c r="Y25" i="3"/>
  <c r="X34" i="3"/>
  <c r="X16" i="3"/>
  <c r="X40" i="3"/>
  <c r="X35" i="3"/>
  <c r="Y30" i="3"/>
  <c r="W27" i="3"/>
  <c r="X14" i="3"/>
  <c r="X42" i="3"/>
  <c r="X31" i="3"/>
  <c r="Y23" i="3"/>
  <c r="Y11" i="3"/>
  <c r="Y9" i="3"/>
  <c r="Y14" i="3"/>
  <c r="Y16" i="3"/>
  <c r="Y12" i="3"/>
  <c r="Y10" i="3"/>
  <c r="Y13" i="3"/>
  <c r="Y15" i="3"/>
  <c r="Y21" i="3"/>
  <c r="Y26" i="3"/>
  <c r="W24" i="3"/>
  <c r="X13" i="3"/>
  <c r="X41" i="3"/>
  <c r="X28" i="3"/>
  <c r="Y32" i="3"/>
  <c r="Y33" i="3"/>
  <c r="Y2" i="3"/>
  <c r="Y5" i="3"/>
  <c r="Y3" i="3"/>
  <c r="Y7" i="3"/>
  <c r="Y8" i="3"/>
  <c r="Y4" i="3"/>
  <c r="Y6" i="3"/>
  <c r="W25" i="2"/>
  <c r="W23" i="2"/>
  <c r="X52" i="2"/>
  <c r="Y33" i="2"/>
  <c r="X33" i="2"/>
  <c r="X54" i="2"/>
  <c r="Y17" i="2"/>
  <c r="X61" i="2"/>
  <c r="X27" i="2"/>
  <c r="W29" i="2"/>
  <c r="W33" i="2"/>
  <c r="X59" i="2"/>
  <c r="X16" i="2"/>
  <c r="Y30" i="2"/>
  <c r="X57" i="2"/>
  <c r="X35" i="2"/>
  <c r="W21" i="2"/>
  <c r="W56" i="2"/>
  <c r="X22" i="2"/>
  <c r="Y28" i="2"/>
  <c r="Y49" i="2"/>
  <c r="X44" i="2"/>
  <c r="Y36" i="2"/>
  <c r="Y50" i="2"/>
  <c r="Y46" i="2"/>
  <c r="X49" i="2"/>
  <c r="Y41" i="2"/>
  <c r="X45" i="2"/>
  <c r="X50" i="2"/>
  <c r="Y39" i="2"/>
  <c r="Y51" i="2"/>
  <c r="W57" i="2"/>
  <c r="X18" i="2"/>
  <c r="X48" i="2"/>
  <c r="X47" i="2"/>
  <c r="Y37" i="2"/>
  <c r="X39" i="2"/>
  <c r="W59" i="2"/>
  <c r="X24" i="2"/>
  <c r="X43" i="2"/>
  <c r="X42" i="2"/>
  <c r="X10" i="2"/>
  <c r="Y43" i="2"/>
  <c r="Y40" i="2"/>
  <c r="X38" i="2"/>
  <c r="X55" i="2"/>
  <c r="Y45" i="2"/>
  <c r="Y38" i="2"/>
  <c r="X46" i="2"/>
  <c r="X23" i="2"/>
  <c r="X37" i="2"/>
  <c r="X40" i="2"/>
  <c r="Y48" i="2"/>
  <c r="X51" i="2"/>
  <c r="W34" i="2"/>
  <c r="X34" i="2"/>
  <c r="X41" i="2"/>
  <c r="X29" i="2"/>
  <c r="Y23" i="2"/>
  <c r="Y21" i="2"/>
  <c r="X56" i="2"/>
  <c r="X28" i="2"/>
  <c r="X5" i="2"/>
  <c r="W31" i="2"/>
  <c r="W32" i="2"/>
  <c r="W53" i="2"/>
  <c r="X21" i="2"/>
  <c r="W26" i="2"/>
  <c r="W54" i="2"/>
  <c r="W45" i="2"/>
  <c r="W46" i="2"/>
  <c r="W43" i="2"/>
  <c r="W44" i="2"/>
  <c r="W39" i="2"/>
  <c r="W51" i="2"/>
  <c r="W38" i="2"/>
  <c r="W50" i="2"/>
  <c r="W40" i="2"/>
  <c r="W37" i="2"/>
  <c r="W47" i="2"/>
  <c r="W35" i="2"/>
  <c r="W36" i="2"/>
  <c r="W41" i="2"/>
  <c r="W48" i="2"/>
  <c r="W42" i="2"/>
  <c r="W49" i="2"/>
  <c r="Y54" i="2"/>
  <c r="Y55" i="2"/>
  <c r="Y52" i="2"/>
  <c r="Y53" i="2"/>
  <c r="Y56" i="2"/>
  <c r="W19" i="2"/>
  <c r="W55" i="2"/>
  <c r="X26" i="2"/>
  <c r="X7" i="2"/>
  <c r="X25" i="2"/>
  <c r="W24" i="2"/>
  <c r="X17" i="2"/>
  <c r="X15" i="2"/>
  <c r="X14" i="2"/>
  <c r="X8" i="2"/>
  <c r="W52" i="2"/>
  <c r="X31" i="2"/>
  <c r="Y58" i="2"/>
  <c r="Y59" i="2"/>
  <c r="Y57" i="2"/>
  <c r="W16" i="2"/>
  <c r="X2" i="2"/>
  <c r="X30" i="2"/>
  <c r="X9" i="2"/>
  <c r="X13" i="2"/>
  <c r="X12" i="2"/>
  <c r="W28" i="2"/>
  <c r="W18" i="2"/>
  <c r="W17" i="2"/>
  <c r="X4" i="2"/>
  <c r="X32" i="2"/>
  <c r="X3" i="2"/>
  <c r="W20" i="2"/>
  <c r="W14" i="2"/>
  <c r="W3" i="2"/>
  <c r="W5" i="2"/>
  <c r="W4" i="2"/>
  <c r="W9" i="2"/>
  <c r="W15" i="2"/>
  <c r="W13" i="2"/>
  <c r="W10" i="2"/>
  <c r="W7" i="2"/>
  <c r="W6" i="2"/>
  <c r="W2" i="2"/>
  <c r="W11" i="2"/>
  <c r="W12" i="2"/>
  <c r="W8" i="2"/>
  <c r="Y60" i="2"/>
  <c r="Y61" i="2"/>
  <c r="Y62" i="2"/>
  <c r="W27" i="2"/>
  <c r="X11" i="2"/>
  <c r="X20" i="2"/>
  <c r="W30" i="2"/>
  <c r="I4" i="1" l="1"/>
  <c r="U7" i="1"/>
  <c r="D28" i="1"/>
  <c r="I26" i="1"/>
  <c r="T27" i="1"/>
  <c r="D24" i="1"/>
  <c r="D23" i="1"/>
  <c r="U23" i="1"/>
  <c r="H3" i="1"/>
  <c r="D8" i="1"/>
  <c r="U5" i="1"/>
  <c r="T26" i="1"/>
  <c r="T3" i="1"/>
  <c r="E3" i="1"/>
  <c r="E7" i="1"/>
  <c r="H5" i="1"/>
  <c r="I23" i="1"/>
  <c r="I25" i="1"/>
  <c r="I27" i="1"/>
  <c r="I28" i="1"/>
  <c r="E25" i="1"/>
  <c r="U25" i="1"/>
  <c r="U24" i="1"/>
  <c r="H6" i="1"/>
  <c r="T4" i="1"/>
  <c r="U6" i="1"/>
  <c r="D4" i="1"/>
  <c r="H8" i="1"/>
  <c r="H7" i="1"/>
  <c r="D6" i="1"/>
  <c r="D17" i="1"/>
  <c r="E18" i="1"/>
  <c r="T16" i="1"/>
  <c r="H16" i="1"/>
  <c r="U8" i="1"/>
  <c r="U15" i="1"/>
  <c r="U13" i="1"/>
  <c r="D5" i="1"/>
  <c r="E8" i="1"/>
  <c r="E27" i="1"/>
  <c r="T6" i="1"/>
  <c r="D15" i="1"/>
  <c r="D3" i="1"/>
  <c r="I3" i="1"/>
  <c r="U3" i="1"/>
  <c r="I17" i="1"/>
  <c r="U26" i="1"/>
  <c r="H23" i="1"/>
  <c r="U27" i="1"/>
  <c r="T14" i="1"/>
  <c r="I16" i="1"/>
  <c r="D7" i="1"/>
  <c r="H4" i="1"/>
  <c r="U18" i="1"/>
  <c r="H26" i="1"/>
  <c r="D14" i="1"/>
  <c r="H18" i="1"/>
  <c r="E13" i="1"/>
  <c r="U16" i="1"/>
  <c r="U28" i="1"/>
  <c r="E28" i="1"/>
  <c r="E24" i="1"/>
  <c r="T5" i="1"/>
  <c r="H13" i="1"/>
  <c r="I5" i="1"/>
  <c r="I7" i="1"/>
  <c r="H24" i="1"/>
  <c r="T23" i="1"/>
  <c r="E26" i="1"/>
  <c r="T15" i="1"/>
  <c r="D18" i="1"/>
  <c r="E4" i="1"/>
  <c r="E23" i="1"/>
  <c r="I8" i="1"/>
  <c r="H15" i="1"/>
  <c r="I6" i="1"/>
  <c r="H25" i="1"/>
  <c r="T8" i="1"/>
  <c r="T24" i="1"/>
  <c r="T13" i="1"/>
  <c r="E5" i="1"/>
  <c r="T17" i="1"/>
  <c r="T7" i="1"/>
  <c r="I14" i="1"/>
  <c r="H28" i="1"/>
  <c r="H27" i="1"/>
  <c r="E17" i="1"/>
  <c r="T25" i="1"/>
  <c r="D25" i="1"/>
  <c r="U4" i="1"/>
  <c r="E6" i="1"/>
  <c r="D16" i="1"/>
  <c r="V44" i="3"/>
  <c r="U23" i="4" l="1"/>
  <c r="U16" i="4"/>
  <c r="U17" i="4"/>
  <c r="U24" i="4"/>
  <c r="U34" i="4"/>
  <c r="U18" i="4"/>
  <c r="U25" i="4"/>
  <c r="U35" i="4"/>
  <c r="U15" i="4"/>
  <c r="U26" i="4"/>
  <c r="U27" i="4"/>
  <c r="U31" i="4"/>
  <c r="U33" i="4"/>
  <c r="U19" i="4"/>
  <c r="U28" i="4"/>
  <c r="U20" i="4"/>
  <c r="U29" i="4"/>
  <c r="U36" i="4"/>
  <c r="U21" i="4"/>
  <c r="U32" i="4"/>
  <c r="U30" i="4"/>
  <c r="U22" i="4"/>
  <c r="U37" i="4"/>
  <c r="V20" i="4"/>
  <c r="V29" i="4"/>
  <c r="V36" i="4"/>
  <c r="V25" i="4"/>
  <c r="V27" i="4"/>
  <c r="V30" i="4"/>
  <c r="V17" i="4"/>
  <c r="V37" i="4"/>
  <c r="V21" i="4"/>
  <c r="V16" i="4"/>
  <c r="V26" i="4"/>
  <c r="V15" i="4"/>
  <c r="V18" i="4"/>
  <c r="V23" i="4"/>
  <c r="V22" i="4"/>
  <c r="V33" i="4"/>
  <c r="V34" i="4"/>
  <c r="V31" i="4"/>
  <c r="V35" i="4"/>
  <c r="V19" i="4"/>
  <c r="V32" i="4"/>
  <c r="V24" i="4"/>
  <c r="V28" i="4"/>
  <c r="Z4" i="4"/>
  <c r="Z2" i="4"/>
  <c r="Z3" i="4"/>
  <c r="U5" i="4"/>
  <c r="U10" i="4"/>
  <c r="U11" i="4"/>
  <c r="U9" i="4"/>
  <c r="U13" i="4"/>
  <c r="U6" i="4"/>
  <c r="U8" i="4"/>
  <c r="U7" i="4"/>
  <c r="U14" i="4"/>
  <c r="U12" i="4"/>
  <c r="U53" i="4"/>
  <c r="U54" i="4"/>
  <c r="U55" i="4"/>
  <c r="U52" i="4"/>
  <c r="V5" i="4"/>
  <c r="V6" i="4"/>
  <c r="V7" i="4"/>
  <c r="V14" i="4"/>
  <c r="V8" i="4"/>
  <c r="V11" i="4"/>
  <c r="V12" i="4"/>
  <c r="V10" i="4"/>
  <c r="V13" i="4"/>
  <c r="V9" i="4"/>
  <c r="U2" i="4"/>
  <c r="U3" i="4"/>
  <c r="U4" i="4"/>
  <c r="V2" i="4"/>
  <c r="V4" i="4"/>
  <c r="V3" i="4"/>
  <c r="U43" i="4"/>
  <c r="U44" i="4"/>
  <c r="U48" i="4"/>
  <c r="U41" i="4"/>
  <c r="U49" i="4"/>
  <c r="U45" i="4"/>
  <c r="U50" i="4"/>
  <c r="U51" i="4"/>
  <c r="U42" i="4"/>
  <c r="U47" i="4"/>
  <c r="U46" i="4"/>
  <c r="U39" i="4"/>
  <c r="U40" i="4"/>
  <c r="U38" i="4"/>
  <c r="Z18" i="4"/>
  <c r="Z26" i="4"/>
  <c r="Z28" i="4"/>
  <c r="Z22" i="4"/>
  <c r="Z24" i="4"/>
  <c r="Z29" i="4"/>
  <c r="Z19" i="4"/>
  <c r="Z30" i="4"/>
  <c r="Z21" i="4"/>
  <c r="Z31" i="4"/>
  <c r="Z34" i="4"/>
  <c r="Z35" i="4"/>
  <c r="Z32" i="4"/>
  <c r="Z16" i="4"/>
  <c r="Z17" i="4"/>
  <c r="Z25" i="4"/>
  <c r="Z36" i="4"/>
  <c r="Z33" i="4"/>
  <c r="Z27" i="4"/>
  <c r="Z20" i="4"/>
  <c r="Z15" i="4"/>
  <c r="Z23" i="4"/>
  <c r="Z37" i="4"/>
  <c r="Z38" i="4"/>
  <c r="Z39" i="4"/>
  <c r="Z40" i="4"/>
  <c r="Z50" i="4"/>
  <c r="Z41" i="4"/>
  <c r="Z51" i="4"/>
  <c r="Z46" i="4"/>
  <c r="Z44" i="4"/>
  <c r="Z48" i="4"/>
  <c r="Z42" i="4"/>
  <c r="Z47" i="4"/>
  <c r="Z49" i="4"/>
  <c r="Z43" i="4"/>
  <c r="Z45" i="4"/>
  <c r="V38" i="4"/>
  <c r="V40" i="4"/>
  <c r="V39" i="4"/>
  <c r="V55" i="4"/>
  <c r="V53" i="4"/>
  <c r="V54" i="4"/>
  <c r="V52" i="4"/>
  <c r="Z53" i="4"/>
  <c r="Z52" i="4"/>
  <c r="Z54" i="4"/>
  <c r="Z55" i="4"/>
  <c r="Z11" i="4"/>
  <c r="Z12" i="4"/>
  <c r="Z10" i="4"/>
  <c r="Z13" i="4"/>
  <c r="Z5" i="4"/>
  <c r="Z7" i="4"/>
  <c r="Z8" i="4"/>
  <c r="Z9" i="4"/>
  <c r="Z6" i="4"/>
  <c r="Z14" i="4"/>
  <c r="V49" i="4"/>
  <c r="V44" i="4"/>
  <c r="V43" i="4"/>
  <c r="V45" i="4"/>
  <c r="V50" i="4"/>
  <c r="V41" i="4"/>
  <c r="V51" i="4"/>
  <c r="V46" i="4"/>
  <c r="V42" i="4"/>
  <c r="V47" i="4"/>
  <c r="V48" i="4"/>
  <c r="U44" i="3"/>
  <c r="Z19" i="3"/>
  <c r="Z26" i="3"/>
  <c r="Z25" i="3"/>
  <c r="Z20" i="3"/>
  <c r="Z27" i="3"/>
  <c r="Z33" i="3"/>
  <c r="Z17" i="3"/>
  <c r="Z18" i="3"/>
  <c r="Z21" i="3"/>
  <c r="Z28" i="3"/>
  <c r="Z29" i="3"/>
  <c r="Z30" i="3"/>
  <c r="Z22" i="3"/>
  <c r="Z34" i="3"/>
  <c r="Z23" i="3"/>
  <c r="Z31" i="3"/>
  <c r="Z35" i="3"/>
  <c r="Z36" i="3"/>
  <c r="Z32" i="3"/>
  <c r="Z24" i="3"/>
  <c r="Z44" i="3"/>
  <c r="V42" i="3"/>
  <c r="V40" i="3"/>
  <c r="V41" i="3"/>
  <c r="V43" i="3"/>
  <c r="Z42" i="3"/>
  <c r="Z43" i="3"/>
  <c r="Z41" i="3"/>
  <c r="Z40" i="3"/>
  <c r="U7" i="3"/>
  <c r="U4" i="3"/>
  <c r="U8" i="3"/>
  <c r="U6" i="3"/>
  <c r="U2" i="3"/>
  <c r="U3" i="3"/>
  <c r="U5" i="3"/>
  <c r="V16" i="3"/>
  <c r="V11" i="3"/>
  <c r="V14" i="3"/>
  <c r="V15" i="3"/>
  <c r="V9" i="3"/>
  <c r="V13" i="3"/>
  <c r="V12" i="3"/>
  <c r="V10" i="3"/>
  <c r="Z12" i="3"/>
  <c r="Z11" i="3"/>
  <c r="Z10" i="3"/>
  <c r="Z13" i="3"/>
  <c r="Z16" i="3"/>
  <c r="Z9" i="3"/>
  <c r="Z14" i="3"/>
  <c r="Z15" i="3"/>
  <c r="V6" i="3"/>
  <c r="V2" i="3"/>
  <c r="V5" i="3"/>
  <c r="V7" i="3"/>
  <c r="V8" i="3"/>
  <c r="V3" i="3"/>
  <c r="V4" i="3"/>
  <c r="V37" i="3"/>
  <c r="V38" i="3"/>
  <c r="V39" i="3"/>
  <c r="U36" i="3"/>
  <c r="U20" i="3"/>
  <c r="U21" i="3"/>
  <c r="U33" i="3"/>
  <c r="U17" i="3"/>
  <c r="U23" i="3"/>
  <c r="U34" i="3"/>
  <c r="U24" i="3"/>
  <c r="U18" i="3"/>
  <c r="U25" i="3"/>
  <c r="U28" i="3"/>
  <c r="U27" i="3"/>
  <c r="U35" i="3"/>
  <c r="U19" i="3"/>
  <c r="U26" i="3"/>
  <c r="U29" i="3"/>
  <c r="U32" i="3"/>
  <c r="U22" i="3"/>
  <c r="U30" i="3"/>
  <c r="U31" i="3"/>
  <c r="V34" i="3"/>
  <c r="V19" i="3"/>
  <c r="V35" i="3"/>
  <c r="V36" i="3"/>
  <c r="V25" i="3"/>
  <c r="V22" i="3"/>
  <c r="V17" i="3"/>
  <c r="V23" i="3"/>
  <c r="V26" i="3"/>
  <c r="V29" i="3"/>
  <c r="V32" i="3"/>
  <c r="V24" i="3"/>
  <c r="V18" i="3"/>
  <c r="V31" i="3"/>
  <c r="V20" i="3"/>
  <c r="V27" i="3"/>
  <c r="V21" i="3"/>
  <c r="V28" i="3"/>
  <c r="V30" i="3"/>
  <c r="V33" i="3"/>
  <c r="Z39" i="3"/>
  <c r="Z37" i="3"/>
  <c r="Z38" i="3"/>
  <c r="U38" i="3"/>
  <c r="U39" i="3"/>
  <c r="U37" i="3"/>
  <c r="U42" i="3"/>
  <c r="U41" i="3"/>
  <c r="U40" i="3"/>
  <c r="U43" i="3"/>
  <c r="U15" i="3"/>
  <c r="U9" i="3"/>
  <c r="U16" i="3"/>
  <c r="U10" i="3"/>
  <c r="U13" i="3"/>
  <c r="U14" i="3"/>
  <c r="U12" i="3"/>
  <c r="U11" i="3"/>
  <c r="Z4" i="3"/>
  <c r="Z2" i="3"/>
  <c r="Z3" i="3"/>
  <c r="Z7" i="3"/>
  <c r="Z5" i="3"/>
  <c r="Z8" i="3"/>
  <c r="Z6" i="3"/>
  <c r="U9" i="2"/>
  <c r="U15" i="2"/>
  <c r="U2" i="2"/>
  <c r="U10" i="2"/>
  <c r="U6" i="2"/>
  <c r="U11" i="2"/>
  <c r="U4" i="2"/>
  <c r="U12" i="2"/>
  <c r="U8" i="2"/>
  <c r="U3" i="2"/>
  <c r="U13" i="2"/>
  <c r="U14" i="2"/>
  <c r="U7" i="2"/>
  <c r="U5" i="2"/>
  <c r="V39" i="2"/>
  <c r="V37" i="2"/>
  <c r="V46" i="2"/>
  <c r="V41" i="2"/>
  <c r="V42" i="2"/>
  <c r="V38" i="2"/>
  <c r="V51" i="2"/>
  <c r="V40" i="2"/>
  <c r="V48" i="2"/>
  <c r="V49" i="2"/>
  <c r="V50" i="2"/>
  <c r="V47" i="2"/>
  <c r="V36" i="2"/>
  <c r="V44" i="2"/>
  <c r="V35" i="2"/>
  <c r="V43" i="2"/>
  <c r="V45" i="2"/>
  <c r="V58" i="2"/>
  <c r="V59" i="2"/>
  <c r="V57" i="2"/>
  <c r="Z43" i="2"/>
  <c r="Z50" i="2"/>
  <c r="Z35" i="2"/>
  <c r="Z37" i="2"/>
  <c r="Z44" i="2"/>
  <c r="Z40" i="2"/>
  <c r="Z49" i="2"/>
  <c r="Z38" i="2"/>
  <c r="Z45" i="2"/>
  <c r="Z41" i="2"/>
  <c r="Z46" i="2"/>
  <c r="Z47" i="2"/>
  <c r="Z48" i="2"/>
  <c r="Z39" i="2"/>
  <c r="Z51" i="2"/>
  <c r="Z36" i="2"/>
  <c r="Z42" i="2"/>
  <c r="V60" i="2"/>
  <c r="V61" i="2"/>
  <c r="V62" i="2"/>
  <c r="Z31" i="2"/>
  <c r="Z28" i="2"/>
  <c r="Z18" i="2"/>
  <c r="Z29" i="2"/>
  <c r="Z24" i="2"/>
  <c r="Z19" i="2"/>
  <c r="Z23" i="2"/>
  <c r="Z27" i="2"/>
  <c r="Z17" i="2"/>
  <c r="Z20" i="2"/>
  <c r="Z25" i="2"/>
  <c r="Z30" i="2"/>
  <c r="Z22" i="2"/>
  <c r="Z16" i="2"/>
  <c r="Z33" i="2"/>
  <c r="Z21" i="2"/>
  <c r="Z26" i="2"/>
  <c r="Z32" i="2"/>
  <c r="Z34" i="2"/>
  <c r="U60" i="2"/>
  <c r="U61" i="2"/>
  <c r="U62" i="2"/>
  <c r="V5" i="2"/>
  <c r="V7" i="2"/>
  <c r="V9" i="2"/>
  <c r="V15" i="2"/>
  <c r="V8" i="2"/>
  <c r="V10" i="2"/>
  <c r="V6" i="2"/>
  <c r="V12" i="2"/>
  <c r="V2" i="2"/>
  <c r="V11" i="2"/>
  <c r="V3" i="2"/>
  <c r="V4" i="2"/>
  <c r="V13" i="2"/>
  <c r="V14" i="2"/>
  <c r="V55" i="2"/>
  <c r="V52" i="2"/>
  <c r="V56" i="2"/>
  <c r="V53" i="2"/>
  <c r="V54" i="2"/>
  <c r="U58" i="2"/>
  <c r="U59" i="2"/>
  <c r="U57" i="2"/>
  <c r="Z53" i="2"/>
  <c r="Z52" i="2"/>
  <c r="Z55" i="2"/>
  <c r="Z54" i="2"/>
  <c r="Z56" i="2"/>
  <c r="U34" i="2"/>
  <c r="U31" i="2"/>
  <c r="U25" i="2"/>
  <c r="U20" i="2"/>
  <c r="U33" i="2"/>
  <c r="U21" i="2"/>
  <c r="U26" i="2"/>
  <c r="U32" i="2"/>
  <c r="U22" i="2"/>
  <c r="U18" i="2"/>
  <c r="U19" i="2"/>
  <c r="U16" i="2"/>
  <c r="U23" i="2"/>
  <c r="U24" i="2"/>
  <c r="U27" i="2"/>
  <c r="U28" i="2"/>
  <c r="U17" i="2"/>
  <c r="U29" i="2"/>
  <c r="U30" i="2"/>
  <c r="V30" i="2"/>
  <c r="V26" i="2"/>
  <c r="V32" i="2"/>
  <c r="V31" i="2"/>
  <c r="V25" i="2"/>
  <c r="V21" i="2"/>
  <c r="V19" i="2"/>
  <c r="V33" i="2"/>
  <c r="V22" i="2"/>
  <c r="V34" i="2"/>
  <c r="V16" i="2"/>
  <c r="V23" i="2"/>
  <c r="V24" i="2"/>
  <c r="V27" i="2"/>
  <c r="V17" i="2"/>
  <c r="V28" i="2"/>
  <c r="V18" i="2"/>
  <c r="V29" i="2"/>
  <c r="V20" i="2"/>
  <c r="U52" i="2"/>
  <c r="U53" i="2"/>
  <c r="U54" i="2"/>
  <c r="U56" i="2"/>
  <c r="U55" i="2"/>
  <c r="U39" i="2"/>
  <c r="U38" i="2"/>
  <c r="U40" i="2"/>
  <c r="U49" i="2"/>
  <c r="U50" i="2"/>
  <c r="U51" i="2"/>
  <c r="U47" i="2"/>
  <c r="U36" i="2"/>
  <c r="U42" i="2"/>
  <c r="U48" i="2"/>
  <c r="U46" i="2"/>
  <c r="U35" i="2"/>
  <c r="U45" i="2"/>
  <c r="U41" i="2"/>
  <c r="U43" i="2"/>
  <c r="U37" i="2"/>
  <c r="U44" i="2"/>
  <c r="Z61" i="2"/>
  <c r="Z62" i="2"/>
  <c r="Z60" i="2"/>
  <c r="Z58" i="2"/>
  <c r="Z59" i="2"/>
  <c r="Z57" i="2"/>
  <c r="Z4" i="2"/>
  <c r="Z13" i="2"/>
  <c r="Z11" i="2"/>
  <c r="Z15" i="2"/>
  <c r="Z2" i="2"/>
  <c r="Z8" i="2"/>
  <c r="Z14" i="2"/>
  <c r="Z10" i="2"/>
  <c r="Z5" i="2"/>
  <c r="Z9" i="2"/>
  <c r="Z6" i="2"/>
  <c r="Z3" i="2"/>
  <c r="Z7" i="2"/>
  <c r="Z12" i="2"/>
  <c r="A9" i="12" l="1" a="1"/>
  <c r="A6" i="12" s="1"/>
  <c r="A9" i="11" a="1"/>
  <c r="A9" i="9" a="1"/>
  <c r="T10" i="9" l="1"/>
  <c r="T11" i="9"/>
  <c r="T12" i="9"/>
  <c r="T13" i="9"/>
  <c r="T14" i="9"/>
  <c r="A9" i="12"/>
  <c r="T9" i="12" s="1"/>
  <c r="T2" i="12" s="1"/>
  <c r="A9" i="11"/>
  <c r="T9" i="11" s="1"/>
  <c r="T2" i="11" s="1"/>
  <c r="A6" i="11"/>
  <c r="A6" i="9"/>
  <c r="A9" i="9"/>
  <c r="T9" i="9" s="1"/>
  <c r="T2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<sst xmlns="http://schemas.openxmlformats.org/spreadsheetml/2006/main" count="848" uniqueCount="270">
  <si>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</si>
  <si>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</si>
  <si>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</si>
  <si>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</si>
  <si>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</si>
  <si>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</si>
  <si>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</si>
  <si>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</si>
  <si>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</si>
  <si>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</si>
  <si>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</si>
  <si>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</si>
  <si>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</si>
  <si>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</si>
  <si>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</si>
  <si>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</si>
  <si>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</si>
  <si>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</si>
  <si>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</si>
  <si>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</si>
  <si>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</si>
  <si>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</si>
  <si>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</si>
  <si>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</si>
  <si>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</si>
  <si>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</si>
  <si>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</si>
  <si>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</si>
  <si>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</si>
  <si>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</si>
  <si>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</si>
  <si>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</si>
  <si>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</si>
  <si>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</si>
  <si>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</si>
  <si>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</si>
  <si>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</si>
  <si>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</si>
  <si>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</si>
  <si>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</si>
  <si>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</si>
  <si>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</si>
  <si>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</si>
  <si>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</si>
  <si>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</si>
  <si>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</si>
  <si>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</si>
  <si>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</si>
  <si>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</si>
  <si>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</si>
  <si>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</si>
  <si>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</si>
  <si>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</si>
  <si>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</si>
  <si>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</si>
  <si>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</si>
  <si>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</si>
  <si>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</si>
  <si>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</si>
  <si>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</si>
  <si>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</si>
  <si>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</si>
  <si>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</si>
  <si>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</si>
  <si>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</si>
  <si>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</si>
  <si>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</si>
  <si>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</si>
  <si>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</si>
  <si>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</si>
  <si>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</si>
  <si>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</si>
  <si>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</si>
  <si>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</si>
  <si>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</si>
  <si>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</si>
  <si>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</si>
  <si>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</si>
  <si>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</si>
  <si>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</si>
  <si>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</si>
  <si>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</si>
  <si>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</si>
  <si>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</si>
  <si>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</si>
  <si>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</si>
  <si>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</si>
  <si>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</si>
  <si>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</si>
  <si>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</si>
  <si>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</si>
  <si>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</si>
  <si>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</si>
  <si>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</si>
  <si>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</si>
  <si>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</si>
  <si>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</si>
  <si>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</si>
  <si>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</si>
  <si>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</si>
  <si>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</si>
  <si>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</si>
  <si>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</si>
  <si>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</si>
  <si>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</si>
  <si>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Consumer Staples Distribution &amp; Retail</t>
  </si>
  <si>
    <t>Beverages</t>
  </si>
  <si>
    <t>Food Products</t>
  </si>
  <si>
    <t>Tobacco</t>
  </si>
  <si>
    <t>Household Products</t>
  </si>
  <si>
    <t>Personal Care Products</t>
  </si>
  <si>
    <t>WBA</t>
  </si>
  <si>
    <t>CHEF</t>
  </si>
  <si>
    <t>TBBB</t>
  </si>
  <si>
    <t>WMK</t>
  </si>
  <si>
    <t>PSMT</t>
  </si>
  <si>
    <t>CCU</t>
  </si>
  <si>
    <t>SAM</t>
  </si>
  <si>
    <t>DVCMY</t>
  </si>
  <si>
    <t>CELH</t>
  </si>
  <si>
    <t>COCO</t>
  </si>
  <si>
    <t>FIZZ</t>
  </si>
  <si>
    <t>DAR</t>
  </si>
  <si>
    <t>INGR</t>
  </si>
  <si>
    <t>BRFS</t>
  </si>
  <si>
    <t>CALM</t>
  </si>
  <si>
    <t>FLO</t>
  </si>
  <si>
    <t>FRPT</t>
  </si>
  <si>
    <t>JJSF</t>
  </si>
  <si>
    <t>LANC</t>
  </si>
  <si>
    <t>LW</t>
  </si>
  <si>
    <t>NOMD</t>
  </si>
  <si>
    <t>POST</t>
  </si>
  <si>
    <t>SAPIF</t>
  </si>
  <si>
    <t>SEB</t>
  </si>
  <si>
    <t>SFD</t>
  </si>
  <si>
    <t>SMPL</t>
  </si>
  <si>
    <t>TR</t>
  </si>
  <si>
    <t>RLX</t>
  </si>
  <si>
    <t>CENT</t>
  </si>
  <si>
    <t>WDFC</t>
  </si>
  <si>
    <t>BRBR</t>
  </si>
  <si>
    <t>COTY</t>
  </si>
  <si>
    <t>ELF</t>
  </si>
  <si>
    <t>IPAR</t>
  </si>
  <si>
    <t>PFGC</t>
  </si>
  <si>
    <t>SYY</t>
  </si>
  <si>
    <t>USFD</t>
  </si>
  <si>
    <t>ACI</t>
  </si>
  <si>
    <t>CART</t>
  </si>
  <si>
    <t>CASY</t>
  </si>
  <si>
    <t>KR</t>
  </si>
  <si>
    <t>LBLCF</t>
  </si>
  <si>
    <t>SFM</t>
  </si>
  <si>
    <t>BJ</t>
  </si>
  <si>
    <t>COST</t>
  </si>
  <si>
    <t>DG</t>
  </si>
  <si>
    <t>DLTR</t>
  </si>
  <si>
    <t>TGT</t>
  </si>
  <si>
    <t>WMT</t>
  </si>
  <si>
    <t>ABEV</t>
  </si>
  <si>
    <t>BUD</t>
  </si>
  <si>
    <t>TAP</t>
  </si>
  <si>
    <t>DEO</t>
  </si>
  <si>
    <t>STZ</t>
  </si>
  <si>
    <t>CCEP</t>
  </si>
  <si>
    <t>COKE</t>
  </si>
  <si>
    <t>FMX</t>
  </si>
  <si>
    <t>KDP</t>
  </si>
  <si>
    <t>KO</t>
  </si>
  <si>
    <t>KOF</t>
  </si>
  <si>
    <t>MNST</t>
  </si>
  <si>
    <t>PRMB</t>
  </si>
  <si>
    <t>ADM</t>
  </si>
  <si>
    <t>BG</t>
  </si>
  <si>
    <t>CAG</t>
  </si>
  <si>
    <t>CPB</t>
  </si>
  <si>
    <t>GIS</t>
  </si>
  <si>
    <t>HRL</t>
  </si>
  <si>
    <t>HSY</t>
  </si>
  <si>
    <t>K</t>
  </si>
  <si>
    <t>KHC</t>
  </si>
  <si>
    <t>MDLZ</t>
  </si>
  <si>
    <t>MKC</t>
  </si>
  <si>
    <t>PPC</t>
  </si>
  <si>
    <t>SJM</t>
  </si>
  <si>
    <t>TSN</t>
  </si>
  <si>
    <t>BTI</t>
  </si>
  <si>
    <t>MO</t>
  </si>
  <si>
    <t>PM</t>
  </si>
  <si>
    <t>CHD</t>
  </si>
  <si>
    <t>CL</t>
  </si>
  <si>
    <t>CLX</t>
  </si>
  <si>
    <t>KMB</t>
  </si>
  <si>
    <t>PG</t>
  </si>
  <si>
    <t>EL</t>
  </si>
  <si>
    <t>KVUE</t>
  </si>
  <si>
    <t>UL</t>
  </si>
  <si>
    <t>GRDN</t>
  </si>
  <si>
    <t>ANDE</t>
  </si>
  <si>
    <t>SPTN</t>
  </si>
  <si>
    <t>DDL</t>
  </si>
  <si>
    <t>GO</t>
  </si>
  <si>
    <t>IMKTA</t>
  </si>
  <si>
    <t>NGVC</t>
  </si>
  <si>
    <t>VLGEA</t>
  </si>
  <si>
    <t>DADA</t>
  </si>
  <si>
    <t>MGPI</t>
  </si>
  <si>
    <t>ALF</t>
  </si>
  <si>
    <t>CRESY</t>
  </si>
  <si>
    <t>FDP</t>
  </si>
  <si>
    <t>LMNR</t>
  </si>
  <si>
    <t>LND</t>
  </si>
  <si>
    <t>AGRO</t>
  </si>
  <si>
    <t>AVO</t>
  </si>
  <si>
    <t>BGS</t>
  </si>
  <si>
    <t>CVGW</t>
  </si>
  <si>
    <t>DOLE</t>
  </si>
  <si>
    <t>JBSS</t>
  </si>
  <si>
    <t>KLG</t>
  </si>
  <si>
    <t>LWAY</t>
  </si>
  <si>
    <t>OTLY</t>
  </si>
  <si>
    <t>SENEA</t>
  </si>
  <si>
    <t>STKL</t>
  </si>
  <si>
    <t>THS</t>
  </si>
  <si>
    <t>UTZ</t>
  </si>
  <si>
    <t>VITL</t>
  </si>
  <si>
    <t>TPB</t>
  </si>
  <si>
    <t>UVV</t>
  </si>
  <si>
    <t>CENTA</t>
  </si>
  <si>
    <t>ENR</t>
  </si>
  <si>
    <t>ODC</t>
  </si>
  <si>
    <t>SPB</t>
  </si>
  <si>
    <t>EPC</t>
  </si>
  <si>
    <t>HLF</t>
  </si>
  <si>
    <t>HNST</t>
  </si>
  <si>
    <t>NUS</t>
  </si>
  <si>
    <t>OLPX</t>
  </si>
  <si>
    <t>UPXI</t>
  </si>
  <si>
    <t>USNA</t>
  </si>
  <si>
    <t>WALD</t>
  </si>
  <si>
    <t>YSG</t>
  </si>
  <si>
    <t>None</t>
  </si>
  <si>
    <t>ACOPY</t>
  </si>
  <si>
    <t>ALBBY</t>
  </si>
  <si>
    <t>BKFKY</t>
  </si>
  <si>
    <t>BRRLY</t>
  </si>
  <si>
    <t>EMLAF</t>
  </si>
  <si>
    <t>MLFNF</t>
  </si>
  <si>
    <t>SAEYY</t>
  </si>
  <si>
    <t>ANCTF</t>
  </si>
  <si>
    <t>BDWBY</t>
  </si>
  <si>
    <t>CHLSY</t>
  </si>
  <si>
    <t>DNOPY</t>
  </si>
  <si>
    <t>JDEPY</t>
  </si>
  <si>
    <t>MTRAF</t>
  </si>
  <si>
    <t>PRNDY</t>
  </si>
  <si>
    <t>WHGLY</t>
  </si>
  <si>
    <t>WNGRF</t>
  </si>
  <si>
    <t>CBYDF</t>
  </si>
  <si>
    <t>CRBBF</t>
  </si>
  <si>
    <t>GDNGY</t>
  </si>
  <si>
    <t>GLASF</t>
  </si>
  <si>
    <t>HLNFF</t>
  </si>
  <si>
    <t>LSDAF</t>
  </si>
  <si>
    <t>MAMA</t>
  </si>
  <si>
    <t>NATR</t>
  </si>
  <si>
    <t>NNWWF</t>
  </si>
  <si>
    <t>RSGUF</t>
  </si>
  <si>
    <t>STBGY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</si>
</sst>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0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8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9" fillId="0" borderId="5" xfId="0" applyNumberFormat="1" applyFont="1" applyBorder="1" applyAlignment="1">
      <alignment horizontal="center" vertical="center" wrapText="1"/>
    </xf>
    <xf numFmtId="2" fontId="9" fillId="0" borderId="9" xfId="0" applyNumberFormat="1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2" fontId="7" fillId="0" borderId="10" xfId="0" applyNumberFormat="1" applyFont="1" applyBorder="1" applyAlignment="1">
      <alignment horizontal="center" vertical="center"/>
    </xf>
    <xf numFmtId="2" fontId="8" fillId="0" borderId="10" xfId="0" applyNumberFormat="1" applyFont="1" applyBorder="1" applyAlignment="1">
      <alignment horizontal="center" vertical="center"/>
    </xf>
    <xf numFmtId="2" fontId="5" fillId="0" borderId="14" xfId="0" applyNumberFormat="1" applyFont="1" applyBorder="1" applyAlignment="1">
      <alignment horizontal="center" vertical="center" wrapText="1"/>
    </xf>
    <xf numFmtId="2" fontId="9" fillId="0" borderId="26" xfId="0" applyNumberFormat="1" applyFont="1" applyBorder="1" applyAlignment="1">
      <alignment horizontal="center" vertical="center"/>
    </xf>
    <xf numFmtId="2" fontId="9" fillId="0" borderId="5" xfId="0" applyNumberFormat="1" applyFont="1" applyBorder="1" applyAlignment="1">
      <alignment horizontal="center" vertical="center"/>
    </xf>
    <xf numFmtId="2" fontId="9" fillId="0" borderId="27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4" xfId="0" applyFont="1" applyBorder="1" applyAlignment="1">
      <alignment horizontal="center" vertical="center" wrapText="1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2" fontId="4" fillId="0" borderId="3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22" xfId="0" applyNumberFormat="1" applyFont="1" applyBorder="1" applyAlignment="1">
      <alignment horizontal="center" vertical="center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8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13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37" xfId="0" applyNumberFormat="1" applyFont="1" applyBorder="1" applyAlignment="1">
      <alignment horizontal="center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5" fillId="0" borderId="5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5" fillId="0" borderId="9" xfId="0" applyNumberFormat="1" applyFont="1" applyBorder="1" applyAlignment="1">
      <alignment horizontal="center" vertical="center" wrapText="1"/>
    </xf>
    <xf numFmtId="2" fontId="5" fillId="0" borderId="11" xfId="0" applyNumberFormat="1" applyFont="1" applyBorder="1" applyAlignment="1">
      <alignment horizontal="center" vertical="center" wrapText="1"/>
    </xf>
    <xf numFmtId="2" fontId="4" fillId="0" borderId="28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22" xfId="0" applyNumberFormat="1" applyBorder="1" applyAlignment="1">
      <alignment horizontal="center" vertical="center"/>
    </xf>
    <xf numFmtId="3" fontId="10" fillId="0" borderId="15" xfId="0" applyNumberFormat="1" applyFont="1" applyBorder="1" applyAlignment="1">
      <alignment horizontal="left" vertical="center" wrapText="1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2" fontId="1" fillId="0" borderId="6" xfId="0" applyNumberFormat="1" applyFont="1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2" fontId="1" fillId="0" borderId="6" xfId="0" applyNumberFormat="1" applyFont="1" applyBorder="1" applyAlignment="1">
      <alignment horizontal="center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0" fontId="0" fillId="0" borderId="0" xfId="0" applyNumberFormat="1"/>
  </cellXfs>
  <cellStyles count="2">
    <cellStyle name="Comma" xfId="1" builtinId="3"/>
    <cellStyle name="Normal" xfId="0" builtinId="0"/>
  </cellStyles>
  <dxfs count="1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40.292000000000002</v>
        <stp/>
        <stp>LAST</stp>
        <stp>NNWWF</stp>
        <tr r="D12" s="4"/>
      </tp>
      <tp>
        <v>4.3600000000000003</v>
        <stp/>
        <stp>LAST</stp>
        <stp>BDWBY</stp>
        <tr r="D3" s="2"/>
      </tp>
      <tp>
        <v>97.45</v>
        <stp/>
        <stp>LAST</stp>
        <stp>WMT</stp>
        <tr r="D33" s="2"/>
      </tp>
      <tp>
        <v>75.33</v>
        <stp/>
        <stp>LAST</stp>
        <stp>WMK</stp>
        <tr r="D16" s="3"/>
      </tp>
      <tp>
        <v>11.33</v>
        <stp/>
        <stp>LAST</stp>
        <stp>WBA</stp>
        <tr r="D15" s="3"/>
      </tp>
      <tp>
        <v>55.26</v>
        <stp/>
        <stp>LAST</stp>
        <stp>TSN</stp>
        <tr r="D50" s="2"/>
      </tp>
      <tp>
        <v>74.81</v>
        <stp/>
        <stp>LAST</stp>
        <stp>TPB</stp>
        <tr r="D54" s="4"/>
      </tp>
      <tp>
        <v>22.57</v>
        <stp/>
        <stp>LAST</stp>
        <stp>THS</stp>
        <tr r="D35" s="4"/>
      </tp>
      <tp>
        <v>52.1</v>
        <stp/>
        <stp>LAST</stp>
        <stp>TAP</stp>
        <tr r="D15" s="2"/>
      </tp>
      <tp>
        <v>97.35</v>
        <stp/>
        <stp>LAST</stp>
        <stp>TGT</stp>
        <tr r="D31" s="2"/>
      </tp>
      <tp>
        <v>60.89</v>
        <stp/>
        <stp>LAST</stp>
        <stp>UVV</stp>
        <tr r="D55" s="4"/>
      </tp>
      <tp>
        <v>13.98</v>
        <stp/>
        <stp>LAST</stp>
        <stp>UTZ</stp>
        <tr r="D36" s="4"/>
      </tp>
      <tp>
        <v>77.42</v>
        <stp/>
        <stp>LAST</stp>
        <stp>MTRAF</stp>
        <tr r="D27" s="2"/>
      </tp>
      <tp>
        <v>10.352</v>
        <stp/>
        <stp>LAST</stp>
        <stp>BRRLY</stp>
        <tr r="D20" s="3"/>
      </tp>
      <tp>
        <v>2.2000000000000002</v>
        <stp/>
        <stp>LAST</stp>
        <stp>RLX</stp>
        <tr r="D44" s="3"/>
      </tp>
      <tp>
        <v>75.23</v>
        <stp/>
        <stp>LAST</stp>
        <stp>SYY</stp>
        <tr r="D30" s="2"/>
      </tp>
      <tp>
        <v>56.12</v>
        <stp/>
        <stp>LAST</stp>
        <stp>SPB</stp>
        <tr r="D40" s="4"/>
      </tp>
      <tp>
        <v>171.13</v>
        <stp/>
        <stp>LAST</stp>
        <stp>STZ</stp>
        <tr r="D14" s="2"/>
      </tp>
      <tp>
        <v>111.85</v>
        <stp/>
        <stp>LAST</stp>
        <stp>SJM</stp>
        <tr r="D49" s="2"/>
      </tp>
      <tp>
        <v>218.71</v>
        <stp/>
        <stp>LAST</stp>
        <stp>SAM</stp>
        <tr r="D8" s="3"/>
      </tp>
      <tp>
        <v>23.074999999999999</v>
        <stp/>
        <stp>LAST</stp>
        <stp>SFD</stp>
        <tr r="D34" s="3"/>
      </tp>
      <tp>
        <v>165.74</v>
        <stp/>
        <stp>LAST</stp>
        <stp>SFM</stp>
        <tr r="D29" s="2"/>
      </tp>
      <tp>
        <v>2705.14</v>
        <stp/>
        <stp>LAST</stp>
        <stp>SEB</stp>
        <tr r="D33" s="3"/>
      </tp>
      <tp>
        <v>19.46</v>
        <stp/>
        <stp>LAST</stp>
        <stp>SAPIF</stp>
        <tr r="D32" s="3"/>
      </tp>
      <tp>
        <v>45.87</v>
        <stp/>
        <stp>LAST</stp>
        <stp>PPC</stp>
        <tr r="D48" s="2"/>
      </tp>
      <tp>
        <v>10.029999999999999</v>
        <stp/>
        <stp>LAST</stp>
        <stp>CBYDF</stp>
        <tr r="D2" s="4"/>
      </tp>
      <tp>
        <v>7.08</v>
        <stp/>
        <stp>LAST</stp>
        <stp>YSG</stp>
        <tr r="D51" s="4"/>
      </tp>
      <tp>
        <v>11.86</v>
        <stp/>
        <stp>LAST</stp>
        <stp>BKFKY</stp>
        <tr r="D18" s="3"/>
      </tp>
      <tp>
        <v>20.12</v>
        <stp/>
        <stp>LAST</stp>
        <stp>MLFNF</stp>
        <tr r="D29" s="3"/>
      </tp>
      <tp>
        <v>16.760000000000002</v>
        <stp/>
        <stp>LAST</stp>
        <stp>FLO</stp>
        <tr r="D23" s="3"/>
      </tp>
      <tp>
        <v>104.77</v>
        <stp/>
        <stp>LAST</stp>
        <stp>FMX</stp>
        <tr r="D7" s="2"/>
      </tp>
      <tp>
        <v>32.76</v>
        <stp/>
        <stp>LAST</stp>
        <stp>FDP</stp>
        <tr r="D22" s="4"/>
      </tp>
      <tp>
        <v>199.01</v>
        <stp/>
        <stp>LAST</stp>
        <stp>WNGRF</stp>
        <tr r="D34" s="2"/>
      </tp>
      <tp>
        <v>4.1288</v>
        <stp/>
        <stp>LAST</stp>
        <stp>RSGUF</stp>
        <tr r="D32" s="4"/>
      </tp>
      <tp>
        <v>36.69</v>
        <stp/>
        <stp>LAST</stp>
        <stp>VLGEA</stp>
        <tr r="D14" s="4"/>
      </tp>
      <tp>
        <v>18.7667</v>
        <stp/>
        <stp>LAST</stp>
        <stp>WHGLY</stp>
        <tr r="D51" s="2"/>
      </tp>
      <tp>
        <v>54.8</v>
        <stp/>
        <stp>LAST</stp>
        <stp>GIS</stp>
        <tr r="D40" s="2"/>
      </tp>
      <tp>
        <v>160</v>
        <stp/>
        <stp>LAST</stp>
        <stp>LSDAF</stp>
        <tr r="D28" s="4"/>
      </tp>
      <tp>
        <v>31.35</v>
        <stp/>
        <stp>LAST</stp>
        <stp>DAR</stp>
        <tr r="D22" s="3"/>
      </tp>
      <tp>
        <v>2.09</v>
        <stp/>
        <stp>LAST</stp>
        <stp>DDL</stp>
        <tr r="D7" s="4"/>
      </tp>
      <tp>
        <v>107.27</v>
        <stp/>
        <stp>LAST</stp>
        <stp>DEO</stp>
        <tr r="D6" s="2"/>
      </tp>
      <tp>
        <v>11.07</v>
        <stp/>
        <stp>LAST</stp>
        <stp>CRESY</stp>
        <tr r="D19" s="4"/>
      </tp>
      <tp>
        <v>13.824999999999999</v>
        <stp/>
        <stp>LAST</stp>
        <stp>JDEPY</stp>
        <tr r="D43" s="2"/>
      </tp>
      <tp>
        <v>11.03</v>
        <stp/>
        <stp>LAST</stp>
        <stp>SAEYY</stp>
        <tr r="D13" s="3"/>
      </tp>
      <tp>
        <v>26.66</v>
        <stp/>
        <stp>LAST</stp>
        <stp>EPC</stp>
        <tr r="D41" s="4"/>
      </tp>
      <tp>
        <v>22.34</v>
        <stp/>
        <stp>LAST</stp>
        <stp>ENR</stp>
        <tr r="D38" s="4"/>
      </tp>
      <tp>
        <v>116.51</v>
        <stp/>
        <stp>LAST</stp>
        <stp>ELF</stp>
        <tr r="D42" s="3"/>
      </tp>
      <tp>
        <v>11.7</v>
        <stp/>
        <stp>LAST</stp>
        <stp>ALBBY</stp>
        <tr r="D9" s="3"/>
      </tp>
      <tp>
        <v>9.3554999999999993</v>
        <stp/>
        <stp>LAST</stp>
        <stp>CRBBF</stp>
        <tr r="D3" s="4"/>
      </tp>
      <tp>
        <v>6.75</v>
        <stp/>
        <stp>LAST</stp>
        <stp>STBGY</stp>
        <tr r="D53" s="4"/>
      </tp>
      <tp>
        <v>47.89</v>
        <stp/>
        <stp>LAST</stp>
        <stp>BTI</stp>
        <tr r="D60" s="2"/>
      </tp>
      <tp>
        <v>71.010000000000005</v>
        <stp/>
        <stp>LAST</stp>
        <stp>BUD</stp>
        <tr r="D4" s="2"/>
      </tp>
      <tp>
        <v>4.62</v>
        <stp/>
        <stp>LAST</stp>
        <stp>BGS</stp>
        <tr r="D18" s="4"/>
      </tp>
      <tp>
        <v>52.44</v>
        <stp/>
        <stp>LAST</stp>
        <stp>ANCTF</stp>
        <tr r="D17" s="2"/>
      </tp>
      <tp>
        <v>6.66</v>
        <stp/>
        <stp>LAST</stp>
        <stp>DVCMY</stp>
        <tr r="D6" s="3"/>
      </tp>
      <tp>
        <v>34.270000000000003</v>
        <stp/>
        <stp>LAST</stp>
        <stp>CPB</stp>
        <tr r="D39" s="2"/>
      </tp>
      <tp>
        <v>98.71</v>
        <stp/>
        <stp>LAST</stp>
        <stp>CHD</stp>
        <tr r="D52" s="2"/>
      </tp>
      <tp>
        <v>127.5</v>
        <stp/>
        <stp>LAST</stp>
        <stp>CLX</stp>
        <tr r="D54" s="2"/>
      </tp>
      <tp>
        <v>13.29</v>
        <stp/>
        <stp>LAST</stp>
        <stp>CCU</stp>
        <tr r="D2" s="3"/>
      </tp>
      <tp>
        <v>22.4</v>
        <stp/>
        <stp>LAST</stp>
        <stp>CAG</stp>
        <tr r="D37" s="2"/>
      </tp>
      <tp>
        <v>5.66</v>
        <stp/>
        <stp>LAST</stp>
        <stp>GLASF</stp>
        <tr r="D42" s="4"/>
      </tp>
      <tp>
        <v>11.5</v>
        <stp/>
        <stp>LAST</stp>
        <stp>AVO</stp>
        <tr r="D17" s="4"/>
      </tp>
      <tp>
        <v>10.59</v>
        <stp/>
        <stp>LAST</stp>
        <stp>ALF</stp>
        <tr r="D16" s="4"/>
      </tp>
      <tp>
        <v>21.22</v>
        <stp/>
        <stp>LAST</stp>
        <stp>ACI</stp>
        <tr r="D16" s="2"/>
      </tp>
      <tp>
        <v>47.9</v>
        <stp/>
        <stp>LAST</stp>
        <stp>ADM</stp>
        <tr r="D35" s="2"/>
      </tp>
      <tp>
        <v>31.84</v>
        <stp/>
        <stp>LAST</stp>
        <stp>CENTA</stp>
        <tr r="D38" s="3"/>
      </tp>
      <tp>
        <v>13.81</v>
        <stp/>
        <stp>LAST</stp>
        <stp>HLNFF</stp>
        <tr r="D23" s="4"/>
      </tp>
      <tp>
        <v>2.4</v>
        <stp/>
        <stp>LAST</stp>
        <stp>GDNGY</stp>
        <tr r="D52" s="4"/>
      </tp>
      <tp>
        <v>20.71</v>
        <stp/>
        <stp>LAST</stp>
        <stp>PRNDY</stp>
        <tr r="D13" s="2"/>
      </tp>
      <tp>
        <v>92.22</v>
        <stp/>
        <stp>LAST</stp>
        <stp>SENEA</stp>
        <tr r="D33" s="4"/>
      </tp>
      <tp>
        <v>8.0399999999999991</v>
        <stp/>
        <stp>LAST</stp>
        <stp>NUS</stp>
        <tr r="D46" s="4"/>
      </tp>
      <tp>
        <v>69.59</v>
        <stp/>
        <stp>LAST</stp>
        <stp>DNOPY</stp>
        <tr r="D24" s="2"/>
      </tp>
      <tp>
        <v>5.25</v>
        <stp/>
        <stp>LAST</stp>
        <stp>ACOPY</stp>
        <tr r="D17" s="3"/>
      </tp>
      <tp>
        <v>59.31</v>
        <stp/>
        <stp>LAST</stp>
        <stp>ODC</stp>
        <tr r="D39" s="4"/>
      </tp>
      <tp>
        <v>16.3</v>
        <stp/>
        <stp>LAST</stp>
        <stp>CHLSY</stp>
        <tr r="D38" s="2"/>
      </tp>
      <tp>
        <v>163.46</v>
        <stp/>
        <stp>LAST</stp>
        <stp>LBLCF</stp>
        <tr r="D26" s="2"/>
      </tp>
      <tp>
        <v>37.86</v>
        <stp/>
        <stp>LAST</stp>
        <stp>EMLAF</stp>
        <tr r="D11" s="3"/>
      </tp>
      <tp>
        <v>3.88</v>
        <stp/>
        <stp>LAST</stp>
        <stp>LND</stp>
        <tr r="D27" s="4"/>
      </tp>
      <tp>
        <v>75.22</v>
        <stp/>
        <stp>LAST</stp>
        <stp>MKC</stp>
        <tr r="D47" s="2"/>
      </tp>
      <tp>
        <v>60.76</v>
        <stp/>
        <stp>LAST</stp>
        <stp>IMKTA</stp>
        <tr r="D10" s="4"/>
      </tp>
      <tp>
        <v>26.48</v>
        <stp/>
        <stp>LAST</stp>
        <stp>KHC</stp>
        <tr r="D45" s="2"/>
      </tp>
      <tp>
        <v>97.76</v>
        <stp/>
        <stp>LAST</stp>
        <stp>KOF</stp>
        <tr r="D10" s="2"/>
      </tp>
      <tp>
        <v>15.93</v>
        <stp/>
        <stp>LAST</stp>
        <stp>KLG</stp>
        <tr r="D25" s="4"/>
      </tp>
      <tp>
        <v>132.69</v>
        <stp/>
        <stp>LAST</stp>
        <stp>KMB</stp>
        <tr r="D55" s="2"/>
      </tp>
      <tp>
        <v>32.97</v>
        <stp/>
        <stp>LAST</stp>
        <stp>KDP</stp>
        <tr r="D8" s="2"/>
      </tp>
      <tp>
        <v>31.19</v>
        <stp/>
        <stp>LAST</stp>
        <stp>HRL</stp>
        <tr r="D41" s="2"/>
      </tp>
      <tp>
        <v>166.91</v>
        <stp/>
        <stp>LAST</stp>
        <stp>HSY</stp>
        <tr r="D42" s="2"/>
      </tp>
      <tp>
        <v>7.93</v>
        <stp/>
        <stp>LAST</stp>
        <stp>HLF</stp>
        <tr r="D43" s="4"/>
      </tp>
      <tp>
        <v>77.44</v>
        <stp/>
        <stp>LAST</stp>
        <stp>FRPT</stp>
        <tr r="D24" s="3"/>
      </tp>
      <tp>
        <v>3.71</v>
        <stp/>
        <stp>LAST</stp>
        <stp>BRFS</stp>
        <tr r="D19" s="3"/>
      </tp>
      <tp>
        <v>20.329999999999998</v>
        <stp/>
        <stp>LAST</stp>
        <stp>GRDN</stp>
        <tr r="D9" s="4"/>
      </tp>
      <tp>
        <v>60.14</v>
        <stp/>
        <stp>LAST</stp>
        <stp>BRBR</stp>
        <tr r="D40" s="3"/>
      </tp>
      <tp>
        <v>29.56</v>
        <stp/>
        <stp>LAST</stp>
        <stp>PRMB</stp>
        <tr r="D12" s="2"/>
      </tp>
      <tp>
        <v>76.91</v>
        <stp/>
        <stp>LAST</stp>
        <stp>USFD</stp>
        <tr r="D32" s="2"/>
      </tp>
      <tp>
        <v>29.81</v>
        <stp/>
        <stp>LAST</stp>
        <stp>USNA</stp>
        <tr r="D49" s="4"/>
      </tp>
      <tp>
        <v>108.35</v>
        <stp/>
        <stp>LAST</stp>
        <stp>PSMT</stp>
        <tr r="D12" s="3"/>
      </tp>
      <tp>
        <v>18.72</v>
        <stp/>
        <stp>LAST</stp>
        <stp>SPTN</stp>
        <tr r="D13" s="4"/>
      </tp>
      <tp>
        <v>11.99</v>
        <stp/>
        <stp>LAST</stp>
        <stp>UPXI</stp>
        <tr r="D48" s="4"/>
      </tp>
      <tp>
        <v>138.53</v>
        <stp/>
        <stp>LAST</stp>
        <stp>IPAR</stp>
        <tr r="D43" s="3"/>
      </tp>
      <tp>
        <v>21.3</v>
        <stp/>
        <stp>LAST</stp>
        <stp>KVUE</stp>
        <tr r="D58" s="2"/>
      </tp>
      <tp>
        <v>27.68</v>
        <stp/>
        <stp>LAST</stp>
        <stp>CVGW</stp>
        <tr r="D20" s="4"/>
      </tp>
      <tp>
        <v>24.8</v>
        <stp/>
        <stp>LAST</stp>
        <stp>LWAY</stp>
        <tr r="D29" s="4"/>
      </tp>
      <tp>
        <v>12.76</v>
        <stp/>
        <stp>LAST</stp>
        <stp>OTLY</stp>
        <tr r="D31" s="4"/>
      </tp>
      <tp>
        <v>5.68</v>
        <stp/>
        <stp>LAST</stp>
        <stp>STKL</stp>
        <tr r="D34" s="4"/>
      </tp>
      <tp>
        <v>118.78</v>
        <stp/>
        <stp>LAST</stp>
        <stp>JJSF</stp>
        <tr r="D26" s="3"/>
      </tp>
      <tp>
        <v>63.42</v>
        <stp/>
        <stp>LAST</stp>
        <stp>CHEF</stp>
        <tr r="D10" s="3"/>
      </tp>
      <tp>
        <v>31.52</v>
        <stp/>
        <stp>LAST</stp>
        <stp>VITL</stp>
        <tr r="D37" s="4"/>
      </tp>
      <tp>
        <v>46.3</v>
        <stp/>
        <stp>LAST</stp>
        <stp>FIZZ</stp>
        <tr r="D7" s="3"/>
      </tp>
      <tp>
        <v>63</v>
        <stp/>
        <stp>LAST</stp>
        <stp>MNST</stp>
        <tr r="D11" s="2"/>
      </tp>
      <tp>
        <v>4.97</v>
        <stp/>
        <stp>LAST</stp>
        <stp>HNST</stp>
        <tr r="D44" s="4"/>
      </tp>
      <tp>
        <v>138.21</v>
        <stp/>
        <stp>LAST</stp>
        <stp>INGR</stp>
        <tr r="D25" s="3"/>
      </tp>
      <tp>
        <v>34.72</v>
        <stp/>
        <stp>LAST</stp>
        <stp>ANDE</stp>
        <tr r="D5" s="4"/>
      </tp>
      <tp>
        <v>5.01</v>
        <stp/>
        <stp>LAST</stp>
        <stp>COTY</stp>
        <tr r="D41" s="3"/>
      </tp>
      <tp>
        <v>110.12</v>
        <stp/>
        <stp>LAST</stp>
        <stp>POST</stp>
        <tr r="D31" s="3"/>
      </tp>
      <tp>
        <v>1006.18</v>
        <stp/>
        <stp>LAST</stp>
        <stp>COST</stp>
        <tr r="D21" s="2"/>
      </tp>
      <tp>
        <v>33.82</v>
        <stp/>
        <stp>LAST</stp>
        <stp>COCO</stp>
        <tr r="D4" s="3"/>
      </tp>
      <tp>
        <v>13.8</v>
        <stp/>
        <stp>LAST</stp>
        <stp>DOLE</stp>
        <tr r="D21" s="4"/>
      </tp>
      <tp>
        <v>17.38</v>
        <stp/>
        <stp>LAST</stp>
        <stp>NOMD</stp>
        <tr r="D30" s="3"/>
      </tp>
      <tp>
        <v>110.11</v>
        <stp/>
        <stp>LAST</stp>
        <stp>COKE</stp>
        <tr r="D5" s="3"/>
      </tp>
      <tp>
        <v>93.85</v>
        <stp/>
        <stp>LAST</stp>
        <stp>DLTR</stp>
        <tr r="D23" s="2"/>
      </tp>
      <tp>
        <v>1.33</v>
        <stp/>
        <stp>LAST</stp>
        <stp>OLPX</stp>
        <tr r="D47" s="4"/>
      </tp>
      <tp>
        <v>34.119999999999997</v>
        <stp/>
        <stp>LAST</stp>
        <stp>SMPL</stp>
        <tr r="D35" s="3"/>
      </tp>
      <tp>
        <v>16.18</v>
        <stp/>
        <stp>LAST</stp>
        <stp>LMNR</stp>
        <tr r="D26" s="4"/>
      </tp>
      <tp>
        <v>63.984999999999999</v>
        <stp/>
        <stp>LAST</stp>
        <stp>JBSS</stp>
        <tr r="D24" s="4"/>
      </tp>
      <tp>
        <v>2.48</v>
        <stp/>
        <stp>LAST</stp>
        <stp>ABEV</stp>
        <tr r="D2" s="2"/>
      </tp>
      <tp>
        <v>26.44</v>
        <stp/>
        <stp>LAST</stp>
        <stp>TBBB</stp>
        <tr r="D14" s="3"/>
      </tp>
      <tp>
        <v>92.06</v>
        <stp/>
        <stp>LAST</stp>
        <stp>CCEP</stp>
        <tr r="D5" s="2"/>
      </tp>
      <tp>
        <v>14.59</v>
        <stp/>
        <stp>LAST</stp>
        <stp>NATR</stp>
        <tr r="D45" s="4"/>
      </tp>
      <tp>
        <v>45.92</v>
        <stp/>
        <stp>LAST</stp>
        <stp>CART</stp>
        <tr r="D19" s="2"/>
      </tp>
      <tp>
        <v>439.29</v>
        <stp/>
        <stp>LAST</stp>
        <stp>CASY</stp>
        <tr r="D20" s="2"/>
      </tp>
      <tp>
        <v>1.99</v>
        <stp/>
        <stp>LAST</stp>
        <stp>DADA</stp>
        <tr r="D6" s="4"/>
      </tp>
      <tp>
        <v>170.3</v>
        <stp/>
        <stp>LAST</stp>
        <stp>LANC</stp>
        <tr r="D27" s="3"/>
      </tp>
      <tp>
        <v>2.3199999999999998</v>
        <stp/>
        <stp>LAST</stp>
        <stp>WALD</stp>
        <tr r="D50" s="4"/>
      </tp>
      <tp>
        <v>97.55</v>
        <stp/>
        <stp>LAST</stp>
        <stp>CALM</stp>
        <tr r="D21" s="3"/>
      </tp>
      <tp>
        <v>8.2100000000000009</v>
        <stp/>
        <stp>LAST</stp>
        <stp>MAMA</stp>
        <tr r="D30" s="4"/>
      </tp>
      <tp>
        <v>88.18</v>
        <stp/>
        <stp>LAST</stp>
        <stp>PFGC</stp>
        <tr r="D28" s="2"/>
      </tp>
      <tp>
        <v>44.15</v>
        <stp/>
        <stp>LAST</stp>
        <stp>NGVC</stp>
        <tr r="D11" s="4"/>
      </tp>
      <tp>
        <v>9.15</v>
        <stp/>
        <stp>LAST</stp>
        <stp>AGRO</stp>
        <tr r="D15" s="4"/>
      </tp>
      <tp>
        <v>29.02</v>
        <stp/>
        <stp>LAST</stp>
        <stp>MGPI</stp>
        <tr r="D4" s="4"/>
      </tp>
      <tp>
        <v>243.26</v>
        <stp/>
        <stp>LAST</stp>
        <stp>WDFC</stp>
        <tr r="D39" s="3"/>
      </tp>
      <tp>
        <v>66.7</v>
        <stp/>
        <stp>LAST</stp>
        <stp>MDLZ</stp>
        <tr r="D46" s="2"/>
      </tp>
      <tp>
        <v>36.130000000000003</v>
        <stp/>
        <stp>LAST</stp>
        <stp>CENT</stp>
        <tr r="D37" s="3"/>
      </tp>
      <tp>
        <v>42.28</v>
        <stp/>
        <stp>LAST</stp>
        <stp>CELH</stp>
        <tr r="D3" s="3"/>
      </tp>
      <tp>
        <v>34.909999999999997</v>
        <stp/>
        <stp>LAST</stp>
        <stp>TR</stp>
        <tr r="D36" s="3"/>
      </tp>
      <tp>
        <v>62.75</v>
        <stp/>
        <stp>LAST</stp>
        <stp>UL</stp>
        <tr r="D59" s="2"/>
      </tp>
      <tp>
        <v>180.63</v>
        <stp/>
        <stp>LAST</stp>
        <stp>PM</stp>
        <tr r="D62" s="2"/>
      </tp>
      <tp>
        <v>162.56</v>
        <stp/>
        <stp>LAST</stp>
        <stp>PG</stp>
        <tr r="D56" s="2"/>
      </tp>
      <tp>
        <v>13.49</v>
        <stp/>
        <stp>LAST</stp>
        <stp>GO</stp>
        <tr r="D8" s="4"/>
      </tp>
      <tp>
        <v>113.31</v>
        <stp/>
        <stp>LAST</stp>
        <stp>DG</stp>
        <tr r="D22" s="2"/>
      </tp>
      <tp>
        <v>69</v>
        <stp/>
        <stp>LAST</stp>
        <stp>EL</stp>
        <tr r="D57" s="2"/>
      </tp>
      <tp>
        <v>110.09</v>
        <stp/>
        <stp>LAST</stp>
        <stp>BJ</stp>
        <tr r="D18" s="2"/>
      </tp>
      <tp>
        <v>74.67</v>
        <stp/>
        <stp>LAST</stp>
        <stp>BG</stp>
        <tr r="D36" s="2"/>
      </tp>
      <tp>
        <v>90.87</v>
        <stp/>
        <stp>LAST</stp>
        <stp>CL</stp>
        <tr r="D53" s="2"/>
      </tp>
      <tp>
        <v>55.67</v>
        <stp/>
        <stp>LAST</stp>
        <stp>LW</stp>
        <tr r="D28" s="3"/>
      </tp>
      <tp>
        <v>59.07</v>
        <stp/>
        <stp>LAST</stp>
        <stp>MO</stp>
        <tr r="D61" s="2"/>
      </tp>
      <tp>
        <v>65.489999999999995</v>
        <stp/>
        <stp>LAST</stp>
        <stp>KR</stp>
        <tr r="D25" s="2"/>
      </tp>
      <tp>
        <v>71.77</v>
        <stp/>
        <stp>LAST</stp>
        <stp>KO</stp>
        <tr r="D9" s="2"/>
      </tp>
      <tp>
        <v>81.99</v>
        <stp/>
        <stp>LAST</stp>
        <stp>K</stp>
        <tr r="D44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681691666665" createdVersion="8" refreshedVersion="8" minRefreshableVersion="3" recordCount="61" xr:uid="{3432845B-C090-4238-AA0B-FA56B072311B}">
  <cacheSource type="worksheet">
    <worksheetSource name="Main_L"/>
  </cacheSource>
  <cacheFields count="26">
    <cacheField name="Industry" numFmtId="0">
      <sharedItems count="58">
        <s v="Beverages"/>
        <s v="Consumer Staples Distribution &amp; Retail"/>
        <s v="Food Products"/>
        <s v="Household Products"/>
        <s v="Personal Care Products"/>
        <s v="Tobacco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Passenger Airlines" u="1"/>
        <s v="Professional Services" u="1"/>
        <s v="Trading Companies &amp; Distributors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Transportation Infrastructure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150" maxValue="789848"/>
    </cacheField>
    <cacheField name="Current Price" numFmtId="0">
      <sharedItems containsSemiMixedTypes="0" containsString="0" containsNumber="1" minValue="2.48" maxValue="1006.18"/>
    </cacheField>
    <cacheField name="Free CF" numFmtId="0">
      <sharedItems containsSemiMixedTypes="0" containsString="0" containsNumber="1" minValue="-6" maxValue="4152.92"/>
    </cacheField>
    <cacheField name="BVPS" numFmtId="0">
      <sharedItems containsSemiMixedTypes="0" containsString="0" containsNumber="1" minValue="-7" maxValue="23180.73"/>
    </cacheField>
    <cacheField name="EPS" numFmtId="0">
      <sharedItems containsSemiMixedTypes="0" containsString="0" containsNumber="1" minValue="-2.42" maxValue="3193.44"/>
    </cacheField>
    <cacheField name="P/FCF" numFmtId="2">
      <sharedItems containsSemiMixedTypes="0" containsString="0" containsNumber="1" minValue="-326.22727272727269" maxValue="476.22727272727269"/>
    </cacheField>
    <cacheField name="P/B" numFmtId="2">
      <sharedItems containsSemiMixedTypes="0" containsString="0" containsNumber="1" minValue="-28.39903846153846" maxValue="579.5454545454545"/>
    </cacheField>
    <cacheField name="ROE" numFmtId="0">
      <sharedItems containsSemiMixedTypes="0" containsString="0" containsNumber="1" minValue="-239.61" maxValue="451.26"/>
    </cacheField>
    <cacheField name="ROA" numFmtId="0">
      <sharedItems containsSemiMixedTypes="0" containsString="0" containsNumber="1" minValue="1.79" maxValue="20.92"/>
    </cacheField>
    <cacheField name="A/E" numFmtId="0">
      <sharedItems containsSemiMixedTypes="0" containsString="0" containsNumber="1" minValue="-10.19" maxValue="204.15"/>
    </cacheField>
    <cacheField name="P/E" numFmtId="2">
      <sharedItems containsSemiMixedTypes="0" containsString="0" containsNumber="1" minValue="-739" maxValue="283.16216216216213"/>
    </cacheField>
    <cacheField name="Preliminary Criteria" numFmtId="0">
      <sharedItems/>
    </cacheField>
    <cacheField name="P/FCF Z-Score" numFmtId="2">
      <sharedItems containsSemiMixedTypes="0" containsString="0" containsNumber="1" minValue="-14.294570828116367" maxValue="17.843783359827121"/>
    </cacheField>
    <cacheField name="P/B Z-Score" numFmtId="2">
      <sharedItems containsSemiMixedTypes="0" containsString="0" containsNumber="1" minValue="-1.5403264537848529" maxValue="17.397647114674978"/>
    </cacheField>
    <cacheField name="ROE Z-Score" numFmtId="2">
      <sharedItems containsSemiMixedTypes="0" containsString="0" containsNumber="1" minValue="-1.9064222131052528" maxValue="9.2374389389486531"/>
    </cacheField>
    <cacheField name="ROA Z-Score" numFmtId="2">
      <sharedItems containsSemiMixedTypes="0" containsString="0" containsNumber="1" minValue="-11.222330727419962" maxValue="16.642477695769589"/>
    </cacheField>
    <cacheField name="A/E Z-Score" numFmtId="2">
      <sharedItems containsSemiMixedTypes="0" containsString="0" containsNumber="1" minValue="-1.5985313846277045" maxValue="10.524731080115806"/>
    </cacheField>
    <cacheField name="P/E Z-Score" numFmtId="2">
      <sharedItems containsSemiMixedTypes="0" containsString="0" containsNumber="1" minValue="-45.5506459308614" maxValue="15.842134852647757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681693287035" createdVersion="8" refreshedVersion="8" minRefreshableVersion="3" recordCount="43" xr:uid="{A2646FF5-8A5C-4026-A340-9C8CC354FDFF}">
  <cacheSource type="worksheet">
    <worksheetSource name="Main_M"/>
  </cacheSource>
  <cacheFields count="26">
    <cacheField name="Industry" numFmtId="0">
      <sharedItems count="59">
        <s v="Beverages"/>
        <s v="Consumer Staples Distribution &amp; Retail"/>
        <s v="Food Products"/>
        <s v="Household Products"/>
        <s v="Personal Care Products"/>
        <s v="Tobacco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Automobile Components" u="1"/>
        <s v="Automobiles" u="1"/>
        <s v="Broadline Retail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019" maxValue="9995"/>
    </cacheField>
    <cacheField name="Current Price" numFmtId="0">
      <sharedItems containsSemiMixedTypes="0" containsString="0" containsNumber="1" minValue="2.2000000000000002" maxValue="2705.14"/>
    </cacheField>
    <cacheField name="Free CF" numFmtId="0">
      <sharedItems containsSemiMixedTypes="0" containsString="0" containsNumber="1" minValue="-677.75" maxValue="17.61"/>
    </cacheField>
    <cacheField name="BVPS" numFmtId="0">
      <sharedItems containsSemiMixedTypes="0" containsString="0" containsNumber="1" minValue="-2" maxValue="4886.4399999999996"/>
    </cacheField>
    <cacheField name="EPS" numFmtId="0">
      <sharedItems containsSemiMixedTypes="0" containsString="0" containsNumber="1" minValue="-6.69" maxValue="100.92"/>
    </cacheField>
    <cacheField name="P/FCF" numFmtId="2">
      <sharedItems containsSemiMixedTypes="0" containsString="0" containsNumber="1" minValue="-418.5" maxValue="1170"/>
    </cacheField>
    <cacheField name="P/B" numFmtId="2">
      <sharedItems containsSemiMixedTypes="0" containsString="0" containsNumber="1" minValue="-30.07" maxValue="83.571428571428555"/>
    </cacheField>
    <cacheField name="ROE" numFmtId="0">
      <sharedItems containsSemiMixedTypes="0" containsString="0" containsNumber="1" minValue="-112" maxValue="48.15"/>
    </cacheField>
    <cacheField name="ROA" numFmtId="0">
      <sharedItems containsSemiMixedTypes="0" containsString="0" containsNumber="1" minValue="-2.33" maxValue="31.69"/>
    </cacheField>
    <cacheField name="A/E" numFmtId="0">
      <sharedItems containsSemiMixedTypes="0" containsString="0" containsNumber="1" minValue="-3.73" maxValue="9.8800000000000008"/>
    </cacheField>
    <cacheField name="P/E" numFmtId="2">
      <sharedItems containsSemiMixedTypes="0" containsString="0" containsNumber="1" minValue="-74.846153846153854" maxValue="1170"/>
    </cacheField>
    <cacheField name="Preliminary Criteria" numFmtId="0">
      <sharedItems/>
    </cacheField>
    <cacheField name="P/FCF Z-Score" numFmtId="2">
      <sharedItems containsMixedTypes="1" containsNumber="1" minValue="-28.668013800192735" maxValue="51.490312703375928"/>
    </cacheField>
    <cacheField name="P/B Z-Score" numFmtId="2">
      <sharedItems containsMixedTypes="1" containsNumber="1" minValue="-11.755091411510087" maxValue="17.351499630440429"/>
    </cacheField>
    <cacheField name="ROE Z-Score" numFmtId="2">
      <sharedItems containsMixedTypes="1" containsNumber="1" minValue="-34.963910019962178" maxValue="5.4028977926393429"/>
    </cacheField>
    <cacheField name="ROA Z-Score" numFmtId="2">
      <sharedItems containsMixedTypes="1" containsNumber="1" minValue="-2.2908864279985703" maxValue="9.2799783080535931"/>
    </cacheField>
    <cacheField name="A/E Z-Score" numFmtId="2">
      <sharedItems containsMixedTypes="1" containsNumber="1" minValue="-8.1645041261060065" maxValue="4.9462255356967848"/>
    </cacheField>
    <cacheField name="P/E Z-Score" numFmtId="2">
      <sharedItems containsMixedTypes="1" containsNumber="1" minValue="-8.6862888856963032" maxValue="56.290790764496869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No"/>
        <s v="Yes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817.681694791667" createdVersion="8" refreshedVersion="8" minRefreshableVersion="3" recordCount="54" xr:uid="{FEEDC4AE-CB7E-4F82-B64E-6462C5DE2153}">
  <cacheSource type="worksheet">
    <worksheetSource name="Main_S"/>
  </cacheSource>
  <cacheFields count="26">
    <cacheField name="Industry" numFmtId="0">
      <sharedItems count="60">
        <s v="Beverages"/>
        <s v="Consumer Staples Distribution &amp; Retail"/>
        <s v="Food Products"/>
        <s v="Household Products"/>
        <s v="Personal Care Products"/>
        <s v="Tobacco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Biotechnology" u="1"/>
        <s v="Health Care Equipment &amp; Supplies" u="1"/>
        <s v="Health Care Providers &amp; Services" u="1"/>
        <s v="Health Care Technology" u="1"/>
        <s v="Life Sciences Tools &amp; Services" u="1"/>
        <s v="Pharmaceuticals" u="1"/>
        <s v="Energy Equipment &amp; Services" u="1"/>
        <s v="Oil, Gas &amp; Consumable Fuels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66" maxValue="1968"/>
    </cacheField>
    <cacheField name="Current Price" numFmtId="0">
      <sharedItems containsSemiMixedTypes="0" containsString="0" containsNumber="1" minValue="1.33" maxValue="160"/>
    </cacheField>
    <cacheField name="Free CF" numFmtId="0">
      <sharedItems containsSemiMixedTypes="0" containsString="0" containsNumber="1" minValue="-4.38" maxValue="36.93"/>
    </cacheField>
    <cacheField name="BVPS" numFmtId="0">
      <sharedItems containsSemiMixedTypes="0" containsString="0" containsNumber="1" minValue="-7.24" maxValue="109.26"/>
    </cacheField>
    <cacheField name="EPS" numFmtId="0">
      <sharedItems containsSemiMixedTypes="0" containsString="0" containsNumber="1" minValue="-20.57" maxValue="11.79"/>
    </cacheField>
    <cacheField name="P/FCF" numFmtId="2">
      <sharedItems containsMixedTypes="1" containsNumber="1" minValue="-1059" maxValue="87.555555555555557"/>
    </cacheField>
    <cacheField name="P/B" numFmtId="2">
      <sharedItems containsSemiMixedTypes="0" containsString="0" containsNumber="1" minValue="-29.416666666666668" maxValue="12.439393939393939"/>
    </cacheField>
    <cacheField name="ROE" numFmtId="0">
      <sharedItems containsString="0" containsBlank="1" containsNumber="1" minValue="-190.32" maxValue="40.24"/>
    </cacheField>
    <cacheField name="ROA" numFmtId="0">
      <sharedItems containsString="0" containsBlank="1" containsNumber="1" minValue="-32.71" maxValue="12.17"/>
    </cacheField>
    <cacheField name="A/E" numFmtId="0">
      <sharedItems containsSemiMixedTypes="0" containsString="0" containsNumber="1" minValue="-22.85" maxValue="31.46"/>
    </cacheField>
    <cacheField name="P/E" numFmtId="2">
      <sharedItems containsSemiMixedTypes="0" containsString="0" containsNumber="1" minValue="-248.49999999999997" maxValue="831.22222222222229"/>
    </cacheField>
    <cacheField name="Preliminary Criteria" numFmtId="0">
      <sharedItems/>
    </cacheField>
    <cacheField name="P/FCF Z-Score" numFmtId="2">
      <sharedItems containsMixedTypes="1" containsNumber="1" minValue="-65.870010125852602" maxValue="5.0896566324069905"/>
    </cacheField>
    <cacheField name="P/B Z-Score" numFmtId="2">
      <sharedItems containsSemiMixedTypes="0" containsString="0" containsNumber="1" minValue="-22.100171860993861" maxValue="16.556522719262325"/>
    </cacheField>
    <cacheField name="ROE Z-Score" numFmtId="2">
      <sharedItems containsSemiMixedTypes="0" containsString="0" containsNumber="1" minValue="-15.97360508158846" maxValue="6.0956181288994546"/>
    </cacheField>
    <cacheField name="ROA Z-Score" numFmtId="2">
      <sharedItems containsSemiMixedTypes="0" containsString="0" containsNumber="1" minValue="-13.816573862274614" maxValue="4.9333229509150183"/>
    </cacheField>
    <cacheField name="A/E Z-Score" numFmtId="2">
      <sharedItems containsSemiMixedTypes="0" containsString="0" containsNumber="1" minValue="-17.266606532142454" maxValue="15.009156976101609"/>
    </cacheField>
    <cacheField name="P/E Z-Score" numFmtId="2">
      <sharedItems containsSemiMixedTypes="0" containsString="0" containsNumber="1" minValue="-19.686584745977864" maxValue="15.094128956581892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3">
        <s v="No"/>
        <s v="Yes"/>
        <e v="#VALUE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">
  <r>
    <x v="0"/>
    <s v="ABEV"/>
    <n v="38139"/>
    <n v="2.48"/>
    <n v="0.25"/>
    <n v="1.06"/>
    <n v="0.16"/>
    <n v="9.92"/>
    <n v="2.3396226415094339"/>
    <n v="16.239999999999998"/>
    <n v="10"/>
    <n v="1.56"/>
    <n v="15.5"/>
    <s v="YES"/>
    <n v="-0.83185176020840434"/>
    <n v="-0.53419420464179967"/>
    <n v="0.5520725064511478"/>
    <n v="1.1080070503468069"/>
    <n v="-1.1412247996795299"/>
    <n v="-0.65393910864277671"/>
    <x v="0"/>
    <x v="0"/>
    <x v="0"/>
    <x v="0"/>
    <x v="0"/>
    <x v="0"/>
  </r>
  <r>
    <x v="0"/>
    <s v="BDWBY"/>
    <n v="13457"/>
    <n v="4.3600000000000003"/>
    <n v="0.06"/>
    <n v="0.77"/>
    <n v="0.05"/>
    <n v="72.666666666666671"/>
    <n v="5.6623376623376629"/>
    <n v="7.11"/>
    <n v="4.5"/>
    <n v="1.45"/>
    <n v="87.2"/>
    <s v="NO"/>
    <n v="1.681156121507668"/>
    <n v="0.46924722763728632"/>
    <n v="-0.50003869763823361"/>
    <n v="-0.76955771366516801"/>
    <n v="-1.2576917441133588"/>
    <n v="3.6125869074646797"/>
    <x v="0"/>
    <x v="0"/>
    <x v="0"/>
    <x v="0"/>
    <x v="0"/>
    <x v="1"/>
  </r>
  <r>
    <x v="0"/>
    <s v="BUD"/>
    <n v="136707"/>
    <n v="71.010000000000005"/>
    <n v="5.59"/>
    <n v="39.61"/>
    <n v="3.38"/>
    <n v="12.703041144901611"/>
    <n v="1.7927291088109065"/>
    <n v="8.18"/>
    <n v="4.47"/>
    <n v="2.64"/>
    <n v="21.008875739644974"/>
    <s v="NO"/>
    <n v="-0.72039079018697627"/>
    <n v="-0.69935300589776483"/>
    <n v="-0.37673541304068292"/>
    <n v="-0.77979897601432424"/>
    <n v="2.2688365798798674E-3"/>
    <n v="-0.3261321119524212"/>
    <x v="0"/>
    <x v="0"/>
    <x v="0"/>
    <x v="0"/>
    <x v="0"/>
    <x v="0"/>
  </r>
  <r>
    <x v="0"/>
    <s v="CCEP"/>
    <n v="41987"/>
    <n v="92.06"/>
    <n v="4.78"/>
    <n v="19.079999999999998"/>
    <n v="3.19"/>
    <n v="19.259414225941423"/>
    <n v="4.8249475890985334"/>
    <n v="17.03"/>
    <n v="5.34"/>
    <n v="3.66"/>
    <n v="28.858934169278999"/>
    <s v="NO"/>
    <n v="-0.45780764269243523"/>
    <n v="0.21636008889677755"/>
    <n v="0.64310951096709679"/>
    <n v="-0.48280236788879366"/>
    <n v="1.0822350486026557"/>
    <n v="0.14098753265005035"/>
    <x v="0"/>
    <x v="0"/>
    <x v="0"/>
    <x v="0"/>
    <x v="0"/>
    <x v="0"/>
  </r>
  <r>
    <x v="0"/>
    <s v="DEO"/>
    <n v="60568"/>
    <n v="107.27"/>
    <n v="1.23"/>
    <n v="4.63"/>
    <n v="1.61"/>
    <n v="87.211382113821131"/>
    <n v="23.168466522678184"/>
    <n v="32.32"/>
    <n v="7.72"/>
    <n v="4.5599999999999996"/>
    <n v="66.627329192546583"/>
    <s v="NO"/>
    <n v="2.2636728749503474"/>
    <n v="5.7560006528238059"/>
    <n v="2.4050788768517237"/>
    <n v="0.32967111181093367"/>
    <n v="2.0351464121521636"/>
    <n v="2.3884051052218007"/>
    <x v="0"/>
    <x v="1"/>
    <x v="0"/>
    <x v="0"/>
    <x v="0"/>
    <x v="0"/>
  </r>
  <r>
    <x v="0"/>
    <s v="FMX"/>
    <n v="184801"/>
    <n v="104.77"/>
    <n v="0.22"/>
    <n v="4.1399999999999997"/>
    <n v="0.37"/>
    <n v="476.22727272727269"/>
    <n v="25.306763285024157"/>
    <n v="11.04"/>
    <n v="4.8899999999999997"/>
    <n v="2.83"/>
    <n v="283.16216216216213"/>
    <s v="NO"/>
    <n v="17.843783359827121"/>
    <n v="6.4017543669991923"/>
    <n v="-4.7158409350033334E-2"/>
    <n v="-0.63642130312613709"/>
    <n v="0.20343901332922043"/>
    <n v="15.273363239926784"/>
    <x v="1"/>
    <x v="1"/>
    <x v="0"/>
    <x v="0"/>
    <x v="0"/>
    <x v="1"/>
  </r>
  <r>
    <x v="0"/>
    <s v="KDP"/>
    <n v="45730"/>
    <n v="32.97"/>
    <n v="1.31"/>
    <n v="18"/>
    <n v="1.1000000000000001"/>
    <n v="25.167938931297709"/>
    <n v="1.8316666666666666"/>
    <n v="6.13"/>
    <n v="4.0599999999999996"/>
    <n v="2.2000000000000002"/>
    <n v="29.972727272727269"/>
    <s v="NO"/>
    <n v="-0.22117086272205996"/>
    <n v="-0.68759408026637114"/>
    <n v="-0.61297067792384086"/>
    <n v="-0.91976289478612605"/>
    <n v="-0.46359894115543521"/>
    <n v="0.20726406336724848"/>
    <x v="0"/>
    <x v="0"/>
    <x v="0"/>
    <x v="0"/>
    <x v="0"/>
    <x v="0"/>
  </r>
  <r>
    <x v="0"/>
    <s v="KO"/>
    <n v="310338"/>
    <n v="71.77"/>
    <n v="-0.22"/>
    <n v="6.09"/>
    <n v="2.4900000000000002"/>
    <n v="-326.22727272727269"/>
    <n v="11.784893267651888"/>
    <n v="38.78"/>
    <n v="8.89"/>
    <n v="3.88"/>
    <n v="28.823293172690757"/>
    <s v="NO"/>
    <n v="-14.294570828116367"/>
    <n v="2.3182249242781121"/>
    <n v="3.1495080530201141"/>
    <n v="0.72908034342802674"/>
    <n v="1.315168937470313"/>
    <n v="0.13886670644107221"/>
    <x v="1"/>
    <x v="0"/>
    <x v="1"/>
    <x v="0"/>
    <x v="0"/>
    <x v="0"/>
  </r>
  <r>
    <x v="0"/>
    <s v="KOF"/>
    <n v="19958"/>
    <n v="97.76"/>
    <n v="2.1"/>
    <n v="35.28"/>
    <n v="5.55"/>
    <n v="46.55238095238095"/>
    <n v="2.7709750566893425"/>
    <n v="17.36"/>
    <n v="8.0399999999999991"/>
    <n v="2.06"/>
    <n v="17.614414414414416"/>
    <s v="NO"/>
    <n v="0.63527736313454697"/>
    <n v="-0.40392817743454301"/>
    <n v="0.68113762677755618"/>
    <n v="0.4389112435352665"/>
    <n v="-0.61182959770758105"/>
    <n v="-0.52812036236757842"/>
    <x v="0"/>
    <x v="0"/>
    <x v="0"/>
    <x v="0"/>
    <x v="0"/>
    <x v="0"/>
  </r>
  <r>
    <x v="0"/>
    <s v="MNST"/>
    <n v="62367"/>
    <n v="63"/>
    <n v="1.78"/>
    <n v="6.69"/>
    <n v="1.52"/>
    <n v="35.393258426966291"/>
    <n v="9.4170403587443943"/>
    <n v="20"/>
    <n v="14.24"/>
    <n v="1.26"/>
    <n v="41.44736842105263"/>
    <s v="NO"/>
    <n v="0.18835381565150827"/>
    <n v="1.6031465322262752"/>
    <n v="0.9853625532612329"/>
    <n v="2.5554387956942204"/>
    <n v="-1.4588619208626994"/>
    <n v="0.89006538812076719"/>
    <x v="0"/>
    <x v="0"/>
    <x v="0"/>
    <x v="0"/>
    <x v="0"/>
    <x v="0"/>
  </r>
  <r>
    <x v="0"/>
    <s v="PRMB"/>
    <n v="12344"/>
    <n v="29.56"/>
    <n v="1.02"/>
    <n v="8.86"/>
    <n v="-0.04"/>
    <n v="28.980392156862742"/>
    <n v="3.3363431151241536"/>
    <n v="-0.68"/>
    <n v="4.32"/>
    <n v="3.29"/>
    <n v="-739"/>
    <s v="NO"/>
    <n v="-6.8481875187230104E-2"/>
    <n v="-0.23319017228980368"/>
    <n v="-1.397732704194234"/>
    <n v="-0.83100528776010518"/>
    <n v="0.69048259914341348"/>
    <n v="-45.5506459308614"/>
    <x v="0"/>
    <x v="0"/>
    <x v="0"/>
    <x v="0"/>
    <x v="0"/>
    <x v="1"/>
  </r>
  <r>
    <x v="0"/>
    <s v="PRNDY"/>
    <n v="26072"/>
    <n v="20.71"/>
    <n v="4.49"/>
    <n v="68.11"/>
    <n v="4.5"/>
    <n v="4.6124721603563472"/>
    <n v="0.30406695052121568"/>
    <n v="6.48"/>
    <n v="4.67"/>
    <n v="2.41"/>
    <n v="4.6022222222222222"/>
    <s v="NO"/>
    <n v="-1.0444185785273372"/>
    <n v="-1.1489206874263294"/>
    <n v="-0.57263782782183825"/>
    <n v="-0.71152389368661606"/>
    <n v="-0.24125295632721663"/>
    <n v="-1.3024140376057696"/>
    <x v="0"/>
    <x v="0"/>
    <x v="0"/>
    <x v="0"/>
    <x v="0"/>
    <x v="0"/>
  </r>
  <r>
    <x v="0"/>
    <s v="STZ"/>
    <n v="31739"/>
    <n v="171.13"/>
    <n v="10.68"/>
    <n v="38.619999999999997"/>
    <n v="-0.45"/>
    <n v="16.023408239700373"/>
    <n v="4.4311237700673232"/>
    <n v="-0.36"/>
    <n v="9.27"/>
    <n v="3.15"/>
    <n v="-380.28888888888889"/>
    <s v="NO"/>
    <n v="-0.58740988263140914"/>
    <n v="9.7427488731809536E-2"/>
    <n v="-1.3608569555295458"/>
    <n v="0.85880299985067199"/>
    <n v="0.54225194259126763"/>
    <n v="-24.205453632083611"/>
    <x v="0"/>
    <x v="0"/>
    <x v="0"/>
    <x v="0"/>
    <x v="0"/>
    <x v="1"/>
  </r>
  <r>
    <x v="0"/>
    <s v="TAP"/>
    <n v="10834"/>
    <n v="52.1"/>
    <n v="5.32"/>
    <n v="64.61"/>
    <n v="4.99"/>
    <n v="9.7932330827067666"/>
    <n v="0.80637672186967968"/>
    <n v="7.99"/>
    <n v="4.1500000000000004"/>
    <n v="1.98"/>
    <n v="10.440881763527054"/>
    <s v="NO"/>
    <n v="-0.83692878308821861"/>
    <n v="-0.9972259338136511"/>
    <n v="-0.39863038881034141"/>
    <n v="-0.88903910773865713"/>
    <n v="-0.69653283002309296"/>
    <n v="-0.95498317523239318"/>
    <x v="0"/>
    <x v="0"/>
    <x v="0"/>
    <x v="0"/>
    <x v="0"/>
    <x v="0"/>
  </r>
  <r>
    <x v="1"/>
    <s v="ACI"/>
    <n v="12799"/>
    <n v="21.22"/>
    <n v="1.29"/>
    <n v="5.88"/>
    <n v="1.64"/>
    <n v="16.449612403100772"/>
    <n v="3.6088435374149657"/>
    <n v="31.26"/>
    <n v="4.74"/>
    <n v="7.9"/>
    <n v="12.939024390243903"/>
    <s v="NO"/>
    <n v="-0.51025382974390443"/>
    <n v="-0.64563394149876474"/>
    <n v="1.2406032764791617"/>
    <n v="-1.0409421001654802"/>
    <n v="3.8995352090376532"/>
    <n v="-1.4770068563860208"/>
    <x v="0"/>
    <x v="0"/>
    <x v="0"/>
    <x v="0"/>
    <x v="1"/>
    <x v="0"/>
  </r>
  <r>
    <x v="1"/>
    <s v="ANCTF"/>
    <n v="49195"/>
    <n v="52.44"/>
    <n v="2.65"/>
    <n v="14.98"/>
    <n v="2.72"/>
    <n v="19.788679245283017"/>
    <n v="3.5006675567423229"/>
    <n v="18.82"/>
    <n v="6.47"/>
    <n v="2.57"/>
    <n v="19.27941176470588"/>
    <s v="YES"/>
    <n v="-0.17574354814823653"/>
    <n v="-0.68808101952263279"/>
    <n v="-0.35491614037922614"/>
    <n v="0.18411220819253379"/>
    <n v="-0.57446401909003508"/>
    <n v="-0.75605866764211849"/>
    <x v="0"/>
    <x v="0"/>
    <x v="0"/>
    <x v="0"/>
    <x v="0"/>
    <x v="0"/>
  </r>
  <r>
    <x v="1"/>
    <s v="BJ"/>
    <n v="14949"/>
    <n v="110.09"/>
    <n v="2.16"/>
    <n v="14.99"/>
    <n v="4.3"/>
    <n v="50.967592592592588"/>
    <n v="7.3442294863242159"/>
    <n v="32.76"/>
    <n v="7.36"/>
    <n v="3.63"/>
    <n v="25.602325581395352"/>
    <s v="NO"/>
    <n v="2.9477839451915342"/>
    <n v="0.82009086946853227"/>
    <n v="1.4329890582546903"/>
    <n v="0.8143424593131311"/>
    <n v="0.31529942965580904"/>
    <n v="-3.7097349586549956E-2"/>
    <x v="0"/>
    <x v="0"/>
    <x v="0"/>
    <x v="0"/>
    <x v="0"/>
    <x v="0"/>
  </r>
  <r>
    <x v="1"/>
    <s v="CART"/>
    <n v="11908"/>
    <n v="45.92"/>
    <n v="3.1"/>
    <n v="12.1"/>
    <n v="1.52"/>
    <n v="14.812903225806451"/>
    <n v="3.79504132231405"/>
    <n v="12.96"/>
    <n v="6.81"/>
    <n v="1.35"/>
    <n v="30.210526315789476"/>
    <s v="YES"/>
    <n v="-0.6742206125798903"/>
    <n v="-0.57257195625640123"/>
    <n v="-1.1065032611822929"/>
    <n v="0.42487432659815499"/>
    <n v="-1.5985313846277045"/>
    <n v="0.48688861162006802"/>
    <x v="0"/>
    <x v="0"/>
    <x v="0"/>
    <x v="0"/>
    <x v="0"/>
    <x v="0"/>
  </r>
  <r>
    <x v="1"/>
    <s v="CASY"/>
    <n v="15936"/>
    <n v="439.29"/>
    <n v="14.12"/>
    <n v="92.07"/>
    <n v="14.35"/>
    <n v="31.111189801699719"/>
    <n v="4.7712609970674489"/>
    <n v="16.82"/>
    <n v="6.95"/>
    <n v="2.41"/>
    <n v="30.612543554006972"/>
    <s v="NO"/>
    <n v="0.95855425827769214"/>
    <n v="-0.1895139756859324"/>
    <n v="-0.6114305160799316"/>
    <n v="0.52401166947105826"/>
    <n v="-0.70876793588186038"/>
    <n v="0.53260089741890282"/>
    <x v="0"/>
    <x v="0"/>
    <x v="0"/>
    <x v="0"/>
    <x v="0"/>
    <x v="0"/>
  </r>
  <r>
    <x v="1"/>
    <s v="COST"/>
    <n v="461340"/>
    <n v="1006.18"/>
    <n v="16.48"/>
    <n v="61.16"/>
    <n v="17.63"/>
    <n v="61.054611650485434"/>
    <n v="16.451602354480052"/>
    <n v="32.08"/>
    <n v="8.7899999999999991"/>
    <n v="2.78"/>
    <n v="57.072036301758367"/>
    <s v="NO"/>
    <n v="3.9583092640891309"/>
    <n v="4.3937249084048151"/>
    <n v="1.3457741705164505"/>
    <n v="1.8269596043720668"/>
    <n v="-0.39819012830076411"/>
    <n v="3.5412377905539221"/>
    <x v="1"/>
    <x v="1"/>
    <x v="0"/>
    <x v="0"/>
    <x v="0"/>
    <x v="1"/>
  </r>
  <r>
    <x v="1"/>
    <s v="DG"/>
    <n v="21390"/>
    <n v="113.31"/>
    <n v="7.67"/>
    <n v="33.71"/>
    <n v="5.1100000000000003"/>
    <n v="14.773142112125164"/>
    <n v="3.3613171165826166"/>
    <n v="15.89"/>
    <n v="3.92"/>
    <n v="4.2"/>
    <n v="22.174168297455967"/>
    <s v="NO"/>
    <n v="-0.67820391149624026"/>
    <n v="-0.74276061631796186"/>
    <n v="-0.73070970078075959"/>
    <n v="-1.6216036798496258"/>
    <n v="0.79375713322668762"/>
    <n v="-0.42690378231969817"/>
    <x v="0"/>
    <x v="0"/>
    <x v="0"/>
    <x v="0"/>
    <x v="0"/>
    <x v="0"/>
  </r>
  <r>
    <x v="1"/>
    <s v="DLTR"/>
    <n v="18968"/>
    <n v="93.85"/>
    <n v="7.24"/>
    <n v="18.489999999999998"/>
    <n v="4.83"/>
    <n v="12.962707182320441"/>
    <n v="5.0757166035694974"/>
    <n v="18.47"/>
    <n v="4.6500000000000004"/>
    <n v="4.6900000000000004"/>
    <n v="19.430641821946168"/>
    <s v="NO"/>
    <n v="-0.85957467368913354"/>
    <n v="-7.0048907713918612E-2"/>
    <n v="-0.39980615612684978"/>
    <n v="-1.1046732491552034"/>
    <n v="1.2050628784016535"/>
    <n v="-0.73886270950710409"/>
    <x v="0"/>
    <x v="0"/>
    <x v="0"/>
    <x v="0"/>
    <x v="0"/>
    <x v="0"/>
  </r>
  <r>
    <x v="1"/>
    <s v="DNOPY"/>
    <n v="14471"/>
    <n v="69.59"/>
    <n v="1"/>
    <n v="19.5"/>
    <n v="4.01"/>
    <n v="69.59"/>
    <n v="3.568717948717949"/>
    <n v="22.85"/>
    <n v="10.34"/>
    <n v="1.73"/>
    <n v="17.354114713216958"/>
    <s v="NO"/>
    <n v="4.81339102653103"/>
    <n v="-0.66137878599737943"/>
    <n v="0.16196032665769541"/>
    <n v="2.924551614750635"/>
    <n v="-1.2795595822471189"/>
    <n v="-0.97497895438291049"/>
    <x v="1"/>
    <x v="0"/>
    <x v="0"/>
    <x v="1"/>
    <x v="0"/>
    <x v="0"/>
  </r>
  <r>
    <x v="1"/>
    <s v="KR"/>
    <n v="45431"/>
    <n v="65.489999999999995"/>
    <n v="2.4900000000000002"/>
    <n v="12.55"/>
    <n v="3.67"/>
    <n v="26.301204819277103"/>
    <n v="5.2183266932270911"/>
    <n v="26.88"/>
    <n v="5.63"/>
    <n v="6.35"/>
    <n v="17.844686648501362"/>
    <s v="NO"/>
    <n v="0.47668626731241731"/>
    <n v="-1.4090259915705772E-2"/>
    <n v="0.67883679369461647"/>
    <n v="-0.41071184904488345"/>
    <n v="2.5984660151168426"/>
    <n v="-0.91919735504145172"/>
    <x v="0"/>
    <x v="0"/>
    <x v="0"/>
    <x v="0"/>
    <x v="0"/>
    <x v="0"/>
  </r>
  <r>
    <x v="1"/>
    <s v="LBLCF"/>
    <n v="50495"/>
    <n v="163.46"/>
    <n v="8.84"/>
    <n v="25.57"/>
    <n v="5.01"/>
    <n v="18.490950226244344"/>
    <n v="6.392647633946031"/>
    <n v="20.6"/>
    <n v="6.4"/>
    <n v="3.65"/>
    <n v="32.626746506986031"/>
    <s v="NO"/>
    <n v="-0.30575103829772637"/>
    <n v="0.44670050237562159"/>
    <n v="-0.12661834600559818"/>
    <n v="0.13454353675608277"/>
    <n v="0.33208741925478724"/>
    <n v="0.76163043220124649"/>
    <x v="0"/>
    <x v="0"/>
    <x v="0"/>
    <x v="0"/>
    <x v="0"/>
    <x v="0"/>
  </r>
  <r>
    <x v="1"/>
    <s v="MTRAF"/>
    <n v="17112"/>
    <n v="77.42"/>
    <n v="3.4"/>
    <n v="22.44"/>
    <n v="3.09"/>
    <n v="22.77058823529412"/>
    <n v="3.4500891265597149"/>
    <n v="14.26"/>
    <n v="6.44"/>
    <n v="2.0099999999999998"/>
    <n v="25.055016181229774"/>
    <s v="NO"/>
    <n v="0.1229863854188812"/>
    <n v="-0.70792744530898921"/>
    <n v="-0.93976891697683451"/>
    <n v="0.16286849186262647"/>
    <n v="-1.0445277278614244"/>
    <n v="-9.9330411610677058E-2"/>
    <x v="0"/>
    <x v="0"/>
    <x v="0"/>
    <x v="0"/>
    <x v="0"/>
    <x v="0"/>
  </r>
  <r>
    <x v="1"/>
    <s v="PFGC"/>
    <n v="13980"/>
    <n v="88.18"/>
    <n v="3.55"/>
    <n v="28"/>
    <n v="2.41"/>
    <n v="24.839436619718313"/>
    <n v="3.1492857142857145"/>
    <n v="9.0500000000000007"/>
    <n v="3.46"/>
    <n v="3.95"/>
    <n v="36.589211618257259"/>
    <s v="NO"/>
    <n v="0.33024520603002827"/>
    <n v="-0.82595943199630073"/>
    <n v="-1.6079888656771721"/>
    <n v="-1.9473406635748782"/>
    <n v="0.58390726323946029"/>
    <n v="1.2121915535040768"/>
    <x v="0"/>
    <x v="0"/>
    <x v="0"/>
    <x v="0"/>
    <x v="0"/>
    <x v="0"/>
  </r>
  <r>
    <x v="1"/>
    <s v="SFM"/>
    <n v="16916"/>
    <n v="165.74"/>
    <n v="4.87"/>
    <n v="13.12"/>
    <n v="4.43"/>
    <n v="34.032854209445588"/>
    <n v="12.632621951219514"/>
    <n v="35.74"/>
    <n v="10.11"/>
    <n v="2.9"/>
    <n v="37.413092550790076"/>
    <s v="NO"/>
    <n v="1.2512488433086344"/>
    <n v="2.8951985429320901"/>
    <n v="1.8151954780487418"/>
    <n v="2.7616831228880088"/>
    <n v="-0.29746219070689489"/>
    <n v="1.3058728115992218"/>
    <x v="0"/>
    <x v="0"/>
    <x v="0"/>
    <x v="1"/>
    <x v="0"/>
    <x v="0"/>
  </r>
  <r>
    <x v="1"/>
    <s v="SYY"/>
    <n v="35387"/>
    <n v="75.23"/>
    <n v="4.2699999999999996"/>
    <n v="3.96"/>
    <n v="3.88"/>
    <n v="17.618266978922719"/>
    <n v="18.997474747474747"/>
    <n v="93.61"/>
    <n v="8.57"/>
    <n v="13.71"/>
    <n v="19.38917525773196"/>
    <s v="NO"/>
    <n v="-0.3931771164814723"/>
    <n v="5.3926975401508432"/>
    <n v="9.2374389389486531"/>
    <n v="1.6711723512860774"/>
    <n v="8.7764461875408184"/>
    <n v="-0.74357775964490458"/>
    <x v="0"/>
    <x v="1"/>
    <x v="1"/>
    <x v="0"/>
    <x v="1"/>
    <x v="0"/>
  </r>
  <r>
    <x v="1"/>
    <s v="TGT"/>
    <n v="42715"/>
    <n v="97.35"/>
    <n v="7.71"/>
    <n v="32.9"/>
    <n v="9.1"/>
    <n v="12.626459143968871"/>
    <n v="2.9589665653495438"/>
    <n v="29.08"/>
    <n v="6.64"/>
    <n v="3.76"/>
    <n v="10.697802197802197"/>
    <s v="NO"/>
    <n v="-0.89326026050459972"/>
    <n v="-0.90063859565257076"/>
    <n v="0.96100260696539241"/>
    <n v="0.30449326739534438"/>
    <n v="0.42442136204916714"/>
    <n v="-1.7318501309029184"/>
    <x v="0"/>
    <x v="0"/>
    <x v="0"/>
    <x v="0"/>
    <x v="0"/>
    <x v="0"/>
  </r>
  <r>
    <x v="1"/>
    <s v="USFD"/>
    <n v="18304"/>
    <n v="76.91"/>
    <n v="4.58"/>
    <n v="19.96"/>
    <n v="2.19"/>
    <n v="16.792576419213972"/>
    <n v="3.8532064128256511"/>
    <n v="11.16"/>
    <n v="5.44"/>
    <n v="2.96"/>
    <n v="35.118721461187214"/>
    <s v="YES"/>
    <n v="-0.47589543111651145"/>
    <n v="-0.54974860748840926"/>
    <n v="-1.337366199312928"/>
    <n v="-0.54525538580096555"/>
    <n v="-0.24709822190996028"/>
    <n v="1.0449861206664111"/>
    <x v="0"/>
    <x v="0"/>
    <x v="0"/>
    <x v="0"/>
    <x v="0"/>
    <x v="0"/>
  </r>
  <r>
    <x v="1"/>
    <s v="WMT"/>
    <n v="789848"/>
    <n v="97.45"/>
    <n v="1.68"/>
    <n v="10.46"/>
    <n v="2.34"/>
    <n v="58.005952380952387"/>
    <n v="9.3164435946462714"/>
    <n v="21.78"/>
    <n v="7.09"/>
    <n v="3.13"/>
    <n v="41.645299145299148"/>
    <s v="NO"/>
    <n v="3.6528922362364487"/>
    <n v="1.5939662308489233"/>
    <n v="2.4725135657817986E-2"/>
    <n v="0.62314901234396092"/>
    <n v="-0.10440031031864572"/>
    <n v="1.7871055026791149"/>
    <x v="1"/>
    <x v="0"/>
    <x v="0"/>
    <x v="0"/>
    <x v="0"/>
    <x v="0"/>
  </r>
  <r>
    <x v="1"/>
    <s v="WNGRF"/>
    <n v="25972"/>
    <n v="199.01"/>
    <n v="19.23"/>
    <n v="27.17"/>
    <n v="6.08"/>
    <n v="10.348933957358293"/>
    <n v="7.3246227456753763"/>
    <n v="18.11"/>
    <n v="6.21"/>
    <n v="9.9700000000000006"/>
    <n v="32.731907894736842"/>
    <s v="NO"/>
    <n v="-1.121424483481466"/>
    <n v="0.81239739772979613"/>
    <n v="-0.44597874375297669"/>
    <n v="0"/>
    <n v="5.6370921325318957"/>
    <n v="0.77358804733531805"/>
    <x v="0"/>
    <x v="0"/>
    <x v="0"/>
    <x v="0"/>
    <x v="1"/>
    <x v="0"/>
  </r>
  <r>
    <x v="2"/>
    <s v="ADM"/>
    <n v="23191"/>
    <n v="47.9"/>
    <n v="0.46"/>
    <n v="46.08"/>
    <n v="2.81"/>
    <n v="104.13043478260869"/>
    <n v="1.0394965277777777"/>
    <n v="5.89"/>
    <n v="1.79"/>
    <n v="2.41"/>
    <n v="17.046263345195729"/>
    <s v="NO"/>
    <n v="7.8329479799022241"/>
    <n v="-0.67023208626546871"/>
    <n v="-0.58154047737411652"/>
    <n v="-1.5079575643124721"/>
    <n v="-0.2761257669403383"/>
    <n v="-4.1163676943042932E-2"/>
    <x v="1"/>
    <x v="0"/>
    <x v="0"/>
    <x v="0"/>
    <x v="0"/>
    <x v="0"/>
  </r>
  <r>
    <x v="2"/>
    <s v="BG"/>
    <n v="10504"/>
    <n v="74.67"/>
    <n v="-6"/>
    <n v="78.709999999999994"/>
    <n v="7.82"/>
    <n v="-12.445"/>
    <n v="0.94867234150679725"/>
    <n v="9.86"/>
    <n v="3.13"/>
    <n v="2.52"/>
    <n v="9.5485933503836318"/>
    <s v="NO"/>
    <n v="-2.2886720341244557"/>
    <n v="-0.74630651660062064"/>
    <n v="-2.4360340631255181E-2"/>
    <n v="-1.0034594982963447"/>
    <n v="-0.12558489691747207"/>
    <n v="-0.97655724457010473"/>
    <x v="0"/>
    <x v="0"/>
    <x v="0"/>
    <x v="0"/>
    <x v="0"/>
    <x v="0"/>
  </r>
  <r>
    <x v="2"/>
    <s v="CAG"/>
    <n v="10927"/>
    <n v="22.4"/>
    <n v="3.03"/>
    <n v="18.39"/>
    <n v="0.68"/>
    <n v="7.3927392739273925"/>
    <n v="1.21805328983143"/>
    <n v="3.66"/>
    <n v="5.13"/>
    <n v="2.36"/>
    <n v="32.941176470588232"/>
    <s v="NO"/>
    <n v="-0.56626748772527324"/>
    <n v="-0.52067276166889886"/>
    <n v="-0.89451571791229811"/>
    <n v="-0.25047731021257241"/>
    <n v="-0.34455343513255066"/>
    <n v="1.9418523141276227"/>
    <x v="0"/>
    <x v="0"/>
    <x v="0"/>
    <x v="0"/>
    <x v="0"/>
    <x v="0"/>
  </r>
  <r>
    <x v="2"/>
    <s v="CHLSY"/>
    <n v="37060"/>
    <n v="16.3"/>
    <n v="4152.92"/>
    <n v="23180.73"/>
    <n v="3193.44"/>
    <n v="3.924949192375485E-3"/>
    <n v="7.0317026254134362E-4"/>
    <n v="14.78"/>
    <n v="6.66"/>
    <n v="1.89"/>
    <n v="5.104213637957814E-3"/>
    <s v="YES"/>
    <n v="-1.2077986223818007"/>
    <n v="-1.5403264537848529"/>
    <n v="0.66615005553370155"/>
    <n v="0.32555406367151346"/>
    <n v="-0.98777351613934328"/>
    <n v="-2.167182913265512"/>
    <x v="0"/>
    <x v="0"/>
    <x v="0"/>
    <x v="0"/>
    <x v="0"/>
    <x v="0"/>
  </r>
  <r>
    <x v="2"/>
    <s v="CPB"/>
    <n v="10150"/>
    <n v="34.270000000000003"/>
    <n v="2.59"/>
    <n v="13.12"/>
    <n v="1.73"/>
    <n v="13.231660231660234"/>
    <n v="2.6120426829268295"/>
    <n v="13.42"/>
    <n v="6.5"/>
    <n v="4.07"/>
    <n v="19.809248554913296"/>
    <s v="NO"/>
    <n v="-5.930528478502483E-2"/>
    <n v="0.64693416471278209"/>
    <n v="0.47527726309785989"/>
    <n v="0.26531548862481164"/>
    <n v="1.9956728170411"/>
    <n v="0.30354055709323924"/>
    <x v="0"/>
    <x v="0"/>
    <x v="0"/>
    <x v="0"/>
    <x v="0"/>
    <x v="0"/>
  </r>
  <r>
    <x v="2"/>
    <s v="GIS"/>
    <n v="29713"/>
    <n v="54.8"/>
    <n v="4.43"/>
    <n v="16.920000000000002"/>
    <n v="4.54"/>
    <n v="12.370203160270881"/>
    <n v="3.2387706855791958"/>
    <n v="26.83"/>
    <n v="7.2"/>
    <n v="3.53"/>
    <n v="12.070484581497796"/>
    <s v="NO"/>
    <n v="-0.13410098382109722"/>
    <n v="1.1718821739866085"/>
    <n v="2.3573391355718578"/>
    <n v="0.52885925445413196"/>
    <n v="1.2566540005652098"/>
    <n v="-0.66193138914148097"/>
    <x v="0"/>
    <x v="0"/>
    <x v="0"/>
    <x v="0"/>
    <x v="0"/>
    <x v="0"/>
  </r>
  <r>
    <x v="2"/>
    <s v="HRL"/>
    <n v="16871"/>
    <n v="31.19"/>
    <n v="1.27"/>
    <n v="14.61"/>
    <n v="1.36"/>
    <n v="24.559055118110237"/>
    <n v="2.1348391512662563"/>
    <n v="9.3699999999999992"/>
    <n v="4.75"/>
    <n v="1.67"/>
    <n v="22.933823529411764"/>
    <s v="NO"/>
    <n v="0.92419168439445554"/>
    <n v="0.24722800366127315"/>
    <n v="-9.3130684964757002E-2"/>
    <n v="-0.39354392594848908"/>
    <n v="-1.2888552561850761"/>
    <n v="0.69335597104673174"/>
    <x v="0"/>
    <x v="0"/>
    <x v="0"/>
    <x v="0"/>
    <x v="0"/>
    <x v="0"/>
  </r>
  <r>
    <x v="2"/>
    <s v="HSY"/>
    <n v="32556"/>
    <n v="166.91"/>
    <n v="8.99"/>
    <n v="23.12"/>
    <n v="8.1199999999999992"/>
    <n v="18.566184649610676"/>
    <n v="7.219290657439446"/>
    <n v="37.479999999999997"/>
    <n v="10.96"/>
    <n v="2.98"/>
    <n v="20.555418719211826"/>
    <s v="NO"/>
    <n v="0.40386287079363509"/>
    <n v="4.5059697307249769"/>
    <n v="3.8520415175142944"/>
    <n v="1.9444657680516242"/>
    <n v="0.50394965045087825"/>
    <n v="0.39663118024990229"/>
    <x v="0"/>
    <x v="1"/>
    <x v="1"/>
    <x v="0"/>
    <x v="0"/>
    <x v="0"/>
  </r>
  <r>
    <x v="2"/>
    <s v="JDEPY"/>
    <n v="13184"/>
    <n v="13.824999999999999"/>
    <n v="2.2200000000000002"/>
    <n v="23.53"/>
    <n v="1.17"/>
    <n v="6.2274774774774766"/>
    <n v="0.58754781130471734"/>
    <n v="4.88"/>
    <n v="2.86"/>
    <n v="2.14"/>
    <n v="11.816239316239317"/>
    <s v="NO"/>
    <n v="-0.66744092227023011"/>
    <n v="-1.0487847885579042"/>
    <n v="-0.72329159528602838"/>
    <n v="-1.105112093687654"/>
    <n v="-0.64563517517828306"/>
    <n v="-0.69365049466185902"/>
    <x v="0"/>
    <x v="0"/>
    <x v="0"/>
    <x v="0"/>
    <x v="0"/>
    <x v="0"/>
  </r>
  <r>
    <x v="2"/>
    <s v="K"/>
    <n v="28668"/>
    <n v="81.99"/>
    <n v="2.5099999999999998"/>
    <n v="11.28"/>
    <n v="3.97"/>
    <n v="32.665338645418331"/>
    <n v="7.2686170212765955"/>
    <n v="38.15"/>
    <n v="8.1199999999999992"/>
    <n v="3.95"/>
    <n v="20.652392947103273"/>
    <s v="NO"/>
    <n v="1.62801682339035"/>
    <n v="4.5472855429935262"/>
    <n v="3.9460744373172463"/>
    <n v="0.8752310609726669"/>
    <n v="1.8314464133797912"/>
    <n v="0.40872948132984116"/>
    <x v="0"/>
    <x v="1"/>
    <x v="1"/>
    <x v="0"/>
    <x v="0"/>
    <x v="0"/>
  </r>
  <r>
    <x v="2"/>
    <s v="KHC"/>
    <n v="31636"/>
    <n v="26.48"/>
    <n v="2.5099999999999998"/>
    <n v="41.56"/>
    <n v="2.19"/>
    <n v="10.54980079681275"/>
    <n v="0.63715110683349374"/>
    <n v="5.35"/>
    <n v="3.75"/>
    <n v="1.83"/>
    <n v="12.091324200913242"/>
    <s v="NO"/>
    <n v="-0.29215676143770436"/>
    <n v="-1.0072370180241916"/>
    <n v="-0.65732820378246548"/>
    <n v="-0.77003501999037527"/>
    <n v="-1.0698867179699976"/>
    <n v="-0.65933148197478897"/>
    <x v="0"/>
    <x v="0"/>
    <x v="0"/>
    <x v="0"/>
    <x v="0"/>
    <x v="0"/>
  </r>
  <r>
    <x v="2"/>
    <s v="MDLZ"/>
    <n v="87387"/>
    <n v="66.7"/>
    <n v="2.4900000000000002"/>
    <n v="19.91"/>
    <n v="2.7"/>
    <n v="26.787148594377509"/>
    <n v="3.3500753390256155"/>
    <n v="13.3"/>
    <n v="3.69"/>
    <n v="2.67"/>
    <n v="24.703703703703702"/>
    <s v="NO"/>
    <n v="1.1176450956089554"/>
    <n v="1.2651110643542545"/>
    <n v="0.45843554611822696"/>
    <n v="-0.79262448563288845"/>
    <n v="7.9698107659163783E-2"/>
    <n v="0.9141625058300531"/>
    <x v="0"/>
    <x v="0"/>
    <x v="0"/>
    <x v="0"/>
    <x v="0"/>
    <x v="0"/>
  </r>
  <r>
    <x v="2"/>
    <s v="MKC"/>
    <n v="19505"/>
    <n v="75.22"/>
    <n v="2.42"/>
    <n v="20.22"/>
    <n v="2.9"/>
    <n v="31.082644628099175"/>
    <n v="3.7200791295746787"/>
    <n v="14.66"/>
    <n v="5.16"/>
    <n v="2.38"/>
    <n v="25.937931034482759"/>
    <s v="NO"/>
    <n v="1.4905999870589988"/>
    <n v="1.5750266137640319"/>
    <n v="0.64930833855406855"/>
    <n v="-0.23918257739131571"/>
    <n v="-0.31718236785566584"/>
    <n v="1.0681421164289562"/>
    <x v="0"/>
    <x v="0"/>
    <x v="0"/>
    <x v="0"/>
    <x v="0"/>
    <x v="0"/>
  </r>
  <r>
    <x v="2"/>
    <s v="PPC"/>
    <n v="11657"/>
    <n v="45.87"/>
    <n v="5.82"/>
    <n v="13.2"/>
    <n v="5.08"/>
    <n v="7.8814432989690717"/>
    <n v="3.4750000000000001"/>
    <n v="36.39"/>
    <n v="11.46"/>
    <n v="3.5"/>
    <n v="9.0295275590551167"/>
    <s v="NO"/>
    <n v="-0.52383593728738287"/>
    <n v="1.3697480868108467"/>
    <n v="3.6990625882826276"/>
    <n v="2.1327113150725672"/>
    <n v="1.215597399649883"/>
    <n v="-1.0413148029475605"/>
    <x v="0"/>
    <x v="0"/>
    <x v="1"/>
    <x v="0"/>
    <x v="0"/>
    <x v="0"/>
  </r>
  <r>
    <x v="2"/>
    <s v="SJM"/>
    <n v="11984"/>
    <n v="111.85"/>
    <n v="7.67"/>
    <n v="64.91"/>
    <n v="-2.42"/>
    <n v="14.582790091264666"/>
    <n v="1.7231551378832228"/>
    <n v="-3.55"/>
    <n v="5.52"/>
    <n v="2.67"/>
    <n v="-46.219008264462808"/>
    <s v="NO"/>
    <n v="5.8006077201518486E-2"/>
    <n v="-9.7598942574853825E-2"/>
    <n v="-1.9064222131052528"/>
    <n v="-0.10364578353623692"/>
    <n v="7.9698107659163783E-2"/>
    <n v="-7.9340061411753791"/>
    <x v="0"/>
    <x v="0"/>
    <x v="0"/>
    <x v="0"/>
    <x v="0"/>
    <x v="1"/>
  </r>
  <r>
    <x v="2"/>
    <s v="TSN"/>
    <n v="20006"/>
    <n v="55.26"/>
    <n v="3.62"/>
    <n v="51.65"/>
    <n v="2.57"/>
    <n v="15.265193370165745"/>
    <n v="1.069893514036786"/>
    <n v="5.12"/>
    <n v="3.67"/>
    <n v="1.97"/>
    <n v="21.501945525291831"/>
    <s v="NO"/>
    <n v="0.1172554953850569"/>
    <n v="-0.64477153981300506"/>
    <n v="-0.68960816132676217"/>
    <n v="-0.80015430751372618"/>
    <n v="-0.878289247031804"/>
    <n v="0.51471787739800912"/>
    <x v="0"/>
    <x v="0"/>
    <x v="0"/>
    <x v="0"/>
    <x v="0"/>
    <x v="0"/>
  </r>
  <r>
    <x v="2"/>
    <s v="WHGLY"/>
    <n v="11785"/>
    <n v="18.7667"/>
    <n v="0.14000000000000001"/>
    <n v="0.83"/>
    <n v="0.13"/>
    <n v="134.04785714285714"/>
    <n v="22.610481927710843"/>
    <n v="16.899999999999999"/>
    <n v="8.17"/>
    <n v="1.86"/>
    <n v="144.35923076923078"/>
    <s v="NO"/>
    <n v="10.430517369150216"/>
    <n v="17.397647114674978"/>
    <n v="0.96368705550721934"/>
    <n v="0.89405561567476144"/>
    <n v="-1.0288301170546703"/>
    <n v="15.842134852647757"/>
    <x v="1"/>
    <x v="1"/>
    <x v="0"/>
    <x v="0"/>
    <x v="0"/>
    <x v="1"/>
  </r>
  <r>
    <x v="3"/>
    <s v="CHD"/>
    <n v="24212"/>
    <n v="98.71"/>
    <n v="3.79"/>
    <n v="18.48"/>
    <n v="2.33"/>
    <n v="26.044854881266488"/>
    <n v="5.341450216450216"/>
    <n v="13.36"/>
    <n v="8.24"/>
    <n v="1.97"/>
    <n v="42.364806866952783"/>
    <s v="NO"/>
    <n v="1.2607131445610704"/>
    <n v="-0.71995620231832358"/>
    <n v="-1.1367484727673167"/>
    <n v="-11.222330727419962"/>
    <n v="-0.80030919439123205"/>
    <n v="12.916826685162343"/>
    <x v="0"/>
    <x v="0"/>
    <x v="0"/>
    <x v="1"/>
    <x v="0"/>
    <x v="1"/>
  </r>
  <r>
    <x v="3"/>
    <s v="CL"/>
    <n v="75320"/>
    <n v="90.87"/>
    <n v="4.25"/>
    <n v="0.45"/>
    <n v="3.53"/>
    <n v="21.381176470588237"/>
    <n v="201.93333333333334"/>
    <n v="451.26"/>
    <n v="16.02"/>
    <n v="45.86"/>
    <n v="25.742209631728048"/>
    <s v="NO"/>
    <n v="-0.28213521145355047"/>
    <n v="1.7069730877801645"/>
    <n v="1.4726650236198848"/>
    <n v="16.642477695769589"/>
    <n v="1.6581734332085001"/>
    <n v="0.68455665985994041"/>
    <x v="0"/>
    <x v="0"/>
    <x v="0"/>
    <x v="1"/>
    <x v="0"/>
    <x v="0"/>
  </r>
  <r>
    <x v="3"/>
    <s v="CLX"/>
    <n v="16255"/>
    <n v="127.5"/>
    <n v="6.47"/>
    <n v="0.22"/>
    <n v="5.57"/>
    <n v="19.706336939721794"/>
    <n v="579.5454545454545"/>
    <n v="318.64999999999998"/>
    <n v="11.6"/>
    <n v="204.15"/>
    <n v="22.89048473967684"/>
    <s v="NO"/>
    <n v="-0.83620931117471642"/>
    <n v="6.3685995127178208"/>
    <n v="0.6824519070272681"/>
    <n v="0.81182818028143711"/>
    <n v="10.524731080115806"/>
    <n v="-1.413976344568902"/>
    <x v="0"/>
    <x v="1"/>
    <x v="0"/>
    <x v="0"/>
    <x v="1"/>
    <x v="0"/>
  </r>
  <r>
    <x v="3"/>
    <s v="KMB"/>
    <n v="47702"/>
    <n v="132.69"/>
    <n v="7.15"/>
    <n v="3.32"/>
    <n v="7.34"/>
    <n v="18.558041958041958"/>
    <n v="39.966867469879517"/>
    <n v="207.06"/>
    <n v="11.54"/>
    <n v="14.81"/>
    <n v="18.077656675749317"/>
    <s v="YES"/>
    <n v="-1.2160907842728839"/>
    <n v="-0.29250498723297191"/>
    <n v="1.7495405401673707E-2"/>
    <n v="0.59693248550105316"/>
    <n v="-8.1081193972445023E-2"/>
    <n v="-4.9556498646708222"/>
    <x v="0"/>
    <x v="0"/>
    <x v="0"/>
    <x v="0"/>
    <x v="0"/>
    <x v="1"/>
  </r>
  <r>
    <x v="3"/>
    <s v="PG"/>
    <n v="398314"/>
    <n v="162.56"/>
    <n v="6.38"/>
    <n v="21.96"/>
    <n v="6.3"/>
    <n v="25.479623824451412"/>
    <n v="7.4025500910746809"/>
    <n v="30.29"/>
    <n v="10.98"/>
    <n v="2.39"/>
    <n v="25.803174603174604"/>
    <s v="NO"/>
    <n v="1.0737221623400814"/>
    <n v="-0.69451189822886916"/>
    <n v="-1.0358638632815089"/>
    <n v="-1.4087606657825094"/>
    <n v="-0.77678304484482308"/>
    <n v="0.72941968470895913"/>
    <x v="0"/>
    <x v="0"/>
    <x v="0"/>
    <x v="0"/>
    <x v="0"/>
    <x v="0"/>
  </r>
  <r>
    <x v="4"/>
    <s v="EL"/>
    <n v="24082"/>
    <n v="69"/>
    <n v="2.63"/>
    <n v="12.08"/>
    <n v="-2.42"/>
    <n v="26.235741444866921"/>
    <n v="5.7119205298013247"/>
    <n v="-15.98"/>
    <n v="3.88"/>
    <n v="4.58"/>
    <n v="-28.512396694214878"/>
    <s v="NO"/>
    <n v="0.38182538881148192"/>
    <n v="-3.2834779501067383E-2"/>
    <n v="-1.282792238203432"/>
    <n v="-1.2684255211712758"/>
    <n v="1.0336876340993641"/>
    <n v="-1.3933743091915152"/>
    <x v="0"/>
    <x v="0"/>
    <x v="0"/>
    <x v="0"/>
    <x v="0"/>
    <x v="0"/>
  </r>
  <r>
    <x v="4"/>
    <s v="KVUE"/>
    <n v="45828"/>
    <n v="21.3"/>
    <n v="0.75"/>
    <n v="5.24"/>
    <n v="0.55000000000000004"/>
    <n v="28.400000000000002"/>
    <n v="4.0648854961832059"/>
    <n v="10.220000000000001"/>
    <n v="6.77"/>
    <n v="2.61"/>
    <n v="38.727272727272727"/>
    <s v="NO"/>
    <n v="0.98834852743792423"/>
    <n v="-1.2079973308165375"/>
    <n v="0.12580611221274238"/>
    <n v="9.2620180382555872E-2"/>
    <n v="-1.3526771774347144"/>
    <n v="0.90616513879410154"/>
    <x v="0"/>
    <x v="0"/>
    <x v="0"/>
    <x v="0"/>
    <x v="0"/>
    <x v="0"/>
  </r>
  <r>
    <x v="4"/>
    <s v="UL"/>
    <n v="156550"/>
    <n v="62.75"/>
    <n v="3.14"/>
    <n v="8.3699999999999992"/>
    <n v="2.37"/>
    <n v="19.984076433121018"/>
    <n v="7.497013142174433"/>
    <n v="29.4"/>
    <n v="9.07"/>
    <n v="3.99"/>
    <n v="26.476793248945146"/>
    <s v="NO"/>
    <n v="-1.3701739162494062"/>
    <n v="1.2408321103176037"/>
    <n v="1.1569861259906897"/>
    <n v="1.1758053407887199"/>
    <n v="0.31898954333535096"/>
    <n v="0.48720917039741329"/>
    <x v="0"/>
    <x v="0"/>
    <x v="0"/>
    <x v="0"/>
    <x v="0"/>
    <x v="0"/>
  </r>
  <r>
    <x v="5"/>
    <s v="BTI"/>
    <n v="99023"/>
    <n v="47.89"/>
    <n v="5.4"/>
    <n v="27.26"/>
    <n v="1.7"/>
    <n v="8.8685185185185187"/>
    <n v="1.7567865003668377"/>
    <n v="6.18"/>
    <n v="5.15"/>
    <n v="2.4"/>
    <n v="28.170588235294119"/>
    <s v="NO"/>
    <n v="-0.8834126427778688"/>
    <n v="1.4099455782166088"/>
    <n v="1.1372050736022432"/>
    <n v="-1.2600386000246668"/>
    <n v="1.3353477219401555"/>
    <n v="0.27323758045177415"/>
    <x v="0"/>
    <x v="0"/>
    <x v="0"/>
    <x v="0"/>
    <x v="0"/>
    <x v="0"/>
  </r>
  <r>
    <x v="5"/>
    <s v="MO"/>
    <n v="102095"/>
    <n v="59.07"/>
    <n v="4.97"/>
    <n v="-2.08"/>
    <n v="5.99"/>
    <n v="11.885311871227366"/>
    <n v="-28.39903846153846"/>
    <n v="-239.61"/>
    <n v="20.92"/>
    <n v="-10.19"/>
    <n v="9.8614357262103507"/>
    <s v="NO"/>
    <n v="-0.51468615920424199"/>
    <n v="-0.80005222879205207"/>
    <n v="-1.2966639802452768"/>
    <n v="1.1861011688373355"/>
    <n v="-1.0709539697430348"/>
    <n v="-1.3382867636992783"/>
    <x v="0"/>
    <x v="0"/>
    <x v="0"/>
    <x v="0"/>
    <x v="0"/>
    <x v="0"/>
  </r>
  <r>
    <x v="5"/>
    <s v="PM"/>
    <n v="281091"/>
    <n v="180.63"/>
    <n v="6.56"/>
    <n v="-7"/>
    <n v="4.8600000000000003"/>
    <n v="27.535060975609756"/>
    <n v="-25.804285714285715"/>
    <n v="-92.56"/>
    <n v="13.75"/>
    <n v="-5.97"/>
    <n v="37.166666666666664"/>
    <s v="NO"/>
    <n v="1.3980988019821097"/>
    <n v="-0.60989334942455642"/>
    <n v="0.15945890664303367"/>
    <n v="7.393743118733169E-2"/>
    <n v="-0.26439375219712041"/>
    <n v="1.0650491832475035"/>
    <x v="0"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s v="CCU"/>
    <n v="2518"/>
    <n v="13.29"/>
    <n v="0.43"/>
    <n v="4.37"/>
    <n v="0.47"/>
    <n v="30.906976744186046"/>
    <n v="3.0411899313501141"/>
    <n v="11.4"/>
    <n v="3.9"/>
    <n v="2.5499999999999998"/>
    <n v="28.276595744680851"/>
    <s v="NO"/>
    <n v="-0.22686621149855235"/>
    <n v="-0.7375062662952987"/>
    <n v="-0.59199595418826101"/>
    <n v="-0.98784210276695339"/>
    <n v="0.14585591141295581"/>
    <n v="-0.15980268191719446"/>
    <x v="0"/>
    <x v="0"/>
    <x v="0"/>
    <x v="0"/>
    <x v="0"/>
    <x v="0"/>
  </r>
  <r>
    <x v="0"/>
    <s v="CELH"/>
    <n v="9763"/>
    <n v="42.28"/>
    <n v="0.76"/>
    <n v="1.88"/>
    <n v="0.32"/>
    <n v="55.631578947368425"/>
    <n v="22.48936170212766"/>
    <n v="9.19"/>
    <n v="4.79"/>
    <n v="4.2"/>
    <n v="132.125"/>
    <s v="NO"/>
    <n v="1.2834582299584674"/>
    <n v="5.6346598695436985"/>
    <n v="-0.75457677100509757"/>
    <n v="-0.83997433966656609"/>
    <n v="1.7202818710574821"/>
    <n v="13.667784360651979"/>
    <x v="0"/>
    <x v="1"/>
    <x v="0"/>
    <x v="0"/>
    <x v="0"/>
    <x v="1"/>
  </r>
  <r>
    <x v="0"/>
    <s v="COCO"/>
    <n v="2019"/>
    <n v="33.82"/>
    <n v="0.56000000000000005"/>
    <n v="4.87"/>
    <n v="1.01"/>
    <n v="60.392857142857139"/>
    <n v="6.944558521560575"/>
    <n v="24.86"/>
    <n v="13.77"/>
    <n v="1.38"/>
    <n v="33.485148514851488"/>
    <s v="NO"/>
    <n v="1.5743051674391195"/>
    <n v="0.54142696400505663"/>
    <n v="0.39820214280477867"/>
    <n v="0.65199477566093733"/>
    <n v="-0.97055522360770796"/>
    <n v="0.53372474695189487"/>
    <x v="0"/>
    <x v="0"/>
    <x v="0"/>
    <x v="0"/>
    <x v="0"/>
    <x v="0"/>
  </r>
  <r>
    <x v="0"/>
    <s v="COKE"/>
    <n v="9995"/>
    <n v="110.11"/>
    <n v="5.5"/>
    <n v="17.2"/>
    <n v="6.42"/>
    <n v="20.02"/>
    <n v="6.4017441860465123"/>
    <n v="36.83"/>
    <n v="11.5"/>
    <n v="3.6"/>
    <n v="17.151090342679129"/>
    <s v="NO"/>
    <n v="-0.89190692419410145"/>
    <n v="0.36357461019111409"/>
    <n v="1.2787869289122591"/>
    <n v="0.2748489079779271"/>
    <n v="1.1477633402776544"/>
    <n v="-1.641182154639065"/>
    <x v="0"/>
    <x v="0"/>
    <x v="0"/>
    <x v="0"/>
    <x v="0"/>
    <x v="0"/>
  </r>
  <r>
    <x v="0"/>
    <s v="DVCMY"/>
    <n v="7767"/>
    <n v="6.66"/>
    <n v="0.18"/>
    <n v="3.32"/>
    <n v="0.17"/>
    <n v="37"/>
    <n v="2.0060240963855422"/>
    <n v="5.68"/>
    <n v="4.9000000000000004"/>
    <n v="2.2000000000000002"/>
    <n v="39.17647058823529"/>
    <s v="NO"/>
    <n v="0.14533156422288543"/>
    <n v="-1.0766768966395937"/>
    <n v="-1.0127933624200729"/>
    <n v="-0.82169854872157433"/>
    <n v="-0.18811323154194329"/>
    <n v="1.2915337082097553"/>
    <x v="0"/>
    <x v="0"/>
    <x v="0"/>
    <x v="0"/>
    <x v="0"/>
    <x v="0"/>
  </r>
  <r>
    <x v="0"/>
    <s v="FIZZ"/>
    <n v="4234"/>
    <n v="46.3"/>
    <n v="1.87"/>
    <n v="4.33"/>
    <n v="1.99"/>
    <n v="24.759358288770052"/>
    <n v="10.69284064665127"/>
    <n v="40.81"/>
    <n v="21.97"/>
    <n v="1.47"/>
    <n v="23.266331658291456"/>
    <s v="NO"/>
    <n v="-0.60239898382246626"/>
    <n v="1.7695463320662859"/>
    <n v="1.571579531143485"/>
    <n v="2.0143719188330453"/>
    <n v="-0.88467744399073367"/>
    <n v="-0.82692764409261599"/>
    <x v="0"/>
    <x v="0"/>
    <x v="0"/>
    <x v="0"/>
    <x v="0"/>
    <x v="0"/>
  </r>
  <r>
    <x v="0"/>
    <s v="SAM"/>
    <n v="2562"/>
    <n v="218.71"/>
    <n v="16.04"/>
    <n v="82.03"/>
    <n v="6.16"/>
    <n v="13.635286783042396"/>
    <n v="2.6662196757283922"/>
    <n v="7.36"/>
    <n v="8.09"/>
    <n v="1.38"/>
    <n v="35.504870129870127"/>
    <s v="NO"/>
    <n v="-1.2819228421053537"/>
    <n v="-0.86036474332756419"/>
    <n v="-0.88920251524709326"/>
    <n v="-0.29170061131681541"/>
    <n v="-0.97055522360770796"/>
    <n v="0.8026540254872282"/>
    <x v="0"/>
    <x v="0"/>
    <x v="0"/>
    <x v="0"/>
    <x v="0"/>
    <x v="0"/>
  </r>
  <r>
    <x v="1"/>
    <s v="ALBBY"/>
    <n v="8178"/>
    <n v="11.7"/>
    <n v="0.01"/>
    <n v="0.14000000000000001"/>
    <n v="0.01"/>
    <n v="1170"/>
    <n v="83.571428571428555"/>
    <n v="9.2899999999999991"/>
    <n v="4.4400000000000004"/>
    <n v="1.3"/>
    <n v="1170"/>
    <s v="NO"/>
    <n v="51.490312703375928"/>
    <n v="17.351499630440429"/>
    <n v="-0.97684672001181927"/>
    <n v="0.26238515767528325"/>
    <n v="-0.96915291260964442"/>
    <n v="56.290790764496869"/>
    <x v="1"/>
    <x v="1"/>
    <x v="0"/>
    <x v="0"/>
    <x v="0"/>
    <x v="1"/>
  </r>
  <r>
    <x v="1"/>
    <s v="CHEF"/>
    <n v="2595"/>
    <n v="63.42"/>
    <n v="3.33"/>
    <n v="13.32"/>
    <n v="1.47"/>
    <n v="19.045045045045047"/>
    <n v="4.7612612612612617"/>
    <n v="12.9"/>
    <n v="4.79"/>
    <n v="3.39"/>
    <n v="43.142857142857146"/>
    <s v="NO"/>
    <n v="8.5700906697063858E-2"/>
    <n v="0.16981238244454863"/>
    <n v="0.64823008148249683"/>
    <n v="0.39438590434970688"/>
    <n v="0.47177260684961381"/>
    <n v="1.4429143026568592"/>
    <x v="0"/>
    <x v="0"/>
    <x v="0"/>
    <x v="0"/>
    <x v="0"/>
    <x v="0"/>
  </r>
  <r>
    <x v="1"/>
    <s v="EMLAF"/>
    <n v="8971"/>
    <n v="37.86"/>
    <n v="3.2"/>
    <n v="15.77"/>
    <n v="1.93"/>
    <n v="11.831249999999999"/>
    <n v="2.4007609384908055"/>
    <n v="13.21"/>
    <n v="4.84"/>
    <n v="3.12"/>
    <n v="19.616580310880828"/>
    <s v="NO"/>
    <n v="-0.23648575427948071"/>
    <n v="-0.34480875945731615"/>
    <n v="0.78777961291275689"/>
    <n v="0.41324315387462446"/>
    <n v="0.28562433400081011"/>
    <n v="0.29781234056114397"/>
    <x v="0"/>
    <x v="0"/>
    <x v="0"/>
    <x v="0"/>
    <x v="0"/>
    <x v="0"/>
  </r>
  <r>
    <x v="1"/>
    <s v="PSMT"/>
    <n v="3321"/>
    <n v="108.35"/>
    <n v="2.61"/>
    <n v="39.1"/>
    <n v="4.6900000000000004"/>
    <n v="41.513409961685824"/>
    <n v="2.7710997442455239"/>
    <n v="12.6"/>
    <n v="6.83"/>
    <n v="1.78"/>
    <n v="23.102345415778249"/>
    <s v="NO"/>
    <n v="1.089195935997529"/>
    <n v="-0.26406986810042682"/>
    <n v="0.51318214784030958"/>
    <n v="1.1637616849663481"/>
    <n v="-0.63822264976732679"/>
    <n v="0.46747609524406053"/>
    <x v="0"/>
    <x v="0"/>
    <x v="0"/>
    <x v="0"/>
    <x v="0"/>
    <x v="0"/>
  </r>
  <r>
    <x v="1"/>
    <s v="SAEYY"/>
    <n v="2777"/>
    <n v="11.03"/>
    <n v="-0.42"/>
    <n v="27.34"/>
    <n v="-0.5"/>
    <n v="-26.261904761904763"/>
    <n v="0.4034381858083394"/>
    <n v="-9.6"/>
    <n v="-2.33"/>
    <n v="2.16"/>
    <n v="-22.06"/>
    <s v="NO"/>
    <n v="-1.9378241291797911"/>
    <n v="-0.78025225667558784"/>
    <n v="-9.4803649416815201"/>
    <n v="-2.2908864279985703"/>
    <n v="-0.37623619168382522"/>
    <n v="-1.7307251211150754"/>
    <x v="0"/>
    <x v="0"/>
    <x v="1"/>
    <x v="0"/>
    <x v="0"/>
    <x v="0"/>
  </r>
  <r>
    <x v="1"/>
    <s v="TBBB"/>
    <n v="3312"/>
    <n v="26.44"/>
    <n v="0.67"/>
    <n v="1.79"/>
    <n v="0.16"/>
    <n v="39.462686567164177"/>
    <n v="14.770949720670391"/>
    <n v="13.22"/>
    <n v="3.77"/>
    <n v="5.76"/>
    <n v="165.25"/>
    <s v="NO"/>
    <n v="0.99760534894290487"/>
    <n v="2.3520604657734343"/>
    <n v="0.79228121070082969"/>
    <n v="9.6980140413862655E-3"/>
    <n v="2.1057407796335572"/>
    <n v="7.3862741411149919"/>
    <x v="0"/>
    <x v="0"/>
    <x v="0"/>
    <x v="0"/>
    <x v="0"/>
    <x v="1"/>
  </r>
  <r>
    <x v="1"/>
    <s v="WBA"/>
    <n v="9728"/>
    <n v="11.33"/>
    <n v="0.66"/>
    <n v="8.2200000000000006"/>
    <n v="-6.69"/>
    <n v="17.166666666666664"/>
    <n v="1.3783454987834549"/>
    <n v="-66.209999999999994"/>
    <n v="-0.59"/>
    <n v="9.8800000000000008"/>
    <n v="-1.6935724962630792"/>
    <s v="NO"/>
    <n v="1.8076918217737278E-3"/>
    <n v="-0.56770921662088814"/>
    <n v="-34.963910019962178"/>
    <n v="-1.6346541445314351"/>
    <n v="4.9462255356967848"/>
    <n v="-0.73942351134607387"/>
    <x v="0"/>
    <x v="0"/>
    <x v="1"/>
    <x v="1"/>
    <x v="1"/>
    <x v="0"/>
  </r>
  <r>
    <x v="1"/>
    <s v="WMK"/>
    <n v="2039"/>
    <n v="75.33"/>
    <n v="-0.18"/>
    <n v="54.17"/>
    <n v="3.99"/>
    <n v="-418.5"/>
    <n v="1.3906221155621192"/>
    <n v="7.54"/>
    <n v="3.87"/>
    <n v="1.43"/>
    <n v="18.8796992481203"/>
    <s v="NO"/>
    <n v="-19.456187407238883"/>
    <n v="-0.56503274736376363"/>
    <n v="-1.7646263329245757"/>
    <n v="4.7412513091221652E-2"/>
    <n v="-0.87952596642318348"/>
    <n v="0.26194589399908619"/>
    <x v="1"/>
    <x v="0"/>
    <x v="0"/>
    <x v="0"/>
    <x v="0"/>
    <x v="0"/>
  </r>
  <r>
    <x v="2"/>
    <s v="ACOPY"/>
    <n v="3714"/>
    <n v="5.25"/>
    <n v="0.14000000000000001"/>
    <n v="1.05"/>
    <n v="0.15"/>
    <n v="37.499999999999993"/>
    <n v="5"/>
    <n v="12.47"/>
    <n v="7.22"/>
    <n v="1.38"/>
    <n v="35"/>
    <s v="NO"/>
    <n v="2.1928305896122868"/>
    <n v="3.5953454654633559"/>
    <n v="0.38249882943353214"/>
    <n v="0.73655674491690759"/>
    <n v="-0.8151565765948442"/>
    <n v="1.4240472555394406"/>
    <x v="0"/>
    <x v="1"/>
    <x v="0"/>
    <x v="0"/>
    <x v="0"/>
    <x v="0"/>
  </r>
  <r>
    <x v="2"/>
    <s v="BKFKY"/>
    <n v="2812"/>
    <n v="11.86"/>
    <n v="-0.1"/>
    <n v="27.24"/>
    <n v="2.4"/>
    <n v="-118.6"/>
    <n v="0.43538913362701909"/>
    <n v="2.12"/>
    <n v="1.66"/>
    <n v="1.62"/>
    <n v="4.9416666666666664"/>
    <s v="NO"/>
    <n v="-13.145647765966494"/>
    <n v="-1.4595627552705361"/>
    <n v="-1.0738108473932657"/>
    <n v="-1.3652761706158345"/>
    <n v="-0.56021048679563346"/>
    <n v="-1.3425480525761362"/>
    <x v="1"/>
    <x v="0"/>
    <x v="0"/>
    <x v="0"/>
    <x v="0"/>
    <x v="0"/>
  </r>
  <r>
    <x v="2"/>
    <s v="BRFS"/>
    <n v="5617"/>
    <n v="3.71"/>
    <n v="1.05"/>
    <n v="1.76"/>
    <n v="0.41"/>
    <n v="3.5333333333333332"/>
    <n v="2.1079545454545454"/>
    <n v="25.63"/>
    <n v="7.71"/>
    <n v="3.92"/>
    <n v="9.0487804878048781"/>
    <s v="NO"/>
    <n v="-1.1447541732181155"/>
    <n v="0.39265748813438933"/>
    <n v="2.234193065862581"/>
    <n v="0.92179022128580046"/>
    <n v="1.8830228737801336"/>
    <n v="-0.96452570178741603"/>
    <x v="0"/>
    <x v="0"/>
    <x v="0"/>
    <x v="0"/>
    <x v="0"/>
    <x v="0"/>
  </r>
  <r>
    <x v="2"/>
    <s v="BRRLY"/>
    <n v="5629"/>
    <n v="10.352"/>
    <n v="-677.75"/>
    <n v="549.96"/>
    <n v="28.99"/>
    <n v="-1.5274068609369237E-2"/>
    <n v="1.8823187140882974E-2"/>
    <n v="5.15"/>
    <n v="3.94"/>
    <n v="6.56"/>
    <n v="0.35708865125905487"/>
    <s v="NO"/>
    <n v="-1.4934424360441552"/>
    <n v="-1.9208731909273975"/>
    <n v="-0.6474709130178844"/>
    <n v="-0.50337346424629281"/>
    <n v="4.6874298615714487"/>
    <n v="-1.764516625698948"/>
    <x v="0"/>
    <x v="0"/>
    <x v="0"/>
    <x v="0"/>
    <x v="1"/>
    <x v="0"/>
  </r>
  <r>
    <x v="2"/>
    <s v="CALM"/>
    <n v="4652"/>
    <n v="97.55"/>
    <n v="17.61"/>
    <n v="48.56"/>
    <n v="20.239999999999998"/>
    <n v="5.5394662123793301"/>
    <n v="2.0088550247116967"/>
    <n v="48.15"/>
    <n v="29.82"/>
    <n v="1.29"/>
    <n v="4.8196640316205537"/>
    <s v="NO"/>
    <n v="-0.94763036960721259"/>
    <n v="0.28291341646243579"/>
    <n v="5.4028977926393429"/>
    <n v="9.2799783080535931"/>
    <n v="-0.91076136026954801"/>
    <n v="-1.3537772818867979"/>
    <x v="0"/>
    <x v="0"/>
    <x v="1"/>
    <x v="1"/>
    <x v="0"/>
    <x v="0"/>
  </r>
  <r>
    <x v="2"/>
    <s v="DAR"/>
    <n v="4928"/>
    <n v="31.35"/>
    <n v="3.28"/>
    <n v="28.13"/>
    <n v="1.08"/>
    <n v="9.5579268292682933"/>
    <n v="1.1144685389264131"/>
    <n v="3.91"/>
    <n v="1.84"/>
    <n v="2.2599999999999998"/>
    <n v="29.027777777777779"/>
    <s v="NO"/>
    <n v="-0.55277405189486706"/>
    <n v="-0.70754157123769335"/>
    <n v="-0.82194666173916253"/>
    <n v="-1.2972312201129761"/>
    <n v="0.11964575266892749"/>
    <n v="0.8743586951061636"/>
    <x v="0"/>
    <x v="0"/>
    <x v="0"/>
    <x v="0"/>
    <x v="0"/>
    <x v="0"/>
  </r>
  <r>
    <x v="2"/>
    <s v="FLO"/>
    <n v="3568"/>
    <n v="16.760000000000002"/>
    <n v="1.51"/>
    <n v="6.7"/>
    <n v="1.08"/>
    <n v="11.099337748344372"/>
    <n v="2.5014925373134331"/>
    <n v="16.34"/>
    <n v="6.14"/>
    <n v="3.06"/>
    <n v="15.518518518518519"/>
    <s v="NO"/>
    <n v="-0.40131410302041981"/>
    <n v="0.82846647349030567"/>
    <n v="0.92703201294268256"/>
    <n v="0.32828704189975616"/>
    <n v="0.96946605199962943"/>
    <n v="-0.36904535089717139"/>
    <x v="0"/>
    <x v="0"/>
    <x v="0"/>
    <x v="0"/>
    <x v="0"/>
    <x v="0"/>
  </r>
  <r>
    <x v="2"/>
    <s v="FRPT"/>
    <n v="3910"/>
    <n v="77.44"/>
    <n v="-0.28000000000000003"/>
    <n v="21.52"/>
    <n v="0.31"/>
    <n v="-276.57142857142856"/>
    <n v="3.5985130111524164"/>
    <n v="1.54"/>
    <n v="1.46"/>
    <n v="1.49"/>
    <n v="249.80645161290323"/>
    <s v="NO"/>
    <n v="-28.668013800192735"/>
    <n v="2.0433209208593026"/>
    <n v="-1.1554204717951542"/>
    <n v="-1.4408816711745664"/>
    <n v="-0.69830628543687268"/>
    <n v="21.195021068188634"/>
    <x v="1"/>
    <x v="0"/>
    <x v="0"/>
    <x v="0"/>
    <x v="0"/>
    <x v="1"/>
  </r>
  <r>
    <x v="2"/>
    <s v="INGR"/>
    <n v="8947"/>
    <n v="138.21"/>
    <n v="14.97"/>
    <n v="61.85"/>
    <n v="9.4700000000000006"/>
    <n v="9.2324649298597201"/>
    <n v="2.2345998383185126"/>
    <n v="16.309999999999999"/>
    <n v="9.07"/>
    <n v="1.88"/>
    <n v="14.594508975712777"/>
    <s v="NO"/>
    <n v="-0.58475413068823001"/>
    <n v="0.53290609875122463"/>
    <n v="0.92281082547361915"/>
    <n v="1.4359076250851763"/>
    <n v="-0.28401888951315568"/>
    <n v="-0.45409199794281763"/>
    <x v="0"/>
    <x v="0"/>
    <x v="0"/>
    <x v="0"/>
    <x v="0"/>
    <x v="0"/>
  </r>
  <r>
    <x v="2"/>
    <s v="JJSF"/>
    <n v="2241"/>
    <n v="118.78"/>
    <n v="4.29"/>
    <n v="48.07"/>
    <n v="3.89"/>
    <n v="27.687645687645688"/>
    <n v="2.4709798210942377"/>
    <n v="8.1999999999999993"/>
    <n v="4.95"/>
    <n v="1.45"/>
    <n v="30.534704370179949"/>
    <s v="NO"/>
    <n v="1.228662849462917"/>
    <n v="0.79467630285613533"/>
    <n v="-0.21831685366312764"/>
    <n v="-0.12156568642469749"/>
    <n v="-0.74079730040340774"/>
    <n v="1.0130575375862669"/>
    <x v="0"/>
    <x v="0"/>
    <x v="0"/>
    <x v="0"/>
    <x v="0"/>
    <x v="0"/>
  </r>
  <r>
    <x v="2"/>
    <s v="LANC"/>
    <n v="4615"/>
    <n v="170.3"/>
    <n v="5.39"/>
    <n v="36.14"/>
    <n v="6.15"/>
    <n v="31.595547309833027"/>
    <n v="4.7122302158273381"/>
    <n v="17.77"/>
    <n v="11.69"/>
    <n v="1.28"/>
    <n v="27.691056910569106"/>
    <s v="NO"/>
    <n v="1.6126555749443503"/>
    <n v="3.276665540651043"/>
    <n v="1.1282419489680275"/>
    <n v="2.4263396824045618"/>
    <n v="-0.92138411401118181"/>
    <n v="0.75132573654293555"/>
    <x v="0"/>
    <x v="1"/>
    <x v="0"/>
    <x v="0"/>
    <x v="0"/>
    <x v="0"/>
  </r>
  <r>
    <x v="2"/>
    <s v="LW"/>
    <n v="7871"/>
    <n v="55.67"/>
    <n v="0.6"/>
    <n v="11.58"/>
    <n v="2.5499999999999998"/>
    <n v="92.783333333333346"/>
    <n v="4.8074265975820385"/>
    <n v="21.64"/>
    <n v="7.37"/>
    <n v="4.54"/>
    <n v="21.831372549019608"/>
    <s v="NO"/>
    <n v="7.6250036309805163"/>
    <n v="3.3820872264865156"/>
    <n v="1.672775132477178"/>
    <n v="0.79326087033595649"/>
    <n v="2.5416336057614277"/>
    <n v="0.21199525930308882"/>
    <x v="1"/>
    <x v="1"/>
    <x v="0"/>
    <x v="0"/>
    <x v="0"/>
    <x v="0"/>
  </r>
  <r>
    <x v="2"/>
    <s v="MLFNF"/>
    <n v="2465"/>
    <n v="20.12"/>
    <n v="1.63"/>
    <n v="8.82"/>
    <n v="0.53"/>
    <n v="12.343558282208591"/>
    <n v="2.2811791383219955"/>
    <n v="6.05"/>
    <n v="4.12"/>
    <n v="2.82"/>
    <n v="37.962264150943398"/>
    <s v="NO"/>
    <n v="-0.27905625722770361"/>
    <n v="0.58448860893587185"/>
    <n v="-0.52083528894598896"/>
    <n v="-0.43532851374343423"/>
    <n v="0.71451996220041869"/>
    <n v="1.6966966406705404"/>
    <x v="0"/>
    <x v="0"/>
    <x v="0"/>
    <x v="0"/>
    <x v="0"/>
    <x v="0"/>
  </r>
  <r>
    <x v="2"/>
    <s v="NOMD"/>
    <n v="2670"/>
    <n v="17.38"/>
    <n v="2.08"/>
    <n v="18.420000000000002"/>
    <n v="1.52"/>
    <n v="8.3557692307692299"/>
    <n v="0.94353963083604764"/>
    <n v="8.61"/>
    <n v="4.3499999999999996"/>
    <n v="2.4500000000000002"/>
    <n v="11.434210526315789"/>
    <s v="NO"/>
    <n v="-0.67089876877233312"/>
    <n v="-0.89683042147294034"/>
    <n v="-0.16062729158593081"/>
    <n v="-0.34838218810089289"/>
    <n v="0.32147807375996956"/>
    <n v="-0.74496863323020235"/>
    <x v="0"/>
    <x v="0"/>
    <x v="0"/>
    <x v="0"/>
    <x v="0"/>
    <x v="0"/>
  </r>
  <r>
    <x v="2"/>
    <s v="POST"/>
    <n v="6162"/>
    <n v="110.12"/>
    <n v="8.57"/>
    <n v="68.75"/>
    <n v="5.65"/>
    <n v="12.849474912485414"/>
    <n v="1.6017454545454546"/>
    <n v="9.1300000000000008"/>
    <n v="4.0599999999999996"/>
    <n v="3.34"/>
    <n v="19.490265486725665"/>
    <s v="NO"/>
    <n v="-0.22934458981432493"/>
    <n v="-0.16792490759561871"/>
    <n v="-8.7460042122168791E-2"/>
    <n v="-0.45801016391105392"/>
    <n v="1.2669031567653748"/>
    <n v="-3.482283730079948E-3"/>
    <x v="0"/>
    <x v="0"/>
    <x v="0"/>
    <x v="0"/>
    <x v="0"/>
    <x v="0"/>
  </r>
  <r>
    <x v="2"/>
    <s v="SAPIF"/>
    <n v="8170"/>
    <n v="19.46"/>
    <n v="1.04"/>
    <n v="11.51"/>
    <n v="-0.26"/>
    <n v="18.711538461538463"/>
    <n v="1.690703735881842"/>
    <n v="-2.2799999999999998"/>
    <n v="4.25"/>
    <n v="1.98"/>
    <n v="-74.846153846153854"/>
    <s v="NO"/>
    <n v="0.34666524276849076"/>
    <n v="-6.9411373628817843E-2"/>
    <n v="-1.6929183428558658"/>
    <n v="-0.38618493838025864"/>
    <n v="-0.17779135209681787"/>
    <n v="-8.6862888856963032"/>
    <x v="0"/>
    <x v="0"/>
    <x v="0"/>
    <x v="0"/>
    <x v="0"/>
    <x v="1"/>
  </r>
  <r>
    <x v="2"/>
    <s v="SEB"/>
    <n v="2600"/>
    <n v="2705.14"/>
    <n v="-37.07"/>
    <n v="4886.4399999999996"/>
    <n v="100.92"/>
    <n v="-72.973833288373342"/>
    <n v="0.55360139488052651"/>
    <n v="2.12"/>
    <n v="1.73"/>
    <n v="1.61"/>
    <n v="26.804795877923105"/>
    <s v="NO"/>
    <n v="-8.6623936304487827"/>
    <n v="-1.3286529912851759"/>
    <n v="-1.0738108473932657"/>
    <n v="-1.3388142454202785"/>
    <n v="-0.57083324053726725"/>
    <n v="0.66975349541122187"/>
    <x v="1"/>
    <x v="0"/>
    <x v="0"/>
    <x v="0"/>
    <x v="0"/>
    <x v="0"/>
  </r>
  <r>
    <x v="2"/>
    <s v="SFD"/>
    <n v="9191"/>
    <n v="23.074999999999999"/>
    <n v="2.0499999999999998"/>
    <n v="15.84"/>
    <n v="2.33"/>
    <n v="11.25609756097561"/>
    <n v="1.4567550505050504"/>
    <n v="11.78"/>
    <n v="5.24"/>
    <n v="1.79"/>
    <n v="9.9034334763948486"/>
    <s v="YES"/>
    <n v="-0.38591079108532161"/>
    <n v="-0.328489128022526"/>
    <n v="0.28541151764507877"/>
    <n v="-1.1937710614536459E-2"/>
    <n v="-0.3796236731878595"/>
    <n v="-0.88586269269509654"/>
    <x v="0"/>
    <x v="0"/>
    <x v="0"/>
    <x v="0"/>
    <x v="0"/>
    <x v="0"/>
  </r>
  <r>
    <x v="2"/>
    <s v="SMPL"/>
    <n v="3486"/>
    <n v="34.119999999999997"/>
    <n v="1.77"/>
    <n v="17.989999999999998"/>
    <n v="1.44"/>
    <n v="19.27683615819209"/>
    <n v="1.8966092273485269"/>
    <n v="8.4"/>
    <n v="6.75"/>
    <n v="1.34"/>
    <n v="23.694444444444443"/>
    <s v="NO"/>
    <n v="0.40221172889648682"/>
    <n v="0.15861099059436495"/>
    <n v="-0.19017560386937296"/>
    <n v="0.55888381860388814"/>
    <n v="-0.85764759156137915"/>
    <n v="0.38347402718435331"/>
    <x v="0"/>
    <x v="0"/>
    <x v="0"/>
    <x v="0"/>
    <x v="0"/>
    <x v="0"/>
  </r>
  <r>
    <x v="2"/>
    <s v="TR"/>
    <n v="2602"/>
    <n v="34.909999999999997"/>
    <n v="1.43"/>
    <n v="12.07"/>
    <n v="1.21"/>
    <n v="24.41258741258741"/>
    <n v="2.8922949461474725"/>
    <n v="10.39"/>
    <n v="6.61"/>
    <n v="1.3"/>
    <n v="28.851239669421485"/>
    <s v="NO"/>
    <n v="0.90685368568815361"/>
    <n v="1.2612460393566711"/>
    <n v="8.9829831578484828E-2"/>
    <n v="0.505959968212776"/>
    <n v="-0.90013860652791422"/>
    <n v="0.85810997310065917"/>
    <x v="0"/>
    <x v="0"/>
    <x v="0"/>
    <x v="0"/>
    <x v="0"/>
    <x v="0"/>
  </r>
  <r>
    <x v="3"/>
    <s v="CENT"/>
    <n v="2287"/>
    <n v="36.130000000000003"/>
    <n v="5.1100000000000003"/>
    <n v="23.92"/>
    <n v="1.87"/>
    <n v="7.0704500978473579"/>
    <n v="1.5104515050167224"/>
    <n v="8.19"/>
    <n v="4.22"/>
    <n v="2.35"/>
    <n v="19.320855614973262"/>
    <s v="NO"/>
    <n v="-0.68649437192638396"/>
    <n v="-0.69144803403585331"/>
    <n v="-0.70710678118654746"/>
    <n v="-0.70710678118654768"/>
    <n v="0.70710678118654635"/>
    <n v="-0.58640716196950371"/>
    <x v="0"/>
    <x v="0"/>
    <x v="0"/>
    <x v="0"/>
    <x v="0"/>
    <x v="0"/>
  </r>
  <r>
    <x v="3"/>
    <s v="CENTA"/>
    <n v="2027"/>
    <n v="31.84"/>
    <n v="5.1100000000000003"/>
    <n v="23.92"/>
    <n v="1.87"/>
    <n v="6.2309197651663402"/>
    <n v="1.3311036789297659"/>
    <n v="8.19"/>
    <n v="4.22"/>
    <n v="2.35"/>
    <n v="17.026737967914439"/>
    <s v="NO"/>
    <n v="-0.72752081317810202"/>
    <n v="-0.72265078246536552"/>
    <n v="-0.70710678118654746"/>
    <n v="-0.70710678118654768"/>
    <n v="0.70710678118654635"/>
    <n v="-0.82128956852005752"/>
    <x v="0"/>
    <x v="0"/>
    <x v="0"/>
    <x v="0"/>
    <x v="0"/>
    <x v="0"/>
  </r>
  <r>
    <x v="3"/>
    <s v="WDFC"/>
    <n v="3300"/>
    <n v="243.26"/>
    <n v="4.8600000000000003"/>
    <n v="17.87"/>
    <n v="6.27"/>
    <n v="50.053497942386826"/>
    <n v="13.612758813654168"/>
    <n v="37.26"/>
    <n v="13.83"/>
    <n v="1.89"/>
    <n v="38.79744816586922"/>
    <s v="NO"/>
    <n v="1.414015185104486"/>
    <n v="1.4140988165012192"/>
    <n v="1.4142135623730949"/>
    <n v="1.4142135623730956"/>
    <n v="-1.4142135623730938"/>
    <n v="1.4076967304895627"/>
    <x v="0"/>
    <x v="0"/>
    <x v="0"/>
    <x v="0"/>
    <x v="0"/>
    <x v="0"/>
  </r>
  <r>
    <x v="4"/>
    <s v="BRBR"/>
    <n v="7994"/>
    <n v="60.14"/>
    <n v="1.22"/>
    <n v="-2"/>
    <n v="2.14"/>
    <n v="49.295081967213115"/>
    <n v="-30.07"/>
    <n v="-112"/>
    <n v="31.69"/>
    <n v="-3.73"/>
    <n v="28.102803738317757"/>
    <s v="NO"/>
    <n v="0.75652412512940548"/>
    <n v="-11.755091411510087"/>
    <n v="-1.6921314437978126"/>
    <n v="1.640257384244781"/>
    <n v="-8.1645041261060065"/>
    <n v="7.4145549869105265E-2"/>
    <x v="0"/>
    <x v="1"/>
    <x v="0"/>
    <x v="0"/>
    <x v="1"/>
    <x v="0"/>
  </r>
  <r>
    <x v="4"/>
    <s v="COTY"/>
    <n v="4300"/>
    <n v="5.01"/>
    <n v="0.4"/>
    <n v="4.01"/>
    <n v="-0.47"/>
    <n v="12.524999999999999"/>
    <n v="1.2493765586034913"/>
    <n v="-9.0299999999999994"/>
    <n v="3"/>
    <n v="3.28"/>
    <n v="-10.659574468085106"/>
    <s v="NO"/>
    <n v="-1.2737539833215212"/>
    <n v="-1.2996703080453598"/>
    <n v="0.2204785975618006"/>
    <n v="-1.0135694508874769"/>
    <n v="1.4062607441286261"/>
    <n v="-1.4605836531044936"/>
    <x v="0"/>
    <x v="0"/>
    <x v="0"/>
    <x v="0"/>
    <x v="0"/>
    <x v="0"/>
  </r>
  <r>
    <x v="4"/>
    <s v="ELF"/>
    <n v="6336"/>
    <n v="116.51"/>
    <n v="2.0499999999999998"/>
    <n v="13.65"/>
    <n v="1.92"/>
    <n v="56.834146341463423"/>
    <n v="8.5355311355311354"/>
    <n v="15.97"/>
    <n v="8.33"/>
    <n v="1.64"/>
    <n v="60.682291666666671"/>
    <s v="NO"/>
    <n v="1.1727972618303513"/>
    <n v="1.1326838029686628"/>
    <n v="0.68483958652936716"/>
    <n v="-0.52054410995840983"/>
    <n v="-0.83283403293054592"/>
    <n v="1.3640739251436564"/>
    <x v="0"/>
    <x v="0"/>
    <x v="0"/>
    <x v="0"/>
    <x v="0"/>
    <x v="0"/>
  </r>
  <r>
    <x v="4"/>
    <s v="IPAR"/>
    <n v="4376"/>
    <n v="138.53"/>
    <n v="5.84"/>
    <n v="24.55"/>
    <n v="5.17"/>
    <n v="23.720890410958905"/>
    <n v="5.6427698574338088"/>
    <n v="21.46"/>
    <n v="12.81"/>
    <n v="1.83"/>
    <n v="26.794970986460349"/>
    <s v="NO"/>
    <n v="-0.65556740363823607"/>
    <n v="0.1669865050766963"/>
    <n v="0.78681325970664484"/>
    <n v="-0.10614382339889381"/>
    <n v="-0.57342671119808053"/>
    <n v="2.2364178091732256E-2"/>
    <x v="0"/>
    <x v="0"/>
    <x v="0"/>
    <x v="0"/>
    <x v="0"/>
    <x v="0"/>
  </r>
  <r>
    <x v="5"/>
    <s v="RLX"/>
    <n v="2510"/>
    <n v="2.2000000000000002"/>
    <n v="0.12"/>
    <n v="1.82"/>
    <n v="7.0000000000000007E-2"/>
    <n v="18.333333333333336"/>
    <n v="1.2087912087912089"/>
    <n v="4.1399999999999997"/>
    <n v="0.08"/>
    <n v="1.05"/>
    <n v="31.428571428571427"/>
    <s v="NO"/>
    <e v="#DIV/0!"/>
    <e v="#DIV/0!"/>
    <e v="#DIV/0!"/>
    <e v="#DIV/0!"/>
    <e v="#DIV/0!"/>
    <e v="#DIV/0!"/>
    <x v="0"/>
    <x v="0"/>
    <x v="0"/>
    <x v="0"/>
    <x v="0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x v="0"/>
    <s v="CBYDF"/>
    <n v="277"/>
    <n v="10.029999999999999"/>
    <n v="1.04"/>
    <n v="4.4800000000000004"/>
    <n v="0.64"/>
    <n v="9.6442307692307683"/>
    <n v="2.2388392857142851"/>
    <n v="14.26"/>
    <n v="7"/>
    <n v="2.1"/>
    <n v="15.671874999999998"/>
    <s v="NO"/>
    <n v="-0.24725030172966012"/>
    <n v="0.836614346687931"/>
    <n v="0.70710678118654757"/>
    <n v="0.70710678118654458"/>
    <n v="0.70710678118655423"/>
    <n v="-0.68089288241385659"/>
    <x v="0"/>
    <x v="0"/>
    <x v="0"/>
    <x v="0"/>
    <x v="0"/>
    <x v="0"/>
  </r>
  <r>
    <x v="0"/>
    <s v="CRBBF"/>
    <n v="266"/>
    <n v="9.3554999999999993"/>
    <n v="1.04"/>
    <n v="4.54"/>
    <n v="0.64"/>
    <n v="8.9956730769230759"/>
    <n v="2.0606828193832598"/>
    <n v="14.26"/>
    <n v="7"/>
    <n v="2.1"/>
    <n v="14.617968749999999"/>
    <s v="NO"/>
    <n v="-1.0822564628190652"/>
    <n v="0.5691427373790765"/>
    <n v="0.70710678118654757"/>
    <n v="0.70710678118654458"/>
    <n v="0.70710678118655423"/>
    <n v="-0.73300065204388098"/>
    <x v="0"/>
    <x v="0"/>
    <x v="0"/>
    <x v="0"/>
    <x v="0"/>
    <x v="0"/>
  </r>
  <r>
    <x v="0"/>
    <s v="MGPI"/>
    <n v="626"/>
    <n v="29.02"/>
    <n v="2.67"/>
    <n v="38.94"/>
    <n v="0.5"/>
    <n v="10.868913857677903"/>
    <n v="0.74524910118130461"/>
    <n v="1.28"/>
    <n v="6.56"/>
    <n v="1.66"/>
    <n v="58.04"/>
    <s v="NO"/>
    <n v="1.3295067645487275"/>
    <n v="-1.4057570840670071"/>
    <n v="-1.4142135623730954"/>
    <n v="-1.4142135623730805"/>
    <n v="-1.4142135623731085"/>
    <n v="1.4138935344577377"/>
    <x v="0"/>
    <x v="0"/>
    <x v="0"/>
    <x v="0"/>
    <x v="0"/>
    <x v="0"/>
  </r>
  <r>
    <x v="1"/>
    <s v="ANDE"/>
    <n v="1214"/>
    <n v="34.72"/>
    <n v="1.53"/>
    <n v="39.94"/>
    <n v="3.17"/>
    <n v="22.692810457516337"/>
    <n v="0.86930395593390086"/>
    <n v="10.64"/>
    <n v="3.38"/>
    <n v="2.8"/>
    <n v="10.952681388012618"/>
    <s v="NO"/>
    <n v="0.34659076388434901"/>
    <n v="-0.75649341850793694"/>
    <n v="-0.23702152449079628"/>
    <n v="3.0180920423644866E-2"/>
    <n v="0.54077651939076565"/>
    <n v="5.751854207954419E-2"/>
    <x v="0"/>
    <x v="0"/>
    <x v="0"/>
    <x v="0"/>
    <x v="0"/>
    <x v="0"/>
  </r>
  <r>
    <x v="1"/>
    <s v="DADA"/>
    <n v="522"/>
    <n v="1.99"/>
    <n v="-0.56000000000000005"/>
    <n v="1.91"/>
    <n v="-1.07"/>
    <n v="-3.5535714285714284"/>
    <n v="1.0418848167539267"/>
    <n v="-44.49"/>
    <n v="-10.76"/>
    <n v="1.45"/>
    <n v="-1.8598130841121494"/>
    <s v="NO"/>
    <n v="-0.98513963923281012"/>
    <n v="-0.68482218802244077"/>
    <n v="-4.5424569924241069"/>
    <n v="-12.416933677628064"/>
    <n v="-1.3804032205501129"/>
    <n v="-1.0478832220336964"/>
    <x v="0"/>
    <x v="0"/>
    <x v="1"/>
    <x v="1"/>
    <x v="0"/>
    <x v="0"/>
  </r>
  <r>
    <x v="1"/>
    <s v="DDL"/>
    <n v="447"/>
    <n v="2.09"/>
    <n v="0.52"/>
    <n v="0.52"/>
    <n v="0.18"/>
    <n v="4.0192307692307692"/>
    <n v="4.0192307692307692"/>
    <n v="40.24"/>
    <n v="1.94"/>
    <n v="8.39"/>
    <n v="11.611111111111111"/>
    <s v="NO"/>
    <n v="-0.60089883349526674"/>
    <n v="0.55164196554067291"/>
    <n v="2.0746216797686996"/>
    <n v="-1.237417737369457"/>
    <n v="8.4958837388496651"/>
    <n v="0.11432476190201149"/>
    <x v="0"/>
    <x v="0"/>
    <x v="0"/>
    <x v="0"/>
    <x v="1"/>
    <x v="0"/>
  </r>
  <r>
    <x v="1"/>
    <s v="GO"/>
    <n v="1331"/>
    <n v="13.49"/>
    <n v="-0.61"/>
    <n v="12.04"/>
    <n v="0.17"/>
    <n v="-22.114754098360656"/>
    <n v="1.1204318936877078"/>
    <n v="1.43"/>
    <n v="2.27"/>
    <n v="2.77"/>
    <n v="79.35294117647058"/>
    <s v="NO"/>
    <n v="-1.9269262590591412"/>
    <n v="-0.65220231564416031"/>
    <n v="-0.95628618365397045"/>
    <n v="-0.9469263782918711"/>
    <n v="0.49808363628096869"/>
    <n v="5.9587712607023064"/>
    <x v="0"/>
    <x v="0"/>
    <x v="0"/>
    <x v="0"/>
    <x v="0"/>
    <x v="1"/>
  </r>
  <r>
    <x v="1"/>
    <s v="GRDN"/>
    <n v="1340"/>
    <n v="20.329999999999998"/>
    <n v="0.76"/>
    <n v="2.4700000000000002"/>
    <n v="-1.59"/>
    <n v="26.749999999999996"/>
    <n v="8.2307692307692299"/>
    <n v="-59.24"/>
    <n v="-12.35"/>
    <n v="2.14"/>
    <n v="-12.786163522012577"/>
    <s v="NO"/>
    <n v="0.55245085874940392"/>
    <n v="2.3006548186532316"/>
    <n v="-5.6943737918439572"/>
    <n v="-13.816573862274614"/>
    <n v="-0.39846690902477455"/>
    <n v="-1.990557349671517"/>
    <x v="0"/>
    <x v="0"/>
    <x v="1"/>
    <x v="1"/>
    <x v="0"/>
    <x v="0"/>
  </r>
  <r>
    <x v="1"/>
    <s v="IMKTA"/>
    <n v="1183"/>
    <n v="60.76"/>
    <n v="1.1299999999999999"/>
    <n v="82.75"/>
    <n v="3.26"/>
    <n v="53.769911504424783"/>
    <n v="0.73425981873111779"/>
    <n v="4"/>
    <n v="2.98"/>
    <n v="1.59"/>
    <n v="18.638036809815951"/>
    <s v="NO"/>
    <n v="1.9234298301043458"/>
    <n v="-0.81257599589911722"/>
    <n v="-0.75557932436522368"/>
    <n v="-0.32192981785221669"/>
    <n v="-1.1811697660377252"/>
    <n v="0.72057486257837544"/>
    <x v="0"/>
    <x v="0"/>
    <x v="0"/>
    <x v="0"/>
    <x v="0"/>
    <x v="0"/>
  </r>
  <r>
    <x v="1"/>
    <s v="NGVC"/>
    <n v="1121"/>
    <n v="44.15"/>
    <n v="1.81"/>
    <n v="8.41"/>
    <n v="1.78"/>
    <n v="24.392265193370164"/>
    <n v="5.2497027348394765"/>
    <n v="23.38"/>
    <n v="5.46"/>
    <n v="3.44"/>
    <n v="24.803370786516854"/>
    <s v="NO"/>
    <n v="0.4328203840384941"/>
    <n v="1.0626455579091834"/>
    <n v="0.75792220599116222"/>
    <n v="1.8611567594581255"/>
    <n v="1.4515580257331084"/>
    <n v="1.2524908816658187"/>
    <x v="0"/>
    <x v="0"/>
    <x v="0"/>
    <x v="0"/>
    <x v="0"/>
    <x v="0"/>
  </r>
  <r>
    <x v="1"/>
    <s v="NNWWF"/>
    <n v="1968"/>
    <n v="40.292000000000002"/>
    <n v="1.35"/>
    <n v="11.07"/>
    <n v="1.93"/>
    <n v="29.845925925925926"/>
    <n v="3.6397470641373082"/>
    <n v="19.09"/>
    <n v="8.9499999999999993"/>
    <n v="1.98"/>
    <n v="20.876683937823834"/>
    <s v="NO"/>
    <n v="0.70953684108587278"/>
    <n v="0.39404590324262528"/>
    <n v="0.42289013348193133"/>
    <n v="4.9333229509150183"/>
    <n v="-0.62616228561036036"/>
    <n v="0.91371480811441252"/>
    <x v="0"/>
    <x v="0"/>
    <x v="0"/>
    <x v="1"/>
    <x v="0"/>
    <x v="0"/>
  </r>
  <r>
    <x v="1"/>
    <s v="SPTN"/>
    <n v="659"/>
    <n v="18.72"/>
    <n v="2.15"/>
    <n v="21.84"/>
    <n v="-0.31"/>
    <n v="8.7069767441860471"/>
    <n v="0.8571428571428571"/>
    <n v="-1.39"/>
    <n v="2.97"/>
    <n v="3.49"/>
    <n v="-60.387096774193544"/>
    <s v="NO"/>
    <n v="-0.3630445698473268"/>
    <n v="-0.76154381001872395"/>
    <n v="-1.1765170564922063"/>
    <n v="-0.33073258630911306"/>
    <n v="1.5227128309161042"/>
    <n v="-6.0973419968668807"/>
    <x v="0"/>
    <x v="0"/>
    <x v="0"/>
    <x v="0"/>
    <x v="0"/>
    <x v="1"/>
  </r>
  <r>
    <x v="1"/>
    <s v="VLGEA"/>
    <n v="569"/>
    <n v="36.69"/>
    <n v="2.6"/>
    <n v="32"/>
    <n v="3.65"/>
    <n v="14.11153846153846"/>
    <n v="1.1465624999999999"/>
    <n v="12.01"/>
    <n v="4.42"/>
    <n v="2.12"/>
    <n v="10.052054794520547"/>
    <s v="NO"/>
    <n v="-8.8819376227920535E-2"/>
    <n v="-0.6413505172533347"/>
    <n v="-0.13002993023959669"/>
    <n v="0.94566883994088524"/>
    <n v="-0.42692883109797281"/>
    <n v="-2.0183284634948426E-2"/>
    <x v="0"/>
    <x v="0"/>
    <x v="0"/>
    <x v="0"/>
    <x v="0"/>
    <x v="0"/>
  </r>
  <r>
    <x v="2"/>
    <s v="AGRO"/>
    <n v="921"/>
    <n v="9.15"/>
    <n v="0.93"/>
    <n v="14.2"/>
    <n v="0.62"/>
    <n v="9.8387096774193541"/>
    <n v="0.64436619718309862"/>
    <n v="4.42"/>
    <n v="2.77"/>
    <n v="2.36"/>
    <n v="14.758064516129034"/>
    <s v="NO"/>
    <n v="0.27980554556329601"/>
    <n v="-0.99307693732845037"/>
    <n v="-0.82986072268296063"/>
    <n v="-0.71257610334377797"/>
    <n v="-0.25228541353779971"/>
    <n v="-0.33220747241926013"/>
    <x v="0"/>
    <x v="0"/>
    <x v="0"/>
    <x v="0"/>
    <x v="0"/>
    <x v="0"/>
  </r>
  <r>
    <x v="2"/>
    <s v="ALF"/>
    <n v="377"/>
    <n v="10.59"/>
    <n v="-0.01"/>
    <n v="-0.36"/>
    <n v="0.37"/>
    <n v="-1059"/>
    <n v="-29.416666666666668"/>
    <m/>
    <m/>
    <n v="-22.85"/>
    <n v="28.621621621621621"/>
    <s v="NO"/>
    <n v="-65.870010125852602"/>
    <n v="-22.100171860993861"/>
    <n v="-1.5081749888426808"/>
    <n v="-1.6962152094545415"/>
    <n v="-17.266606532142454"/>
    <n v="0.74448150550544079"/>
    <x v="1"/>
    <x v="1"/>
    <x v="0"/>
    <x v="0"/>
    <x v="1"/>
    <x v="0"/>
  </r>
  <r>
    <x v="2"/>
    <s v="AVO"/>
    <n v="795"/>
    <n v="11.5"/>
    <n v="0.64"/>
    <n v="7.75"/>
    <n v="0.56999999999999995"/>
    <n v="17.96875"/>
    <n v="1.4838709677419355"/>
    <n v="8.25"/>
    <n v="4.3600000000000003"/>
    <n v="1.81"/>
    <n v="20.17543859649123"/>
    <s v="NO"/>
    <n v="0.78296908545997423"/>
    <n v="-0.40362590411514665"/>
    <n v="-0.24209066852193634"/>
    <n v="-0.14796015434879092"/>
    <n v="-0.62348242326539016"/>
    <n v="8.8523435040993192E-2"/>
    <x v="0"/>
    <x v="0"/>
    <x v="0"/>
    <x v="0"/>
    <x v="0"/>
    <x v="0"/>
  </r>
  <r>
    <x v="2"/>
    <s v="BGS"/>
    <n v="336"/>
    <n v="4.62"/>
    <n v="1.5"/>
    <n v="6.43"/>
    <n v="-2.66"/>
    <n v="3.08"/>
    <n v="0.71850699844479005"/>
    <n v="-32.479999999999997"/>
    <n v="3.95"/>
    <n v="5.76"/>
    <n v="-1.7368421052631577"/>
    <s v="NO"/>
    <n v="-0.13848712599688554"/>
    <n v="-0.94101961324930938"/>
    <n v="-6.4927105917539256"/>
    <n v="-0.29355294622800143"/>
    <n v="2.0423870102327606"/>
    <n v="-1.6132556201643922"/>
    <x v="0"/>
    <x v="0"/>
    <x v="1"/>
    <x v="0"/>
    <x v="0"/>
    <x v="0"/>
  </r>
  <r>
    <x v="2"/>
    <s v="CRESY"/>
    <n v="717"/>
    <n v="11.07"/>
    <n v="-0.08"/>
    <n v="1.32"/>
    <n v="0.09"/>
    <n v="-138.375"/>
    <n v="8.3863636363636367"/>
    <n v="11.86"/>
    <n v="0.74"/>
    <n v="5.47"/>
    <n v="123.00000000000001"/>
    <s v="NO"/>
    <n v="-8.8930560717868339"/>
    <n v="4.442899783354024"/>
    <n v="0.31191713709720137"/>
    <n v="-1.4334379753310884"/>
    <n v="1.8466649505582127"/>
    <n v="8.0742136212369608"/>
    <x v="1"/>
    <x v="1"/>
    <x v="0"/>
    <x v="0"/>
    <x v="0"/>
    <x v="1"/>
  </r>
  <r>
    <x v="2"/>
    <s v="CVGW"/>
    <n v="491"/>
    <n v="27.68"/>
    <n v="1"/>
    <n v="11.29"/>
    <n v="0.77"/>
    <n v="27.68"/>
    <n v="2.451727192205492"/>
    <n v="6.84"/>
    <n v="4.4800000000000004"/>
    <n v="1.48"/>
    <n v="35.948051948051948"/>
    <s v="NO"/>
    <n v="1.3839927868123665"/>
    <n v="0.27594599531813552"/>
    <n v="-0.45847598872220902"/>
    <n v="-0.10534762989633904"/>
    <n v="-0.8462006291019446"/>
    <n v="1.3134759360095392"/>
    <x v="0"/>
    <x v="0"/>
    <x v="0"/>
    <x v="0"/>
    <x v="0"/>
    <x v="0"/>
  </r>
  <r>
    <x v="2"/>
    <s v="DOLE"/>
    <n v="1347"/>
    <n v="13.8"/>
    <n v="0.86"/>
    <n v="14.06"/>
    <n v="1.23"/>
    <n v="16.046511627906977"/>
    <n v="0.98150782361308675"/>
    <n v="9.91"/>
    <n v="3.21"/>
    <n v="3.38"/>
    <n v="11.219512195121952"/>
    <s v="NO"/>
    <n v="0.66400285338099929"/>
    <n v="-0.75635585246066372"/>
    <n v="1.2660843203207378E-2"/>
    <n v="-0.55633018035145454"/>
    <n v="0.43611631359336839"/>
    <n v="-0.60702296550283141"/>
    <x v="0"/>
    <x v="0"/>
    <x v="0"/>
    <x v="0"/>
    <x v="0"/>
    <x v="0"/>
  </r>
  <r>
    <x v="2"/>
    <s v="FDP"/>
    <n v="1693"/>
    <n v="32.76"/>
    <n v="3.36"/>
    <n v="41.86"/>
    <n v="3.05"/>
    <n v="9.75"/>
    <n v="0.78260869565217384"/>
    <n v="7.46"/>
    <n v="3.37"/>
    <n v="1.57"/>
    <n v="10.740983606557377"/>
    <s v="NO"/>
    <n v="0.27431535442741167"/>
    <n v="-0.89601115948618626"/>
    <n v="-0.36332783374052885"/>
    <n v="-0.49951348108151872"/>
    <n v="-0.78545930023742971"/>
    <n v="-0.64418705355100014"/>
    <x v="0"/>
    <x v="0"/>
    <x v="0"/>
    <x v="0"/>
    <x v="0"/>
    <x v="0"/>
  </r>
  <r>
    <x v="2"/>
    <s v="HLNFF"/>
    <n v="381"/>
    <n v="13.81"/>
    <n v="2.1"/>
    <n v="13.67"/>
    <n v="1.89"/>
    <n v="6.5761904761904759"/>
    <n v="1.0102414045354793"/>
    <n v="14.59"/>
    <n v="5.22"/>
    <n v="2.1"/>
    <n v="7.3068783068783079"/>
    <s v="NO"/>
    <n v="7.7890100480960525E-2"/>
    <n v="-0.73618081646730327"/>
    <n v="0.73087594854879323"/>
    <n v="0.15742960422711377"/>
    <n v="-0.42776036359084241"/>
    <n v="-0.91089085092868494"/>
    <x v="0"/>
    <x v="0"/>
    <x v="0"/>
    <x v="0"/>
    <x v="0"/>
    <x v="0"/>
  </r>
  <r>
    <x v="2"/>
    <s v="JBSS"/>
    <n v="723"/>
    <n v="63.984999999999999"/>
    <n v="-1.62"/>
    <n v="29.78"/>
    <n v="4.72"/>
    <n v="-39.496913580246911"/>
    <n v="2.1485896574882473"/>
    <n v="16.579999999999998"/>
    <n v="8.8800000000000008"/>
    <n v="1.7"/>
    <n v="13.556144067796611"/>
    <s v="NO"/>
    <n v="-2.7735479258075104"/>
    <n v="6.3100590132566733E-2"/>
    <n v="1.0362708330867665"/>
    <n v="1.4571116000268955"/>
    <n v="-0.69772182521090842"/>
    <n v="-0.42555252731495707"/>
    <x v="0"/>
    <x v="0"/>
    <x v="0"/>
    <x v="0"/>
    <x v="0"/>
    <x v="0"/>
  </r>
  <r>
    <x v="2"/>
    <s v="KLG"/>
    <n v="1460"/>
    <n v="15.93"/>
    <n v="-1.06"/>
    <n v="3.8"/>
    <n v="0.65"/>
    <n v="-15.028301886792452"/>
    <n v="4.1921052631578952"/>
    <n v="17.7"/>
    <n v="6.79"/>
    <n v="6.17"/>
    <n v="24.507692307692306"/>
    <s v="NO"/>
    <n v="-1.2591995600508443"/>
    <n v="1.4979374456130237"/>
    <n v="1.2081513711181888"/>
    <n v="0.71494346581335888"/>
    <n v="2.3190975083933281"/>
    <n v="0.42498036199919503"/>
    <x v="0"/>
    <x v="0"/>
    <x v="0"/>
    <x v="0"/>
    <x v="0"/>
    <x v="0"/>
  </r>
  <r>
    <x v="2"/>
    <s v="LMNR"/>
    <n v="285"/>
    <n v="16.18"/>
    <n v="0.23"/>
    <n v="9.76"/>
    <n v="0.43"/>
    <n v="70.347826086956516"/>
    <n v="1.6577868852459017"/>
    <n v="3.97"/>
    <n v="-0.79"/>
    <n v="1.71"/>
    <n v="37.627906976744185"/>
    <s v="NO"/>
    <n v="4.0246801096021994"/>
    <n v="-0.28151234281077075"/>
    <n v="-0.89891986742772845"/>
    <n v="-1.9767476620998494"/>
    <n v="-0.69097278867040668"/>
    <n v="1.4439389463424166"/>
    <x v="1"/>
    <x v="0"/>
    <x v="0"/>
    <x v="0"/>
    <x v="0"/>
    <x v="0"/>
  </r>
  <r>
    <x v="2"/>
    <s v="LND"/>
    <n v="377"/>
    <n v="3.88"/>
    <n v="0.25"/>
    <n v="3.82"/>
    <n v="0.54"/>
    <n v="15.52"/>
    <n v="1.0157068062827226"/>
    <n v="15"/>
    <n v="5.9"/>
    <n v="1.83"/>
    <n v="7.1851851851851842"/>
    <s v="NO"/>
    <n v="0.63141735023673617"/>
    <n v="-0.73234333177416233"/>
    <n v="0.79379650264958168"/>
    <n v="0.3989005761243411"/>
    <n v="-0.6099843501843869"/>
    <n v="-0.92034193493398142"/>
    <x v="0"/>
    <x v="0"/>
    <x v="0"/>
    <x v="0"/>
    <x v="0"/>
    <x v="0"/>
  </r>
  <r>
    <x v="2"/>
    <s v="LSDAF"/>
    <n v="1091"/>
    <n v="160"/>
    <n v="11.68"/>
    <n v="109.26"/>
    <n v="11.79"/>
    <n v="13.698630136986301"/>
    <n v="1.4643968515467691"/>
    <n v="10.36"/>
    <n v="5.89"/>
    <n v="2.2400000000000002"/>
    <n v="13.570822731128075"/>
    <s v="NO"/>
    <n v="0.51869381242232582"/>
    <n v="-0.4172994868209548"/>
    <n v="8.1719987947975137E-2"/>
    <n v="0.3953495324199699"/>
    <n v="-0.33327385202381926"/>
    <n v="-0.42441253453392735"/>
    <x v="0"/>
    <x v="0"/>
    <x v="0"/>
    <x v="0"/>
    <x v="0"/>
    <x v="0"/>
  </r>
  <r>
    <x v="2"/>
    <s v="LWAY"/>
    <n v="344"/>
    <n v="24.8"/>
    <n v="0.32"/>
    <n v="4.88"/>
    <n v="0.67"/>
    <n v="77.5"/>
    <n v="5.081967213114754"/>
    <n v="14.73"/>
    <n v="8.4"/>
    <n v="1.26"/>
    <n v="37.014925373134325"/>
    <s v="NO"/>
    <n v="4.4673240573878514"/>
    <n v="2.122746337967631"/>
    <n v="0.75236101580272108"/>
    <n v="1.286661502217088"/>
    <n v="-0.99467943299298089"/>
    <n v="1.3963327994311117"/>
    <x v="1"/>
    <x v="0"/>
    <x v="0"/>
    <x v="0"/>
    <x v="0"/>
    <x v="0"/>
  </r>
  <r>
    <x v="2"/>
    <s v="MAMA"/>
    <n v="312"/>
    <n v="8.2100000000000009"/>
    <n v="0"/>
    <n v="0.66"/>
    <n v="0.09"/>
    <s v=""/>
    <n v="12.439393939393939"/>
    <n v="16.690000000000001"/>
    <n v="7.84"/>
    <n v="1.89"/>
    <n v="91.222222222222229"/>
    <s v="NO"/>
    <e v="#VALUE!"/>
    <n v="7.2887000498322037"/>
    <n v="1.0531519573577102"/>
    <n v="1.0878030547723125"/>
    <n v="-0.56949013094137713"/>
    <n v="5.6062479457669676"/>
    <x v="1"/>
    <x v="1"/>
    <x v="0"/>
    <x v="0"/>
    <x v="0"/>
    <x v="1"/>
  </r>
  <r>
    <x v="2"/>
    <s v="OTLY"/>
    <n v="327"/>
    <n v="12.76"/>
    <n v="-4.38"/>
    <n v="4.03"/>
    <n v="-6.17"/>
    <n v="-2.91324200913242"/>
    <n v="3.1662531017369724"/>
    <n v="-85.5"/>
    <n v="-7.34"/>
    <n v="6.58"/>
    <n v="-2.0680713128038897"/>
    <s v="NO"/>
    <n v="-0.5094054419118722"/>
    <n v="0.77764419930885165"/>
    <n v="-14.629412490348576"/>
    <n v="-4.3026812884628463"/>
    <n v="2.5958080065538955"/>
    <n v="-1.6389799587459057"/>
    <x v="0"/>
    <x v="0"/>
    <x v="1"/>
    <x v="1"/>
    <x v="1"/>
    <x v="0"/>
  </r>
  <r>
    <x v="2"/>
    <s v="RSGUF"/>
    <n v="519"/>
    <n v="4.1288"/>
    <n v="-0.32"/>
    <n v="2.33"/>
    <n v="0.28000000000000003"/>
    <n v="-12.9025"/>
    <n v="1.7720171673819742"/>
    <n v="14.44"/>
    <n v="6.4"/>
    <n v="2.5"/>
    <n v="14.745714285714284"/>
    <s v="NO"/>
    <n v="-1.1276348986177747"/>
    <n v="-0.20130653554116679"/>
    <n v="0.70785623363387051"/>
    <n v="0.57645276134289047"/>
    <n v="-0.15779890197077653"/>
    <n v="-0.33316663151971376"/>
    <x v="0"/>
    <x v="0"/>
    <x v="0"/>
    <x v="0"/>
    <x v="0"/>
    <x v="0"/>
  </r>
  <r>
    <x v="2"/>
    <s v="SENEA"/>
    <n v="649"/>
    <n v="92.22"/>
    <n v="36.93"/>
    <n v="89.03"/>
    <n v="5.45"/>
    <n v="2.497156783103168"/>
    <n v="1.0358306188925082"/>
    <n v="6.36"/>
    <n v="3.91"/>
    <n v="2"/>
    <n v="16.921100917431193"/>
    <s v="NO"/>
    <n v="-0.1745589589254446"/>
    <n v="-0.71821357033500721"/>
    <n v="-0.53213907644996139"/>
    <n v="-0.30775712104548542"/>
    <n v="-0.49525072899585892"/>
    <n v="-0.1642190236820126"/>
    <x v="0"/>
    <x v="0"/>
    <x v="0"/>
    <x v="0"/>
    <x v="0"/>
    <x v="0"/>
  </r>
  <r>
    <x v="2"/>
    <s v="STKL"/>
    <n v="733"/>
    <n v="5.68"/>
    <n v="0.24"/>
    <n v="1.32"/>
    <n v="-0.09"/>
    <n v="23.666666666666668"/>
    <n v="4.3030303030303028"/>
    <n v="-5.92"/>
    <n v="3.81"/>
    <n v="4.46"/>
    <n v="-63.111111111111107"/>
    <s v="NO"/>
    <n v="1.1356098850478218"/>
    <n v="1.5758225055376891"/>
    <n v="-2.4166864041516267"/>
    <n v="-0.34326755808919529"/>
    <n v="1.1650122599675463"/>
    <n v="-6.3797811564282076"/>
    <x v="0"/>
    <x v="0"/>
    <x v="0"/>
    <x v="0"/>
    <x v="0"/>
    <x v="1"/>
  </r>
  <r>
    <x v="2"/>
    <s v="THS"/>
    <n v="1134"/>
    <n v="22.57"/>
    <n v="2.48"/>
    <n v="30.14"/>
    <n v="0.13"/>
    <n v="9.1008064516129039"/>
    <n v="0.74883875248838749"/>
    <n v="0.43"/>
    <n v="2.64"/>
    <n v="2.59"/>
    <n v="173.61538461538461"/>
    <s v="NO"/>
    <n v="0.23413713747843951"/>
    <n v="-0.91972243378448193"/>
    <n v="-1.4421851394199026"/>
    <n v="-0.75873967150060073"/>
    <n v="-9.7057573106261799E-2"/>
    <n v="12.005169169954899"/>
    <x v="0"/>
    <x v="0"/>
    <x v="0"/>
    <x v="0"/>
    <x v="0"/>
    <x v="1"/>
  </r>
  <r>
    <x v="2"/>
    <s v="UTZ"/>
    <n v="1139"/>
    <n v="13.98"/>
    <n v="-0.16"/>
    <n v="8.43"/>
    <n v="0.32"/>
    <n v="-87.375"/>
    <n v="1.6583629893238436"/>
    <n v="2.46"/>
    <n v="1.25"/>
    <n v="3.83"/>
    <n v="43.6875"/>
    <s v="NO"/>
    <n v="-5.7366952769383852"/>
    <n v="-0.2811078363018259"/>
    <n v="-1.1306516642379496"/>
    <n v="-1.252334746408168"/>
    <n v="0.73982295791594266"/>
    <n v="1.9145466676655465"/>
    <x v="1"/>
    <x v="0"/>
    <x v="0"/>
    <x v="0"/>
    <x v="0"/>
    <x v="0"/>
  </r>
  <r>
    <x v="2"/>
    <s v="VITL"/>
    <n v="1419"/>
    <n v="31.52"/>
    <n v="0.36"/>
    <n v="6.49"/>
    <n v="1.1299999999999999"/>
    <n v="87.555555555555557"/>
    <n v="4.8567026194144836"/>
    <n v="20.420000000000002"/>
    <n v="11.29"/>
    <n v="1.3"/>
    <n v="27.893805309734514"/>
    <s v="NO"/>
    <n v="5.0896566324069905"/>
    <n v="1.9645787465975313"/>
    <n v="1.6255755349087861"/>
    <n v="2.3129131327803027"/>
    <n v="-0.96768328683097427"/>
    <n v="0.68795692130243069"/>
    <x v="1"/>
    <x v="0"/>
    <x v="0"/>
    <x v="0"/>
    <x v="0"/>
    <x v="0"/>
  </r>
  <r>
    <x v="3"/>
    <s v="ENR"/>
    <n v="1681"/>
    <n v="22.34"/>
    <n v="2.46"/>
    <n v="1.85"/>
    <n v="0.74"/>
    <n v="9.0813008130081307"/>
    <n v="12.075675675675676"/>
    <n v="33.46"/>
    <n v="6.62"/>
    <n v="31.46"/>
    <n v="30.189189189189189"/>
    <s v="NO"/>
    <n v="-1.4139747140602728"/>
    <n v="1.3700795535766488"/>
    <n v="1.1380528430910619"/>
    <n v="-0.12728081163366753"/>
    <n v="1.4141271619262274"/>
    <n v="1.0063400249837307"/>
    <x v="0"/>
    <x v="0"/>
    <x v="0"/>
    <x v="0"/>
    <x v="0"/>
    <x v="0"/>
  </r>
  <r>
    <x v="3"/>
    <s v="ODC"/>
    <n v="732"/>
    <n v="59.31"/>
    <n v="2.93"/>
    <n v="16.170000000000002"/>
    <n v="3.13"/>
    <n v="20.242320819112628"/>
    <n v="3.6679035250463818"/>
    <n v="21.12"/>
    <n v="11.94"/>
    <n v="1.5"/>
    <n v="18.948881789137381"/>
    <s v="NO"/>
    <n v="0.68447889198635115"/>
    <n v="-0.38145863005254993"/>
    <n v="0.15804083445577219"/>
    <n v="1.2834148506394847"/>
    <n v="-0.72060158032989174"/>
    <n v="-1.3636697600727785"/>
    <x v="0"/>
    <x v="0"/>
    <x v="0"/>
    <x v="0"/>
    <x v="0"/>
    <x v="0"/>
  </r>
  <r>
    <x v="3"/>
    <s v="SPB"/>
    <n v="1438"/>
    <n v="56.12"/>
    <n v="2.74"/>
    <n v="74.489999999999995"/>
    <n v="2.0699999999999998"/>
    <n v="20.481751824817515"/>
    <n v="0.75338971674050215"/>
    <n v="2.81"/>
    <n v="2.74"/>
    <n v="1.88"/>
    <n v="27.111111111111111"/>
    <s v="NO"/>
    <n v="0.72949582207392238"/>
    <n v="-0.98862092352409892"/>
    <n v="-1.2960936775468339"/>
    <n v="-1.1561340390058161"/>
    <n v="-0.69352558159633604"/>
    <n v="0.35732973508904714"/>
    <x v="0"/>
    <x v="0"/>
    <x v="0"/>
    <x v="0"/>
    <x v="0"/>
    <x v="0"/>
  </r>
  <r>
    <x v="4"/>
    <s v="EPC"/>
    <n v="1299"/>
    <n v="26.66"/>
    <n v="0.66"/>
    <n v="32"/>
    <n v="1.72"/>
    <n v="40.393939393939391"/>
    <n v="0.833125"/>
    <n v="5.53"/>
    <n v="3.97"/>
    <n v="2.4900000000000002"/>
    <n v="15.5"/>
    <s v="NO"/>
    <n v="1.5678964702038543"/>
    <n v="-0.32991096327456237"/>
    <n v="0.77182002789538262"/>
    <n v="0.25803482444460418"/>
    <n v="1.6895124344826422"/>
    <n v="0.84806935541267492"/>
    <x v="0"/>
    <x v="0"/>
    <x v="0"/>
    <x v="0"/>
    <x v="0"/>
    <x v="0"/>
  </r>
  <r>
    <x v="4"/>
    <s v="GLASF"/>
    <n v="453"/>
    <n v="5.66"/>
    <n v="0.13"/>
    <n v="1.66"/>
    <n v="-0.11"/>
    <n v="43.53846153846154"/>
    <n v="3.4096385542168677"/>
    <n v="5.93"/>
    <n v="4.05"/>
    <n v="2.42"/>
    <n v="-51.454545454545453"/>
    <s v="NO"/>
    <n v="1.7230507828257475"/>
    <n v="1.7603982103837768"/>
    <n v="0.80602053871383306"/>
    <n v="0.2757235870457766"/>
    <n v="1.5244902897192205"/>
    <n v="-4.3598413696817238"/>
    <x v="0"/>
    <x v="0"/>
    <x v="0"/>
    <x v="0"/>
    <x v="0"/>
    <x v="1"/>
  </r>
  <r>
    <x v="4"/>
    <s v="HLF"/>
    <n v="795"/>
    <n v="7.93"/>
    <n v="1.63"/>
    <n v="-7.24"/>
    <n v="2.74"/>
    <n v="4.8650306748466257"/>
    <n v="-1.0953038674033149"/>
    <n v="-31.64"/>
    <n v="12.17"/>
    <n v="-3.65"/>
    <n v="2.8941605839416056"/>
    <s v="NO"/>
    <n v="-0.18514044833707793"/>
    <n v="-1.8944331237279111"/>
    <n v="-2.4062624399091339"/>
    <n v="2.0711329910647875"/>
    <n v="-12.785287120480271"/>
    <n v="-0.13244788726321161"/>
    <x v="0"/>
    <x v="0"/>
    <x v="0"/>
    <x v="0"/>
    <x v="1"/>
    <x v="0"/>
  </r>
  <r>
    <x v="4"/>
    <s v="HNST"/>
    <n v="554"/>
    <n v="4.97"/>
    <n v="-0.02"/>
    <n v="1.63"/>
    <n v="-0.02"/>
    <n v="-248.49999999999997"/>
    <n v="3.0490797546012272"/>
    <n v="-0.96"/>
    <n v="-0.68"/>
    <n v="1.47"/>
    <n v="-248.49999999999997"/>
    <s v="NO"/>
    <n v="-12.686460321457105"/>
    <n v="1.4678791334915564"/>
    <n v="0.21691673986602261"/>
    <n v="-0.77012450174854852"/>
    <n v="-0.7150959606414905"/>
    <n v="-19.686584745977864"/>
    <x v="1"/>
    <x v="0"/>
    <x v="0"/>
    <x v="0"/>
    <x v="0"/>
    <x v="1"/>
  </r>
  <r>
    <x v="4"/>
    <s v="NATR"/>
    <n v="284"/>
    <n v="14.59"/>
    <n v="0.93"/>
    <n v="8.73"/>
    <n v="0.53"/>
    <n v="15.688172043010752"/>
    <n v="1.6712485681557845"/>
    <n v="6.29"/>
    <n v="5.41"/>
    <n v="1.57"/>
    <n v="27.528301886792452"/>
    <s v="NO"/>
    <n v="0.34888570323968843"/>
    <n v="0.35005339410596714"/>
    <n v="0.83680099845043854"/>
    <n v="0.57643255126570947"/>
    <n v="-0.47935003955088917"/>
    <n v="1.7836641231111074"/>
    <x v="0"/>
    <x v="0"/>
    <x v="0"/>
    <x v="0"/>
    <x v="0"/>
    <x v="0"/>
  </r>
  <r>
    <x v="4"/>
    <s v="NUS"/>
    <n v="426"/>
    <n v="8.0399999999999991"/>
    <n v="1.33"/>
    <n v="15.26"/>
    <n v="-0.78"/>
    <n v="6.0451127819548862"/>
    <n v="0.52686762778505891"/>
    <n v="-4.93"/>
    <n v="3.54"/>
    <n v="1.85"/>
    <n v="-10.307692307692307"/>
    <s v="NO"/>
    <n v="-0.12691384990630067"/>
    <n v="-0.57837563507636414"/>
    <n v="-0.12252333000709896"/>
    <n v="0.16295772546330184"/>
    <n v="0.18073853950279423"/>
    <n v="-1.1593247153963362"/>
    <x v="0"/>
    <x v="0"/>
    <x v="0"/>
    <x v="0"/>
    <x v="0"/>
    <x v="0"/>
  </r>
  <r>
    <x v="4"/>
    <s v="OLPX"/>
    <n v="879"/>
    <n v="1.33"/>
    <n v="0.14000000000000001"/>
    <n v="1.32"/>
    <n v="0.02"/>
    <n v="9.5"/>
    <n v="1.0075757575757576"/>
    <n v="1.41"/>
    <n v="1.98"/>
    <n v="2.02"/>
    <n v="66.5"/>
    <s v="NO"/>
    <n v="4.3554229778160695E-2"/>
    <n v="-0.18838016545848399"/>
    <n v="0.41955476646534207"/>
    <n v="-0.18197314525956226"/>
    <n v="0.58150660535681609"/>
    <n v="4.8149911704540296"/>
    <x v="0"/>
    <x v="0"/>
    <x v="0"/>
    <x v="0"/>
    <x v="0"/>
    <x v="1"/>
  </r>
  <r>
    <x v="4"/>
    <s v="UPXI"/>
    <n v="403"/>
    <n v="11.99"/>
    <n v="-1.7"/>
    <n v="1.29"/>
    <n v="-20.57"/>
    <n v="-7.0529411764705889"/>
    <n v="9.2945736434108532"/>
    <n v="-190.32"/>
    <n v="-32.71"/>
    <n v="8.14"/>
    <n v="-0.58288770053475936"/>
    <s v="NO"/>
    <n v="-0.77318678588932777"/>
    <n v="6.5348088798688977"/>
    <n v="-15.97360508158846"/>
    <n v="-7.8522628281929947"/>
    <n v="15.009156976101609"/>
    <n v="-0.40290237141304314"/>
    <x v="0"/>
    <x v="1"/>
    <x v="1"/>
    <x v="1"/>
    <x v="1"/>
    <x v="0"/>
  </r>
  <r>
    <x v="4"/>
    <s v="USNA"/>
    <n v="556"/>
    <n v="29.81"/>
    <n v="2.58"/>
    <n v="28.2"/>
    <n v="1.82"/>
    <n v="11.554263565891471"/>
    <n v="1.0570921985815602"/>
    <n v="6.42"/>
    <n v="5.21"/>
    <n v="1.41"/>
    <n v="16.37912087912088"/>
    <s v="NO"/>
    <n v="0.14491393941331915"/>
    <n v="-0.14820778960898004"/>
    <n v="0.84791616446643503"/>
    <n v="0.53221064476277813"/>
    <n v="-0.85654351329585143"/>
    <n v="0.91644982195077207"/>
    <x v="0"/>
    <x v="0"/>
    <x v="0"/>
    <x v="0"/>
    <x v="0"/>
    <x v="0"/>
  </r>
  <r>
    <x v="4"/>
    <s v="WALD"/>
    <n v="331"/>
    <n v="2.3199999999999998"/>
    <n v="-0.11"/>
    <n v="5.91"/>
    <n v="-0.38"/>
    <n v="-21.09090909090909"/>
    <n v="0.39255499153976309"/>
    <n v="-6.49"/>
    <n v="-3.32"/>
    <n v="1.47"/>
    <n v="-6.1052631578947363"/>
    <s v="NO"/>
    <n v="-1.4658361495349708"/>
    <n v="-0.6873426285634654"/>
    <n v="-0.2559053221990561"/>
    <n v="-1.3538536675872415"/>
    <n v="-0.7150959606414905"/>
    <n v="-0.8324480904846171"/>
    <x v="0"/>
    <x v="0"/>
    <x v="0"/>
    <x v="0"/>
    <x v="0"/>
    <x v="0"/>
  </r>
  <r>
    <x v="4"/>
    <s v="YSG"/>
    <n v="508"/>
    <n v="7.08"/>
    <n v="-0.41"/>
    <n v="4.58"/>
    <n v="-0.83"/>
    <n v="-17.26829268292683"/>
    <n v="1.5458515283842795"/>
    <n v="-16.53"/>
    <n v="-4.3"/>
    <n v="1.26"/>
    <n v="-8.5301204819277121"/>
    <s v="NO"/>
    <n v="-1.2772238917930916"/>
    <n v="0.24831956772846631"/>
    <n v="-1.1143381437421647"/>
    <n v="-1.570541009451605"/>
    <n v="-1.210162394931753"/>
    <n v="-1.0210602359173468"/>
    <x v="0"/>
    <x v="0"/>
    <x v="0"/>
    <x v="0"/>
    <x v="0"/>
    <x v="0"/>
  </r>
  <r>
    <x v="5"/>
    <s v="GDNGY"/>
    <n v="1053"/>
    <n v="2.4"/>
    <n v="0.09"/>
    <n v="1.95"/>
    <n v="0.02"/>
    <n v="26.666666666666668"/>
    <n v="1.2307692307692308"/>
    <n v="0.8"/>
    <n v="0.85"/>
    <n v="1.36"/>
    <n v="120"/>
    <s v="NO"/>
    <n v="1.1197367453461433"/>
    <n v="0.97117355265205907"/>
    <n v="-1.3882097478034734"/>
    <n v="-1.4304351165239724"/>
    <n v="-1.2445079348883237"/>
    <n v="1.4081720468122647"/>
    <x v="0"/>
    <x v="0"/>
    <x v="0"/>
    <x v="0"/>
    <x v="0"/>
    <x v="0"/>
  </r>
  <r>
    <x v="5"/>
    <s v="STBGY"/>
    <n v="992"/>
    <n v="6.75"/>
    <n v="2.16"/>
    <n v="16.600000000000001"/>
    <n v="1.55"/>
    <n v="3.125"/>
    <n v="0.40662650602409633"/>
    <n v="9.32"/>
    <n v="5.91"/>
    <n v="1.84"/>
    <n v="4.354838709677419"/>
    <s v="NO"/>
    <n v="-1.1164234473789372"/>
    <n v="-1.3758768683588909"/>
    <n v="0.92788954422373138"/>
    <n v="0.1430435116523972"/>
    <n v="-0.33941125496954272"/>
    <n v="-0.81717278183707442"/>
    <x v="0"/>
    <x v="0"/>
    <x v="0"/>
    <x v="0"/>
    <x v="0"/>
    <x v="0"/>
  </r>
  <r>
    <x v="5"/>
    <s v="TPB"/>
    <n v="1330"/>
    <n v="74.81"/>
    <n v="3.12"/>
    <n v="11.16"/>
    <n v="0.09"/>
    <n v="23.977564102564102"/>
    <n v="6.7034050179211473"/>
    <n v="28.33"/>
    <n v="9.91"/>
    <n v="2.83"/>
    <n v="831.22222222222229"/>
    <s v="NO"/>
    <n v="0.86430605757264523"/>
    <n v="16.556522719262325"/>
    <n v="6.0956181288994546"/>
    <n v="1.3869001347167209"/>
    <n v="1.5273506473629428"/>
    <n v="15.094128956581892"/>
    <x v="0"/>
    <x v="1"/>
    <x v="1"/>
    <x v="0"/>
    <x v="0"/>
    <x v="1"/>
  </r>
  <r>
    <x v="5"/>
    <s v="UVV"/>
    <n v="1616"/>
    <n v="60.89"/>
    <n v="10.6"/>
    <n v="59.01"/>
    <n v="3.78"/>
    <n v="5.74433962264151"/>
    <n v="1.0318590069479749"/>
    <n v="7.6"/>
    <n v="5.13"/>
    <n v="2.0499999999999998"/>
    <n v="16.108465608465611"/>
    <s v="NO"/>
    <n v="-0.86761935553985137"/>
    <n v="0.40470331570683254"/>
    <n v="0.46032020357974157"/>
    <n v="-9.9508529845145979E-2"/>
    <n v="5.6568542494923442E-2"/>
    <n v="-0.59099926497519029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3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59">
        <item m="1" x="31"/>
        <item m="1" x="32"/>
        <item m="1" x="33"/>
        <item m="1" x="34"/>
        <item m="1" x="35"/>
        <item m="1" x="36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7"/>
        <item m="1" x="38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3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59">
        <item m="1" x="31"/>
        <item m="1" x="32"/>
        <item m="1" x="33"/>
        <item m="1" x="34"/>
        <item m="1" x="35"/>
        <item m="1" x="36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7"/>
        <item m="1" x="38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3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59">
        <item m="1" x="31"/>
        <item m="1" x="32"/>
        <item m="1" x="33"/>
        <item m="1" x="34"/>
        <item m="1" x="35"/>
        <item m="1" x="36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7"/>
        <item m="1" x="38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3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59">
        <item m="1" x="31"/>
        <item m="1" x="32"/>
        <item m="1" x="33"/>
        <item m="1" x="34"/>
        <item m="1" x="35"/>
        <item m="1" x="36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7"/>
        <item m="1" x="38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3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59">
        <item m="1" x="31"/>
        <item m="1" x="32"/>
        <item m="1" x="33"/>
        <item m="1" x="34"/>
        <item m="1" x="35"/>
        <item m="1" x="36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7"/>
        <item m="1" x="38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30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59">
        <item m="1" x="31"/>
        <item m="1" x="32"/>
        <item m="1" x="33"/>
        <item m="1" x="34"/>
        <item m="1" x="35"/>
        <item m="1" x="36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7"/>
        <item m="1" x="38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36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60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36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60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36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60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36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60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36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60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36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60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42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61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42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61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42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61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42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61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42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61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42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61">
        <item m="1" x="32"/>
        <item m="1" x="33"/>
        <item m="1" x="34"/>
        <item m="1" x="35"/>
        <item m="1" x="36"/>
        <item m="1" x="37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x="0"/>
        <item x="1"/>
        <item x="2"/>
        <item x="3"/>
        <item x="4"/>
        <item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8"/>
        <item m="1" x="39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 v="17"/>
    </i>
    <i>
      <x v="18"/>
    </i>
    <i>
      <x v="19"/>
    </i>
    <i>
      <x v="20"/>
    </i>
    <i>
      <x v="21"/>
    </i>
    <i>
      <x v="22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62" tableType="queryTable" totalsRowShown="0">
  <autoFilter ref="A1:Z62" xr:uid="{1B3BB95A-07C7-4768-8185-A2A759A39458}"/>
  <sortState xmlns:xlrd2="http://schemas.microsoft.com/office/spreadsheetml/2017/richdata2" ref="A2:Z62">
    <sortCondition ref="A1:A62"/>
  </sortState>
  <tableColumns count="26">
    <tableColumn id="1" xr3:uid="{FDA9EBBF-F574-44F1-B885-6A5ED1C1C8A3}" uniqueName="1" name="Industry" queryTableFieldId="1" dataDxfId="107"/>
    <tableColumn id="2" xr3:uid="{8F96E341-8F97-4BC1-90E1-73E9D5DAC8C9}" uniqueName="2" name="Symbol" queryTableFieldId="2" dataDxfId="106"/>
    <tableColumn id="3" xr3:uid="{F543FE77-4EA4-4170-A3F2-7D6D401D6817}" uniqueName="3" name="Market Cap (M)" queryTableFieldId="44" dataDxfId="105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04"/>
    <tableColumn id="9" xr3:uid="{92CA53A2-ADA4-45CE-B0FD-3AD68E123166}" uniqueName="9" name="P/B" queryTableFieldId="46" dataDxfId="103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102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101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100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99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98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97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96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44" tableType="queryTable" totalsRowShown="0">
  <autoFilter ref="A1:Z44" xr:uid="{8A05384F-F989-4428-B033-1A9B3ACA4EBB}"/>
  <sortState xmlns:xlrd2="http://schemas.microsoft.com/office/spreadsheetml/2017/richdata2" ref="A2:Z44">
    <sortCondition ref="A1:A44"/>
  </sortState>
  <tableColumns count="26">
    <tableColumn id="1" xr3:uid="{3547F496-7B67-42E8-9760-1F3941836443}" uniqueName="1" name="Industry" queryTableFieldId="1" dataDxfId="95"/>
    <tableColumn id="2" xr3:uid="{0A09E186-076D-4A57-B743-EBD7817F4082}" uniqueName="2" name="Symbol" queryTableFieldId="2" dataDxfId="94"/>
    <tableColumn id="3" xr3:uid="{C567BD69-49B3-415C-87A5-73BCB80F1796}" uniqueName="3" name="Market Cap (M)" queryTableFieldId="43" dataDxfId="93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92"/>
    <tableColumn id="9" xr3:uid="{F1DC44A8-3710-4CCA-B495-699F6ACADE85}" uniqueName="9" name="P/B" queryTableFieldId="45" dataDxfId="91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90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89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88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87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86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85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84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55" tableType="queryTable" totalsRowShown="0">
  <autoFilter ref="A1:Z55" xr:uid="{DE7CBD96-9DC7-4F09-9B11-F8C87451A82B}"/>
  <sortState xmlns:xlrd2="http://schemas.microsoft.com/office/spreadsheetml/2017/richdata2" ref="A2:Z55">
    <sortCondition ref="A1:A55"/>
  </sortState>
  <tableColumns count="26">
    <tableColumn id="1" xr3:uid="{261FC5A1-AB9E-4068-9D87-D85D75FE0DD5}" uniqueName="1" name="Industry" queryTableFieldId="1" dataDxfId="83"/>
    <tableColumn id="2" xr3:uid="{4D1C6415-A4DE-450C-A6A0-32BD8F91DEB2}" uniqueName="2" name="Symbol" queryTableFieldId="2" dataDxfId="82"/>
    <tableColumn id="3" xr3:uid="{1913483F-1018-45E5-BBAD-415B97CDE58A}" uniqueName="3" name="Market Cap (M)" queryTableFieldId="43" dataDxfId="81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80"/>
    <tableColumn id="9" xr3:uid="{A85952D4-A3AB-4C1A-90DC-2E32ECE72481}" uniqueName="9" name="P/B" queryTableFieldId="45" dataDxfId="79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78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77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76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75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74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73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72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8" tableType="queryTable" totalsRowShown="0">
  <autoFilter ref="A2:Y8" xr:uid="{CF08F30B-5B6A-425F-B235-3500A3319B88}"/>
  <tableColumns count="25">
    <tableColumn id="1" xr3:uid="{FD842081-B64F-4301-AA21-FB7B05A836D4}" uniqueName="1" name="Industry" queryTableFieldId="1" dataDxfId="146"/>
    <tableColumn id="2" xr3:uid="{E59C1D9B-F213-4C25-84A0-0FA886F9704F}" uniqueName="2" name="P/FCF Q1" queryTableFieldId="2" dataDxfId="23"/>
    <tableColumn id="3" xr3:uid="{04B713EC-FD8B-48E2-A2D2-C366A9A339B7}" uniqueName="3" name="P/FCF Q3" queryTableFieldId="3" dataDxfId="22"/>
    <tableColumn id="4" xr3:uid="{9DCEA951-E29F-4D9E-B9F0-5DC32A557DF0}" uniqueName="4" name="P/FCF LB" queryTableFieldId="4" dataDxfId="21"/>
    <tableColumn id="5" xr3:uid="{C2B6F391-AB27-4C2B-B68A-D2B47E1AA772}" uniqueName="5" name="P/FCF UB" queryTableFieldId="5" dataDxfId="20"/>
    <tableColumn id="6" xr3:uid="{1FD6B89C-F582-4857-A32F-326E69C5DFFD}" uniqueName="6" name="P/B Q1" queryTableFieldId="6" dataDxfId="19"/>
    <tableColumn id="7" xr3:uid="{A3697E12-D8D4-4284-AE2B-01C3BA154C99}" uniqueName="7" name="P/B Q3" queryTableFieldId="7" dataDxfId="18"/>
    <tableColumn id="8" xr3:uid="{A270BB2A-00C0-4246-AFBA-EDE9D5F40C76}" uniqueName="8" name="P/B LB" queryTableFieldId="8" dataDxfId="17"/>
    <tableColumn id="9" xr3:uid="{F99BB669-75E9-428A-88A3-E037E705383F}" uniqueName="9" name="P/B UB" queryTableFieldId="9" dataDxfId="16"/>
    <tableColumn id="10" xr3:uid="{D3A49932-F6DE-43A8-B449-B1C4E41499CF}" uniqueName="10" name="ROE Q1" queryTableFieldId="10" dataDxfId="15"/>
    <tableColumn id="11" xr3:uid="{BD8F2597-7442-49AD-BA3A-A3F29A6E60DD}" uniqueName="11" name="ROE Q3" queryTableFieldId="11" dataDxfId="14"/>
    <tableColumn id="12" xr3:uid="{3B29ED46-D0C8-4AF8-BFC0-41462C6C29EB}" uniqueName="12" name="ROE LB" queryTableFieldId="12" dataDxfId="13"/>
    <tableColumn id="13" xr3:uid="{F62F045D-EA3F-4608-85C5-21D743180D21}" uniqueName="13" name="ROE UB" queryTableFieldId="13" dataDxfId="12"/>
    <tableColumn id="14" xr3:uid="{9D898AB4-6F4D-4D03-BA61-39B91E78C9C6}" uniqueName="14" name="ROA Q1" queryTableFieldId="14" dataDxfId="11"/>
    <tableColumn id="15" xr3:uid="{2D1DFB04-09CE-4BEC-AD50-26246811DCDA}" uniqueName="15" name="ROA Q3" queryTableFieldId="15" dataDxfId="10"/>
    <tableColumn id="16" xr3:uid="{753F114C-61F5-4444-9EB0-76DCEA7F1F1B}" uniqueName="16" name="ROA LB" queryTableFieldId="16" dataDxfId="9"/>
    <tableColumn id="17" xr3:uid="{AA60DB6D-6DE2-4BF0-A375-18A578568BBF}" uniqueName="17" name="ROA UB" queryTableFieldId="17" dataDxfId="8"/>
    <tableColumn id="18" xr3:uid="{5357CEC7-DB8C-48BE-BDAD-FCBB1FB43389}" uniqueName="18" name="P/E Q1" queryTableFieldId="18" dataDxfId="7"/>
    <tableColumn id="19" xr3:uid="{C18FE8DB-95D8-42EC-BC42-C15678D7CE64}" uniqueName="19" name="P/E Q3" queryTableFieldId="19" dataDxfId="6"/>
    <tableColumn id="20" xr3:uid="{B7040099-49E4-464B-9BD8-1326A00D0599}" uniqueName="20" name="P/E LB" queryTableFieldId="20" dataDxfId="5"/>
    <tableColumn id="21" xr3:uid="{E8713F96-91B8-41CB-AA45-CCA61FACA752}" uniqueName="21" name="P/E UB" queryTableFieldId="21" dataDxfId="4"/>
    <tableColumn id="22" xr3:uid="{91693169-B783-4EDC-94CF-D23F08159B62}" uniqueName="22" name="A/E Q1" queryTableFieldId="22" dataDxfId="3"/>
    <tableColumn id="23" xr3:uid="{F98A9AC1-1CAF-483B-A342-F3A466AEB043}" uniqueName="23" name="A/E Q3" queryTableFieldId="23" dataDxfId="2"/>
    <tableColumn id="24" xr3:uid="{04D140EC-A8E6-4894-B430-208F20D411DB}" uniqueName="24" name="A/E LB" queryTableFieldId="24" dataDxfId="1"/>
    <tableColumn id="25" xr3:uid="{3E6CFD0C-10B0-4D91-A289-A353306CC102}" uniqueName="25" name="A/E UB" queryTableFieldId="25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12:Y18" tableType="queryTable" totalsRowShown="0">
  <autoFilter ref="A12:Y18" xr:uid="{89F54F15-11E6-4F5B-BF51-37096268E20C}"/>
  <tableColumns count="25">
    <tableColumn id="1" xr3:uid="{1DD86F6C-5649-4964-82C3-51A7F8B44C8D}" uniqueName="1" name="Industry" queryTableFieldId="1" dataDxfId="145"/>
    <tableColumn id="2" xr3:uid="{E9710093-0C0E-47F6-BA82-6DF1689DE3FF}" uniqueName="2" name="P/FCF Q1" queryTableFieldId="2" dataDxfId="47"/>
    <tableColumn id="3" xr3:uid="{BB549C0D-7552-41A2-B049-C1E0C569FC5B}" uniqueName="3" name="P/FCF Q3" queryTableFieldId="3" dataDxfId="46"/>
    <tableColumn id="4" xr3:uid="{F8874757-4F98-4408-A256-B3DBB97E40A5}" uniqueName="4" name="P/FCF LB" queryTableFieldId="4" dataDxfId="45"/>
    <tableColumn id="5" xr3:uid="{7F92E8F9-91DF-48EA-A8F2-F3E13D8104D3}" uniqueName="5" name="P/FCF UB" queryTableFieldId="5" dataDxfId="44"/>
    <tableColumn id="6" xr3:uid="{837AC52A-2B15-4BFB-A555-2456F010C7C9}" uniqueName="6" name="P/B Q1" queryTableFieldId="6" dataDxfId="43"/>
    <tableColumn id="7" xr3:uid="{C672A3A3-8D6C-4E08-B6E3-1D85CD510A41}" uniqueName="7" name="P/B Q3" queryTableFieldId="7" dataDxfId="42"/>
    <tableColumn id="8" xr3:uid="{47FBFC34-1D36-49FE-8583-28072989EA1C}" uniqueName="8" name="P/B LB" queryTableFieldId="8" dataDxfId="41"/>
    <tableColumn id="9" xr3:uid="{98DADD72-A76B-4DE4-AB34-515EBE2E4A04}" uniqueName="9" name="P/B UB" queryTableFieldId="9" dataDxfId="40"/>
    <tableColumn id="10" xr3:uid="{C06AFB5F-1921-4B19-AFA7-04514BD3BC35}" uniqueName="10" name="ROE Q1" queryTableFieldId="10" dataDxfId="39"/>
    <tableColumn id="11" xr3:uid="{38FF7E38-2AC1-4486-B824-BCBE4156ADA7}" uniqueName="11" name="ROE Q3" queryTableFieldId="11" dataDxfId="38"/>
    <tableColumn id="12" xr3:uid="{1BBD6DC1-3C0C-48AF-9986-81D1F4A26368}" uniqueName="12" name="ROE LB" queryTableFieldId="12" dataDxfId="37"/>
    <tableColumn id="13" xr3:uid="{5775303C-3550-4762-86D0-7A82C106A3F0}" uniqueName="13" name="ROE UB" queryTableFieldId="13" dataDxfId="36"/>
    <tableColumn id="14" xr3:uid="{9FE06177-2E94-4066-A65B-77414C97B4DC}" uniqueName="14" name="ROA Q1" queryTableFieldId="14" dataDxfId="35"/>
    <tableColumn id="15" xr3:uid="{386179E5-15F0-4AED-9E0C-1EB211C80CEE}" uniqueName="15" name="ROA Q3" queryTableFieldId="15" dataDxfId="34"/>
    <tableColumn id="16" xr3:uid="{C7DC1506-2223-42A0-AC4B-68B0E14D2B9D}" uniqueName="16" name="ROA LB" queryTableFieldId="16" dataDxfId="33"/>
    <tableColumn id="17" xr3:uid="{C45AE1E6-1326-44B3-972F-838B081A78FC}" uniqueName="17" name="ROA UB" queryTableFieldId="17" dataDxfId="32"/>
    <tableColumn id="18" xr3:uid="{17D85B47-F40C-47C3-996F-C47242CFB7D2}" uniqueName="18" name="P/E Q1" queryTableFieldId="18" dataDxfId="31"/>
    <tableColumn id="19" xr3:uid="{44248722-1EBA-4DF8-B99D-B6B2F31E253B}" uniqueName="19" name="P/E Q3" queryTableFieldId="19" dataDxfId="30"/>
    <tableColumn id="20" xr3:uid="{93299C7A-5544-43AE-ACC5-72F0CB129F08}" uniqueName="20" name="P/E LB" queryTableFieldId="20" dataDxfId="29"/>
    <tableColumn id="21" xr3:uid="{3E027012-2DA9-4754-8880-25FEEDEFA94A}" uniqueName="21" name="P/E UB" queryTableFieldId="21" dataDxfId="28"/>
    <tableColumn id="22" xr3:uid="{FF2638EF-6EA0-401C-B7D8-A2BC49ECD2B0}" uniqueName="22" name="A/E Q1" queryTableFieldId="22" dataDxfId="27"/>
    <tableColumn id="23" xr3:uid="{546FB46A-BFEC-4020-A8E1-97073EBE991F}" uniqueName="23" name="A/E Q3" queryTableFieldId="23" dataDxfId="26"/>
    <tableColumn id="24" xr3:uid="{41F03CE5-975A-469D-B609-D8C5D8D172FA}" uniqueName="24" name="A/E LB" queryTableFieldId="24" dataDxfId="25"/>
    <tableColumn id="25" xr3:uid="{1863137D-3C8C-4A15-9A63-5E253392AFAD}" uniqueName="25" name="A/E UB" queryTableFieldId="25" dataDxfId="2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22:Y28" tableType="queryTable" totalsRowShown="0">
  <autoFilter ref="A22:Y28" xr:uid="{CF689D08-98E7-4B08-8D8B-630159DED978}"/>
  <tableColumns count="25">
    <tableColumn id="1" xr3:uid="{1B5FE8EC-4B8C-444E-96DC-3618818E7D45}" uniqueName="1" name="Industry" queryTableFieldId="1" dataDxfId="144"/>
    <tableColumn id="2" xr3:uid="{0E20A80F-BE74-42F8-83EF-419A13269CF8}" uniqueName="2" name="P/FCF Q1" queryTableFieldId="2" dataDxfId="71"/>
    <tableColumn id="3" xr3:uid="{6D66145B-6613-41BC-8233-7356853CCFEF}" uniqueName="3" name="P/FCF Q3" queryTableFieldId="3" dataDxfId="70"/>
    <tableColumn id="4" xr3:uid="{90A69125-3CA2-4D0A-8F1A-65993DFA9D46}" uniqueName="4" name="P/FCF LB" queryTableFieldId="4" dataDxfId="69"/>
    <tableColumn id="5" xr3:uid="{BED6E3D4-DC60-428F-B5E8-4C3C64096FD7}" uniqueName="5" name="P/FCF UB" queryTableFieldId="5" dataDxfId="68"/>
    <tableColumn id="6" xr3:uid="{FC33B186-B76E-4D86-8EBD-E25B773D256E}" uniqueName="6" name="P/B Q1" queryTableFieldId="6" dataDxfId="67"/>
    <tableColumn id="7" xr3:uid="{D82D1432-7C03-4449-BD2D-F895D50A5F32}" uniqueName="7" name="P/B Q3" queryTableFieldId="7" dataDxfId="66"/>
    <tableColumn id="8" xr3:uid="{D3389429-24FB-4947-AACF-CAA92D678F94}" uniqueName="8" name="P/B LB" queryTableFieldId="8" dataDxfId="65"/>
    <tableColumn id="9" xr3:uid="{452E932D-DD5B-4C62-A8B3-25C90C8C7751}" uniqueName="9" name="P/B UB" queryTableFieldId="9" dataDxfId="64"/>
    <tableColumn id="10" xr3:uid="{99E11285-9679-47B1-9540-1BD10239596C}" uniqueName="10" name="ROE Q1" queryTableFieldId="10" dataDxfId="63"/>
    <tableColumn id="11" xr3:uid="{B4F1825A-C678-4C01-BB96-B04FAB1938BD}" uniqueName="11" name="ROE Q3" queryTableFieldId="11" dataDxfId="62"/>
    <tableColumn id="12" xr3:uid="{9F07026D-928C-42B1-8DD2-9BD3176C8B6A}" uniqueName="12" name="ROE LB" queryTableFieldId="12" dataDxfId="61"/>
    <tableColumn id="13" xr3:uid="{47360B1B-7AC4-49FA-9F18-2F1F1B72CA28}" uniqueName="13" name="ROE UB" queryTableFieldId="13" dataDxfId="60"/>
    <tableColumn id="14" xr3:uid="{58B0248D-BCFF-4737-ADF5-EE087C03D561}" uniqueName="14" name="ROA Q1" queryTableFieldId="14" dataDxfId="59"/>
    <tableColumn id="15" xr3:uid="{CCD6E6AE-6BBB-4675-8C50-0F87AF280A3C}" uniqueName="15" name="ROA Q3" queryTableFieldId="15" dataDxfId="58"/>
    <tableColumn id="16" xr3:uid="{BB86731C-A605-4988-A848-B35835CAF73E}" uniqueName="16" name="ROA LB" queryTableFieldId="16" dataDxfId="57"/>
    <tableColumn id="17" xr3:uid="{9760AC7A-70E9-4457-8DC8-4BDA6646C74E}" uniqueName="17" name="ROA UB" queryTableFieldId="17" dataDxfId="56"/>
    <tableColumn id="18" xr3:uid="{931D5CA9-41B9-424B-87E6-FA364034B249}" uniqueName="18" name="P/E Q1" queryTableFieldId="18" dataDxfId="55"/>
    <tableColumn id="19" xr3:uid="{23E1DD3D-5F02-4A6D-9773-5EA3466661AF}" uniqueName="19" name="P/E Q3" queryTableFieldId="19" dataDxfId="54"/>
    <tableColumn id="20" xr3:uid="{478DC28A-5ACD-47E8-8720-6EEE2D43205B}" uniqueName="20" name="P/E LB" queryTableFieldId="20" dataDxfId="53"/>
    <tableColumn id="21" xr3:uid="{AC7D613F-0AC5-4542-BBED-886B4C332840}" uniqueName="21" name="P/E UB" queryTableFieldId="21" dataDxfId="52"/>
    <tableColumn id="22" xr3:uid="{1E3F527B-4B19-4D38-9A78-D4BBA95224B9}" uniqueName="22" name="A/E Q1" queryTableFieldId="22" dataDxfId="51"/>
    <tableColumn id="23" xr3:uid="{1256121C-1427-4F44-988A-E08E26F80A67}" uniqueName="23" name="A/E Q3" queryTableFieldId="23" dataDxfId="50"/>
    <tableColumn id="24" xr3:uid="{3F6A6F05-B80E-47C0-9039-80E1A481FF30}" uniqueName="24" name="A/E LB" queryTableFieldId="24" dataDxfId="49"/>
    <tableColumn id="25" xr3:uid="{08969B40-89DA-4EAE-925B-3C841EB86C63}" uniqueName="25" name="A/E UB" queryTableFieldId="25" dataDxfId="4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62"/>
  <sheetViews>
    <sheetView workbookViewId="0">
      <selection activeCell="B24" sqref="B24"/>
    </sheetView>
  </sheetViews>
  <sheetFormatPr defaultRowHeight="15" x14ac:dyDescent="0.25"/>
  <cols>
    <col min="1" max="1" width="35.71093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9" bestFit="1" customWidth="1"/>
    <col min="7" max="7" width="8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7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7" t="s">
        <v>106</v>
      </c>
      <c r="B2" s="67" t="s">
        <v>160</v>
      </c>
      <c r="C2" s="2">
        <v>38139</v>
      </c>
      <c r="D2">
        <f>RTD("tos.rtd", , "LAST", Main_L[[#This Row],[Symbol]])</f>
        <v>2.48</v>
      </c>
      <c r="E2">
        <v>0.25</v>
      </c>
      <c r="F2">
        <v>1.06</v>
      </c>
      <c r="G2">
        <v>0.16</v>
      </c>
      <c r="H2" s="1">
        <f>IF(ISNUMBER(Main_L[[#This Row],[Free CF]]),IF(Main_L[[#This Row],[Free CF]]&lt;&gt;0,Main_L[[#This Row],[Current Price]]/Main_L[[#This Row],[Free CF]],""),"")</f>
        <v>9.92</v>
      </c>
      <c r="I2" s="1">
        <f>IF(ISNUMBER(Main_L[[#This Row],[BVPS]]),IF(Main_L[[#This Row],[BVPS]]&lt;&gt;0,Main_L[[#This Row],[Current Price]]/Main_L[[#This Row],[BVPS]],""),"")</f>
        <v>2.3396226415094339</v>
      </c>
      <c r="J2">
        <v>16.239999999999998</v>
      </c>
      <c r="K2">
        <v>10</v>
      </c>
      <c r="L2">
        <v>1.56</v>
      </c>
      <c r="M2" s="1">
        <f>IF(ISNUMBER(Main_L[[#This Row],[EPS]]),IF(Main_L[[#This Row],[EPS]]&lt;&gt;0,Main_L[[#This Row],[Current Price]]/Main_L[[#This Row],[EPS]],""),"")</f>
        <v>15.5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2" s="1">
        <f>(Main_L[[#This Row],[P/FCF]]-VLOOKUP(Main_L[[#This Row],[Industry]], Mean_PFCF_L, 2, FALSE))/(VLOOKUP(Main_L[[#This Row],[Industry]], Mean_PFCF_L, 3, FALSE))</f>
        <v>-0.83185176020840434</v>
      </c>
      <c r="P2" s="1">
        <f>(Main_L[[#This Row],[P/B]]-VLOOKUP(Main_L[[#This Row],[Industry]], Mean_PB_L, 2, FALSE))/(VLOOKUP(Main_L[[#This Row],[Industry]], Mean_PB_L, 3, FALSE))</f>
        <v>-0.53419420464179967</v>
      </c>
      <c r="Q2" s="1">
        <f>(Main_L[[#This Row],[ROE]]-VLOOKUP(Main_L[[#This Row],[Industry]], Mean_ROE_L, 2, FALSE))/(VLOOKUP(Main_L[[#This Row],[Industry]], Mean_ROE_L, 3, FALSE))</f>
        <v>0.5520725064511478</v>
      </c>
      <c r="R2" s="1">
        <f>(Main_L[[#This Row],[ROA]]-VLOOKUP(Main_L[[#This Row],[Industry]], Mean_ROA_L, 2, FALSE))/(VLOOKUP(Main_L[[#This Row],[Industry]], Mean_ROA_L, 3, FALSE))</f>
        <v>1.1080070503468069</v>
      </c>
      <c r="S2" s="1">
        <f>(Main_L[[#This Row],[A/E]]-VLOOKUP(Main_L[[#This Row],[Industry]], Mean_AE_L, 2, FALSE))/(VLOOKUP(Main_L[[#This Row],[Industry]], Mean_AE_L, 3, FALSE))</f>
        <v>-1.1412247996795299</v>
      </c>
      <c r="T2" s="1">
        <f>(Main_L[[#This Row],[P/E]]-VLOOKUP(Main_L[[#This Row],[Industry]], Mean_PE_L, 2, FALSE))/(VLOOKUP(Main_L[[#This Row],[Industry]], Mean_PE_L, 3, FALSE))</f>
        <v>-0.65393910864277671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" spans="1:26" x14ac:dyDescent="0.25">
      <c r="A3" s="67" t="s">
        <v>106</v>
      </c>
      <c r="B3" s="67" t="s">
        <v>251</v>
      </c>
      <c r="C3" s="2">
        <v>13457</v>
      </c>
      <c r="D3">
        <f>RTD("tos.rtd", , "LAST", Main_L[[#This Row],[Symbol]])</f>
        <v>4.3600000000000003</v>
      </c>
      <c r="E3">
        <v>0.06</v>
      </c>
      <c r="F3">
        <v>0.77</v>
      </c>
      <c r="G3">
        <v>0.05</v>
      </c>
      <c r="H3" s="1">
        <f>IF(ISNUMBER(Main_L[[#This Row],[Free CF]]),IF(Main_L[[#This Row],[Free CF]]&lt;&gt;0,Main_L[[#This Row],[Current Price]]/Main_L[[#This Row],[Free CF]],""),"")</f>
        <v>72.666666666666671</v>
      </c>
      <c r="I3" s="1">
        <f>IF(ISNUMBER(Main_L[[#This Row],[BVPS]]),IF(Main_L[[#This Row],[BVPS]]&lt;&gt;0,Main_L[[#This Row],[Current Price]]/Main_L[[#This Row],[BVPS]],""),"")</f>
        <v>5.6623376623376629</v>
      </c>
      <c r="J3">
        <v>7.11</v>
      </c>
      <c r="K3">
        <v>4.5</v>
      </c>
      <c r="L3">
        <v>1.45</v>
      </c>
      <c r="M3" s="1">
        <f>IF(ISNUMBER(Main_L[[#This Row],[EPS]]),IF(Main_L[[#This Row],[EPS]]&lt;&gt;0,Main_L[[#This Row],[Current Price]]/Main_L[[#This Row],[EPS]],""),"")</f>
        <v>87.2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1.681156121507668</v>
      </c>
      <c r="P3" s="1">
        <f>(Main_L[[#This Row],[P/B]]-VLOOKUP(Main_L[[#This Row],[Industry]], Mean_PB_L, 2, FALSE))/(VLOOKUP(Main_L[[#This Row],[Industry]], Mean_PB_L, 3, FALSE))</f>
        <v>0.46924722763728632</v>
      </c>
      <c r="Q3" s="1">
        <f>(Main_L[[#This Row],[ROE]]-VLOOKUP(Main_L[[#This Row],[Industry]], Mean_ROE_L, 2, FALSE))/(VLOOKUP(Main_L[[#This Row],[Industry]], Mean_ROE_L, 3, FALSE))</f>
        <v>-0.50003869763823361</v>
      </c>
      <c r="R3" s="1">
        <f>(Main_L[[#This Row],[ROA]]-VLOOKUP(Main_L[[#This Row],[Industry]], Mean_ROA_L, 2, FALSE))/(VLOOKUP(Main_L[[#This Row],[Industry]], Mean_ROA_L, 3, FALSE))</f>
        <v>-0.76955771366516801</v>
      </c>
      <c r="S3" s="1">
        <f>(Main_L[[#This Row],[A/E]]-VLOOKUP(Main_L[[#This Row],[Industry]], Mean_AE_L, 2, FALSE))/(VLOOKUP(Main_L[[#This Row],[Industry]], Mean_AE_L, 3, FALSE))</f>
        <v>-1.2576917441133588</v>
      </c>
      <c r="T3" s="1">
        <f>(Main_L[[#This Row],[P/E]]-VLOOKUP(Main_L[[#This Row],[Industry]], Mean_PE_L, 2, FALSE))/(VLOOKUP(Main_L[[#This Row],[Industry]], Mean_PE_L, 3, FALSE))</f>
        <v>3.6125869074646797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" spans="1:26" x14ac:dyDescent="0.25">
      <c r="A4" s="67" t="s">
        <v>106</v>
      </c>
      <c r="B4" s="67" t="s">
        <v>161</v>
      </c>
      <c r="C4" s="2">
        <v>136707</v>
      </c>
      <c r="D4">
        <f>RTD("tos.rtd", , "LAST", Main_L[[#This Row],[Symbol]])</f>
        <v>71.010000000000005</v>
      </c>
      <c r="E4">
        <v>5.59</v>
      </c>
      <c r="F4">
        <v>39.61</v>
      </c>
      <c r="G4">
        <v>3.38</v>
      </c>
      <c r="H4" s="1">
        <f>IF(ISNUMBER(Main_L[[#This Row],[Free CF]]),IF(Main_L[[#This Row],[Free CF]]&lt;&gt;0,Main_L[[#This Row],[Current Price]]/Main_L[[#This Row],[Free CF]],""),"")</f>
        <v>12.703041144901611</v>
      </c>
      <c r="I4" s="1">
        <f>IF(ISNUMBER(Main_L[[#This Row],[BVPS]]),IF(Main_L[[#This Row],[BVPS]]&lt;&gt;0,Main_L[[#This Row],[Current Price]]/Main_L[[#This Row],[BVPS]],""),"")</f>
        <v>1.7927291088109065</v>
      </c>
      <c r="J4">
        <v>8.18</v>
      </c>
      <c r="K4">
        <v>4.47</v>
      </c>
      <c r="L4">
        <v>2.64</v>
      </c>
      <c r="M4" s="1">
        <f>IF(ISNUMBER(Main_L[[#This Row],[EPS]]),IF(Main_L[[#This Row],[EPS]]&lt;&gt;0,Main_L[[#This Row],[Current Price]]/Main_L[[#This Row],[EPS]],""),"")</f>
        <v>21.008875739644974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" s="1">
        <f>(Main_L[[#This Row],[P/FCF]]-VLOOKUP(Main_L[[#This Row],[Industry]], Mean_PFCF_L, 2, FALSE))/(VLOOKUP(Main_L[[#This Row],[Industry]], Mean_PFCF_L, 3, FALSE))</f>
        <v>-0.72039079018697627</v>
      </c>
      <c r="P4" s="1">
        <f>(Main_L[[#This Row],[P/B]]-VLOOKUP(Main_L[[#This Row],[Industry]], Mean_PB_L, 2, FALSE))/(VLOOKUP(Main_L[[#This Row],[Industry]], Mean_PB_L, 3, FALSE))</f>
        <v>-0.69935300589776483</v>
      </c>
      <c r="Q4" s="1">
        <f>(Main_L[[#This Row],[ROE]]-VLOOKUP(Main_L[[#This Row],[Industry]], Mean_ROE_L, 2, FALSE))/(VLOOKUP(Main_L[[#This Row],[Industry]], Mean_ROE_L, 3, FALSE))</f>
        <v>-0.37673541304068292</v>
      </c>
      <c r="R4" s="1">
        <f>(Main_L[[#This Row],[ROA]]-VLOOKUP(Main_L[[#This Row],[Industry]], Mean_ROA_L, 2, FALSE))/(VLOOKUP(Main_L[[#This Row],[Industry]], Mean_ROA_L, 3, FALSE))</f>
        <v>-0.77979897601432424</v>
      </c>
      <c r="S4" s="1">
        <f>(Main_L[[#This Row],[A/E]]-VLOOKUP(Main_L[[#This Row],[Industry]], Mean_AE_L, 2, FALSE))/(VLOOKUP(Main_L[[#This Row],[Industry]], Mean_AE_L, 3, FALSE))</f>
        <v>2.2688365798798674E-3</v>
      </c>
      <c r="T4" s="1">
        <f>(Main_L[[#This Row],[P/E]]-VLOOKUP(Main_L[[#This Row],[Industry]], Mean_PE_L, 2, FALSE))/(VLOOKUP(Main_L[[#This Row],[Industry]], Mean_PE_L, 3, FALSE))</f>
        <v>-0.3261321119524212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" spans="1:26" x14ac:dyDescent="0.25">
      <c r="A5" s="67" t="s">
        <v>106</v>
      </c>
      <c r="B5" s="67" t="s">
        <v>165</v>
      </c>
      <c r="C5" s="2">
        <v>41987</v>
      </c>
      <c r="D5">
        <f>RTD("tos.rtd", , "LAST", Main_L[[#This Row],[Symbol]])</f>
        <v>92.06</v>
      </c>
      <c r="E5">
        <v>4.78</v>
      </c>
      <c r="F5">
        <v>19.079999999999998</v>
      </c>
      <c r="G5">
        <v>3.19</v>
      </c>
      <c r="H5" s="1">
        <f>IF(ISNUMBER(Main_L[[#This Row],[Free CF]]),IF(Main_L[[#This Row],[Free CF]]&lt;&gt;0,Main_L[[#This Row],[Current Price]]/Main_L[[#This Row],[Free CF]],""),"")</f>
        <v>19.259414225941423</v>
      </c>
      <c r="I5" s="1">
        <f>IF(ISNUMBER(Main_L[[#This Row],[BVPS]]),IF(Main_L[[#This Row],[BVPS]]&lt;&gt;0,Main_L[[#This Row],[Current Price]]/Main_L[[#This Row],[BVPS]],""),"")</f>
        <v>4.8249475890985334</v>
      </c>
      <c r="J5">
        <v>17.03</v>
      </c>
      <c r="K5">
        <v>5.34</v>
      </c>
      <c r="L5">
        <v>3.66</v>
      </c>
      <c r="M5" s="1">
        <f>IF(ISNUMBER(Main_L[[#This Row],[EPS]]),IF(Main_L[[#This Row],[EPS]]&lt;&gt;0,Main_L[[#This Row],[Current Price]]/Main_L[[#This Row],[EPS]],""),"")</f>
        <v>28.858934169278999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" s="1">
        <f>(Main_L[[#This Row],[P/FCF]]-VLOOKUP(Main_L[[#This Row],[Industry]], Mean_PFCF_L, 2, FALSE))/(VLOOKUP(Main_L[[#This Row],[Industry]], Mean_PFCF_L, 3, FALSE))</f>
        <v>-0.45780764269243523</v>
      </c>
      <c r="P5" s="1">
        <f>(Main_L[[#This Row],[P/B]]-VLOOKUP(Main_L[[#This Row],[Industry]], Mean_PB_L, 2, FALSE))/(VLOOKUP(Main_L[[#This Row],[Industry]], Mean_PB_L, 3, FALSE))</f>
        <v>0.21636008889677755</v>
      </c>
      <c r="Q5" s="1">
        <f>(Main_L[[#This Row],[ROE]]-VLOOKUP(Main_L[[#This Row],[Industry]], Mean_ROE_L, 2, FALSE))/(VLOOKUP(Main_L[[#This Row],[Industry]], Mean_ROE_L, 3, FALSE))</f>
        <v>0.64310951096709679</v>
      </c>
      <c r="R5" s="1">
        <f>(Main_L[[#This Row],[ROA]]-VLOOKUP(Main_L[[#This Row],[Industry]], Mean_ROA_L, 2, FALSE))/(VLOOKUP(Main_L[[#This Row],[Industry]], Mean_ROA_L, 3, FALSE))</f>
        <v>-0.48280236788879366</v>
      </c>
      <c r="S5" s="1">
        <f>(Main_L[[#This Row],[A/E]]-VLOOKUP(Main_L[[#This Row],[Industry]], Mean_AE_L, 2, FALSE))/(VLOOKUP(Main_L[[#This Row],[Industry]], Mean_AE_L, 3, FALSE))</f>
        <v>1.0822350486026557</v>
      </c>
      <c r="T5" s="1">
        <f>(Main_L[[#This Row],[P/E]]-VLOOKUP(Main_L[[#This Row],[Industry]], Mean_PE_L, 2, FALSE))/(VLOOKUP(Main_L[[#This Row],[Industry]], Mean_PE_L, 3, FALSE))</f>
        <v>0.14098753265005035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" spans="1:26" x14ac:dyDescent="0.25">
      <c r="A6" s="67" t="s">
        <v>106</v>
      </c>
      <c r="B6" s="67" t="s">
        <v>163</v>
      </c>
      <c r="C6" s="2">
        <v>60568</v>
      </c>
      <c r="D6">
        <f>RTD("tos.rtd", , "LAST", Main_L[[#This Row],[Symbol]])</f>
        <v>107.27</v>
      </c>
      <c r="E6">
        <v>1.23</v>
      </c>
      <c r="F6">
        <v>4.63</v>
      </c>
      <c r="G6">
        <v>1.61</v>
      </c>
      <c r="H6" s="1">
        <f>IF(ISNUMBER(Main_L[[#This Row],[Free CF]]),IF(Main_L[[#This Row],[Free CF]]&lt;&gt;0,Main_L[[#This Row],[Current Price]]/Main_L[[#This Row],[Free CF]],""),"")</f>
        <v>87.211382113821131</v>
      </c>
      <c r="I6" s="1">
        <f>IF(ISNUMBER(Main_L[[#This Row],[BVPS]]),IF(Main_L[[#This Row],[BVPS]]&lt;&gt;0,Main_L[[#This Row],[Current Price]]/Main_L[[#This Row],[BVPS]],""),"")</f>
        <v>23.168466522678184</v>
      </c>
      <c r="J6">
        <v>32.32</v>
      </c>
      <c r="K6">
        <v>7.72</v>
      </c>
      <c r="L6">
        <v>4.5599999999999996</v>
      </c>
      <c r="M6" s="1">
        <f>IF(ISNUMBER(Main_L[[#This Row],[EPS]]),IF(Main_L[[#This Row],[EPS]]&lt;&gt;0,Main_L[[#This Row],[Current Price]]/Main_L[[#This Row],[EPS]],""),"")</f>
        <v>66.627329192546583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2.2636728749503474</v>
      </c>
      <c r="P6" s="1">
        <f>(Main_L[[#This Row],[P/B]]-VLOOKUP(Main_L[[#This Row],[Industry]], Mean_PB_L, 2, FALSE))/(VLOOKUP(Main_L[[#This Row],[Industry]], Mean_PB_L, 3, FALSE))</f>
        <v>5.7560006528238059</v>
      </c>
      <c r="Q6" s="1">
        <f>(Main_L[[#This Row],[ROE]]-VLOOKUP(Main_L[[#This Row],[Industry]], Mean_ROE_L, 2, FALSE))/(VLOOKUP(Main_L[[#This Row],[Industry]], Mean_ROE_L, 3, FALSE))</f>
        <v>2.4050788768517237</v>
      </c>
      <c r="R6" s="1">
        <f>(Main_L[[#This Row],[ROA]]-VLOOKUP(Main_L[[#This Row],[Industry]], Mean_ROA_L, 2, FALSE))/(VLOOKUP(Main_L[[#This Row],[Industry]], Mean_ROA_L, 3, FALSE))</f>
        <v>0.32967111181093367</v>
      </c>
      <c r="S6" s="1">
        <f>(Main_L[[#This Row],[A/E]]-VLOOKUP(Main_L[[#This Row],[Industry]], Mean_AE_L, 2, FALSE))/(VLOOKUP(Main_L[[#This Row],[Industry]], Mean_AE_L, 3, FALSE))</f>
        <v>2.0351464121521636</v>
      </c>
      <c r="T6" s="1">
        <f>(Main_L[[#This Row],[P/E]]-VLOOKUP(Main_L[[#This Row],[Industry]], Mean_PE_L, 2, FALSE))/(VLOOKUP(Main_L[[#This Row],[Industry]], Mean_PE_L, 3, FALSE))</f>
        <v>2.3884051052218007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" spans="1:26" x14ac:dyDescent="0.25">
      <c r="A7" s="67" t="s">
        <v>106</v>
      </c>
      <c r="B7" s="67" t="s">
        <v>167</v>
      </c>
      <c r="C7" s="2">
        <v>184801</v>
      </c>
      <c r="D7">
        <f>RTD("tos.rtd", , "LAST", Main_L[[#This Row],[Symbol]])</f>
        <v>104.77</v>
      </c>
      <c r="E7">
        <v>0.22</v>
      </c>
      <c r="F7">
        <v>4.1399999999999997</v>
      </c>
      <c r="G7">
        <v>0.37</v>
      </c>
      <c r="H7" s="1">
        <f>IF(ISNUMBER(Main_L[[#This Row],[Free CF]]),IF(Main_L[[#This Row],[Free CF]]&lt;&gt;0,Main_L[[#This Row],[Current Price]]/Main_L[[#This Row],[Free CF]],""),"")</f>
        <v>476.22727272727269</v>
      </c>
      <c r="I7" s="1">
        <f>IF(ISNUMBER(Main_L[[#This Row],[BVPS]]),IF(Main_L[[#This Row],[BVPS]]&lt;&gt;0,Main_L[[#This Row],[Current Price]]/Main_L[[#This Row],[BVPS]],""),"")</f>
        <v>25.306763285024157</v>
      </c>
      <c r="J7">
        <v>11.04</v>
      </c>
      <c r="K7">
        <v>4.8899999999999997</v>
      </c>
      <c r="L7">
        <v>2.83</v>
      </c>
      <c r="M7" s="1">
        <f>IF(ISNUMBER(Main_L[[#This Row],[EPS]]),IF(Main_L[[#This Row],[EPS]]&lt;&gt;0,Main_L[[#This Row],[Current Price]]/Main_L[[#This Row],[EPS]],""),"")</f>
        <v>283.16216216216213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" s="1">
        <f>(Main_L[[#This Row],[P/FCF]]-VLOOKUP(Main_L[[#This Row],[Industry]], Mean_PFCF_L, 2, FALSE))/(VLOOKUP(Main_L[[#This Row],[Industry]], Mean_PFCF_L, 3, FALSE))</f>
        <v>17.843783359827121</v>
      </c>
      <c r="P7" s="1">
        <f>(Main_L[[#This Row],[P/B]]-VLOOKUP(Main_L[[#This Row],[Industry]], Mean_PB_L, 2, FALSE))/(VLOOKUP(Main_L[[#This Row],[Industry]], Mean_PB_L, 3, FALSE))</f>
        <v>6.4017543669991923</v>
      </c>
      <c r="Q7" s="1">
        <f>(Main_L[[#This Row],[ROE]]-VLOOKUP(Main_L[[#This Row],[Industry]], Mean_ROE_L, 2, FALSE))/(VLOOKUP(Main_L[[#This Row],[Industry]], Mean_ROE_L, 3, FALSE))</f>
        <v>-4.7158409350033334E-2</v>
      </c>
      <c r="R7" s="1">
        <f>(Main_L[[#This Row],[ROA]]-VLOOKUP(Main_L[[#This Row],[Industry]], Mean_ROA_L, 2, FALSE))/(VLOOKUP(Main_L[[#This Row],[Industry]], Mean_ROA_L, 3, FALSE))</f>
        <v>-0.63642130312613709</v>
      </c>
      <c r="S7" s="1">
        <f>(Main_L[[#This Row],[A/E]]-VLOOKUP(Main_L[[#This Row],[Industry]], Mean_AE_L, 2, FALSE))/(VLOOKUP(Main_L[[#This Row],[Industry]], Mean_AE_L, 3, FALSE))</f>
        <v>0.20343901332922043</v>
      </c>
      <c r="T7" s="1">
        <f>(Main_L[[#This Row],[P/E]]-VLOOKUP(Main_L[[#This Row],[Industry]], Mean_PE_L, 2, FALSE))/(VLOOKUP(Main_L[[#This Row],[Industry]], Mean_PE_L, 3, FALSE))</f>
        <v>15.273363239926784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8" spans="1:26" x14ac:dyDescent="0.25">
      <c r="A8" s="67" t="s">
        <v>106</v>
      </c>
      <c r="B8" s="67" t="s">
        <v>168</v>
      </c>
      <c r="C8" s="2">
        <v>45730</v>
      </c>
      <c r="D8">
        <f>RTD("tos.rtd", , "LAST", Main_L[[#This Row],[Symbol]])</f>
        <v>32.97</v>
      </c>
      <c r="E8">
        <v>1.31</v>
      </c>
      <c r="F8">
        <v>18</v>
      </c>
      <c r="G8">
        <v>1.1000000000000001</v>
      </c>
      <c r="H8" s="1">
        <f>IF(ISNUMBER(Main_L[[#This Row],[Free CF]]),IF(Main_L[[#This Row],[Free CF]]&lt;&gt;0,Main_L[[#This Row],[Current Price]]/Main_L[[#This Row],[Free CF]],""),"")</f>
        <v>25.167938931297709</v>
      </c>
      <c r="I8" s="1">
        <f>IF(ISNUMBER(Main_L[[#This Row],[BVPS]]),IF(Main_L[[#This Row],[BVPS]]&lt;&gt;0,Main_L[[#This Row],[Current Price]]/Main_L[[#This Row],[BVPS]],""),"")</f>
        <v>1.8316666666666666</v>
      </c>
      <c r="J8">
        <v>6.13</v>
      </c>
      <c r="K8">
        <v>4.0599999999999996</v>
      </c>
      <c r="L8">
        <v>2.2000000000000002</v>
      </c>
      <c r="M8" s="1">
        <f>IF(ISNUMBER(Main_L[[#This Row],[EPS]]),IF(Main_L[[#This Row],[EPS]]&lt;&gt;0,Main_L[[#This Row],[Current Price]]/Main_L[[#This Row],[EPS]],""),"")</f>
        <v>29.972727272727269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>
        <f>(Main_L[[#This Row],[P/FCF]]-VLOOKUP(Main_L[[#This Row],[Industry]], Mean_PFCF_L, 2, FALSE))/(VLOOKUP(Main_L[[#This Row],[Industry]], Mean_PFCF_L, 3, FALSE))</f>
        <v>-0.22117086272205996</v>
      </c>
      <c r="P8" s="1">
        <f>(Main_L[[#This Row],[P/B]]-VLOOKUP(Main_L[[#This Row],[Industry]], Mean_PB_L, 2, FALSE))/(VLOOKUP(Main_L[[#This Row],[Industry]], Mean_PB_L, 3, FALSE))</f>
        <v>-0.68759408026637114</v>
      </c>
      <c r="Q8" s="1">
        <f>(Main_L[[#This Row],[ROE]]-VLOOKUP(Main_L[[#This Row],[Industry]], Mean_ROE_L, 2, FALSE))/(VLOOKUP(Main_L[[#This Row],[Industry]], Mean_ROE_L, 3, FALSE))</f>
        <v>-0.61297067792384086</v>
      </c>
      <c r="R8" s="1">
        <f>(Main_L[[#This Row],[ROA]]-VLOOKUP(Main_L[[#This Row],[Industry]], Mean_ROA_L, 2, FALSE))/(VLOOKUP(Main_L[[#This Row],[Industry]], Mean_ROA_L, 3, FALSE))</f>
        <v>-0.91976289478612605</v>
      </c>
      <c r="S8" s="1">
        <f>(Main_L[[#This Row],[A/E]]-VLOOKUP(Main_L[[#This Row],[Industry]], Mean_AE_L, 2, FALSE))/(VLOOKUP(Main_L[[#This Row],[Industry]], Mean_AE_L, 3, FALSE))</f>
        <v>-0.46359894115543521</v>
      </c>
      <c r="T8" s="1">
        <f>(Main_L[[#This Row],[P/E]]-VLOOKUP(Main_L[[#This Row],[Industry]], Mean_PE_L, 2, FALSE))/(VLOOKUP(Main_L[[#This Row],[Industry]], Mean_PE_L, 3, FALSE))</f>
        <v>0.20726406336724848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" spans="1:26" x14ac:dyDescent="0.25">
      <c r="A9" s="67" t="s">
        <v>106</v>
      </c>
      <c r="B9" s="67" t="s">
        <v>169</v>
      </c>
      <c r="C9" s="2">
        <v>310338</v>
      </c>
      <c r="D9">
        <f>RTD("tos.rtd", , "LAST", Main_L[[#This Row],[Symbol]])</f>
        <v>71.77</v>
      </c>
      <c r="E9">
        <v>-0.22</v>
      </c>
      <c r="F9">
        <v>6.09</v>
      </c>
      <c r="G9">
        <v>2.4900000000000002</v>
      </c>
      <c r="H9" s="1">
        <f>IF(ISNUMBER(Main_L[[#This Row],[Free CF]]),IF(Main_L[[#This Row],[Free CF]]&lt;&gt;0,Main_L[[#This Row],[Current Price]]/Main_L[[#This Row],[Free CF]],""),"")</f>
        <v>-326.22727272727269</v>
      </c>
      <c r="I9" s="1">
        <f>IF(ISNUMBER(Main_L[[#This Row],[BVPS]]),IF(Main_L[[#This Row],[BVPS]]&lt;&gt;0,Main_L[[#This Row],[Current Price]]/Main_L[[#This Row],[BVPS]],""),"")</f>
        <v>11.784893267651888</v>
      </c>
      <c r="J9">
        <v>38.78</v>
      </c>
      <c r="K9">
        <v>8.89</v>
      </c>
      <c r="L9">
        <v>3.88</v>
      </c>
      <c r="M9" s="1">
        <f>IF(ISNUMBER(Main_L[[#This Row],[EPS]]),IF(Main_L[[#This Row],[EPS]]&lt;&gt;0,Main_L[[#This Row],[Current Price]]/Main_L[[#This Row],[EPS]],""),"")</f>
        <v>28.823293172690757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-14.294570828116367</v>
      </c>
      <c r="P9" s="1">
        <f>(Main_L[[#This Row],[P/B]]-VLOOKUP(Main_L[[#This Row],[Industry]], Mean_PB_L, 2, FALSE))/(VLOOKUP(Main_L[[#This Row],[Industry]], Mean_PB_L, 3, FALSE))</f>
        <v>2.3182249242781121</v>
      </c>
      <c r="Q9" s="1">
        <f>(Main_L[[#This Row],[ROE]]-VLOOKUP(Main_L[[#This Row],[Industry]], Mean_ROE_L, 2, FALSE))/(VLOOKUP(Main_L[[#This Row],[Industry]], Mean_ROE_L, 3, FALSE))</f>
        <v>3.1495080530201141</v>
      </c>
      <c r="R9" s="1">
        <f>(Main_L[[#This Row],[ROA]]-VLOOKUP(Main_L[[#This Row],[Industry]], Mean_ROA_L, 2, FALSE))/(VLOOKUP(Main_L[[#This Row],[Industry]], Mean_ROA_L, 3, FALSE))</f>
        <v>0.72908034342802674</v>
      </c>
      <c r="S9" s="1">
        <f>(Main_L[[#This Row],[A/E]]-VLOOKUP(Main_L[[#This Row],[Industry]], Mean_AE_L, 2, FALSE))/(VLOOKUP(Main_L[[#This Row],[Industry]], Mean_AE_L, 3, FALSE))</f>
        <v>1.315168937470313</v>
      </c>
      <c r="T9" s="1">
        <f>(Main_L[[#This Row],[P/E]]-VLOOKUP(Main_L[[#This Row],[Industry]], Mean_PE_L, 2, FALSE))/(VLOOKUP(Main_L[[#This Row],[Industry]], Mean_PE_L, 3, FALSE))</f>
        <v>0.13886670644107221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" spans="1:26" x14ac:dyDescent="0.25">
      <c r="A10" s="67" t="s">
        <v>106</v>
      </c>
      <c r="B10" s="67" t="s">
        <v>170</v>
      </c>
      <c r="C10" s="2">
        <v>19958</v>
      </c>
      <c r="D10">
        <f>RTD("tos.rtd", , "LAST", Main_L[[#This Row],[Symbol]])</f>
        <v>97.76</v>
      </c>
      <c r="E10">
        <v>2.1</v>
      </c>
      <c r="F10">
        <v>35.28</v>
      </c>
      <c r="G10">
        <v>5.55</v>
      </c>
      <c r="H10" s="1">
        <f>IF(ISNUMBER(Main_L[[#This Row],[Free CF]]),IF(Main_L[[#This Row],[Free CF]]&lt;&gt;0,Main_L[[#This Row],[Current Price]]/Main_L[[#This Row],[Free CF]],""),"")</f>
        <v>46.55238095238095</v>
      </c>
      <c r="I10" s="1">
        <f>IF(ISNUMBER(Main_L[[#This Row],[BVPS]]),IF(Main_L[[#This Row],[BVPS]]&lt;&gt;0,Main_L[[#This Row],[Current Price]]/Main_L[[#This Row],[BVPS]],""),"")</f>
        <v>2.7709750566893425</v>
      </c>
      <c r="J10">
        <v>17.36</v>
      </c>
      <c r="K10">
        <v>8.0399999999999991</v>
      </c>
      <c r="L10">
        <v>2.06</v>
      </c>
      <c r="M10" s="1">
        <f>IF(ISNUMBER(Main_L[[#This Row],[EPS]]),IF(Main_L[[#This Row],[EPS]]&lt;&gt;0,Main_L[[#This Row],[Current Price]]/Main_L[[#This Row],[EPS]],""),"")</f>
        <v>17.614414414414416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0.63527736313454697</v>
      </c>
      <c r="P10" s="1">
        <f>(Main_L[[#This Row],[P/B]]-VLOOKUP(Main_L[[#This Row],[Industry]], Mean_PB_L, 2, FALSE))/(VLOOKUP(Main_L[[#This Row],[Industry]], Mean_PB_L, 3, FALSE))</f>
        <v>-0.40392817743454301</v>
      </c>
      <c r="Q10" s="1">
        <f>(Main_L[[#This Row],[ROE]]-VLOOKUP(Main_L[[#This Row],[Industry]], Mean_ROE_L, 2, FALSE))/(VLOOKUP(Main_L[[#This Row],[Industry]], Mean_ROE_L, 3, FALSE))</f>
        <v>0.68113762677755618</v>
      </c>
      <c r="R10" s="1">
        <f>(Main_L[[#This Row],[ROA]]-VLOOKUP(Main_L[[#This Row],[Industry]], Mean_ROA_L, 2, FALSE))/(VLOOKUP(Main_L[[#This Row],[Industry]], Mean_ROA_L, 3, FALSE))</f>
        <v>0.4389112435352665</v>
      </c>
      <c r="S10" s="1">
        <f>(Main_L[[#This Row],[A/E]]-VLOOKUP(Main_L[[#This Row],[Industry]], Mean_AE_L, 2, FALSE))/(VLOOKUP(Main_L[[#This Row],[Industry]], Mean_AE_L, 3, FALSE))</f>
        <v>-0.61182959770758105</v>
      </c>
      <c r="T10" s="1">
        <f>(Main_L[[#This Row],[P/E]]-VLOOKUP(Main_L[[#This Row],[Industry]], Mean_PE_L, 2, FALSE))/(VLOOKUP(Main_L[[#This Row],[Industry]], Mean_PE_L, 3, FALSE))</f>
        <v>-0.52812036236757842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" spans="1:26" x14ac:dyDescent="0.25">
      <c r="A11" s="67" t="s">
        <v>106</v>
      </c>
      <c r="B11" s="67" t="s">
        <v>171</v>
      </c>
      <c r="C11" s="2">
        <v>62367</v>
      </c>
      <c r="D11">
        <f>RTD("tos.rtd", , "LAST", Main_L[[#This Row],[Symbol]])</f>
        <v>63</v>
      </c>
      <c r="E11">
        <v>1.78</v>
      </c>
      <c r="F11">
        <v>6.69</v>
      </c>
      <c r="G11">
        <v>1.52</v>
      </c>
      <c r="H11" s="1">
        <f>IF(ISNUMBER(Main_L[[#This Row],[Free CF]]),IF(Main_L[[#This Row],[Free CF]]&lt;&gt;0,Main_L[[#This Row],[Current Price]]/Main_L[[#This Row],[Free CF]],""),"")</f>
        <v>35.393258426966291</v>
      </c>
      <c r="I11" s="1">
        <f>IF(ISNUMBER(Main_L[[#This Row],[BVPS]]),IF(Main_L[[#This Row],[BVPS]]&lt;&gt;0,Main_L[[#This Row],[Current Price]]/Main_L[[#This Row],[BVPS]],""),"")</f>
        <v>9.4170403587443943</v>
      </c>
      <c r="J11">
        <v>20</v>
      </c>
      <c r="K11">
        <v>14.24</v>
      </c>
      <c r="L11">
        <v>1.26</v>
      </c>
      <c r="M11" s="1">
        <f>IF(ISNUMBER(Main_L[[#This Row],[EPS]]),IF(Main_L[[#This Row],[EPS]]&lt;&gt;0,Main_L[[#This Row],[Current Price]]/Main_L[[#This Row],[EPS]],""),"")</f>
        <v>41.44736842105263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>
        <f>(Main_L[[#This Row],[P/FCF]]-VLOOKUP(Main_L[[#This Row],[Industry]], Mean_PFCF_L, 2, FALSE))/(VLOOKUP(Main_L[[#This Row],[Industry]], Mean_PFCF_L, 3, FALSE))</f>
        <v>0.18835381565150827</v>
      </c>
      <c r="P11" s="1">
        <f>(Main_L[[#This Row],[P/B]]-VLOOKUP(Main_L[[#This Row],[Industry]], Mean_PB_L, 2, FALSE))/(VLOOKUP(Main_L[[#This Row],[Industry]], Mean_PB_L, 3, FALSE))</f>
        <v>1.6031465322262752</v>
      </c>
      <c r="Q11" s="1">
        <f>(Main_L[[#This Row],[ROE]]-VLOOKUP(Main_L[[#This Row],[Industry]], Mean_ROE_L, 2, FALSE))/(VLOOKUP(Main_L[[#This Row],[Industry]], Mean_ROE_L, 3, FALSE))</f>
        <v>0.9853625532612329</v>
      </c>
      <c r="R11" s="1">
        <f>(Main_L[[#This Row],[ROA]]-VLOOKUP(Main_L[[#This Row],[Industry]], Mean_ROA_L, 2, FALSE))/(VLOOKUP(Main_L[[#This Row],[Industry]], Mean_ROA_L, 3, FALSE))</f>
        <v>2.5554387956942204</v>
      </c>
      <c r="S11" s="1">
        <f>(Main_L[[#This Row],[A/E]]-VLOOKUP(Main_L[[#This Row],[Industry]], Mean_AE_L, 2, FALSE))/(VLOOKUP(Main_L[[#This Row],[Industry]], Mean_AE_L, 3, FALSE))</f>
        <v>-1.4588619208626994</v>
      </c>
      <c r="T11" s="1">
        <f>(Main_L[[#This Row],[P/E]]-VLOOKUP(Main_L[[#This Row],[Industry]], Mean_PE_L, 2, FALSE))/(VLOOKUP(Main_L[[#This Row],[Industry]], Mean_PE_L, 3, FALSE))</f>
        <v>0.89006538812076719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" spans="1:26" x14ac:dyDescent="0.25">
      <c r="A12" s="67" t="s">
        <v>106</v>
      </c>
      <c r="B12" s="67" t="s">
        <v>172</v>
      </c>
      <c r="C12" s="2">
        <v>12344</v>
      </c>
      <c r="D12">
        <f>RTD("tos.rtd", , "LAST", Main_L[[#This Row],[Symbol]])</f>
        <v>29.56</v>
      </c>
      <c r="E12">
        <v>1.02</v>
      </c>
      <c r="F12">
        <v>8.86</v>
      </c>
      <c r="G12">
        <v>-0.04</v>
      </c>
      <c r="H12" s="1">
        <f>IF(ISNUMBER(Main_L[[#This Row],[Free CF]]),IF(Main_L[[#This Row],[Free CF]]&lt;&gt;0,Main_L[[#This Row],[Current Price]]/Main_L[[#This Row],[Free CF]],""),"")</f>
        <v>28.980392156862742</v>
      </c>
      <c r="I12" s="1">
        <f>IF(ISNUMBER(Main_L[[#This Row],[BVPS]]),IF(Main_L[[#This Row],[BVPS]]&lt;&gt;0,Main_L[[#This Row],[Current Price]]/Main_L[[#This Row],[BVPS]],""),"")</f>
        <v>3.3363431151241536</v>
      </c>
      <c r="J12">
        <v>-0.68</v>
      </c>
      <c r="K12">
        <v>4.32</v>
      </c>
      <c r="L12">
        <v>3.29</v>
      </c>
      <c r="M12" s="1">
        <f>IF(ISNUMBER(Main_L[[#This Row],[EPS]]),IF(Main_L[[#This Row],[EPS]]&lt;&gt;0,Main_L[[#This Row],[Current Price]]/Main_L[[#This Row],[EPS]],""),"")</f>
        <v>-739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2" s="1">
        <f>(Main_L[[#This Row],[P/FCF]]-VLOOKUP(Main_L[[#This Row],[Industry]], Mean_PFCF_L, 2, FALSE))/(VLOOKUP(Main_L[[#This Row],[Industry]], Mean_PFCF_L, 3, FALSE))</f>
        <v>-6.8481875187230104E-2</v>
      </c>
      <c r="P12" s="1">
        <f>(Main_L[[#This Row],[P/B]]-VLOOKUP(Main_L[[#This Row],[Industry]], Mean_PB_L, 2, FALSE))/(VLOOKUP(Main_L[[#This Row],[Industry]], Mean_PB_L, 3, FALSE))</f>
        <v>-0.23319017228980368</v>
      </c>
      <c r="Q12" s="1">
        <f>(Main_L[[#This Row],[ROE]]-VLOOKUP(Main_L[[#This Row],[Industry]], Mean_ROE_L, 2, FALSE))/(VLOOKUP(Main_L[[#This Row],[Industry]], Mean_ROE_L, 3, FALSE))</f>
        <v>-1.397732704194234</v>
      </c>
      <c r="R12" s="1">
        <f>(Main_L[[#This Row],[ROA]]-VLOOKUP(Main_L[[#This Row],[Industry]], Mean_ROA_L, 2, FALSE))/(VLOOKUP(Main_L[[#This Row],[Industry]], Mean_ROA_L, 3, FALSE))</f>
        <v>-0.83100528776010518</v>
      </c>
      <c r="S12" s="1">
        <f>(Main_L[[#This Row],[A/E]]-VLOOKUP(Main_L[[#This Row],[Industry]], Mean_AE_L, 2, FALSE))/(VLOOKUP(Main_L[[#This Row],[Industry]], Mean_AE_L, 3, FALSE))</f>
        <v>0.69048259914341348</v>
      </c>
      <c r="T12" s="1">
        <f>(Main_L[[#This Row],[P/E]]-VLOOKUP(Main_L[[#This Row],[Industry]], Mean_PE_L, 2, FALSE))/(VLOOKUP(Main_L[[#This Row],[Industry]], Mean_PE_L, 3, FALSE))</f>
        <v>-45.5506459308614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3" spans="1:26" x14ac:dyDescent="0.25">
      <c r="A13" s="67" t="s">
        <v>106</v>
      </c>
      <c r="B13" s="67" t="s">
        <v>256</v>
      </c>
      <c r="C13" s="2">
        <v>26072</v>
      </c>
      <c r="D13">
        <f>RTD("tos.rtd", , "LAST", Main_L[[#This Row],[Symbol]])</f>
        <v>20.71</v>
      </c>
      <c r="E13">
        <v>4.49</v>
      </c>
      <c r="F13">
        <v>68.11</v>
      </c>
      <c r="G13">
        <v>4.5</v>
      </c>
      <c r="H13" s="1">
        <f>IF(ISNUMBER(Main_L[[#This Row],[Free CF]]),IF(Main_L[[#This Row],[Free CF]]&lt;&gt;0,Main_L[[#This Row],[Current Price]]/Main_L[[#This Row],[Free CF]],""),"")</f>
        <v>4.6124721603563472</v>
      </c>
      <c r="I13" s="1">
        <f>IF(ISNUMBER(Main_L[[#This Row],[BVPS]]),IF(Main_L[[#This Row],[BVPS]]&lt;&gt;0,Main_L[[#This Row],[Current Price]]/Main_L[[#This Row],[BVPS]],""),"")</f>
        <v>0.30406695052121568</v>
      </c>
      <c r="J13">
        <v>6.48</v>
      </c>
      <c r="K13">
        <v>4.67</v>
      </c>
      <c r="L13">
        <v>2.41</v>
      </c>
      <c r="M13" s="1">
        <f>IF(ISNUMBER(Main_L[[#This Row],[EPS]]),IF(Main_L[[#This Row],[EPS]]&lt;&gt;0,Main_L[[#This Row],[Current Price]]/Main_L[[#This Row],[EPS]],""),"")</f>
        <v>4.6022222222222222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-1.0444185785273372</v>
      </c>
      <c r="P13" s="1">
        <f>(Main_L[[#This Row],[P/B]]-VLOOKUP(Main_L[[#This Row],[Industry]], Mean_PB_L, 2, FALSE))/(VLOOKUP(Main_L[[#This Row],[Industry]], Mean_PB_L, 3, FALSE))</f>
        <v>-1.1489206874263294</v>
      </c>
      <c r="Q13" s="1">
        <f>(Main_L[[#This Row],[ROE]]-VLOOKUP(Main_L[[#This Row],[Industry]], Mean_ROE_L, 2, FALSE))/(VLOOKUP(Main_L[[#This Row],[Industry]], Mean_ROE_L, 3, FALSE))</f>
        <v>-0.57263782782183825</v>
      </c>
      <c r="R13" s="1">
        <f>(Main_L[[#This Row],[ROA]]-VLOOKUP(Main_L[[#This Row],[Industry]], Mean_ROA_L, 2, FALSE))/(VLOOKUP(Main_L[[#This Row],[Industry]], Mean_ROA_L, 3, FALSE))</f>
        <v>-0.71152389368661606</v>
      </c>
      <c r="S13" s="1">
        <f>(Main_L[[#This Row],[A/E]]-VLOOKUP(Main_L[[#This Row],[Industry]], Mean_AE_L, 2, FALSE))/(VLOOKUP(Main_L[[#This Row],[Industry]], Mean_AE_L, 3, FALSE))</f>
        <v>-0.24125295632721663</v>
      </c>
      <c r="T13" s="1">
        <f>(Main_L[[#This Row],[P/E]]-VLOOKUP(Main_L[[#This Row],[Industry]], Mean_PE_L, 2, FALSE))/(VLOOKUP(Main_L[[#This Row],[Industry]], Mean_PE_L, 3, FALSE))</f>
        <v>-1.3024140376057696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4" spans="1:26" x14ac:dyDescent="0.25">
      <c r="A14" s="67" t="s">
        <v>106</v>
      </c>
      <c r="B14" s="67" t="s">
        <v>164</v>
      </c>
      <c r="C14" s="2">
        <v>31739</v>
      </c>
      <c r="D14">
        <f>RTD("tos.rtd", , "LAST", Main_L[[#This Row],[Symbol]])</f>
        <v>171.13</v>
      </c>
      <c r="E14">
        <v>10.68</v>
      </c>
      <c r="F14">
        <v>38.619999999999997</v>
      </c>
      <c r="G14">
        <v>-0.45</v>
      </c>
      <c r="H14" s="1">
        <f>IF(ISNUMBER(Main_L[[#This Row],[Free CF]]),IF(Main_L[[#This Row],[Free CF]]&lt;&gt;0,Main_L[[#This Row],[Current Price]]/Main_L[[#This Row],[Free CF]],""),"")</f>
        <v>16.023408239700373</v>
      </c>
      <c r="I14" s="1">
        <f>IF(ISNUMBER(Main_L[[#This Row],[BVPS]]),IF(Main_L[[#This Row],[BVPS]]&lt;&gt;0,Main_L[[#This Row],[Current Price]]/Main_L[[#This Row],[BVPS]],""),"")</f>
        <v>4.4311237700673232</v>
      </c>
      <c r="J14">
        <v>-0.36</v>
      </c>
      <c r="K14">
        <v>9.27</v>
      </c>
      <c r="L14">
        <v>3.15</v>
      </c>
      <c r="M14" s="1">
        <f>IF(ISNUMBER(Main_L[[#This Row],[EPS]]),IF(Main_L[[#This Row],[EPS]]&lt;&gt;0,Main_L[[#This Row],[Current Price]]/Main_L[[#This Row],[EPS]],""),"")</f>
        <v>-380.28888888888889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" s="1">
        <f>(Main_L[[#This Row],[P/FCF]]-VLOOKUP(Main_L[[#This Row],[Industry]], Mean_PFCF_L, 2, FALSE))/(VLOOKUP(Main_L[[#This Row],[Industry]], Mean_PFCF_L, 3, FALSE))</f>
        <v>-0.58740988263140914</v>
      </c>
      <c r="P14" s="1">
        <f>(Main_L[[#This Row],[P/B]]-VLOOKUP(Main_L[[#This Row],[Industry]], Mean_PB_L, 2, FALSE))/(VLOOKUP(Main_L[[#This Row],[Industry]], Mean_PB_L, 3, FALSE))</f>
        <v>9.7427488731809536E-2</v>
      </c>
      <c r="Q14" s="1">
        <f>(Main_L[[#This Row],[ROE]]-VLOOKUP(Main_L[[#This Row],[Industry]], Mean_ROE_L, 2, FALSE))/(VLOOKUP(Main_L[[#This Row],[Industry]], Mean_ROE_L, 3, FALSE))</f>
        <v>-1.3608569555295458</v>
      </c>
      <c r="R14" s="1">
        <f>(Main_L[[#This Row],[ROA]]-VLOOKUP(Main_L[[#This Row],[Industry]], Mean_ROA_L, 2, FALSE))/(VLOOKUP(Main_L[[#This Row],[Industry]], Mean_ROA_L, 3, FALSE))</f>
        <v>0.85880299985067199</v>
      </c>
      <c r="S14" s="1">
        <f>(Main_L[[#This Row],[A/E]]-VLOOKUP(Main_L[[#This Row],[Industry]], Mean_AE_L, 2, FALSE))/(VLOOKUP(Main_L[[#This Row],[Industry]], Mean_AE_L, 3, FALSE))</f>
        <v>0.54225194259126763</v>
      </c>
      <c r="T14" s="1">
        <f>(Main_L[[#This Row],[P/E]]-VLOOKUP(Main_L[[#This Row],[Industry]], Mean_PE_L, 2, FALSE))/(VLOOKUP(Main_L[[#This Row],[Industry]], Mean_PE_L, 3, FALSE))</f>
        <v>-24.205453632083611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5" spans="1:26" x14ac:dyDescent="0.25">
      <c r="A15" s="67" t="s">
        <v>106</v>
      </c>
      <c r="B15" s="67" t="s">
        <v>162</v>
      </c>
      <c r="C15" s="2">
        <v>10834</v>
      </c>
      <c r="D15">
        <f>RTD("tos.rtd", , "LAST", Main_L[[#This Row],[Symbol]])</f>
        <v>52.1</v>
      </c>
      <c r="E15">
        <v>5.32</v>
      </c>
      <c r="F15">
        <v>64.61</v>
      </c>
      <c r="G15">
        <v>4.99</v>
      </c>
      <c r="H15" s="1">
        <f>IF(ISNUMBER(Main_L[[#This Row],[Free CF]]),IF(Main_L[[#This Row],[Free CF]]&lt;&gt;0,Main_L[[#This Row],[Current Price]]/Main_L[[#This Row],[Free CF]],""),"")</f>
        <v>9.7932330827067666</v>
      </c>
      <c r="I15" s="1">
        <f>IF(ISNUMBER(Main_L[[#This Row],[BVPS]]),IF(Main_L[[#This Row],[BVPS]]&lt;&gt;0,Main_L[[#This Row],[Current Price]]/Main_L[[#This Row],[BVPS]],""),"")</f>
        <v>0.80637672186967968</v>
      </c>
      <c r="J15">
        <v>7.99</v>
      </c>
      <c r="K15">
        <v>4.1500000000000004</v>
      </c>
      <c r="L15">
        <v>1.98</v>
      </c>
      <c r="M15" s="1">
        <f>IF(ISNUMBER(Main_L[[#This Row],[EPS]]),IF(Main_L[[#This Row],[EPS]]&lt;&gt;0,Main_L[[#This Row],[Current Price]]/Main_L[[#This Row],[EPS]],""),"")</f>
        <v>10.440881763527054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-0.83692878308821861</v>
      </c>
      <c r="P15" s="1">
        <f>(Main_L[[#This Row],[P/B]]-VLOOKUP(Main_L[[#This Row],[Industry]], Mean_PB_L, 2, FALSE))/(VLOOKUP(Main_L[[#This Row],[Industry]], Mean_PB_L, 3, FALSE))</f>
        <v>-0.9972259338136511</v>
      </c>
      <c r="Q15" s="1">
        <f>(Main_L[[#This Row],[ROE]]-VLOOKUP(Main_L[[#This Row],[Industry]], Mean_ROE_L, 2, FALSE))/(VLOOKUP(Main_L[[#This Row],[Industry]], Mean_ROE_L, 3, FALSE))</f>
        <v>-0.39863038881034141</v>
      </c>
      <c r="R15" s="1">
        <f>(Main_L[[#This Row],[ROA]]-VLOOKUP(Main_L[[#This Row],[Industry]], Mean_ROA_L, 2, FALSE))/(VLOOKUP(Main_L[[#This Row],[Industry]], Mean_ROA_L, 3, FALSE))</f>
        <v>-0.88903910773865713</v>
      </c>
      <c r="S15" s="1">
        <f>(Main_L[[#This Row],[A/E]]-VLOOKUP(Main_L[[#This Row],[Industry]], Mean_AE_L, 2, FALSE))/(VLOOKUP(Main_L[[#This Row],[Industry]], Mean_AE_L, 3, FALSE))</f>
        <v>-0.69653283002309296</v>
      </c>
      <c r="T15" s="1">
        <f>(Main_L[[#This Row],[P/E]]-VLOOKUP(Main_L[[#This Row],[Industry]], Mean_PE_L, 2, FALSE))/(VLOOKUP(Main_L[[#This Row],[Industry]], Mean_PE_L, 3, FALSE))</f>
        <v>-0.95498317523239318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6" spans="1:26" x14ac:dyDescent="0.25">
      <c r="A16" s="67" t="s">
        <v>105</v>
      </c>
      <c r="B16" s="67" t="s">
        <v>148</v>
      </c>
      <c r="C16" s="2">
        <v>12799</v>
      </c>
      <c r="D16">
        <f>RTD("tos.rtd", , "LAST", Main_L[[#This Row],[Symbol]])</f>
        <v>21.22</v>
      </c>
      <c r="E16">
        <v>1.29</v>
      </c>
      <c r="F16">
        <v>5.88</v>
      </c>
      <c r="G16">
        <v>1.64</v>
      </c>
      <c r="H16" s="1">
        <f>IF(ISNUMBER(Main_L[[#This Row],[Free CF]]),IF(Main_L[[#This Row],[Free CF]]&lt;&gt;0,Main_L[[#This Row],[Current Price]]/Main_L[[#This Row],[Free CF]],""),"")</f>
        <v>16.449612403100772</v>
      </c>
      <c r="I16" s="1">
        <f>IF(ISNUMBER(Main_L[[#This Row],[BVPS]]),IF(Main_L[[#This Row],[BVPS]]&lt;&gt;0,Main_L[[#This Row],[Current Price]]/Main_L[[#This Row],[BVPS]],""),"")</f>
        <v>3.6088435374149657</v>
      </c>
      <c r="J16">
        <v>31.26</v>
      </c>
      <c r="K16">
        <v>4.74</v>
      </c>
      <c r="L16">
        <v>7.9</v>
      </c>
      <c r="M16" s="1">
        <f>IF(ISNUMBER(Main_L[[#This Row],[EPS]]),IF(Main_L[[#This Row],[EPS]]&lt;&gt;0,Main_L[[#This Row],[Current Price]]/Main_L[[#This Row],[EPS]],""),"")</f>
        <v>12.939024390243903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6" s="1">
        <f>(Main_L[[#This Row],[P/FCF]]-VLOOKUP(Main_L[[#This Row],[Industry]], Mean_PFCF_L, 2, FALSE))/(VLOOKUP(Main_L[[#This Row],[Industry]], Mean_PFCF_L, 3, FALSE))</f>
        <v>-0.51025382974390443</v>
      </c>
      <c r="P16" s="1">
        <f>(Main_L[[#This Row],[P/B]]-VLOOKUP(Main_L[[#This Row],[Industry]], Mean_PB_L, 2, FALSE))/(VLOOKUP(Main_L[[#This Row],[Industry]], Mean_PB_L, 3, FALSE))</f>
        <v>-0.64563394149876474</v>
      </c>
      <c r="Q16" s="1">
        <f>(Main_L[[#This Row],[ROE]]-VLOOKUP(Main_L[[#This Row],[Industry]], Mean_ROE_L, 2, FALSE))/(VLOOKUP(Main_L[[#This Row],[Industry]], Mean_ROE_L, 3, FALSE))</f>
        <v>1.2406032764791617</v>
      </c>
      <c r="R16" s="1">
        <f>(Main_L[[#This Row],[ROA]]-VLOOKUP(Main_L[[#This Row],[Industry]], Mean_ROA_L, 2, FALSE))/(VLOOKUP(Main_L[[#This Row],[Industry]], Mean_ROA_L, 3, FALSE))</f>
        <v>-1.0409421001654802</v>
      </c>
      <c r="S16" s="1">
        <f>(Main_L[[#This Row],[A/E]]-VLOOKUP(Main_L[[#This Row],[Industry]], Mean_AE_L, 2, FALSE))/(VLOOKUP(Main_L[[#This Row],[Industry]], Mean_AE_L, 3, FALSE))</f>
        <v>3.8995352090376532</v>
      </c>
      <c r="T16" s="1">
        <f>(Main_L[[#This Row],[P/E]]-VLOOKUP(Main_L[[#This Row],[Industry]], Mean_PE_L, 2, FALSE))/(VLOOKUP(Main_L[[#This Row],[Industry]], Mean_PE_L, 3, FALSE))</f>
        <v>-1.4770068563860208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7" spans="1:26" x14ac:dyDescent="0.25">
      <c r="A17" s="67" t="s">
        <v>105</v>
      </c>
      <c r="B17" s="67" t="s">
        <v>250</v>
      </c>
      <c r="C17" s="2">
        <v>49195</v>
      </c>
      <c r="D17">
        <f>RTD("tos.rtd", , "LAST", Main_L[[#This Row],[Symbol]])</f>
        <v>52.44</v>
      </c>
      <c r="E17">
        <v>2.65</v>
      </c>
      <c r="F17">
        <v>14.98</v>
      </c>
      <c r="G17">
        <v>2.72</v>
      </c>
      <c r="H17" s="1">
        <f>IF(ISNUMBER(Main_L[[#This Row],[Free CF]]),IF(Main_L[[#This Row],[Free CF]]&lt;&gt;0,Main_L[[#This Row],[Current Price]]/Main_L[[#This Row],[Free CF]],""),"")</f>
        <v>19.788679245283017</v>
      </c>
      <c r="I17" s="1">
        <f>IF(ISNUMBER(Main_L[[#This Row],[BVPS]]),IF(Main_L[[#This Row],[BVPS]]&lt;&gt;0,Main_L[[#This Row],[Current Price]]/Main_L[[#This Row],[BVPS]],""),"")</f>
        <v>3.5006675567423229</v>
      </c>
      <c r="J17">
        <v>18.82</v>
      </c>
      <c r="K17">
        <v>6.47</v>
      </c>
      <c r="L17">
        <v>2.57</v>
      </c>
      <c r="M17" s="1">
        <f>IF(ISNUMBER(Main_L[[#This Row],[EPS]]),IF(Main_L[[#This Row],[EPS]]&lt;&gt;0,Main_L[[#This Row],[Current Price]]/Main_L[[#This Row],[EPS]],""),"")</f>
        <v>19.27941176470588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7" s="1">
        <f>(Main_L[[#This Row],[P/FCF]]-VLOOKUP(Main_L[[#This Row],[Industry]], Mean_PFCF_L, 2, FALSE))/(VLOOKUP(Main_L[[#This Row],[Industry]], Mean_PFCF_L, 3, FALSE))</f>
        <v>-0.17574354814823653</v>
      </c>
      <c r="P17" s="1">
        <f>(Main_L[[#This Row],[P/B]]-VLOOKUP(Main_L[[#This Row],[Industry]], Mean_PB_L, 2, FALSE))/(VLOOKUP(Main_L[[#This Row],[Industry]], Mean_PB_L, 3, FALSE))</f>
        <v>-0.68808101952263279</v>
      </c>
      <c r="Q17" s="1">
        <f>(Main_L[[#This Row],[ROE]]-VLOOKUP(Main_L[[#This Row],[Industry]], Mean_ROE_L, 2, FALSE))/(VLOOKUP(Main_L[[#This Row],[Industry]], Mean_ROE_L, 3, FALSE))</f>
        <v>-0.35491614037922614</v>
      </c>
      <c r="R17" s="1">
        <f>(Main_L[[#This Row],[ROA]]-VLOOKUP(Main_L[[#This Row],[Industry]], Mean_ROA_L, 2, FALSE))/(VLOOKUP(Main_L[[#This Row],[Industry]], Mean_ROA_L, 3, FALSE))</f>
        <v>0.18411220819253379</v>
      </c>
      <c r="S17" s="1">
        <f>(Main_L[[#This Row],[A/E]]-VLOOKUP(Main_L[[#This Row],[Industry]], Mean_AE_L, 2, FALSE))/(VLOOKUP(Main_L[[#This Row],[Industry]], Mean_AE_L, 3, FALSE))</f>
        <v>-0.57446401909003508</v>
      </c>
      <c r="T17" s="1">
        <f>(Main_L[[#This Row],[P/E]]-VLOOKUP(Main_L[[#This Row],[Industry]], Mean_PE_L, 2, FALSE))/(VLOOKUP(Main_L[[#This Row],[Industry]], Mean_PE_L, 3, FALSE))</f>
        <v>-0.75605866764211849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8" spans="1:26" x14ac:dyDescent="0.25">
      <c r="A18" s="67" t="s">
        <v>105</v>
      </c>
      <c r="B18" s="67" t="s">
        <v>154</v>
      </c>
      <c r="C18" s="2">
        <v>14949</v>
      </c>
      <c r="D18">
        <f>RTD("tos.rtd", , "LAST", Main_L[[#This Row],[Symbol]])</f>
        <v>110.09</v>
      </c>
      <c r="E18">
        <v>2.16</v>
      </c>
      <c r="F18">
        <v>14.99</v>
      </c>
      <c r="G18">
        <v>4.3</v>
      </c>
      <c r="H18" s="1">
        <f>IF(ISNUMBER(Main_L[[#This Row],[Free CF]]),IF(Main_L[[#This Row],[Free CF]]&lt;&gt;0,Main_L[[#This Row],[Current Price]]/Main_L[[#This Row],[Free CF]],""),"")</f>
        <v>50.967592592592588</v>
      </c>
      <c r="I18" s="1">
        <f>IF(ISNUMBER(Main_L[[#This Row],[BVPS]]),IF(Main_L[[#This Row],[BVPS]]&lt;&gt;0,Main_L[[#This Row],[Current Price]]/Main_L[[#This Row],[BVPS]],""),"")</f>
        <v>7.3442294863242159</v>
      </c>
      <c r="J18">
        <v>32.76</v>
      </c>
      <c r="K18">
        <v>7.36</v>
      </c>
      <c r="L18">
        <v>3.63</v>
      </c>
      <c r="M18" s="1">
        <f>IF(ISNUMBER(Main_L[[#This Row],[EPS]]),IF(Main_L[[#This Row],[EPS]]&lt;&gt;0,Main_L[[#This Row],[Current Price]]/Main_L[[#This Row],[EPS]],""),"")</f>
        <v>25.602325581395352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8" s="1">
        <f>(Main_L[[#This Row],[P/FCF]]-VLOOKUP(Main_L[[#This Row],[Industry]], Mean_PFCF_L, 2, FALSE))/(VLOOKUP(Main_L[[#This Row],[Industry]], Mean_PFCF_L, 3, FALSE))</f>
        <v>2.9477839451915342</v>
      </c>
      <c r="P18" s="1">
        <f>(Main_L[[#This Row],[P/B]]-VLOOKUP(Main_L[[#This Row],[Industry]], Mean_PB_L, 2, FALSE))/(VLOOKUP(Main_L[[#This Row],[Industry]], Mean_PB_L, 3, FALSE))</f>
        <v>0.82009086946853227</v>
      </c>
      <c r="Q18" s="1">
        <f>(Main_L[[#This Row],[ROE]]-VLOOKUP(Main_L[[#This Row],[Industry]], Mean_ROE_L, 2, FALSE))/(VLOOKUP(Main_L[[#This Row],[Industry]], Mean_ROE_L, 3, FALSE))</f>
        <v>1.4329890582546903</v>
      </c>
      <c r="R18" s="1">
        <f>(Main_L[[#This Row],[ROA]]-VLOOKUP(Main_L[[#This Row],[Industry]], Mean_ROA_L, 2, FALSE))/(VLOOKUP(Main_L[[#This Row],[Industry]], Mean_ROA_L, 3, FALSE))</f>
        <v>0.8143424593131311</v>
      </c>
      <c r="S18" s="1">
        <f>(Main_L[[#This Row],[A/E]]-VLOOKUP(Main_L[[#This Row],[Industry]], Mean_AE_L, 2, FALSE))/(VLOOKUP(Main_L[[#This Row],[Industry]], Mean_AE_L, 3, FALSE))</f>
        <v>0.31529942965580904</v>
      </c>
      <c r="T18" s="1">
        <f>(Main_L[[#This Row],[P/E]]-VLOOKUP(Main_L[[#This Row],[Industry]], Mean_PE_L, 2, FALSE))/(VLOOKUP(Main_L[[#This Row],[Industry]], Mean_PE_L, 3, FALSE))</f>
        <v>-3.7097349586549956E-2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s="67" t="s">
        <v>105</v>
      </c>
      <c r="B19" s="67" t="s">
        <v>149</v>
      </c>
      <c r="C19" s="2">
        <v>11908</v>
      </c>
      <c r="D19">
        <f>RTD("tos.rtd", , "LAST", Main_L[[#This Row],[Symbol]])</f>
        <v>45.92</v>
      </c>
      <c r="E19">
        <v>3.1</v>
      </c>
      <c r="F19">
        <v>12.1</v>
      </c>
      <c r="G19">
        <v>1.52</v>
      </c>
      <c r="H19" s="1">
        <f>IF(ISNUMBER(Main_L[[#This Row],[Free CF]]),IF(Main_L[[#This Row],[Free CF]]&lt;&gt;0,Main_L[[#This Row],[Current Price]]/Main_L[[#This Row],[Free CF]],""),"")</f>
        <v>14.812903225806451</v>
      </c>
      <c r="I19" s="1">
        <f>IF(ISNUMBER(Main_L[[#This Row],[BVPS]]),IF(Main_L[[#This Row],[BVPS]]&lt;&gt;0,Main_L[[#This Row],[Current Price]]/Main_L[[#This Row],[BVPS]],""),"")</f>
        <v>3.79504132231405</v>
      </c>
      <c r="J19">
        <v>12.96</v>
      </c>
      <c r="K19">
        <v>6.81</v>
      </c>
      <c r="L19">
        <v>1.35</v>
      </c>
      <c r="M19" s="1">
        <f>IF(ISNUMBER(Main_L[[#This Row],[EPS]]),IF(Main_L[[#This Row],[EPS]]&lt;&gt;0,Main_L[[#This Row],[Current Price]]/Main_L[[#This Row],[EPS]],""),"")</f>
        <v>30.210526315789476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9" s="1">
        <f>(Main_L[[#This Row],[P/FCF]]-VLOOKUP(Main_L[[#This Row],[Industry]], Mean_PFCF_L, 2, FALSE))/(VLOOKUP(Main_L[[#This Row],[Industry]], Mean_PFCF_L, 3, FALSE))</f>
        <v>-0.6742206125798903</v>
      </c>
      <c r="P19" s="1">
        <f>(Main_L[[#This Row],[P/B]]-VLOOKUP(Main_L[[#This Row],[Industry]], Mean_PB_L, 2, FALSE))/(VLOOKUP(Main_L[[#This Row],[Industry]], Mean_PB_L, 3, FALSE))</f>
        <v>-0.57257195625640123</v>
      </c>
      <c r="Q19" s="1">
        <f>(Main_L[[#This Row],[ROE]]-VLOOKUP(Main_L[[#This Row],[Industry]], Mean_ROE_L, 2, FALSE))/(VLOOKUP(Main_L[[#This Row],[Industry]], Mean_ROE_L, 3, FALSE))</f>
        <v>-1.1065032611822929</v>
      </c>
      <c r="R19" s="1">
        <f>(Main_L[[#This Row],[ROA]]-VLOOKUP(Main_L[[#This Row],[Industry]], Mean_ROA_L, 2, FALSE))/(VLOOKUP(Main_L[[#This Row],[Industry]], Mean_ROA_L, 3, FALSE))</f>
        <v>0.42487432659815499</v>
      </c>
      <c r="S19" s="1">
        <f>(Main_L[[#This Row],[A/E]]-VLOOKUP(Main_L[[#This Row],[Industry]], Mean_AE_L, 2, FALSE))/(VLOOKUP(Main_L[[#This Row],[Industry]], Mean_AE_L, 3, FALSE))</f>
        <v>-1.5985313846277045</v>
      </c>
      <c r="T19" s="1">
        <f>(Main_L[[#This Row],[P/E]]-VLOOKUP(Main_L[[#This Row],[Industry]], Mean_PE_L, 2, FALSE))/(VLOOKUP(Main_L[[#This Row],[Industry]], Mean_PE_L, 3, FALSE))</f>
        <v>0.48688861162006802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s="67" t="s">
        <v>105</v>
      </c>
      <c r="B20" s="67" t="s">
        <v>150</v>
      </c>
      <c r="C20" s="2">
        <v>15936</v>
      </c>
      <c r="D20">
        <f>RTD("tos.rtd", , "LAST", Main_L[[#This Row],[Symbol]])</f>
        <v>439.29</v>
      </c>
      <c r="E20">
        <v>14.12</v>
      </c>
      <c r="F20">
        <v>92.07</v>
      </c>
      <c r="G20">
        <v>14.35</v>
      </c>
      <c r="H20" s="1">
        <f>IF(ISNUMBER(Main_L[[#This Row],[Free CF]]),IF(Main_L[[#This Row],[Free CF]]&lt;&gt;0,Main_L[[#This Row],[Current Price]]/Main_L[[#This Row],[Free CF]],""),"")</f>
        <v>31.111189801699719</v>
      </c>
      <c r="I20" s="1">
        <f>IF(ISNUMBER(Main_L[[#This Row],[BVPS]]),IF(Main_L[[#This Row],[BVPS]]&lt;&gt;0,Main_L[[#This Row],[Current Price]]/Main_L[[#This Row],[BVPS]],""),"")</f>
        <v>4.7712609970674489</v>
      </c>
      <c r="J20">
        <v>16.82</v>
      </c>
      <c r="K20">
        <v>6.95</v>
      </c>
      <c r="L20">
        <v>2.41</v>
      </c>
      <c r="M20" s="1">
        <f>IF(ISNUMBER(Main_L[[#This Row],[EPS]]),IF(Main_L[[#This Row],[EPS]]&lt;&gt;0,Main_L[[#This Row],[Current Price]]/Main_L[[#This Row],[EPS]],""),"")</f>
        <v>30.612543554006972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0" s="1">
        <f>(Main_L[[#This Row],[P/FCF]]-VLOOKUP(Main_L[[#This Row],[Industry]], Mean_PFCF_L, 2, FALSE))/(VLOOKUP(Main_L[[#This Row],[Industry]], Mean_PFCF_L, 3, FALSE))</f>
        <v>0.95855425827769214</v>
      </c>
      <c r="P20" s="1">
        <f>(Main_L[[#This Row],[P/B]]-VLOOKUP(Main_L[[#This Row],[Industry]], Mean_PB_L, 2, FALSE))/(VLOOKUP(Main_L[[#This Row],[Industry]], Mean_PB_L, 3, FALSE))</f>
        <v>-0.1895139756859324</v>
      </c>
      <c r="Q20" s="1">
        <f>(Main_L[[#This Row],[ROE]]-VLOOKUP(Main_L[[#This Row],[Industry]], Mean_ROE_L, 2, FALSE))/(VLOOKUP(Main_L[[#This Row],[Industry]], Mean_ROE_L, 3, FALSE))</f>
        <v>-0.6114305160799316</v>
      </c>
      <c r="R20" s="1">
        <f>(Main_L[[#This Row],[ROA]]-VLOOKUP(Main_L[[#This Row],[Industry]], Mean_ROA_L, 2, FALSE))/(VLOOKUP(Main_L[[#This Row],[Industry]], Mean_ROA_L, 3, FALSE))</f>
        <v>0.52401166947105826</v>
      </c>
      <c r="S20" s="1">
        <f>(Main_L[[#This Row],[A/E]]-VLOOKUP(Main_L[[#This Row],[Industry]], Mean_AE_L, 2, FALSE))/(VLOOKUP(Main_L[[#This Row],[Industry]], Mean_AE_L, 3, FALSE))</f>
        <v>-0.70876793588186038</v>
      </c>
      <c r="T20" s="1">
        <f>(Main_L[[#This Row],[P/E]]-VLOOKUP(Main_L[[#This Row],[Industry]], Mean_PE_L, 2, FALSE))/(VLOOKUP(Main_L[[#This Row],[Industry]], Mean_PE_L, 3, FALSE))</f>
        <v>0.53260089741890282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1" spans="1:26" x14ac:dyDescent="0.25">
      <c r="A21" s="67" t="s">
        <v>105</v>
      </c>
      <c r="B21" s="67" t="s">
        <v>155</v>
      </c>
      <c r="C21" s="2">
        <v>461340</v>
      </c>
      <c r="D21">
        <f>RTD("tos.rtd", , "LAST", Main_L[[#This Row],[Symbol]])</f>
        <v>1006.18</v>
      </c>
      <c r="E21">
        <v>16.48</v>
      </c>
      <c r="F21">
        <v>61.16</v>
      </c>
      <c r="G21">
        <v>17.63</v>
      </c>
      <c r="H21" s="1">
        <f>IF(ISNUMBER(Main_L[[#This Row],[Free CF]]),IF(Main_L[[#This Row],[Free CF]]&lt;&gt;0,Main_L[[#This Row],[Current Price]]/Main_L[[#This Row],[Free CF]],""),"")</f>
        <v>61.054611650485434</v>
      </c>
      <c r="I21" s="1">
        <f>IF(ISNUMBER(Main_L[[#This Row],[BVPS]]),IF(Main_L[[#This Row],[BVPS]]&lt;&gt;0,Main_L[[#This Row],[Current Price]]/Main_L[[#This Row],[BVPS]],""),"")</f>
        <v>16.451602354480052</v>
      </c>
      <c r="J21">
        <v>32.08</v>
      </c>
      <c r="K21">
        <v>8.7899999999999991</v>
      </c>
      <c r="L21">
        <v>2.78</v>
      </c>
      <c r="M21" s="1">
        <f>IF(ISNUMBER(Main_L[[#This Row],[EPS]]),IF(Main_L[[#This Row],[EPS]]&lt;&gt;0,Main_L[[#This Row],[Current Price]]/Main_L[[#This Row],[EPS]],""),"")</f>
        <v>57.072036301758367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1" s="1">
        <f>(Main_L[[#This Row],[P/FCF]]-VLOOKUP(Main_L[[#This Row],[Industry]], Mean_PFCF_L, 2, FALSE))/(VLOOKUP(Main_L[[#This Row],[Industry]], Mean_PFCF_L, 3, FALSE))</f>
        <v>3.9583092640891309</v>
      </c>
      <c r="P21" s="1">
        <f>(Main_L[[#This Row],[P/B]]-VLOOKUP(Main_L[[#This Row],[Industry]], Mean_PB_L, 2, FALSE))/(VLOOKUP(Main_L[[#This Row],[Industry]], Mean_PB_L, 3, FALSE))</f>
        <v>4.3937249084048151</v>
      </c>
      <c r="Q21" s="1">
        <f>(Main_L[[#This Row],[ROE]]-VLOOKUP(Main_L[[#This Row],[Industry]], Mean_ROE_L, 2, FALSE))/(VLOOKUP(Main_L[[#This Row],[Industry]], Mean_ROE_L, 3, FALSE))</f>
        <v>1.3457741705164505</v>
      </c>
      <c r="R21" s="1">
        <f>(Main_L[[#This Row],[ROA]]-VLOOKUP(Main_L[[#This Row],[Industry]], Mean_ROA_L, 2, FALSE))/(VLOOKUP(Main_L[[#This Row],[Industry]], Mean_ROA_L, 3, FALSE))</f>
        <v>1.8269596043720668</v>
      </c>
      <c r="S21" s="1">
        <f>(Main_L[[#This Row],[A/E]]-VLOOKUP(Main_L[[#This Row],[Industry]], Mean_AE_L, 2, FALSE))/(VLOOKUP(Main_L[[#This Row],[Industry]], Mean_AE_L, 3, FALSE))</f>
        <v>-0.39819012830076411</v>
      </c>
      <c r="T21" s="1">
        <f>(Main_L[[#This Row],[P/E]]-VLOOKUP(Main_L[[#This Row],[Industry]], Mean_PE_L, 2, FALSE))/(VLOOKUP(Main_L[[#This Row],[Industry]], Mean_PE_L, 3, FALSE))</f>
        <v>3.5412377905539221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2" spans="1:26" x14ac:dyDescent="0.25">
      <c r="A22" s="67" t="s">
        <v>105</v>
      </c>
      <c r="B22" s="67" t="s">
        <v>156</v>
      </c>
      <c r="C22" s="2">
        <v>21390</v>
      </c>
      <c r="D22">
        <f>RTD("tos.rtd", , "LAST", Main_L[[#This Row],[Symbol]])</f>
        <v>113.31</v>
      </c>
      <c r="E22">
        <v>7.67</v>
      </c>
      <c r="F22">
        <v>33.71</v>
      </c>
      <c r="G22">
        <v>5.1100000000000003</v>
      </c>
      <c r="H22" s="1">
        <f>IF(ISNUMBER(Main_L[[#This Row],[Free CF]]),IF(Main_L[[#This Row],[Free CF]]&lt;&gt;0,Main_L[[#This Row],[Current Price]]/Main_L[[#This Row],[Free CF]],""),"")</f>
        <v>14.773142112125164</v>
      </c>
      <c r="I22" s="1">
        <f>IF(ISNUMBER(Main_L[[#This Row],[BVPS]]),IF(Main_L[[#This Row],[BVPS]]&lt;&gt;0,Main_L[[#This Row],[Current Price]]/Main_L[[#This Row],[BVPS]],""),"")</f>
        <v>3.3613171165826166</v>
      </c>
      <c r="J22">
        <v>15.89</v>
      </c>
      <c r="K22">
        <v>3.92</v>
      </c>
      <c r="L22">
        <v>4.2</v>
      </c>
      <c r="M22" s="1">
        <f>IF(ISNUMBER(Main_L[[#This Row],[EPS]]),IF(Main_L[[#This Row],[EPS]]&lt;&gt;0,Main_L[[#This Row],[Current Price]]/Main_L[[#This Row],[EPS]],""),"")</f>
        <v>22.174168297455967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2" s="1">
        <f>(Main_L[[#This Row],[P/FCF]]-VLOOKUP(Main_L[[#This Row],[Industry]], Mean_PFCF_L, 2, FALSE))/(VLOOKUP(Main_L[[#This Row],[Industry]], Mean_PFCF_L, 3, FALSE))</f>
        <v>-0.67820391149624026</v>
      </c>
      <c r="P22" s="1">
        <f>(Main_L[[#This Row],[P/B]]-VLOOKUP(Main_L[[#This Row],[Industry]], Mean_PB_L, 2, FALSE))/(VLOOKUP(Main_L[[#This Row],[Industry]], Mean_PB_L, 3, FALSE))</f>
        <v>-0.74276061631796186</v>
      </c>
      <c r="Q22" s="1">
        <f>(Main_L[[#This Row],[ROE]]-VLOOKUP(Main_L[[#This Row],[Industry]], Mean_ROE_L, 2, FALSE))/(VLOOKUP(Main_L[[#This Row],[Industry]], Mean_ROE_L, 3, FALSE))</f>
        <v>-0.73070970078075959</v>
      </c>
      <c r="R22" s="1">
        <f>(Main_L[[#This Row],[ROA]]-VLOOKUP(Main_L[[#This Row],[Industry]], Mean_ROA_L, 2, FALSE))/(VLOOKUP(Main_L[[#This Row],[Industry]], Mean_ROA_L, 3, FALSE))</f>
        <v>-1.6216036798496258</v>
      </c>
      <c r="S22" s="1">
        <f>(Main_L[[#This Row],[A/E]]-VLOOKUP(Main_L[[#This Row],[Industry]], Mean_AE_L, 2, FALSE))/(VLOOKUP(Main_L[[#This Row],[Industry]], Mean_AE_L, 3, FALSE))</f>
        <v>0.79375713322668762</v>
      </c>
      <c r="T22" s="1">
        <f>(Main_L[[#This Row],[P/E]]-VLOOKUP(Main_L[[#This Row],[Industry]], Mean_PE_L, 2, FALSE))/(VLOOKUP(Main_L[[#This Row],[Industry]], Mean_PE_L, 3, FALSE))</f>
        <v>-0.42690378231969817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s="67" t="s">
        <v>105</v>
      </c>
      <c r="B23" s="67" t="s">
        <v>157</v>
      </c>
      <c r="C23" s="2">
        <v>18968</v>
      </c>
      <c r="D23">
        <f>RTD("tos.rtd", , "LAST", Main_L[[#This Row],[Symbol]])</f>
        <v>93.85</v>
      </c>
      <c r="E23">
        <v>7.24</v>
      </c>
      <c r="F23">
        <v>18.489999999999998</v>
      </c>
      <c r="G23">
        <v>4.83</v>
      </c>
      <c r="H23" s="1">
        <f>IF(ISNUMBER(Main_L[[#This Row],[Free CF]]),IF(Main_L[[#This Row],[Free CF]]&lt;&gt;0,Main_L[[#This Row],[Current Price]]/Main_L[[#This Row],[Free CF]],""),"")</f>
        <v>12.962707182320441</v>
      </c>
      <c r="I23" s="1">
        <f>IF(ISNUMBER(Main_L[[#This Row],[BVPS]]),IF(Main_L[[#This Row],[BVPS]]&lt;&gt;0,Main_L[[#This Row],[Current Price]]/Main_L[[#This Row],[BVPS]],""),"")</f>
        <v>5.0757166035694974</v>
      </c>
      <c r="J23">
        <v>18.47</v>
      </c>
      <c r="K23">
        <v>4.6500000000000004</v>
      </c>
      <c r="L23">
        <v>4.6900000000000004</v>
      </c>
      <c r="M23" s="1">
        <f>IF(ISNUMBER(Main_L[[#This Row],[EPS]]),IF(Main_L[[#This Row],[EPS]]&lt;&gt;0,Main_L[[#This Row],[Current Price]]/Main_L[[#This Row],[EPS]],""),"")</f>
        <v>19.430641821946168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>
        <f>(Main_L[[#This Row],[P/FCF]]-VLOOKUP(Main_L[[#This Row],[Industry]], Mean_PFCF_L, 2, FALSE))/(VLOOKUP(Main_L[[#This Row],[Industry]], Mean_PFCF_L, 3, FALSE))</f>
        <v>-0.85957467368913354</v>
      </c>
      <c r="P23" s="1">
        <f>(Main_L[[#This Row],[P/B]]-VLOOKUP(Main_L[[#This Row],[Industry]], Mean_PB_L, 2, FALSE))/(VLOOKUP(Main_L[[#This Row],[Industry]], Mean_PB_L, 3, FALSE))</f>
        <v>-7.0048907713918612E-2</v>
      </c>
      <c r="Q23" s="1">
        <f>(Main_L[[#This Row],[ROE]]-VLOOKUP(Main_L[[#This Row],[Industry]], Mean_ROE_L, 2, FALSE))/(VLOOKUP(Main_L[[#This Row],[Industry]], Mean_ROE_L, 3, FALSE))</f>
        <v>-0.39980615612684978</v>
      </c>
      <c r="R23" s="1">
        <f>(Main_L[[#This Row],[ROA]]-VLOOKUP(Main_L[[#This Row],[Industry]], Mean_ROA_L, 2, FALSE))/(VLOOKUP(Main_L[[#This Row],[Industry]], Mean_ROA_L, 3, FALSE))</f>
        <v>-1.1046732491552034</v>
      </c>
      <c r="S23" s="1">
        <f>(Main_L[[#This Row],[A/E]]-VLOOKUP(Main_L[[#This Row],[Industry]], Mean_AE_L, 2, FALSE))/(VLOOKUP(Main_L[[#This Row],[Industry]], Mean_AE_L, 3, FALSE))</f>
        <v>1.2050628784016535</v>
      </c>
      <c r="T23" s="1">
        <f>(Main_L[[#This Row],[P/E]]-VLOOKUP(Main_L[[#This Row],[Industry]], Mean_PE_L, 2, FALSE))/(VLOOKUP(Main_L[[#This Row],[Industry]], Mean_PE_L, 3, FALSE))</f>
        <v>-0.73886270950710409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4" spans="1:26" x14ac:dyDescent="0.25">
      <c r="A24" s="67" t="s">
        <v>105</v>
      </c>
      <c r="B24" s="67" t="s">
        <v>253</v>
      </c>
      <c r="C24" s="2">
        <v>14471</v>
      </c>
      <c r="D24">
        <f>RTD("tos.rtd", , "LAST", Main_L[[#This Row],[Symbol]])</f>
        <v>69.59</v>
      </c>
      <c r="E24">
        <v>1</v>
      </c>
      <c r="F24">
        <v>19.5</v>
      </c>
      <c r="G24">
        <v>4.01</v>
      </c>
      <c r="H24" s="1">
        <f>IF(ISNUMBER(Main_L[[#This Row],[Free CF]]),IF(Main_L[[#This Row],[Free CF]]&lt;&gt;0,Main_L[[#This Row],[Current Price]]/Main_L[[#This Row],[Free CF]],""),"")</f>
        <v>69.59</v>
      </c>
      <c r="I24" s="1">
        <f>IF(ISNUMBER(Main_L[[#This Row],[BVPS]]),IF(Main_L[[#This Row],[BVPS]]&lt;&gt;0,Main_L[[#This Row],[Current Price]]/Main_L[[#This Row],[BVPS]],""),"")</f>
        <v>3.568717948717949</v>
      </c>
      <c r="J24">
        <v>22.85</v>
      </c>
      <c r="K24">
        <v>10.34</v>
      </c>
      <c r="L24">
        <v>1.73</v>
      </c>
      <c r="M24" s="1">
        <f>IF(ISNUMBER(Main_L[[#This Row],[EPS]]),IF(Main_L[[#This Row],[EPS]]&lt;&gt;0,Main_L[[#This Row],[Current Price]]/Main_L[[#This Row],[EPS]],""),"")</f>
        <v>17.354114713216958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4" s="1">
        <f>(Main_L[[#This Row],[P/FCF]]-VLOOKUP(Main_L[[#This Row],[Industry]], Mean_PFCF_L, 2, FALSE))/(VLOOKUP(Main_L[[#This Row],[Industry]], Mean_PFCF_L, 3, FALSE))</f>
        <v>4.81339102653103</v>
      </c>
      <c r="P24" s="1">
        <f>(Main_L[[#This Row],[P/B]]-VLOOKUP(Main_L[[#This Row],[Industry]], Mean_PB_L, 2, FALSE))/(VLOOKUP(Main_L[[#This Row],[Industry]], Mean_PB_L, 3, FALSE))</f>
        <v>-0.66137878599737943</v>
      </c>
      <c r="Q24" s="1">
        <f>(Main_L[[#This Row],[ROE]]-VLOOKUP(Main_L[[#This Row],[Industry]], Mean_ROE_L, 2, FALSE))/(VLOOKUP(Main_L[[#This Row],[Industry]], Mean_ROE_L, 3, FALSE))</f>
        <v>0.16196032665769541</v>
      </c>
      <c r="R24" s="1">
        <f>(Main_L[[#This Row],[ROA]]-VLOOKUP(Main_L[[#This Row],[Industry]], Mean_ROA_L, 2, FALSE))/(VLOOKUP(Main_L[[#This Row],[Industry]], Mean_ROA_L, 3, FALSE))</f>
        <v>2.924551614750635</v>
      </c>
      <c r="S24" s="1">
        <f>(Main_L[[#This Row],[A/E]]-VLOOKUP(Main_L[[#This Row],[Industry]], Mean_AE_L, 2, FALSE))/(VLOOKUP(Main_L[[#This Row],[Industry]], Mean_AE_L, 3, FALSE))</f>
        <v>-1.2795595822471189</v>
      </c>
      <c r="T24" s="1">
        <f>(Main_L[[#This Row],[P/E]]-VLOOKUP(Main_L[[#This Row],[Industry]], Mean_PE_L, 2, FALSE))/(VLOOKUP(Main_L[[#This Row],[Industry]], Mean_PE_L, 3, FALSE))</f>
        <v>-0.97497895438291049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5" spans="1:26" x14ac:dyDescent="0.25">
      <c r="A25" s="67" t="s">
        <v>105</v>
      </c>
      <c r="B25" s="67" t="s">
        <v>151</v>
      </c>
      <c r="C25" s="2">
        <v>45431</v>
      </c>
      <c r="D25">
        <f>RTD("tos.rtd", , "LAST", Main_L[[#This Row],[Symbol]])</f>
        <v>65.489999999999995</v>
      </c>
      <c r="E25">
        <v>2.4900000000000002</v>
      </c>
      <c r="F25">
        <v>12.55</v>
      </c>
      <c r="G25">
        <v>3.67</v>
      </c>
      <c r="H25" s="1">
        <f>IF(ISNUMBER(Main_L[[#This Row],[Free CF]]),IF(Main_L[[#This Row],[Free CF]]&lt;&gt;0,Main_L[[#This Row],[Current Price]]/Main_L[[#This Row],[Free CF]],""),"")</f>
        <v>26.301204819277103</v>
      </c>
      <c r="I25" s="1">
        <f>IF(ISNUMBER(Main_L[[#This Row],[BVPS]]),IF(Main_L[[#This Row],[BVPS]]&lt;&gt;0,Main_L[[#This Row],[Current Price]]/Main_L[[#This Row],[BVPS]],""),"")</f>
        <v>5.2183266932270911</v>
      </c>
      <c r="J25">
        <v>26.88</v>
      </c>
      <c r="K25">
        <v>5.63</v>
      </c>
      <c r="L25">
        <v>6.35</v>
      </c>
      <c r="M25" s="1">
        <f>IF(ISNUMBER(Main_L[[#This Row],[EPS]]),IF(Main_L[[#This Row],[EPS]]&lt;&gt;0,Main_L[[#This Row],[Current Price]]/Main_L[[#This Row],[EPS]],""),"")</f>
        <v>17.844686648501362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5" s="1">
        <f>(Main_L[[#This Row],[P/FCF]]-VLOOKUP(Main_L[[#This Row],[Industry]], Mean_PFCF_L, 2, FALSE))/(VLOOKUP(Main_L[[#This Row],[Industry]], Mean_PFCF_L, 3, FALSE))</f>
        <v>0.47668626731241731</v>
      </c>
      <c r="P25" s="1">
        <f>(Main_L[[#This Row],[P/B]]-VLOOKUP(Main_L[[#This Row],[Industry]], Mean_PB_L, 2, FALSE))/(VLOOKUP(Main_L[[#This Row],[Industry]], Mean_PB_L, 3, FALSE))</f>
        <v>-1.4090259915705772E-2</v>
      </c>
      <c r="Q25" s="1">
        <f>(Main_L[[#This Row],[ROE]]-VLOOKUP(Main_L[[#This Row],[Industry]], Mean_ROE_L, 2, FALSE))/(VLOOKUP(Main_L[[#This Row],[Industry]], Mean_ROE_L, 3, FALSE))</f>
        <v>0.67883679369461647</v>
      </c>
      <c r="R25" s="1">
        <f>(Main_L[[#This Row],[ROA]]-VLOOKUP(Main_L[[#This Row],[Industry]], Mean_ROA_L, 2, FALSE))/(VLOOKUP(Main_L[[#This Row],[Industry]], Mean_ROA_L, 3, FALSE))</f>
        <v>-0.41071184904488345</v>
      </c>
      <c r="S25" s="1">
        <f>(Main_L[[#This Row],[A/E]]-VLOOKUP(Main_L[[#This Row],[Industry]], Mean_AE_L, 2, FALSE))/(VLOOKUP(Main_L[[#This Row],[Industry]], Mean_AE_L, 3, FALSE))</f>
        <v>2.5984660151168426</v>
      </c>
      <c r="T25" s="1">
        <f>(Main_L[[#This Row],[P/E]]-VLOOKUP(Main_L[[#This Row],[Industry]], Mean_PE_L, 2, FALSE))/(VLOOKUP(Main_L[[#This Row],[Industry]], Mean_PE_L, 3, FALSE))</f>
        <v>-0.91919735504145172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6" spans="1:26" x14ac:dyDescent="0.25">
      <c r="A26" s="67" t="s">
        <v>105</v>
      </c>
      <c r="B26" s="67" t="s">
        <v>152</v>
      </c>
      <c r="C26" s="2">
        <v>50495</v>
      </c>
      <c r="D26">
        <f>RTD("tos.rtd", , "LAST", Main_L[[#This Row],[Symbol]])</f>
        <v>163.46</v>
      </c>
      <c r="E26">
        <v>8.84</v>
      </c>
      <c r="F26">
        <v>25.57</v>
      </c>
      <c r="G26">
        <v>5.01</v>
      </c>
      <c r="H26" s="1">
        <f>IF(ISNUMBER(Main_L[[#This Row],[Free CF]]),IF(Main_L[[#This Row],[Free CF]]&lt;&gt;0,Main_L[[#This Row],[Current Price]]/Main_L[[#This Row],[Free CF]],""),"")</f>
        <v>18.490950226244344</v>
      </c>
      <c r="I26" s="1">
        <f>IF(ISNUMBER(Main_L[[#This Row],[BVPS]]),IF(Main_L[[#This Row],[BVPS]]&lt;&gt;0,Main_L[[#This Row],[Current Price]]/Main_L[[#This Row],[BVPS]],""),"")</f>
        <v>6.392647633946031</v>
      </c>
      <c r="J26">
        <v>20.6</v>
      </c>
      <c r="K26">
        <v>6.4</v>
      </c>
      <c r="L26">
        <v>3.65</v>
      </c>
      <c r="M26" s="1">
        <f>IF(ISNUMBER(Main_L[[#This Row],[EPS]]),IF(Main_L[[#This Row],[EPS]]&lt;&gt;0,Main_L[[#This Row],[Current Price]]/Main_L[[#This Row],[EPS]],""),"")</f>
        <v>32.626746506986031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6" s="1">
        <f>(Main_L[[#This Row],[P/FCF]]-VLOOKUP(Main_L[[#This Row],[Industry]], Mean_PFCF_L, 2, FALSE))/(VLOOKUP(Main_L[[#This Row],[Industry]], Mean_PFCF_L, 3, FALSE))</f>
        <v>-0.30575103829772637</v>
      </c>
      <c r="P26" s="1">
        <f>(Main_L[[#This Row],[P/B]]-VLOOKUP(Main_L[[#This Row],[Industry]], Mean_PB_L, 2, FALSE))/(VLOOKUP(Main_L[[#This Row],[Industry]], Mean_PB_L, 3, FALSE))</f>
        <v>0.44670050237562159</v>
      </c>
      <c r="Q26" s="1">
        <f>(Main_L[[#This Row],[ROE]]-VLOOKUP(Main_L[[#This Row],[Industry]], Mean_ROE_L, 2, FALSE))/(VLOOKUP(Main_L[[#This Row],[Industry]], Mean_ROE_L, 3, FALSE))</f>
        <v>-0.12661834600559818</v>
      </c>
      <c r="R26" s="1">
        <f>(Main_L[[#This Row],[ROA]]-VLOOKUP(Main_L[[#This Row],[Industry]], Mean_ROA_L, 2, FALSE))/(VLOOKUP(Main_L[[#This Row],[Industry]], Mean_ROA_L, 3, FALSE))</f>
        <v>0.13454353675608277</v>
      </c>
      <c r="S26" s="1">
        <f>(Main_L[[#This Row],[A/E]]-VLOOKUP(Main_L[[#This Row],[Industry]], Mean_AE_L, 2, FALSE))/(VLOOKUP(Main_L[[#This Row],[Industry]], Mean_AE_L, 3, FALSE))</f>
        <v>0.33208741925478724</v>
      </c>
      <c r="T26" s="1">
        <f>(Main_L[[#This Row],[P/E]]-VLOOKUP(Main_L[[#This Row],[Industry]], Mean_PE_L, 2, FALSE))/(VLOOKUP(Main_L[[#This Row],[Industry]], Mean_PE_L, 3, FALSE))</f>
        <v>0.76163043220124649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7" spans="1:26" x14ac:dyDescent="0.25">
      <c r="A27" s="67" t="s">
        <v>105</v>
      </c>
      <c r="B27" s="67" t="s">
        <v>255</v>
      </c>
      <c r="C27" s="2">
        <v>17112</v>
      </c>
      <c r="D27">
        <f>RTD("tos.rtd", , "LAST", Main_L[[#This Row],[Symbol]])</f>
        <v>77.42</v>
      </c>
      <c r="E27">
        <v>3.4</v>
      </c>
      <c r="F27">
        <v>22.44</v>
      </c>
      <c r="G27">
        <v>3.09</v>
      </c>
      <c r="H27" s="1">
        <f>IF(ISNUMBER(Main_L[[#This Row],[Free CF]]),IF(Main_L[[#This Row],[Free CF]]&lt;&gt;0,Main_L[[#This Row],[Current Price]]/Main_L[[#This Row],[Free CF]],""),"")</f>
        <v>22.77058823529412</v>
      </c>
      <c r="I27" s="1">
        <f>IF(ISNUMBER(Main_L[[#This Row],[BVPS]]),IF(Main_L[[#This Row],[BVPS]]&lt;&gt;0,Main_L[[#This Row],[Current Price]]/Main_L[[#This Row],[BVPS]],""),"")</f>
        <v>3.4500891265597149</v>
      </c>
      <c r="J27">
        <v>14.26</v>
      </c>
      <c r="K27">
        <v>6.44</v>
      </c>
      <c r="L27">
        <v>2.0099999999999998</v>
      </c>
      <c r="M27" s="1">
        <f>IF(ISNUMBER(Main_L[[#This Row],[EPS]]),IF(Main_L[[#This Row],[EPS]]&lt;&gt;0,Main_L[[#This Row],[Current Price]]/Main_L[[#This Row],[EPS]],""),"")</f>
        <v>25.055016181229774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7" s="1">
        <f>(Main_L[[#This Row],[P/FCF]]-VLOOKUP(Main_L[[#This Row],[Industry]], Mean_PFCF_L, 2, FALSE))/(VLOOKUP(Main_L[[#This Row],[Industry]], Mean_PFCF_L, 3, FALSE))</f>
        <v>0.1229863854188812</v>
      </c>
      <c r="P27" s="1">
        <f>(Main_L[[#This Row],[P/B]]-VLOOKUP(Main_L[[#This Row],[Industry]], Mean_PB_L, 2, FALSE))/(VLOOKUP(Main_L[[#This Row],[Industry]], Mean_PB_L, 3, FALSE))</f>
        <v>-0.70792744530898921</v>
      </c>
      <c r="Q27" s="1">
        <f>(Main_L[[#This Row],[ROE]]-VLOOKUP(Main_L[[#This Row],[Industry]], Mean_ROE_L, 2, FALSE))/(VLOOKUP(Main_L[[#This Row],[Industry]], Mean_ROE_L, 3, FALSE))</f>
        <v>-0.93976891697683451</v>
      </c>
      <c r="R27" s="1">
        <f>(Main_L[[#This Row],[ROA]]-VLOOKUP(Main_L[[#This Row],[Industry]], Mean_ROA_L, 2, FALSE))/(VLOOKUP(Main_L[[#This Row],[Industry]], Mean_ROA_L, 3, FALSE))</f>
        <v>0.16286849186262647</v>
      </c>
      <c r="S27" s="1">
        <f>(Main_L[[#This Row],[A/E]]-VLOOKUP(Main_L[[#This Row],[Industry]], Mean_AE_L, 2, FALSE))/(VLOOKUP(Main_L[[#This Row],[Industry]], Mean_AE_L, 3, FALSE))</f>
        <v>-1.0445277278614244</v>
      </c>
      <c r="T27" s="1">
        <f>(Main_L[[#This Row],[P/E]]-VLOOKUP(Main_L[[#This Row],[Industry]], Mean_PE_L, 2, FALSE))/(VLOOKUP(Main_L[[#This Row],[Industry]], Mean_PE_L, 3, FALSE))</f>
        <v>-9.9330411610677058E-2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8" spans="1:26" x14ac:dyDescent="0.25">
      <c r="A28" s="67" t="s">
        <v>105</v>
      </c>
      <c r="B28" s="67" t="s">
        <v>145</v>
      </c>
      <c r="C28" s="2">
        <v>13980</v>
      </c>
      <c r="D28">
        <f>RTD("tos.rtd", , "LAST", Main_L[[#This Row],[Symbol]])</f>
        <v>88.18</v>
      </c>
      <c r="E28">
        <v>3.55</v>
      </c>
      <c r="F28">
        <v>28</v>
      </c>
      <c r="G28">
        <v>2.41</v>
      </c>
      <c r="H28" s="1">
        <f>IF(ISNUMBER(Main_L[[#This Row],[Free CF]]),IF(Main_L[[#This Row],[Free CF]]&lt;&gt;0,Main_L[[#This Row],[Current Price]]/Main_L[[#This Row],[Free CF]],""),"")</f>
        <v>24.839436619718313</v>
      </c>
      <c r="I28" s="1">
        <f>IF(ISNUMBER(Main_L[[#This Row],[BVPS]]),IF(Main_L[[#This Row],[BVPS]]&lt;&gt;0,Main_L[[#This Row],[Current Price]]/Main_L[[#This Row],[BVPS]],""),"")</f>
        <v>3.1492857142857145</v>
      </c>
      <c r="J28">
        <v>9.0500000000000007</v>
      </c>
      <c r="K28">
        <v>3.46</v>
      </c>
      <c r="L28">
        <v>3.95</v>
      </c>
      <c r="M28" s="1">
        <f>IF(ISNUMBER(Main_L[[#This Row],[EPS]]),IF(Main_L[[#This Row],[EPS]]&lt;&gt;0,Main_L[[#This Row],[Current Price]]/Main_L[[#This Row],[EPS]],""),"")</f>
        <v>36.589211618257259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8" s="1">
        <f>(Main_L[[#This Row],[P/FCF]]-VLOOKUP(Main_L[[#This Row],[Industry]], Mean_PFCF_L, 2, FALSE))/(VLOOKUP(Main_L[[#This Row],[Industry]], Mean_PFCF_L, 3, FALSE))</f>
        <v>0.33024520603002827</v>
      </c>
      <c r="P28" s="1">
        <f>(Main_L[[#This Row],[P/B]]-VLOOKUP(Main_L[[#This Row],[Industry]], Mean_PB_L, 2, FALSE))/(VLOOKUP(Main_L[[#This Row],[Industry]], Mean_PB_L, 3, FALSE))</f>
        <v>-0.82595943199630073</v>
      </c>
      <c r="Q28" s="1">
        <f>(Main_L[[#This Row],[ROE]]-VLOOKUP(Main_L[[#This Row],[Industry]], Mean_ROE_L, 2, FALSE))/(VLOOKUP(Main_L[[#This Row],[Industry]], Mean_ROE_L, 3, FALSE))</f>
        <v>-1.6079888656771721</v>
      </c>
      <c r="R28" s="1">
        <f>(Main_L[[#This Row],[ROA]]-VLOOKUP(Main_L[[#This Row],[Industry]], Mean_ROA_L, 2, FALSE))/(VLOOKUP(Main_L[[#This Row],[Industry]], Mean_ROA_L, 3, FALSE))</f>
        <v>-1.9473406635748782</v>
      </c>
      <c r="S28" s="1">
        <f>(Main_L[[#This Row],[A/E]]-VLOOKUP(Main_L[[#This Row],[Industry]], Mean_AE_L, 2, FALSE))/(VLOOKUP(Main_L[[#This Row],[Industry]], Mean_AE_L, 3, FALSE))</f>
        <v>0.58390726323946029</v>
      </c>
      <c r="T28" s="1">
        <f>(Main_L[[#This Row],[P/E]]-VLOOKUP(Main_L[[#This Row],[Industry]], Mean_PE_L, 2, FALSE))/(VLOOKUP(Main_L[[#This Row],[Industry]], Mean_PE_L, 3, FALSE))</f>
        <v>1.2121915535040768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s="67" t="s">
        <v>105</v>
      </c>
      <c r="B29" s="67" t="s">
        <v>153</v>
      </c>
      <c r="C29" s="2">
        <v>16916</v>
      </c>
      <c r="D29">
        <f>RTD("tos.rtd", , "LAST", Main_L[[#This Row],[Symbol]])</f>
        <v>165.74</v>
      </c>
      <c r="E29">
        <v>4.87</v>
      </c>
      <c r="F29">
        <v>13.12</v>
      </c>
      <c r="G29">
        <v>4.43</v>
      </c>
      <c r="H29" s="1">
        <f>IF(ISNUMBER(Main_L[[#This Row],[Free CF]]),IF(Main_L[[#This Row],[Free CF]]&lt;&gt;0,Main_L[[#This Row],[Current Price]]/Main_L[[#This Row],[Free CF]],""),"")</f>
        <v>34.032854209445588</v>
      </c>
      <c r="I29" s="1">
        <f>IF(ISNUMBER(Main_L[[#This Row],[BVPS]]),IF(Main_L[[#This Row],[BVPS]]&lt;&gt;0,Main_L[[#This Row],[Current Price]]/Main_L[[#This Row],[BVPS]],""),"")</f>
        <v>12.632621951219514</v>
      </c>
      <c r="J29">
        <v>35.74</v>
      </c>
      <c r="K29">
        <v>10.11</v>
      </c>
      <c r="L29">
        <v>2.9</v>
      </c>
      <c r="M29" s="1">
        <f>IF(ISNUMBER(Main_L[[#This Row],[EPS]]),IF(Main_L[[#This Row],[EPS]]&lt;&gt;0,Main_L[[#This Row],[Current Price]]/Main_L[[#This Row],[EPS]],""),"")</f>
        <v>37.413092550790076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1.2512488433086344</v>
      </c>
      <c r="P29" s="1">
        <f>(Main_L[[#This Row],[P/B]]-VLOOKUP(Main_L[[#This Row],[Industry]], Mean_PB_L, 2, FALSE))/(VLOOKUP(Main_L[[#This Row],[Industry]], Mean_PB_L, 3, FALSE))</f>
        <v>2.8951985429320901</v>
      </c>
      <c r="Q29" s="1">
        <f>(Main_L[[#This Row],[ROE]]-VLOOKUP(Main_L[[#This Row],[Industry]], Mean_ROE_L, 2, FALSE))/(VLOOKUP(Main_L[[#This Row],[Industry]], Mean_ROE_L, 3, FALSE))</f>
        <v>1.8151954780487418</v>
      </c>
      <c r="R29" s="1">
        <f>(Main_L[[#This Row],[ROA]]-VLOOKUP(Main_L[[#This Row],[Industry]], Mean_ROA_L, 2, FALSE))/(VLOOKUP(Main_L[[#This Row],[Industry]], Mean_ROA_L, 3, FALSE))</f>
        <v>2.7616831228880088</v>
      </c>
      <c r="S29" s="1">
        <f>(Main_L[[#This Row],[A/E]]-VLOOKUP(Main_L[[#This Row],[Industry]], Mean_AE_L, 2, FALSE))/(VLOOKUP(Main_L[[#This Row],[Industry]], Mean_AE_L, 3, FALSE))</f>
        <v>-0.29746219070689489</v>
      </c>
      <c r="T29" s="1">
        <f>(Main_L[[#This Row],[P/E]]-VLOOKUP(Main_L[[#This Row],[Industry]], Mean_PE_L, 2, FALSE))/(VLOOKUP(Main_L[[#This Row],[Industry]], Mean_PE_L, 3, FALSE))</f>
        <v>1.3058728115992218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0" spans="1:26" x14ac:dyDescent="0.25">
      <c r="A30" s="67" t="s">
        <v>105</v>
      </c>
      <c r="B30" s="67" t="s">
        <v>146</v>
      </c>
      <c r="C30" s="2">
        <v>35387</v>
      </c>
      <c r="D30">
        <f>RTD("tos.rtd", , "LAST", Main_L[[#This Row],[Symbol]])</f>
        <v>75.23</v>
      </c>
      <c r="E30">
        <v>4.2699999999999996</v>
      </c>
      <c r="F30">
        <v>3.96</v>
      </c>
      <c r="G30">
        <v>3.88</v>
      </c>
      <c r="H30" s="1">
        <f>IF(ISNUMBER(Main_L[[#This Row],[Free CF]]),IF(Main_L[[#This Row],[Free CF]]&lt;&gt;0,Main_L[[#This Row],[Current Price]]/Main_L[[#This Row],[Free CF]],""),"")</f>
        <v>17.618266978922719</v>
      </c>
      <c r="I30" s="1">
        <f>IF(ISNUMBER(Main_L[[#This Row],[BVPS]]),IF(Main_L[[#This Row],[BVPS]]&lt;&gt;0,Main_L[[#This Row],[Current Price]]/Main_L[[#This Row],[BVPS]],""),"")</f>
        <v>18.997474747474747</v>
      </c>
      <c r="J30">
        <v>93.61</v>
      </c>
      <c r="K30">
        <v>8.57</v>
      </c>
      <c r="L30">
        <v>13.71</v>
      </c>
      <c r="M30" s="1">
        <f>IF(ISNUMBER(Main_L[[#This Row],[EPS]]),IF(Main_L[[#This Row],[EPS]]&lt;&gt;0,Main_L[[#This Row],[Current Price]]/Main_L[[#This Row],[EPS]],""),"")</f>
        <v>19.38917525773196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0" s="1">
        <f>(Main_L[[#This Row],[P/FCF]]-VLOOKUP(Main_L[[#This Row],[Industry]], Mean_PFCF_L, 2, FALSE))/(VLOOKUP(Main_L[[#This Row],[Industry]], Mean_PFCF_L, 3, FALSE))</f>
        <v>-0.3931771164814723</v>
      </c>
      <c r="P30" s="1">
        <f>(Main_L[[#This Row],[P/B]]-VLOOKUP(Main_L[[#This Row],[Industry]], Mean_PB_L, 2, FALSE))/(VLOOKUP(Main_L[[#This Row],[Industry]], Mean_PB_L, 3, FALSE))</f>
        <v>5.3926975401508432</v>
      </c>
      <c r="Q30" s="1">
        <f>(Main_L[[#This Row],[ROE]]-VLOOKUP(Main_L[[#This Row],[Industry]], Mean_ROE_L, 2, FALSE))/(VLOOKUP(Main_L[[#This Row],[Industry]], Mean_ROE_L, 3, FALSE))</f>
        <v>9.2374389389486531</v>
      </c>
      <c r="R30" s="1">
        <f>(Main_L[[#This Row],[ROA]]-VLOOKUP(Main_L[[#This Row],[Industry]], Mean_ROA_L, 2, FALSE))/(VLOOKUP(Main_L[[#This Row],[Industry]], Mean_ROA_L, 3, FALSE))</f>
        <v>1.6711723512860774</v>
      </c>
      <c r="S30" s="1">
        <f>(Main_L[[#This Row],[A/E]]-VLOOKUP(Main_L[[#This Row],[Industry]], Mean_AE_L, 2, FALSE))/(VLOOKUP(Main_L[[#This Row],[Industry]], Mean_AE_L, 3, FALSE))</f>
        <v>8.7764461875408184</v>
      </c>
      <c r="T30" s="1">
        <f>(Main_L[[#This Row],[P/E]]-VLOOKUP(Main_L[[#This Row],[Industry]], Mean_PE_L, 2, FALSE))/(VLOOKUP(Main_L[[#This Row],[Industry]], Mean_PE_L, 3, FALSE))</f>
        <v>-0.74357775964490458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1" spans="1:26" x14ac:dyDescent="0.25">
      <c r="A31" s="67" t="s">
        <v>105</v>
      </c>
      <c r="B31" s="67" t="s">
        <v>158</v>
      </c>
      <c r="C31" s="2">
        <v>42715</v>
      </c>
      <c r="D31">
        <f>RTD("tos.rtd", , "LAST", Main_L[[#This Row],[Symbol]])</f>
        <v>97.35</v>
      </c>
      <c r="E31">
        <v>7.71</v>
      </c>
      <c r="F31">
        <v>32.9</v>
      </c>
      <c r="G31">
        <v>9.1</v>
      </c>
      <c r="H31" s="1">
        <f>IF(ISNUMBER(Main_L[[#This Row],[Free CF]]),IF(Main_L[[#This Row],[Free CF]]&lt;&gt;0,Main_L[[#This Row],[Current Price]]/Main_L[[#This Row],[Free CF]],""),"")</f>
        <v>12.626459143968871</v>
      </c>
      <c r="I31" s="1">
        <f>IF(ISNUMBER(Main_L[[#This Row],[BVPS]]),IF(Main_L[[#This Row],[BVPS]]&lt;&gt;0,Main_L[[#This Row],[Current Price]]/Main_L[[#This Row],[BVPS]],""),"")</f>
        <v>2.9589665653495438</v>
      </c>
      <c r="J31">
        <v>29.08</v>
      </c>
      <c r="K31">
        <v>6.64</v>
      </c>
      <c r="L31">
        <v>3.76</v>
      </c>
      <c r="M31" s="1">
        <f>IF(ISNUMBER(Main_L[[#This Row],[EPS]]),IF(Main_L[[#This Row],[EPS]]&lt;&gt;0,Main_L[[#This Row],[Current Price]]/Main_L[[#This Row],[EPS]],""),"")</f>
        <v>10.697802197802197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1" s="1">
        <f>(Main_L[[#This Row],[P/FCF]]-VLOOKUP(Main_L[[#This Row],[Industry]], Mean_PFCF_L, 2, FALSE))/(VLOOKUP(Main_L[[#This Row],[Industry]], Mean_PFCF_L, 3, FALSE))</f>
        <v>-0.89326026050459972</v>
      </c>
      <c r="P31" s="1">
        <f>(Main_L[[#This Row],[P/B]]-VLOOKUP(Main_L[[#This Row],[Industry]], Mean_PB_L, 2, FALSE))/(VLOOKUP(Main_L[[#This Row],[Industry]], Mean_PB_L, 3, FALSE))</f>
        <v>-0.90063859565257076</v>
      </c>
      <c r="Q31" s="1">
        <f>(Main_L[[#This Row],[ROE]]-VLOOKUP(Main_L[[#This Row],[Industry]], Mean_ROE_L, 2, FALSE))/(VLOOKUP(Main_L[[#This Row],[Industry]], Mean_ROE_L, 3, FALSE))</f>
        <v>0.96100260696539241</v>
      </c>
      <c r="R31" s="1">
        <f>(Main_L[[#This Row],[ROA]]-VLOOKUP(Main_L[[#This Row],[Industry]], Mean_ROA_L, 2, FALSE))/(VLOOKUP(Main_L[[#This Row],[Industry]], Mean_ROA_L, 3, FALSE))</f>
        <v>0.30449326739534438</v>
      </c>
      <c r="S31" s="1">
        <f>(Main_L[[#This Row],[A/E]]-VLOOKUP(Main_L[[#This Row],[Industry]], Mean_AE_L, 2, FALSE))/(VLOOKUP(Main_L[[#This Row],[Industry]], Mean_AE_L, 3, FALSE))</f>
        <v>0.42442136204916714</v>
      </c>
      <c r="T31" s="1">
        <f>(Main_L[[#This Row],[P/E]]-VLOOKUP(Main_L[[#This Row],[Industry]], Mean_PE_L, 2, FALSE))/(VLOOKUP(Main_L[[#This Row],[Industry]], Mean_PE_L, 3, FALSE))</f>
        <v>-1.7318501309029184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2" spans="1:26" x14ac:dyDescent="0.25">
      <c r="A32" s="67" t="s">
        <v>105</v>
      </c>
      <c r="B32" s="67" t="s">
        <v>147</v>
      </c>
      <c r="C32" s="2">
        <v>18304</v>
      </c>
      <c r="D32">
        <f>RTD("tos.rtd", , "LAST", Main_L[[#This Row],[Symbol]])</f>
        <v>76.91</v>
      </c>
      <c r="E32">
        <v>4.58</v>
      </c>
      <c r="F32">
        <v>19.96</v>
      </c>
      <c r="G32">
        <v>2.19</v>
      </c>
      <c r="H32" s="1">
        <f>IF(ISNUMBER(Main_L[[#This Row],[Free CF]]),IF(Main_L[[#This Row],[Free CF]]&lt;&gt;0,Main_L[[#This Row],[Current Price]]/Main_L[[#This Row],[Free CF]],""),"")</f>
        <v>16.792576419213972</v>
      </c>
      <c r="I32" s="1">
        <f>IF(ISNUMBER(Main_L[[#This Row],[BVPS]]),IF(Main_L[[#This Row],[BVPS]]&lt;&gt;0,Main_L[[#This Row],[Current Price]]/Main_L[[#This Row],[BVPS]],""),"")</f>
        <v>3.8532064128256511</v>
      </c>
      <c r="J32">
        <v>11.16</v>
      </c>
      <c r="K32">
        <v>5.44</v>
      </c>
      <c r="L32">
        <v>2.96</v>
      </c>
      <c r="M32" s="1">
        <f>IF(ISNUMBER(Main_L[[#This Row],[EPS]]),IF(Main_L[[#This Row],[EPS]]&lt;&gt;0,Main_L[[#This Row],[Current Price]]/Main_L[[#This Row],[EPS]],""),"")</f>
        <v>35.118721461187214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32" s="1">
        <f>(Main_L[[#This Row],[P/FCF]]-VLOOKUP(Main_L[[#This Row],[Industry]], Mean_PFCF_L, 2, FALSE))/(VLOOKUP(Main_L[[#This Row],[Industry]], Mean_PFCF_L, 3, FALSE))</f>
        <v>-0.47589543111651145</v>
      </c>
      <c r="P32" s="1">
        <f>(Main_L[[#This Row],[P/B]]-VLOOKUP(Main_L[[#This Row],[Industry]], Mean_PB_L, 2, FALSE))/(VLOOKUP(Main_L[[#This Row],[Industry]], Mean_PB_L, 3, FALSE))</f>
        <v>-0.54974860748840926</v>
      </c>
      <c r="Q32" s="1">
        <f>(Main_L[[#This Row],[ROE]]-VLOOKUP(Main_L[[#This Row],[Industry]], Mean_ROE_L, 2, FALSE))/(VLOOKUP(Main_L[[#This Row],[Industry]], Mean_ROE_L, 3, FALSE))</f>
        <v>-1.337366199312928</v>
      </c>
      <c r="R32" s="1">
        <f>(Main_L[[#This Row],[ROA]]-VLOOKUP(Main_L[[#This Row],[Industry]], Mean_ROA_L, 2, FALSE))/(VLOOKUP(Main_L[[#This Row],[Industry]], Mean_ROA_L, 3, FALSE))</f>
        <v>-0.54525538580096555</v>
      </c>
      <c r="S32" s="1">
        <f>(Main_L[[#This Row],[A/E]]-VLOOKUP(Main_L[[#This Row],[Industry]], Mean_AE_L, 2, FALSE))/(VLOOKUP(Main_L[[#This Row],[Industry]], Mean_AE_L, 3, FALSE))</f>
        <v>-0.24709822190996028</v>
      </c>
      <c r="T32" s="1">
        <f>(Main_L[[#This Row],[P/E]]-VLOOKUP(Main_L[[#This Row],[Industry]], Mean_PE_L, 2, FALSE))/(VLOOKUP(Main_L[[#This Row],[Industry]], Mean_PE_L, 3, FALSE))</f>
        <v>1.0449861206664111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3" spans="1:26" x14ac:dyDescent="0.25">
      <c r="A33" s="67" t="s">
        <v>105</v>
      </c>
      <c r="B33" s="67" t="s">
        <v>159</v>
      </c>
      <c r="C33" s="2">
        <v>789848</v>
      </c>
      <c r="D33">
        <f>RTD("tos.rtd", , "LAST", Main_L[[#This Row],[Symbol]])</f>
        <v>97.45</v>
      </c>
      <c r="E33">
        <v>1.68</v>
      </c>
      <c r="F33">
        <v>10.46</v>
      </c>
      <c r="G33">
        <v>2.34</v>
      </c>
      <c r="H33" s="1">
        <f>IF(ISNUMBER(Main_L[[#This Row],[Free CF]]),IF(Main_L[[#This Row],[Free CF]]&lt;&gt;0,Main_L[[#This Row],[Current Price]]/Main_L[[#This Row],[Free CF]],""),"")</f>
        <v>58.005952380952387</v>
      </c>
      <c r="I33" s="1">
        <f>IF(ISNUMBER(Main_L[[#This Row],[BVPS]]),IF(Main_L[[#This Row],[BVPS]]&lt;&gt;0,Main_L[[#This Row],[Current Price]]/Main_L[[#This Row],[BVPS]],""),"")</f>
        <v>9.3164435946462714</v>
      </c>
      <c r="J33">
        <v>21.78</v>
      </c>
      <c r="K33">
        <v>7.09</v>
      </c>
      <c r="L33">
        <v>3.13</v>
      </c>
      <c r="M33" s="1">
        <f>IF(ISNUMBER(Main_L[[#This Row],[EPS]]),IF(Main_L[[#This Row],[EPS]]&lt;&gt;0,Main_L[[#This Row],[Current Price]]/Main_L[[#This Row],[EPS]],""),"")</f>
        <v>41.645299145299148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3.6528922362364487</v>
      </c>
      <c r="P33" s="1">
        <f>(Main_L[[#This Row],[P/B]]-VLOOKUP(Main_L[[#This Row],[Industry]], Mean_PB_L, 2, FALSE))/(VLOOKUP(Main_L[[#This Row],[Industry]], Mean_PB_L, 3, FALSE))</f>
        <v>1.5939662308489233</v>
      </c>
      <c r="Q33" s="1">
        <f>(Main_L[[#This Row],[ROE]]-VLOOKUP(Main_L[[#This Row],[Industry]], Mean_ROE_L, 2, FALSE))/(VLOOKUP(Main_L[[#This Row],[Industry]], Mean_ROE_L, 3, FALSE))</f>
        <v>2.4725135657817986E-2</v>
      </c>
      <c r="R33" s="1">
        <f>(Main_L[[#This Row],[ROA]]-VLOOKUP(Main_L[[#This Row],[Industry]], Mean_ROA_L, 2, FALSE))/(VLOOKUP(Main_L[[#This Row],[Industry]], Mean_ROA_L, 3, FALSE))</f>
        <v>0.62314901234396092</v>
      </c>
      <c r="S33" s="1">
        <f>(Main_L[[#This Row],[A/E]]-VLOOKUP(Main_L[[#This Row],[Industry]], Mean_AE_L, 2, FALSE))/(VLOOKUP(Main_L[[#This Row],[Industry]], Mean_AE_L, 3, FALSE))</f>
        <v>-0.10440031031864572</v>
      </c>
      <c r="T33" s="1">
        <f>(Main_L[[#This Row],[P/E]]-VLOOKUP(Main_L[[#This Row],[Industry]], Mean_PE_L, 2, FALSE))/(VLOOKUP(Main_L[[#This Row],[Industry]], Mean_PE_L, 3, FALSE))</f>
        <v>1.7871055026791149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4" spans="1:26" x14ac:dyDescent="0.25">
      <c r="A34" s="67" t="s">
        <v>105</v>
      </c>
      <c r="B34" s="67" t="s">
        <v>258</v>
      </c>
      <c r="C34" s="2">
        <v>25972</v>
      </c>
      <c r="D34">
        <f>RTD("tos.rtd", , "LAST", Main_L[[#This Row],[Symbol]])</f>
        <v>199.01</v>
      </c>
      <c r="E34">
        <v>19.23</v>
      </c>
      <c r="F34">
        <v>27.17</v>
      </c>
      <c r="G34">
        <v>6.08</v>
      </c>
      <c r="H34" s="1">
        <f>IF(ISNUMBER(Main_L[[#This Row],[Free CF]]),IF(Main_L[[#This Row],[Free CF]]&lt;&gt;0,Main_L[[#This Row],[Current Price]]/Main_L[[#This Row],[Free CF]],""),"")</f>
        <v>10.348933957358293</v>
      </c>
      <c r="I34" s="1">
        <f>IF(ISNUMBER(Main_L[[#This Row],[BVPS]]),IF(Main_L[[#This Row],[BVPS]]&lt;&gt;0,Main_L[[#This Row],[Current Price]]/Main_L[[#This Row],[BVPS]],""),"")</f>
        <v>7.3246227456753763</v>
      </c>
      <c r="J34">
        <v>18.11</v>
      </c>
      <c r="K34">
        <v>6.21</v>
      </c>
      <c r="L34">
        <v>9.9700000000000006</v>
      </c>
      <c r="M34" s="1">
        <f>IF(ISNUMBER(Main_L[[#This Row],[EPS]]),IF(Main_L[[#This Row],[EPS]]&lt;&gt;0,Main_L[[#This Row],[Current Price]]/Main_L[[#This Row],[EPS]],""),"")</f>
        <v>32.731907894736842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>
        <f>(Main_L[[#This Row],[P/FCF]]-VLOOKUP(Main_L[[#This Row],[Industry]], Mean_PFCF_L, 2, FALSE))/(VLOOKUP(Main_L[[#This Row],[Industry]], Mean_PFCF_L, 3, FALSE))</f>
        <v>-1.121424483481466</v>
      </c>
      <c r="P34" s="1">
        <f>(Main_L[[#This Row],[P/B]]-VLOOKUP(Main_L[[#This Row],[Industry]], Mean_PB_L, 2, FALSE))/(VLOOKUP(Main_L[[#This Row],[Industry]], Mean_PB_L, 3, FALSE))</f>
        <v>0.81239739772979613</v>
      </c>
      <c r="Q34" s="1">
        <f>(Main_L[[#This Row],[ROE]]-VLOOKUP(Main_L[[#This Row],[Industry]], Mean_ROE_L, 2, FALSE))/(VLOOKUP(Main_L[[#This Row],[Industry]], Mean_ROE_L, 3, FALSE))</f>
        <v>-0.44597874375297669</v>
      </c>
      <c r="R34" s="1">
        <f>(Main_L[[#This Row],[ROA]]-VLOOKUP(Main_L[[#This Row],[Industry]], Mean_ROA_L, 2, FALSE))/(VLOOKUP(Main_L[[#This Row],[Industry]], Mean_ROA_L, 3, FALSE))</f>
        <v>0</v>
      </c>
      <c r="S34" s="1">
        <f>(Main_L[[#This Row],[A/E]]-VLOOKUP(Main_L[[#This Row],[Industry]], Mean_AE_L, 2, FALSE))/(VLOOKUP(Main_L[[#This Row],[Industry]], Mean_AE_L, 3, FALSE))</f>
        <v>5.6370921325318957</v>
      </c>
      <c r="T34" s="1">
        <f>(Main_L[[#This Row],[P/E]]-VLOOKUP(Main_L[[#This Row],[Industry]], Mean_PE_L, 2, FALSE))/(VLOOKUP(Main_L[[#This Row],[Industry]], Mean_PE_L, 3, FALSE))</f>
        <v>0.77358804733531805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5" spans="1:26" x14ac:dyDescent="0.25">
      <c r="A35" s="67" t="s">
        <v>107</v>
      </c>
      <c r="B35" s="67" t="s">
        <v>173</v>
      </c>
      <c r="C35" s="2">
        <v>23191</v>
      </c>
      <c r="D35">
        <f>RTD("tos.rtd", , "LAST", Main_L[[#This Row],[Symbol]])</f>
        <v>47.9</v>
      </c>
      <c r="E35">
        <v>0.46</v>
      </c>
      <c r="F35">
        <v>46.08</v>
      </c>
      <c r="G35">
        <v>2.81</v>
      </c>
      <c r="H35" s="1">
        <f>IF(ISNUMBER(Main_L[[#This Row],[Free CF]]),IF(Main_L[[#This Row],[Free CF]]&lt;&gt;0,Main_L[[#This Row],[Current Price]]/Main_L[[#This Row],[Free CF]],""),"")</f>
        <v>104.13043478260869</v>
      </c>
      <c r="I35" s="1">
        <f>IF(ISNUMBER(Main_L[[#This Row],[BVPS]]),IF(Main_L[[#This Row],[BVPS]]&lt;&gt;0,Main_L[[#This Row],[Current Price]]/Main_L[[#This Row],[BVPS]],""),"")</f>
        <v>1.0394965277777777</v>
      </c>
      <c r="J35">
        <v>5.89</v>
      </c>
      <c r="K35">
        <v>1.79</v>
      </c>
      <c r="L35">
        <v>2.41</v>
      </c>
      <c r="M35" s="1">
        <f>IF(ISNUMBER(Main_L[[#This Row],[EPS]]),IF(Main_L[[#This Row],[EPS]]&lt;&gt;0,Main_L[[#This Row],[Current Price]]/Main_L[[#This Row],[EPS]],""),"")</f>
        <v>17.046263345195729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7.8329479799022241</v>
      </c>
      <c r="P35" s="1">
        <f>(Main_L[[#This Row],[P/B]]-VLOOKUP(Main_L[[#This Row],[Industry]], Mean_PB_L, 2, FALSE))/(VLOOKUP(Main_L[[#This Row],[Industry]], Mean_PB_L, 3, FALSE))</f>
        <v>-0.67023208626546871</v>
      </c>
      <c r="Q35" s="1">
        <f>(Main_L[[#This Row],[ROE]]-VLOOKUP(Main_L[[#This Row],[Industry]], Mean_ROE_L, 2, FALSE))/(VLOOKUP(Main_L[[#This Row],[Industry]], Mean_ROE_L, 3, FALSE))</f>
        <v>-0.58154047737411652</v>
      </c>
      <c r="R35" s="1">
        <f>(Main_L[[#This Row],[ROA]]-VLOOKUP(Main_L[[#This Row],[Industry]], Mean_ROA_L, 2, FALSE))/(VLOOKUP(Main_L[[#This Row],[Industry]], Mean_ROA_L, 3, FALSE))</f>
        <v>-1.5079575643124721</v>
      </c>
      <c r="S35" s="1">
        <f>(Main_L[[#This Row],[A/E]]-VLOOKUP(Main_L[[#This Row],[Industry]], Mean_AE_L, 2, FALSE))/(VLOOKUP(Main_L[[#This Row],[Industry]], Mean_AE_L, 3, FALSE))</f>
        <v>-0.2761257669403383</v>
      </c>
      <c r="T35" s="1">
        <f>(Main_L[[#This Row],[P/E]]-VLOOKUP(Main_L[[#This Row],[Industry]], Mean_PE_L, 2, FALSE))/(VLOOKUP(Main_L[[#This Row],[Industry]], Mean_PE_L, 3, FALSE))</f>
        <v>-4.1163676943042932E-2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6" spans="1:26" x14ac:dyDescent="0.25">
      <c r="A36" s="67" t="s">
        <v>107</v>
      </c>
      <c r="B36" s="67" t="s">
        <v>174</v>
      </c>
      <c r="C36" s="2">
        <v>10504</v>
      </c>
      <c r="D36">
        <f>RTD("tos.rtd", , "LAST", Main_L[[#This Row],[Symbol]])</f>
        <v>74.67</v>
      </c>
      <c r="E36">
        <v>-6</v>
      </c>
      <c r="F36">
        <v>78.709999999999994</v>
      </c>
      <c r="G36">
        <v>7.82</v>
      </c>
      <c r="H36" s="1">
        <f>IF(ISNUMBER(Main_L[[#This Row],[Free CF]]),IF(Main_L[[#This Row],[Free CF]]&lt;&gt;0,Main_L[[#This Row],[Current Price]]/Main_L[[#This Row],[Free CF]],""),"")</f>
        <v>-12.445</v>
      </c>
      <c r="I36" s="1">
        <f>IF(ISNUMBER(Main_L[[#This Row],[BVPS]]),IF(Main_L[[#This Row],[BVPS]]&lt;&gt;0,Main_L[[#This Row],[Current Price]]/Main_L[[#This Row],[BVPS]],""),"")</f>
        <v>0.94867234150679725</v>
      </c>
      <c r="J36">
        <v>9.86</v>
      </c>
      <c r="K36">
        <v>3.13</v>
      </c>
      <c r="L36">
        <v>2.52</v>
      </c>
      <c r="M36" s="1">
        <f>IF(ISNUMBER(Main_L[[#This Row],[EPS]]),IF(Main_L[[#This Row],[EPS]]&lt;&gt;0,Main_L[[#This Row],[Current Price]]/Main_L[[#This Row],[EPS]],""),"")</f>
        <v>9.5485933503836318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-2.2886720341244557</v>
      </c>
      <c r="P36" s="1">
        <f>(Main_L[[#This Row],[P/B]]-VLOOKUP(Main_L[[#This Row],[Industry]], Mean_PB_L, 2, FALSE))/(VLOOKUP(Main_L[[#This Row],[Industry]], Mean_PB_L, 3, FALSE))</f>
        <v>-0.74630651660062064</v>
      </c>
      <c r="Q36" s="1">
        <f>(Main_L[[#This Row],[ROE]]-VLOOKUP(Main_L[[#This Row],[Industry]], Mean_ROE_L, 2, FALSE))/(VLOOKUP(Main_L[[#This Row],[Industry]], Mean_ROE_L, 3, FALSE))</f>
        <v>-2.4360340631255181E-2</v>
      </c>
      <c r="R36" s="1">
        <f>(Main_L[[#This Row],[ROA]]-VLOOKUP(Main_L[[#This Row],[Industry]], Mean_ROA_L, 2, FALSE))/(VLOOKUP(Main_L[[#This Row],[Industry]], Mean_ROA_L, 3, FALSE))</f>
        <v>-1.0034594982963447</v>
      </c>
      <c r="S36" s="1">
        <f>(Main_L[[#This Row],[A/E]]-VLOOKUP(Main_L[[#This Row],[Industry]], Mean_AE_L, 2, FALSE))/(VLOOKUP(Main_L[[#This Row],[Industry]], Mean_AE_L, 3, FALSE))</f>
        <v>-0.12558489691747207</v>
      </c>
      <c r="T36" s="1">
        <f>(Main_L[[#This Row],[P/E]]-VLOOKUP(Main_L[[#This Row],[Industry]], Mean_PE_L, 2, FALSE))/(VLOOKUP(Main_L[[#This Row],[Industry]], Mean_PE_L, 3, FALSE))</f>
        <v>-0.97655724457010473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7" spans="1:26" x14ac:dyDescent="0.25">
      <c r="A37" s="67" t="s">
        <v>107</v>
      </c>
      <c r="B37" s="67" t="s">
        <v>175</v>
      </c>
      <c r="C37" s="2">
        <v>10927</v>
      </c>
      <c r="D37">
        <f>RTD("tos.rtd", , "LAST", Main_L[[#This Row],[Symbol]])</f>
        <v>22.4</v>
      </c>
      <c r="E37">
        <v>3.03</v>
      </c>
      <c r="F37">
        <v>18.39</v>
      </c>
      <c r="G37">
        <v>0.68</v>
      </c>
      <c r="H37" s="1">
        <f>IF(ISNUMBER(Main_L[[#This Row],[Free CF]]),IF(Main_L[[#This Row],[Free CF]]&lt;&gt;0,Main_L[[#This Row],[Current Price]]/Main_L[[#This Row],[Free CF]],""),"")</f>
        <v>7.3927392739273925</v>
      </c>
      <c r="I37" s="1">
        <f>IF(ISNUMBER(Main_L[[#This Row],[BVPS]]),IF(Main_L[[#This Row],[BVPS]]&lt;&gt;0,Main_L[[#This Row],[Current Price]]/Main_L[[#This Row],[BVPS]],""),"")</f>
        <v>1.21805328983143</v>
      </c>
      <c r="J37">
        <v>3.66</v>
      </c>
      <c r="K37">
        <v>5.13</v>
      </c>
      <c r="L37">
        <v>2.36</v>
      </c>
      <c r="M37" s="1">
        <f>IF(ISNUMBER(Main_L[[#This Row],[EPS]]),IF(Main_L[[#This Row],[EPS]]&lt;&gt;0,Main_L[[#This Row],[Current Price]]/Main_L[[#This Row],[EPS]],""),"")</f>
        <v>32.941176470588232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-0.56626748772527324</v>
      </c>
      <c r="P37" s="1">
        <f>(Main_L[[#This Row],[P/B]]-VLOOKUP(Main_L[[#This Row],[Industry]], Mean_PB_L, 2, FALSE))/(VLOOKUP(Main_L[[#This Row],[Industry]], Mean_PB_L, 3, FALSE))</f>
        <v>-0.52067276166889886</v>
      </c>
      <c r="Q37" s="1">
        <f>(Main_L[[#This Row],[ROE]]-VLOOKUP(Main_L[[#This Row],[Industry]], Mean_ROE_L, 2, FALSE))/(VLOOKUP(Main_L[[#This Row],[Industry]], Mean_ROE_L, 3, FALSE))</f>
        <v>-0.89451571791229811</v>
      </c>
      <c r="R37" s="1">
        <f>(Main_L[[#This Row],[ROA]]-VLOOKUP(Main_L[[#This Row],[Industry]], Mean_ROA_L, 2, FALSE))/(VLOOKUP(Main_L[[#This Row],[Industry]], Mean_ROA_L, 3, FALSE))</f>
        <v>-0.25047731021257241</v>
      </c>
      <c r="S37" s="1">
        <f>(Main_L[[#This Row],[A/E]]-VLOOKUP(Main_L[[#This Row],[Industry]], Mean_AE_L, 2, FALSE))/(VLOOKUP(Main_L[[#This Row],[Industry]], Mean_AE_L, 3, FALSE))</f>
        <v>-0.34455343513255066</v>
      </c>
      <c r="T37" s="1">
        <f>(Main_L[[#This Row],[P/E]]-VLOOKUP(Main_L[[#This Row],[Industry]], Mean_PE_L, 2, FALSE))/(VLOOKUP(Main_L[[#This Row],[Industry]], Mean_PE_L, 3, FALSE))</f>
        <v>1.9418523141276227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8" spans="1:26" x14ac:dyDescent="0.25">
      <c r="A38" s="67" t="s">
        <v>107</v>
      </c>
      <c r="B38" s="67" t="s">
        <v>252</v>
      </c>
      <c r="C38" s="2">
        <v>37060</v>
      </c>
      <c r="D38">
        <f>RTD("tos.rtd", , "LAST", Main_L[[#This Row],[Symbol]])</f>
        <v>16.3</v>
      </c>
      <c r="E38">
        <v>4152.92</v>
      </c>
      <c r="F38">
        <v>23180.73</v>
      </c>
      <c r="G38">
        <v>3193.44</v>
      </c>
      <c r="H38" s="1">
        <f>IF(ISNUMBER(Main_L[[#This Row],[Free CF]]),IF(Main_L[[#This Row],[Free CF]]&lt;&gt;0,Main_L[[#This Row],[Current Price]]/Main_L[[#This Row],[Free CF]],""),"")</f>
        <v>3.924949192375485E-3</v>
      </c>
      <c r="I38" s="1">
        <f>IF(ISNUMBER(Main_L[[#This Row],[BVPS]]),IF(Main_L[[#This Row],[BVPS]]&lt;&gt;0,Main_L[[#This Row],[Current Price]]/Main_L[[#This Row],[BVPS]],""),"")</f>
        <v>7.0317026254134362E-4</v>
      </c>
      <c r="J38">
        <v>14.78</v>
      </c>
      <c r="K38">
        <v>6.66</v>
      </c>
      <c r="L38">
        <v>1.89</v>
      </c>
      <c r="M38" s="1">
        <f>IF(ISNUMBER(Main_L[[#This Row],[EPS]]),IF(Main_L[[#This Row],[EPS]]&lt;&gt;0,Main_L[[#This Row],[Current Price]]/Main_L[[#This Row],[EPS]],""),"")</f>
        <v>5.104213637957814E-3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38" s="1">
        <f>(Main_L[[#This Row],[P/FCF]]-VLOOKUP(Main_L[[#This Row],[Industry]], Mean_PFCF_L, 2, FALSE))/(VLOOKUP(Main_L[[#This Row],[Industry]], Mean_PFCF_L, 3, FALSE))</f>
        <v>-1.2077986223818007</v>
      </c>
      <c r="P38" s="1">
        <f>(Main_L[[#This Row],[P/B]]-VLOOKUP(Main_L[[#This Row],[Industry]], Mean_PB_L, 2, FALSE))/(VLOOKUP(Main_L[[#This Row],[Industry]], Mean_PB_L, 3, FALSE))</f>
        <v>-1.5403264537848529</v>
      </c>
      <c r="Q38" s="1">
        <f>(Main_L[[#This Row],[ROE]]-VLOOKUP(Main_L[[#This Row],[Industry]], Mean_ROE_L, 2, FALSE))/(VLOOKUP(Main_L[[#This Row],[Industry]], Mean_ROE_L, 3, FALSE))</f>
        <v>0.66615005553370155</v>
      </c>
      <c r="R38" s="1">
        <f>(Main_L[[#This Row],[ROA]]-VLOOKUP(Main_L[[#This Row],[Industry]], Mean_ROA_L, 2, FALSE))/(VLOOKUP(Main_L[[#This Row],[Industry]], Mean_ROA_L, 3, FALSE))</f>
        <v>0.32555406367151346</v>
      </c>
      <c r="S38" s="1">
        <f>(Main_L[[#This Row],[A/E]]-VLOOKUP(Main_L[[#This Row],[Industry]], Mean_AE_L, 2, FALSE))/(VLOOKUP(Main_L[[#This Row],[Industry]], Mean_AE_L, 3, FALSE))</f>
        <v>-0.98777351613934328</v>
      </c>
      <c r="T38" s="1">
        <f>(Main_L[[#This Row],[P/E]]-VLOOKUP(Main_L[[#This Row],[Industry]], Mean_PE_L, 2, FALSE))/(VLOOKUP(Main_L[[#This Row],[Industry]], Mean_PE_L, 3, FALSE))</f>
        <v>-2.167182913265512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9" spans="1:26" x14ac:dyDescent="0.25">
      <c r="A39" s="67" t="s">
        <v>107</v>
      </c>
      <c r="B39" s="67" t="s">
        <v>176</v>
      </c>
      <c r="C39" s="2">
        <v>10150</v>
      </c>
      <c r="D39">
        <f>RTD("tos.rtd", , "LAST", Main_L[[#This Row],[Symbol]])</f>
        <v>34.270000000000003</v>
      </c>
      <c r="E39">
        <v>2.59</v>
      </c>
      <c r="F39">
        <v>13.12</v>
      </c>
      <c r="G39">
        <v>1.73</v>
      </c>
      <c r="H39" s="1">
        <f>IF(ISNUMBER(Main_L[[#This Row],[Free CF]]),IF(Main_L[[#This Row],[Free CF]]&lt;&gt;0,Main_L[[#This Row],[Current Price]]/Main_L[[#This Row],[Free CF]],""),"")</f>
        <v>13.231660231660234</v>
      </c>
      <c r="I39" s="1">
        <f>IF(ISNUMBER(Main_L[[#This Row],[BVPS]]),IF(Main_L[[#This Row],[BVPS]]&lt;&gt;0,Main_L[[#This Row],[Current Price]]/Main_L[[#This Row],[BVPS]],""),"")</f>
        <v>2.6120426829268295</v>
      </c>
      <c r="J39">
        <v>13.42</v>
      </c>
      <c r="K39">
        <v>6.5</v>
      </c>
      <c r="L39">
        <v>4.07</v>
      </c>
      <c r="M39" s="1">
        <f>IF(ISNUMBER(Main_L[[#This Row],[EPS]]),IF(Main_L[[#This Row],[EPS]]&lt;&gt;0,Main_L[[#This Row],[Current Price]]/Main_L[[#This Row],[EPS]],""),"")</f>
        <v>19.809248554913296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9" s="1">
        <f>(Main_L[[#This Row],[P/FCF]]-VLOOKUP(Main_L[[#This Row],[Industry]], Mean_PFCF_L, 2, FALSE))/(VLOOKUP(Main_L[[#This Row],[Industry]], Mean_PFCF_L, 3, FALSE))</f>
        <v>-5.930528478502483E-2</v>
      </c>
      <c r="P39" s="1">
        <f>(Main_L[[#This Row],[P/B]]-VLOOKUP(Main_L[[#This Row],[Industry]], Mean_PB_L, 2, FALSE))/(VLOOKUP(Main_L[[#This Row],[Industry]], Mean_PB_L, 3, FALSE))</f>
        <v>0.64693416471278209</v>
      </c>
      <c r="Q39" s="1">
        <f>(Main_L[[#This Row],[ROE]]-VLOOKUP(Main_L[[#This Row],[Industry]], Mean_ROE_L, 2, FALSE))/(VLOOKUP(Main_L[[#This Row],[Industry]], Mean_ROE_L, 3, FALSE))</f>
        <v>0.47527726309785989</v>
      </c>
      <c r="R39" s="1">
        <f>(Main_L[[#This Row],[ROA]]-VLOOKUP(Main_L[[#This Row],[Industry]], Mean_ROA_L, 2, FALSE))/(VLOOKUP(Main_L[[#This Row],[Industry]], Mean_ROA_L, 3, FALSE))</f>
        <v>0.26531548862481164</v>
      </c>
      <c r="S39" s="1">
        <f>(Main_L[[#This Row],[A/E]]-VLOOKUP(Main_L[[#This Row],[Industry]], Mean_AE_L, 2, FALSE))/(VLOOKUP(Main_L[[#This Row],[Industry]], Mean_AE_L, 3, FALSE))</f>
        <v>1.9956728170411</v>
      </c>
      <c r="T39" s="1">
        <f>(Main_L[[#This Row],[P/E]]-VLOOKUP(Main_L[[#This Row],[Industry]], Mean_PE_L, 2, FALSE))/(VLOOKUP(Main_L[[#This Row],[Industry]], Mean_PE_L, 3, FALSE))</f>
        <v>0.30354055709323924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0" spans="1:26" x14ac:dyDescent="0.25">
      <c r="A40" s="67" t="s">
        <v>107</v>
      </c>
      <c r="B40" s="67" t="s">
        <v>177</v>
      </c>
      <c r="C40" s="2">
        <v>29713</v>
      </c>
      <c r="D40">
        <f>RTD("tos.rtd", , "LAST", Main_L[[#This Row],[Symbol]])</f>
        <v>54.8</v>
      </c>
      <c r="E40">
        <v>4.43</v>
      </c>
      <c r="F40">
        <v>16.920000000000002</v>
      </c>
      <c r="G40">
        <v>4.54</v>
      </c>
      <c r="H40" s="1">
        <f>IF(ISNUMBER(Main_L[[#This Row],[Free CF]]),IF(Main_L[[#This Row],[Free CF]]&lt;&gt;0,Main_L[[#This Row],[Current Price]]/Main_L[[#This Row],[Free CF]],""),"")</f>
        <v>12.370203160270881</v>
      </c>
      <c r="I40" s="1">
        <f>IF(ISNUMBER(Main_L[[#This Row],[BVPS]]),IF(Main_L[[#This Row],[BVPS]]&lt;&gt;0,Main_L[[#This Row],[Current Price]]/Main_L[[#This Row],[BVPS]],""),"")</f>
        <v>3.2387706855791958</v>
      </c>
      <c r="J40">
        <v>26.83</v>
      </c>
      <c r="K40">
        <v>7.2</v>
      </c>
      <c r="L40">
        <v>3.53</v>
      </c>
      <c r="M40" s="1">
        <f>IF(ISNUMBER(Main_L[[#This Row],[EPS]]),IF(Main_L[[#This Row],[EPS]]&lt;&gt;0,Main_L[[#This Row],[Current Price]]/Main_L[[#This Row],[EPS]],""),"")</f>
        <v>12.070484581497796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0" s="1">
        <f>(Main_L[[#This Row],[P/FCF]]-VLOOKUP(Main_L[[#This Row],[Industry]], Mean_PFCF_L, 2, FALSE))/(VLOOKUP(Main_L[[#This Row],[Industry]], Mean_PFCF_L, 3, FALSE))</f>
        <v>-0.13410098382109722</v>
      </c>
      <c r="P40" s="1">
        <f>(Main_L[[#This Row],[P/B]]-VLOOKUP(Main_L[[#This Row],[Industry]], Mean_PB_L, 2, FALSE))/(VLOOKUP(Main_L[[#This Row],[Industry]], Mean_PB_L, 3, FALSE))</f>
        <v>1.1718821739866085</v>
      </c>
      <c r="Q40" s="1">
        <f>(Main_L[[#This Row],[ROE]]-VLOOKUP(Main_L[[#This Row],[Industry]], Mean_ROE_L, 2, FALSE))/(VLOOKUP(Main_L[[#This Row],[Industry]], Mean_ROE_L, 3, FALSE))</f>
        <v>2.3573391355718578</v>
      </c>
      <c r="R40" s="1">
        <f>(Main_L[[#This Row],[ROA]]-VLOOKUP(Main_L[[#This Row],[Industry]], Mean_ROA_L, 2, FALSE))/(VLOOKUP(Main_L[[#This Row],[Industry]], Mean_ROA_L, 3, FALSE))</f>
        <v>0.52885925445413196</v>
      </c>
      <c r="S40" s="1">
        <f>(Main_L[[#This Row],[A/E]]-VLOOKUP(Main_L[[#This Row],[Industry]], Mean_AE_L, 2, FALSE))/(VLOOKUP(Main_L[[#This Row],[Industry]], Mean_AE_L, 3, FALSE))</f>
        <v>1.2566540005652098</v>
      </c>
      <c r="T40" s="1">
        <f>(Main_L[[#This Row],[P/E]]-VLOOKUP(Main_L[[#This Row],[Industry]], Mean_PE_L, 2, FALSE))/(VLOOKUP(Main_L[[#This Row],[Industry]], Mean_PE_L, 3, FALSE))</f>
        <v>-0.66193138914148097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1" spans="1:26" x14ac:dyDescent="0.25">
      <c r="A41" s="67" t="s">
        <v>107</v>
      </c>
      <c r="B41" s="67" t="s">
        <v>178</v>
      </c>
      <c r="C41" s="2">
        <v>16871</v>
      </c>
      <c r="D41">
        <f>RTD("tos.rtd", , "LAST", Main_L[[#This Row],[Symbol]])</f>
        <v>31.19</v>
      </c>
      <c r="E41">
        <v>1.27</v>
      </c>
      <c r="F41">
        <v>14.61</v>
      </c>
      <c r="G41">
        <v>1.36</v>
      </c>
      <c r="H41" s="1">
        <f>IF(ISNUMBER(Main_L[[#This Row],[Free CF]]),IF(Main_L[[#This Row],[Free CF]]&lt;&gt;0,Main_L[[#This Row],[Current Price]]/Main_L[[#This Row],[Free CF]],""),"")</f>
        <v>24.559055118110237</v>
      </c>
      <c r="I41" s="1">
        <f>IF(ISNUMBER(Main_L[[#This Row],[BVPS]]),IF(Main_L[[#This Row],[BVPS]]&lt;&gt;0,Main_L[[#This Row],[Current Price]]/Main_L[[#This Row],[BVPS]],""),"")</f>
        <v>2.1348391512662563</v>
      </c>
      <c r="J41">
        <v>9.3699999999999992</v>
      </c>
      <c r="K41">
        <v>4.75</v>
      </c>
      <c r="L41">
        <v>1.67</v>
      </c>
      <c r="M41" s="1">
        <f>IF(ISNUMBER(Main_L[[#This Row],[EPS]]),IF(Main_L[[#This Row],[EPS]]&lt;&gt;0,Main_L[[#This Row],[Current Price]]/Main_L[[#This Row],[EPS]],""),"")</f>
        <v>22.933823529411764</v>
      </c>
      <c r="N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1" s="1">
        <f>(Main_L[[#This Row],[P/FCF]]-VLOOKUP(Main_L[[#This Row],[Industry]], Mean_PFCF_L, 2, FALSE))/(VLOOKUP(Main_L[[#This Row],[Industry]], Mean_PFCF_L, 3, FALSE))</f>
        <v>0.92419168439445554</v>
      </c>
      <c r="P41" s="1">
        <f>(Main_L[[#This Row],[P/B]]-VLOOKUP(Main_L[[#This Row],[Industry]], Mean_PB_L, 2, FALSE))/(VLOOKUP(Main_L[[#This Row],[Industry]], Mean_PB_L, 3, FALSE))</f>
        <v>0.24722800366127315</v>
      </c>
      <c r="Q41" s="1">
        <f>(Main_L[[#This Row],[ROE]]-VLOOKUP(Main_L[[#This Row],[Industry]], Mean_ROE_L, 2, FALSE))/(VLOOKUP(Main_L[[#This Row],[Industry]], Mean_ROE_L, 3, FALSE))</f>
        <v>-9.3130684964757002E-2</v>
      </c>
      <c r="R41" s="1">
        <f>(Main_L[[#This Row],[ROA]]-VLOOKUP(Main_L[[#This Row],[Industry]], Mean_ROA_L, 2, FALSE))/(VLOOKUP(Main_L[[#This Row],[Industry]], Mean_ROA_L, 3, FALSE))</f>
        <v>-0.39354392594848908</v>
      </c>
      <c r="S41" s="1">
        <f>(Main_L[[#This Row],[A/E]]-VLOOKUP(Main_L[[#This Row],[Industry]], Mean_AE_L, 2, FALSE))/(VLOOKUP(Main_L[[#This Row],[Industry]], Mean_AE_L, 3, FALSE))</f>
        <v>-1.2888552561850761</v>
      </c>
      <c r="T41" s="1">
        <f>(Main_L[[#This Row],[P/E]]-VLOOKUP(Main_L[[#This Row],[Industry]], Mean_PE_L, 2, FALSE))/(VLOOKUP(Main_L[[#This Row],[Industry]], Mean_PE_L, 3, FALSE))</f>
        <v>0.69335597104673174</v>
      </c>
      <c r="U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2" spans="1:26" x14ac:dyDescent="0.25">
      <c r="A42" s="67" t="s">
        <v>107</v>
      </c>
      <c r="B42" s="67" t="s">
        <v>179</v>
      </c>
      <c r="C42" s="2">
        <v>32556</v>
      </c>
      <c r="D42">
        <f>RTD("tos.rtd", , "LAST", Main_L[[#This Row],[Symbol]])</f>
        <v>166.91</v>
      </c>
      <c r="E42">
        <v>8.99</v>
      </c>
      <c r="F42">
        <v>23.12</v>
      </c>
      <c r="G42">
        <v>8.1199999999999992</v>
      </c>
      <c r="H42" s="1">
        <f>IF(ISNUMBER(Main_L[[#This Row],[Free CF]]),IF(Main_L[[#This Row],[Free CF]]&lt;&gt;0,Main_L[[#This Row],[Current Price]]/Main_L[[#This Row],[Free CF]],""),"")</f>
        <v>18.566184649610676</v>
      </c>
      <c r="I42" s="1">
        <f>IF(ISNUMBER(Main_L[[#This Row],[BVPS]]),IF(Main_L[[#This Row],[BVPS]]&lt;&gt;0,Main_L[[#This Row],[Current Price]]/Main_L[[#This Row],[BVPS]],""),"")</f>
        <v>7.219290657439446</v>
      </c>
      <c r="J42">
        <v>37.479999999999997</v>
      </c>
      <c r="K42">
        <v>10.96</v>
      </c>
      <c r="L42">
        <v>2.98</v>
      </c>
      <c r="M42" s="1">
        <f>IF(ISNUMBER(Main_L[[#This Row],[EPS]]),IF(Main_L[[#This Row],[EPS]]&lt;&gt;0,Main_L[[#This Row],[Current Price]]/Main_L[[#This Row],[EPS]],""),"")</f>
        <v>20.555418719211826</v>
      </c>
      <c r="N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2" s="1">
        <f>(Main_L[[#This Row],[P/FCF]]-VLOOKUP(Main_L[[#This Row],[Industry]], Mean_PFCF_L, 2, FALSE))/(VLOOKUP(Main_L[[#This Row],[Industry]], Mean_PFCF_L, 3, FALSE))</f>
        <v>0.40386287079363509</v>
      </c>
      <c r="P42" s="1">
        <f>(Main_L[[#This Row],[P/B]]-VLOOKUP(Main_L[[#This Row],[Industry]], Mean_PB_L, 2, FALSE))/(VLOOKUP(Main_L[[#This Row],[Industry]], Mean_PB_L, 3, FALSE))</f>
        <v>4.5059697307249769</v>
      </c>
      <c r="Q42" s="1">
        <f>(Main_L[[#This Row],[ROE]]-VLOOKUP(Main_L[[#This Row],[Industry]], Mean_ROE_L, 2, FALSE))/(VLOOKUP(Main_L[[#This Row],[Industry]], Mean_ROE_L, 3, FALSE))</f>
        <v>3.8520415175142944</v>
      </c>
      <c r="R42" s="1">
        <f>(Main_L[[#This Row],[ROA]]-VLOOKUP(Main_L[[#This Row],[Industry]], Mean_ROA_L, 2, FALSE))/(VLOOKUP(Main_L[[#This Row],[Industry]], Mean_ROA_L, 3, FALSE))</f>
        <v>1.9444657680516242</v>
      </c>
      <c r="S42" s="1">
        <f>(Main_L[[#This Row],[A/E]]-VLOOKUP(Main_L[[#This Row],[Industry]], Mean_AE_L, 2, FALSE))/(VLOOKUP(Main_L[[#This Row],[Industry]], Mean_AE_L, 3, FALSE))</f>
        <v>0.50394965045087825</v>
      </c>
      <c r="T42" s="1">
        <f>(Main_L[[#This Row],[P/E]]-VLOOKUP(Main_L[[#This Row],[Industry]], Mean_PE_L, 2, FALSE))/(VLOOKUP(Main_L[[#This Row],[Industry]], Mean_PE_L, 3, FALSE))</f>
        <v>0.39663118024990229</v>
      </c>
      <c r="U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3" spans="1:26" x14ac:dyDescent="0.25">
      <c r="A43" s="67" t="s">
        <v>107</v>
      </c>
      <c r="B43" s="67" t="s">
        <v>254</v>
      </c>
      <c r="C43" s="2">
        <v>13184</v>
      </c>
      <c r="D43">
        <f>RTD("tos.rtd", , "LAST", Main_L[[#This Row],[Symbol]])</f>
        <v>13.824999999999999</v>
      </c>
      <c r="E43">
        <v>2.2200000000000002</v>
      </c>
      <c r="F43">
        <v>23.53</v>
      </c>
      <c r="G43">
        <v>1.17</v>
      </c>
      <c r="H43" s="1">
        <f>IF(ISNUMBER(Main_L[[#This Row],[Free CF]]),IF(Main_L[[#This Row],[Free CF]]&lt;&gt;0,Main_L[[#This Row],[Current Price]]/Main_L[[#This Row],[Free CF]],""),"")</f>
        <v>6.2274774774774766</v>
      </c>
      <c r="I43" s="1">
        <f>IF(ISNUMBER(Main_L[[#This Row],[BVPS]]),IF(Main_L[[#This Row],[BVPS]]&lt;&gt;0,Main_L[[#This Row],[Current Price]]/Main_L[[#This Row],[BVPS]],""),"")</f>
        <v>0.58754781130471734</v>
      </c>
      <c r="J43">
        <v>4.88</v>
      </c>
      <c r="K43">
        <v>2.86</v>
      </c>
      <c r="L43">
        <v>2.14</v>
      </c>
      <c r="M43" s="1">
        <f>IF(ISNUMBER(Main_L[[#This Row],[EPS]]),IF(Main_L[[#This Row],[EPS]]&lt;&gt;0,Main_L[[#This Row],[Current Price]]/Main_L[[#This Row],[EPS]],""),"")</f>
        <v>11.816239316239317</v>
      </c>
      <c r="N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3" s="1">
        <f>(Main_L[[#This Row],[P/FCF]]-VLOOKUP(Main_L[[#This Row],[Industry]], Mean_PFCF_L, 2, FALSE))/(VLOOKUP(Main_L[[#This Row],[Industry]], Mean_PFCF_L, 3, FALSE))</f>
        <v>-0.66744092227023011</v>
      </c>
      <c r="P43" s="1">
        <f>(Main_L[[#This Row],[P/B]]-VLOOKUP(Main_L[[#This Row],[Industry]], Mean_PB_L, 2, FALSE))/(VLOOKUP(Main_L[[#This Row],[Industry]], Mean_PB_L, 3, FALSE))</f>
        <v>-1.0487847885579042</v>
      </c>
      <c r="Q43" s="1">
        <f>(Main_L[[#This Row],[ROE]]-VLOOKUP(Main_L[[#This Row],[Industry]], Mean_ROE_L, 2, FALSE))/(VLOOKUP(Main_L[[#This Row],[Industry]], Mean_ROE_L, 3, FALSE))</f>
        <v>-0.72329159528602838</v>
      </c>
      <c r="R43" s="1">
        <f>(Main_L[[#This Row],[ROA]]-VLOOKUP(Main_L[[#This Row],[Industry]], Mean_ROA_L, 2, FALSE))/(VLOOKUP(Main_L[[#This Row],[Industry]], Mean_ROA_L, 3, FALSE))</f>
        <v>-1.105112093687654</v>
      </c>
      <c r="S43" s="1">
        <f>(Main_L[[#This Row],[A/E]]-VLOOKUP(Main_L[[#This Row],[Industry]], Mean_AE_L, 2, FALSE))/(VLOOKUP(Main_L[[#This Row],[Industry]], Mean_AE_L, 3, FALSE))</f>
        <v>-0.64563517517828306</v>
      </c>
      <c r="T43" s="1">
        <f>(Main_L[[#This Row],[P/E]]-VLOOKUP(Main_L[[#This Row],[Industry]], Mean_PE_L, 2, FALSE))/(VLOOKUP(Main_L[[#This Row],[Industry]], Mean_PE_L, 3, FALSE))</f>
        <v>-0.69365049466185902</v>
      </c>
      <c r="U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4" spans="1:26" x14ac:dyDescent="0.25">
      <c r="A44" s="67" t="s">
        <v>107</v>
      </c>
      <c r="B44" s="67" t="s">
        <v>180</v>
      </c>
      <c r="C44" s="2">
        <v>28668</v>
      </c>
      <c r="D44">
        <f>RTD("tos.rtd", , "LAST", Main_L[[#This Row],[Symbol]])</f>
        <v>81.99</v>
      </c>
      <c r="E44">
        <v>2.5099999999999998</v>
      </c>
      <c r="F44">
        <v>11.28</v>
      </c>
      <c r="G44">
        <v>3.97</v>
      </c>
      <c r="H44" s="1">
        <f>IF(ISNUMBER(Main_L[[#This Row],[Free CF]]),IF(Main_L[[#This Row],[Free CF]]&lt;&gt;0,Main_L[[#This Row],[Current Price]]/Main_L[[#This Row],[Free CF]],""),"")</f>
        <v>32.665338645418331</v>
      </c>
      <c r="I44" s="1">
        <f>IF(ISNUMBER(Main_L[[#This Row],[BVPS]]),IF(Main_L[[#This Row],[BVPS]]&lt;&gt;0,Main_L[[#This Row],[Current Price]]/Main_L[[#This Row],[BVPS]],""),"")</f>
        <v>7.2686170212765955</v>
      </c>
      <c r="J44">
        <v>38.15</v>
      </c>
      <c r="K44">
        <v>8.1199999999999992</v>
      </c>
      <c r="L44">
        <v>3.95</v>
      </c>
      <c r="M44" s="1">
        <f>IF(ISNUMBER(Main_L[[#This Row],[EPS]]),IF(Main_L[[#This Row],[EPS]]&lt;&gt;0,Main_L[[#This Row],[Current Price]]/Main_L[[#This Row],[EPS]],""),"")</f>
        <v>20.652392947103273</v>
      </c>
      <c r="N4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4" s="1">
        <f>(Main_L[[#This Row],[P/FCF]]-VLOOKUP(Main_L[[#This Row],[Industry]], Mean_PFCF_L, 2, FALSE))/(VLOOKUP(Main_L[[#This Row],[Industry]], Mean_PFCF_L, 3, FALSE))</f>
        <v>1.62801682339035</v>
      </c>
      <c r="P44" s="1">
        <f>(Main_L[[#This Row],[P/B]]-VLOOKUP(Main_L[[#This Row],[Industry]], Mean_PB_L, 2, FALSE))/(VLOOKUP(Main_L[[#This Row],[Industry]], Mean_PB_L, 3, FALSE))</f>
        <v>4.5472855429935262</v>
      </c>
      <c r="Q44" s="1">
        <f>(Main_L[[#This Row],[ROE]]-VLOOKUP(Main_L[[#This Row],[Industry]], Mean_ROE_L, 2, FALSE))/(VLOOKUP(Main_L[[#This Row],[Industry]], Mean_ROE_L, 3, FALSE))</f>
        <v>3.9460744373172463</v>
      </c>
      <c r="R44" s="1">
        <f>(Main_L[[#This Row],[ROA]]-VLOOKUP(Main_L[[#This Row],[Industry]], Mean_ROA_L, 2, FALSE))/(VLOOKUP(Main_L[[#This Row],[Industry]], Mean_ROA_L, 3, FALSE))</f>
        <v>0.8752310609726669</v>
      </c>
      <c r="S44" s="1">
        <f>(Main_L[[#This Row],[A/E]]-VLOOKUP(Main_L[[#This Row],[Industry]], Mean_AE_L, 2, FALSE))/(VLOOKUP(Main_L[[#This Row],[Industry]], Mean_AE_L, 3, FALSE))</f>
        <v>1.8314464133797912</v>
      </c>
      <c r="T44" s="1">
        <f>(Main_L[[#This Row],[P/E]]-VLOOKUP(Main_L[[#This Row],[Industry]], Mean_PE_L, 2, FALSE))/(VLOOKUP(Main_L[[#This Row],[Industry]], Mean_PE_L, 3, FALSE))</f>
        <v>0.40872948132984116</v>
      </c>
      <c r="U4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5" spans="1:26" x14ac:dyDescent="0.25">
      <c r="A45" s="67" t="s">
        <v>107</v>
      </c>
      <c r="B45" s="67" t="s">
        <v>181</v>
      </c>
      <c r="C45" s="2">
        <v>31636</v>
      </c>
      <c r="D45">
        <f>RTD("tos.rtd", , "LAST", Main_L[[#This Row],[Symbol]])</f>
        <v>26.48</v>
      </c>
      <c r="E45">
        <v>2.5099999999999998</v>
      </c>
      <c r="F45">
        <v>41.56</v>
      </c>
      <c r="G45">
        <v>2.19</v>
      </c>
      <c r="H45" s="1">
        <f>IF(ISNUMBER(Main_L[[#This Row],[Free CF]]),IF(Main_L[[#This Row],[Free CF]]&lt;&gt;0,Main_L[[#This Row],[Current Price]]/Main_L[[#This Row],[Free CF]],""),"")</f>
        <v>10.54980079681275</v>
      </c>
      <c r="I45" s="1">
        <f>IF(ISNUMBER(Main_L[[#This Row],[BVPS]]),IF(Main_L[[#This Row],[BVPS]]&lt;&gt;0,Main_L[[#This Row],[Current Price]]/Main_L[[#This Row],[BVPS]],""),"")</f>
        <v>0.63715110683349374</v>
      </c>
      <c r="J45">
        <v>5.35</v>
      </c>
      <c r="K45">
        <v>3.75</v>
      </c>
      <c r="L45">
        <v>1.83</v>
      </c>
      <c r="M45" s="1">
        <f>IF(ISNUMBER(Main_L[[#This Row],[EPS]]),IF(Main_L[[#This Row],[EPS]]&lt;&gt;0,Main_L[[#This Row],[Current Price]]/Main_L[[#This Row],[EPS]],""),"")</f>
        <v>12.091324200913242</v>
      </c>
      <c r="N4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5" s="1">
        <f>(Main_L[[#This Row],[P/FCF]]-VLOOKUP(Main_L[[#This Row],[Industry]], Mean_PFCF_L, 2, FALSE))/(VLOOKUP(Main_L[[#This Row],[Industry]], Mean_PFCF_L, 3, FALSE))</f>
        <v>-0.29215676143770436</v>
      </c>
      <c r="P45" s="1">
        <f>(Main_L[[#This Row],[P/B]]-VLOOKUP(Main_L[[#This Row],[Industry]], Mean_PB_L, 2, FALSE))/(VLOOKUP(Main_L[[#This Row],[Industry]], Mean_PB_L, 3, FALSE))</f>
        <v>-1.0072370180241916</v>
      </c>
      <c r="Q45" s="1">
        <f>(Main_L[[#This Row],[ROE]]-VLOOKUP(Main_L[[#This Row],[Industry]], Mean_ROE_L, 2, FALSE))/(VLOOKUP(Main_L[[#This Row],[Industry]], Mean_ROE_L, 3, FALSE))</f>
        <v>-0.65732820378246548</v>
      </c>
      <c r="R45" s="1">
        <f>(Main_L[[#This Row],[ROA]]-VLOOKUP(Main_L[[#This Row],[Industry]], Mean_ROA_L, 2, FALSE))/(VLOOKUP(Main_L[[#This Row],[Industry]], Mean_ROA_L, 3, FALSE))</f>
        <v>-0.77003501999037527</v>
      </c>
      <c r="S45" s="1">
        <f>(Main_L[[#This Row],[A/E]]-VLOOKUP(Main_L[[#This Row],[Industry]], Mean_AE_L, 2, FALSE))/(VLOOKUP(Main_L[[#This Row],[Industry]], Mean_AE_L, 3, FALSE))</f>
        <v>-1.0698867179699976</v>
      </c>
      <c r="T45" s="1">
        <f>(Main_L[[#This Row],[P/E]]-VLOOKUP(Main_L[[#This Row],[Industry]], Mean_PE_L, 2, FALSE))/(VLOOKUP(Main_L[[#This Row],[Industry]], Mean_PE_L, 3, FALSE))</f>
        <v>-0.65933148197478897</v>
      </c>
      <c r="U4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6" spans="1:26" x14ac:dyDescent="0.25">
      <c r="A46" s="67" t="s">
        <v>107</v>
      </c>
      <c r="B46" s="67" t="s">
        <v>182</v>
      </c>
      <c r="C46" s="2">
        <v>87387</v>
      </c>
      <c r="D46">
        <f>RTD("tos.rtd", , "LAST", Main_L[[#This Row],[Symbol]])</f>
        <v>66.7</v>
      </c>
      <c r="E46">
        <v>2.4900000000000002</v>
      </c>
      <c r="F46">
        <v>19.91</v>
      </c>
      <c r="G46">
        <v>2.7</v>
      </c>
      <c r="H46" s="1">
        <f>IF(ISNUMBER(Main_L[[#This Row],[Free CF]]),IF(Main_L[[#This Row],[Free CF]]&lt;&gt;0,Main_L[[#This Row],[Current Price]]/Main_L[[#This Row],[Free CF]],""),"")</f>
        <v>26.787148594377509</v>
      </c>
      <c r="I46" s="1">
        <f>IF(ISNUMBER(Main_L[[#This Row],[BVPS]]),IF(Main_L[[#This Row],[BVPS]]&lt;&gt;0,Main_L[[#This Row],[Current Price]]/Main_L[[#This Row],[BVPS]],""),"")</f>
        <v>3.3500753390256155</v>
      </c>
      <c r="J46">
        <v>13.3</v>
      </c>
      <c r="K46">
        <v>3.69</v>
      </c>
      <c r="L46">
        <v>2.67</v>
      </c>
      <c r="M46" s="1">
        <f>IF(ISNUMBER(Main_L[[#This Row],[EPS]]),IF(Main_L[[#This Row],[EPS]]&lt;&gt;0,Main_L[[#This Row],[Current Price]]/Main_L[[#This Row],[EPS]],""),"")</f>
        <v>24.703703703703702</v>
      </c>
      <c r="N4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6" s="1">
        <f>(Main_L[[#This Row],[P/FCF]]-VLOOKUP(Main_L[[#This Row],[Industry]], Mean_PFCF_L, 2, FALSE))/(VLOOKUP(Main_L[[#This Row],[Industry]], Mean_PFCF_L, 3, FALSE))</f>
        <v>1.1176450956089554</v>
      </c>
      <c r="P46" s="1">
        <f>(Main_L[[#This Row],[P/B]]-VLOOKUP(Main_L[[#This Row],[Industry]], Mean_PB_L, 2, FALSE))/(VLOOKUP(Main_L[[#This Row],[Industry]], Mean_PB_L, 3, FALSE))</f>
        <v>1.2651110643542545</v>
      </c>
      <c r="Q46" s="1">
        <f>(Main_L[[#This Row],[ROE]]-VLOOKUP(Main_L[[#This Row],[Industry]], Mean_ROE_L, 2, FALSE))/(VLOOKUP(Main_L[[#This Row],[Industry]], Mean_ROE_L, 3, FALSE))</f>
        <v>0.45843554611822696</v>
      </c>
      <c r="R46" s="1">
        <f>(Main_L[[#This Row],[ROA]]-VLOOKUP(Main_L[[#This Row],[Industry]], Mean_ROA_L, 2, FALSE))/(VLOOKUP(Main_L[[#This Row],[Industry]], Mean_ROA_L, 3, FALSE))</f>
        <v>-0.79262448563288845</v>
      </c>
      <c r="S46" s="1">
        <f>(Main_L[[#This Row],[A/E]]-VLOOKUP(Main_L[[#This Row],[Industry]], Mean_AE_L, 2, FALSE))/(VLOOKUP(Main_L[[#This Row],[Industry]], Mean_AE_L, 3, FALSE))</f>
        <v>7.9698107659163783E-2</v>
      </c>
      <c r="T46" s="1">
        <f>(Main_L[[#This Row],[P/E]]-VLOOKUP(Main_L[[#This Row],[Industry]], Mean_PE_L, 2, FALSE))/(VLOOKUP(Main_L[[#This Row],[Industry]], Mean_PE_L, 3, FALSE))</f>
        <v>0.9141625058300531</v>
      </c>
      <c r="U4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7" spans="1:26" x14ac:dyDescent="0.25">
      <c r="A47" s="67" t="s">
        <v>107</v>
      </c>
      <c r="B47" s="67" t="s">
        <v>183</v>
      </c>
      <c r="C47" s="2">
        <v>19505</v>
      </c>
      <c r="D47">
        <f>RTD("tos.rtd", , "LAST", Main_L[[#This Row],[Symbol]])</f>
        <v>75.22</v>
      </c>
      <c r="E47">
        <v>2.42</v>
      </c>
      <c r="F47">
        <v>20.22</v>
      </c>
      <c r="G47">
        <v>2.9</v>
      </c>
      <c r="H47" s="1">
        <f>IF(ISNUMBER(Main_L[[#This Row],[Free CF]]),IF(Main_L[[#This Row],[Free CF]]&lt;&gt;0,Main_L[[#This Row],[Current Price]]/Main_L[[#This Row],[Free CF]],""),"")</f>
        <v>31.082644628099175</v>
      </c>
      <c r="I47" s="1">
        <f>IF(ISNUMBER(Main_L[[#This Row],[BVPS]]),IF(Main_L[[#This Row],[BVPS]]&lt;&gt;0,Main_L[[#This Row],[Current Price]]/Main_L[[#This Row],[BVPS]],""),"")</f>
        <v>3.7200791295746787</v>
      </c>
      <c r="J47">
        <v>14.66</v>
      </c>
      <c r="K47">
        <v>5.16</v>
      </c>
      <c r="L47">
        <v>2.38</v>
      </c>
      <c r="M47" s="1">
        <f>IF(ISNUMBER(Main_L[[#This Row],[EPS]]),IF(Main_L[[#This Row],[EPS]]&lt;&gt;0,Main_L[[#This Row],[Current Price]]/Main_L[[#This Row],[EPS]],""),"")</f>
        <v>25.937931034482759</v>
      </c>
      <c r="N4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7" s="1">
        <f>(Main_L[[#This Row],[P/FCF]]-VLOOKUP(Main_L[[#This Row],[Industry]], Mean_PFCF_L, 2, FALSE))/(VLOOKUP(Main_L[[#This Row],[Industry]], Mean_PFCF_L, 3, FALSE))</f>
        <v>1.4905999870589988</v>
      </c>
      <c r="P47" s="1">
        <f>(Main_L[[#This Row],[P/B]]-VLOOKUP(Main_L[[#This Row],[Industry]], Mean_PB_L, 2, FALSE))/(VLOOKUP(Main_L[[#This Row],[Industry]], Mean_PB_L, 3, FALSE))</f>
        <v>1.5750266137640319</v>
      </c>
      <c r="Q47" s="1">
        <f>(Main_L[[#This Row],[ROE]]-VLOOKUP(Main_L[[#This Row],[Industry]], Mean_ROE_L, 2, FALSE))/(VLOOKUP(Main_L[[#This Row],[Industry]], Mean_ROE_L, 3, FALSE))</f>
        <v>0.64930833855406855</v>
      </c>
      <c r="R47" s="1">
        <f>(Main_L[[#This Row],[ROA]]-VLOOKUP(Main_L[[#This Row],[Industry]], Mean_ROA_L, 2, FALSE))/(VLOOKUP(Main_L[[#This Row],[Industry]], Mean_ROA_L, 3, FALSE))</f>
        <v>-0.23918257739131571</v>
      </c>
      <c r="S47" s="1">
        <f>(Main_L[[#This Row],[A/E]]-VLOOKUP(Main_L[[#This Row],[Industry]], Mean_AE_L, 2, FALSE))/(VLOOKUP(Main_L[[#This Row],[Industry]], Mean_AE_L, 3, FALSE))</f>
        <v>-0.31718236785566584</v>
      </c>
      <c r="T47" s="1">
        <f>(Main_L[[#This Row],[P/E]]-VLOOKUP(Main_L[[#This Row],[Industry]], Mean_PE_L, 2, FALSE))/(VLOOKUP(Main_L[[#This Row],[Industry]], Mean_PE_L, 3, FALSE))</f>
        <v>1.0681421164289562</v>
      </c>
      <c r="U4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8" spans="1:26" x14ac:dyDescent="0.25">
      <c r="A48" s="67" t="s">
        <v>107</v>
      </c>
      <c r="B48" s="67" t="s">
        <v>184</v>
      </c>
      <c r="C48" s="2">
        <v>11657</v>
      </c>
      <c r="D48">
        <f>RTD("tos.rtd", , "LAST", Main_L[[#This Row],[Symbol]])</f>
        <v>45.87</v>
      </c>
      <c r="E48">
        <v>5.82</v>
      </c>
      <c r="F48">
        <v>13.2</v>
      </c>
      <c r="G48">
        <v>5.08</v>
      </c>
      <c r="H48" s="1">
        <f>IF(ISNUMBER(Main_L[[#This Row],[Free CF]]),IF(Main_L[[#This Row],[Free CF]]&lt;&gt;0,Main_L[[#This Row],[Current Price]]/Main_L[[#This Row],[Free CF]],""),"")</f>
        <v>7.8814432989690717</v>
      </c>
      <c r="I48" s="1">
        <f>IF(ISNUMBER(Main_L[[#This Row],[BVPS]]),IF(Main_L[[#This Row],[BVPS]]&lt;&gt;0,Main_L[[#This Row],[Current Price]]/Main_L[[#This Row],[BVPS]],""),"")</f>
        <v>3.4750000000000001</v>
      </c>
      <c r="J48">
        <v>36.39</v>
      </c>
      <c r="K48">
        <v>11.46</v>
      </c>
      <c r="L48">
        <v>3.5</v>
      </c>
      <c r="M48" s="1">
        <f>IF(ISNUMBER(Main_L[[#This Row],[EPS]]),IF(Main_L[[#This Row],[EPS]]&lt;&gt;0,Main_L[[#This Row],[Current Price]]/Main_L[[#This Row],[EPS]],""),"")</f>
        <v>9.0295275590551167</v>
      </c>
      <c r="N4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8" s="1">
        <f>(Main_L[[#This Row],[P/FCF]]-VLOOKUP(Main_L[[#This Row],[Industry]], Mean_PFCF_L, 2, FALSE))/(VLOOKUP(Main_L[[#This Row],[Industry]], Mean_PFCF_L, 3, FALSE))</f>
        <v>-0.52383593728738287</v>
      </c>
      <c r="P48" s="1">
        <f>(Main_L[[#This Row],[P/B]]-VLOOKUP(Main_L[[#This Row],[Industry]], Mean_PB_L, 2, FALSE))/(VLOOKUP(Main_L[[#This Row],[Industry]], Mean_PB_L, 3, FALSE))</f>
        <v>1.3697480868108467</v>
      </c>
      <c r="Q48" s="1">
        <f>(Main_L[[#This Row],[ROE]]-VLOOKUP(Main_L[[#This Row],[Industry]], Mean_ROE_L, 2, FALSE))/(VLOOKUP(Main_L[[#This Row],[Industry]], Mean_ROE_L, 3, FALSE))</f>
        <v>3.6990625882826276</v>
      </c>
      <c r="R48" s="1">
        <f>(Main_L[[#This Row],[ROA]]-VLOOKUP(Main_L[[#This Row],[Industry]], Mean_ROA_L, 2, FALSE))/(VLOOKUP(Main_L[[#This Row],[Industry]], Mean_ROA_L, 3, FALSE))</f>
        <v>2.1327113150725672</v>
      </c>
      <c r="S48" s="1">
        <f>(Main_L[[#This Row],[A/E]]-VLOOKUP(Main_L[[#This Row],[Industry]], Mean_AE_L, 2, FALSE))/(VLOOKUP(Main_L[[#This Row],[Industry]], Mean_AE_L, 3, FALSE))</f>
        <v>1.215597399649883</v>
      </c>
      <c r="T48" s="1">
        <f>(Main_L[[#This Row],[P/E]]-VLOOKUP(Main_L[[#This Row],[Industry]], Mean_PE_L, 2, FALSE))/(VLOOKUP(Main_L[[#This Row],[Industry]], Mean_PE_L, 3, FALSE))</f>
        <v>-1.0413148029475605</v>
      </c>
      <c r="U4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9" spans="1:26" x14ac:dyDescent="0.25">
      <c r="A49" s="67" t="s">
        <v>107</v>
      </c>
      <c r="B49" s="67" t="s">
        <v>185</v>
      </c>
      <c r="C49" s="2">
        <v>11984</v>
      </c>
      <c r="D49">
        <f>RTD("tos.rtd", , "LAST", Main_L[[#This Row],[Symbol]])</f>
        <v>111.85</v>
      </c>
      <c r="E49">
        <v>7.67</v>
      </c>
      <c r="F49">
        <v>64.91</v>
      </c>
      <c r="G49">
        <v>-2.42</v>
      </c>
      <c r="H49" s="1">
        <f>IF(ISNUMBER(Main_L[[#This Row],[Free CF]]),IF(Main_L[[#This Row],[Free CF]]&lt;&gt;0,Main_L[[#This Row],[Current Price]]/Main_L[[#This Row],[Free CF]],""),"")</f>
        <v>14.582790091264666</v>
      </c>
      <c r="I49" s="1">
        <f>IF(ISNUMBER(Main_L[[#This Row],[BVPS]]),IF(Main_L[[#This Row],[BVPS]]&lt;&gt;0,Main_L[[#This Row],[Current Price]]/Main_L[[#This Row],[BVPS]],""),"")</f>
        <v>1.7231551378832228</v>
      </c>
      <c r="J49">
        <v>-3.55</v>
      </c>
      <c r="K49">
        <v>5.52</v>
      </c>
      <c r="L49">
        <v>2.67</v>
      </c>
      <c r="M49" s="1">
        <f>IF(ISNUMBER(Main_L[[#This Row],[EPS]]),IF(Main_L[[#This Row],[EPS]]&lt;&gt;0,Main_L[[#This Row],[Current Price]]/Main_L[[#This Row],[EPS]],""),"")</f>
        <v>-46.219008264462808</v>
      </c>
      <c r="N4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9" s="1">
        <f>(Main_L[[#This Row],[P/FCF]]-VLOOKUP(Main_L[[#This Row],[Industry]], Mean_PFCF_L, 2, FALSE))/(VLOOKUP(Main_L[[#This Row],[Industry]], Mean_PFCF_L, 3, FALSE))</f>
        <v>5.8006077201518486E-2</v>
      </c>
      <c r="P49" s="1">
        <f>(Main_L[[#This Row],[P/B]]-VLOOKUP(Main_L[[#This Row],[Industry]], Mean_PB_L, 2, FALSE))/(VLOOKUP(Main_L[[#This Row],[Industry]], Mean_PB_L, 3, FALSE))</f>
        <v>-9.7598942574853825E-2</v>
      </c>
      <c r="Q49" s="1">
        <f>(Main_L[[#This Row],[ROE]]-VLOOKUP(Main_L[[#This Row],[Industry]], Mean_ROE_L, 2, FALSE))/(VLOOKUP(Main_L[[#This Row],[Industry]], Mean_ROE_L, 3, FALSE))</f>
        <v>-1.9064222131052528</v>
      </c>
      <c r="R49" s="1">
        <f>(Main_L[[#This Row],[ROA]]-VLOOKUP(Main_L[[#This Row],[Industry]], Mean_ROA_L, 2, FALSE))/(VLOOKUP(Main_L[[#This Row],[Industry]], Mean_ROA_L, 3, FALSE))</f>
        <v>-0.10364578353623692</v>
      </c>
      <c r="S49" s="1">
        <f>(Main_L[[#This Row],[A/E]]-VLOOKUP(Main_L[[#This Row],[Industry]], Mean_AE_L, 2, FALSE))/(VLOOKUP(Main_L[[#This Row],[Industry]], Mean_AE_L, 3, FALSE))</f>
        <v>7.9698107659163783E-2</v>
      </c>
      <c r="T49" s="1">
        <f>(Main_L[[#This Row],[P/E]]-VLOOKUP(Main_L[[#This Row],[Industry]], Mean_PE_L, 2, FALSE))/(VLOOKUP(Main_L[[#This Row],[Industry]], Mean_PE_L, 3, FALSE))</f>
        <v>-7.9340061411753791</v>
      </c>
      <c r="U4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0" spans="1:26" x14ac:dyDescent="0.25">
      <c r="A50" s="67" t="s">
        <v>107</v>
      </c>
      <c r="B50" s="67" t="s">
        <v>186</v>
      </c>
      <c r="C50" s="2">
        <v>20006</v>
      </c>
      <c r="D50">
        <f>RTD("tos.rtd", , "LAST", Main_L[[#This Row],[Symbol]])</f>
        <v>55.26</v>
      </c>
      <c r="E50">
        <v>3.62</v>
      </c>
      <c r="F50">
        <v>51.65</v>
      </c>
      <c r="G50">
        <v>2.57</v>
      </c>
      <c r="H50" s="1">
        <f>IF(ISNUMBER(Main_L[[#This Row],[Free CF]]),IF(Main_L[[#This Row],[Free CF]]&lt;&gt;0,Main_L[[#This Row],[Current Price]]/Main_L[[#This Row],[Free CF]],""),"")</f>
        <v>15.265193370165745</v>
      </c>
      <c r="I50" s="1">
        <f>IF(ISNUMBER(Main_L[[#This Row],[BVPS]]),IF(Main_L[[#This Row],[BVPS]]&lt;&gt;0,Main_L[[#This Row],[Current Price]]/Main_L[[#This Row],[BVPS]],""),"")</f>
        <v>1.069893514036786</v>
      </c>
      <c r="J50">
        <v>5.12</v>
      </c>
      <c r="K50">
        <v>3.67</v>
      </c>
      <c r="L50">
        <v>1.97</v>
      </c>
      <c r="M50" s="1">
        <f>IF(ISNUMBER(Main_L[[#This Row],[EPS]]),IF(Main_L[[#This Row],[EPS]]&lt;&gt;0,Main_L[[#This Row],[Current Price]]/Main_L[[#This Row],[EPS]],""),"")</f>
        <v>21.501945525291831</v>
      </c>
      <c r="N5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0" s="1">
        <f>(Main_L[[#This Row],[P/FCF]]-VLOOKUP(Main_L[[#This Row],[Industry]], Mean_PFCF_L, 2, FALSE))/(VLOOKUP(Main_L[[#This Row],[Industry]], Mean_PFCF_L, 3, FALSE))</f>
        <v>0.1172554953850569</v>
      </c>
      <c r="P50" s="1">
        <f>(Main_L[[#This Row],[P/B]]-VLOOKUP(Main_L[[#This Row],[Industry]], Mean_PB_L, 2, FALSE))/(VLOOKUP(Main_L[[#This Row],[Industry]], Mean_PB_L, 3, FALSE))</f>
        <v>-0.64477153981300506</v>
      </c>
      <c r="Q50" s="1">
        <f>(Main_L[[#This Row],[ROE]]-VLOOKUP(Main_L[[#This Row],[Industry]], Mean_ROE_L, 2, FALSE))/(VLOOKUP(Main_L[[#This Row],[Industry]], Mean_ROE_L, 3, FALSE))</f>
        <v>-0.68960816132676217</v>
      </c>
      <c r="R50" s="1">
        <f>(Main_L[[#This Row],[ROA]]-VLOOKUP(Main_L[[#This Row],[Industry]], Mean_ROA_L, 2, FALSE))/(VLOOKUP(Main_L[[#This Row],[Industry]], Mean_ROA_L, 3, FALSE))</f>
        <v>-0.80015430751372618</v>
      </c>
      <c r="S50" s="1">
        <f>(Main_L[[#This Row],[A/E]]-VLOOKUP(Main_L[[#This Row],[Industry]], Mean_AE_L, 2, FALSE))/(VLOOKUP(Main_L[[#This Row],[Industry]], Mean_AE_L, 3, FALSE))</f>
        <v>-0.878289247031804</v>
      </c>
      <c r="T50" s="1">
        <f>(Main_L[[#This Row],[P/E]]-VLOOKUP(Main_L[[#This Row],[Industry]], Mean_PE_L, 2, FALSE))/(VLOOKUP(Main_L[[#This Row],[Industry]], Mean_PE_L, 3, FALSE))</f>
        <v>0.51471787739800912</v>
      </c>
      <c r="U5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1" spans="1:26" x14ac:dyDescent="0.25">
      <c r="A51" s="67" t="s">
        <v>107</v>
      </c>
      <c r="B51" s="67" t="s">
        <v>257</v>
      </c>
      <c r="C51" s="2">
        <v>11785</v>
      </c>
      <c r="D51">
        <f>RTD("tos.rtd", , "LAST", Main_L[[#This Row],[Symbol]])</f>
        <v>18.7667</v>
      </c>
      <c r="E51">
        <v>0.14000000000000001</v>
      </c>
      <c r="F51">
        <v>0.83</v>
      </c>
      <c r="G51">
        <v>0.13</v>
      </c>
      <c r="H51" s="1">
        <f>IF(ISNUMBER(Main_L[[#This Row],[Free CF]]),IF(Main_L[[#This Row],[Free CF]]&lt;&gt;0,Main_L[[#This Row],[Current Price]]/Main_L[[#This Row],[Free CF]],""),"")</f>
        <v>134.04785714285714</v>
      </c>
      <c r="I51" s="1">
        <f>IF(ISNUMBER(Main_L[[#This Row],[BVPS]]),IF(Main_L[[#This Row],[BVPS]]&lt;&gt;0,Main_L[[#This Row],[Current Price]]/Main_L[[#This Row],[BVPS]],""),"")</f>
        <v>22.610481927710843</v>
      </c>
      <c r="J51">
        <v>16.899999999999999</v>
      </c>
      <c r="K51">
        <v>8.17</v>
      </c>
      <c r="L51">
        <v>1.86</v>
      </c>
      <c r="M51" s="1">
        <f>IF(ISNUMBER(Main_L[[#This Row],[EPS]]),IF(Main_L[[#This Row],[EPS]]&lt;&gt;0,Main_L[[#This Row],[Current Price]]/Main_L[[#This Row],[EPS]],""),"")</f>
        <v>144.35923076923078</v>
      </c>
      <c r="N5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1" s="1">
        <f>(Main_L[[#This Row],[P/FCF]]-VLOOKUP(Main_L[[#This Row],[Industry]], Mean_PFCF_L, 2, FALSE))/(VLOOKUP(Main_L[[#This Row],[Industry]], Mean_PFCF_L, 3, FALSE))</f>
        <v>10.430517369150216</v>
      </c>
      <c r="P51" s="1">
        <f>(Main_L[[#This Row],[P/B]]-VLOOKUP(Main_L[[#This Row],[Industry]], Mean_PB_L, 2, FALSE))/(VLOOKUP(Main_L[[#This Row],[Industry]], Mean_PB_L, 3, FALSE))</f>
        <v>17.397647114674978</v>
      </c>
      <c r="Q51" s="1">
        <f>(Main_L[[#This Row],[ROE]]-VLOOKUP(Main_L[[#This Row],[Industry]], Mean_ROE_L, 2, FALSE))/(VLOOKUP(Main_L[[#This Row],[Industry]], Mean_ROE_L, 3, FALSE))</f>
        <v>0.96368705550721934</v>
      </c>
      <c r="R51" s="1">
        <f>(Main_L[[#This Row],[ROA]]-VLOOKUP(Main_L[[#This Row],[Industry]], Mean_ROA_L, 2, FALSE))/(VLOOKUP(Main_L[[#This Row],[Industry]], Mean_ROA_L, 3, FALSE))</f>
        <v>0.89405561567476144</v>
      </c>
      <c r="S51" s="1">
        <f>(Main_L[[#This Row],[A/E]]-VLOOKUP(Main_L[[#This Row],[Industry]], Mean_AE_L, 2, FALSE))/(VLOOKUP(Main_L[[#This Row],[Industry]], Mean_AE_L, 3, FALSE))</f>
        <v>-1.0288301170546703</v>
      </c>
      <c r="T51" s="1">
        <f>(Main_L[[#This Row],[P/E]]-VLOOKUP(Main_L[[#This Row],[Industry]], Mean_PE_L, 2, FALSE))/(VLOOKUP(Main_L[[#This Row],[Industry]], Mean_PE_L, 3, FALSE))</f>
        <v>15.842134852647757</v>
      </c>
      <c r="U5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5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2" spans="1:26" x14ac:dyDescent="0.25">
      <c r="A52" s="67" t="s">
        <v>109</v>
      </c>
      <c r="B52" s="67" t="s">
        <v>190</v>
      </c>
      <c r="C52" s="2">
        <v>24212</v>
      </c>
      <c r="D52">
        <f>RTD("tos.rtd", , "LAST", Main_L[[#This Row],[Symbol]])</f>
        <v>98.71</v>
      </c>
      <c r="E52">
        <v>3.79</v>
      </c>
      <c r="F52">
        <v>18.48</v>
      </c>
      <c r="G52">
        <v>2.33</v>
      </c>
      <c r="H52" s="1">
        <f>IF(ISNUMBER(Main_L[[#This Row],[Free CF]]),IF(Main_L[[#This Row],[Free CF]]&lt;&gt;0,Main_L[[#This Row],[Current Price]]/Main_L[[#This Row],[Free CF]],""),"")</f>
        <v>26.044854881266488</v>
      </c>
      <c r="I52" s="1">
        <f>IF(ISNUMBER(Main_L[[#This Row],[BVPS]]),IF(Main_L[[#This Row],[BVPS]]&lt;&gt;0,Main_L[[#This Row],[Current Price]]/Main_L[[#This Row],[BVPS]],""),"")</f>
        <v>5.341450216450216</v>
      </c>
      <c r="J52">
        <v>13.36</v>
      </c>
      <c r="K52">
        <v>8.24</v>
      </c>
      <c r="L52">
        <v>1.97</v>
      </c>
      <c r="M52" s="1">
        <f>IF(ISNUMBER(Main_L[[#This Row],[EPS]]),IF(Main_L[[#This Row],[EPS]]&lt;&gt;0,Main_L[[#This Row],[Current Price]]/Main_L[[#This Row],[EPS]],""),"")</f>
        <v>42.364806866952783</v>
      </c>
      <c r="N5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2" s="1">
        <f>(Main_L[[#This Row],[P/FCF]]-VLOOKUP(Main_L[[#This Row],[Industry]], Mean_PFCF_L, 2, FALSE))/(VLOOKUP(Main_L[[#This Row],[Industry]], Mean_PFCF_L, 3, FALSE))</f>
        <v>1.2607131445610704</v>
      </c>
      <c r="P52" s="1">
        <f>(Main_L[[#This Row],[P/B]]-VLOOKUP(Main_L[[#This Row],[Industry]], Mean_PB_L, 2, FALSE))/(VLOOKUP(Main_L[[#This Row],[Industry]], Mean_PB_L, 3, FALSE))</f>
        <v>-0.71995620231832358</v>
      </c>
      <c r="Q52" s="1">
        <f>(Main_L[[#This Row],[ROE]]-VLOOKUP(Main_L[[#This Row],[Industry]], Mean_ROE_L, 2, FALSE))/(VLOOKUP(Main_L[[#This Row],[Industry]], Mean_ROE_L, 3, FALSE))</f>
        <v>-1.1367484727673167</v>
      </c>
      <c r="R52" s="1">
        <f>(Main_L[[#This Row],[ROA]]-VLOOKUP(Main_L[[#This Row],[Industry]], Mean_ROA_L, 2, FALSE))/(VLOOKUP(Main_L[[#This Row],[Industry]], Mean_ROA_L, 3, FALSE))</f>
        <v>-11.222330727419962</v>
      </c>
      <c r="S52" s="1">
        <f>(Main_L[[#This Row],[A/E]]-VLOOKUP(Main_L[[#This Row],[Industry]], Mean_AE_L, 2, FALSE))/(VLOOKUP(Main_L[[#This Row],[Industry]], Mean_AE_L, 3, FALSE))</f>
        <v>-0.80030919439123205</v>
      </c>
      <c r="T52" s="1">
        <f>(Main_L[[#This Row],[P/E]]-VLOOKUP(Main_L[[#This Row],[Industry]], Mean_PE_L, 2, FALSE))/(VLOOKUP(Main_L[[#This Row],[Industry]], Mean_PE_L, 3, FALSE))</f>
        <v>12.916826685162343</v>
      </c>
      <c r="U5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5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3" spans="1:26" x14ac:dyDescent="0.25">
      <c r="A53" s="67" t="s">
        <v>109</v>
      </c>
      <c r="B53" s="67" t="s">
        <v>191</v>
      </c>
      <c r="C53" s="2">
        <v>75320</v>
      </c>
      <c r="D53">
        <f>RTD("tos.rtd", , "LAST", Main_L[[#This Row],[Symbol]])</f>
        <v>90.87</v>
      </c>
      <c r="E53">
        <v>4.25</v>
      </c>
      <c r="F53">
        <v>0.45</v>
      </c>
      <c r="G53">
        <v>3.53</v>
      </c>
      <c r="H53" s="1">
        <f>IF(ISNUMBER(Main_L[[#This Row],[Free CF]]),IF(Main_L[[#This Row],[Free CF]]&lt;&gt;0,Main_L[[#This Row],[Current Price]]/Main_L[[#This Row],[Free CF]],""),"")</f>
        <v>21.381176470588237</v>
      </c>
      <c r="I53" s="1">
        <f>IF(ISNUMBER(Main_L[[#This Row],[BVPS]]),IF(Main_L[[#This Row],[BVPS]]&lt;&gt;0,Main_L[[#This Row],[Current Price]]/Main_L[[#This Row],[BVPS]],""),"")</f>
        <v>201.93333333333334</v>
      </c>
      <c r="J53">
        <v>451.26</v>
      </c>
      <c r="K53">
        <v>16.02</v>
      </c>
      <c r="L53">
        <v>45.86</v>
      </c>
      <c r="M53" s="1">
        <f>IF(ISNUMBER(Main_L[[#This Row],[EPS]]),IF(Main_L[[#This Row],[EPS]]&lt;&gt;0,Main_L[[#This Row],[Current Price]]/Main_L[[#This Row],[EPS]],""),"")</f>
        <v>25.742209631728048</v>
      </c>
      <c r="N5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3" s="1">
        <f>(Main_L[[#This Row],[P/FCF]]-VLOOKUP(Main_L[[#This Row],[Industry]], Mean_PFCF_L, 2, FALSE))/(VLOOKUP(Main_L[[#This Row],[Industry]], Mean_PFCF_L, 3, FALSE))</f>
        <v>-0.28213521145355047</v>
      </c>
      <c r="P53" s="1">
        <f>(Main_L[[#This Row],[P/B]]-VLOOKUP(Main_L[[#This Row],[Industry]], Mean_PB_L, 2, FALSE))/(VLOOKUP(Main_L[[#This Row],[Industry]], Mean_PB_L, 3, FALSE))</f>
        <v>1.7069730877801645</v>
      </c>
      <c r="Q53" s="1">
        <f>(Main_L[[#This Row],[ROE]]-VLOOKUP(Main_L[[#This Row],[Industry]], Mean_ROE_L, 2, FALSE))/(VLOOKUP(Main_L[[#This Row],[Industry]], Mean_ROE_L, 3, FALSE))</f>
        <v>1.4726650236198848</v>
      </c>
      <c r="R53" s="1">
        <f>(Main_L[[#This Row],[ROA]]-VLOOKUP(Main_L[[#This Row],[Industry]], Mean_ROA_L, 2, FALSE))/(VLOOKUP(Main_L[[#This Row],[Industry]], Mean_ROA_L, 3, FALSE))</f>
        <v>16.642477695769589</v>
      </c>
      <c r="S53" s="1">
        <f>(Main_L[[#This Row],[A/E]]-VLOOKUP(Main_L[[#This Row],[Industry]], Mean_AE_L, 2, FALSE))/(VLOOKUP(Main_L[[#This Row],[Industry]], Mean_AE_L, 3, FALSE))</f>
        <v>1.6581734332085001</v>
      </c>
      <c r="T53" s="1">
        <f>(Main_L[[#This Row],[P/E]]-VLOOKUP(Main_L[[#This Row],[Industry]], Mean_PE_L, 2, FALSE))/(VLOOKUP(Main_L[[#This Row],[Industry]], Mean_PE_L, 3, FALSE))</f>
        <v>0.68455665985994041</v>
      </c>
      <c r="U5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5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4" spans="1:26" x14ac:dyDescent="0.25">
      <c r="A54" s="67" t="s">
        <v>109</v>
      </c>
      <c r="B54" s="67" t="s">
        <v>192</v>
      </c>
      <c r="C54" s="2">
        <v>16255</v>
      </c>
      <c r="D54">
        <f>RTD("tos.rtd", , "LAST", Main_L[[#This Row],[Symbol]])</f>
        <v>127.5</v>
      </c>
      <c r="E54">
        <v>6.47</v>
      </c>
      <c r="F54">
        <v>0.22</v>
      </c>
      <c r="G54">
        <v>5.57</v>
      </c>
      <c r="H54" s="1">
        <f>IF(ISNUMBER(Main_L[[#This Row],[Free CF]]),IF(Main_L[[#This Row],[Free CF]]&lt;&gt;0,Main_L[[#This Row],[Current Price]]/Main_L[[#This Row],[Free CF]],""),"")</f>
        <v>19.706336939721794</v>
      </c>
      <c r="I54" s="1">
        <f>IF(ISNUMBER(Main_L[[#This Row],[BVPS]]),IF(Main_L[[#This Row],[BVPS]]&lt;&gt;0,Main_L[[#This Row],[Current Price]]/Main_L[[#This Row],[BVPS]],""),"")</f>
        <v>579.5454545454545</v>
      </c>
      <c r="J54">
        <v>318.64999999999998</v>
      </c>
      <c r="K54">
        <v>11.6</v>
      </c>
      <c r="L54">
        <v>204.15</v>
      </c>
      <c r="M54" s="1">
        <f>IF(ISNUMBER(Main_L[[#This Row],[EPS]]),IF(Main_L[[#This Row],[EPS]]&lt;&gt;0,Main_L[[#This Row],[Current Price]]/Main_L[[#This Row],[EPS]],""),"")</f>
        <v>22.89048473967684</v>
      </c>
      <c r="N5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4" s="1">
        <f>(Main_L[[#This Row],[P/FCF]]-VLOOKUP(Main_L[[#This Row],[Industry]], Mean_PFCF_L, 2, FALSE))/(VLOOKUP(Main_L[[#This Row],[Industry]], Mean_PFCF_L, 3, FALSE))</f>
        <v>-0.83620931117471642</v>
      </c>
      <c r="P54" s="1">
        <f>(Main_L[[#This Row],[P/B]]-VLOOKUP(Main_L[[#This Row],[Industry]], Mean_PB_L, 2, FALSE))/(VLOOKUP(Main_L[[#This Row],[Industry]], Mean_PB_L, 3, FALSE))</f>
        <v>6.3685995127178208</v>
      </c>
      <c r="Q54" s="1">
        <f>(Main_L[[#This Row],[ROE]]-VLOOKUP(Main_L[[#This Row],[Industry]], Mean_ROE_L, 2, FALSE))/(VLOOKUP(Main_L[[#This Row],[Industry]], Mean_ROE_L, 3, FALSE))</f>
        <v>0.6824519070272681</v>
      </c>
      <c r="R54" s="1">
        <f>(Main_L[[#This Row],[ROA]]-VLOOKUP(Main_L[[#This Row],[Industry]], Mean_ROA_L, 2, FALSE))/(VLOOKUP(Main_L[[#This Row],[Industry]], Mean_ROA_L, 3, FALSE))</f>
        <v>0.81182818028143711</v>
      </c>
      <c r="S54" s="1">
        <f>(Main_L[[#This Row],[A/E]]-VLOOKUP(Main_L[[#This Row],[Industry]], Mean_AE_L, 2, FALSE))/(VLOOKUP(Main_L[[#This Row],[Industry]], Mean_AE_L, 3, FALSE))</f>
        <v>10.524731080115806</v>
      </c>
      <c r="T54" s="1">
        <f>(Main_L[[#This Row],[P/E]]-VLOOKUP(Main_L[[#This Row],[Industry]], Mean_PE_L, 2, FALSE))/(VLOOKUP(Main_L[[#This Row],[Industry]], Mean_PE_L, 3, FALSE))</f>
        <v>-1.413976344568902</v>
      </c>
      <c r="U5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5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5" spans="1:26" x14ac:dyDescent="0.25">
      <c r="A55" s="67" t="s">
        <v>109</v>
      </c>
      <c r="B55" s="67" t="s">
        <v>193</v>
      </c>
      <c r="C55" s="2">
        <v>47702</v>
      </c>
      <c r="D55">
        <f>RTD("tos.rtd", , "LAST", Main_L[[#This Row],[Symbol]])</f>
        <v>132.69</v>
      </c>
      <c r="E55">
        <v>7.15</v>
      </c>
      <c r="F55">
        <v>3.32</v>
      </c>
      <c r="G55">
        <v>7.34</v>
      </c>
      <c r="H55" s="1">
        <f>IF(ISNUMBER(Main_L[[#This Row],[Free CF]]),IF(Main_L[[#This Row],[Free CF]]&lt;&gt;0,Main_L[[#This Row],[Current Price]]/Main_L[[#This Row],[Free CF]],""),"")</f>
        <v>18.558041958041958</v>
      </c>
      <c r="I55" s="1">
        <f>IF(ISNUMBER(Main_L[[#This Row],[BVPS]]),IF(Main_L[[#This Row],[BVPS]]&lt;&gt;0,Main_L[[#This Row],[Current Price]]/Main_L[[#This Row],[BVPS]],""),"")</f>
        <v>39.966867469879517</v>
      </c>
      <c r="J55">
        <v>207.06</v>
      </c>
      <c r="K55">
        <v>11.54</v>
      </c>
      <c r="L55">
        <v>14.81</v>
      </c>
      <c r="M55" s="1">
        <f>IF(ISNUMBER(Main_L[[#This Row],[EPS]]),IF(Main_L[[#This Row],[EPS]]&lt;&gt;0,Main_L[[#This Row],[Current Price]]/Main_L[[#This Row],[EPS]],""),"")</f>
        <v>18.077656675749317</v>
      </c>
      <c r="N5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55" s="1">
        <f>(Main_L[[#This Row],[P/FCF]]-VLOOKUP(Main_L[[#This Row],[Industry]], Mean_PFCF_L, 2, FALSE))/(VLOOKUP(Main_L[[#This Row],[Industry]], Mean_PFCF_L, 3, FALSE))</f>
        <v>-1.2160907842728839</v>
      </c>
      <c r="P55" s="1">
        <f>(Main_L[[#This Row],[P/B]]-VLOOKUP(Main_L[[#This Row],[Industry]], Mean_PB_L, 2, FALSE))/(VLOOKUP(Main_L[[#This Row],[Industry]], Mean_PB_L, 3, FALSE))</f>
        <v>-0.29250498723297191</v>
      </c>
      <c r="Q55" s="1">
        <f>(Main_L[[#This Row],[ROE]]-VLOOKUP(Main_L[[#This Row],[Industry]], Mean_ROE_L, 2, FALSE))/(VLOOKUP(Main_L[[#This Row],[Industry]], Mean_ROE_L, 3, FALSE))</f>
        <v>1.7495405401673707E-2</v>
      </c>
      <c r="R55" s="1">
        <f>(Main_L[[#This Row],[ROA]]-VLOOKUP(Main_L[[#This Row],[Industry]], Mean_ROA_L, 2, FALSE))/(VLOOKUP(Main_L[[#This Row],[Industry]], Mean_ROA_L, 3, FALSE))</f>
        <v>0.59693248550105316</v>
      </c>
      <c r="S55" s="1">
        <f>(Main_L[[#This Row],[A/E]]-VLOOKUP(Main_L[[#This Row],[Industry]], Mean_AE_L, 2, FALSE))/(VLOOKUP(Main_L[[#This Row],[Industry]], Mean_AE_L, 3, FALSE))</f>
        <v>-8.1081193972445023E-2</v>
      </c>
      <c r="T55" s="1">
        <f>(Main_L[[#This Row],[P/E]]-VLOOKUP(Main_L[[#This Row],[Industry]], Mean_PE_L, 2, FALSE))/(VLOOKUP(Main_L[[#This Row],[Industry]], Mean_PE_L, 3, FALSE))</f>
        <v>-4.9556498646708222</v>
      </c>
      <c r="U5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6" spans="1:26" x14ac:dyDescent="0.25">
      <c r="A56" s="67" t="s">
        <v>109</v>
      </c>
      <c r="B56" s="67" t="s">
        <v>194</v>
      </c>
      <c r="C56" s="2">
        <v>398314</v>
      </c>
      <c r="D56">
        <f>RTD("tos.rtd", , "LAST", Main_L[[#This Row],[Symbol]])</f>
        <v>162.56</v>
      </c>
      <c r="E56">
        <v>6.38</v>
      </c>
      <c r="F56">
        <v>21.96</v>
      </c>
      <c r="G56">
        <v>6.3</v>
      </c>
      <c r="H56" s="1">
        <f>IF(ISNUMBER(Main_L[[#This Row],[Free CF]]),IF(Main_L[[#This Row],[Free CF]]&lt;&gt;0,Main_L[[#This Row],[Current Price]]/Main_L[[#This Row],[Free CF]],""),"")</f>
        <v>25.479623824451412</v>
      </c>
      <c r="I56" s="1">
        <f>IF(ISNUMBER(Main_L[[#This Row],[BVPS]]),IF(Main_L[[#This Row],[BVPS]]&lt;&gt;0,Main_L[[#This Row],[Current Price]]/Main_L[[#This Row],[BVPS]],""),"")</f>
        <v>7.4025500910746809</v>
      </c>
      <c r="J56">
        <v>30.29</v>
      </c>
      <c r="K56">
        <v>10.98</v>
      </c>
      <c r="L56">
        <v>2.39</v>
      </c>
      <c r="M56" s="1">
        <f>IF(ISNUMBER(Main_L[[#This Row],[EPS]]),IF(Main_L[[#This Row],[EPS]]&lt;&gt;0,Main_L[[#This Row],[Current Price]]/Main_L[[#This Row],[EPS]],""),"")</f>
        <v>25.803174603174604</v>
      </c>
      <c r="N5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6" s="1">
        <f>(Main_L[[#This Row],[P/FCF]]-VLOOKUP(Main_L[[#This Row],[Industry]], Mean_PFCF_L, 2, FALSE))/(VLOOKUP(Main_L[[#This Row],[Industry]], Mean_PFCF_L, 3, FALSE))</f>
        <v>1.0737221623400814</v>
      </c>
      <c r="P56" s="1">
        <f>(Main_L[[#This Row],[P/B]]-VLOOKUP(Main_L[[#This Row],[Industry]], Mean_PB_L, 2, FALSE))/(VLOOKUP(Main_L[[#This Row],[Industry]], Mean_PB_L, 3, FALSE))</f>
        <v>-0.69451189822886916</v>
      </c>
      <c r="Q56" s="1">
        <f>(Main_L[[#This Row],[ROE]]-VLOOKUP(Main_L[[#This Row],[Industry]], Mean_ROE_L, 2, FALSE))/(VLOOKUP(Main_L[[#This Row],[Industry]], Mean_ROE_L, 3, FALSE))</f>
        <v>-1.0358638632815089</v>
      </c>
      <c r="R56" s="1">
        <f>(Main_L[[#This Row],[ROA]]-VLOOKUP(Main_L[[#This Row],[Industry]], Mean_ROA_L, 2, FALSE))/(VLOOKUP(Main_L[[#This Row],[Industry]], Mean_ROA_L, 3, FALSE))</f>
        <v>-1.4087606657825094</v>
      </c>
      <c r="S56" s="1">
        <f>(Main_L[[#This Row],[A/E]]-VLOOKUP(Main_L[[#This Row],[Industry]], Mean_AE_L, 2, FALSE))/(VLOOKUP(Main_L[[#This Row],[Industry]], Mean_AE_L, 3, FALSE))</f>
        <v>-0.77678304484482308</v>
      </c>
      <c r="T56" s="1">
        <f>(Main_L[[#This Row],[P/E]]-VLOOKUP(Main_L[[#This Row],[Industry]], Mean_PE_L, 2, FALSE))/(VLOOKUP(Main_L[[#This Row],[Industry]], Mean_PE_L, 3, FALSE))</f>
        <v>0.72941968470895913</v>
      </c>
      <c r="U5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7" spans="1:26" x14ac:dyDescent="0.25">
      <c r="A57" s="67" t="s">
        <v>110</v>
      </c>
      <c r="B57" s="67" t="s">
        <v>195</v>
      </c>
      <c r="C57" s="2">
        <v>24082</v>
      </c>
      <c r="D57">
        <f>RTD("tos.rtd", , "LAST", Main_L[[#This Row],[Symbol]])</f>
        <v>69</v>
      </c>
      <c r="E57">
        <v>2.63</v>
      </c>
      <c r="F57">
        <v>12.08</v>
      </c>
      <c r="G57">
        <v>-2.42</v>
      </c>
      <c r="H57" s="1">
        <f>IF(ISNUMBER(Main_L[[#This Row],[Free CF]]),IF(Main_L[[#This Row],[Free CF]]&lt;&gt;0,Main_L[[#This Row],[Current Price]]/Main_L[[#This Row],[Free CF]],""),"")</f>
        <v>26.235741444866921</v>
      </c>
      <c r="I57" s="1">
        <f>IF(ISNUMBER(Main_L[[#This Row],[BVPS]]),IF(Main_L[[#This Row],[BVPS]]&lt;&gt;0,Main_L[[#This Row],[Current Price]]/Main_L[[#This Row],[BVPS]],""),"")</f>
        <v>5.7119205298013247</v>
      </c>
      <c r="J57">
        <v>-15.98</v>
      </c>
      <c r="K57">
        <v>3.88</v>
      </c>
      <c r="L57">
        <v>4.58</v>
      </c>
      <c r="M57" s="1">
        <f>IF(ISNUMBER(Main_L[[#This Row],[EPS]]),IF(Main_L[[#This Row],[EPS]]&lt;&gt;0,Main_L[[#This Row],[Current Price]]/Main_L[[#This Row],[EPS]],""),"")</f>
        <v>-28.512396694214878</v>
      </c>
      <c r="N5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7" s="1">
        <f>(Main_L[[#This Row],[P/FCF]]-VLOOKUP(Main_L[[#This Row],[Industry]], Mean_PFCF_L, 2, FALSE))/(VLOOKUP(Main_L[[#This Row],[Industry]], Mean_PFCF_L, 3, FALSE))</f>
        <v>0.38182538881148192</v>
      </c>
      <c r="P57" s="1">
        <f>(Main_L[[#This Row],[P/B]]-VLOOKUP(Main_L[[#This Row],[Industry]], Mean_PB_L, 2, FALSE))/(VLOOKUP(Main_L[[#This Row],[Industry]], Mean_PB_L, 3, FALSE))</f>
        <v>-3.2834779501067383E-2</v>
      </c>
      <c r="Q57" s="1">
        <f>(Main_L[[#This Row],[ROE]]-VLOOKUP(Main_L[[#This Row],[Industry]], Mean_ROE_L, 2, FALSE))/(VLOOKUP(Main_L[[#This Row],[Industry]], Mean_ROE_L, 3, FALSE))</f>
        <v>-1.282792238203432</v>
      </c>
      <c r="R57" s="1">
        <f>(Main_L[[#This Row],[ROA]]-VLOOKUP(Main_L[[#This Row],[Industry]], Mean_ROA_L, 2, FALSE))/(VLOOKUP(Main_L[[#This Row],[Industry]], Mean_ROA_L, 3, FALSE))</f>
        <v>-1.2684255211712758</v>
      </c>
      <c r="S57" s="1">
        <f>(Main_L[[#This Row],[A/E]]-VLOOKUP(Main_L[[#This Row],[Industry]], Mean_AE_L, 2, FALSE))/(VLOOKUP(Main_L[[#This Row],[Industry]], Mean_AE_L, 3, FALSE))</f>
        <v>1.0336876340993641</v>
      </c>
      <c r="T57" s="1">
        <f>(Main_L[[#This Row],[P/E]]-VLOOKUP(Main_L[[#This Row],[Industry]], Mean_PE_L, 2, FALSE))/(VLOOKUP(Main_L[[#This Row],[Industry]], Mean_PE_L, 3, FALSE))</f>
        <v>-1.3933743091915152</v>
      </c>
      <c r="U5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8" spans="1:26" x14ac:dyDescent="0.25">
      <c r="A58" s="67" t="s">
        <v>110</v>
      </c>
      <c r="B58" s="67" t="s">
        <v>196</v>
      </c>
      <c r="C58" s="2">
        <v>45828</v>
      </c>
      <c r="D58">
        <f>RTD("tos.rtd", , "LAST", Main_L[[#This Row],[Symbol]])</f>
        <v>21.3</v>
      </c>
      <c r="E58">
        <v>0.75</v>
      </c>
      <c r="F58">
        <v>5.24</v>
      </c>
      <c r="G58">
        <v>0.55000000000000004</v>
      </c>
      <c r="H58" s="1">
        <f>IF(ISNUMBER(Main_L[[#This Row],[Free CF]]),IF(Main_L[[#This Row],[Free CF]]&lt;&gt;0,Main_L[[#This Row],[Current Price]]/Main_L[[#This Row],[Free CF]],""),"")</f>
        <v>28.400000000000002</v>
      </c>
      <c r="I58" s="1">
        <f>IF(ISNUMBER(Main_L[[#This Row],[BVPS]]),IF(Main_L[[#This Row],[BVPS]]&lt;&gt;0,Main_L[[#This Row],[Current Price]]/Main_L[[#This Row],[BVPS]],""),"")</f>
        <v>4.0648854961832059</v>
      </c>
      <c r="J58">
        <v>10.220000000000001</v>
      </c>
      <c r="K58">
        <v>6.77</v>
      </c>
      <c r="L58">
        <v>2.61</v>
      </c>
      <c r="M58" s="1">
        <f>IF(ISNUMBER(Main_L[[#This Row],[EPS]]),IF(Main_L[[#This Row],[EPS]]&lt;&gt;0,Main_L[[#This Row],[Current Price]]/Main_L[[#This Row],[EPS]],""),"")</f>
        <v>38.727272727272727</v>
      </c>
      <c r="N5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8" s="1">
        <f>(Main_L[[#This Row],[P/FCF]]-VLOOKUP(Main_L[[#This Row],[Industry]], Mean_PFCF_L, 2, FALSE))/(VLOOKUP(Main_L[[#This Row],[Industry]], Mean_PFCF_L, 3, FALSE))</f>
        <v>0.98834852743792423</v>
      </c>
      <c r="P58" s="1">
        <f>(Main_L[[#This Row],[P/B]]-VLOOKUP(Main_L[[#This Row],[Industry]], Mean_PB_L, 2, FALSE))/(VLOOKUP(Main_L[[#This Row],[Industry]], Mean_PB_L, 3, FALSE))</f>
        <v>-1.2079973308165375</v>
      </c>
      <c r="Q58" s="1">
        <f>(Main_L[[#This Row],[ROE]]-VLOOKUP(Main_L[[#This Row],[Industry]], Mean_ROE_L, 2, FALSE))/(VLOOKUP(Main_L[[#This Row],[Industry]], Mean_ROE_L, 3, FALSE))</f>
        <v>0.12580611221274238</v>
      </c>
      <c r="R58" s="1">
        <f>(Main_L[[#This Row],[ROA]]-VLOOKUP(Main_L[[#This Row],[Industry]], Mean_ROA_L, 2, FALSE))/(VLOOKUP(Main_L[[#This Row],[Industry]], Mean_ROA_L, 3, FALSE))</f>
        <v>9.2620180382555872E-2</v>
      </c>
      <c r="S58" s="1">
        <f>(Main_L[[#This Row],[A/E]]-VLOOKUP(Main_L[[#This Row],[Industry]], Mean_AE_L, 2, FALSE))/(VLOOKUP(Main_L[[#This Row],[Industry]], Mean_AE_L, 3, FALSE))</f>
        <v>-1.3526771774347144</v>
      </c>
      <c r="T58" s="1">
        <f>(Main_L[[#This Row],[P/E]]-VLOOKUP(Main_L[[#This Row],[Industry]], Mean_PE_L, 2, FALSE))/(VLOOKUP(Main_L[[#This Row],[Industry]], Mean_PE_L, 3, FALSE))</f>
        <v>0.90616513879410154</v>
      </c>
      <c r="U5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9" spans="1:26" x14ac:dyDescent="0.25">
      <c r="A59" s="67" t="s">
        <v>110</v>
      </c>
      <c r="B59" s="67" t="s">
        <v>197</v>
      </c>
      <c r="C59" s="2">
        <v>156550</v>
      </c>
      <c r="D59">
        <f>RTD("tos.rtd", , "LAST", Main_L[[#This Row],[Symbol]])</f>
        <v>62.75</v>
      </c>
      <c r="E59">
        <v>3.14</v>
      </c>
      <c r="F59">
        <v>8.3699999999999992</v>
      </c>
      <c r="G59">
        <v>2.37</v>
      </c>
      <c r="H59" s="1">
        <f>IF(ISNUMBER(Main_L[[#This Row],[Free CF]]),IF(Main_L[[#This Row],[Free CF]]&lt;&gt;0,Main_L[[#This Row],[Current Price]]/Main_L[[#This Row],[Free CF]],""),"")</f>
        <v>19.984076433121018</v>
      </c>
      <c r="I59" s="1">
        <f>IF(ISNUMBER(Main_L[[#This Row],[BVPS]]),IF(Main_L[[#This Row],[BVPS]]&lt;&gt;0,Main_L[[#This Row],[Current Price]]/Main_L[[#This Row],[BVPS]],""),"")</f>
        <v>7.497013142174433</v>
      </c>
      <c r="J59">
        <v>29.4</v>
      </c>
      <c r="K59">
        <v>9.07</v>
      </c>
      <c r="L59">
        <v>3.99</v>
      </c>
      <c r="M59" s="1">
        <f>IF(ISNUMBER(Main_L[[#This Row],[EPS]]),IF(Main_L[[#This Row],[EPS]]&lt;&gt;0,Main_L[[#This Row],[Current Price]]/Main_L[[#This Row],[EPS]],""),"")</f>
        <v>26.476793248945146</v>
      </c>
      <c r="N5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9" s="1">
        <f>(Main_L[[#This Row],[P/FCF]]-VLOOKUP(Main_L[[#This Row],[Industry]], Mean_PFCF_L, 2, FALSE))/(VLOOKUP(Main_L[[#This Row],[Industry]], Mean_PFCF_L, 3, FALSE))</f>
        <v>-1.3701739162494062</v>
      </c>
      <c r="P59" s="1">
        <f>(Main_L[[#This Row],[P/B]]-VLOOKUP(Main_L[[#This Row],[Industry]], Mean_PB_L, 2, FALSE))/(VLOOKUP(Main_L[[#This Row],[Industry]], Mean_PB_L, 3, FALSE))</f>
        <v>1.2408321103176037</v>
      </c>
      <c r="Q59" s="1">
        <f>(Main_L[[#This Row],[ROE]]-VLOOKUP(Main_L[[#This Row],[Industry]], Mean_ROE_L, 2, FALSE))/(VLOOKUP(Main_L[[#This Row],[Industry]], Mean_ROE_L, 3, FALSE))</f>
        <v>1.1569861259906897</v>
      </c>
      <c r="R59" s="1">
        <f>(Main_L[[#This Row],[ROA]]-VLOOKUP(Main_L[[#This Row],[Industry]], Mean_ROA_L, 2, FALSE))/(VLOOKUP(Main_L[[#This Row],[Industry]], Mean_ROA_L, 3, FALSE))</f>
        <v>1.1758053407887199</v>
      </c>
      <c r="S59" s="1">
        <f>(Main_L[[#This Row],[A/E]]-VLOOKUP(Main_L[[#This Row],[Industry]], Mean_AE_L, 2, FALSE))/(VLOOKUP(Main_L[[#This Row],[Industry]], Mean_AE_L, 3, FALSE))</f>
        <v>0.31898954333535096</v>
      </c>
      <c r="T59" s="1">
        <f>(Main_L[[#This Row],[P/E]]-VLOOKUP(Main_L[[#This Row],[Industry]], Mean_PE_L, 2, FALSE))/(VLOOKUP(Main_L[[#This Row],[Industry]], Mean_PE_L, 3, FALSE))</f>
        <v>0.48720917039741329</v>
      </c>
      <c r="U5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0" spans="1:26" x14ac:dyDescent="0.25">
      <c r="A60" s="67" t="s">
        <v>108</v>
      </c>
      <c r="B60" s="67" t="s">
        <v>187</v>
      </c>
      <c r="C60" s="2">
        <v>99023</v>
      </c>
      <c r="D60">
        <f>RTD("tos.rtd", , "LAST", Main_L[[#This Row],[Symbol]])</f>
        <v>47.89</v>
      </c>
      <c r="E60">
        <v>5.4</v>
      </c>
      <c r="F60">
        <v>27.26</v>
      </c>
      <c r="G60">
        <v>1.7</v>
      </c>
      <c r="H60" s="1">
        <f>IF(ISNUMBER(Main_L[[#This Row],[Free CF]]),IF(Main_L[[#This Row],[Free CF]]&lt;&gt;0,Main_L[[#This Row],[Current Price]]/Main_L[[#This Row],[Free CF]],""),"")</f>
        <v>8.8685185185185187</v>
      </c>
      <c r="I60" s="1">
        <f>IF(ISNUMBER(Main_L[[#This Row],[BVPS]]),IF(Main_L[[#This Row],[BVPS]]&lt;&gt;0,Main_L[[#This Row],[Current Price]]/Main_L[[#This Row],[BVPS]],""),"")</f>
        <v>1.7567865003668377</v>
      </c>
      <c r="J60">
        <v>6.18</v>
      </c>
      <c r="K60">
        <v>5.15</v>
      </c>
      <c r="L60">
        <v>2.4</v>
      </c>
      <c r="M60" s="1">
        <f>IF(ISNUMBER(Main_L[[#This Row],[EPS]]),IF(Main_L[[#This Row],[EPS]]&lt;&gt;0,Main_L[[#This Row],[Current Price]]/Main_L[[#This Row],[EPS]],""),"")</f>
        <v>28.170588235294119</v>
      </c>
      <c r="N6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0" s="1">
        <f>(Main_L[[#This Row],[P/FCF]]-VLOOKUP(Main_L[[#This Row],[Industry]], Mean_PFCF_L, 2, FALSE))/(VLOOKUP(Main_L[[#This Row],[Industry]], Mean_PFCF_L, 3, FALSE))</f>
        <v>-0.8834126427778688</v>
      </c>
      <c r="P60" s="1">
        <f>(Main_L[[#This Row],[P/B]]-VLOOKUP(Main_L[[#This Row],[Industry]], Mean_PB_L, 2, FALSE))/(VLOOKUP(Main_L[[#This Row],[Industry]], Mean_PB_L, 3, FALSE))</f>
        <v>1.4099455782166088</v>
      </c>
      <c r="Q60" s="1">
        <f>(Main_L[[#This Row],[ROE]]-VLOOKUP(Main_L[[#This Row],[Industry]], Mean_ROE_L, 2, FALSE))/(VLOOKUP(Main_L[[#This Row],[Industry]], Mean_ROE_L, 3, FALSE))</f>
        <v>1.1372050736022432</v>
      </c>
      <c r="R60" s="1">
        <f>(Main_L[[#This Row],[ROA]]-VLOOKUP(Main_L[[#This Row],[Industry]], Mean_ROA_L, 2, FALSE))/(VLOOKUP(Main_L[[#This Row],[Industry]], Mean_ROA_L, 3, FALSE))</f>
        <v>-1.2600386000246668</v>
      </c>
      <c r="S60" s="1">
        <f>(Main_L[[#This Row],[A/E]]-VLOOKUP(Main_L[[#This Row],[Industry]], Mean_AE_L, 2, FALSE))/(VLOOKUP(Main_L[[#This Row],[Industry]], Mean_AE_L, 3, FALSE))</f>
        <v>1.3353477219401555</v>
      </c>
      <c r="T60" s="1">
        <f>(Main_L[[#This Row],[P/E]]-VLOOKUP(Main_L[[#This Row],[Industry]], Mean_PE_L, 2, FALSE))/(VLOOKUP(Main_L[[#This Row],[Industry]], Mean_PE_L, 3, FALSE))</f>
        <v>0.27323758045177415</v>
      </c>
      <c r="U6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1" spans="1:26" x14ac:dyDescent="0.25">
      <c r="A61" s="67" t="s">
        <v>108</v>
      </c>
      <c r="B61" s="67" t="s">
        <v>188</v>
      </c>
      <c r="C61" s="2">
        <v>102095</v>
      </c>
      <c r="D61">
        <f>RTD("tos.rtd", , "LAST", Main_L[[#This Row],[Symbol]])</f>
        <v>59.07</v>
      </c>
      <c r="E61">
        <v>4.97</v>
      </c>
      <c r="F61">
        <v>-2.08</v>
      </c>
      <c r="G61">
        <v>5.99</v>
      </c>
      <c r="H61" s="1">
        <f>IF(ISNUMBER(Main_L[[#This Row],[Free CF]]),IF(Main_L[[#This Row],[Free CF]]&lt;&gt;0,Main_L[[#This Row],[Current Price]]/Main_L[[#This Row],[Free CF]],""),"")</f>
        <v>11.885311871227366</v>
      </c>
      <c r="I61" s="1">
        <f>IF(ISNUMBER(Main_L[[#This Row],[BVPS]]),IF(Main_L[[#This Row],[BVPS]]&lt;&gt;0,Main_L[[#This Row],[Current Price]]/Main_L[[#This Row],[BVPS]],""),"")</f>
        <v>-28.39903846153846</v>
      </c>
      <c r="J61">
        <v>-239.61</v>
      </c>
      <c r="K61">
        <v>20.92</v>
      </c>
      <c r="L61">
        <v>-10.19</v>
      </c>
      <c r="M61" s="1">
        <f>IF(ISNUMBER(Main_L[[#This Row],[EPS]]),IF(Main_L[[#This Row],[EPS]]&lt;&gt;0,Main_L[[#This Row],[Current Price]]/Main_L[[#This Row],[EPS]],""),"")</f>
        <v>9.8614357262103507</v>
      </c>
      <c r="N6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1" s="1">
        <f>(Main_L[[#This Row],[P/FCF]]-VLOOKUP(Main_L[[#This Row],[Industry]], Mean_PFCF_L, 2, FALSE))/(VLOOKUP(Main_L[[#This Row],[Industry]], Mean_PFCF_L, 3, FALSE))</f>
        <v>-0.51468615920424199</v>
      </c>
      <c r="P61" s="1">
        <f>(Main_L[[#This Row],[P/B]]-VLOOKUP(Main_L[[#This Row],[Industry]], Mean_PB_L, 2, FALSE))/(VLOOKUP(Main_L[[#This Row],[Industry]], Mean_PB_L, 3, FALSE))</f>
        <v>-0.80005222879205207</v>
      </c>
      <c r="Q61" s="1">
        <f>(Main_L[[#This Row],[ROE]]-VLOOKUP(Main_L[[#This Row],[Industry]], Mean_ROE_L, 2, FALSE))/(VLOOKUP(Main_L[[#This Row],[Industry]], Mean_ROE_L, 3, FALSE))</f>
        <v>-1.2966639802452768</v>
      </c>
      <c r="R61" s="1">
        <f>(Main_L[[#This Row],[ROA]]-VLOOKUP(Main_L[[#This Row],[Industry]], Mean_ROA_L, 2, FALSE))/(VLOOKUP(Main_L[[#This Row],[Industry]], Mean_ROA_L, 3, FALSE))</f>
        <v>1.1861011688373355</v>
      </c>
      <c r="S61" s="1">
        <f>(Main_L[[#This Row],[A/E]]-VLOOKUP(Main_L[[#This Row],[Industry]], Mean_AE_L, 2, FALSE))/(VLOOKUP(Main_L[[#This Row],[Industry]], Mean_AE_L, 3, FALSE))</f>
        <v>-1.0709539697430348</v>
      </c>
      <c r="T61" s="1">
        <f>(Main_L[[#This Row],[P/E]]-VLOOKUP(Main_L[[#This Row],[Industry]], Mean_PE_L, 2, FALSE))/(VLOOKUP(Main_L[[#This Row],[Industry]], Mean_PE_L, 3, FALSE))</f>
        <v>-1.3382867636992783</v>
      </c>
      <c r="U6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2" spans="1:26" x14ac:dyDescent="0.25">
      <c r="A62" s="67" t="s">
        <v>108</v>
      </c>
      <c r="B62" s="67" t="s">
        <v>189</v>
      </c>
      <c r="C62" s="2">
        <v>281091</v>
      </c>
      <c r="D62">
        <f>RTD("tos.rtd", , "LAST", Main_L[[#This Row],[Symbol]])</f>
        <v>180.63</v>
      </c>
      <c r="E62">
        <v>6.56</v>
      </c>
      <c r="F62">
        <v>-7</v>
      </c>
      <c r="G62">
        <v>4.8600000000000003</v>
      </c>
      <c r="H62" s="1">
        <f>IF(ISNUMBER(Main_L[[#This Row],[Free CF]]),IF(Main_L[[#This Row],[Free CF]]&lt;&gt;0,Main_L[[#This Row],[Current Price]]/Main_L[[#This Row],[Free CF]],""),"")</f>
        <v>27.535060975609756</v>
      </c>
      <c r="I62" s="1">
        <f>IF(ISNUMBER(Main_L[[#This Row],[BVPS]]),IF(Main_L[[#This Row],[BVPS]]&lt;&gt;0,Main_L[[#This Row],[Current Price]]/Main_L[[#This Row],[BVPS]],""),"")</f>
        <v>-25.804285714285715</v>
      </c>
      <c r="J62">
        <v>-92.56</v>
      </c>
      <c r="K62">
        <v>13.75</v>
      </c>
      <c r="L62">
        <v>-5.97</v>
      </c>
      <c r="M62" s="1">
        <f>IF(ISNUMBER(Main_L[[#This Row],[EPS]]),IF(Main_L[[#This Row],[EPS]]&lt;&gt;0,Main_L[[#This Row],[Current Price]]/Main_L[[#This Row],[EPS]],""),"")</f>
        <v>37.166666666666664</v>
      </c>
      <c r="N6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2" s="1">
        <f>(Main_L[[#This Row],[P/FCF]]-VLOOKUP(Main_L[[#This Row],[Industry]], Mean_PFCF_L, 2, FALSE))/(VLOOKUP(Main_L[[#This Row],[Industry]], Mean_PFCF_L, 3, FALSE))</f>
        <v>1.3980988019821097</v>
      </c>
      <c r="P62" s="1">
        <f>(Main_L[[#This Row],[P/B]]-VLOOKUP(Main_L[[#This Row],[Industry]], Mean_PB_L, 2, FALSE))/(VLOOKUP(Main_L[[#This Row],[Industry]], Mean_PB_L, 3, FALSE))</f>
        <v>-0.60989334942455642</v>
      </c>
      <c r="Q62" s="1">
        <f>(Main_L[[#This Row],[ROE]]-VLOOKUP(Main_L[[#This Row],[Industry]], Mean_ROE_L, 2, FALSE))/(VLOOKUP(Main_L[[#This Row],[Industry]], Mean_ROE_L, 3, FALSE))</f>
        <v>0.15945890664303367</v>
      </c>
      <c r="R62" s="1">
        <f>(Main_L[[#This Row],[ROA]]-VLOOKUP(Main_L[[#This Row],[Industry]], Mean_ROA_L, 2, FALSE))/(VLOOKUP(Main_L[[#This Row],[Industry]], Mean_ROA_L, 3, FALSE))</f>
        <v>7.393743118733169E-2</v>
      </c>
      <c r="S62" s="1">
        <f>(Main_L[[#This Row],[A/E]]-VLOOKUP(Main_L[[#This Row],[Industry]], Mean_AE_L, 2, FALSE))/(VLOOKUP(Main_L[[#This Row],[Industry]], Mean_AE_L, 3, FALSE))</f>
        <v>-0.26439375219712041</v>
      </c>
      <c r="T62" s="1">
        <f>(Main_L[[#This Row],[P/E]]-VLOOKUP(Main_L[[#This Row],[Industry]], Mean_PE_L, 2, FALSE))/(VLOOKUP(Main_L[[#This Row],[Industry]], Mean_PE_L, 3, FALSE))</f>
        <v>1.0650491832475035</v>
      </c>
      <c r="U6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44"/>
  <sheetViews>
    <sheetView topLeftCell="H1" workbookViewId="0">
      <selection activeCell="B24" sqref="B24"/>
    </sheetView>
  </sheetViews>
  <sheetFormatPr defaultRowHeight="15" x14ac:dyDescent="0.25"/>
  <cols>
    <col min="1" max="1" width="35.71093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8" bestFit="1" customWidth="1"/>
    <col min="7" max="7" width="7" bestFit="1" customWidth="1"/>
    <col min="8" max="8" width="75.85546875" bestFit="1" customWidth="1"/>
    <col min="9" max="9" width="66.42578125" bestFit="1" customWidth="1"/>
    <col min="10" max="11" width="7.140625" bestFit="1" customWidth="1"/>
    <col min="12" max="12" width="6.2851562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7" t="s">
        <v>106</v>
      </c>
      <c r="B2" s="67" t="s">
        <v>116</v>
      </c>
      <c r="C2" s="2">
        <v>2518</v>
      </c>
      <c r="D2">
        <f>RTD("tos.rtd", , "LAST", Main_M[[#This Row],[Symbol]])</f>
        <v>13.29</v>
      </c>
      <c r="E2">
        <v>0.43</v>
      </c>
      <c r="F2">
        <v>4.37</v>
      </c>
      <c r="G2">
        <v>0.47</v>
      </c>
      <c r="H2" s="1">
        <f>IF(ISNUMBER(Main_M[[#This Row],[Free CF]]),IF(Main_M[[#This Row],[Free CF]]&lt;&gt;0,Main_M[[#This Row],[Current Price]]/Main_M[[#This Row],[Free CF]],""),"")</f>
        <v>30.906976744186046</v>
      </c>
      <c r="I2" s="1">
        <f>IF(ISNUMBER(Main_M[[#This Row],[BVPS]]),IF(Main_M[[#This Row],[BVPS]]&lt;&gt;0,Main_M[[#This Row],[Current Price]]/Main_M[[#This Row],[BVPS]],""),"")</f>
        <v>3.0411899313501141</v>
      </c>
      <c r="J2">
        <v>11.4</v>
      </c>
      <c r="K2">
        <v>3.9</v>
      </c>
      <c r="L2">
        <v>2.5499999999999998</v>
      </c>
      <c r="M2" s="1">
        <f>IF(ISNUMBER(Main_M[[#This Row],[EPS]]),IF(Main_M[[#This Row],[EPS]]&lt;&gt;0,Main_M[[#This Row],[Current Price]]/Main_M[[#This Row],[EPS]],""),"")</f>
        <v>28.276595744680851</v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>
        <f>(Main_M[[#This Row],[P/FCF]]-VLOOKUP(Main_M[[#This Row],[Industry]], Mean_PFCF_M, 2, FALSE))/(VLOOKUP(Main_M[[#This Row],[Industry]], Mean_PFCF_M, 3, FALSE))</f>
        <v>-0.22686621149855235</v>
      </c>
      <c r="P2" s="1">
        <f>(Main_M[[#This Row],[P/B]]-VLOOKUP(Main_M[[#This Row],[Industry]], Mean_PB_M, 2, FALSE))/(VLOOKUP(Main_M[[#This Row],[Industry]], Mean_PB_M, 3, FALSE))</f>
        <v>-0.7375062662952987</v>
      </c>
      <c r="Q2" s="1">
        <f>(Main_M[[#This Row],[ROE]]-VLOOKUP(Main_M[[#This Row],[Industry]], Mean_ROE_M, 2, FALSE))/(VLOOKUP(Main_M[[#This Row],[Industry]], Mean_ROE_M, 3, FALSE))</f>
        <v>-0.59199595418826101</v>
      </c>
      <c r="R2" s="1">
        <f>(Main_M[[#This Row],[ROA]]-VLOOKUP(Main_M[[#This Row],[Industry]], Mean_ROA_M, 2, FALSE))/(VLOOKUP(Main_M[[#This Row],[Industry]], Mean_ROA_M, 3, FALSE))</f>
        <v>-0.98784210276695339</v>
      </c>
      <c r="S2" s="1">
        <f>(Main_M[[#This Row],[A/E]]-VLOOKUP(Main_M[[#This Row],[Industry]], Mean_AE_M, 2, FALSE))/(VLOOKUP(Main_M[[#This Row],[Industry]], Mean_AE_M, 3, FALSE))</f>
        <v>0.14585591141295581</v>
      </c>
      <c r="T2" s="1">
        <f>(Main_M[[#This Row],[P/E]]-VLOOKUP(Main_M[[#This Row],[Industry]], Mean_PE_M, 2, FALSE))/(VLOOKUP(Main_M[[#This Row],[Industry]], Mean_PE_M, 3, FALSE))</f>
        <v>-0.15980268191719446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" spans="1:26" x14ac:dyDescent="0.25">
      <c r="A3" s="67" t="s">
        <v>106</v>
      </c>
      <c r="B3" s="67" t="s">
        <v>119</v>
      </c>
      <c r="C3" s="2">
        <v>9763</v>
      </c>
      <c r="D3">
        <f>RTD("tos.rtd", , "LAST", Main_M[[#This Row],[Symbol]])</f>
        <v>42.28</v>
      </c>
      <c r="E3">
        <v>0.76</v>
      </c>
      <c r="F3">
        <v>1.88</v>
      </c>
      <c r="G3">
        <v>0.32</v>
      </c>
      <c r="H3" s="1">
        <f>IF(ISNUMBER(Main_M[[#This Row],[Free CF]]),IF(Main_M[[#This Row],[Free CF]]&lt;&gt;0,Main_M[[#This Row],[Current Price]]/Main_M[[#This Row],[Free CF]],""),"")</f>
        <v>55.631578947368425</v>
      </c>
      <c r="I3" s="1">
        <f>IF(ISNUMBER(Main_M[[#This Row],[BVPS]]),IF(Main_M[[#This Row],[BVPS]]&lt;&gt;0,Main_M[[#This Row],[Current Price]]/Main_M[[#This Row],[BVPS]],""),"")</f>
        <v>22.48936170212766</v>
      </c>
      <c r="J3">
        <v>9.19</v>
      </c>
      <c r="K3">
        <v>4.79</v>
      </c>
      <c r="L3">
        <v>4.2</v>
      </c>
      <c r="M3" s="1">
        <f>IF(ISNUMBER(Main_M[[#This Row],[EPS]]),IF(Main_M[[#This Row],[EPS]]&lt;&gt;0,Main_M[[#This Row],[Current Price]]/Main_M[[#This Row],[EPS]],""),"")</f>
        <v>132.125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1.2834582299584674</v>
      </c>
      <c r="P3" s="1">
        <f>(Main_M[[#This Row],[P/B]]-VLOOKUP(Main_M[[#This Row],[Industry]], Mean_PB_M, 2, FALSE))/(VLOOKUP(Main_M[[#This Row],[Industry]], Mean_PB_M, 3, FALSE))</f>
        <v>5.6346598695436985</v>
      </c>
      <c r="Q3" s="1">
        <f>(Main_M[[#This Row],[ROE]]-VLOOKUP(Main_M[[#This Row],[Industry]], Mean_ROE_M, 2, FALSE))/(VLOOKUP(Main_M[[#This Row],[Industry]], Mean_ROE_M, 3, FALSE))</f>
        <v>-0.75457677100509757</v>
      </c>
      <c r="R3" s="1">
        <f>(Main_M[[#This Row],[ROA]]-VLOOKUP(Main_M[[#This Row],[Industry]], Mean_ROA_M, 2, FALSE))/(VLOOKUP(Main_M[[#This Row],[Industry]], Mean_ROA_M, 3, FALSE))</f>
        <v>-0.83997433966656609</v>
      </c>
      <c r="S3" s="1">
        <f>(Main_M[[#This Row],[A/E]]-VLOOKUP(Main_M[[#This Row],[Industry]], Mean_AE_M, 2, FALSE))/(VLOOKUP(Main_M[[#This Row],[Industry]], Mean_AE_M, 3, FALSE))</f>
        <v>1.7202818710574821</v>
      </c>
      <c r="T3" s="1">
        <f>(Main_M[[#This Row],[P/E]]-VLOOKUP(Main_M[[#This Row],[Industry]], Mean_PE_M, 2, FALSE))/(VLOOKUP(Main_M[[#This Row],[Industry]], Mean_PE_M, 3, FALSE))</f>
        <v>13.667784360651979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" spans="1:26" x14ac:dyDescent="0.25">
      <c r="A4" s="67" t="s">
        <v>106</v>
      </c>
      <c r="B4" s="67" t="s">
        <v>120</v>
      </c>
      <c r="C4" s="2">
        <v>2019</v>
      </c>
      <c r="D4">
        <f>RTD("tos.rtd", , "LAST", Main_M[[#This Row],[Symbol]])</f>
        <v>33.82</v>
      </c>
      <c r="E4">
        <v>0.56000000000000005</v>
      </c>
      <c r="F4">
        <v>4.87</v>
      </c>
      <c r="G4">
        <v>1.01</v>
      </c>
      <c r="H4" s="1">
        <f>IF(ISNUMBER(Main_M[[#This Row],[Free CF]]),IF(Main_M[[#This Row],[Free CF]]&lt;&gt;0,Main_M[[#This Row],[Current Price]]/Main_M[[#This Row],[Free CF]],""),"")</f>
        <v>60.392857142857139</v>
      </c>
      <c r="I4" s="1">
        <f>IF(ISNUMBER(Main_M[[#This Row],[BVPS]]),IF(Main_M[[#This Row],[BVPS]]&lt;&gt;0,Main_M[[#This Row],[Current Price]]/Main_M[[#This Row],[BVPS]],""),"")</f>
        <v>6.944558521560575</v>
      </c>
      <c r="J4">
        <v>24.86</v>
      </c>
      <c r="K4">
        <v>13.77</v>
      </c>
      <c r="L4">
        <v>1.38</v>
      </c>
      <c r="M4" s="1">
        <f>IF(ISNUMBER(Main_M[[#This Row],[EPS]]),IF(Main_M[[#This Row],[EPS]]&lt;&gt;0,Main_M[[#This Row],[Current Price]]/Main_M[[#This Row],[EPS]],""),"")</f>
        <v>33.485148514851488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1.5743051674391195</v>
      </c>
      <c r="P4" s="1">
        <f>(Main_M[[#This Row],[P/B]]-VLOOKUP(Main_M[[#This Row],[Industry]], Mean_PB_M, 2, FALSE))/(VLOOKUP(Main_M[[#This Row],[Industry]], Mean_PB_M, 3, FALSE))</f>
        <v>0.54142696400505663</v>
      </c>
      <c r="Q4" s="1">
        <f>(Main_M[[#This Row],[ROE]]-VLOOKUP(Main_M[[#This Row],[Industry]], Mean_ROE_M, 2, FALSE))/(VLOOKUP(Main_M[[#This Row],[Industry]], Mean_ROE_M, 3, FALSE))</f>
        <v>0.39820214280477867</v>
      </c>
      <c r="R4" s="1">
        <f>(Main_M[[#This Row],[ROA]]-VLOOKUP(Main_M[[#This Row],[Industry]], Mean_ROA_M, 2, FALSE))/(VLOOKUP(Main_M[[#This Row],[Industry]], Mean_ROA_M, 3, FALSE))</f>
        <v>0.65199477566093733</v>
      </c>
      <c r="S4" s="1">
        <f>(Main_M[[#This Row],[A/E]]-VLOOKUP(Main_M[[#This Row],[Industry]], Mean_AE_M, 2, FALSE))/(VLOOKUP(Main_M[[#This Row],[Industry]], Mean_AE_M, 3, FALSE))</f>
        <v>-0.97055522360770796</v>
      </c>
      <c r="T4" s="1">
        <f>(Main_M[[#This Row],[P/E]]-VLOOKUP(Main_M[[#This Row],[Industry]], Mean_PE_M, 2, FALSE))/(VLOOKUP(Main_M[[#This Row],[Industry]], Mean_PE_M, 3, FALSE))</f>
        <v>0.53372474695189487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" spans="1:26" x14ac:dyDescent="0.25">
      <c r="A5" s="67" t="s">
        <v>106</v>
      </c>
      <c r="B5" s="67" t="s">
        <v>166</v>
      </c>
      <c r="C5" s="2">
        <v>9995</v>
      </c>
      <c r="D5">
        <f>RTD("tos.rtd", , "LAST", Main_M[[#This Row],[Symbol]])</f>
        <v>110.11</v>
      </c>
      <c r="E5">
        <v>5.5</v>
      </c>
      <c r="F5">
        <v>17.2</v>
      </c>
      <c r="G5">
        <v>6.42</v>
      </c>
      <c r="H5" s="1">
        <f>IF(ISNUMBER(Main_M[[#This Row],[Free CF]]),IF(Main_M[[#This Row],[Free CF]]&lt;&gt;0,Main_M[[#This Row],[Current Price]]/Main_M[[#This Row],[Free CF]],""),"")</f>
        <v>20.02</v>
      </c>
      <c r="I5" s="1">
        <f>IF(ISNUMBER(Main_M[[#This Row],[BVPS]]),IF(Main_M[[#This Row],[BVPS]]&lt;&gt;0,Main_M[[#This Row],[Current Price]]/Main_M[[#This Row],[BVPS]],""),"")</f>
        <v>6.4017441860465123</v>
      </c>
      <c r="J5">
        <v>36.83</v>
      </c>
      <c r="K5">
        <v>11.5</v>
      </c>
      <c r="L5">
        <v>3.6</v>
      </c>
      <c r="M5" s="1">
        <f>IF(ISNUMBER(Main_M[[#This Row],[EPS]]),IF(Main_M[[#This Row],[EPS]]&lt;&gt;0,Main_M[[#This Row],[Current Price]]/Main_M[[#This Row],[EPS]],""),"")</f>
        <v>17.151090342679129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-0.89190692419410145</v>
      </c>
      <c r="P5" s="1">
        <f>(Main_M[[#This Row],[P/B]]-VLOOKUP(Main_M[[#This Row],[Industry]], Mean_PB_M, 2, FALSE))/(VLOOKUP(Main_M[[#This Row],[Industry]], Mean_PB_M, 3, FALSE))</f>
        <v>0.36357461019111409</v>
      </c>
      <c r="Q5" s="1">
        <f>(Main_M[[#This Row],[ROE]]-VLOOKUP(Main_M[[#This Row],[Industry]], Mean_ROE_M, 2, FALSE))/(VLOOKUP(Main_M[[#This Row],[Industry]], Mean_ROE_M, 3, FALSE))</f>
        <v>1.2787869289122591</v>
      </c>
      <c r="R5" s="1">
        <f>(Main_M[[#This Row],[ROA]]-VLOOKUP(Main_M[[#This Row],[Industry]], Mean_ROA_M, 2, FALSE))/(VLOOKUP(Main_M[[#This Row],[Industry]], Mean_ROA_M, 3, FALSE))</f>
        <v>0.2748489079779271</v>
      </c>
      <c r="S5" s="1">
        <f>(Main_M[[#This Row],[A/E]]-VLOOKUP(Main_M[[#This Row],[Industry]], Mean_AE_M, 2, FALSE))/(VLOOKUP(Main_M[[#This Row],[Industry]], Mean_AE_M, 3, FALSE))</f>
        <v>1.1477633402776544</v>
      </c>
      <c r="T5" s="1">
        <f>(Main_M[[#This Row],[P/E]]-VLOOKUP(Main_M[[#This Row],[Industry]], Mean_PE_M, 2, FALSE))/(VLOOKUP(Main_M[[#This Row],[Industry]], Mean_PE_M, 3, FALSE))</f>
        <v>-1.641182154639065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" spans="1:26" x14ac:dyDescent="0.25">
      <c r="A6" s="67" t="s">
        <v>106</v>
      </c>
      <c r="B6" s="67" t="s">
        <v>118</v>
      </c>
      <c r="C6" s="2">
        <v>7767</v>
      </c>
      <c r="D6">
        <f>RTD("tos.rtd", , "LAST", Main_M[[#This Row],[Symbol]])</f>
        <v>6.66</v>
      </c>
      <c r="E6">
        <v>0.18</v>
      </c>
      <c r="F6">
        <v>3.32</v>
      </c>
      <c r="G6">
        <v>0.17</v>
      </c>
      <c r="H6" s="1">
        <f>IF(ISNUMBER(Main_M[[#This Row],[Free CF]]),IF(Main_M[[#This Row],[Free CF]]&lt;&gt;0,Main_M[[#This Row],[Current Price]]/Main_M[[#This Row],[Free CF]],""),"")</f>
        <v>37</v>
      </c>
      <c r="I6" s="1">
        <f>IF(ISNUMBER(Main_M[[#This Row],[BVPS]]),IF(Main_M[[#This Row],[BVPS]]&lt;&gt;0,Main_M[[#This Row],[Current Price]]/Main_M[[#This Row],[BVPS]],""),"")</f>
        <v>2.0060240963855422</v>
      </c>
      <c r="J6">
        <v>5.68</v>
      </c>
      <c r="K6">
        <v>4.9000000000000004</v>
      </c>
      <c r="L6">
        <v>2.2000000000000002</v>
      </c>
      <c r="M6" s="1">
        <f>IF(ISNUMBER(Main_M[[#This Row],[EPS]]),IF(Main_M[[#This Row],[EPS]]&lt;&gt;0,Main_M[[#This Row],[Current Price]]/Main_M[[#This Row],[EPS]],""),"")</f>
        <v>39.17647058823529</v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0.14533156422288543</v>
      </c>
      <c r="P6" s="1">
        <f>(Main_M[[#This Row],[P/B]]-VLOOKUP(Main_M[[#This Row],[Industry]], Mean_PB_M, 2, FALSE))/(VLOOKUP(Main_M[[#This Row],[Industry]], Mean_PB_M, 3, FALSE))</f>
        <v>-1.0766768966395937</v>
      </c>
      <c r="Q6" s="1">
        <f>(Main_M[[#This Row],[ROE]]-VLOOKUP(Main_M[[#This Row],[Industry]], Mean_ROE_M, 2, FALSE))/(VLOOKUP(Main_M[[#This Row],[Industry]], Mean_ROE_M, 3, FALSE))</f>
        <v>-1.0127933624200729</v>
      </c>
      <c r="R6" s="1">
        <f>(Main_M[[#This Row],[ROA]]-VLOOKUP(Main_M[[#This Row],[Industry]], Mean_ROA_M, 2, FALSE))/(VLOOKUP(Main_M[[#This Row],[Industry]], Mean_ROA_M, 3, FALSE))</f>
        <v>-0.82169854872157433</v>
      </c>
      <c r="S6" s="1">
        <f>(Main_M[[#This Row],[A/E]]-VLOOKUP(Main_M[[#This Row],[Industry]], Mean_AE_M, 2, FALSE))/(VLOOKUP(Main_M[[#This Row],[Industry]], Mean_AE_M, 3, FALSE))</f>
        <v>-0.18811323154194329</v>
      </c>
      <c r="T6" s="1">
        <f>(Main_M[[#This Row],[P/E]]-VLOOKUP(Main_M[[#This Row],[Industry]], Mean_PE_M, 2, FALSE))/(VLOOKUP(Main_M[[#This Row],[Industry]], Mean_PE_M, 3, FALSE))</f>
        <v>1.2915337082097553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" spans="1:26" x14ac:dyDescent="0.25">
      <c r="A7" s="67" t="s">
        <v>106</v>
      </c>
      <c r="B7" s="67" t="s">
        <v>121</v>
      </c>
      <c r="C7" s="2">
        <v>4234</v>
      </c>
      <c r="D7">
        <f>RTD("tos.rtd", , "LAST", Main_M[[#This Row],[Symbol]])</f>
        <v>46.3</v>
      </c>
      <c r="E7">
        <v>1.87</v>
      </c>
      <c r="F7">
        <v>4.33</v>
      </c>
      <c r="G7">
        <v>1.99</v>
      </c>
      <c r="H7" s="1">
        <f>IF(ISNUMBER(Main_M[[#This Row],[Free CF]]),IF(Main_M[[#This Row],[Free CF]]&lt;&gt;0,Main_M[[#This Row],[Current Price]]/Main_M[[#This Row],[Free CF]],""),"")</f>
        <v>24.759358288770052</v>
      </c>
      <c r="I7" s="1">
        <f>IF(ISNUMBER(Main_M[[#This Row],[BVPS]]),IF(Main_M[[#This Row],[BVPS]]&lt;&gt;0,Main_M[[#This Row],[Current Price]]/Main_M[[#This Row],[BVPS]],""),"")</f>
        <v>10.69284064665127</v>
      </c>
      <c r="J7">
        <v>40.81</v>
      </c>
      <c r="K7">
        <v>21.97</v>
      </c>
      <c r="L7">
        <v>1.47</v>
      </c>
      <c r="M7" s="1">
        <f>IF(ISNUMBER(Main_M[[#This Row],[EPS]]),IF(Main_M[[#This Row],[EPS]]&lt;&gt;0,Main_M[[#This Row],[Current Price]]/Main_M[[#This Row],[EPS]],""),"")</f>
        <v>23.266331658291456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-0.60239898382246626</v>
      </c>
      <c r="P7" s="1">
        <f>(Main_M[[#This Row],[P/B]]-VLOOKUP(Main_M[[#This Row],[Industry]], Mean_PB_M, 2, FALSE))/(VLOOKUP(Main_M[[#This Row],[Industry]], Mean_PB_M, 3, FALSE))</f>
        <v>1.7695463320662859</v>
      </c>
      <c r="Q7" s="1">
        <f>(Main_M[[#This Row],[ROE]]-VLOOKUP(Main_M[[#This Row],[Industry]], Mean_ROE_M, 2, FALSE))/(VLOOKUP(Main_M[[#This Row],[Industry]], Mean_ROE_M, 3, FALSE))</f>
        <v>1.571579531143485</v>
      </c>
      <c r="R7" s="1">
        <f>(Main_M[[#This Row],[ROA]]-VLOOKUP(Main_M[[#This Row],[Industry]], Mean_ROA_M, 2, FALSE))/(VLOOKUP(Main_M[[#This Row],[Industry]], Mean_ROA_M, 3, FALSE))</f>
        <v>2.0143719188330453</v>
      </c>
      <c r="S7" s="1">
        <f>(Main_M[[#This Row],[A/E]]-VLOOKUP(Main_M[[#This Row],[Industry]], Mean_AE_M, 2, FALSE))/(VLOOKUP(Main_M[[#This Row],[Industry]], Mean_AE_M, 3, FALSE))</f>
        <v>-0.88467744399073367</v>
      </c>
      <c r="T7" s="1">
        <f>(Main_M[[#This Row],[P/E]]-VLOOKUP(Main_M[[#This Row],[Industry]], Mean_PE_M, 2, FALSE))/(VLOOKUP(Main_M[[#This Row],[Industry]], Mean_PE_M, 3, FALSE))</f>
        <v>-0.82692764409261599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" spans="1:26" x14ac:dyDescent="0.25">
      <c r="A8" s="67" t="s">
        <v>106</v>
      </c>
      <c r="B8" s="67" t="s">
        <v>117</v>
      </c>
      <c r="C8" s="2">
        <v>2562</v>
      </c>
      <c r="D8">
        <f>RTD("tos.rtd", , "LAST", Main_M[[#This Row],[Symbol]])</f>
        <v>218.71</v>
      </c>
      <c r="E8">
        <v>16.04</v>
      </c>
      <c r="F8">
        <v>82.03</v>
      </c>
      <c r="G8">
        <v>6.16</v>
      </c>
      <c r="H8" s="1">
        <f>IF(ISNUMBER(Main_M[[#This Row],[Free CF]]),IF(Main_M[[#This Row],[Free CF]]&lt;&gt;0,Main_M[[#This Row],[Current Price]]/Main_M[[#This Row],[Free CF]],""),"")</f>
        <v>13.635286783042396</v>
      </c>
      <c r="I8" s="1">
        <f>IF(ISNUMBER(Main_M[[#This Row],[BVPS]]),IF(Main_M[[#This Row],[BVPS]]&lt;&gt;0,Main_M[[#This Row],[Current Price]]/Main_M[[#This Row],[BVPS]],""),"")</f>
        <v>2.6662196757283922</v>
      </c>
      <c r="J8">
        <v>7.36</v>
      </c>
      <c r="K8">
        <v>8.09</v>
      </c>
      <c r="L8">
        <v>1.38</v>
      </c>
      <c r="M8" s="1">
        <f>IF(ISNUMBER(Main_M[[#This Row],[EPS]]),IF(Main_M[[#This Row],[EPS]]&lt;&gt;0,Main_M[[#This Row],[Current Price]]/Main_M[[#This Row],[EPS]],""),"")</f>
        <v>35.504870129870127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-1.2819228421053537</v>
      </c>
      <c r="P8" s="1">
        <f>(Main_M[[#This Row],[P/B]]-VLOOKUP(Main_M[[#This Row],[Industry]], Mean_PB_M, 2, FALSE))/(VLOOKUP(Main_M[[#This Row],[Industry]], Mean_PB_M, 3, FALSE))</f>
        <v>-0.86036474332756419</v>
      </c>
      <c r="Q8" s="1">
        <f>(Main_M[[#This Row],[ROE]]-VLOOKUP(Main_M[[#This Row],[Industry]], Mean_ROE_M, 2, FALSE))/(VLOOKUP(Main_M[[#This Row],[Industry]], Mean_ROE_M, 3, FALSE))</f>
        <v>-0.88920251524709326</v>
      </c>
      <c r="R8" s="1">
        <f>(Main_M[[#This Row],[ROA]]-VLOOKUP(Main_M[[#This Row],[Industry]], Mean_ROA_M, 2, FALSE))/(VLOOKUP(Main_M[[#This Row],[Industry]], Mean_ROA_M, 3, FALSE))</f>
        <v>-0.29170061131681541</v>
      </c>
      <c r="S8" s="1">
        <f>(Main_M[[#This Row],[A/E]]-VLOOKUP(Main_M[[#This Row],[Industry]], Mean_AE_M, 2, FALSE))/(VLOOKUP(Main_M[[#This Row],[Industry]], Mean_AE_M, 3, FALSE))</f>
        <v>-0.97055522360770796</v>
      </c>
      <c r="T8" s="1">
        <f>(Main_M[[#This Row],[P/E]]-VLOOKUP(Main_M[[#This Row],[Industry]], Mean_PE_M, 2, FALSE))/(VLOOKUP(Main_M[[#This Row],[Industry]], Mean_PE_M, 3, FALSE))</f>
        <v>0.8026540254872282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" spans="1:26" x14ac:dyDescent="0.25">
      <c r="A9" s="67" t="s">
        <v>105</v>
      </c>
      <c r="B9" s="67" t="s">
        <v>244</v>
      </c>
      <c r="C9" s="2">
        <v>8178</v>
      </c>
      <c r="D9">
        <f>RTD("tos.rtd", , "LAST", Main_M[[#This Row],[Symbol]])</f>
        <v>11.7</v>
      </c>
      <c r="E9">
        <v>0.01</v>
      </c>
      <c r="F9">
        <v>0.14000000000000001</v>
      </c>
      <c r="G9">
        <v>0.01</v>
      </c>
      <c r="H9" s="1">
        <f>IF(ISNUMBER(Main_M[[#This Row],[Free CF]]),IF(Main_M[[#This Row],[Free CF]]&lt;&gt;0,Main_M[[#This Row],[Current Price]]/Main_M[[#This Row],[Free CF]],""),"")</f>
        <v>1170</v>
      </c>
      <c r="I9" s="1">
        <f>IF(ISNUMBER(Main_M[[#This Row],[BVPS]]),IF(Main_M[[#This Row],[BVPS]]&lt;&gt;0,Main_M[[#This Row],[Current Price]]/Main_M[[#This Row],[BVPS]],""),"")</f>
        <v>83.571428571428555</v>
      </c>
      <c r="J9">
        <v>9.2899999999999991</v>
      </c>
      <c r="K9">
        <v>4.4400000000000004</v>
      </c>
      <c r="L9">
        <v>1.3</v>
      </c>
      <c r="M9" s="1">
        <f>IF(ISNUMBER(Main_M[[#This Row],[EPS]]),IF(Main_M[[#This Row],[EPS]]&lt;&gt;0,Main_M[[#This Row],[Current Price]]/Main_M[[#This Row],[EPS]],""),"")</f>
        <v>1170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51.490312703375928</v>
      </c>
      <c r="P9" s="1">
        <f>(Main_M[[#This Row],[P/B]]-VLOOKUP(Main_M[[#This Row],[Industry]], Mean_PB_M, 2, FALSE))/(VLOOKUP(Main_M[[#This Row],[Industry]], Mean_PB_M, 3, FALSE))</f>
        <v>17.351499630440429</v>
      </c>
      <c r="Q9" s="1">
        <f>(Main_M[[#This Row],[ROE]]-VLOOKUP(Main_M[[#This Row],[Industry]], Mean_ROE_M, 2, FALSE))/(VLOOKUP(Main_M[[#This Row],[Industry]], Mean_ROE_M, 3, FALSE))</f>
        <v>-0.97684672001181927</v>
      </c>
      <c r="R9" s="1">
        <f>(Main_M[[#This Row],[ROA]]-VLOOKUP(Main_M[[#This Row],[Industry]], Mean_ROA_M, 2, FALSE))/(VLOOKUP(Main_M[[#This Row],[Industry]], Mean_ROA_M, 3, FALSE))</f>
        <v>0.26238515767528325</v>
      </c>
      <c r="S9" s="1">
        <f>(Main_M[[#This Row],[A/E]]-VLOOKUP(Main_M[[#This Row],[Industry]], Mean_AE_M, 2, FALSE))/(VLOOKUP(Main_M[[#This Row],[Industry]], Mean_AE_M, 3, FALSE))</f>
        <v>-0.96915291260964442</v>
      </c>
      <c r="T9" s="1">
        <f>(Main_M[[#This Row],[P/E]]-VLOOKUP(Main_M[[#This Row],[Industry]], Mean_PE_M, 2, FALSE))/(VLOOKUP(Main_M[[#This Row],[Industry]], Mean_PE_M, 3, FALSE))</f>
        <v>56.290790764496869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0" spans="1:26" x14ac:dyDescent="0.25">
      <c r="A10" s="67" t="s">
        <v>105</v>
      </c>
      <c r="B10" s="67" t="s">
        <v>112</v>
      </c>
      <c r="C10" s="2">
        <v>2595</v>
      </c>
      <c r="D10">
        <f>RTD("tos.rtd", , "LAST", Main_M[[#This Row],[Symbol]])</f>
        <v>63.42</v>
      </c>
      <c r="E10">
        <v>3.33</v>
      </c>
      <c r="F10">
        <v>13.32</v>
      </c>
      <c r="G10">
        <v>1.47</v>
      </c>
      <c r="H10" s="1">
        <f>IF(ISNUMBER(Main_M[[#This Row],[Free CF]]),IF(Main_M[[#This Row],[Free CF]]&lt;&gt;0,Main_M[[#This Row],[Current Price]]/Main_M[[#This Row],[Free CF]],""),"")</f>
        <v>19.045045045045047</v>
      </c>
      <c r="I10" s="1">
        <f>IF(ISNUMBER(Main_M[[#This Row],[BVPS]]),IF(Main_M[[#This Row],[BVPS]]&lt;&gt;0,Main_M[[#This Row],[Current Price]]/Main_M[[#This Row],[BVPS]],""),"")</f>
        <v>4.7612612612612617</v>
      </c>
      <c r="J10">
        <v>12.9</v>
      </c>
      <c r="K10">
        <v>4.79</v>
      </c>
      <c r="L10">
        <v>3.39</v>
      </c>
      <c r="M10" s="1">
        <f>IF(ISNUMBER(Main_M[[#This Row],[EPS]]),IF(Main_M[[#This Row],[EPS]]&lt;&gt;0,Main_M[[#This Row],[Current Price]]/Main_M[[#This Row],[EPS]],""),"")</f>
        <v>43.142857142857146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8.5700906697063858E-2</v>
      </c>
      <c r="P10" s="1">
        <f>(Main_M[[#This Row],[P/B]]-VLOOKUP(Main_M[[#This Row],[Industry]], Mean_PB_M, 2, FALSE))/(VLOOKUP(Main_M[[#This Row],[Industry]], Mean_PB_M, 3, FALSE))</f>
        <v>0.16981238244454863</v>
      </c>
      <c r="Q10" s="1">
        <f>(Main_M[[#This Row],[ROE]]-VLOOKUP(Main_M[[#This Row],[Industry]], Mean_ROE_M, 2, FALSE))/(VLOOKUP(Main_M[[#This Row],[Industry]], Mean_ROE_M, 3, FALSE))</f>
        <v>0.64823008148249683</v>
      </c>
      <c r="R10" s="1">
        <f>(Main_M[[#This Row],[ROA]]-VLOOKUP(Main_M[[#This Row],[Industry]], Mean_ROA_M, 2, FALSE))/(VLOOKUP(Main_M[[#This Row],[Industry]], Mean_ROA_M, 3, FALSE))</f>
        <v>0.39438590434970688</v>
      </c>
      <c r="S10" s="1">
        <f>(Main_M[[#This Row],[A/E]]-VLOOKUP(Main_M[[#This Row],[Industry]], Mean_AE_M, 2, FALSE))/(VLOOKUP(Main_M[[#This Row],[Industry]], Mean_AE_M, 3, FALSE))</f>
        <v>0.47177260684961381</v>
      </c>
      <c r="T10" s="1">
        <f>(Main_M[[#This Row],[P/E]]-VLOOKUP(Main_M[[#This Row],[Industry]], Mean_PE_M, 2, FALSE))/(VLOOKUP(Main_M[[#This Row],[Industry]], Mean_PE_M, 3, FALSE))</f>
        <v>1.4429143026568592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" spans="1:26" x14ac:dyDescent="0.25">
      <c r="A11" s="67" t="s">
        <v>105</v>
      </c>
      <c r="B11" s="67" t="s">
        <v>247</v>
      </c>
      <c r="C11" s="2">
        <v>8971</v>
      </c>
      <c r="D11">
        <f>RTD("tos.rtd", , "LAST", Main_M[[#This Row],[Symbol]])</f>
        <v>37.86</v>
      </c>
      <c r="E11">
        <v>3.2</v>
      </c>
      <c r="F11">
        <v>15.77</v>
      </c>
      <c r="G11">
        <v>1.93</v>
      </c>
      <c r="H11" s="1">
        <f>IF(ISNUMBER(Main_M[[#This Row],[Free CF]]),IF(Main_M[[#This Row],[Free CF]]&lt;&gt;0,Main_M[[#This Row],[Current Price]]/Main_M[[#This Row],[Free CF]],""),"")</f>
        <v>11.831249999999999</v>
      </c>
      <c r="I11" s="1">
        <f>IF(ISNUMBER(Main_M[[#This Row],[BVPS]]),IF(Main_M[[#This Row],[BVPS]]&lt;&gt;0,Main_M[[#This Row],[Current Price]]/Main_M[[#This Row],[BVPS]],""),"")</f>
        <v>2.4007609384908055</v>
      </c>
      <c r="J11">
        <v>13.21</v>
      </c>
      <c r="K11">
        <v>4.84</v>
      </c>
      <c r="L11">
        <v>3.12</v>
      </c>
      <c r="M11" s="1">
        <f>IF(ISNUMBER(Main_M[[#This Row],[EPS]]),IF(Main_M[[#This Row],[EPS]]&lt;&gt;0,Main_M[[#This Row],[Current Price]]/Main_M[[#This Row],[EPS]],""),"")</f>
        <v>19.616580310880828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-0.23648575427948071</v>
      </c>
      <c r="P11" s="1">
        <f>(Main_M[[#This Row],[P/B]]-VLOOKUP(Main_M[[#This Row],[Industry]], Mean_PB_M, 2, FALSE))/(VLOOKUP(Main_M[[#This Row],[Industry]], Mean_PB_M, 3, FALSE))</f>
        <v>-0.34480875945731615</v>
      </c>
      <c r="Q11" s="1">
        <f>(Main_M[[#This Row],[ROE]]-VLOOKUP(Main_M[[#This Row],[Industry]], Mean_ROE_M, 2, FALSE))/(VLOOKUP(Main_M[[#This Row],[Industry]], Mean_ROE_M, 3, FALSE))</f>
        <v>0.78777961291275689</v>
      </c>
      <c r="R11" s="1">
        <f>(Main_M[[#This Row],[ROA]]-VLOOKUP(Main_M[[#This Row],[Industry]], Mean_ROA_M, 2, FALSE))/(VLOOKUP(Main_M[[#This Row],[Industry]], Mean_ROA_M, 3, FALSE))</f>
        <v>0.41324315387462446</v>
      </c>
      <c r="S11" s="1">
        <f>(Main_M[[#This Row],[A/E]]-VLOOKUP(Main_M[[#This Row],[Industry]], Mean_AE_M, 2, FALSE))/(VLOOKUP(Main_M[[#This Row],[Industry]], Mean_AE_M, 3, FALSE))</f>
        <v>0.28562433400081011</v>
      </c>
      <c r="T11" s="1">
        <f>(Main_M[[#This Row],[P/E]]-VLOOKUP(Main_M[[#This Row],[Industry]], Mean_PE_M, 2, FALSE))/(VLOOKUP(Main_M[[#This Row],[Industry]], Mean_PE_M, 3, FALSE))</f>
        <v>0.29781234056114397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" spans="1:26" x14ac:dyDescent="0.25">
      <c r="A12" s="67" t="s">
        <v>105</v>
      </c>
      <c r="B12" s="67" t="s">
        <v>115</v>
      </c>
      <c r="C12" s="2">
        <v>3321</v>
      </c>
      <c r="D12">
        <f>RTD("tos.rtd", , "LAST", Main_M[[#This Row],[Symbol]])</f>
        <v>108.35</v>
      </c>
      <c r="E12">
        <v>2.61</v>
      </c>
      <c r="F12">
        <v>39.1</v>
      </c>
      <c r="G12">
        <v>4.6900000000000004</v>
      </c>
      <c r="H12" s="1">
        <f>IF(ISNUMBER(Main_M[[#This Row],[Free CF]]),IF(Main_M[[#This Row],[Free CF]]&lt;&gt;0,Main_M[[#This Row],[Current Price]]/Main_M[[#This Row],[Free CF]],""),"")</f>
        <v>41.513409961685824</v>
      </c>
      <c r="I12" s="1">
        <f>IF(ISNUMBER(Main_M[[#This Row],[BVPS]]),IF(Main_M[[#This Row],[BVPS]]&lt;&gt;0,Main_M[[#This Row],[Current Price]]/Main_M[[#This Row],[BVPS]],""),"")</f>
        <v>2.7710997442455239</v>
      </c>
      <c r="J12">
        <v>12.6</v>
      </c>
      <c r="K12">
        <v>6.83</v>
      </c>
      <c r="L12">
        <v>1.78</v>
      </c>
      <c r="M12" s="1">
        <f>IF(ISNUMBER(Main_M[[#This Row],[EPS]]),IF(Main_M[[#This Row],[EPS]]&lt;&gt;0,Main_M[[#This Row],[Current Price]]/Main_M[[#This Row],[EPS]],""),"")</f>
        <v>23.102345415778249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" s="1">
        <f>(Main_M[[#This Row],[P/FCF]]-VLOOKUP(Main_M[[#This Row],[Industry]], Mean_PFCF_M, 2, FALSE))/(VLOOKUP(Main_M[[#This Row],[Industry]], Mean_PFCF_M, 3, FALSE))</f>
        <v>1.089195935997529</v>
      </c>
      <c r="P12" s="1">
        <f>(Main_M[[#This Row],[P/B]]-VLOOKUP(Main_M[[#This Row],[Industry]], Mean_PB_M, 2, FALSE))/(VLOOKUP(Main_M[[#This Row],[Industry]], Mean_PB_M, 3, FALSE))</f>
        <v>-0.26406986810042682</v>
      </c>
      <c r="Q12" s="1">
        <f>(Main_M[[#This Row],[ROE]]-VLOOKUP(Main_M[[#This Row],[Industry]], Mean_ROE_M, 2, FALSE))/(VLOOKUP(Main_M[[#This Row],[Industry]], Mean_ROE_M, 3, FALSE))</f>
        <v>0.51318214784030958</v>
      </c>
      <c r="R12" s="1">
        <f>(Main_M[[#This Row],[ROA]]-VLOOKUP(Main_M[[#This Row],[Industry]], Mean_ROA_M, 2, FALSE))/(VLOOKUP(Main_M[[#This Row],[Industry]], Mean_ROA_M, 3, FALSE))</f>
        <v>1.1637616849663481</v>
      </c>
      <c r="S12" s="1">
        <f>(Main_M[[#This Row],[A/E]]-VLOOKUP(Main_M[[#This Row],[Industry]], Mean_AE_M, 2, FALSE))/(VLOOKUP(Main_M[[#This Row],[Industry]], Mean_AE_M, 3, FALSE))</f>
        <v>-0.63822264976732679</v>
      </c>
      <c r="T12" s="1">
        <f>(Main_M[[#This Row],[P/E]]-VLOOKUP(Main_M[[#This Row],[Industry]], Mean_PE_M, 2, FALSE))/(VLOOKUP(Main_M[[#This Row],[Industry]], Mean_PE_M, 3, FALSE))</f>
        <v>0.46747609524406053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" spans="1:26" x14ac:dyDescent="0.25">
      <c r="A13" s="67" t="s">
        <v>105</v>
      </c>
      <c r="B13" s="67" t="s">
        <v>249</v>
      </c>
      <c r="C13" s="2">
        <v>2777</v>
      </c>
      <c r="D13">
        <f>RTD("tos.rtd", , "LAST", Main_M[[#This Row],[Symbol]])</f>
        <v>11.03</v>
      </c>
      <c r="E13">
        <v>-0.42</v>
      </c>
      <c r="F13">
        <v>27.34</v>
      </c>
      <c r="G13">
        <v>-0.5</v>
      </c>
      <c r="H13" s="1">
        <f>IF(ISNUMBER(Main_M[[#This Row],[Free CF]]),IF(Main_M[[#This Row],[Free CF]]&lt;&gt;0,Main_M[[#This Row],[Current Price]]/Main_M[[#This Row],[Free CF]],""),"")</f>
        <v>-26.261904761904763</v>
      </c>
      <c r="I13" s="1">
        <f>IF(ISNUMBER(Main_M[[#This Row],[BVPS]]),IF(Main_M[[#This Row],[BVPS]]&lt;&gt;0,Main_M[[#This Row],[Current Price]]/Main_M[[#This Row],[BVPS]],""),"")</f>
        <v>0.4034381858083394</v>
      </c>
      <c r="J13">
        <v>-9.6</v>
      </c>
      <c r="K13">
        <v>-2.33</v>
      </c>
      <c r="L13">
        <v>2.16</v>
      </c>
      <c r="M13" s="1">
        <f>IF(ISNUMBER(Main_M[[#This Row],[EPS]]),IF(Main_M[[#This Row],[EPS]]&lt;&gt;0,Main_M[[#This Row],[Current Price]]/Main_M[[#This Row],[EPS]],""),"")</f>
        <v>-22.06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-1.9378241291797911</v>
      </c>
      <c r="P13" s="1">
        <f>(Main_M[[#This Row],[P/B]]-VLOOKUP(Main_M[[#This Row],[Industry]], Mean_PB_M, 2, FALSE))/(VLOOKUP(Main_M[[#This Row],[Industry]], Mean_PB_M, 3, FALSE))</f>
        <v>-0.78025225667558784</v>
      </c>
      <c r="Q13" s="1">
        <f>(Main_M[[#This Row],[ROE]]-VLOOKUP(Main_M[[#This Row],[Industry]], Mean_ROE_M, 2, FALSE))/(VLOOKUP(Main_M[[#This Row],[Industry]], Mean_ROE_M, 3, FALSE))</f>
        <v>-9.4803649416815201</v>
      </c>
      <c r="R13" s="1">
        <f>(Main_M[[#This Row],[ROA]]-VLOOKUP(Main_M[[#This Row],[Industry]], Mean_ROA_M, 2, FALSE))/(VLOOKUP(Main_M[[#This Row],[Industry]], Mean_ROA_M, 3, FALSE))</f>
        <v>-2.2908864279985703</v>
      </c>
      <c r="S13" s="1">
        <f>(Main_M[[#This Row],[A/E]]-VLOOKUP(Main_M[[#This Row],[Industry]], Mean_AE_M, 2, FALSE))/(VLOOKUP(Main_M[[#This Row],[Industry]], Mean_AE_M, 3, FALSE))</f>
        <v>-0.37623619168382522</v>
      </c>
      <c r="T13" s="1">
        <f>(Main_M[[#This Row],[P/E]]-VLOOKUP(Main_M[[#This Row],[Industry]], Mean_PE_M, 2, FALSE))/(VLOOKUP(Main_M[[#This Row],[Industry]], Mean_PE_M, 3, FALSE))</f>
        <v>-1.7307251211150754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" spans="1:26" x14ac:dyDescent="0.25">
      <c r="A14" s="67" t="s">
        <v>105</v>
      </c>
      <c r="B14" s="67" t="s">
        <v>113</v>
      </c>
      <c r="C14" s="2">
        <v>3312</v>
      </c>
      <c r="D14">
        <f>RTD("tos.rtd", , "LAST", Main_M[[#This Row],[Symbol]])</f>
        <v>26.44</v>
      </c>
      <c r="E14">
        <v>0.67</v>
      </c>
      <c r="F14">
        <v>1.79</v>
      </c>
      <c r="G14">
        <v>0.16</v>
      </c>
      <c r="H14" s="1">
        <f>IF(ISNUMBER(Main_M[[#This Row],[Free CF]]),IF(Main_M[[#This Row],[Free CF]]&lt;&gt;0,Main_M[[#This Row],[Current Price]]/Main_M[[#This Row],[Free CF]],""),"")</f>
        <v>39.462686567164177</v>
      </c>
      <c r="I14" s="1">
        <f>IF(ISNUMBER(Main_M[[#This Row],[BVPS]]),IF(Main_M[[#This Row],[BVPS]]&lt;&gt;0,Main_M[[#This Row],[Current Price]]/Main_M[[#This Row],[BVPS]],""),"")</f>
        <v>14.770949720670391</v>
      </c>
      <c r="J14">
        <v>13.22</v>
      </c>
      <c r="K14">
        <v>3.77</v>
      </c>
      <c r="L14">
        <v>5.76</v>
      </c>
      <c r="M14" s="1">
        <f>IF(ISNUMBER(Main_M[[#This Row],[EPS]]),IF(Main_M[[#This Row],[EPS]]&lt;&gt;0,Main_M[[#This Row],[Current Price]]/Main_M[[#This Row],[EPS]],""),"")</f>
        <v>165.25</v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>
        <f>(Main_M[[#This Row],[P/FCF]]-VLOOKUP(Main_M[[#This Row],[Industry]], Mean_PFCF_M, 2, FALSE))/(VLOOKUP(Main_M[[#This Row],[Industry]], Mean_PFCF_M, 3, FALSE))</f>
        <v>0.99760534894290487</v>
      </c>
      <c r="P14" s="1">
        <f>(Main_M[[#This Row],[P/B]]-VLOOKUP(Main_M[[#This Row],[Industry]], Mean_PB_M, 2, FALSE))/(VLOOKUP(Main_M[[#This Row],[Industry]], Mean_PB_M, 3, FALSE))</f>
        <v>2.3520604657734343</v>
      </c>
      <c r="Q14" s="1">
        <f>(Main_M[[#This Row],[ROE]]-VLOOKUP(Main_M[[#This Row],[Industry]], Mean_ROE_M, 2, FALSE))/(VLOOKUP(Main_M[[#This Row],[Industry]], Mean_ROE_M, 3, FALSE))</f>
        <v>0.79228121070082969</v>
      </c>
      <c r="R14" s="1">
        <f>(Main_M[[#This Row],[ROA]]-VLOOKUP(Main_M[[#This Row],[Industry]], Mean_ROA_M, 2, FALSE))/(VLOOKUP(Main_M[[#This Row],[Industry]], Mean_ROA_M, 3, FALSE))</f>
        <v>9.6980140413862655E-3</v>
      </c>
      <c r="S14" s="1">
        <f>(Main_M[[#This Row],[A/E]]-VLOOKUP(Main_M[[#This Row],[Industry]], Mean_AE_M, 2, FALSE))/(VLOOKUP(Main_M[[#This Row],[Industry]], Mean_AE_M, 3, FALSE))</f>
        <v>2.1057407796335572</v>
      </c>
      <c r="T14" s="1">
        <f>(Main_M[[#This Row],[P/E]]-VLOOKUP(Main_M[[#This Row],[Industry]], Mean_PE_M, 2, FALSE))/(VLOOKUP(Main_M[[#This Row],[Industry]], Mean_PE_M, 3, FALSE))</f>
        <v>7.3862741411149919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5" spans="1:26" x14ac:dyDescent="0.25">
      <c r="A15" s="67" t="s">
        <v>105</v>
      </c>
      <c r="B15" s="67" t="s">
        <v>111</v>
      </c>
      <c r="C15" s="2">
        <v>9728</v>
      </c>
      <c r="D15">
        <f>RTD("tos.rtd", , "LAST", Main_M[[#This Row],[Symbol]])</f>
        <v>11.33</v>
      </c>
      <c r="E15">
        <v>0.66</v>
      </c>
      <c r="F15">
        <v>8.2200000000000006</v>
      </c>
      <c r="G15">
        <v>-6.69</v>
      </c>
      <c r="H15" s="1">
        <f>IF(ISNUMBER(Main_M[[#This Row],[Free CF]]),IF(Main_M[[#This Row],[Free CF]]&lt;&gt;0,Main_M[[#This Row],[Current Price]]/Main_M[[#This Row],[Free CF]],""),"")</f>
        <v>17.166666666666664</v>
      </c>
      <c r="I15" s="1">
        <f>IF(ISNUMBER(Main_M[[#This Row],[BVPS]]),IF(Main_M[[#This Row],[BVPS]]&lt;&gt;0,Main_M[[#This Row],[Current Price]]/Main_M[[#This Row],[BVPS]],""),"")</f>
        <v>1.3783454987834549</v>
      </c>
      <c r="J15">
        <v>-66.209999999999994</v>
      </c>
      <c r="K15">
        <v>-0.59</v>
      </c>
      <c r="L15">
        <v>9.8800000000000008</v>
      </c>
      <c r="M15" s="1">
        <f>IF(ISNUMBER(Main_M[[#This Row],[EPS]]),IF(Main_M[[#This Row],[EPS]]&lt;&gt;0,Main_M[[#This Row],[Current Price]]/Main_M[[#This Row],[EPS]],""),"")</f>
        <v>-1.6935724962630792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1.8076918217737278E-3</v>
      </c>
      <c r="P15" s="1">
        <f>(Main_M[[#This Row],[P/B]]-VLOOKUP(Main_M[[#This Row],[Industry]], Mean_PB_M, 2, FALSE))/(VLOOKUP(Main_M[[#This Row],[Industry]], Mean_PB_M, 3, FALSE))</f>
        <v>-0.56770921662088814</v>
      </c>
      <c r="Q15" s="1">
        <f>(Main_M[[#This Row],[ROE]]-VLOOKUP(Main_M[[#This Row],[Industry]], Mean_ROE_M, 2, FALSE))/(VLOOKUP(Main_M[[#This Row],[Industry]], Mean_ROE_M, 3, FALSE))</f>
        <v>-34.963910019962178</v>
      </c>
      <c r="R15" s="1">
        <f>(Main_M[[#This Row],[ROA]]-VLOOKUP(Main_M[[#This Row],[Industry]], Mean_ROA_M, 2, FALSE))/(VLOOKUP(Main_M[[#This Row],[Industry]], Mean_ROA_M, 3, FALSE))</f>
        <v>-1.6346541445314351</v>
      </c>
      <c r="S15" s="1">
        <f>(Main_M[[#This Row],[A/E]]-VLOOKUP(Main_M[[#This Row],[Industry]], Mean_AE_M, 2, FALSE))/(VLOOKUP(Main_M[[#This Row],[Industry]], Mean_AE_M, 3, FALSE))</f>
        <v>4.9462255356967848</v>
      </c>
      <c r="T15" s="1">
        <f>(Main_M[[#This Row],[P/E]]-VLOOKUP(Main_M[[#This Row],[Industry]], Mean_PE_M, 2, FALSE))/(VLOOKUP(Main_M[[#This Row],[Industry]], Mean_PE_M, 3, FALSE))</f>
        <v>-0.73942351134607387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" spans="1:26" x14ac:dyDescent="0.25">
      <c r="A16" s="67" t="s">
        <v>105</v>
      </c>
      <c r="B16" s="67" t="s">
        <v>114</v>
      </c>
      <c r="C16" s="2">
        <v>2039</v>
      </c>
      <c r="D16">
        <f>RTD("tos.rtd", , "LAST", Main_M[[#This Row],[Symbol]])</f>
        <v>75.33</v>
      </c>
      <c r="E16">
        <v>-0.18</v>
      </c>
      <c r="F16">
        <v>54.17</v>
      </c>
      <c r="G16">
        <v>3.99</v>
      </c>
      <c r="H16" s="1">
        <f>IF(ISNUMBER(Main_M[[#This Row],[Free CF]]),IF(Main_M[[#This Row],[Free CF]]&lt;&gt;0,Main_M[[#This Row],[Current Price]]/Main_M[[#This Row],[Free CF]],""),"")</f>
        <v>-418.5</v>
      </c>
      <c r="I16" s="1">
        <f>IF(ISNUMBER(Main_M[[#This Row],[BVPS]]),IF(Main_M[[#This Row],[BVPS]]&lt;&gt;0,Main_M[[#This Row],[Current Price]]/Main_M[[#This Row],[BVPS]],""),"")</f>
        <v>1.3906221155621192</v>
      </c>
      <c r="J16">
        <v>7.54</v>
      </c>
      <c r="K16">
        <v>3.87</v>
      </c>
      <c r="L16">
        <v>1.43</v>
      </c>
      <c r="M16" s="1">
        <f>IF(ISNUMBER(Main_M[[#This Row],[EPS]]),IF(Main_M[[#This Row],[EPS]]&lt;&gt;0,Main_M[[#This Row],[Current Price]]/Main_M[[#This Row],[EPS]],""),"")</f>
        <v>18.8796992481203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-19.456187407238883</v>
      </c>
      <c r="P16" s="1">
        <f>(Main_M[[#This Row],[P/B]]-VLOOKUP(Main_M[[#This Row],[Industry]], Mean_PB_M, 2, FALSE))/(VLOOKUP(Main_M[[#This Row],[Industry]], Mean_PB_M, 3, FALSE))</f>
        <v>-0.56503274736376363</v>
      </c>
      <c r="Q16" s="1">
        <f>(Main_M[[#This Row],[ROE]]-VLOOKUP(Main_M[[#This Row],[Industry]], Mean_ROE_M, 2, FALSE))/(VLOOKUP(Main_M[[#This Row],[Industry]], Mean_ROE_M, 3, FALSE))</f>
        <v>-1.7646263329245757</v>
      </c>
      <c r="R16" s="1">
        <f>(Main_M[[#This Row],[ROA]]-VLOOKUP(Main_M[[#This Row],[Industry]], Mean_ROA_M, 2, FALSE))/(VLOOKUP(Main_M[[#This Row],[Industry]], Mean_ROA_M, 3, FALSE))</f>
        <v>4.7412513091221652E-2</v>
      </c>
      <c r="S16" s="1">
        <f>(Main_M[[#This Row],[A/E]]-VLOOKUP(Main_M[[#This Row],[Industry]], Mean_AE_M, 2, FALSE))/(VLOOKUP(Main_M[[#This Row],[Industry]], Mean_AE_M, 3, FALSE))</f>
        <v>-0.87952596642318348</v>
      </c>
      <c r="T16" s="1">
        <f>(Main_M[[#This Row],[P/E]]-VLOOKUP(Main_M[[#This Row],[Industry]], Mean_PE_M, 2, FALSE))/(VLOOKUP(Main_M[[#This Row],[Industry]], Mean_PE_M, 3, FALSE))</f>
        <v>0.26194589399908619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s="67" t="s">
        <v>107</v>
      </c>
      <c r="B17" s="67" t="s">
        <v>243</v>
      </c>
      <c r="C17" s="2">
        <v>3714</v>
      </c>
      <c r="D17">
        <f>RTD("tos.rtd", , "LAST", Main_M[[#This Row],[Symbol]])</f>
        <v>5.25</v>
      </c>
      <c r="E17">
        <v>0.14000000000000001</v>
      </c>
      <c r="F17">
        <v>1.05</v>
      </c>
      <c r="G17">
        <v>0.15</v>
      </c>
      <c r="H17" s="1">
        <f>IF(ISNUMBER(Main_M[[#This Row],[Free CF]]),IF(Main_M[[#This Row],[Free CF]]&lt;&gt;0,Main_M[[#This Row],[Current Price]]/Main_M[[#This Row],[Free CF]],""),"")</f>
        <v>37.499999999999993</v>
      </c>
      <c r="I17" s="1">
        <f>IF(ISNUMBER(Main_M[[#This Row],[BVPS]]),IF(Main_M[[#This Row],[BVPS]]&lt;&gt;0,Main_M[[#This Row],[Current Price]]/Main_M[[#This Row],[BVPS]],""),"")</f>
        <v>5</v>
      </c>
      <c r="J17">
        <v>12.47</v>
      </c>
      <c r="K17">
        <v>7.22</v>
      </c>
      <c r="L17">
        <v>1.38</v>
      </c>
      <c r="M17" s="1">
        <f>IF(ISNUMBER(Main_M[[#This Row],[EPS]]),IF(Main_M[[#This Row],[EPS]]&lt;&gt;0,Main_M[[#This Row],[Current Price]]/Main_M[[#This Row],[EPS]],""),"")</f>
        <v>35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>
        <f>(Main_M[[#This Row],[P/FCF]]-VLOOKUP(Main_M[[#This Row],[Industry]], Mean_PFCF_M, 2, FALSE))/(VLOOKUP(Main_M[[#This Row],[Industry]], Mean_PFCF_M, 3, FALSE))</f>
        <v>2.1928305896122868</v>
      </c>
      <c r="P17" s="1">
        <f>(Main_M[[#This Row],[P/B]]-VLOOKUP(Main_M[[#This Row],[Industry]], Mean_PB_M, 2, FALSE))/(VLOOKUP(Main_M[[#This Row],[Industry]], Mean_PB_M, 3, FALSE))</f>
        <v>3.5953454654633559</v>
      </c>
      <c r="Q17" s="1">
        <f>(Main_M[[#This Row],[ROE]]-VLOOKUP(Main_M[[#This Row],[Industry]], Mean_ROE_M, 2, FALSE))/(VLOOKUP(Main_M[[#This Row],[Industry]], Mean_ROE_M, 3, FALSE))</f>
        <v>0.38249882943353214</v>
      </c>
      <c r="R17" s="1">
        <f>(Main_M[[#This Row],[ROA]]-VLOOKUP(Main_M[[#This Row],[Industry]], Mean_ROA_M, 2, FALSE))/(VLOOKUP(Main_M[[#This Row],[Industry]], Mean_ROA_M, 3, FALSE))</f>
        <v>0.73655674491690759</v>
      </c>
      <c r="S17" s="1">
        <f>(Main_M[[#This Row],[A/E]]-VLOOKUP(Main_M[[#This Row],[Industry]], Mean_AE_M, 2, FALSE))/(VLOOKUP(Main_M[[#This Row],[Industry]], Mean_AE_M, 3, FALSE))</f>
        <v>-0.8151565765948442</v>
      </c>
      <c r="T17" s="1">
        <f>(Main_M[[#This Row],[P/E]]-VLOOKUP(Main_M[[#This Row],[Industry]], Mean_PE_M, 2, FALSE))/(VLOOKUP(Main_M[[#This Row],[Industry]], Mean_PE_M, 3, FALSE))</f>
        <v>1.4240472555394406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" spans="1:26" x14ac:dyDescent="0.25">
      <c r="A18" s="67" t="s">
        <v>107</v>
      </c>
      <c r="B18" s="67" t="s">
        <v>245</v>
      </c>
      <c r="C18" s="2">
        <v>2812</v>
      </c>
      <c r="D18">
        <f>RTD("tos.rtd", , "LAST", Main_M[[#This Row],[Symbol]])</f>
        <v>11.86</v>
      </c>
      <c r="E18">
        <v>-0.1</v>
      </c>
      <c r="F18">
        <v>27.24</v>
      </c>
      <c r="G18">
        <v>2.4</v>
      </c>
      <c r="H18" s="1">
        <f>IF(ISNUMBER(Main_M[[#This Row],[Free CF]]),IF(Main_M[[#This Row],[Free CF]]&lt;&gt;0,Main_M[[#This Row],[Current Price]]/Main_M[[#This Row],[Free CF]],""),"")</f>
        <v>-118.6</v>
      </c>
      <c r="I18" s="1">
        <f>IF(ISNUMBER(Main_M[[#This Row],[BVPS]]),IF(Main_M[[#This Row],[BVPS]]&lt;&gt;0,Main_M[[#This Row],[Current Price]]/Main_M[[#This Row],[BVPS]],""),"")</f>
        <v>0.43538913362701909</v>
      </c>
      <c r="J18">
        <v>2.12</v>
      </c>
      <c r="K18">
        <v>1.66</v>
      </c>
      <c r="L18">
        <v>1.62</v>
      </c>
      <c r="M18" s="1">
        <f>IF(ISNUMBER(Main_M[[#This Row],[EPS]]),IF(Main_M[[#This Row],[EPS]]&lt;&gt;0,Main_M[[#This Row],[Current Price]]/Main_M[[#This Row],[EPS]],""),"")</f>
        <v>4.9416666666666664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-13.145647765966494</v>
      </c>
      <c r="P18" s="1">
        <f>(Main_M[[#This Row],[P/B]]-VLOOKUP(Main_M[[#This Row],[Industry]], Mean_PB_M, 2, FALSE))/(VLOOKUP(Main_M[[#This Row],[Industry]], Mean_PB_M, 3, FALSE))</f>
        <v>-1.4595627552705361</v>
      </c>
      <c r="Q18" s="1">
        <f>(Main_M[[#This Row],[ROE]]-VLOOKUP(Main_M[[#This Row],[Industry]], Mean_ROE_M, 2, FALSE))/(VLOOKUP(Main_M[[#This Row],[Industry]], Mean_ROE_M, 3, FALSE))</f>
        <v>-1.0738108473932657</v>
      </c>
      <c r="R18" s="1">
        <f>(Main_M[[#This Row],[ROA]]-VLOOKUP(Main_M[[#This Row],[Industry]], Mean_ROA_M, 2, FALSE))/(VLOOKUP(Main_M[[#This Row],[Industry]], Mean_ROA_M, 3, FALSE))</f>
        <v>-1.3652761706158345</v>
      </c>
      <c r="S18" s="1">
        <f>(Main_M[[#This Row],[A/E]]-VLOOKUP(Main_M[[#This Row],[Industry]], Mean_AE_M, 2, FALSE))/(VLOOKUP(Main_M[[#This Row],[Industry]], Mean_AE_M, 3, FALSE))</f>
        <v>-0.56021048679563346</v>
      </c>
      <c r="T18" s="1">
        <f>(Main_M[[#This Row],[P/E]]-VLOOKUP(Main_M[[#This Row],[Industry]], Mean_PE_M, 2, FALSE))/(VLOOKUP(Main_M[[#This Row],[Industry]], Mean_PE_M, 3, FALSE))</f>
        <v>-1.3425480525761362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9" spans="1:26" x14ac:dyDescent="0.25">
      <c r="A19" s="67" t="s">
        <v>107</v>
      </c>
      <c r="B19" s="67" t="s">
        <v>124</v>
      </c>
      <c r="C19" s="2">
        <v>5617</v>
      </c>
      <c r="D19">
        <f>RTD("tos.rtd", , "LAST", Main_M[[#This Row],[Symbol]])</f>
        <v>3.71</v>
      </c>
      <c r="E19">
        <v>1.05</v>
      </c>
      <c r="F19">
        <v>1.76</v>
      </c>
      <c r="G19">
        <v>0.41</v>
      </c>
      <c r="H19" s="1">
        <f>IF(ISNUMBER(Main_M[[#This Row],[Free CF]]),IF(Main_M[[#This Row],[Free CF]]&lt;&gt;0,Main_M[[#This Row],[Current Price]]/Main_M[[#This Row],[Free CF]],""),"")</f>
        <v>3.5333333333333332</v>
      </c>
      <c r="I19" s="1">
        <f>IF(ISNUMBER(Main_M[[#This Row],[BVPS]]),IF(Main_M[[#This Row],[BVPS]]&lt;&gt;0,Main_M[[#This Row],[Current Price]]/Main_M[[#This Row],[BVPS]],""),"")</f>
        <v>2.1079545454545454</v>
      </c>
      <c r="J19">
        <v>25.63</v>
      </c>
      <c r="K19">
        <v>7.71</v>
      </c>
      <c r="L19">
        <v>3.92</v>
      </c>
      <c r="M19" s="1">
        <f>IF(ISNUMBER(Main_M[[#This Row],[EPS]]),IF(Main_M[[#This Row],[EPS]]&lt;&gt;0,Main_M[[#This Row],[Current Price]]/Main_M[[#This Row],[EPS]],""),"")</f>
        <v>9.0487804878048781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-1.1447541732181155</v>
      </c>
      <c r="P19" s="1">
        <f>(Main_M[[#This Row],[P/B]]-VLOOKUP(Main_M[[#This Row],[Industry]], Mean_PB_M, 2, FALSE))/(VLOOKUP(Main_M[[#This Row],[Industry]], Mean_PB_M, 3, FALSE))</f>
        <v>0.39265748813438933</v>
      </c>
      <c r="Q19" s="1">
        <f>(Main_M[[#This Row],[ROE]]-VLOOKUP(Main_M[[#This Row],[Industry]], Mean_ROE_M, 2, FALSE))/(VLOOKUP(Main_M[[#This Row],[Industry]], Mean_ROE_M, 3, FALSE))</f>
        <v>2.234193065862581</v>
      </c>
      <c r="R19" s="1">
        <f>(Main_M[[#This Row],[ROA]]-VLOOKUP(Main_M[[#This Row],[Industry]], Mean_ROA_M, 2, FALSE))/(VLOOKUP(Main_M[[#This Row],[Industry]], Mean_ROA_M, 3, FALSE))</f>
        <v>0.92179022128580046</v>
      </c>
      <c r="S19" s="1">
        <f>(Main_M[[#This Row],[A/E]]-VLOOKUP(Main_M[[#This Row],[Industry]], Mean_AE_M, 2, FALSE))/(VLOOKUP(Main_M[[#This Row],[Industry]], Mean_AE_M, 3, FALSE))</f>
        <v>1.8830228737801336</v>
      </c>
      <c r="T19" s="1">
        <f>(Main_M[[#This Row],[P/E]]-VLOOKUP(Main_M[[#This Row],[Industry]], Mean_PE_M, 2, FALSE))/(VLOOKUP(Main_M[[#This Row],[Industry]], Mean_PE_M, 3, FALSE))</f>
        <v>-0.96452570178741603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s="67" t="s">
        <v>107</v>
      </c>
      <c r="B20" s="67" t="s">
        <v>246</v>
      </c>
      <c r="C20" s="2">
        <v>5629</v>
      </c>
      <c r="D20">
        <f>RTD("tos.rtd", , "LAST", Main_M[[#This Row],[Symbol]])</f>
        <v>10.352</v>
      </c>
      <c r="E20">
        <v>-677.75</v>
      </c>
      <c r="F20">
        <v>549.96</v>
      </c>
      <c r="G20">
        <v>28.99</v>
      </c>
      <c r="H20" s="1">
        <f>IF(ISNUMBER(Main_M[[#This Row],[Free CF]]),IF(Main_M[[#This Row],[Free CF]]&lt;&gt;0,Main_M[[#This Row],[Current Price]]/Main_M[[#This Row],[Free CF]],""),"")</f>
        <v>-1.5274068609369237E-2</v>
      </c>
      <c r="I20" s="1">
        <f>IF(ISNUMBER(Main_M[[#This Row],[BVPS]]),IF(Main_M[[#This Row],[BVPS]]&lt;&gt;0,Main_M[[#This Row],[Current Price]]/Main_M[[#This Row],[BVPS]],""),"")</f>
        <v>1.8823187140882974E-2</v>
      </c>
      <c r="J20">
        <v>5.15</v>
      </c>
      <c r="K20">
        <v>3.94</v>
      </c>
      <c r="L20">
        <v>6.56</v>
      </c>
      <c r="M20" s="1">
        <f>IF(ISNUMBER(Main_M[[#This Row],[EPS]]),IF(Main_M[[#This Row],[EPS]]&lt;&gt;0,Main_M[[#This Row],[Current Price]]/Main_M[[#This Row],[EPS]],""),"")</f>
        <v>0.35708865125905487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-1.4934424360441552</v>
      </c>
      <c r="P20" s="1">
        <f>(Main_M[[#This Row],[P/B]]-VLOOKUP(Main_M[[#This Row],[Industry]], Mean_PB_M, 2, FALSE))/(VLOOKUP(Main_M[[#This Row],[Industry]], Mean_PB_M, 3, FALSE))</f>
        <v>-1.9208731909273975</v>
      </c>
      <c r="Q20" s="1">
        <f>(Main_M[[#This Row],[ROE]]-VLOOKUP(Main_M[[#This Row],[Industry]], Mean_ROE_M, 2, FALSE))/(VLOOKUP(Main_M[[#This Row],[Industry]], Mean_ROE_M, 3, FALSE))</f>
        <v>-0.6474709130178844</v>
      </c>
      <c r="R20" s="1">
        <f>(Main_M[[#This Row],[ROA]]-VLOOKUP(Main_M[[#This Row],[Industry]], Mean_ROA_M, 2, FALSE))/(VLOOKUP(Main_M[[#This Row],[Industry]], Mean_ROA_M, 3, FALSE))</f>
        <v>-0.50337346424629281</v>
      </c>
      <c r="S20" s="1">
        <f>(Main_M[[#This Row],[A/E]]-VLOOKUP(Main_M[[#This Row],[Industry]], Mean_AE_M, 2, FALSE))/(VLOOKUP(Main_M[[#This Row],[Industry]], Mean_AE_M, 3, FALSE))</f>
        <v>4.6874298615714487</v>
      </c>
      <c r="T20" s="1">
        <f>(Main_M[[#This Row],[P/E]]-VLOOKUP(Main_M[[#This Row],[Industry]], Mean_PE_M, 2, FALSE))/(VLOOKUP(Main_M[[#This Row],[Industry]], Mean_PE_M, 3, FALSE))</f>
        <v>-1.764516625698948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1" spans="1:26" x14ac:dyDescent="0.25">
      <c r="A21" s="67" t="s">
        <v>107</v>
      </c>
      <c r="B21" s="67" t="s">
        <v>125</v>
      </c>
      <c r="C21" s="2">
        <v>4652</v>
      </c>
      <c r="D21">
        <f>RTD("tos.rtd", , "LAST", Main_M[[#This Row],[Symbol]])</f>
        <v>97.55</v>
      </c>
      <c r="E21">
        <v>17.61</v>
      </c>
      <c r="F21">
        <v>48.56</v>
      </c>
      <c r="G21">
        <v>20.239999999999998</v>
      </c>
      <c r="H21" s="1">
        <f>IF(ISNUMBER(Main_M[[#This Row],[Free CF]]),IF(Main_M[[#This Row],[Free CF]]&lt;&gt;0,Main_M[[#This Row],[Current Price]]/Main_M[[#This Row],[Free CF]],""),"")</f>
        <v>5.5394662123793301</v>
      </c>
      <c r="I21" s="1">
        <f>IF(ISNUMBER(Main_M[[#This Row],[BVPS]]),IF(Main_M[[#This Row],[BVPS]]&lt;&gt;0,Main_M[[#This Row],[Current Price]]/Main_M[[#This Row],[BVPS]],""),"")</f>
        <v>2.0088550247116967</v>
      </c>
      <c r="J21">
        <v>48.15</v>
      </c>
      <c r="K21">
        <v>29.82</v>
      </c>
      <c r="L21">
        <v>1.29</v>
      </c>
      <c r="M21" s="1">
        <f>IF(ISNUMBER(Main_M[[#This Row],[EPS]]),IF(Main_M[[#This Row],[EPS]]&lt;&gt;0,Main_M[[#This Row],[Current Price]]/Main_M[[#This Row],[EPS]],""),"")</f>
        <v>4.8196640316205537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-0.94763036960721259</v>
      </c>
      <c r="P21" s="1">
        <f>(Main_M[[#This Row],[P/B]]-VLOOKUP(Main_M[[#This Row],[Industry]], Mean_PB_M, 2, FALSE))/(VLOOKUP(Main_M[[#This Row],[Industry]], Mean_PB_M, 3, FALSE))</f>
        <v>0.28291341646243579</v>
      </c>
      <c r="Q21" s="1">
        <f>(Main_M[[#This Row],[ROE]]-VLOOKUP(Main_M[[#This Row],[Industry]], Mean_ROE_M, 2, FALSE))/(VLOOKUP(Main_M[[#This Row],[Industry]], Mean_ROE_M, 3, FALSE))</f>
        <v>5.4028977926393429</v>
      </c>
      <c r="R21" s="1">
        <f>(Main_M[[#This Row],[ROA]]-VLOOKUP(Main_M[[#This Row],[Industry]], Mean_ROA_M, 2, FALSE))/(VLOOKUP(Main_M[[#This Row],[Industry]], Mean_ROA_M, 3, FALSE))</f>
        <v>9.2799783080535931</v>
      </c>
      <c r="S21" s="1">
        <f>(Main_M[[#This Row],[A/E]]-VLOOKUP(Main_M[[#This Row],[Industry]], Mean_AE_M, 2, FALSE))/(VLOOKUP(Main_M[[#This Row],[Industry]], Mean_AE_M, 3, FALSE))</f>
        <v>-0.91076136026954801</v>
      </c>
      <c r="T21" s="1">
        <f>(Main_M[[#This Row],[P/E]]-VLOOKUP(Main_M[[#This Row],[Industry]], Mean_PE_M, 2, FALSE))/(VLOOKUP(Main_M[[#This Row],[Industry]], Mean_PE_M, 3, FALSE))</f>
        <v>-1.3537772818867979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2" spans="1:26" x14ac:dyDescent="0.25">
      <c r="A22" s="67" t="s">
        <v>107</v>
      </c>
      <c r="B22" s="67" t="s">
        <v>122</v>
      </c>
      <c r="C22" s="2">
        <v>4928</v>
      </c>
      <c r="D22">
        <f>RTD("tos.rtd", , "LAST", Main_M[[#This Row],[Symbol]])</f>
        <v>31.35</v>
      </c>
      <c r="E22">
        <v>3.28</v>
      </c>
      <c r="F22">
        <v>28.13</v>
      </c>
      <c r="G22">
        <v>1.08</v>
      </c>
      <c r="H22" s="1">
        <f>IF(ISNUMBER(Main_M[[#This Row],[Free CF]]),IF(Main_M[[#This Row],[Free CF]]&lt;&gt;0,Main_M[[#This Row],[Current Price]]/Main_M[[#This Row],[Free CF]],""),"")</f>
        <v>9.5579268292682933</v>
      </c>
      <c r="I22" s="1">
        <f>IF(ISNUMBER(Main_M[[#This Row],[BVPS]]),IF(Main_M[[#This Row],[BVPS]]&lt;&gt;0,Main_M[[#This Row],[Current Price]]/Main_M[[#This Row],[BVPS]],""),"")</f>
        <v>1.1144685389264131</v>
      </c>
      <c r="J22">
        <v>3.91</v>
      </c>
      <c r="K22">
        <v>1.84</v>
      </c>
      <c r="L22">
        <v>2.2599999999999998</v>
      </c>
      <c r="M22" s="1">
        <f>IF(ISNUMBER(Main_M[[#This Row],[EPS]]),IF(Main_M[[#This Row],[EPS]]&lt;&gt;0,Main_M[[#This Row],[Current Price]]/Main_M[[#This Row],[EPS]],""),"")</f>
        <v>29.027777777777779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-0.55277405189486706</v>
      </c>
      <c r="P22" s="1">
        <f>(Main_M[[#This Row],[P/B]]-VLOOKUP(Main_M[[#This Row],[Industry]], Mean_PB_M, 2, FALSE))/(VLOOKUP(Main_M[[#This Row],[Industry]], Mean_PB_M, 3, FALSE))</f>
        <v>-0.70754157123769335</v>
      </c>
      <c r="Q22" s="1">
        <f>(Main_M[[#This Row],[ROE]]-VLOOKUP(Main_M[[#This Row],[Industry]], Mean_ROE_M, 2, FALSE))/(VLOOKUP(Main_M[[#This Row],[Industry]], Mean_ROE_M, 3, FALSE))</f>
        <v>-0.82194666173916253</v>
      </c>
      <c r="R22" s="1">
        <f>(Main_M[[#This Row],[ROA]]-VLOOKUP(Main_M[[#This Row],[Industry]], Mean_ROA_M, 2, FALSE))/(VLOOKUP(Main_M[[#This Row],[Industry]], Mean_ROA_M, 3, FALSE))</f>
        <v>-1.2972312201129761</v>
      </c>
      <c r="S22" s="1">
        <f>(Main_M[[#This Row],[A/E]]-VLOOKUP(Main_M[[#This Row],[Industry]], Mean_AE_M, 2, FALSE))/(VLOOKUP(Main_M[[#This Row],[Industry]], Mean_AE_M, 3, FALSE))</f>
        <v>0.11964575266892749</v>
      </c>
      <c r="T22" s="1">
        <f>(Main_M[[#This Row],[P/E]]-VLOOKUP(Main_M[[#This Row],[Industry]], Mean_PE_M, 2, FALSE))/(VLOOKUP(Main_M[[#This Row],[Industry]], Mean_PE_M, 3, FALSE))</f>
        <v>0.8743586951061636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s="67" t="s">
        <v>107</v>
      </c>
      <c r="B23" s="67" t="s">
        <v>126</v>
      </c>
      <c r="C23" s="2">
        <v>3568</v>
      </c>
      <c r="D23">
        <f>RTD("tos.rtd", , "LAST", Main_M[[#This Row],[Symbol]])</f>
        <v>16.760000000000002</v>
      </c>
      <c r="E23">
        <v>1.51</v>
      </c>
      <c r="F23">
        <v>6.7</v>
      </c>
      <c r="G23">
        <v>1.08</v>
      </c>
      <c r="H23" s="1">
        <f>IF(ISNUMBER(Main_M[[#This Row],[Free CF]]),IF(Main_M[[#This Row],[Free CF]]&lt;&gt;0,Main_M[[#This Row],[Current Price]]/Main_M[[#This Row],[Free CF]],""),"")</f>
        <v>11.099337748344372</v>
      </c>
      <c r="I23" s="1">
        <f>IF(ISNUMBER(Main_M[[#This Row],[BVPS]]),IF(Main_M[[#This Row],[BVPS]]&lt;&gt;0,Main_M[[#This Row],[Current Price]]/Main_M[[#This Row],[BVPS]],""),"")</f>
        <v>2.5014925373134331</v>
      </c>
      <c r="J23">
        <v>16.34</v>
      </c>
      <c r="K23">
        <v>6.14</v>
      </c>
      <c r="L23">
        <v>3.06</v>
      </c>
      <c r="M23" s="1">
        <f>IF(ISNUMBER(Main_M[[#This Row],[EPS]]),IF(Main_M[[#This Row],[EPS]]&lt;&gt;0,Main_M[[#This Row],[Current Price]]/Main_M[[#This Row],[EPS]],""),"")</f>
        <v>15.518518518518519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-0.40131410302041981</v>
      </c>
      <c r="P23" s="1">
        <f>(Main_M[[#This Row],[P/B]]-VLOOKUP(Main_M[[#This Row],[Industry]], Mean_PB_M, 2, FALSE))/(VLOOKUP(Main_M[[#This Row],[Industry]], Mean_PB_M, 3, FALSE))</f>
        <v>0.82846647349030567</v>
      </c>
      <c r="Q23" s="1">
        <f>(Main_M[[#This Row],[ROE]]-VLOOKUP(Main_M[[#This Row],[Industry]], Mean_ROE_M, 2, FALSE))/(VLOOKUP(Main_M[[#This Row],[Industry]], Mean_ROE_M, 3, FALSE))</f>
        <v>0.92703201294268256</v>
      </c>
      <c r="R23" s="1">
        <f>(Main_M[[#This Row],[ROA]]-VLOOKUP(Main_M[[#This Row],[Industry]], Mean_ROA_M, 2, FALSE))/(VLOOKUP(Main_M[[#This Row],[Industry]], Mean_ROA_M, 3, FALSE))</f>
        <v>0.32828704189975616</v>
      </c>
      <c r="S23" s="1">
        <f>(Main_M[[#This Row],[A/E]]-VLOOKUP(Main_M[[#This Row],[Industry]], Mean_AE_M, 2, FALSE))/(VLOOKUP(Main_M[[#This Row],[Industry]], Mean_AE_M, 3, FALSE))</f>
        <v>0.96946605199962943</v>
      </c>
      <c r="T23" s="1">
        <f>(Main_M[[#This Row],[P/E]]-VLOOKUP(Main_M[[#This Row],[Industry]], Mean_PE_M, 2, FALSE))/(VLOOKUP(Main_M[[#This Row],[Industry]], Mean_PE_M, 3, FALSE))</f>
        <v>-0.36904535089717139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s="67" t="s">
        <v>107</v>
      </c>
      <c r="B24" s="67" t="s">
        <v>127</v>
      </c>
      <c r="C24" s="2">
        <v>3910</v>
      </c>
      <c r="D24">
        <f>RTD("tos.rtd", , "LAST", Main_M[[#This Row],[Symbol]])</f>
        <v>77.44</v>
      </c>
      <c r="E24">
        <v>-0.28000000000000003</v>
      </c>
      <c r="F24">
        <v>21.52</v>
      </c>
      <c r="G24">
        <v>0.31</v>
      </c>
      <c r="H24" s="1">
        <f>IF(ISNUMBER(Main_M[[#This Row],[Free CF]]),IF(Main_M[[#This Row],[Free CF]]&lt;&gt;0,Main_M[[#This Row],[Current Price]]/Main_M[[#This Row],[Free CF]],""),"")</f>
        <v>-276.57142857142856</v>
      </c>
      <c r="I24" s="1">
        <f>IF(ISNUMBER(Main_M[[#This Row],[BVPS]]),IF(Main_M[[#This Row],[BVPS]]&lt;&gt;0,Main_M[[#This Row],[Current Price]]/Main_M[[#This Row],[BVPS]],""),"")</f>
        <v>3.5985130111524164</v>
      </c>
      <c r="J24">
        <v>1.54</v>
      </c>
      <c r="K24">
        <v>1.46</v>
      </c>
      <c r="L24">
        <v>1.49</v>
      </c>
      <c r="M24" s="1">
        <f>IF(ISNUMBER(Main_M[[#This Row],[EPS]]),IF(Main_M[[#This Row],[EPS]]&lt;&gt;0,Main_M[[#This Row],[Current Price]]/Main_M[[#This Row],[EPS]],""),"")</f>
        <v>249.80645161290323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-28.668013800192735</v>
      </c>
      <c r="P24" s="1">
        <f>(Main_M[[#This Row],[P/B]]-VLOOKUP(Main_M[[#This Row],[Industry]], Mean_PB_M, 2, FALSE))/(VLOOKUP(Main_M[[#This Row],[Industry]], Mean_PB_M, 3, FALSE))</f>
        <v>2.0433209208593026</v>
      </c>
      <c r="Q24" s="1">
        <f>(Main_M[[#This Row],[ROE]]-VLOOKUP(Main_M[[#This Row],[Industry]], Mean_ROE_M, 2, FALSE))/(VLOOKUP(Main_M[[#This Row],[Industry]], Mean_ROE_M, 3, FALSE))</f>
        <v>-1.1554204717951542</v>
      </c>
      <c r="R24" s="1">
        <f>(Main_M[[#This Row],[ROA]]-VLOOKUP(Main_M[[#This Row],[Industry]], Mean_ROA_M, 2, FALSE))/(VLOOKUP(Main_M[[#This Row],[Industry]], Mean_ROA_M, 3, FALSE))</f>
        <v>-1.4408816711745664</v>
      </c>
      <c r="S24" s="1">
        <f>(Main_M[[#This Row],[A/E]]-VLOOKUP(Main_M[[#This Row],[Industry]], Mean_AE_M, 2, FALSE))/(VLOOKUP(Main_M[[#This Row],[Industry]], Mean_AE_M, 3, FALSE))</f>
        <v>-0.69830628543687268</v>
      </c>
      <c r="T24" s="1">
        <f>(Main_M[[#This Row],[P/E]]-VLOOKUP(Main_M[[#This Row],[Industry]], Mean_PE_M, 2, FALSE))/(VLOOKUP(Main_M[[#This Row],[Industry]], Mean_PE_M, 3, FALSE))</f>
        <v>21.195021068188634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25" spans="1:26" x14ac:dyDescent="0.25">
      <c r="A25" s="67" t="s">
        <v>107</v>
      </c>
      <c r="B25" s="67" t="s">
        <v>123</v>
      </c>
      <c r="C25" s="2">
        <v>8947</v>
      </c>
      <c r="D25">
        <f>RTD("tos.rtd", , "LAST", Main_M[[#This Row],[Symbol]])</f>
        <v>138.21</v>
      </c>
      <c r="E25">
        <v>14.97</v>
      </c>
      <c r="F25">
        <v>61.85</v>
      </c>
      <c r="G25">
        <v>9.4700000000000006</v>
      </c>
      <c r="H25" s="1">
        <f>IF(ISNUMBER(Main_M[[#This Row],[Free CF]]),IF(Main_M[[#This Row],[Free CF]]&lt;&gt;0,Main_M[[#This Row],[Current Price]]/Main_M[[#This Row],[Free CF]],""),"")</f>
        <v>9.2324649298597201</v>
      </c>
      <c r="I25" s="1">
        <f>IF(ISNUMBER(Main_M[[#This Row],[BVPS]]),IF(Main_M[[#This Row],[BVPS]]&lt;&gt;0,Main_M[[#This Row],[Current Price]]/Main_M[[#This Row],[BVPS]],""),"")</f>
        <v>2.2345998383185126</v>
      </c>
      <c r="J25">
        <v>16.309999999999999</v>
      </c>
      <c r="K25">
        <v>9.07</v>
      </c>
      <c r="L25">
        <v>1.88</v>
      </c>
      <c r="M25" s="1">
        <f>IF(ISNUMBER(Main_M[[#This Row],[EPS]]),IF(Main_M[[#This Row],[EPS]]&lt;&gt;0,Main_M[[#This Row],[Current Price]]/Main_M[[#This Row],[EPS]],""),"")</f>
        <v>14.594508975712777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-0.58475413068823001</v>
      </c>
      <c r="P25" s="1">
        <f>(Main_M[[#This Row],[P/B]]-VLOOKUP(Main_M[[#This Row],[Industry]], Mean_PB_M, 2, FALSE))/(VLOOKUP(Main_M[[#This Row],[Industry]], Mean_PB_M, 3, FALSE))</f>
        <v>0.53290609875122463</v>
      </c>
      <c r="Q25" s="1">
        <f>(Main_M[[#This Row],[ROE]]-VLOOKUP(Main_M[[#This Row],[Industry]], Mean_ROE_M, 2, FALSE))/(VLOOKUP(Main_M[[#This Row],[Industry]], Mean_ROE_M, 3, FALSE))</f>
        <v>0.92281082547361915</v>
      </c>
      <c r="R25" s="1">
        <f>(Main_M[[#This Row],[ROA]]-VLOOKUP(Main_M[[#This Row],[Industry]], Mean_ROA_M, 2, FALSE))/(VLOOKUP(Main_M[[#This Row],[Industry]], Mean_ROA_M, 3, FALSE))</f>
        <v>1.4359076250851763</v>
      </c>
      <c r="S25" s="1">
        <f>(Main_M[[#This Row],[A/E]]-VLOOKUP(Main_M[[#This Row],[Industry]], Mean_AE_M, 2, FALSE))/(VLOOKUP(Main_M[[#This Row],[Industry]], Mean_AE_M, 3, FALSE))</f>
        <v>-0.28401888951315568</v>
      </c>
      <c r="T25" s="1">
        <f>(Main_M[[#This Row],[P/E]]-VLOOKUP(Main_M[[#This Row],[Industry]], Mean_PE_M, 2, FALSE))/(VLOOKUP(Main_M[[#This Row],[Industry]], Mean_PE_M, 3, FALSE))</f>
        <v>-0.45409199794281763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6" spans="1:26" x14ac:dyDescent="0.25">
      <c r="A26" s="67" t="s">
        <v>107</v>
      </c>
      <c r="B26" s="67" t="s">
        <v>128</v>
      </c>
      <c r="C26" s="2">
        <v>2241</v>
      </c>
      <c r="D26">
        <f>RTD("tos.rtd", , "LAST", Main_M[[#This Row],[Symbol]])</f>
        <v>118.78</v>
      </c>
      <c r="E26">
        <v>4.29</v>
      </c>
      <c r="F26">
        <v>48.07</v>
      </c>
      <c r="G26">
        <v>3.89</v>
      </c>
      <c r="H26" s="1">
        <f>IF(ISNUMBER(Main_M[[#This Row],[Free CF]]),IF(Main_M[[#This Row],[Free CF]]&lt;&gt;0,Main_M[[#This Row],[Current Price]]/Main_M[[#This Row],[Free CF]],""),"")</f>
        <v>27.687645687645688</v>
      </c>
      <c r="I26" s="1">
        <f>IF(ISNUMBER(Main_M[[#This Row],[BVPS]]),IF(Main_M[[#This Row],[BVPS]]&lt;&gt;0,Main_M[[#This Row],[Current Price]]/Main_M[[#This Row],[BVPS]],""),"")</f>
        <v>2.4709798210942377</v>
      </c>
      <c r="J26">
        <v>8.1999999999999993</v>
      </c>
      <c r="K26">
        <v>4.95</v>
      </c>
      <c r="L26">
        <v>1.45</v>
      </c>
      <c r="M26" s="1">
        <f>IF(ISNUMBER(Main_M[[#This Row],[EPS]]),IF(Main_M[[#This Row],[EPS]]&lt;&gt;0,Main_M[[#This Row],[Current Price]]/Main_M[[#This Row],[EPS]],""),"")</f>
        <v>30.534704370179949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6" s="1">
        <f>(Main_M[[#This Row],[P/FCF]]-VLOOKUP(Main_M[[#This Row],[Industry]], Mean_PFCF_M, 2, FALSE))/(VLOOKUP(Main_M[[#This Row],[Industry]], Mean_PFCF_M, 3, FALSE))</f>
        <v>1.228662849462917</v>
      </c>
      <c r="P26" s="1">
        <f>(Main_M[[#This Row],[P/B]]-VLOOKUP(Main_M[[#This Row],[Industry]], Mean_PB_M, 2, FALSE))/(VLOOKUP(Main_M[[#This Row],[Industry]], Mean_PB_M, 3, FALSE))</f>
        <v>0.79467630285613533</v>
      </c>
      <c r="Q26" s="1">
        <f>(Main_M[[#This Row],[ROE]]-VLOOKUP(Main_M[[#This Row],[Industry]], Mean_ROE_M, 2, FALSE))/(VLOOKUP(Main_M[[#This Row],[Industry]], Mean_ROE_M, 3, FALSE))</f>
        <v>-0.21831685366312764</v>
      </c>
      <c r="R26" s="1">
        <f>(Main_M[[#This Row],[ROA]]-VLOOKUP(Main_M[[#This Row],[Industry]], Mean_ROA_M, 2, FALSE))/(VLOOKUP(Main_M[[#This Row],[Industry]], Mean_ROA_M, 3, FALSE))</f>
        <v>-0.12156568642469749</v>
      </c>
      <c r="S26" s="1">
        <f>(Main_M[[#This Row],[A/E]]-VLOOKUP(Main_M[[#This Row],[Industry]], Mean_AE_M, 2, FALSE))/(VLOOKUP(Main_M[[#This Row],[Industry]], Mean_AE_M, 3, FALSE))</f>
        <v>-0.74079730040340774</v>
      </c>
      <c r="T26" s="1">
        <f>(Main_M[[#This Row],[P/E]]-VLOOKUP(Main_M[[#This Row],[Industry]], Mean_PE_M, 2, FALSE))/(VLOOKUP(Main_M[[#This Row],[Industry]], Mean_PE_M, 3, FALSE))</f>
        <v>1.0130575375862669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s="67" t="s">
        <v>107</v>
      </c>
      <c r="B27" s="67" t="s">
        <v>129</v>
      </c>
      <c r="C27" s="2">
        <v>4615</v>
      </c>
      <c r="D27">
        <f>RTD("tos.rtd", , "LAST", Main_M[[#This Row],[Symbol]])</f>
        <v>170.3</v>
      </c>
      <c r="E27">
        <v>5.39</v>
      </c>
      <c r="F27">
        <v>36.14</v>
      </c>
      <c r="G27">
        <v>6.15</v>
      </c>
      <c r="H27" s="1">
        <f>IF(ISNUMBER(Main_M[[#This Row],[Free CF]]),IF(Main_M[[#This Row],[Free CF]]&lt;&gt;0,Main_M[[#This Row],[Current Price]]/Main_M[[#This Row],[Free CF]],""),"")</f>
        <v>31.595547309833027</v>
      </c>
      <c r="I27" s="1">
        <f>IF(ISNUMBER(Main_M[[#This Row],[BVPS]]),IF(Main_M[[#This Row],[BVPS]]&lt;&gt;0,Main_M[[#This Row],[Current Price]]/Main_M[[#This Row],[BVPS]],""),"")</f>
        <v>4.7122302158273381</v>
      </c>
      <c r="J27">
        <v>17.77</v>
      </c>
      <c r="K27">
        <v>11.69</v>
      </c>
      <c r="L27">
        <v>1.28</v>
      </c>
      <c r="M27" s="1">
        <f>IF(ISNUMBER(Main_M[[#This Row],[EPS]]),IF(Main_M[[#This Row],[EPS]]&lt;&gt;0,Main_M[[#This Row],[Current Price]]/Main_M[[#This Row],[EPS]],""),"")</f>
        <v>27.691056910569106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7" s="1">
        <f>(Main_M[[#This Row],[P/FCF]]-VLOOKUP(Main_M[[#This Row],[Industry]], Mean_PFCF_M, 2, FALSE))/(VLOOKUP(Main_M[[#This Row],[Industry]], Mean_PFCF_M, 3, FALSE))</f>
        <v>1.6126555749443503</v>
      </c>
      <c r="P27" s="1">
        <f>(Main_M[[#This Row],[P/B]]-VLOOKUP(Main_M[[#This Row],[Industry]], Mean_PB_M, 2, FALSE))/(VLOOKUP(Main_M[[#This Row],[Industry]], Mean_PB_M, 3, FALSE))</f>
        <v>3.276665540651043</v>
      </c>
      <c r="Q27" s="1">
        <f>(Main_M[[#This Row],[ROE]]-VLOOKUP(Main_M[[#This Row],[Industry]], Mean_ROE_M, 2, FALSE))/(VLOOKUP(Main_M[[#This Row],[Industry]], Mean_ROE_M, 3, FALSE))</f>
        <v>1.1282419489680275</v>
      </c>
      <c r="R27" s="1">
        <f>(Main_M[[#This Row],[ROA]]-VLOOKUP(Main_M[[#This Row],[Industry]], Mean_ROA_M, 2, FALSE))/(VLOOKUP(Main_M[[#This Row],[Industry]], Mean_ROA_M, 3, FALSE))</f>
        <v>2.4263396824045618</v>
      </c>
      <c r="S27" s="1">
        <f>(Main_M[[#This Row],[A/E]]-VLOOKUP(Main_M[[#This Row],[Industry]], Mean_AE_M, 2, FALSE))/(VLOOKUP(Main_M[[#This Row],[Industry]], Mean_AE_M, 3, FALSE))</f>
        <v>-0.92138411401118181</v>
      </c>
      <c r="T27" s="1">
        <f>(Main_M[[#This Row],[P/E]]-VLOOKUP(Main_M[[#This Row],[Industry]], Mean_PE_M, 2, FALSE))/(VLOOKUP(Main_M[[#This Row],[Industry]], Mean_PE_M, 3, FALSE))</f>
        <v>0.75132573654293555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8" spans="1:26" x14ac:dyDescent="0.25">
      <c r="A28" s="67" t="s">
        <v>107</v>
      </c>
      <c r="B28" s="67" t="s">
        <v>130</v>
      </c>
      <c r="C28" s="2">
        <v>7871</v>
      </c>
      <c r="D28">
        <f>RTD("tos.rtd", , "LAST", Main_M[[#This Row],[Symbol]])</f>
        <v>55.67</v>
      </c>
      <c r="E28">
        <v>0.6</v>
      </c>
      <c r="F28">
        <v>11.58</v>
      </c>
      <c r="G28">
        <v>2.5499999999999998</v>
      </c>
      <c r="H28" s="1">
        <f>IF(ISNUMBER(Main_M[[#This Row],[Free CF]]),IF(Main_M[[#This Row],[Free CF]]&lt;&gt;0,Main_M[[#This Row],[Current Price]]/Main_M[[#This Row],[Free CF]],""),"")</f>
        <v>92.783333333333346</v>
      </c>
      <c r="I28" s="1">
        <f>IF(ISNUMBER(Main_M[[#This Row],[BVPS]]),IF(Main_M[[#This Row],[BVPS]]&lt;&gt;0,Main_M[[#This Row],[Current Price]]/Main_M[[#This Row],[BVPS]],""),"")</f>
        <v>4.8074265975820385</v>
      </c>
      <c r="J28">
        <v>21.64</v>
      </c>
      <c r="K28">
        <v>7.37</v>
      </c>
      <c r="L28">
        <v>4.54</v>
      </c>
      <c r="M28" s="1">
        <f>IF(ISNUMBER(Main_M[[#This Row],[EPS]]),IF(Main_M[[#This Row],[EPS]]&lt;&gt;0,Main_M[[#This Row],[Current Price]]/Main_M[[#This Row],[EPS]],""),"")</f>
        <v>21.831372549019608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7.6250036309805163</v>
      </c>
      <c r="P28" s="1">
        <f>(Main_M[[#This Row],[P/B]]-VLOOKUP(Main_M[[#This Row],[Industry]], Mean_PB_M, 2, FALSE))/(VLOOKUP(Main_M[[#This Row],[Industry]], Mean_PB_M, 3, FALSE))</f>
        <v>3.3820872264865156</v>
      </c>
      <c r="Q28" s="1">
        <f>(Main_M[[#This Row],[ROE]]-VLOOKUP(Main_M[[#This Row],[Industry]], Mean_ROE_M, 2, FALSE))/(VLOOKUP(Main_M[[#This Row],[Industry]], Mean_ROE_M, 3, FALSE))</f>
        <v>1.672775132477178</v>
      </c>
      <c r="R28" s="1">
        <f>(Main_M[[#This Row],[ROA]]-VLOOKUP(Main_M[[#This Row],[Industry]], Mean_ROA_M, 2, FALSE))/(VLOOKUP(Main_M[[#This Row],[Industry]], Mean_ROA_M, 3, FALSE))</f>
        <v>0.79326087033595649</v>
      </c>
      <c r="S28" s="1">
        <f>(Main_M[[#This Row],[A/E]]-VLOOKUP(Main_M[[#This Row],[Industry]], Mean_AE_M, 2, FALSE))/(VLOOKUP(Main_M[[#This Row],[Industry]], Mean_AE_M, 3, FALSE))</f>
        <v>2.5416336057614277</v>
      </c>
      <c r="T28" s="1">
        <f>(Main_M[[#This Row],[P/E]]-VLOOKUP(Main_M[[#This Row],[Industry]], Mean_PE_M, 2, FALSE))/(VLOOKUP(Main_M[[#This Row],[Industry]], Mean_PE_M, 3, FALSE))</f>
        <v>0.21199525930308882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9" spans="1:26" x14ac:dyDescent="0.25">
      <c r="A29" s="67" t="s">
        <v>107</v>
      </c>
      <c r="B29" s="67" t="s">
        <v>248</v>
      </c>
      <c r="C29" s="2">
        <v>2465</v>
      </c>
      <c r="D29">
        <f>RTD("tos.rtd", , "LAST", Main_M[[#This Row],[Symbol]])</f>
        <v>20.12</v>
      </c>
      <c r="E29">
        <v>1.63</v>
      </c>
      <c r="F29">
        <v>8.82</v>
      </c>
      <c r="G29">
        <v>0.53</v>
      </c>
      <c r="H29" s="1">
        <f>IF(ISNUMBER(Main_M[[#This Row],[Free CF]]),IF(Main_M[[#This Row],[Free CF]]&lt;&gt;0,Main_M[[#This Row],[Current Price]]/Main_M[[#This Row],[Free CF]],""),"")</f>
        <v>12.343558282208591</v>
      </c>
      <c r="I29" s="1">
        <f>IF(ISNUMBER(Main_M[[#This Row],[BVPS]]),IF(Main_M[[#This Row],[BVPS]]&lt;&gt;0,Main_M[[#This Row],[Current Price]]/Main_M[[#This Row],[BVPS]],""),"")</f>
        <v>2.2811791383219955</v>
      </c>
      <c r="J29">
        <v>6.05</v>
      </c>
      <c r="K29">
        <v>4.12</v>
      </c>
      <c r="L29">
        <v>2.82</v>
      </c>
      <c r="M29" s="1">
        <f>IF(ISNUMBER(Main_M[[#This Row],[EPS]]),IF(Main_M[[#This Row],[EPS]]&lt;&gt;0,Main_M[[#This Row],[Current Price]]/Main_M[[#This Row],[EPS]],""),"")</f>
        <v>37.962264150943398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-0.27905625722770361</v>
      </c>
      <c r="P29" s="1">
        <f>(Main_M[[#This Row],[P/B]]-VLOOKUP(Main_M[[#This Row],[Industry]], Mean_PB_M, 2, FALSE))/(VLOOKUP(Main_M[[#This Row],[Industry]], Mean_PB_M, 3, FALSE))</f>
        <v>0.58448860893587185</v>
      </c>
      <c r="Q29" s="1">
        <f>(Main_M[[#This Row],[ROE]]-VLOOKUP(Main_M[[#This Row],[Industry]], Mean_ROE_M, 2, FALSE))/(VLOOKUP(Main_M[[#This Row],[Industry]], Mean_ROE_M, 3, FALSE))</f>
        <v>-0.52083528894598896</v>
      </c>
      <c r="R29" s="1">
        <f>(Main_M[[#This Row],[ROA]]-VLOOKUP(Main_M[[#This Row],[Industry]], Mean_ROA_M, 2, FALSE))/(VLOOKUP(Main_M[[#This Row],[Industry]], Mean_ROA_M, 3, FALSE))</f>
        <v>-0.43532851374343423</v>
      </c>
      <c r="S29" s="1">
        <f>(Main_M[[#This Row],[A/E]]-VLOOKUP(Main_M[[#This Row],[Industry]], Mean_AE_M, 2, FALSE))/(VLOOKUP(Main_M[[#This Row],[Industry]], Mean_AE_M, 3, FALSE))</f>
        <v>0.71451996220041869</v>
      </c>
      <c r="T29" s="1">
        <f>(Main_M[[#This Row],[P/E]]-VLOOKUP(Main_M[[#This Row],[Industry]], Mean_PE_M, 2, FALSE))/(VLOOKUP(Main_M[[#This Row],[Industry]], Mean_PE_M, 3, FALSE))</f>
        <v>1.6966966406705404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0" spans="1:26" x14ac:dyDescent="0.25">
      <c r="A30" s="67" t="s">
        <v>107</v>
      </c>
      <c r="B30" s="67" t="s">
        <v>131</v>
      </c>
      <c r="C30" s="2">
        <v>2670</v>
      </c>
      <c r="D30">
        <f>RTD("tos.rtd", , "LAST", Main_M[[#This Row],[Symbol]])</f>
        <v>17.38</v>
      </c>
      <c r="E30">
        <v>2.08</v>
      </c>
      <c r="F30">
        <v>18.420000000000002</v>
      </c>
      <c r="G30">
        <v>1.52</v>
      </c>
      <c r="H30" s="1">
        <f>IF(ISNUMBER(Main_M[[#This Row],[Free CF]]),IF(Main_M[[#This Row],[Free CF]]&lt;&gt;0,Main_M[[#This Row],[Current Price]]/Main_M[[#This Row],[Free CF]],""),"")</f>
        <v>8.3557692307692299</v>
      </c>
      <c r="I30" s="1">
        <f>IF(ISNUMBER(Main_M[[#This Row],[BVPS]]),IF(Main_M[[#This Row],[BVPS]]&lt;&gt;0,Main_M[[#This Row],[Current Price]]/Main_M[[#This Row],[BVPS]],""),"")</f>
        <v>0.94353963083604764</v>
      </c>
      <c r="J30">
        <v>8.61</v>
      </c>
      <c r="K30">
        <v>4.3499999999999996</v>
      </c>
      <c r="L30">
        <v>2.4500000000000002</v>
      </c>
      <c r="M30" s="1">
        <f>IF(ISNUMBER(Main_M[[#This Row],[EPS]]),IF(Main_M[[#This Row],[EPS]]&lt;&gt;0,Main_M[[#This Row],[Current Price]]/Main_M[[#This Row],[EPS]],""),"")</f>
        <v>11.434210526315789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-0.67089876877233312</v>
      </c>
      <c r="P30" s="1">
        <f>(Main_M[[#This Row],[P/B]]-VLOOKUP(Main_M[[#This Row],[Industry]], Mean_PB_M, 2, FALSE))/(VLOOKUP(Main_M[[#This Row],[Industry]], Mean_PB_M, 3, FALSE))</f>
        <v>-0.89683042147294034</v>
      </c>
      <c r="Q30" s="1">
        <f>(Main_M[[#This Row],[ROE]]-VLOOKUP(Main_M[[#This Row],[Industry]], Mean_ROE_M, 2, FALSE))/(VLOOKUP(Main_M[[#This Row],[Industry]], Mean_ROE_M, 3, FALSE))</f>
        <v>-0.16062729158593081</v>
      </c>
      <c r="R30" s="1">
        <f>(Main_M[[#This Row],[ROA]]-VLOOKUP(Main_M[[#This Row],[Industry]], Mean_ROA_M, 2, FALSE))/(VLOOKUP(Main_M[[#This Row],[Industry]], Mean_ROA_M, 3, FALSE))</f>
        <v>-0.34838218810089289</v>
      </c>
      <c r="S30" s="1">
        <f>(Main_M[[#This Row],[A/E]]-VLOOKUP(Main_M[[#This Row],[Industry]], Mean_AE_M, 2, FALSE))/(VLOOKUP(Main_M[[#This Row],[Industry]], Mean_AE_M, 3, FALSE))</f>
        <v>0.32147807375996956</v>
      </c>
      <c r="T30" s="1">
        <f>(Main_M[[#This Row],[P/E]]-VLOOKUP(Main_M[[#This Row],[Industry]], Mean_PE_M, 2, FALSE))/(VLOOKUP(Main_M[[#This Row],[Industry]], Mean_PE_M, 3, FALSE))</f>
        <v>-0.74496863323020235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1" spans="1:26" x14ac:dyDescent="0.25">
      <c r="A31" s="67" t="s">
        <v>107</v>
      </c>
      <c r="B31" s="67" t="s">
        <v>132</v>
      </c>
      <c r="C31" s="2">
        <v>6162</v>
      </c>
      <c r="D31">
        <f>RTD("tos.rtd", , "LAST", Main_M[[#This Row],[Symbol]])</f>
        <v>110.12</v>
      </c>
      <c r="E31">
        <v>8.57</v>
      </c>
      <c r="F31">
        <v>68.75</v>
      </c>
      <c r="G31">
        <v>5.65</v>
      </c>
      <c r="H31" s="1">
        <f>IF(ISNUMBER(Main_M[[#This Row],[Free CF]]),IF(Main_M[[#This Row],[Free CF]]&lt;&gt;0,Main_M[[#This Row],[Current Price]]/Main_M[[#This Row],[Free CF]],""),"")</f>
        <v>12.849474912485414</v>
      </c>
      <c r="I31" s="1">
        <f>IF(ISNUMBER(Main_M[[#This Row],[BVPS]]),IF(Main_M[[#This Row],[BVPS]]&lt;&gt;0,Main_M[[#This Row],[Current Price]]/Main_M[[#This Row],[BVPS]],""),"")</f>
        <v>1.6017454545454546</v>
      </c>
      <c r="J31">
        <v>9.1300000000000008</v>
      </c>
      <c r="K31">
        <v>4.0599999999999996</v>
      </c>
      <c r="L31">
        <v>3.34</v>
      </c>
      <c r="M31" s="1">
        <f>IF(ISNUMBER(Main_M[[#This Row],[EPS]]),IF(Main_M[[#This Row],[EPS]]&lt;&gt;0,Main_M[[#This Row],[Current Price]]/Main_M[[#This Row],[EPS]],""),"")</f>
        <v>19.490265486725665</v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1" s="1">
        <f>(Main_M[[#This Row],[P/FCF]]-VLOOKUP(Main_M[[#This Row],[Industry]], Mean_PFCF_M, 2, FALSE))/(VLOOKUP(Main_M[[#This Row],[Industry]], Mean_PFCF_M, 3, FALSE))</f>
        <v>-0.22934458981432493</v>
      </c>
      <c r="P31" s="1">
        <f>(Main_M[[#This Row],[P/B]]-VLOOKUP(Main_M[[#This Row],[Industry]], Mean_PB_M, 2, FALSE))/(VLOOKUP(Main_M[[#This Row],[Industry]], Mean_PB_M, 3, FALSE))</f>
        <v>-0.16792490759561871</v>
      </c>
      <c r="Q31" s="1">
        <f>(Main_M[[#This Row],[ROE]]-VLOOKUP(Main_M[[#This Row],[Industry]], Mean_ROE_M, 2, FALSE))/(VLOOKUP(Main_M[[#This Row],[Industry]], Mean_ROE_M, 3, FALSE))</f>
        <v>-8.7460042122168791E-2</v>
      </c>
      <c r="R31" s="1">
        <f>(Main_M[[#This Row],[ROA]]-VLOOKUP(Main_M[[#This Row],[Industry]], Mean_ROA_M, 2, FALSE))/(VLOOKUP(Main_M[[#This Row],[Industry]], Mean_ROA_M, 3, FALSE))</f>
        <v>-0.45801016391105392</v>
      </c>
      <c r="S31" s="1">
        <f>(Main_M[[#This Row],[A/E]]-VLOOKUP(Main_M[[#This Row],[Industry]], Mean_AE_M, 2, FALSE))/(VLOOKUP(Main_M[[#This Row],[Industry]], Mean_AE_M, 3, FALSE))</f>
        <v>1.2669031567653748</v>
      </c>
      <c r="T31" s="1">
        <f>(Main_M[[#This Row],[P/E]]-VLOOKUP(Main_M[[#This Row],[Industry]], Mean_PE_M, 2, FALSE))/(VLOOKUP(Main_M[[#This Row],[Industry]], Mean_PE_M, 3, FALSE))</f>
        <v>-3.482283730079948E-3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2" spans="1:26" x14ac:dyDescent="0.25">
      <c r="A32" s="67" t="s">
        <v>107</v>
      </c>
      <c r="B32" s="67" t="s">
        <v>133</v>
      </c>
      <c r="C32" s="2">
        <v>8170</v>
      </c>
      <c r="D32">
        <f>RTD("tos.rtd", , "LAST", Main_M[[#This Row],[Symbol]])</f>
        <v>19.46</v>
      </c>
      <c r="E32">
        <v>1.04</v>
      </c>
      <c r="F32">
        <v>11.51</v>
      </c>
      <c r="G32">
        <v>-0.26</v>
      </c>
      <c r="H32" s="1">
        <f>IF(ISNUMBER(Main_M[[#This Row],[Free CF]]),IF(Main_M[[#This Row],[Free CF]]&lt;&gt;0,Main_M[[#This Row],[Current Price]]/Main_M[[#This Row],[Free CF]],""),"")</f>
        <v>18.711538461538463</v>
      </c>
      <c r="I32" s="1">
        <f>IF(ISNUMBER(Main_M[[#This Row],[BVPS]]),IF(Main_M[[#This Row],[BVPS]]&lt;&gt;0,Main_M[[#This Row],[Current Price]]/Main_M[[#This Row],[BVPS]],""),"")</f>
        <v>1.690703735881842</v>
      </c>
      <c r="J32">
        <v>-2.2799999999999998</v>
      </c>
      <c r="K32">
        <v>4.25</v>
      </c>
      <c r="L32">
        <v>1.98</v>
      </c>
      <c r="M32" s="1">
        <f>IF(ISNUMBER(Main_M[[#This Row],[EPS]]),IF(Main_M[[#This Row],[EPS]]&lt;&gt;0,Main_M[[#This Row],[Current Price]]/Main_M[[#This Row],[EPS]],""),"")</f>
        <v>-74.846153846153854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0.34666524276849076</v>
      </c>
      <c r="P32" s="1">
        <f>(Main_M[[#This Row],[P/B]]-VLOOKUP(Main_M[[#This Row],[Industry]], Mean_PB_M, 2, FALSE))/(VLOOKUP(Main_M[[#This Row],[Industry]], Mean_PB_M, 3, FALSE))</f>
        <v>-6.9411373628817843E-2</v>
      </c>
      <c r="Q32" s="1">
        <f>(Main_M[[#This Row],[ROE]]-VLOOKUP(Main_M[[#This Row],[Industry]], Mean_ROE_M, 2, FALSE))/(VLOOKUP(Main_M[[#This Row],[Industry]], Mean_ROE_M, 3, FALSE))</f>
        <v>-1.6929183428558658</v>
      </c>
      <c r="R32" s="1">
        <f>(Main_M[[#This Row],[ROA]]-VLOOKUP(Main_M[[#This Row],[Industry]], Mean_ROA_M, 2, FALSE))/(VLOOKUP(Main_M[[#This Row],[Industry]], Mean_ROA_M, 3, FALSE))</f>
        <v>-0.38618493838025864</v>
      </c>
      <c r="S32" s="1">
        <f>(Main_M[[#This Row],[A/E]]-VLOOKUP(Main_M[[#This Row],[Industry]], Mean_AE_M, 2, FALSE))/(VLOOKUP(Main_M[[#This Row],[Industry]], Mean_AE_M, 3, FALSE))</f>
        <v>-0.17779135209681787</v>
      </c>
      <c r="T32" s="1">
        <f>(Main_M[[#This Row],[P/E]]-VLOOKUP(Main_M[[#This Row],[Industry]], Mean_PE_M, 2, FALSE))/(VLOOKUP(Main_M[[#This Row],[Industry]], Mean_PE_M, 3, FALSE))</f>
        <v>-8.6862888856963032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3" spans="1:26" x14ac:dyDescent="0.25">
      <c r="A33" s="67" t="s">
        <v>107</v>
      </c>
      <c r="B33" s="67" t="s">
        <v>134</v>
      </c>
      <c r="C33" s="2">
        <v>2600</v>
      </c>
      <c r="D33">
        <f>RTD("tos.rtd", , "LAST", Main_M[[#This Row],[Symbol]])</f>
        <v>2705.14</v>
      </c>
      <c r="E33">
        <v>-37.07</v>
      </c>
      <c r="F33">
        <v>4886.4399999999996</v>
      </c>
      <c r="G33">
        <v>100.92</v>
      </c>
      <c r="H33" s="1">
        <f>IF(ISNUMBER(Main_M[[#This Row],[Free CF]]),IF(Main_M[[#This Row],[Free CF]]&lt;&gt;0,Main_M[[#This Row],[Current Price]]/Main_M[[#This Row],[Free CF]],""),"")</f>
        <v>-72.973833288373342</v>
      </c>
      <c r="I33" s="1">
        <f>IF(ISNUMBER(Main_M[[#This Row],[BVPS]]),IF(Main_M[[#This Row],[BVPS]]&lt;&gt;0,Main_M[[#This Row],[Current Price]]/Main_M[[#This Row],[BVPS]],""),"")</f>
        <v>0.55360139488052651</v>
      </c>
      <c r="J33">
        <v>2.12</v>
      </c>
      <c r="K33">
        <v>1.73</v>
      </c>
      <c r="L33">
        <v>1.61</v>
      </c>
      <c r="M33" s="1">
        <f>IF(ISNUMBER(Main_M[[#This Row],[EPS]]),IF(Main_M[[#This Row],[EPS]]&lt;&gt;0,Main_M[[#This Row],[Current Price]]/Main_M[[#This Row],[EPS]],""),"")</f>
        <v>26.804795877923105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-8.6623936304487827</v>
      </c>
      <c r="P33" s="1">
        <f>(Main_M[[#This Row],[P/B]]-VLOOKUP(Main_M[[#This Row],[Industry]], Mean_PB_M, 2, FALSE))/(VLOOKUP(Main_M[[#This Row],[Industry]], Mean_PB_M, 3, FALSE))</f>
        <v>-1.3286529912851759</v>
      </c>
      <c r="Q33" s="1">
        <f>(Main_M[[#This Row],[ROE]]-VLOOKUP(Main_M[[#This Row],[Industry]], Mean_ROE_M, 2, FALSE))/(VLOOKUP(Main_M[[#This Row],[Industry]], Mean_ROE_M, 3, FALSE))</f>
        <v>-1.0738108473932657</v>
      </c>
      <c r="R33" s="1">
        <f>(Main_M[[#This Row],[ROA]]-VLOOKUP(Main_M[[#This Row],[Industry]], Mean_ROA_M, 2, FALSE))/(VLOOKUP(Main_M[[#This Row],[Industry]], Mean_ROA_M, 3, FALSE))</f>
        <v>-1.3388142454202785</v>
      </c>
      <c r="S33" s="1">
        <f>(Main_M[[#This Row],[A/E]]-VLOOKUP(Main_M[[#This Row],[Industry]], Mean_AE_M, 2, FALSE))/(VLOOKUP(Main_M[[#This Row],[Industry]], Mean_AE_M, 3, FALSE))</f>
        <v>-0.57083324053726725</v>
      </c>
      <c r="T33" s="1">
        <f>(Main_M[[#This Row],[P/E]]-VLOOKUP(Main_M[[#This Row],[Industry]], Mean_PE_M, 2, FALSE))/(VLOOKUP(Main_M[[#This Row],[Industry]], Mean_PE_M, 3, FALSE))</f>
        <v>0.66975349541122187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4" spans="1:26" x14ac:dyDescent="0.25">
      <c r="A34" s="67" t="s">
        <v>107</v>
      </c>
      <c r="B34" s="67" t="s">
        <v>135</v>
      </c>
      <c r="C34" s="2">
        <v>9191</v>
      </c>
      <c r="D34">
        <f>RTD("tos.rtd", , "LAST", Main_M[[#This Row],[Symbol]])</f>
        <v>23.074999999999999</v>
      </c>
      <c r="E34">
        <v>2.0499999999999998</v>
      </c>
      <c r="F34">
        <v>15.84</v>
      </c>
      <c r="G34">
        <v>2.33</v>
      </c>
      <c r="H34" s="1">
        <f>IF(ISNUMBER(Main_M[[#This Row],[Free CF]]),IF(Main_M[[#This Row],[Free CF]]&lt;&gt;0,Main_M[[#This Row],[Current Price]]/Main_M[[#This Row],[Free CF]],""),"")</f>
        <v>11.25609756097561</v>
      </c>
      <c r="I34" s="1">
        <f>IF(ISNUMBER(Main_M[[#This Row],[BVPS]]),IF(Main_M[[#This Row],[BVPS]]&lt;&gt;0,Main_M[[#This Row],[Current Price]]/Main_M[[#This Row],[BVPS]],""),"")</f>
        <v>1.4567550505050504</v>
      </c>
      <c r="J34">
        <v>11.78</v>
      </c>
      <c r="K34">
        <v>5.24</v>
      </c>
      <c r="L34">
        <v>1.79</v>
      </c>
      <c r="M34" s="1">
        <f>IF(ISNUMBER(Main_M[[#This Row],[EPS]]),IF(Main_M[[#This Row],[EPS]]&lt;&gt;0,Main_M[[#This Row],[Current Price]]/Main_M[[#This Row],[EPS]],""),"")</f>
        <v>9.9034334763948486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YES</v>
      </c>
      <c r="O34" s="1">
        <f>(Main_M[[#This Row],[P/FCF]]-VLOOKUP(Main_M[[#This Row],[Industry]], Mean_PFCF_M, 2, FALSE))/(VLOOKUP(Main_M[[#This Row],[Industry]], Mean_PFCF_M, 3, FALSE))</f>
        <v>-0.38591079108532161</v>
      </c>
      <c r="P34" s="1">
        <f>(Main_M[[#This Row],[P/B]]-VLOOKUP(Main_M[[#This Row],[Industry]], Mean_PB_M, 2, FALSE))/(VLOOKUP(Main_M[[#This Row],[Industry]], Mean_PB_M, 3, FALSE))</f>
        <v>-0.328489128022526</v>
      </c>
      <c r="Q34" s="1">
        <f>(Main_M[[#This Row],[ROE]]-VLOOKUP(Main_M[[#This Row],[Industry]], Mean_ROE_M, 2, FALSE))/(VLOOKUP(Main_M[[#This Row],[Industry]], Mean_ROE_M, 3, FALSE))</f>
        <v>0.28541151764507877</v>
      </c>
      <c r="R34" s="1">
        <f>(Main_M[[#This Row],[ROA]]-VLOOKUP(Main_M[[#This Row],[Industry]], Mean_ROA_M, 2, FALSE))/(VLOOKUP(Main_M[[#This Row],[Industry]], Mean_ROA_M, 3, FALSE))</f>
        <v>-1.1937710614536459E-2</v>
      </c>
      <c r="S34" s="1">
        <f>(Main_M[[#This Row],[A/E]]-VLOOKUP(Main_M[[#This Row],[Industry]], Mean_AE_M, 2, FALSE))/(VLOOKUP(Main_M[[#This Row],[Industry]], Mean_AE_M, 3, FALSE))</f>
        <v>-0.3796236731878595</v>
      </c>
      <c r="T34" s="1">
        <f>(Main_M[[#This Row],[P/E]]-VLOOKUP(Main_M[[#This Row],[Industry]], Mean_PE_M, 2, FALSE))/(VLOOKUP(Main_M[[#This Row],[Industry]], Mean_PE_M, 3, FALSE))</f>
        <v>-0.88586269269509654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5" spans="1:26" x14ac:dyDescent="0.25">
      <c r="A35" s="67" t="s">
        <v>107</v>
      </c>
      <c r="B35" s="67" t="s">
        <v>136</v>
      </c>
      <c r="C35" s="2">
        <v>3486</v>
      </c>
      <c r="D35">
        <f>RTD("tos.rtd", , "LAST", Main_M[[#This Row],[Symbol]])</f>
        <v>34.119999999999997</v>
      </c>
      <c r="E35">
        <v>1.77</v>
      </c>
      <c r="F35">
        <v>17.989999999999998</v>
      </c>
      <c r="G35">
        <v>1.44</v>
      </c>
      <c r="H35" s="1">
        <f>IF(ISNUMBER(Main_M[[#This Row],[Free CF]]),IF(Main_M[[#This Row],[Free CF]]&lt;&gt;0,Main_M[[#This Row],[Current Price]]/Main_M[[#This Row],[Free CF]],""),"")</f>
        <v>19.27683615819209</v>
      </c>
      <c r="I35" s="1">
        <f>IF(ISNUMBER(Main_M[[#This Row],[BVPS]]),IF(Main_M[[#This Row],[BVPS]]&lt;&gt;0,Main_M[[#This Row],[Current Price]]/Main_M[[#This Row],[BVPS]],""),"")</f>
        <v>1.8966092273485269</v>
      </c>
      <c r="J35">
        <v>8.4</v>
      </c>
      <c r="K35">
        <v>6.75</v>
      </c>
      <c r="L35">
        <v>1.34</v>
      </c>
      <c r="M35" s="1">
        <f>IF(ISNUMBER(Main_M[[#This Row],[EPS]]),IF(Main_M[[#This Row],[EPS]]&lt;&gt;0,Main_M[[#This Row],[Current Price]]/Main_M[[#This Row],[EPS]],""),"")</f>
        <v>23.694444444444443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0.40221172889648682</v>
      </c>
      <c r="P35" s="1">
        <f>(Main_M[[#This Row],[P/B]]-VLOOKUP(Main_M[[#This Row],[Industry]], Mean_PB_M, 2, FALSE))/(VLOOKUP(Main_M[[#This Row],[Industry]], Mean_PB_M, 3, FALSE))</f>
        <v>0.15861099059436495</v>
      </c>
      <c r="Q35" s="1">
        <f>(Main_M[[#This Row],[ROE]]-VLOOKUP(Main_M[[#This Row],[Industry]], Mean_ROE_M, 2, FALSE))/(VLOOKUP(Main_M[[#This Row],[Industry]], Mean_ROE_M, 3, FALSE))</f>
        <v>-0.19017560386937296</v>
      </c>
      <c r="R35" s="1">
        <f>(Main_M[[#This Row],[ROA]]-VLOOKUP(Main_M[[#This Row],[Industry]], Mean_ROA_M, 2, FALSE))/(VLOOKUP(Main_M[[#This Row],[Industry]], Mean_ROA_M, 3, FALSE))</f>
        <v>0.55888381860388814</v>
      </c>
      <c r="S35" s="1">
        <f>(Main_M[[#This Row],[A/E]]-VLOOKUP(Main_M[[#This Row],[Industry]], Mean_AE_M, 2, FALSE))/(VLOOKUP(Main_M[[#This Row],[Industry]], Mean_AE_M, 3, FALSE))</f>
        <v>-0.85764759156137915</v>
      </c>
      <c r="T35" s="1">
        <f>(Main_M[[#This Row],[P/E]]-VLOOKUP(Main_M[[#This Row],[Industry]], Mean_PE_M, 2, FALSE))/(VLOOKUP(Main_M[[#This Row],[Industry]], Mean_PE_M, 3, FALSE))</f>
        <v>0.38347402718435331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6" spans="1:26" x14ac:dyDescent="0.25">
      <c r="A36" s="67" t="s">
        <v>107</v>
      </c>
      <c r="B36" s="67" t="s">
        <v>137</v>
      </c>
      <c r="C36" s="2">
        <v>2602</v>
      </c>
      <c r="D36">
        <f>RTD("tos.rtd", , "LAST", Main_M[[#This Row],[Symbol]])</f>
        <v>34.909999999999997</v>
      </c>
      <c r="E36">
        <v>1.43</v>
      </c>
      <c r="F36">
        <v>12.07</v>
      </c>
      <c r="G36">
        <v>1.21</v>
      </c>
      <c r="H36" s="1">
        <f>IF(ISNUMBER(Main_M[[#This Row],[Free CF]]),IF(Main_M[[#This Row],[Free CF]]&lt;&gt;0,Main_M[[#This Row],[Current Price]]/Main_M[[#This Row],[Free CF]],""),"")</f>
        <v>24.41258741258741</v>
      </c>
      <c r="I36" s="1">
        <f>IF(ISNUMBER(Main_M[[#This Row],[BVPS]]),IF(Main_M[[#This Row],[BVPS]]&lt;&gt;0,Main_M[[#This Row],[Current Price]]/Main_M[[#This Row],[BVPS]],""),"")</f>
        <v>2.8922949461474725</v>
      </c>
      <c r="J36">
        <v>10.39</v>
      </c>
      <c r="K36">
        <v>6.61</v>
      </c>
      <c r="L36">
        <v>1.3</v>
      </c>
      <c r="M36" s="1">
        <f>IF(ISNUMBER(Main_M[[#This Row],[EPS]]),IF(Main_M[[#This Row],[EPS]]&lt;&gt;0,Main_M[[#This Row],[Current Price]]/Main_M[[#This Row],[EPS]],""),"")</f>
        <v>28.851239669421485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6" s="1">
        <f>(Main_M[[#This Row],[P/FCF]]-VLOOKUP(Main_M[[#This Row],[Industry]], Mean_PFCF_M, 2, FALSE))/(VLOOKUP(Main_M[[#This Row],[Industry]], Mean_PFCF_M, 3, FALSE))</f>
        <v>0.90685368568815361</v>
      </c>
      <c r="P36" s="1">
        <f>(Main_M[[#This Row],[P/B]]-VLOOKUP(Main_M[[#This Row],[Industry]], Mean_PB_M, 2, FALSE))/(VLOOKUP(Main_M[[#This Row],[Industry]], Mean_PB_M, 3, FALSE))</f>
        <v>1.2612460393566711</v>
      </c>
      <c r="Q36" s="1">
        <f>(Main_M[[#This Row],[ROE]]-VLOOKUP(Main_M[[#This Row],[Industry]], Mean_ROE_M, 2, FALSE))/(VLOOKUP(Main_M[[#This Row],[Industry]], Mean_ROE_M, 3, FALSE))</f>
        <v>8.9829831578484828E-2</v>
      </c>
      <c r="R36" s="1">
        <f>(Main_M[[#This Row],[ROA]]-VLOOKUP(Main_M[[#This Row],[Industry]], Mean_ROA_M, 2, FALSE))/(VLOOKUP(Main_M[[#This Row],[Industry]], Mean_ROA_M, 3, FALSE))</f>
        <v>0.505959968212776</v>
      </c>
      <c r="S36" s="1">
        <f>(Main_M[[#This Row],[A/E]]-VLOOKUP(Main_M[[#This Row],[Industry]], Mean_AE_M, 2, FALSE))/(VLOOKUP(Main_M[[#This Row],[Industry]], Mean_AE_M, 3, FALSE))</f>
        <v>-0.90013860652791422</v>
      </c>
      <c r="T36" s="1">
        <f>(Main_M[[#This Row],[P/E]]-VLOOKUP(Main_M[[#This Row],[Industry]], Mean_PE_M, 2, FALSE))/(VLOOKUP(Main_M[[#This Row],[Industry]], Mean_PE_M, 3, FALSE))</f>
        <v>0.85810997310065917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7" spans="1:26" x14ac:dyDescent="0.25">
      <c r="A37" s="67" t="s">
        <v>109</v>
      </c>
      <c r="B37" s="67" t="s">
        <v>139</v>
      </c>
      <c r="C37" s="2">
        <v>2287</v>
      </c>
      <c r="D37">
        <f>RTD("tos.rtd", , "LAST", Main_M[[#This Row],[Symbol]])</f>
        <v>36.130000000000003</v>
      </c>
      <c r="E37">
        <v>5.1100000000000003</v>
      </c>
      <c r="F37">
        <v>23.92</v>
      </c>
      <c r="G37">
        <v>1.87</v>
      </c>
      <c r="H37" s="1">
        <f>IF(ISNUMBER(Main_M[[#This Row],[Free CF]]),IF(Main_M[[#This Row],[Free CF]]&lt;&gt;0,Main_M[[#This Row],[Current Price]]/Main_M[[#This Row],[Free CF]],""),"")</f>
        <v>7.0704500978473579</v>
      </c>
      <c r="I37" s="1">
        <f>IF(ISNUMBER(Main_M[[#This Row],[BVPS]]),IF(Main_M[[#This Row],[BVPS]]&lt;&gt;0,Main_M[[#This Row],[Current Price]]/Main_M[[#This Row],[BVPS]],""),"")</f>
        <v>1.5104515050167224</v>
      </c>
      <c r="J37">
        <v>8.19</v>
      </c>
      <c r="K37">
        <v>4.22</v>
      </c>
      <c r="L37">
        <v>2.35</v>
      </c>
      <c r="M37" s="1">
        <f>IF(ISNUMBER(Main_M[[#This Row],[EPS]]),IF(Main_M[[#This Row],[EPS]]&lt;&gt;0,Main_M[[#This Row],[Current Price]]/Main_M[[#This Row],[EPS]],""),"")</f>
        <v>19.320855614973262</v>
      </c>
      <c r="N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7" s="1">
        <f>(Main_M[[#This Row],[P/FCF]]-VLOOKUP(Main_M[[#This Row],[Industry]], Mean_PFCF_M, 2, FALSE))/(VLOOKUP(Main_M[[#This Row],[Industry]], Mean_PFCF_M, 3, FALSE))</f>
        <v>-0.68649437192638396</v>
      </c>
      <c r="P37" s="1">
        <f>(Main_M[[#This Row],[P/B]]-VLOOKUP(Main_M[[#This Row],[Industry]], Mean_PB_M, 2, FALSE))/(VLOOKUP(Main_M[[#This Row],[Industry]], Mean_PB_M, 3, FALSE))</f>
        <v>-0.69144803403585331</v>
      </c>
      <c r="Q37" s="1">
        <f>(Main_M[[#This Row],[ROE]]-VLOOKUP(Main_M[[#This Row],[Industry]], Mean_ROE_M, 2, FALSE))/(VLOOKUP(Main_M[[#This Row],[Industry]], Mean_ROE_M, 3, FALSE))</f>
        <v>-0.70710678118654746</v>
      </c>
      <c r="R37" s="1">
        <f>(Main_M[[#This Row],[ROA]]-VLOOKUP(Main_M[[#This Row],[Industry]], Mean_ROA_M, 2, FALSE))/(VLOOKUP(Main_M[[#This Row],[Industry]], Mean_ROA_M, 3, FALSE))</f>
        <v>-0.70710678118654768</v>
      </c>
      <c r="S37" s="1">
        <f>(Main_M[[#This Row],[A/E]]-VLOOKUP(Main_M[[#This Row],[Industry]], Mean_AE_M, 2, FALSE))/(VLOOKUP(Main_M[[#This Row],[Industry]], Mean_AE_M, 3, FALSE))</f>
        <v>0.70710678118654635</v>
      </c>
      <c r="T37" s="1">
        <f>(Main_M[[#This Row],[P/E]]-VLOOKUP(Main_M[[#This Row],[Industry]], Mean_PE_M, 2, FALSE))/(VLOOKUP(Main_M[[#This Row],[Industry]], Mean_PE_M, 3, FALSE))</f>
        <v>-0.58640716196950371</v>
      </c>
      <c r="U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8" spans="1:26" x14ac:dyDescent="0.25">
      <c r="A38" s="67" t="s">
        <v>109</v>
      </c>
      <c r="B38" s="67" t="s">
        <v>229</v>
      </c>
      <c r="C38" s="2">
        <v>2027</v>
      </c>
      <c r="D38">
        <f>RTD("tos.rtd", , "LAST", Main_M[[#This Row],[Symbol]])</f>
        <v>31.84</v>
      </c>
      <c r="E38">
        <v>5.1100000000000003</v>
      </c>
      <c r="F38">
        <v>23.92</v>
      </c>
      <c r="G38">
        <v>1.87</v>
      </c>
      <c r="H38" s="1">
        <f>IF(ISNUMBER(Main_M[[#This Row],[Free CF]]),IF(Main_M[[#This Row],[Free CF]]&lt;&gt;0,Main_M[[#This Row],[Current Price]]/Main_M[[#This Row],[Free CF]],""),"")</f>
        <v>6.2309197651663402</v>
      </c>
      <c r="I38" s="1">
        <f>IF(ISNUMBER(Main_M[[#This Row],[BVPS]]),IF(Main_M[[#This Row],[BVPS]]&lt;&gt;0,Main_M[[#This Row],[Current Price]]/Main_M[[#This Row],[BVPS]],""),"")</f>
        <v>1.3311036789297659</v>
      </c>
      <c r="J38">
        <v>8.19</v>
      </c>
      <c r="K38">
        <v>4.22</v>
      </c>
      <c r="L38">
        <v>2.35</v>
      </c>
      <c r="M38" s="1">
        <f>IF(ISNUMBER(Main_M[[#This Row],[EPS]]),IF(Main_M[[#This Row],[EPS]]&lt;&gt;0,Main_M[[#This Row],[Current Price]]/Main_M[[#This Row],[EPS]],""),"")</f>
        <v>17.026737967914439</v>
      </c>
      <c r="N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8" s="1">
        <f>(Main_M[[#This Row],[P/FCF]]-VLOOKUP(Main_M[[#This Row],[Industry]], Mean_PFCF_M, 2, FALSE))/(VLOOKUP(Main_M[[#This Row],[Industry]], Mean_PFCF_M, 3, FALSE))</f>
        <v>-0.72752081317810202</v>
      </c>
      <c r="P38" s="1">
        <f>(Main_M[[#This Row],[P/B]]-VLOOKUP(Main_M[[#This Row],[Industry]], Mean_PB_M, 2, FALSE))/(VLOOKUP(Main_M[[#This Row],[Industry]], Mean_PB_M, 3, FALSE))</f>
        <v>-0.72265078246536552</v>
      </c>
      <c r="Q38" s="1">
        <f>(Main_M[[#This Row],[ROE]]-VLOOKUP(Main_M[[#This Row],[Industry]], Mean_ROE_M, 2, FALSE))/(VLOOKUP(Main_M[[#This Row],[Industry]], Mean_ROE_M, 3, FALSE))</f>
        <v>-0.70710678118654746</v>
      </c>
      <c r="R38" s="1">
        <f>(Main_M[[#This Row],[ROA]]-VLOOKUP(Main_M[[#This Row],[Industry]], Mean_ROA_M, 2, FALSE))/(VLOOKUP(Main_M[[#This Row],[Industry]], Mean_ROA_M, 3, FALSE))</f>
        <v>-0.70710678118654768</v>
      </c>
      <c r="S38" s="1">
        <f>(Main_M[[#This Row],[A/E]]-VLOOKUP(Main_M[[#This Row],[Industry]], Mean_AE_M, 2, FALSE))/(VLOOKUP(Main_M[[#This Row],[Industry]], Mean_AE_M, 3, FALSE))</f>
        <v>0.70710678118654635</v>
      </c>
      <c r="T38" s="1">
        <f>(Main_M[[#This Row],[P/E]]-VLOOKUP(Main_M[[#This Row],[Industry]], Mean_PE_M, 2, FALSE))/(VLOOKUP(Main_M[[#This Row],[Industry]], Mean_PE_M, 3, FALSE))</f>
        <v>-0.82128956852005752</v>
      </c>
      <c r="U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9" spans="1:26" x14ac:dyDescent="0.25">
      <c r="A39" s="67" t="s">
        <v>109</v>
      </c>
      <c r="B39" s="67" t="s">
        <v>140</v>
      </c>
      <c r="C39" s="2">
        <v>3300</v>
      </c>
      <c r="D39">
        <f>RTD("tos.rtd", , "LAST", Main_M[[#This Row],[Symbol]])</f>
        <v>243.26</v>
      </c>
      <c r="E39">
        <v>4.8600000000000003</v>
      </c>
      <c r="F39">
        <v>17.87</v>
      </c>
      <c r="G39">
        <v>6.27</v>
      </c>
      <c r="H39" s="1">
        <f>IF(ISNUMBER(Main_M[[#This Row],[Free CF]]),IF(Main_M[[#This Row],[Free CF]]&lt;&gt;0,Main_M[[#This Row],[Current Price]]/Main_M[[#This Row],[Free CF]],""),"")</f>
        <v>50.053497942386826</v>
      </c>
      <c r="I39" s="1">
        <f>IF(ISNUMBER(Main_M[[#This Row],[BVPS]]),IF(Main_M[[#This Row],[BVPS]]&lt;&gt;0,Main_M[[#This Row],[Current Price]]/Main_M[[#This Row],[BVPS]],""),"")</f>
        <v>13.612758813654168</v>
      </c>
      <c r="J39">
        <v>37.26</v>
      </c>
      <c r="K39">
        <v>13.83</v>
      </c>
      <c r="L39">
        <v>1.89</v>
      </c>
      <c r="M39" s="1">
        <f>IF(ISNUMBER(Main_M[[#This Row],[EPS]]),IF(Main_M[[#This Row],[EPS]]&lt;&gt;0,Main_M[[#This Row],[Current Price]]/Main_M[[#This Row],[EPS]],""),"")</f>
        <v>38.79744816586922</v>
      </c>
      <c r="N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9" s="1">
        <f>(Main_M[[#This Row],[P/FCF]]-VLOOKUP(Main_M[[#This Row],[Industry]], Mean_PFCF_M, 2, FALSE))/(VLOOKUP(Main_M[[#This Row],[Industry]], Mean_PFCF_M, 3, FALSE))</f>
        <v>1.414015185104486</v>
      </c>
      <c r="P39" s="1">
        <f>(Main_M[[#This Row],[P/B]]-VLOOKUP(Main_M[[#This Row],[Industry]], Mean_PB_M, 2, FALSE))/(VLOOKUP(Main_M[[#This Row],[Industry]], Mean_PB_M, 3, FALSE))</f>
        <v>1.4140988165012192</v>
      </c>
      <c r="Q39" s="1">
        <f>(Main_M[[#This Row],[ROE]]-VLOOKUP(Main_M[[#This Row],[Industry]], Mean_ROE_M, 2, FALSE))/(VLOOKUP(Main_M[[#This Row],[Industry]], Mean_ROE_M, 3, FALSE))</f>
        <v>1.4142135623730949</v>
      </c>
      <c r="R39" s="1">
        <f>(Main_M[[#This Row],[ROA]]-VLOOKUP(Main_M[[#This Row],[Industry]], Mean_ROA_M, 2, FALSE))/(VLOOKUP(Main_M[[#This Row],[Industry]], Mean_ROA_M, 3, FALSE))</f>
        <v>1.4142135623730956</v>
      </c>
      <c r="S39" s="1">
        <f>(Main_M[[#This Row],[A/E]]-VLOOKUP(Main_M[[#This Row],[Industry]], Mean_AE_M, 2, FALSE))/(VLOOKUP(Main_M[[#This Row],[Industry]], Mean_AE_M, 3, FALSE))</f>
        <v>-1.4142135623730938</v>
      </c>
      <c r="T39" s="1">
        <f>(Main_M[[#This Row],[P/E]]-VLOOKUP(Main_M[[#This Row],[Industry]], Mean_PE_M, 2, FALSE))/(VLOOKUP(Main_M[[#This Row],[Industry]], Mean_PE_M, 3, FALSE))</f>
        <v>1.4076967304895627</v>
      </c>
      <c r="U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0" spans="1:26" x14ac:dyDescent="0.25">
      <c r="A40" s="67" t="s">
        <v>110</v>
      </c>
      <c r="B40" s="67" t="s">
        <v>141</v>
      </c>
      <c r="C40" s="2">
        <v>7994</v>
      </c>
      <c r="D40">
        <f>RTD("tos.rtd", , "LAST", Main_M[[#This Row],[Symbol]])</f>
        <v>60.14</v>
      </c>
      <c r="E40">
        <v>1.22</v>
      </c>
      <c r="F40">
        <v>-2</v>
      </c>
      <c r="G40">
        <v>2.14</v>
      </c>
      <c r="H40" s="1">
        <f>IF(ISNUMBER(Main_M[[#This Row],[Free CF]]),IF(Main_M[[#This Row],[Free CF]]&lt;&gt;0,Main_M[[#This Row],[Current Price]]/Main_M[[#This Row],[Free CF]],""),"")</f>
        <v>49.295081967213115</v>
      </c>
      <c r="I40" s="1">
        <f>IF(ISNUMBER(Main_M[[#This Row],[BVPS]]),IF(Main_M[[#This Row],[BVPS]]&lt;&gt;0,Main_M[[#This Row],[Current Price]]/Main_M[[#This Row],[BVPS]],""),"")</f>
        <v>-30.07</v>
      </c>
      <c r="J40">
        <v>-112</v>
      </c>
      <c r="K40">
        <v>31.69</v>
      </c>
      <c r="L40">
        <v>-3.73</v>
      </c>
      <c r="M40" s="1">
        <f>IF(ISNUMBER(Main_M[[#This Row],[EPS]]),IF(Main_M[[#This Row],[EPS]]&lt;&gt;0,Main_M[[#This Row],[Current Price]]/Main_M[[#This Row],[EPS]],""),"")</f>
        <v>28.102803738317757</v>
      </c>
      <c r="N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0" s="1">
        <f>(Main_M[[#This Row],[P/FCF]]-VLOOKUP(Main_M[[#This Row],[Industry]], Mean_PFCF_M, 2, FALSE))/(VLOOKUP(Main_M[[#This Row],[Industry]], Mean_PFCF_M, 3, FALSE))</f>
        <v>0.75652412512940548</v>
      </c>
      <c r="P40" s="1">
        <f>(Main_M[[#This Row],[P/B]]-VLOOKUP(Main_M[[#This Row],[Industry]], Mean_PB_M, 2, FALSE))/(VLOOKUP(Main_M[[#This Row],[Industry]], Mean_PB_M, 3, FALSE))</f>
        <v>-11.755091411510087</v>
      </c>
      <c r="Q40" s="1">
        <f>(Main_M[[#This Row],[ROE]]-VLOOKUP(Main_M[[#This Row],[Industry]], Mean_ROE_M, 2, FALSE))/(VLOOKUP(Main_M[[#This Row],[Industry]], Mean_ROE_M, 3, FALSE))</f>
        <v>-1.6921314437978126</v>
      </c>
      <c r="R40" s="1">
        <f>(Main_M[[#This Row],[ROA]]-VLOOKUP(Main_M[[#This Row],[Industry]], Mean_ROA_M, 2, FALSE))/(VLOOKUP(Main_M[[#This Row],[Industry]], Mean_ROA_M, 3, FALSE))</f>
        <v>1.640257384244781</v>
      </c>
      <c r="S40" s="1">
        <f>(Main_M[[#This Row],[A/E]]-VLOOKUP(Main_M[[#This Row],[Industry]], Mean_AE_M, 2, FALSE))/(VLOOKUP(Main_M[[#This Row],[Industry]], Mean_AE_M, 3, FALSE))</f>
        <v>-8.1645041261060065</v>
      </c>
      <c r="T40" s="1">
        <f>(Main_M[[#This Row],[P/E]]-VLOOKUP(Main_M[[#This Row],[Industry]], Mean_PE_M, 2, FALSE))/(VLOOKUP(Main_M[[#This Row],[Industry]], Mean_PE_M, 3, FALSE))</f>
        <v>7.4145549869105265E-2</v>
      </c>
      <c r="U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1" spans="1:26" x14ac:dyDescent="0.25">
      <c r="A41" s="67" t="s">
        <v>110</v>
      </c>
      <c r="B41" s="67" t="s">
        <v>142</v>
      </c>
      <c r="C41" s="2">
        <v>4300</v>
      </c>
      <c r="D41">
        <f>RTD("tos.rtd", , "LAST", Main_M[[#This Row],[Symbol]])</f>
        <v>5.01</v>
      </c>
      <c r="E41">
        <v>0.4</v>
      </c>
      <c r="F41">
        <v>4.01</v>
      </c>
      <c r="G41">
        <v>-0.47</v>
      </c>
      <c r="H41" s="1">
        <f>IF(ISNUMBER(Main_M[[#This Row],[Free CF]]),IF(Main_M[[#This Row],[Free CF]]&lt;&gt;0,Main_M[[#This Row],[Current Price]]/Main_M[[#This Row],[Free CF]],""),"")</f>
        <v>12.524999999999999</v>
      </c>
      <c r="I41" s="1">
        <f>IF(ISNUMBER(Main_M[[#This Row],[BVPS]]),IF(Main_M[[#This Row],[BVPS]]&lt;&gt;0,Main_M[[#This Row],[Current Price]]/Main_M[[#This Row],[BVPS]],""),"")</f>
        <v>1.2493765586034913</v>
      </c>
      <c r="J41">
        <v>-9.0299999999999994</v>
      </c>
      <c r="K41">
        <v>3</v>
      </c>
      <c r="L41">
        <v>3.28</v>
      </c>
      <c r="M41" s="1">
        <f>IF(ISNUMBER(Main_M[[#This Row],[EPS]]),IF(Main_M[[#This Row],[EPS]]&lt;&gt;0,Main_M[[#This Row],[Current Price]]/Main_M[[#This Row],[EPS]],""),"")</f>
        <v>-10.659574468085106</v>
      </c>
      <c r="N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1" s="1">
        <f>(Main_M[[#This Row],[P/FCF]]-VLOOKUP(Main_M[[#This Row],[Industry]], Mean_PFCF_M, 2, FALSE))/(VLOOKUP(Main_M[[#This Row],[Industry]], Mean_PFCF_M, 3, FALSE))</f>
        <v>-1.2737539833215212</v>
      </c>
      <c r="P41" s="1">
        <f>(Main_M[[#This Row],[P/B]]-VLOOKUP(Main_M[[#This Row],[Industry]], Mean_PB_M, 2, FALSE))/(VLOOKUP(Main_M[[#This Row],[Industry]], Mean_PB_M, 3, FALSE))</f>
        <v>-1.2996703080453598</v>
      </c>
      <c r="Q41" s="1">
        <f>(Main_M[[#This Row],[ROE]]-VLOOKUP(Main_M[[#This Row],[Industry]], Mean_ROE_M, 2, FALSE))/(VLOOKUP(Main_M[[#This Row],[Industry]], Mean_ROE_M, 3, FALSE))</f>
        <v>0.2204785975618006</v>
      </c>
      <c r="R41" s="1">
        <f>(Main_M[[#This Row],[ROA]]-VLOOKUP(Main_M[[#This Row],[Industry]], Mean_ROA_M, 2, FALSE))/(VLOOKUP(Main_M[[#This Row],[Industry]], Mean_ROA_M, 3, FALSE))</f>
        <v>-1.0135694508874769</v>
      </c>
      <c r="S41" s="1">
        <f>(Main_M[[#This Row],[A/E]]-VLOOKUP(Main_M[[#This Row],[Industry]], Mean_AE_M, 2, FALSE))/(VLOOKUP(Main_M[[#This Row],[Industry]], Mean_AE_M, 3, FALSE))</f>
        <v>1.4062607441286261</v>
      </c>
      <c r="T41" s="1">
        <f>(Main_M[[#This Row],[P/E]]-VLOOKUP(Main_M[[#This Row],[Industry]], Mean_PE_M, 2, FALSE))/(VLOOKUP(Main_M[[#This Row],[Industry]], Mean_PE_M, 3, FALSE))</f>
        <v>-1.4605836531044936</v>
      </c>
      <c r="U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2" spans="1:26" x14ac:dyDescent="0.25">
      <c r="A42" s="67" t="s">
        <v>110</v>
      </c>
      <c r="B42" s="67" t="s">
        <v>143</v>
      </c>
      <c r="C42" s="2">
        <v>6336</v>
      </c>
      <c r="D42">
        <f>RTD("tos.rtd", , "LAST", Main_M[[#This Row],[Symbol]])</f>
        <v>116.51</v>
      </c>
      <c r="E42">
        <v>2.0499999999999998</v>
      </c>
      <c r="F42">
        <v>13.65</v>
      </c>
      <c r="G42">
        <v>1.92</v>
      </c>
      <c r="H42" s="1">
        <f>IF(ISNUMBER(Main_M[[#This Row],[Free CF]]),IF(Main_M[[#This Row],[Free CF]]&lt;&gt;0,Main_M[[#This Row],[Current Price]]/Main_M[[#This Row],[Free CF]],""),"")</f>
        <v>56.834146341463423</v>
      </c>
      <c r="I42" s="1">
        <f>IF(ISNUMBER(Main_M[[#This Row],[BVPS]]),IF(Main_M[[#This Row],[BVPS]]&lt;&gt;0,Main_M[[#This Row],[Current Price]]/Main_M[[#This Row],[BVPS]],""),"")</f>
        <v>8.5355311355311354</v>
      </c>
      <c r="J42">
        <v>15.97</v>
      </c>
      <c r="K42">
        <v>8.33</v>
      </c>
      <c r="L42">
        <v>1.64</v>
      </c>
      <c r="M42" s="1">
        <f>IF(ISNUMBER(Main_M[[#This Row],[EPS]]),IF(Main_M[[#This Row],[EPS]]&lt;&gt;0,Main_M[[#This Row],[Current Price]]/Main_M[[#This Row],[EPS]],""),"")</f>
        <v>60.682291666666671</v>
      </c>
      <c r="N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2" s="1">
        <f>(Main_M[[#This Row],[P/FCF]]-VLOOKUP(Main_M[[#This Row],[Industry]], Mean_PFCF_M, 2, FALSE))/(VLOOKUP(Main_M[[#This Row],[Industry]], Mean_PFCF_M, 3, FALSE))</f>
        <v>1.1727972618303513</v>
      </c>
      <c r="P42" s="1">
        <f>(Main_M[[#This Row],[P/B]]-VLOOKUP(Main_M[[#This Row],[Industry]], Mean_PB_M, 2, FALSE))/(VLOOKUP(Main_M[[#This Row],[Industry]], Mean_PB_M, 3, FALSE))</f>
        <v>1.1326838029686628</v>
      </c>
      <c r="Q42" s="1">
        <f>(Main_M[[#This Row],[ROE]]-VLOOKUP(Main_M[[#This Row],[Industry]], Mean_ROE_M, 2, FALSE))/(VLOOKUP(Main_M[[#This Row],[Industry]], Mean_ROE_M, 3, FALSE))</f>
        <v>0.68483958652936716</v>
      </c>
      <c r="R42" s="1">
        <f>(Main_M[[#This Row],[ROA]]-VLOOKUP(Main_M[[#This Row],[Industry]], Mean_ROA_M, 2, FALSE))/(VLOOKUP(Main_M[[#This Row],[Industry]], Mean_ROA_M, 3, FALSE))</f>
        <v>-0.52054410995840983</v>
      </c>
      <c r="S42" s="1">
        <f>(Main_M[[#This Row],[A/E]]-VLOOKUP(Main_M[[#This Row],[Industry]], Mean_AE_M, 2, FALSE))/(VLOOKUP(Main_M[[#This Row],[Industry]], Mean_AE_M, 3, FALSE))</f>
        <v>-0.83283403293054592</v>
      </c>
      <c r="T42" s="1">
        <f>(Main_M[[#This Row],[P/E]]-VLOOKUP(Main_M[[#This Row],[Industry]], Mean_PE_M, 2, FALSE))/(VLOOKUP(Main_M[[#This Row],[Industry]], Mean_PE_M, 3, FALSE))</f>
        <v>1.3640739251436564</v>
      </c>
      <c r="U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3" spans="1:26" x14ac:dyDescent="0.25">
      <c r="A43" s="67" t="s">
        <v>110</v>
      </c>
      <c r="B43" s="67" t="s">
        <v>144</v>
      </c>
      <c r="C43" s="2">
        <v>4376</v>
      </c>
      <c r="D43">
        <f>RTD("tos.rtd", , "LAST", Main_M[[#This Row],[Symbol]])</f>
        <v>138.53</v>
      </c>
      <c r="E43">
        <v>5.84</v>
      </c>
      <c r="F43">
        <v>24.55</v>
      </c>
      <c r="G43">
        <v>5.17</v>
      </c>
      <c r="H43" s="1">
        <f>IF(ISNUMBER(Main_M[[#This Row],[Free CF]]),IF(Main_M[[#This Row],[Free CF]]&lt;&gt;0,Main_M[[#This Row],[Current Price]]/Main_M[[#This Row],[Free CF]],""),"")</f>
        <v>23.720890410958905</v>
      </c>
      <c r="I43" s="1">
        <f>IF(ISNUMBER(Main_M[[#This Row],[BVPS]]),IF(Main_M[[#This Row],[BVPS]]&lt;&gt;0,Main_M[[#This Row],[Current Price]]/Main_M[[#This Row],[BVPS]],""),"")</f>
        <v>5.6427698574338088</v>
      </c>
      <c r="J43">
        <v>21.46</v>
      </c>
      <c r="K43">
        <v>12.81</v>
      </c>
      <c r="L43">
        <v>1.83</v>
      </c>
      <c r="M43" s="1">
        <f>IF(ISNUMBER(Main_M[[#This Row],[EPS]]),IF(Main_M[[#This Row],[EPS]]&lt;&gt;0,Main_M[[#This Row],[Current Price]]/Main_M[[#This Row],[EPS]],""),"")</f>
        <v>26.794970986460349</v>
      </c>
      <c r="N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3" s="1">
        <f>(Main_M[[#This Row],[P/FCF]]-VLOOKUP(Main_M[[#This Row],[Industry]], Mean_PFCF_M, 2, FALSE))/(VLOOKUP(Main_M[[#This Row],[Industry]], Mean_PFCF_M, 3, FALSE))</f>
        <v>-0.65556740363823607</v>
      </c>
      <c r="P43" s="1">
        <f>(Main_M[[#This Row],[P/B]]-VLOOKUP(Main_M[[#This Row],[Industry]], Mean_PB_M, 2, FALSE))/(VLOOKUP(Main_M[[#This Row],[Industry]], Mean_PB_M, 3, FALSE))</f>
        <v>0.1669865050766963</v>
      </c>
      <c r="Q43" s="1">
        <f>(Main_M[[#This Row],[ROE]]-VLOOKUP(Main_M[[#This Row],[Industry]], Mean_ROE_M, 2, FALSE))/(VLOOKUP(Main_M[[#This Row],[Industry]], Mean_ROE_M, 3, FALSE))</f>
        <v>0.78681325970664484</v>
      </c>
      <c r="R43" s="1">
        <f>(Main_M[[#This Row],[ROA]]-VLOOKUP(Main_M[[#This Row],[Industry]], Mean_ROA_M, 2, FALSE))/(VLOOKUP(Main_M[[#This Row],[Industry]], Mean_ROA_M, 3, FALSE))</f>
        <v>-0.10614382339889381</v>
      </c>
      <c r="S43" s="1">
        <f>(Main_M[[#This Row],[A/E]]-VLOOKUP(Main_M[[#This Row],[Industry]], Mean_AE_M, 2, FALSE))/(VLOOKUP(Main_M[[#This Row],[Industry]], Mean_AE_M, 3, FALSE))</f>
        <v>-0.57342671119808053</v>
      </c>
      <c r="T43" s="1">
        <f>(Main_M[[#This Row],[P/E]]-VLOOKUP(Main_M[[#This Row],[Industry]], Mean_PE_M, 2, FALSE))/(VLOOKUP(Main_M[[#This Row],[Industry]], Mean_PE_M, 3, FALSE))</f>
        <v>2.2364178091732256E-2</v>
      </c>
      <c r="U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4" spans="1:26" x14ac:dyDescent="0.25">
      <c r="A44" s="67" t="s">
        <v>108</v>
      </c>
      <c r="B44" s="67" t="s">
        <v>138</v>
      </c>
      <c r="C44" s="2">
        <v>2510</v>
      </c>
      <c r="D44">
        <f>RTD("tos.rtd", , "LAST", Main_M[[#This Row],[Symbol]])</f>
        <v>2.2000000000000002</v>
      </c>
      <c r="E44">
        <v>0.12</v>
      </c>
      <c r="F44">
        <v>1.82</v>
      </c>
      <c r="G44">
        <v>7.0000000000000007E-2</v>
      </c>
      <c r="H44" s="1">
        <f>IF(ISNUMBER(Main_M[[#This Row],[Free CF]]),IF(Main_M[[#This Row],[Free CF]]&lt;&gt;0,Main_M[[#This Row],[Current Price]]/Main_M[[#This Row],[Free CF]],""),"")</f>
        <v>18.333333333333336</v>
      </c>
      <c r="I44" s="1">
        <f>IF(ISNUMBER(Main_M[[#This Row],[BVPS]]),IF(Main_M[[#This Row],[BVPS]]&lt;&gt;0,Main_M[[#This Row],[Current Price]]/Main_M[[#This Row],[BVPS]],""),"")</f>
        <v>1.2087912087912089</v>
      </c>
      <c r="J44">
        <v>4.1399999999999997</v>
      </c>
      <c r="K44">
        <v>0.08</v>
      </c>
      <c r="L44">
        <v>1.05</v>
      </c>
      <c r="M44" s="1">
        <f>IF(ISNUMBER(Main_M[[#This Row],[EPS]]),IF(Main_M[[#This Row],[EPS]]&lt;&gt;0,Main_M[[#This Row],[Current Price]]/Main_M[[#This Row],[EPS]],""),"")</f>
        <v>31.428571428571427</v>
      </c>
      <c r="N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4" s="1" t="e">
        <f>(Main_M[[#This Row],[P/FCF]]-VLOOKUP(Main_M[[#This Row],[Industry]], Mean_PFCF_M, 2, FALSE))/(VLOOKUP(Main_M[[#This Row],[Industry]], Mean_PFCF_M, 3, FALSE))</f>
        <v>#DIV/0!</v>
      </c>
      <c r="P44" s="1" t="e">
        <f>(Main_M[[#This Row],[P/B]]-VLOOKUP(Main_M[[#This Row],[Industry]], Mean_PB_M, 2, FALSE))/(VLOOKUP(Main_M[[#This Row],[Industry]], Mean_PB_M, 3, FALSE))</f>
        <v>#DIV/0!</v>
      </c>
      <c r="Q44" s="1" t="e">
        <f>(Main_M[[#This Row],[ROE]]-VLOOKUP(Main_M[[#This Row],[Industry]], Mean_ROE_M, 2, FALSE))/(VLOOKUP(Main_M[[#This Row],[Industry]], Mean_ROE_M, 3, FALSE))</f>
        <v>#DIV/0!</v>
      </c>
      <c r="R44" s="1" t="e">
        <f>(Main_M[[#This Row],[ROA]]-VLOOKUP(Main_M[[#This Row],[Industry]], Mean_ROA_M, 2, FALSE))/(VLOOKUP(Main_M[[#This Row],[Industry]], Mean_ROA_M, 3, FALSE))</f>
        <v>#DIV/0!</v>
      </c>
      <c r="S44" s="1" t="e">
        <f>(Main_M[[#This Row],[A/E]]-VLOOKUP(Main_M[[#This Row],[Industry]], Mean_AE_M, 2, FALSE))/(VLOOKUP(Main_M[[#This Row],[Industry]], Mean_AE_M, 3, FALSE))</f>
        <v>#DIV/0!</v>
      </c>
      <c r="T44" s="1" t="e">
        <f>(Main_M[[#This Row],[P/E]]-VLOOKUP(Main_M[[#This Row],[Industry]], Mean_PE_M, 2, FALSE))/(VLOOKUP(Main_M[[#This Row],[Industry]], Mean_PE_M, 3, FALSE))</f>
        <v>#DIV/0!</v>
      </c>
      <c r="U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55"/>
  <sheetViews>
    <sheetView workbookViewId="0">
      <selection activeCell="B24" sqref="B24"/>
    </sheetView>
  </sheetViews>
  <sheetFormatPr defaultRowHeight="15" x14ac:dyDescent="0.25"/>
  <cols>
    <col min="1" max="1" width="35.710937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7" t="s">
        <v>106</v>
      </c>
      <c r="B2" s="67" t="s">
        <v>259</v>
      </c>
      <c r="C2" s="2">
        <v>277</v>
      </c>
      <c r="D2">
        <f>RTD("tos.rtd", , "LAST", Main_S[[#This Row],[Symbol]])</f>
        <v>10.029999999999999</v>
      </c>
      <c r="E2">
        <v>1.04</v>
      </c>
      <c r="F2">
        <v>4.4800000000000004</v>
      </c>
      <c r="G2">
        <v>0.64</v>
      </c>
      <c r="H2" s="1">
        <f>IF(ISNUMBER(Main_S[[#This Row],[Free CF]]),IF(Main_S[[#This Row],[Free CF]]&lt;&gt;0,Main_S[[#This Row],[Current Price]]/Main_S[[#This Row],[Free CF]],""),"")</f>
        <v>9.6442307692307683</v>
      </c>
      <c r="I2" s="1">
        <f>IF(ISNUMBER(Main_S[[#This Row],[BVPS]]),IF(Main_S[[#This Row],[BVPS]]&lt;&gt;0,Main_S[[#This Row],[Current Price]]/Main_S[[#This Row],[BVPS]],""),"")</f>
        <v>2.2388392857142851</v>
      </c>
      <c r="J2">
        <v>14.26</v>
      </c>
      <c r="K2">
        <v>7</v>
      </c>
      <c r="L2">
        <v>2.1</v>
      </c>
      <c r="M2" s="1">
        <f>IF(ISNUMBER(Main_S[[#This Row],[EPS]]),IF(Main_S[[#This Row],[EPS]]&lt;&gt;0,Main_S[[#This Row],[Current Price]]/Main_S[[#This Row],[EPS]],""),"")</f>
        <v>15.671874999999998</v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>
        <f>(Main_S[[#This Row],[P/FCF]]-VLOOKUP(Main_S[[#This Row],[Industry]], Mean_PFCF_S, 2, FALSE))/(VLOOKUP(Main_S[[#This Row],[Industry]], Mean_PFCF_S, 3, FALSE))</f>
        <v>-0.24725030172966012</v>
      </c>
      <c r="P2" s="1">
        <f>(Main_S[[#This Row],[P/B]]-VLOOKUP(Main_S[[#This Row],[Industry]], Mean_PB_S, 2, FALSE))/(VLOOKUP(Main_S[[#This Row],[Industry]], Mean_PB_S, 3, FALSE))</f>
        <v>0.836614346687931</v>
      </c>
      <c r="Q2" s="1">
        <f>(Main_S[[#This Row],[ROE]]-VLOOKUP(Main_S[[#This Row],[Industry]], Mean_ROE_S, 2, FALSE))/(VLOOKUP(Main_S[[#This Row],[Industry]], Mean_ROE_S, 3, FALSE))</f>
        <v>0.70710678118654757</v>
      </c>
      <c r="R2" s="1">
        <f>(Main_S[[#This Row],[ROA]]-VLOOKUP(Main_S[[#This Row],[Industry]], Mean_ROA_S, 2, FALSE))/(VLOOKUP(Main_S[[#This Row],[Industry]], Mean_ROA_S, 3, FALSE))</f>
        <v>0.70710678118654458</v>
      </c>
      <c r="S2" s="1">
        <f>(Main_S[[#This Row],[A/E]]-VLOOKUP(Main_S[[#This Row],[Industry]], Mean_AE_S, 2, FALSE))/(VLOOKUP(Main_S[[#This Row],[Industry]], Mean_AE_S, 3, FALSE))</f>
        <v>0.70710678118655423</v>
      </c>
      <c r="T2" s="1">
        <f>(Main_S[[#This Row],[P/E]]-VLOOKUP(Main_S[[#This Row],[Industry]], Mean_PE_S, 2, FALSE))/(VLOOKUP(Main_S[[#This Row],[Industry]], Mean_PE_S, 3, FALSE))</f>
        <v>-0.68089288241385659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" spans="1:26" x14ac:dyDescent="0.25">
      <c r="A3" s="67" t="s">
        <v>106</v>
      </c>
      <c r="B3" s="67" t="s">
        <v>260</v>
      </c>
      <c r="C3" s="2">
        <v>266</v>
      </c>
      <c r="D3">
        <f>RTD("tos.rtd", , "LAST", Main_S[[#This Row],[Symbol]])</f>
        <v>9.3554999999999993</v>
      </c>
      <c r="E3">
        <v>1.04</v>
      </c>
      <c r="F3">
        <v>4.54</v>
      </c>
      <c r="G3">
        <v>0.64</v>
      </c>
      <c r="H3" s="1">
        <f>IF(ISNUMBER(Main_S[[#This Row],[Free CF]]),IF(Main_S[[#This Row],[Free CF]]&lt;&gt;0,Main_S[[#This Row],[Current Price]]/Main_S[[#This Row],[Free CF]],""),"")</f>
        <v>8.9956730769230759</v>
      </c>
      <c r="I3" s="1">
        <f>IF(ISNUMBER(Main_S[[#This Row],[BVPS]]),IF(Main_S[[#This Row],[BVPS]]&lt;&gt;0,Main_S[[#This Row],[Current Price]]/Main_S[[#This Row],[BVPS]],""),"")</f>
        <v>2.0606828193832598</v>
      </c>
      <c r="J3">
        <v>14.26</v>
      </c>
      <c r="K3">
        <v>7</v>
      </c>
      <c r="L3">
        <v>2.1</v>
      </c>
      <c r="M3" s="1">
        <f>IF(ISNUMBER(Main_S[[#This Row],[EPS]]),IF(Main_S[[#This Row],[EPS]]&lt;&gt;0,Main_S[[#This Row],[Current Price]]/Main_S[[#This Row],[EPS]],""),"")</f>
        <v>14.617968749999999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-1.0822564628190652</v>
      </c>
      <c r="P3" s="1">
        <f>(Main_S[[#This Row],[P/B]]-VLOOKUP(Main_S[[#This Row],[Industry]], Mean_PB_S, 2, FALSE))/(VLOOKUP(Main_S[[#This Row],[Industry]], Mean_PB_S, 3, FALSE))</f>
        <v>0.5691427373790765</v>
      </c>
      <c r="Q3" s="1">
        <f>(Main_S[[#This Row],[ROE]]-VLOOKUP(Main_S[[#This Row],[Industry]], Mean_ROE_S, 2, FALSE))/(VLOOKUP(Main_S[[#This Row],[Industry]], Mean_ROE_S, 3, FALSE))</f>
        <v>0.70710678118654757</v>
      </c>
      <c r="R3" s="1">
        <f>(Main_S[[#This Row],[ROA]]-VLOOKUP(Main_S[[#This Row],[Industry]], Mean_ROA_S, 2, FALSE))/(VLOOKUP(Main_S[[#This Row],[Industry]], Mean_ROA_S, 3, FALSE))</f>
        <v>0.70710678118654458</v>
      </c>
      <c r="S3" s="1">
        <f>(Main_S[[#This Row],[A/E]]-VLOOKUP(Main_S[[#This Row],[Industry]], Mean_AE_S, 2, FALSE))/(VLOOKUP(Main_S[[#This Row],[Industry]], Mean_AE_S, 3, FALSE))</f>
        <v>0.70710678118655423</v>
      </c>
      <c r="T3" s="1">
        <f>(Main_S[[#This Row],[P/E]]-VLOOKUP(Main_S[[#This Row],[Industry]], Mean_PE_S, 2, FALSE))/(VLOOKUP(Main_S[[#This Row],[Industry]], Mean_PE_S, 3, FALSE))</f>
        <v>-0.73300065204388098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" spans="1:26" x14ac:dyDescent="0.25">
      <c r="A4" s="67" t="s">
        <v>106</v>
      </c>
      <c r="B4" s="67" t="s">
        <v>207</v>
      </c>
      <c r="C4" s="2">
        <v>626</v>
      </c>
      <c r="D4">
        <f>RTD("tos.rtd", , "LAST", Main_S[[#This Row],[Symbol]])</f>
        <v>29.02</v>
      </c>
      <c r="E4">
        <v>2.67</v>
      </c>
      <c r="F4">
        <v>38.94</v>
      </c>
      <c r="G4">
        <v>0.5</v>
      </c>
      <c r="H4" s="1">
        <f>IF(ISNUMBER(Main_S[[#This Row],[Free CF]]),IF(Main_S[[#This Row],[Free CF]]&lt;&gt;0,Main_S[[#This Row],[Current Price]]/Main_S[[#This Row],[Free CF]],""),"")</f>
        <v>10.868913857677903</v>
      </c>
      <c r="I4" s="1">
        <f>IF(ISNUMBER(Main_S[[#This Row],[BVPS]]),IF(Main_S[[#This Row],[BVPS]]&lt;&gt;0,Main_S[[#This Row],[Current Price]]/Main_S[[#This Row],[BVPS]],""),"")</f>
        <v>0.74524910118130461</v>
      </c>
      <c r="J4">
        <v>1.28</v>
      </c>
      <c r="K4">
        <v>6.56</v>
      </c>
      <c r="L4">
        <v>1.66</v>
      </c>
      <c r="M4" s="1">
        <f>IF(ISNUMBER(Main_S[[#This Row],[EPS]]),IF(Main_S[[#This Row],[EPS]]&lt;&gt;0,Main_S[[#This Row],[Current Price]]/Main_S[[#This Row],[EPS]],""),"")</f>
        <v>58.04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1.3295067645487275</v>
      </c>
      <c r="P4" s="1">
        <f>(Main_S[[#This Row],[P/B]]-VLOOKUP(Main_S[[#This Row],[Industry]], Mean_PB_S, 2, FALSE))/(VLOOKUP(Main_S[[#This Row],[Industry]], Mean_PB_S, 3, FALSE))</f>
        <v>-1.4057570840670071</v>
      </c>
      <c r="Q4" s="1">
        <f>(Main_S[[#This Row],[ROE]]-VLOOKUP(Main_S[[#This Row],[Industry]], Mean_ROE_S, 2, FALSE))/(VLOOKUP(Main_S[[#This Row],[Industry]], Mean_ROE_S, 3, FALSE))</f>
        <v>-1.4142135623730954</v>
      </c>
      <c r="R4" s="1">
        <f>(Main_S[[#This Row],[ROA]]-VLOOKUP(Main_S[[#This Row],[Industry]], Mean_ROA_S, 2, FALSE))/(VLOOKUP(Main_S[[#This Row],[Industry]], Mean_ROA_S, 3, FALSE))</f>
        <v>-1.4142135623730805</v>
      </c>
      <c r="S4" s="1">
        <f>(Main_S[[#This Row],[A/E]]-VLOOKUP(Main_S[[#This Row],[Industry]], Mean_AE_S, 2, FALSE))/(VLOOKUP(Main_S[[#This Row],[Industry]], Mean_AE_S, 3, FALSE))</f>
        <v>-1.4142135623731085</v>
      </c>
      <c r="T4" s="1">
        <f>(Main_S[[#This Row],[P/E]]-VLOOKUP(Main_S[[#This Row],[Industry]], Mean_PE_S, 2, FALSE))/(VLOOKUP(Main_S[[#This Row],[Industry]], Mean_PE_S, 3, FALSE))</f>
        <v>1.4138935344577377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" spans="1:26" x14ac:dyDescent="0.25">
      <c r="A5" s="67" t="s">
        <v>105</v>
      </c>
      <c r="B5" s="67" t="s">
        <v>199</v>
      </c>
      <c r="C5" s="2">
        <v>1214</v>
      </c>
      <c r="D5">
        <f>RTD("tos.rtd", , "LAST", Main_S[[#This Row],[Symbol]])</f>
        <v>34.72</v>
      </c>
      <c r="E5">
        <v>1.53</v>
      </c>
      <c r="F5">
        <v>39.94</v>
      </c>
      <c r="G5">
        <v>3.17</v>
      </c>
      <c r="H5" s="1">
        <f>IF(ISNUMBER(Main_S[[#This Row],[Free CF]]),IF(Main_S[[#This Row],[Free CF]]&lt;&gt;0,Main_S[[#This Row],[Current Price]]/Main_S[[#This Row],[Free CF]],""),"")</f>
        <v>22.692810457516337</v>
      </c>
      <c r="I5" s="1">
        <f>IF(ISNUMBER(Main_S[[#This Row],[BVPS]]),IF(Main_S[[#This Row],[BVPS]]&lt;&gt;0,Main_S[[#This Row],[Current Price]]/Main_S[[#This Row],[BVPS]],""),"")</f>
        <v>0.86930395593390086</v>
      </c>
      <c r="J5">
        <v>10.64</v>
      </c>
      <c r="K5">
        <v>3.38</v>
      </c>
      <c r="L5">
        <v>2.8</v>
      </c>
      <c r="M5" s="1">
        <f>IF(ISNUMBER(Main_S[[#This Row],[EPS]]),IF(Main_S[[#This Row],[EPS]]&lt;&gt;0,Main_S[[#This Row],[Current Price]]/Main_S[[#This Row],[EPS]],""),"")</f>
        <v>10.952681388012618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0.34659076388434901</v>
      </c>
      <c r="P5" s="1">
        <f>(Main_S[[#This Row],[P/B]]-VLOOKUP(Main_S[[#This Row],[Industry]], Mean_PB_S, 2, FALSE))/(VLOOKUP(Main_S[[#This Row],[Industry]], Mean_PB_S, 3, FALSE))</f>
        <v>-0.75649341850793694</v>
      </c>
      <c r="Q5" s="1">
        <f>(Main_S[[#This Row],[ROE]]-VLOOKUP(Main_S[[#This Row],[Industry]], Mean_ROE_S, 2, FALSE))/(VLOOKUP(Main_S[[#This Row],[Industry]], Mean_ROE_S, 3, FALSE))</f>
        <v>-0.23702152449079628</v>
      </c>
      <c r="R5" s="1">
        <f>(Main_S[[#This Row],[ROA]]-VLOOKUP(Main_S[[#This Row],[Industry]], Mean_ROA_S, 2, FALSE))/(VLOOKUP(Main_S[[#This Row],[Industry]], Mean_ROA_S, 3, FALSE))</f>
        <v>3.0180920423644866E-2</v>
      </c>
      <c r="S5" s="1">
        <f>(Main_S[[#This Row],[A/E]]-VLOOKUP(Main_S[[#This Row],[Industry]], Mean_AE_S, 2, FALSE))/(VLOOKUP(Main_S[[#This Row],[Industry]], Mean_AE_S, 3, FALSE))</f>
        <v>0.54077651939076565</v>
      </c>
      <c r="T5" s="1">
        <f>(Main_S[[#This Row],[P/E]]-VLOOKUP(Main_S[[#This Row],[Industry]], Mean_PE_S, 2, FALSE))/(VLOOKUP(Main_S[[#This Row],[Industry]], Mean_PE_S, 3, FALSE))</f>
        <v>5.751854207954419E-2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" spans="1:26" x14ac:dyDescent="0.25">
      <c r="A6" s="67" t="s">
        <v>105</v>
      </c>
      <c r="B6" s="67" t="s">
        <v>206</v>
      </c>
      <c r="C6" s="2">
        <v>522</v>
      </c>
      <c r="D6">
        <f>RTD("tos.rtd", , "LAST", Main_S[[#This Row],[Symbol]])</f>
        <v>1.99</v>
      </c>
      <c r="E6">
        <v>-0.56000000000000005</v>
      </c>
      <c r="F6">
        <v>1.91</v>
      </c>
      <c r="G6">
        <v>-1.07</v>
      </c>
      <c r="H6" s="1">
        <f>IF(ISNUMBER(Main_S[[#This Row],[Free CF]]),IF(Main_S[[#This Row],[Free CF]]&lt;&gt;0,Main_S[[#This Row],[Current Price]]/Main_S[[#This Row],[Free CF]],""),"")</f>
        <v>-3.5535714285714284</v>
      </c>
      <c r="I6" s="1">
        <f>IF(ISNUMBER(Main_S[[#This Row],[BVPS]]),IF(Main_S[[#This Row],[BVPS]]&lt;&gt;0,Main_S[[#This Row],[Current Price]]/Main_S[[#This Row],[BVPS]],""),"")</f>
        <v>1.0418848167539267</v>
      </c>
      <c r="J6">
        <v>-44.49</v>
      </c>
      <c r="K6">
        <v>-10.76</v>
      </c>
      <c r="L6">
        <v>1.45</v>
      </c>
      <c r="M6" s="1">
        <f>IF(ISNUMBER(Main_S[[#This Row],[EPS]]),IF(Main_S[[#This Row],[EPS]]&lt;&gt;0,Main_S[[#This Row],[Current Price]]/Main_S[[#This Row],[EPS]],""),"")</f>
        <v>-1.8598130841121494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-0.98513963923281012</v>
      </c>
      <c r="P6" s="1">
        <f>(Main_S[[#This Row],[P/B]]-VLOOKUP(Main_S[[#This Row],[Industry]], Mean_PB_S, 2, FALSE))/(VLOOKUP(Main_S[[#This Row],[Industry]], Mean_PB_S, 3, FALSE))</f>
        <v>-0.68482218802244077</v>
      </c>
      <c r="Q6" s="1">
        <f>(Main_S[[#This Row],[ROE]]-VLOOKUP(Main_S[[#This Row],[Industry]], Mean_ROE_S, 2, FALSE))/(VLOOKUP(Main_S[[#This Row],[Industry]], Mean_ROE_S, 3, FALSE))</f>
        <v>-4.5424569924241069</v>
      </c>
      <c r="R6" s="1">
        <f>(Main_S[[#This Row],[ROA]]-VLOOKUP(Main_S[[#This Row],[Industry]], Mean_ROA_S, 2, FALSE))/(VLOOKUP(Main_S[[#This Row],[Industry]], Mean_ROA_S, 3, FALSE))</f>
        <v>-12.416933677628064</v>
      </c>
      <c r="S6" s="1">
        <f>(Main_S[[#This Row],[A/E]]-VLOOKUP(Main_S[[#This Row],[Industry]], Mean_AE_S, 2, FALSE))/(VLOOKUP(Main_S[[#This Row],[Industry]], Mean_AE_S, 3, FALSE))</f>
        <v>-1.3804032205501129</v>
      </c>
      <c r="T6" s="1">
        <f>(Main_S[[#This Row],[P/E]]-VLOOKUP(Main_S[[#This Row],[Industry]], Mean_PE_S, 2, FALSE))/(VLOOKUP(Main_S[[#This Row],[Industry]], Mean_PE_S, 3, FALSE))</f>
        <v>-1.0478832220336964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" spans="1:26" x14ac:dyDescent="0.25">
      <c r="A7" s="67" t="s">
        <v>105</v>
      </c>
      <c r="B7" s="67" t="s">
        <v>201</v>
      </c>
      <c r="C7" s="2">
        <v>447</v>
      </c>
      <c r="D7">
        <f>RTD("tos.rtd", , "LAST", Main_S[[#This Row],[Symbol]])</f>
        <v>2.09</v>
      </c>
      <c r="E7">
        <v>0.52</v>
      </c>
      <c r="F7">
        <v>0.52</v>
      </c>
      <c r="G7">
        <v>0.18</v>
      </c>
      <c r="H7" s="1">
        <f>IF(ISNUMBER(Main_S[[#This Row],[Free CF]]),IF(Main_S[[#This Row],[Free CF]]&lt;&gt;0,Main_S[[#This Row],[Current Price]]/Main_S[[#This Row],[Free CF]],""),"")</f>
        <v>4.0192307692307692</v>
      </c>
      <c r="I7" s="1">
        <f>IF(ISNUMBER(Main_S[[#This Row],[BVPS]]),IF(Main_S[[#This Row],[BVPS]]&lt;&gt;0,Main_S[[#This Row],[Current Price]]/Main_S[[#This Row],[BVPS]],""),"")</f>
        <v>4.0192307692307692</v>
      </c>
      <c r="J7">
        <v>40.24</v>
      </c>
      <c r="K7">
        <v>1.94</v>
      </c>
      <c r="L7">
        <v>8.39</v>
      </c>
      <c r="M7" s="1">
        <f>IF(ISNUMBER(Main_S[[#This Row],[EPS]]),IF(Main_S[[#This Row],[EPS]]&lt;&gt;0,Main_S[[#This Row],[Current Price]]/Main_S[[#This Row],[EPS]],""),"")</f>
        <v>11.611111111111111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-0.60089883349526674</v>
      </c>
      <c r="P7" s="1">
        <f>(Main_S[[#This Row],[P/B]]-VLOOKUP(Main_S[[#This Row],[Industry]], Mean_PB_S, 2, FALSE))/(VLOOKUP(Main_S[[#This Row],[Industry]], Mean_PB_S, 3, FALSE))</f>
        <v>0.55164196554067291</v>
      </c>
      <c r="Q7" s="1">
        <f>(Main_S[[#This Row],[ROE]]-VLOOKUP(Main_S[[#This Row],[Industry]], Mean_ROE_S, 2, FALSE))/(VLOOKUP(Main_S[[#This Row],[Industry]], Mean_ROE_S, 3, FALSE))</f>
        <v>2.0746216797686996</v>
      </c>
      <c r="R7" s="1">
        <f>(Main_S[[#This Row],[ROA]]-VLOOKUP(Main_S[[#This Row],[Industry]], Mean_ROA_S, 2, FALSE))/(VLOOKUP(Main_S[[#This Row],[Industry]], Mean_ROA_S, 3, FALSE))</f>
        <v>-1.237417737369457</v>
      </c>
      <c r="S7" s="1">
        <f>(Main_S[[#This Row],[A/E]]-VLOOKUP(Main_S[[#This Row],[Industry]], Mean_AE_S, 2, FALSE))/(VLOOKUP(Main_S[[#This Row],[Industry]], Mean_AE_S, 3, FALSE))</f>
        <v>8.4958837388496651</v>
      </c>
      <c r="T7" s="1">
        <f>(Main_S[[#This Row],[P/E]]-VLOOKUP(Main_S[[#This Row],[Industry]], Mean_PE_S, 2, FALSE))/(VLOOKUP(Main_S[[#This Row],[Industry]], Mean_PE_S, 3, FALSE))</f>
        <v>0.11432476190201149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" spans="1:26" x14ac:dyDescent="0.25">
      <c r="A8" s="67" t="s">
        <v>105</v>
      </c>
      <c r="B8" s="67" t="s">
        <v>202</v>
      </c>
      <c r="C8" s="2">
        <v>1331</v>
      </c>
      <c r="D8">
        <f>RTD("tos.rtd", , "LAST", Main_S[[#This Row],[Symbol]])</f>
        <v>13.49</v>
      </c>
      <c r="E8">
        <v>-0.61</v>
      </c>
      <c r="F8">
        <v>12.04</v>
      </c>
      <c r="G8">
        <v>0.17</v>
      </c>
      <c r="H8" s="1">
        <f>IF(ISNUMBER(Main_S[[#This Row],[Free CF]]),IF(Main_S[[#This Row],[Free CF]]&lt;&gt;0,Main_S[[#This Row],[Current Price]]/Main_S[[#This Row],[Free CF]],""),"")</f>
        <v>-22.114754098360656</v>
      </c>
      <c r="I8" s="1">
        <f>IF(ISNUMBER(Main_S[[#This Row],[BVPS]]),IF(Main_S[[#This Row],[BVPS]]&lt;&gt;0,Main_S[[#This Row],[Current Price]]/Main_S[[#This Row],[BVPS]],""),"")</f>
        <v>1.1204318936877078</v>
      </c>
      <c r="J8">
        <v>1.43</v>
      </c>
      <c r="K8">
        <v>2.27</v>
      </c>
      <c r="L8">
        <v>2.77</v>
      </c>
      <c r="M8" s="1">
        <f>IF(ISNUMBER(Main_S[[#This Row],[EPS]]),IF(Main_S[[#This Row],[EPS]]&lt;&gt;0,Main_S[[#This Row],[Current Price]]/Main_S[[#This Row],[EPS]],""),"")</f>
        <v>79.35294117647058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-1.9269262590591412</v>
      </c>
      <c r="P8" s="1">
        <f>(Main_S[[#This Row],[P/B]]-VLOOKUP(Main_S[[#This Row],[Industry]], Mean_PB_S, 2, FALSE))/(VLOOKUP(Main_S[[#This Row],[Industry]], Mean_PB_S, 3, FALSE))</f>
        <v>-0.65220231564416031</v>
      </c>
      <c r="Q8" s="1">
        <f>(Main_S[[#This Row],[ROE]]-VLOOKUP(Main_S[[#This Row],[Industry]], Mean_ROE_S, 2, FALSE))/(VLOOKUP(Main_S[[#This Row],[Industry]], Mean_ROE_S, 3, FALSE))</f>
        <v>-0.95628618365397045</v>
      </c>
      <c r="R8" s="1">
        <f>(Main_S[[#This Row],[ROA]]-VLOOKUP(Main_S[[#This Row],[Industry]], Mean_ROA_S, 2, FALSE))/(VLOOKUP(Main_S[[#This Row],[Industry]], Mean_ROA_S, 3, FALSE))</f>
        <v>-0.9469263782918711</v>
      </c>
      <c r="S8" s="1">
        <f>(Main_S[[#This Row],[A/E]]-VLOOKUP(Main_S[[#This Row],[Industry]], Mean_AE_S, 2, FALSE))/(VLOOKUP(Main_S[[#This Row],[Industry]], Mean_AE_S, 3, FALSE))</f>
        <v>0.49808363628096869</v>
      </c>
      <c r="T8" s="1">
        <f>(Main_S[[#This Row],[P/E]]-VLOOKUP(Main_S[[#This Row],[Industry]], Mean_PE_S, 2, FALSE))/(VLOOKUP(Main_S[[#This Row],[Industry]], Mean_PE_S, 3, FALSE))</f>
        <v>5.9587712607023064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" spans="1:26" x14ac:dyDescent="0.25">
      <c r="A9" s="67" t="s">
        <v>105</v>
      </c>
      <c r="B9" s="67" t="s">
        <v>198</v>
      </c>
      <c r="C9" s="2">
        <v>1340</v>
      </c>
      <c r="D9">
        <f>RTD("tos.rtd", , "LAST", Main_S[[#This Row],[Symbol]])</f>
        <v>20.329999999999998</v>
      </c>
      <c r="E9">
        <v>0.76</v>
      </c>
      <c r="F9">
        <v>2.4700000000000002</v>
      </c>
      <c r="G9">
        <v>-1.59</v>
      </c>
      <c r="H9" s="1">
        <f>IF(ISNUMBER(Main_S[[#This Row],[Free CF]]),IF(Main_S[[#This Row],[Free CF]]&lt;&gt;0,Main_S[[#This Row],[Current Price]]/Main_S[[#This Row],[Free CF]],""),"")</f>
        <v>26.749999999999996</v>
      </c>
      <c r="I9" s="1">
        <f>IF(ISNUMBER(Main_S[[#This Row],[BVPS]]),IF(Main_S[[#This Row],[BVPS]]&lt;&gt;0,Main_S[[#This Row],[Current Price]]/Main_S[[#This Row],[BVPS]],""),"")</f>
        <v>8.2307692307692299</v>
      </c>
      <c r="J9">
        <v>-59.24</v>
      </c>
      <c r="K9">
        <v>-12.35</v>
      </c>
      <c r="L9">
        <v>2.14</v>
      </c>
      <c r="M9" s="1">
        <f>IF(ISNUMBER(Main_S[[#This Row],[EPS]]),IF(Main_S[[#This Row],[EPS]]&lt;&gt;0,Main_S[[#This Row],[Current Price]]/Main_S[[#This Row],[EPS]],""),"")</f>
        <v>-12.786163522012577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0.55245085874940392</v>
      </c>
      <c r="P9" s="1">
        <f>(Main_S[[#This Row],[P/B]]-VLOOKUP(Main_S[[#This Row],[Industry]], Mean_PB_S, 2, FALSE))/(VLOOKUP(Main_S[[#This Row],[Industry]], Mean_PB_S, 3, FALSE))</f>
        <v>2.3006548186532316</v>
      </c>
      <c r="Q9" s="1">
        <f>(Main_S[[#This Row],[ROE]]-VLOOKUP(Main_S[[#This Row],[Industry]], Mean_ROE_S, 2, FALSE))/(VLOOKUP(Main_S[[#This Row],[Industry]], Mean_ROE_S, 3, FALSE))</f>
        <v>-5.6943737918439572</v>
      </c>
      <c r="R9" s="1">
        <f>(Main_S[[#This Row],[ROA]]-VLOOKUP(Main_S[[#This Row],[Industry]], Mean_ROA_S, 2, FALSE))/(VLOOKUP(Main_S[[#This Row],[Industry]], Mean_ROA_S, 3, FALSE))</f>
        <v>-13.816573862274614</v>
      </c>
      <c r="S9" s="1">
        <f>(Main_S[[#This Row],[A/E]]-VLOOKUP(Main_S[[#This Row],[Industry]], Mean_AE_S, 2, FALSE))/(VLOOKUP(Main_S[[#This Row],[Industry]], Mean_AE_S, 3, FALSE))</f>
        <v>-0.39846690902477455</v>
      </c>
      <c r="T9" s="1">
        <f>(Main_S[[#This Row],[P/E]]-VLOOKUP(Main_S[[#This Row],[Industry]], Mean_PE_S, 2, FALSE))/(VLOOKUP(Main_S[[#This Row],[Industry]], Mean_PE_S, 3, FALSE))</f>
        <v>-1.990557349671517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" spans="1:26" x14ac:dyDescent="0.25">
      <c r="A10" s="67" t="s">
        <v>105</v>
      </c>
      <c r="B10" s="67" t="s">
        <v>203</v>
      </c>
      <c r="C10" s="2">
        <v>1183</v>
      </c>
      <c r="D10">
        <f>RTD("tos.rtd", , "LAST", Main_S[[#This Row],[Symbol]])</f>
        <v>60.76</v>
      </c>
      <c r="E10">
        <v>1.1299999999999999</v>
      </c>
      <c r="F10">
        <v>82.75</v>
      </c>
      <c r="G10">
        <v>3.26</v>
      </c>
      <c r="H10" s="1">
        <f>IF(ISNUMBER(Main_S[[#This Row],[Free CF]]),IF(Main_S[[#This Row],[Free CF]]&lt;&gt;0,Main_S[[#This Row],[Current Price]]/Main_S[[#This Row],[Free CF]],""),"")</f>
        <v>53.769911504424783</v>
      </c>
      <c r="I10" s="1">
        <f>IF(ISNUMBER(Main_S[[#This Row],[BVPS]]),IF(Main_S[[#This Row],[BVPS]]&lt;&gt;0,Main_S[[#This Row],[Current Price]]/Main_S[[#This Row],[BVPS]],""),"")</f>
        <v>0.73425981873111779</v>
      </c>
      <c r="J10">
        <v>4</v>
      </c>
      <c r="K10">
        <v>2.98</v>
      </c>
      <c r="L10">
        <v>1.59</v>
      </c>
      <c r="M10" s="1">
        <f>IF(ISNUMBER(Main_S[[#This Row],[EPS]]),IF(Main_S[[#This Row],[EPS]]&lt;&gt;0,Main_S[[#This Row],[Current Price]]/Main_S[[#This Row],[EPS]],""),"")</f>
        <v>18.638036809815951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1.9234298301043458</v>
      </c>
      <c r="P10" s="1">
        <f>(Main_S[[#This Row],[P/B]]-VLOOKUP(Main_S[[#This Row],[Industry]], Mean_PB_S, 2, FALSE))/(VLOOKUP(Main_S[[#This Row],[Industry]], Mean_PB_S, 3, FALSE))</f>
        <v>-0.81257599589911722</v>
      </c>
      <c r="Q10" s="1">
        <f>(Main_S[[#This Row],[ROE]]-VLOOKUP(Main_S[[#This Row],[Industry]], Mean_ROE_S, 2, FALSE))/(VLOOKUP(Main_S[[#This Row],[Industry]], Mean_ROE_S, 3, FALSE))</f>
        <v>-0.75557932436522368</v>
      </c>
      <c r="R10" s="1">
        <f>(Main_S[[#This Row],[ROA]]-VLOOKUP(Main_S[[#This Row],[Industry]], Mean_ROA_S, 2, FALSE))/(VLOOKUP(Main_S[[#This Row],[Industry]], Mean_ROA_S, 3, FALSE))</f>
        <v>-0.32192981785221669</v>
      </c>
      <c r="S10" s="1">
        <f>(Main_S[[#This Row],[A/E]]-VLOOKUP(Main_S[[#This Row],[Industry]], Mean_AE_S, 2, FALSE))/(VLOOKUP(Main_S[[#This Row],[Industry]], Mean_AE_S, 3, FALSE))</f>
        <v>-1.1811697660377252</v>
      </c>
      <c r="T10" s="1">
        <f>(Main_S[[#This Row],[P/E]]-VLOOKUP(Main_S[[#This Row],[Industry]], Mean_PE_S, 2, FALSE))/(VLOOKUP(Main_S[[#This Row],[Industry]], Mean_PE_S, 3, FALSE))</f>
        <v>0.72057486257837544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" spans="1:26" x14ac:dyDescent="0.25">
      <c r="A11" s="67" t="s">
        <v>105</v>
      </c>
      <c r="B11" s="67" t="s">
        <v>204</v>
      </c>
      <c r="C11" s="2">
        <v>1121</v>
      </c>
      <c r="D11">
        <f>RTD("tos.rtd", , "LAST", Main_S[[#This Row],[Symbol]])</f>
        <v>44.15</v>
      </c>
      <c r="E11">
        <v>1.81</v>
      </c>
      <c r="F11">
        <v>8.41</v>
      </c>
      <c r="G11">
        <v>1.78</v>
      </c>
      <c r="H11" s="1">
        <f>IF(ISNUMBER(Main_S[[#This Row],[Free CF]]),IF(Main_S[[#This Row],[Free CF]]&lt;&gt;0,Main_S[[#This Row],[Current Price]]/Main_S[[#This Row],[Free CF]],""),"")</f>
        <v>24.392265193370164</v>
      </c>
      <c r="I11" s="1">
        <f>IF(ISNUMBER(Main_S[[#This Row],[BVPS]]),IF(Main_S[[#This Row],[BVPS]]&lt;&gt;0,Main_S[[#This Row],[Current Price]]/Main_S[[#This Row],[BVPS]],""),"")</f>
        <v>5.2497027348394765</v>
      </c>
      <c r="J11">
        <v>23.38</v>
      </c>
      <c r="K11">
        <v>5.46</v>
      </c>
      <c r="L11">
        <v>3.44</v>
      </c>
      <c r="M11" s="1">
        <f>IF(ISNUMBER(Main_S[[#This Row],[EPS]]),IF(Main_S[[#This Row],[EPS]]&lt;&gt;0,Main_S[[#This Row],[Current Price]]/Main_S[[#This Row],[EPS]],""),"")</f>
        <v>24.803370786516854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0.4328203840384941</v>
      </c>
      <c r="P11" s="1">
        <f>(Main_S[[#This Row],[P/B]]-VLOOKUP(Main_S[[#This Row],[Industry]], Mean_PB_S, 2, FALSE))/(VLOOKUP(Main_S[[#This Row],[Industry]], Mean_PB_S, 3, FALSE))</f>
        <v>1.0626455579091834</v>
      </c>
      <c r="Q11" s="1">
        <f>(Main_S[[#This Row],[ROE]]-VLOOKUP(Main_S[[#This Row],[Industry]], Mean_ROE_S, 2, FALSE))/(VLOOKUP(Main_S[[#This Row],[Industry]], Mean_ROE_S, 3, FALSE))</f>
        <v>0.75792220599116222</v>
      </c>
      <c r="R11" s="1">
        <f>(Main_S[[#This Row],[ROA]]-VLOOKUP(Main_S[[#This Row],[Industry]], Mean_ROA_S, 2, FALSE))/(VLOOKUP(Main_S[[#This Row],[Industry]], Mean_ROA_S, 3, FALSE))</f>
        <v>1.8611567594581255</v>
      </c>
      <c r="S11" s="1">
        <f>(Main_S[[#This Row],[A/E]]-VLOOKUP(Main_S[[#This Row],[Industry]], Mean_AE_S, 2, FALSE))/(VLOOKUP(Main_S[[#This Row],[Industry]], Mean_AE_S, 3, FALSE))</f>
        <v>1.4515580257331084</v>
      </c>
      <c r="T11" s="1">
        <f>(Main_S[[#This Row],[P/E]]-VLOOKUP(Main_S[[#This Row],[Industry]], Mean_PE_S, 2, FALSE))/(VLOOKUP(Main_S[[#This Row],[Industry]], Mean_PE_S, 3, FALSE))</f>
        <v>1.2524908816658187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s="67" t="s">
        <v>105</v>
      </c>
      <c r="B12" s="67" t="s">
        <v>267</v>
      </c>
      <c r="C12" s="2">
        <v>1968</v>
      </c>
      <c r="D12">
        <f>RTD("tos.rtd", , "LAST", Main_S[[#This Row],[Symbol]])</f>
        <v>40.292000000000002</v>
      </c>
      <c r="E12">
        <v>1.35</v>
      </c>
      <c r="F12">
        <v>11.07</v>
      </c>
      <c r="G12">
        <v>1.93</v>
      </c>
      <c r="H12" s="1">
        <f>IF(ISNUMBER(Main_S[[#This Row],[Free CF]]),IF(Main_S[[#This Row],[Free CF]]&lt;&gt;0,Main_S[[#This Row],[Current Price]]/Main_S[[#This Row],[Free CF]],""),"")</f>
        <v>29.845925925925926</v>
      </c>
      <c r="I12" s="1">
        <f>IF(ISNUMBER(Main_S[[#This Row],[BVPS]]),IF(Main_S[[#This Row],[BVPS]]&lt;&gt;0,Main_S[[#This Row],[Current Price]]/Main_S[[#This Row],[BVPS]],""),"")</f>
        <v>3.6397470641373082</v>
      </c>
      <c r="J12">
        <v>19.09</v>
      </c>
      <c r="K12">
        <v>8.9499999999999993</v>
      </c>
      <c r="L12">
        <v>1.98</v>
      </c>
      <c r="M12" s="1">
        <f>IF(ISNUMBER(Main_S[[#This Row],[EPS]]),IF(Main_S[[#This Row],[EPS]]&lt;&gt;0,Main_S[[#This Row],[Current Price]]/Main_S[[#This Row],[EPS]],""),"")</f>
        <v>20.876683937823834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0.70953684108587278</v>
      </c>
      <c r="P12" s="1">
        <f>(Main_S[[#This Row],[P/B]]-VLOOKUP(Main_S[[#This Row],[Industry]], Mean_PB_S, 2, FALSE))/(VLOOKUP(Main_S[[#This Row],[Industry]], Mean_PB_S, 3, FALSE))</f>
        <v>0.39404590324262528</v>
      </c>
      <c r="Q12" s="1">
        <f>(Main_S[[#This Row],[ROE]]-VLOOKUP(Main_S[[#This Row],[Industry]], Mean_ROE_S, 2, FALSE))/(VLOOKUP(Main_S[[#This Row],[Industry]], Mean_ROE_S, 3, FALSE))</f>
        <v>0.42289013348193133</v>
      </c>
      <c r="R12" s="1">
        <f>(Main_S[[#This Row],[ROA]]-VLOOKUP(Main_S[[#This Row],[Industry]], Mean_ROA_S, 2, FALSE))/(VLOOKUP(Main_S[[#This Row],[Industry]], Mean_ROA_S, 3, FALSE))</f>
        <v>4.9333229509150183</v>
      </c>
      <c r="S12" s="1">
        <f>(Main_S[[#This Row],[A/E]]-VLOOKUP(Main_S[[#This Row],[Industry]], Mean_AE_S, 2, FALSE))/(VLOOKUP(Main_S[[#This Row],[Industry]], Mean_AE_S, 3, FALSE))</f>
        <v>-0.62616228561036036</v>
      </c>
      <c r="T12" s="1">
        <f>(Main_S[[#This Row],[P/E]]-VLOOKUP(Main_S[[#This Row],[Industry]], Mean_PE_S, 2, FALSE))/(VLOOKUP(Main_S[[#This Row],[Industry]], Mean_PE_S, 3, FALSE))</f>
        <v>0.91371480811441252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" spans="1:26" x14ac:dyDescent="0.25">
      <c r="A13" s="67" t="s">
        <v>105</v>
      </c>
      <c r="B13" s="67" t="s">
        <v>200</v>
      </c>
      <c r="C13" s="2">
        <v>659</v>
      </c>
      <c r="D13">
        <f>RTD("tos.rtd", , "LAST", Main_S[[#This Row],[Symbol]])</f>
        <v>18.72</v>
      </c>
      <c r="E13">
        <v>2.15</v>
      </c>
      <c r="F13">
        <v>21.84</v>
      </c>
      <c r="G13">
        <v>-0.31</v>
      </c>
      <c r="H13" s="1">
        <f>IF(ISNUMBER(Main_S[[#This Row],[Free CF]]),IF(Main_S[[#This Row],[Free CF]]&lt;&gt;0,Main_S[[#This Row],[Current Price]]/Main_S[[#This Row],[Free CF]],""),"")</f>
        <v>8.7069767441860471</v>
      </c>
      <c r="I13" s="1">
        <f>IF(ISNUMBER(Main_S[[#This Row],[BVPS]]),IF(Main_S[[#This Row],[BVPS]]&lt;&gt;0,Main_S[[#This Row],[Current Price]]/Main_S[[#This Row],[BVPS]],""),"")</f>
        <v>0.8571428571428571</v>
      </c>
      <c r="J13">
        <v>-1.39</v>
      </c>
      <c r="K13">
        <v>2.97</v>
      </c>
      <c r="L13">
        <v>3.49</v>
      </c>
      <c r="M13" s="1">
        <f>IF(ISNUMBER(Main_S[[#This Row],[EPS]]),IF(Main_S[[#This Row],[EPS]]&lt;&gt;0,Main_S[[#This Row],[Current Price]]/Main_S[[#This Row],[EPS]],""),"")</f>
        <v>-60.387096774193544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>
        <f>(Main_S[[#This Row],[P/FCF]]-VLOOKUP(Main_S[[#This Row],[Industry]], Mean_PFCF_S, 2, FALSE))/(VLOOKUP(Main_S[[#This Row],[Industry]], Mean_PFCF_S, 3, FALSE))</f>
        <v>-0.3630445698473268</v>
      </c>
      <c r="P13" s="1">
        <f>(Main_S[[#This Row],[P/B]]-VLOOKUP(Main_S[[#This Row],[Industry]], Mean_PB_S, 2, FALSE))/(VLOOKUP(Main_S[[#This Row],[Industry]], Mean_PB_S, 3, FALSE))</f>
        <v>-0.76154381001872395</v>
      </c>
      <c r="Q13" s="1">
        <f>(Main_S[[#This Row],[ROE]]-VLOOKUP(Main_S[[#This Row],[Industry]], Mean_ROE_S, 2, FALSE))/(VLOOKUP(Main_S[[#This Row],[Industry]], Mean_ROE_S, 3, FALSE))</f>
        <v>-1.1765170564922063</v>
      </c>
      <c r="R13" s="1">
        <f>(Main_S[[#This Row],[ROA]]-VLOOKUP(Main_S[[#This Row],[Industry]], Mean_ROA_S, 2, FALSE))/(VLOOKUP(Main_S[[#This Row],[Industry]], Mean_ROA_S, 3, FALSE))</f>
        <v>-0.33073258630911306</v>
      </c>
      <c r="S13" s="1">
        <f>(Main_S[[#This Row],[A/E]]-VLOOKUP(Main_S[[#This Row],[Industry]], Mean_AE_S, 2, FALSE))/(VLOOKUP(Main_S[[#This Row],[Industry]], Mean_AE_S, 3, FALSE))</f>
        <v>1.5227128309161042</v>
      </c>
      <c r="T13" s="1">
        <f>(Main_S[[#This Row],[P/E]]-VLOOKUP(Main_S[[#This Row],[Industry]], Mean_PE_S, 2, FALSE))/(VLOOKUP(Main_S[[#This Row],[Industry]], Mean_PE_S, 3, FALSE))</f>
        <v>-6.0973419968668807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" spans="1:26" x14ac:dyDescent="0.25">
      <c r="A14" s="67" t="s">
        <v>105</v>
      </c>
      <c r="B14" s="67" t="s">
        <v>205</v>
      </c>
      <c r="C14" s="2">
        <v>569</v>
      </c>
      <c r="D14">
        <f>RTD("tos.rtd", , "LAST", Main_S[[#This Row],[Symbol]])</f>
        <v>36.69</v>
      </c>
      <c r="E14">
        <v>2.6</v>
      </c>
      <c r="F14">
        <v>32</v>
      </c>
      <c r="G14">
        <v>3.65</v>
      </c>
      <c r="H14" s="1">
        <f>IF(ISNUMBER(Main_S[[#This Row],[Free CF]]),IF(Main_S[[#This Row],[Free CF]]&lt;&gt;0,Main_S[[#This Row],[Current Price]]/Main_S[[#This Row],[Free CF]],""),"")</f>
        <v>14.11153846153846</v>
      </c>
      <c r="I14" s="1">
        <f>IF(ISNUMBER(Main_S[[#This Row],[BVPS]]),IF(Main_S[[#This Row],[BVPS]]&lt;&gt;0,Main_S[[#This Row],[Current Price]]/Main_S[[#This Row],[BVPS]],""),"")</f>
        <v>1.1465624999999999</v>
      </c>
      <c r="J14">
        <v>12.01</v>
      </c>
      <c r="K14">
        <v>4.42</v>
      </c>
      <c r="L14">
        <v>2.12</v>
      </c>
      <c r="M14" s="1">
        <f>IF(ISNUMBER(Main_S[[#This Row],[EPS]]),IF(Main_S[[#This Row],[EPS]]&lt;&gt;0,Main_S[[#This Row],[Current Price]]/Main_S[[#This Row],[EPS]],""),"")</f>
        <v>10.052054794520547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-8.8819376227920535E-2</v>
      </c>
      <c r="P14" s="1">
        <f>(Main_S[[#This Row],[P/B]]-VLOOKUP(Main_S[[#This Row],[Industry]], Mean_PB_S, 2, FALSE))/(VLOOKUP(Main_S[[#This Row],[Industry]], Mean_PB_S, 3, FALSE))</f>
        <v>-0.6413505172533347</v>
      </c>
      <c r="Q14" s="1">
        <f>(Main_S[[#This Row],[ROE]]-VLOOKUP(Main_S[[#This Row],[Industry]], Mean_ROE_S, 2, FALSE))/(VLOOKUP(Main_S[[#This Row],[Industry]], Mean_ROE_S, 3, FALSE))</f>
        <v>-0.13002993023959669</v>
      </c>
      <c r="R14" s="1">
        <f>(Main_S[[#This Row],[ROA]]-VLOOKUP(Main_S[[#This Row],[Industry]], Mean_ROA_S, 2, FALSE))/(VLOOKUP(Main_S[[#This Row],[Industry]], Mean_ROA_S, 3, FALSE))</f>
        <v>0.94566883994088524</v>
      </c>
      <c r="S14" s="1">
        <f>(Main_S[[#This Row],[A/E]]-VLOOKUP(Main_S[[#This Row],[Industry]], Mean_AE_S, 2, FALSE))/(VLOOKUP(Main_S[[#This Row],[Industry]], Mean_AE_S, 3, FALSE))</f>
        <v>-0.42692883109797281</v>
      </c>
      <c r="T14" s="1">
        <f>(Main_S[[#This Row],[P/E]]-VLOOKUP(Main_S[[#This Row],[Industry]], Mean_PE_S, 2, FALSE))/(VLOOKUP(Main_S[[#This Row],[Industry]], Mean_PE_S, 3, FALSE))</f>
        <v>-2.0183284634948426E-2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" spans="1:26" x14ac:dyDescent="0.25">
      <c r="A15" s="67" t="s">
        <v>107</v>
      </c>
      <c r="B15" s="67" t="s">
        <v>213</v>
      </c>
      <c r="C15" s="2">
        <v>921</v>
      </c>
      <c r="D15">
        <f>RTD("tos.rtd", , "LAST", Main_S[[#This Row],[Symbol]])</f>
        <v>9.15</v>
      </c>
      <c r="E15">
        <v>0.93</v>
      </c>
      <c r="F15">
        <v>14.2</v>
      </c>
      <c r="G15">
        <v>0.62</v>
      </c>
      <c r="H15" s="1">
        <f>IF(ISNUMBER(Main_S[[#This Row],[Free CF]]),IF(Main_S[[#This Row],[Free CF]]&lt;&gt;0,Main_S[[#This Row],[Current Price]]/Main_S[[#This Row],[Free CF]],""),"")</f>
        <v>9.8387096774193541</v>
      </c>
      <c r="I15" s="1">
        <f>IF(ISNUMBER(Main_S[[#This Row],[BVPS]]),IF(Main_S[[#This Row],[BVPS]]&lt;&gt;0,Main_S[[#This Row],[Current Price]]/Main_S[[#This Row],[BVPS]],""),"")</f>
        <v>0.64436619718309862</v>
      </c>
      <c r="J15">
        <v>4.42</v>
      </c>
      <c r="K15">
        <v>2.77</v>
      </c>
      <c r="L15">
        <v>2.36</v>
      </c>
      <c r="M15" s="1">
        <f>IF(ISNUMBER(Main_S[[#This Row],[EPS]]),IF(Main_S[[#This Row],[EPS]]&lt;&gt;0,Main_S[[#This Row],[Current Price]]/Main_S[[#This Row],[EPS]],""),"")</f>
        <v>14.758064516129034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0.27980554556329601</v>
      </c>
      <c r="P15" s="1">
        <f>(Main_S[[#This Row],[P/B]]-VLOOKUP(Main_S[[#This Row],[Industry]], Mean_PB_S, 2, FALSE))/(VLOOKUP(Main_S[[#This Row],[Industry]], Mean_PB_S, 3, FALSE))</f>
        <v>-0.99307693732845037</v>
      </c>
      <c r="Q15" s="1">
        <f>(Main_S[[#This Row],[ROE]]-VLOOKUP(Main_S[[#This Row],[Industry]], Mean_ROE_S, 2, FALSE))/(VLOOKUP(Main_S[[#This Row],[Industry]], Mean_ROE_S, 3, FALSE))</f>
        <v>-0.82986072268296063</v>
      </c>
      <c r="R15" s="1">
        <f>(Main_S[[#This Row],[ROA]]-VLOOKUP(Main_S[[#This Row],[Industry]], Mean_ROA_S, 2, FALSE))/(VLOOKUP(Main_S[[#This Row],[Industry]], Mean_ROA_S, 3, FALSE))</f>
        <v>-0.71257610334377797</v>
      </c>
      <c r="S15" s="1">
        <f>(Main_S[[#This Row],[A/E]]-VLOOKUP(Main_S[[#This Row],[Industry]], Mean_AE_S, 2, FALSE))/(VLOOKUP(Main_S[[#This Row],[Industry]], Mean_AE_S, 3, FALSE))</f>
        <v>-0.25228541353779971</v>
      </c>
      <c r="T15" s="1">
        <f>(Main_S[[#This Row],[P/E]]-VLOOKUP(Main_S[[#This Row],[Industry]], Mean_PE_S, 2, FALSE))/(VLOOKUP(Main_S[[#This Row],[Industry]], Mean_PE_S, 3, FALSE))</f>
        <v>-0.33220747241926013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" spans="1:26" x14ac:dyDescent="0.25">
      <c r="A16" s="67" t="s">
        <v>107</v>
      </c>
      <c r="B16" s="67" t="s">
        <v>208</v>
      </c>
      <c r="C16" s="2">
        <v>377</v>
      </c>
      <c r="D16">
        <f>RTD("tos.rtd", , "LAST", Main_S[[#This Row],[Symbol]])</f>
        <v>10.59</v>
      </c>
      <c r="E16">
        <v>-0.01</v>
      </c>
      <c r="F16">
        <v>-0.36</v>
      </c>
      <c r="G16">
        <v>0.37</v>
      </c>
      <c r="H16" s="1">
        <f>IF(ISNUMBER(Main_S[[#This Row],[Free CF]]),IF(Main_S[[#This Row],[Free CF]]&lt;&gt;0,Main_S[[#This Row],[Current Price]]/Main_S[[#This Row],[Free CF]],""),"")</f>
        <v>-1059</v>
      </c>
      <c r="I16" s="1">
        <f>IF(ISNUMBER(Main_S[[#This Row],[BVPS]]),IF(Main_S[[#This Row],[BVPS]]&lt;&gt;0,Main_S[[#This Row],[Current Price]]/Main_S[[#This Row],[BVPS]],""),"")</f>
        <v>-29.416666666666668</v>
      </c>
      <c r="L16">
        <v>-22.85</v>
      </c>
      <c r="M16" s="1">
        <f>IF(ISNUMBER(Main_S[[#This Row],[EPS]]),IF(Main_S[[#This Row],[EPS]]&lt;&gt;0,Main_S[[#This Row],[Current Price]]/Main_S[[#This Row],[EPS]],""),"")</f>
        <v>28.621621621621621</v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>
        <f>(Main_S[[#This Row],[P/FCF]]-VLOOKUP(Main_S[[#This Row],[Industry]], Mean_PFCF_S, 2, FALSE))/(VLOOKUP(Main_S[[#This Row],[Industry]], Mean_PFCF_S, 3, FALSE))</f>
        <v>-65.870010125852602</v>
      </c>
      <c r="P16" s="1">
        <f>(Main_S[[#This Row],[P/B]]-VLOOKUP(Main_S[[#This Row],[Industry]], Mean_PB_S, 2, FALSE))/(VLOOKUP(Main_S[[#This Row],[Industry]], Mean_PB_S, 3, FALSE))</f>
        <v>-22.100171860993861</v>
      </c>
      <c r="Q16" s="1">
        <f>(Main_S[[#This Row],[ROE]]-VLOOKUP(Main_S[[#This Row],[Industry]], Mean_ROE_S, 2, FALSE))/(VLOOKUP(Main_S[[#This Row],[Industry]], Mean_ROE_S, 3, FALSE))</f>
        <v>-1.5081749888426808</v>
      </c>
      <c r="R16" s="1">
        <f>(Main_S[[#This Row],[ROA]]-VLOOKUP(Main_S[[#This Row],[Industry]], Mean_ROA_S, 2, FALSE))/(VLOOKUP(Main_S[[#This Row],[Industry]], Mean_ROA_S, 3, FALSE))</f>
        <v>-1.6962152094545415</v>
      </c>
      <c r="S16" s="1">
        <f>(Main_S[[#This Row],[A/E]]-VLOOKUP(Main_S[[#This Row],[Industry]], Mean_AE_S, 2, FALSE))/(VLOOKUP(Main_S[[#This Row],[Industry]], Mean_AE_S, 3, FALSE))</f>
        <v>-17.266606532142454</v>
      </c>
      <c r="T16" s="1">
        <f>(Main_S[[#This Row],[P/E]]-VLOOKUP(Main_S[[#This Row],[Industry]], Mean_PE_S, 2, FALSE))/(VLOOKUP(Main_S[[#This Row],[Industry]], Mean_PE_S, 3, FALSE))</f>
        <v>0.74448150550544079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" spans="1:26" x14ac:dyDescent="0.25">
      <c r="A17" s="67" t="s">
        <v>107</v>
      </c>
      <c r="B17" s="67" t="s">
        <v>214</v>
      </c>
      <c r="C17" s="2">
        <v>795</v>
      </c>
      <c r="D17">
        <f>RTD("tos.rtd", , "LAST", Main_S[[#This Row],[Symbol]])</f>
        <v>11.5</v>
      </c>
      <c r="E17">
        <v>0.64</v>
      </c>
      <c r="F17">
        <v>7.75</v>
      </c>
      <c r="G17">
        <v>0.56999999999999995</v>
      </c>
      <c r="H17" s="1">
        <f>IF(ISNUMBER(Main_S[[#This Row],[Free CF]]),IF(Main_S[[#This Row],[Free CF]]&lt;&gt;0,Main_S[[#This Row],[Current Price]]/Main_S[[#This Row],[Free CF]],""),"")</f>
        <v>17.96875</v>
      </c>
      <c r="I17" s="1">
        <f>IF(ISNUMBER(Main_S[[#This Row],[BVPS]]),IF(Main_S[[#This Row],[BVPS]]&lt;&gt;0,Main_S[[#This Row],[Current Price]]/Main_S[[#This Row],[BVPS]],""),"")</f>
        <v>1.4838709677419355</v>
      </c>
      <c r="J17">
        <v>8.25</v>
      </c>
      <c r="K17">
        <v>4.3600000000000003</v>
      </c>
      <c r="L17">
        <v>1.81</v>
      </c>
      <c r="M17" s="1">
        <f>IF(ISNUMBER(Main_S[[#This Row],[EPS]]),IF(Main_S[[#This Row],[EPS]]&lt;&gt;0,Main_S[[#This Row],[Current Price]]/Main_S[[#This Row],[EPS]],""),"")</f>
        <v>20.17543859649123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0.78296908545997423</v>
      </c>
      <c r="P17" s="1">
        <f>(Main_S[[#This Row],[P/B]]-VLOOKUP(Main_S[[#This Row],[Industry]], Mean_PB_S, 2, FALSE))/(VLOOKUP(Main_S[[#This Row],[Industry]], Mean_PB_S, 3, FALSE))</f>
        <v>-0.40362590411514665</v>
      </c>
      <c r="Q17" s="1">
        <f>(Main_S[[#This Row],[ROE]]-VLOOKUP(Main_S[[#This Row],[Industry]], Mean_ROE_S, 2, FALSE))/(VLOOKUP(Main_S[[#This Row],[Industry]], Mean_ROE_S, 3, FALSE))</f>
        <v>-0.24209066852193634</v>
      </c>
      <c r="R17" s="1">
        <f>(Main_S[[#This Row],[ROA]]-VLOOKUP(Main_S[[#This Row],[Industry]], Mean_ROA_S, 2, FALSE))/(VLOOKUP(Main_S[[#This Row],[Industry]], Mean_ROA_S, 3, FALSE))</f>
        <v>-0.14796015434879092</v>
      </c>
      <c r="S17" s="1">
        <f>(Main_S[[#This Row],[A/E]]-VLOOKUP(Main_S[[#This Row],[Industry]], Mean_AE_S, 2, FALSE))/(VLOOKUP(Main_S[[#This Row],[Industry]], Mean_AE_S, 3, FALSE))</f>
        <v>-0.62348242326539016</v>
      </c>
      <c r="T17" s="1">
        <f>(Main_S[[#This Row],[P/E]]-VLOOKUP(Main_S[[#This Row],[Industry]], Mean_PE_S, 2, FALSE))/(VLOOKUP(Main_S[[#This Row],[Industry]], Mean_PE_S, 3, FALSE))</f>
        <v>8.8523435040993192E-2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" spans="1:26" x14ac:dyDescent="0.25">
      <c r="A18" s="67" t="s">
        <v>107</v>
      </c>
      <c r="B18" s="67" t="s">
        <v>215</v>
      </c>
      <c r="C18" s="2">
        <v>336</v>
      </c>
      <c r="D18">
        <f>RTD("tos.rtd", , "LAST", Main_S[[#This Row],[Symbol]])</f>
        <v>4.62</v>
      </c>
      <c r="E18">
        <v>1.5</v>
      </c>
      <c r="F18">
        <v>6.43</v>
      </c>
      <c r="G18">
        <v>-2.66</v>
      </c>
      <c r="H18" s="1">
        <f>IF(ISNUMBER(Main_S[[#This Row],[Free CF]]),IF(Main_S[[#This Row],[Free CF]]&lt;&gt;0,Main_S[[#This Row],[Current Price]]/Main_S[[#This Row],[Free CF]],""),"")</f>
        <v>3.08</v>
      </c>
      <c r="I18" s="1">
        <f>IF(ISNUMBER(Main_S[[#This Row],[BVPS]]),IF(Main_S[[#This Row],[BVPS]]&lt;&gt;0,Main_S[[#This Row],[Current Price]]/Main_S[[#This Row],[BVPS]],""),"")</f>
        <v>0.71850699844479005</v>
      </c>
      <c r="J18">
        <v>-32.479999999999997</v>
      </c>
      <c r="K18">
        <v>3.95</v>
      </c>
      <c r="L18">
        <v>5.76</v>
      </c>
      <c r="M18" s="1">
        <f>IF(ISNUMBER(Main_S[[#This Row],[EPS]]),IF(Main_S[[#This Row],[EPS]]&lt;&gt;0,Main_S[[#This Row],[Current Price]]/Main_S[[#This Row],[EPS]],""),"")</f>
        <v>-1.7368421052631577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-0.13848712599688554</v>
      </c>
      <c r="P18" s="1">
        <f>(Main_S[[#This Row],[P/B]]-VLOOKUP(Main_S[[#This Row],[Industry]], Mean_PB_S, 2, FALSE))/(VLOOKUP(Main_S[[#This Row],[Industry]], Mean_PB_S, 3, FALSE))</f>
        <v>-0.94101961324930938</v>
      </c>
      <c r="Q18" s="1">
        <f>(Main_S[[#This Row],[ROE]]-VLOOKUP(Main_S[[#This Row],[Industry]], Mean_ROE_S, 2, FALSE))/(VLOOKUP(Main_S[[#This Row],[Industry]], Mean_ROE_S, 3, FALSE))</f>
        <v>-6.4927105917539256</v>
      </c>
      <c r="R18" s="1">
        <f>(Main_S[[#This Row],[ROA]]-VLOOKUP(Main_S[[#This Row],[Industry]], Mean_ROA_S, 2, FALSE))/(VLOOKUP(Main_S[[#This Row],[Industry]], Mean_ROA_S, 3, FALSE))</f>
        <v>-0.29355294622800143</v>
      </c>
      <c r="S18" s="1">
        <f>(Main_S[[#This Row],[A/E]]-VLOOKUP(Main_S[[#This Row],[Industry]], Mean_AE_S, 2, FALSE))/(VLOOKUP(Main_S[[#This Row],[Industry]], Mean_AE_S, 3, FALSE))</f>
        <v>2.0423870102327606</v>
      </c>
      <c r="T18" s="1">
        <f>(Main_S[[#This Row],[P/E]]-VLOOKUP(Main_S[[#This Row],[Industry]], Mean_PE_S, 2, FALSE))/(VLOOKUP(Main_S[[#This Row],[Industry]], Mean_PE_S, 3, FALSE))</f>
        <v>-1.6132556201643922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" spans="1:26" x14ac:dyDescent="0.25">
      <c r="A19" s="67" t="s">
        <v>107</v>
      </c>
      <c r="B19" s="67" t="s">
        <v>209</v>
      </c>
      <c r="C19" s="2">
        <v>717</v>
      </c>
      <c r="D19">
        <f>RTD("tos.rtd", , "LAST", Main_S[[#This Row],[Symbol]])</f>
        <v>11.07</v>
      </c>
      <c r="E19">
        <v>-0.08</v>
      </c>
      <c r="F19">
        <v>1.32</v>
      </c>
      <c r="G19">
        <v>0.09</v>
      </c>
      <c r="H19" s="1">
        <f>IF(ISNUMBER(Main_S[[#This Row],[Free CF]]),IF(Main_S[[#This Row],[Free CF]]&lt;&gt;0,Main_S[[#This Row],[Current Price]]/Main_S[[#This Row],[Free CF]],""),"")</f>
        <v>-138.375</v>
      </c>
      <c r="I19" s="1">
        <f>IF(ISNUMBER(Main_S[[#This Row],[BVPS]]),IF(Main_S[[#This Row],[BVPS]]&lt;&gt;0,Main_S[[#This Row],[Current Price]]/Main_S[[#This Row],[BVPS]],""),"")</f>
        <v>8.3863636363636367</v>
      </c>
      <c r="J19">
        <v>11.86</v>
      </c>
      <c r="K19">
        <v>0.74</v>
      </c>
      <c r="L19">
        <v>5.47</v>
      </c>
      <c r="M19" s="1">
        <f>IF(ISNUMBER(Main_S[[#This Row],[EPS]]),IF(Main_S[[#This Row],[EPS]]&lt;&gt;0,Main_S[[#This Row],[Current Price]]/Main_S[[#This Row],[EPS]],""),"")</f>
        <v>123.00000000000001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-8.8930560717868339</v>
      </c>
      <c r="P19" s="1">
        <f>(Main_S[[#This Row],[P/B]]-VLOOKUP(Main_S[[#This Row],[Industry]], Mean_PB_S, 2, FALSE))/(VLOOKUP(Main_S[[#This Row],[Industry]], Mean_PB_S, 3, FALSE))</f>
        <v>4.442899783354024</v>
      </c>
      <c r="Q19" s="1">
        <f>(Main_S[[#This Row],[ROE]]-VLOOKUP(Main_S[[#This Row],[Industry]], Mean_ROE_S, 2, FALSE))/(VLOOKUP(Main_S[[#This Row],[Industry]], Mean_ROE_S, 3, FALSE))</f>
        <v>0.31191713709720137</v>
      </c>
      <c r="R19" s="1">
        <f>(Main_S[[#This Row],[ROA]]-VLOOKUP(Main_S[[#This Row],[Industry]], Mean_ROA_S, 2, FALSE))/(VLOOKUP(Main_S[[#This Row],[Industry]], Mean_ROA_S, 3, FALSE))</f>
        <v>-1.4334379753310884</v>
      </c>
      <c r="S19" s="1">
        <f>(Main_S[[#This Row],[A/E]]-VLOOKUP(Main_S[[#This Row],[Industry]], Mean_AE_S, 2, FALSE))/(VLOOKUP(Main_S[[#This Row],[Industry]], Mean_AE_S, 3, FALSE))</f>
        <v>1.8466649505582127</v>
      </c>
      <c r="T19" s="1">
        <f>(Main_S[[#This Row],[P/E]]-VLOOKUP(Main_S[[#This Row],[Industry]], Mean_PE_S, 2, FALSE))/(VLOOKUP(Main_S[[#This Row],[Industry]], Mean_PE_S, 3, FALSE))</f>
        <v>8.0742136212369608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0" spans="1:26" x14ac:dyDescent="0.25">
      <c r="A20" s="67" t="s">
        <v>107</v>
      </c>
      <c r="B20" s="67" t="s">
        <v>216</v>
      </c>
      <c r="C20" s="2">
        <v>491</v>
      </c>
      <c r="D20">
        <f>RTD("tos.rtd", , "LAST", Main_S[[#This Row],[Symbol]])</f>
        <v>27.68</v>
      </c>
      <c r="E20">
        <v>1</v>
      </c>
      <c r="F20">
        <v>11.29</v>
      </c>
      <c r="G20">
        <v>0.77</v>
      </c>
      <c r="H20" s="1">
        <f>IF(ISNUMBER(Main_S[[#This Row],[Free CF]]),IF(Main_S[[#This Row],[Free CF]]&lt;&gt;0,Main_S[[#This Row],[Current Price]]/Main_S[[#This Row],[Free CF]],""),"")</f>
        <v>27.68</v>
      </c>
      <c r="I20" s="1">
        <f>IF(ISNUMBER(Main_S[[#This Row],[BVPS]]),IF(Main_S[[#This Row],[BVPS]]&lt;&gt;0,Main_S[[#This Row],[Current Price]]/Main_S[[#This Row],[BVPS]],""),"")</f>
        <v>2.451727192205492</v>
      </c>
      <c r="J20">
        <v>6.84</v>
      </c>
      <c r="K20">
        <v>4.4800000000000004</v>
      </c>
      <c r="L20">
        <v>1.48</v>
      </c>
      <c r="M20" s="1">
        <f>IF(ISNUMBER(Main_S[[#This Row],[EPS]]),IF(Main_S[[#This Row],[EPS]]&lt;&gt;0,Main_S[[#This Row],[Current Price]]/Main_S[[#This Row],[EPS]],""),"")</f>
        <v>35.948051948051948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1.3839927868123665</v>
      </c>
      <c r="P20" s="1">
        <f>(Main_S[[#This Row],[P/B]]-VLOOKUP(Main_S[[#This Row],[Industry]], Mean_PB_S, 2, FALSE))/(VLOOKUP(Main_S[[#This Row],[Industry]], Mean_PB_S, 3, FALSE))</f>
        <v>0.27594599531813552</v>
      </c>
      <c r="Q20" s="1">
        <f>(Main_S[[#This Row],[ROE]]-VLOOKUP(Main_S[[#This Row],[Industry]], Mean_ROE_S, 2, FALSE))/(VLOOKUP(Main_S[[#This Row],[Industry]], Mean_ROE_S, 3, FALSE))</f>
        <v>-0.45847598872220902</v>
      </c>
      <c r="R20" s="1">
        <f>(Main_S[[#This Row],[ROA]]-VLOOKUP(Main_S[[#This Row],[Industry]], Mean_ROA_S, 2, FALSE))/(VLOOKUP(Main_S[[#This Row],[Industry]], Mean_ROA_S, 3, FALSE))</f>
        <v>-0.10534762989633904</v>
      </c>
      <c r="S20" s="1">
        <f>(Main_S[[#This Row],[A/E]]-VLOOKUP(Main_S[[#This Row],[Industry]], Mean_AE_S, 2, FALSE))/(VLOOKUP(Main_S[[#This Row],[Industry]], Mean_AE_S, 3, FALSE))</f>
        <v>-0.8462006291019446</v>
      </c>
      <c r="T20" s="1">
        <f>(Main_S[[#This Row],[P/E]]-VLOOKUP(Main_S[[#This Row],[Industry]], Mean_PE_S, 2, FALSE))/(VLOOKUP(Main_S[[#This Row],[Industry]], Mean_PE_S, 3, FALSE))</f>
        <v>1.3134759360095392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" spans="1:26" x14ac:dyDescent="0.25">
      <c r="A21" s="67" t="s">
        <v>107</v>
      </c>
      <c r="B21" s="67" t="s">
        <v>217</v>
      </c>
      <c r="C21" s="2">
        <v>1347</v>
      </c>
      <c r="D21">
        <f>RTD("tos.rtd", , "LAST", Main_S[[#This Row],[Symbol]])</f>
        <v>13.8</v>
      </c>
      <c r="E21">
        <v>0.86</v>
      </c>
      <c r="F21">
        <v>14.06</v>
      </c>
      <c r="G21">
        <v>1.23</v>
      </c>
      <c r="H21" s="1">
        <f>IF(ISNUMBER(Main_S[[#This Row],[Free CF]]),IF(Main_S[[#This Row],[Free CF]]&lt;&gt;0,Main_S[[#This Row],[Current Price]]/Main_S[[#This Row],[Free CF]],""),"")</f>
        <v>16.046511627906977</v>
      </c>
      <c r="I21" s="1">
        <f>IF(ISNUMBER(Main_S[[#This Row],[BVPS]]),IF(Main_S[[#This Row],[BVPS]]&lt;&gt;0,Main_S[[#This Row],[Current Price]]/Main_S[[#This Row],[BVPS]],""),"")</f>
        <v>0.98150782361308675</v>
      </c>
      <c r="J21">
        <v>9.91</v>
      </c>
      <c r="K21">
        <v>3.21</v>
      </c>
      <c r="L21">
        <v>3.38</v>
      </c>
      <c r="M21" s="1">
        <f>IF(ISNUMBER(Main_S[[#This Row],[EPS]]),IF(Main_S[[#This Row],[EPS]]&lt;&gt;0,Main_S[[#This Row],[Current Price]]/Main_S[[#This Row],[EPS]],""),"")</f>
        <v>11.219512195121952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0.66400285338099929</v>
      </c>
      <c r="P21" s="1">
        <f>(Main_S[[#This Row],[P/B]]-VLOOKUP(Main_S[[#This Row],[Industry]], Mean_PB_S, 2, FALSE))/(VLOOKUP(Main_S[[#This Row],[Industry]], Mean_PB_S, 3, FALSE))</f>
        <v>-0.75635585246066372</v>
      </c>
      <c r="Q21" s="1">
        <f>(Main_S[[#This Row],[ROE]]-VLOOKUP(Main_S[[#This Row],[Industry]], Mean_ROE_S, 2, FALSE))/(VLOOKUP(Main_S[[#This Row],[Industry]], Mean_ROE_S, 3, FALSE))</f>
        <v>1.2660843203207378E-2</v>
      </c>
      <c r="R21" s="1">
        <f>(Main_S[[#This Row],[ROA]]-VLOOKUP(Main_S[[#This Row],[Industry]], Mean_ROA_S, 2, FALSE))/(VLOOKUP(Main_S[[#This Row],[Industry]], Mean_ROA_S, 3, FALSE))</f>
        <v>-0.55633018035145454</v>
      </c>
      <c r="S21" s="1">
        <f>(Main_S[[#This Row],[A/E]]-VLOOKUP(Main_S[[#This Row],[Industry]], Mean_AE_S, 2, FALSE))/(VLOOKUP(Main_S[[#This Row],[Industry]], Mean_AE_S, 3, FALSE))</f>
        <v>0.43611631359336839</v>
      </c>
      <c r="T21" s="1">
        <f>(Main_S[[#This Row],[P/E]]-VLOOKUP(Main_S[[#This Row],[Industry]], Mean_PE_S, 2, FALSE))/(VLOOKUP(Main_S[[#This Row],[Industry]], Mean_PE_S, 3, FALSE))</f>
        <v>-0.60702296550283141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" spans="1:26" x14ac:dyDescent="0.25">
      <c r="A22" s="67" t="s">
        <v>107</v>
      </c>
      <c r="B22" s="67" t="s">
        <v>210</v>
      </c>
      <c r="C22" s="2">
        <v>1693</v>
      </c>
      <c r="D22">
        <f>RTD("tos.rtd", , "LAST", Main_S[[#This Row],[Symbol]])</f>
        <v>32.76</v>
      </c>
      <c r="E22">
        <v>3.36</v>
      </c>
      <c r="F22">
        <v>41.86</v>
      </c>
      <c r="G22">
        <v>3.05</v>
      </c>
      <c r="H22" s="1">
        <f>IF(ISNUMBER(Main_S[[#This Row],[Free CF]]),IF(Main_S[[#This Row],[Free CF]]&lt;&gt;0,Main_S[[#This Row],[Current Price]]/Main_S[[#This Row],[Free CF]],""),"")</f>
        <v>9.75</v>
      </c>
      <c r="I22" s="1">
        <f>IF(ISNUMBER(Main_S[[#This Row],[BVPS]]),IF(Main_S[[#This Row],[BVPS]]&lt;&gt;0,Main_S[[#This Row],[Current Price]]/Main_S[[#This Row],[BVPS]],""),"")</f>
        <v>0.78260869565217384</v>
      </c>
      <c r="J22">
        <v>7.46</v>
      </c>
      <c r="K22">
        <v>3.37</v>
      </c>
      <c r="L22">
        <v>1.57</v>
      </c>
      <c r="M22" s="1">
        <f>IF(ISNUMBER(Main_S[[#This Row],[EPS]]),IF(Main_S[[#This Row],[EPS]]&lt;&gt;0,Main_S[[#This Row],[Current Price]]/Main_S[[#This Row],[EPS]],""),"")</f>
        <v>10.740983606557377</v>
      </c>
      <c r="N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" s="1">
        <f>(Main_S[[#This Row],[P/FCF]]-VLOOKUP(Main_S[[#This Row],[Industry]], Mean_PFCF_S, 2, FALSE))/(VLOOKUP(Main_S[[#This Row],[Industry]], Mean_PFCF_S, 3, FALSE))</f>
        <v>0.27431535442741167</v>
      </c>
      <c r="P22" s="1">
        <f>(Main_S[[#This Row],[P/B]]-VLOOKUP(Main_S[[#This Row],[Industry]], Mean_PB_S, 2, FALSE))/(VLOOKUP(Main_S[[#This Row],[Industry]], Mean_PB_S, 3, FALSE))</f>
        <v>-0.89601115948618626</v>
      </c>
      <c r="Q22" s="1">
        <f>(Main_S[[#This Row],[ROE]]-VLOOKUP(Main_S[[#This Row],[Industry]], Mean_ROE_S, 2, FALSE))/(VLOOKUP(Main_S[[#This Row],[Industry]], Mean_ROE_S, 3, FALSE))</f>
        <v>-0.36332783374052885</v>
      </c>
      <c r="R22" s="1">
        <f>(Main_S[[#This Row],[ROA]]-VLOOKUP(Main_S[[#This Row],[Industry]], Mean_ROA_S, 2, FALSE))/(VLOOKUP(Main_S[[#This Row],[Industry]], Mean_ROA_S, 3, FALSE))</f>
        <v>-0.49951348108151872</v>
      </c>
      <c r="S22" s="1">
        <f>(Main_S[[#This Row],[A/E]]-VLOOKUP(Main_S[[#This Row],[Industry]], Mean_AE_S, 2, FALSE))/(VLOOKUP(Main_S[[#This Row],[Industry]], Mean_AE_S, 3, FALSE))</f>
        <v>-0.78545930023742971</v>
      </c>
      <c r="T22" s="1">
        <f>(Main_S[[#This Row],[P/E]]-VLOOKUP(Main_S[[#This Row],[Industry]], Mean_PE_S, 2, FALSE))/(VLOOKUP(Main_S[[#This Row],[Industry]], Mean_PE_S, 3, FALSE))</f>
        <v>-0.64418705355100014</v>
      </c>
      <c r="U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" spans="1:26" x14ac:dyDescent="0.25">
      <c r="A23" s="67" t="s">
        <v>107</v>
      </c>
      <c r="B23" s="67" t="s">
        <v>263</v>
      </c>
      <c r="C23" s="2">
        <v>381</v>
      </c>
      <c r="D23">
        <f>RTD("tos.rtd", , "LAST", Main_S[[#This Row],[Symbol]])</f>
        <v>13.81</v>
      </c>
      <c r="E23">
        <v>2.1</v>
      </c>
      <c r="F23">
        <v>13.67</v>
      </c>
      <c r="G23">
        <v>1.89</v>
      </c>
      <c r="H23" s="1">
        <f>IF(ISNUMBER(Main_S[[#This Row],[Free CF]]),IF(Main_S[[#This Row],[Free CF]]&lt;&gt;0,Main_S[[#This Row],[Current Price]]/Main_S[[#This Row],[Free CF]],""),"")</f>
        <v>6.5761904761904759</v>
      </c>
      <c r="I23" s="1">
        <f>IF(ISNUMBER(Main_S[[#This Row],[BVPS]]),IF(Main_S[[#This Row],[BVPS]]&lt;&gt;0,Main_S[[#This Row],[Current Price]]/Main_S[[#This Row],[BVPS]],""),"")</f>
        <v>1.0102414045354793</v>
      </c>
      <c r="J23">
        <v>14.59</v>
      </c>
      <c r="K23">
        <v>5.22</v>
      </c>
      <c r="L23">
        <v>2.1</v>
      </c>
      <c r="M23" s="1">
        <f>IF(ISNUMBER(Main_S[[#This Row],[EPS]]),IF(Main_S[[#This Row],[EPS]]&lt;&gt;0,Main_S[[#This Row],[Current Price]]/Main_S[[#This Row],[EPS]],""),"")</f>
        <v>7.3068783068783079</v>
      </c>
      <c r="N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" s="1">
        <f>(Main_S[[#This Row],[P/FCF]]-VLOOKUP(Main_S[[#This Row],[Industry]], Mean_PFCF_S, 2, FALSE))/(VLOOKUP(Main_S[[#This Row],[Industry]], Mean_PFCF_S, 3, FALSE))</f>
        <v>7.7890100480960525E-2</v>
      </c>
      <c r="P23" s="1">
        <f>(Main_S[[#This Row],[P/B]]-VLOOKUP(Main_S[[#This Row],[Industry]], Mean_PB_S, 2, FALSE))/(VLOOKUP(Main_S[[#This Row],[Industry]], Mean_PB_S, 3, FALSE))</f>
        <v>-0.73618081646730327</v>
      </c>
      <c r="Q23" s="1">
        <f>(Main_S[[#This Row],[ROE]]-VLOOKUP(Main_S[[#This Row],[Industry]], Mean_ROE_S, 2, FALSE))/(VLOOKUP(Main_S[[#This Row],[Industry]], Mean_ROE_S, 3, FALSE))</f>
        <v>0.73087594854879323</v>
      </c>
      <c r="R23" s="1">
        <f>(Main_S[[#This Row],[ROA]]-VLOOKUP(Main_S[[#This Row],[Industry]], Mean_ROA_S, 2, FALSE))/(VLOOKUP(Main_S[[#This Row],[Industry]], Mean_ROA_S, 3, FALSE))</f>
        <v>0.15742960422711377</v>
      </c>
      <c r="S23" s="1">
        <f>(Main_S[[#This Row],[A/E]]-VLOOKUP(Main_S[[#This Row],[Industry]], Mean_AE_S, 2, FALSE))/(VLOOKUP(Main_S[[#This Row],[Industry]], Mean_AE_S, 3, FALSE))</f>
        <v>-0.42776036359084241</v>
      </c>
      <c r="T23" s="1">
        <f>(Main_S[[#This Row],[P/E]]-VLOOKUP(Main_S[[#This Row],[Industry]], Mean_PE_S, 2, FALSE))/(VLOOKUP(Main_S[[#This Row],[Industry]], Mean_PE_S, 3, FALSE))</f>
        <v>-0.91089085092868494</v>
      </c>
      <c r="U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" spans="1:26" x14ac:dyDescent="0.25">
      <c r="A24" s="67" t="s">
        <v>107</v>
      </c>
      <c r="B24" s="67" t="s">
        <v>218</v>
      </c>
      <c r="C24" s="2">
        <v>723</v>
      </c>
      <c r="D24">
        <f>RTD("tos.rtd", , "LAST", Main_S[[#This Row],[Symbol]])</f>
        <v>63.984999999999999</v>
      </c>
      <c r="E24">
        <v>-1.62</v>
      </c>
      <c r="F24">
        <v>29.78</v>
      </c>
      <c r="G24">
        <v>4.72</v>
      </c>
      <c r="H24" s="1">
        <f>IF(ISNUMBER(Main_S[[#This Row],[Free CF]]),IF(Main_S[[#This Row],[Free CF]]&lt;&gt;0,Main_S[[#This Row],[Current Price]]/Main_S[[#This Row],[Free CF]],""),"")</f>
        <v>-39.496913580246911</v>
      </c>
      <c r="I24" s="1">
        <f>IF(ISNUMBER(Main_S[[#This Row],[BVPS]]),IF(Main_S[[#This Row],[BVPS]]&lt;&gt;0,Main_S[[#This Row],[Current Price]]/Main_S[[#This Row],[BVPS]],""),"")</f>
        <v>2.1485896574882473</v>
      </c>
      <c r="J24">
        <v>16.579999999999998</v>
      </c>
      <c r="K24">
        <v>8.8800000000000008</v>
      </c>
      <c r="L24">
        <v>1.7</v>
      </c>
      <c r="M24" s="1">
        <f>IF(ISNUMBER(Main_S[[#This Row],[EPS]]),IF(Main_S[[#This Row],[EPS]]&lt;&gt;0,Main_S[[#This Row],[Current Price]]/Main_S[[#This Row],[EPS]],""),"")</f>
        <v>13.556144067796611</v>
      </c>
      <c r="N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" s="1">
        <f>(Main_S[[#This Row],[P/FCF]]-VLOOKUP(Main_S[[#This Row],[Industry]], Mean_PFCF_S, 2, FALSE))/(VLOOKUP(Main_S[[#This Row],[Industry]], Mean_PFCF_S, 3, FALSE))</f>
        <v>-2.7735479258075104</v>
      </c>
      <c r="P24" s="1">
        <f>(Main_S[[#This Row],[P/B]]-VLOOKUP(Main_S[[#This Row],[Industry]], Mean_PB_S, 2, FALSE))/(VLOOKUP(Main_S[[#This Row],[Industry]], Mean_PB_S, 3, FALSE))</f>
        <v>6.3100590132566733E-2</v>
      </c>
      <c r="Q24" s="1">
        <f>(Main_S[[#This Row],[ROE]]-VLOOKUP(Main_S[[#This Row],[Industry]], Mean_ROE_S, 2, FALSE))/(VLOOKUP(Main_S[[#This Row],[Industry]], Mean_ROE_S, 3, FALSE))</f>
        <v>1.0362708330867665</v>
      </c>
      <c r="R24" s="1">
        <f>(Main_S[[#This Row],[ROA]]-VLOOKUP(Main_S[[#This Row],[Industry]], Mean_ROA_S, 2, FALSE))/(VLOOKUP(Main_S[[#This Row],[Industry]], Mean_ROA_S, 3, FALSE))</f>
        <v>1.4571116000268955</v>
      </c>
      <c r="S24" s="1">
        <f>(Main_S[[#This Row],[A/E]]-VLOOKUP(Main_S[[#This Row],[Industry]], Mean_AE_S, 2, FALSE))/(VLOOKUP(Main_S[[#This Row],[Industry]], Mean_AE_S, 3, FALSE))</f>
        <v>-0.69772182521090842</v>
      </c>
      <c r="T24" s="1">
        <f>(Main_S[[#This Row],[P/E]]-VLOOKUP(Main_S[[#This Row],[Industry]], Mean_PE_S, 2, FALSE))/(VLOOKUP(Main_S[[#This Row],[Industry]], Mean_PE_S, 3, FALSE))</f>
        <v>-0.42555252731495707</v>
      </c>
      <c r="U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" spans="1:26" x14ac:dyDescent="0.25">
      <c r="A25" s="67" t="s">
        <v>107</v>
      </c>
      <c r="B25" s="67" t="s">
        <v>219</v>
      </c>
      <c r="C25" s="2">
        <v>1460</v>
      </c>
      <c r="D25">
        <f>RTD("tos.rtd", , "LAST", Main_S[[#This Row],[Symbol]])</f>
        <v>15.93</v>
      </c>
      <c r="E25">
        <v>-1.06</v>
      </c>
      <c r="F25">
        <v>3.8</v>
      </c>
      <c r="G25">
        <v>0.65</v>
      </c>
      <c r="H25" s="1">
        <f>IF(ISNUMBER(Main_S[[#This Row],[Free CF]]),IF(Main_S[[#This Row],[Free CF]]&lt;&gt;0,Main_S[[#This Row],[Current Price]]/Main_S[[#This Row],[Free CF]],""),"")</f>
        <v>-15.028301886792452</v>
      </c>
      <c r="I25" s="1">
        <f>IF(ISNUMBER(Main_S[[#This Row],[BVPS]]),IF(Main_S[[#This Row],[BVPS]]&lt;&gt;0,Main_S[[#This Row],[Current Price]]/Main_S[[#This Row],[BVPS]],""),"")</f>
        <v>4.1921052631578952</v>
      </c>
      <c r="J25">
        <v>17.7</v>
      </c>
      <c r="K25">
        <v>6.79</v>
      </c>
      <c r="L25">
        <v>6.17</v>
      </c>
      <c r="M25" s="1">
        <f>IF(ISNUMBER(Main_S[[#This Row],[EPS]]),IF(Main_S[[#This Row],[EPS]]&lt;&gt;0,Main_S[[#This Row],[Current Price]]/Main_S[[#This Row],[EPS]],""),"")</f>
        <v>24.507692307692306</v>
      </c>
      <c r="N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" s="1">
        <f>(Main_S[[#This Row],[P/FCF]]-VLOOKUP(Main_S[[#This Row],[Industry]], Mean_PFCF_S, 2, FALSE))/(VLOOKUP(Main_S[[#This Row],[Industry]], Mean_PFCF_S, 3, FALSE))</f>
        <v>-1.2591995600508443</v>
      </c>
      <c r="P25" s="1">
        <f>(Main_S[[#This Row],[P/B]]-VLOOKUP(Main_S[[#This Row],[Industry]], Mean_PB_S, 2, FALSE))/(VLOOKUP(Main_S[[#This Row],[Industry]], Mean_PB_S, 3, FALSE))</f>
        <v>1.4979374456130237</v>
      </c>
      <c r="Q25" s="1">
        <f>(Main_S[[#This Row],[ROE]]-VLOOKUP(Main_S[[#This Row],[Industry]], Mean_ROE_S, 2, FALSE))/(VLOOKUP(Main_S[[#This Row],[Industry]], Mean_ROE_S, 3, FALSE))</f>
        <v>1.2081513711181888</v>
      </c>
      <c r="R25" s="1">
        <f>(Main_S[[#This Row],[ROA]]-VLOOKUP(Main_S[[#This Row],[Industry]], Mean_ROA_S, 2, FALSE))/(VLOOKUP(Main_S[[#This Row],[Industry]], Mean_ROA_S, 3, FALSE))</f>
        <v>0.71494346581335888</v>
      </c>
      <c r="S25" s="1">
        <f>(Main_S[[#This Row],[A/E]]-VLOOKUP(Main_S[[#This Row],[Industry]], Mean_AE_S, 2, FALSE))/(VLOOKUP(Main_S[[#This Row],[Industry]], Mean_AE_S, 3, FALSE))</f>
        <v>2.3190975083933281</v>
      </c>
      <c r="T25" s="1">
        <f>(Main_S[[#This Row],[P/E]]-VLOOKUP(Main_S[[#This Row],[Industry]], Mean_PE_S, 2, FALSE))/(VLOOKUP(Main_S[[#This Row],[Industry]], Mean_PE_S, 3, FALSE))</f>
        <v>0.42498036199919503</v>
      </c>
      <c r="U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" spans="1:26" x14ac:dyDescent="0.25">
      <c r="A26" s="67" t="s">
        <v>107</v>
      </c>
      <c r="B26" s="67" t="s">
        <v>211</v>
      </c>
      <c r="C26" s="2">
        <v>285</v>
      </c>
      <c r="D26">
        <f>RTD("tos.rtd", , "LAST", Main_S[[#This Row],[Symbol]])</f>
        <v>16.18</v>
      </c>
      <c r="E26">
        <v>0.23</v>
      </c>
      <c r="F26">
        <v>9.76</v>
      </c>
      <c r="G26">
        <v>0.43</v>
      </c>
      <c r="H26" s="1">
        <f>IF(ISNUMBER(Main_S[[#This Row],[Free CF]]),IF(Main_S[[#This Row],[Free CF]]&lt;&gt;0,Main_S[[#This Row],[Current Price]]/Main_S[[#This Row],[Free CF]],""),"")</f>
        <v>70.347826086956516</v>
      </c>
      <c r="I26" s="1">
        <f>IF(ISNUMBER(Main_S[[#This Row],[BVPS]]),IF(Main_S[[#This Row],[BVPS]]&lt;&gt;0,Main_S[[#This Row],[Current Price]]/Main_S[[#This Row],[BVPS]],""),"")</f>
        <v>1.6577868852459017</v>
      </c>
      <c r="J26">
        <v>3.97</v>
      </c>
      <c r="K26">
        <v>-0.79</v>
      </c>
      <c r="L26">
        <v>1.71</v>
      </c>
      <c r="M26" s="1">
        <f>IF(ISNUMBER(Main_S[[#This Row],[EPS]]),IF(Main_S[[#This Row],[EPS]]&lt;&gt;0,Main_S[[#This Row],[Current Price]]/Main_S[[#This Row],[EPS]],""),"")</f>
        <v>37.627906976744185</v>
      </c>
      <c r="N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" s="1">
        <f>(Main_S[[#This Row],[P/FCF]]-VLOOKUP(Main_S[[#This Row],[Industry]], Mean_PFCF_S, 2, FALSE))/(VLOOKUP(Main_S[[#This Row],[Industry]], Mean_PFCF_S, 3, FALSE))</f>
        <v>4.0246801096021994</v>
      </c>
      <c r="P26" s="1">
        <f>(Main_S[[#This Row],[P/B]]-VLOOKUP(Main_S[[#This Row],[Industry]], Mean_PB_S, 2, FALSE))/(VLOOKUP(Main_S[[#This Row],[Industry]], Mean_PB_S, 3, FALSE))</f>
        <v>-0.28151234281077075</v>
      </c>
      <c r="Q26" s="1">
        <f>(Main_S[[#This Row],[ROE]]-VLOOKUP(Main_S[[#This Row],[Industry]], Mean_ROE_S, 2, FALSE))/(VLOOKUP(Main_S[[#This Row],[Industry]], Mean_ROE_S, 3, FALSE))</f>
        <v>-0.89891986742772845</v>
      </c>
      <c r="R26" s="1">
        <f>(Main_S[[#This Row],[ROA]]-VLOOKUP(Main_S[[#This Row],[Industry]], Mean_ROA_S, 2, FALSE))/(VLOOKUP(Main_S[[#This Row],[Industry]], Mean_ROA_S, 3, FALSE))</f>
        <v>-1.9767476620998494</v>
      </c>
      <c r="S26" s="1">
        <f>(Main_S[[#This Row],[A/E]]-VLOOKUP(Main_S[[#This Row],[Industry]], Mean_AE_S, 2, FALSE))/(VLOOKUP(Main_S[[#This Row],[Industry]], Mean_AE_S, 3, FALSE))</f>
        <v>-0.69097278867040668</v>
      </c>
      <c r="T26" s="1">
        <f>(Main_S[[#This Row],[P/E]]-VLOOKUP(Main_S[[#This Row],[Industry]], Mean_PE_S, 2, FALSE))/(VLOOKUP(Main_S[[#This Row],[Industry]], Mean_PE_S, 3, FALSE))</f>
        <v>1.4439389463424166</v>
      </c>
      <c r="U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" spans="1:26" x14ac:dyDescent="0.25">
      <c r="A27" s="67" t="s">
        <v>107</v>
      </c>
      <c r="B27" s="67" t="s">
        <v>212</v>
      </c>
      <c r="C27" s="2">
        <v>377</v>
      </c>
      <c r="D27">
        <f>RTD("tos.rtd", , "LAST", Main_S[[#This Row],[Symbol]])</f>
        <v>3.88</v>
      </c>
      <c r="E27">
        <v>0.25</v>
      </c>
      <c r="F27">
        <v>3.82</v>
      </c>
      <c r="G27">
        <v>0.54</v>
      </c>
      <c r="H27" s="1">
        <f>IF(ISNUMBER(Main_S[[#This Row],[Free CF]]),IF(Main_S[[#This Row],[Free CF]]&lt;&gt;0,Main_S[[#This Row],[Current Price]]/Main_S[[#This Row],[Free CF]],""),"")</f>
        <v>15.52</v>
      </c>
      <c r="I27" s="1">
        <f>IF(ISNUMBER(Main_S[[#This Row],[BVPS]]),IF(Main_S[[#This Row],[BVPS]]&lt;&gt;0,Main_S[[#This Row],[Current Price]]/Main_S[[#This Row],[BVPS]],""),"")</f>
        <v>1.0157068062827226</v>
      </c>
      <c r="J27">
        <v>15</v>
      </c>
      <c r="K27">
        <v>5.9</v>
      </c>
      <c r="L27">
        <v>1.83</v>
      </c>
      <c r="M27" s="1">
        <f>IF(ISNUMBER(Main_S[[#This Row],[EPS]]),IF(Main_S[[#This Row],[EPS]]&lt;&gt;0,Main_S[[#This Row],[Current Price]]/Main_S[[#This Row],[EPS]],""),"")</f>
        <v>7.1851851851851842</v>
      </c>
      <c r="N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" s="1">
        <f>(Main_S[[#This Row],[P/FCF]]-VLOOKUP(Main_S[[#This Row],[Industry]], Mean_PFCF_S, 2, FALSE))/(VLOOKUP(Main_S[[#This Row],[Industry]], Mean_PFCF_S, 3, FALSE))</f>
        <v>0.63141735023673617</v>
      </c>
      <c r="P27" s="1">
        <f>(Main_S[[#This Row],[P/B]]-VLOOKUP(Main_S[[#This Row],[Industry]], Mean_PB_S, 2, FALSE))/(VLOOKUP(Main_S[[#This Row],[Industry]], Mean_PB_S, 3, FALSE))</f>
        <v>-0.73234333177416233</v>
      </c>
      <c r="Q27" s="1">
        <f>(Main_S[[#This Row],[ROE]]-VLOOKUP(Main_S[[#This Row],[Industry]], Mean_ROE_S, 2, FALSE))/(VLOOKUP(Main_S[[#This Row],[Industry]], Mean_ROE_S, 3, FALSE))</f>
        <v>0.79379650264958168</v>
      </c>
      <c r="R27" s="1">
        <f>(Main_S[[#This Row],[ROA]]-VLOOKUP(Main_S[[#This Row],[Industry]], Mean_ROA_S, 2, FALSE))/(VLOOKUP(Main_S[[#This Row],[Industry]], Mean_ROA_S, 3, FALSE))</f>
        <v>0.3989005761243411</v>
      </c>
      <c r="S27" s="1">
        <f>(Main_S[[#This Row],[A/E]]-VLOOKUP(Main_S[[#This Row],[Industry]], Mean_AE_S, 2, FALSE))/(VLOOKUP(Main_S[[#This Row],[Industry]], Mean_AE_S, 3, FALSE))</f>
        <v>-0.6099843501843869</v>
      </c>
      <c r="T27" s="1">
        <f>(Main_S[[#This Row],[P/E]]-VLOOKUP(Main_S[[#This Row],[Industry]], Mean_PE_S, 2, FALSE))/(VLOOKUP(Main_S[[#This Row],[Industry]], Mean_PE_S, 3, FALSE))</f>
        <v>-0.92034193493398142</v>
      </c>
      <c r="U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" spans="1:26" x14ac:dyDescent="0.25">
      <c r="A28" s="67" t="s">
        <v>107</v>
      </c>
      <c r="B28" s="67" t="s">
        <v>264</v>
      </c>
      <c r="C28" s="2">
        <v>1091</v>
      </c>
      <c r="D28">
        <f>RTD("tos.rtd", , "LAST", Main_S[[#This Row],[Symbol]])</f>
        <v>160</v>
      </c>
      <c r="E28">
        <v>11.68</v>
      </c>
      <c r="F28">
        <v>109.26</v>
      </c>
      <c r="G28">
        <v>11.79</v>
      </c>
      <c r="H28" s="1">
        <f>IF(ISNUMBER(Main_S[[#This Row],[Free CF]]),IF(Main_S[[#This Row],[Free CF]]&lt;&gt;0,Main_S[[#This Row],[Current Price]]/Main_S[[#This Row],[Free CF]],""),"")</f>
        <v>13.698630136986301</v>
      </c>
      <c r="I28" s="1">
        <f>IF(ISNUMBER(Main_S[[#This Row],[BVPS]]),IF(Main_S[[#This Row],[BVPS]]&lt;&gt;0,Main_S[[#This Row],[Current Price]]/Main_S[[#This Row],[BVPS]],""),"")</f>
        <v>1.4643968515467691</v>
      </c>
      <c r="J28">
        <v>10.36</v>
      </c>
      <c r="K28">
        <v>5.89</v>
      </c>
      <c r="L28">
        <v>2.2400000000000002</v>
      </c>
      <c r="M28" s="1">
        <f>IF(ISNUMBER(Main_S[[#This Row],[EPS]]),IF(Main_S[[#This Row],[EPS]]&lt;&gt;0,Main_S[[#This Row],[Current Price]]/Main_S[[#This Row],[EPS]],""),"")</f>
        <v>13.570822731128075</v>
      </c>
      <c r="N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" s="1">
        <f>(Main_S[[#This Row],[P/FCF]]-VLOOKUP(Main_S[[#This Row],[Industry]], Mean_PFCF_S, 2, FALSE))/(VLOOKUP(Main_S[[#This Row],[Industry]], Mean_PFCF_S, 3, FALSE))</f>
        <v>0.51869381242232582</v>
      </c>
      <c r="P28" s="1">
        <f>(Main_S[[#This Row],[P/B]]-VLOOKUP(Main_S[[#This Row],[Industry]], Mean_PB_S, 2, FALSE))/(VLOOKUP(Main_S[[#This Row],[Industry]], Mean_PB_S, 3, FALSE))</f>
        <v>-0.4172994868209548</v>
      </c>
      <c r="Q28" s="1">
        <f>(Main_S[[#This Row],[ROE]]-VLOOKUP(Main_S[[#This Row],[Industry]], Mean_ROE_S, 2, FALSE))/(VLOOKUP(Main_S[[#This Row],[Industry]], Mean_ROE_S, 3, FALSE))</f>
        <v>8.1719987947975137E-2</v>
      </c>
      <c r="R28" s="1">
        <f>(Main_S[[#This Row],[ROA]]-VLOOKUP(Main_S[[#This Row],[Industry]], Mean_ROA_S, 2, FALSE))/(VLOOKUP(Main_S[[#This Row],[Industry]], Mean_ROA_S, 3, FALSE))</f>
        <v>0.3953495324199699</v>
      </c>
      <c r="S28" s="1">
        <f>(Main_S[[#This Row],[A/E]]-VLOOKUP(Main_S[[#This Row],[Industry]], Mean_AE_S, 2, FALSE))/(VLOOKUP(Main_S[[#This Row],[Industry]], Mean_AE_S, 3, FALSE))</f>
        <v>-0.33327385202381926</v>
      </c>
      <c r="T28" s="1">
        <f>(Main_S[[#This Row],[P/E]]-VLOOKUP(Main_S[[#This Row],[Industry]], Mean_PE_S, 2, FALSE))/(VLOOKUP(Main_S[[#This Row],[Industry]], Mean_PE_S, 3, FALSE))</f>
        <v>-0.42441253453392735</v>
      </c>
      <c r="U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9" spans="1:26" x14ac:dyDescent="0.25">
      <c r="A29" s="67" t="s">
        <v>107</v>
      </c>
      <c r="B29" s="67" t="s">
        <v>220</v>
      </c>
      <c r="C29" s="2">
        <v>344</v>
      </c>
      <c r="D29">
        <f>RTD("tos.rtd", , "LAST", Main_S[[#This Row],[Symbol]])</f>
        <v>24.8</v>
      </c>
      <c r="E29">
        <v>0.32</v>
      </c>
      <c r="F29">
        <v>4.88</v>
      </c>
      <c r="G29">
        <v>0.67</v>
      </c>
      <c r="H29" s="1">
        <f>IF(ISNUMBER(Main_S[[#This Row],[Free CF]]),IF(Main_S[[#This Row],[Free CF]]&lt;&gt;0,Main_S[[#This Row],[Current Price]]/Main_S[[#This Row],[Free CF]],""),"")</f>
        <v>77.5</v>
      </c>
      <c r="I29" s="1">
        <f>IF(ISNUMBER(Main_S[[#This Row],[BVPS]]),IF(Main_S[[#This Row],[BVPS]]&lt;&gt;0,Main_S[[#This Row],[Current Price]]/Main_S[[#This Row],[BVPS]],""),"")</f>
        <v>5.081967213114754</v>
      </c>
      <c r="J29">
        <v>14.73</v>
      </c>
      <c r="K29">
        <v>8.4</v>
      </c>
      <c r="L29">
        <v>1.26</v>
      </c>
      <c r="M29" s="1">
        <f>IF(ISNUMBER(Main_S[[#This Row],[EPS]]),IF(Main_S[[#This Row],[EPS]]&lt;&gt;0,Main_S[[#This Row],[Current Price]]/Main_S[[#This Row],[EPS]],""),"")</f>
        <v>37.014925373134325</v>
      </c>
      <c r="N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" s="1">
        <f>(Main_S[[#This Row],[P/FCF]]-VLOOKUP(Main_S[[#This Row],[Industry]], Mean_PFCF_S, 2, FALSE))/(VLOOKUP(Main_S[[#This Row],[Industry]], Mean_PFCF_S, 3, FALSE))</f>
        <v>4.4673240573878514</v>
      </c>
      <c r="P29" s="1">
        <f>(Main_S[[#This Row],[P/B]]-VLOOKUP(Main_S[[#This Row],[Industry]], Mean_PB_S, 2, FALSE))/(VLOOKUP(Main_S[[#This Row],[Industry]], Mean_PB_S, 3, FALSE))</f>
        <v>2.122746337967631</v>
      </c>
      <c r="Q29" s="1">
        <f>(Main_S[[#This Row],[ROE]]-VLOOKUP(Main_S[[#This Row],[Industry]], Mean_ROE_S, 2, FALSE))/(VLOOKUP(Main_S[[#This Row],[Industry]], Mean_ROE_S, 3, FALSE))</f>
        <v>0.75236101580272108</v>
      </c>
      <c r="R29" s="1">
        <f>(Main_S[[#This Row],[ROA]]-VLOOKUP(Main_S[[#This Row],[Industry]], Mean_ROA_S, 2, FALSE))/(VLOOKUP(Main_S[[#This Row],[Industry]], Mean_ROA_S, 3, FALSE))</f>
        <v>1.286661502217088</v>
      </c>
      <c r="S29" s="1">
        <f>(Main_S[[#This Row],[A/E]]-VLOOKUP(Main_S[[#This Row],[Industry]], Mean_AE_S, 2, FALSE))/(VLOOKUP(Main_S[[#This Row],[Industry]], Mean_AE_S, 3, FALSE))</f>
        <v>-0.99467943299298089</v>
      </c>
      <c r="T29" s="1">
        <f>(Main_S[[#This Row],[P/E]]-VLOOKUP(Main_S[[#This Row],[Industry]], Mean_PE_S, 2, FALSE))/(VLOOKUP(Main_S[[#This Row],[Industry]], Mean_PE_S, 3, FALSE))</f>
        <v>1.3963327994311117</v>
      </c>
      <c r="U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0" spans="1:26" x14ac:dyDescent="0.25">
      <c r="A30" s="67" t="s">
        <v>107</v>
      </c>
      <c r="B30" s="67" t="s">
        <v>265</v>
      </c>
      <c r="C30" s="2">
        <v>312</v>
      </c>
      <c r="D30">
        <f>RTD("tos.rtd", , "LAST", Main_S[[#This Row],[Symbol]])</f>
        <v>8.2100000000000009</v>
      </c>
      <c r="E30">
        <v>0</v>
      </c>
      <c r="F30">
        <v>0.66</v>
      </c>
      <c r="G30">
        <v>0.09</v>
      </c>
      <c r="H30" s="1" t="str">
        <f>IF(ISNUMBER(Main_S[[#This Row],[Free CF]]),IF(Main_S[[#This Row],[Free CF]]&lt;&gt;0,Main_S[[#This Row],[Current Price]]/Main_S[[#This Row],[Free CF]],""),"")</f>
        <v/>
      </c>
      <c r="I30" s="1">
        <f>IF(ISNUMBER(Main_S[[#This Row],[BVPS]]),IF(Main_S[[#This Row],[BVPS]]&lt;&gt;0,Main_S[[#This Row],[Current Price]]/Main_S[[#This Row],[BVPS]],""),"")</f>
        <v>12.439393939393939</v>
      </c>
      <c r="J30">
        <v>16.690000000000001</v>
      </c>
      <c r="K30">
        <v>7.84</v>
      </c>
      <c r="L30">
        <v>1.89</v>
      </c>
      <c r="M30" s="1">
        <f>IF(ISNUMBER(Main_S[[#This Row],[EPS]]),IF(Main_S[[#This Row],[EPS]]&lt;&gt;0,Main_S[[#This Row],[Current Price]]/Main_S[[#This Row],[EPS]],""),"")</f>
        <v>91.222222222222229</v>
      </c>
      <c r="N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0" s="1" t="e">
        <f>(Main_S[[#This Row],[P/FCF]]-VLOOKUP(Main_S[[#This Row],[Industry]], Mean_PFCF_S, 2, FALSE))/(VLOOKUP(Main_S[[#This Row],[Industry]], Mean_PFCF_S, 3, FALSE))</f>
        <v>#VALUE!</v>
      </c>
      <c r="P30" s="1">
        <f>(Main_S[[#This Row],[P/B]]-VLOOKUP(Main_S[[#This Row],[Industry]], Mean_PB_S, 2, FALSE))/(VLOOKUP(Main_S[[#This Row],[Industry]], Mean_PB_S, 3, FALSE))</f>
        <v>7.2887000498322037</v>
      </c>
      <c r="Q30" s="1">
        <f>(Main_S[[#This Row],[ROE]]-VLOOKUP(Main_S[[#This Row],[Industry]], Mean_ROE_S, 2, FALSE))/(VLOOKUP(Main_S[[#This Row],[Industry]], Mean_ROE_S, 3, FALSE))</f>
        <v>1.0531519573577102</v>
      </c>
      <c r="R30" s="1">
        <f>(Main_S[[#This Row],[ROA]]-VLOOKUP(Main_S[[#This Row],[Industry]], Mean_ROA_S, 2, FALSE))/(VLOOKUP(Main_S[[#This Row],[Industry]], Mean_ROA_S, 3, FALSE))</f>
        <v>1.0878030547723125</v>
      </c>
      <c r="S30" s="1">
        <f>(Main_S[[#This Row],[A/E]]-VLOOKUP(Main_S[[#This Row],[Industry]], Mean_AE_S, 2, FALSE))/(VLOOKUP(Main_S[[#This Row],[Industry]], Mean_AE_S, 3, FALSE))</f>
        <v>-0.56949013094137713</v>
      </c>
      <c r="T30" s="1">
        <f>(Main_S[[#This Row],[P/E]]-VLOOKUP(Main_S[[#This Row],[Industry]], Mean_PE_S, 2, FALSE))/(VLOOKUP(Main_S[[#This Row],[Industry]], Mean_PE_S, 3, FALSE))</f>
        <v>5.6062479457669676</v>
      </c>
      <c r="U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1" spans="1:26" x14ac:dyDescent="0.25">
      <c r="A31" s="67" t="s">
        <v>107</v>
      </c>
      <c r="B31" s="67" t="s">
        <v>221</v>
      </c>
      <c r="C31" s="2">
        <v>327</v>
      </c>
      <c r="D31">
        <f>RTD("tos.rtd", , "LAST", Main_S[[#This Row],[Symbol]])</f>
        <v>12.76</v>
      </c>
      <c r="E31">
        <v>-4.38</v>
      </c>
      <c r="F31">
        <v>4.03</v>
      </c>
      <c r="G31">
        <v>-6.17</v>
      </c>
      <c r="H31" s="1">
        <f>IF(ISNUMBER(Main_S[[#This Row],[Free CF]]),IF(Main_S[[#This Row],[Free CF]]&lt;&gt;0,Main_S[[#This Row],[Current Price]]/Main_S[[#This Row],[Free CF]],""),"")</f>
        <v>-2.91324200913242</v>
      </c>
      <c r="I31" s="1">
        <f>IF(ISNUMBER(Main_S[[#This Row],[BVPS]]),IF(Main_S[[#This Row],[BVPS]]&lt;&gt;0,Main_S[[#This Row],[Current Price]]/Main_S[[#This Row],[BVPS]],""),"")</f>
        <v>3.1662531017369724</v>
      </c>
      <c r="J31">
        <v>-85.5</v>
      </c>
      <c r="K31">
        <v>-7.34</v>
      </c>
      <c r="L31">
        <v>6.58</v>
      </c>
      <c r="M31" s="1">
        <f>IF(ISNUMBER(Main_S[[#This Row],[EPS]]),IF(Main_S[[#This Row],[EPS]]&lt;&gt;0,Main_S[[#This Row],[Current Price]]/Main_S[[#This Row],[EPS]],""),"")</f>
        <v>-2.0680713128038897</v>
      </c>
      <c r="N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1" s="1">
        <f>(Main_S[[#This Row],[P/FCF]]-VLOOKUP(Main_S[[#This Row],[Industry]], Mean_PFCF_S, 2, FALSE))/(VLOOKUP(Main_S[[#This Row],[Industry]], Mean_PFCF_S, 3, FALSE))</f>
        <v>-0.5094054419118722</v>
      </c>
      <c r="P31" s="1">
        <f>(Main_S[[#This Row],[P/B]]-VLOOKUP(Main_S[[#This Row],[Industry]], Mean_PB_S, 2, FALSE))/(VLOOKUP(Main_S[[#This Row],[Industry]], Mean_PB_S, 3, FALSE))</f>
        <v>0.77764419930885165</v>
      </c>
      <c r="Q31" s="1">
        <f>(Main_S[[#This Row],[ROE]]-VLOOKUP(Main_S[[#This Row],[Industry]], Mean_ROE_S, 2, FALSE))/(VLOOKUP(Main_S[[#This Row],[Industry]], Mean_ROE_S, 3, FALSE))</f>
        <v>-14.629412490348576</v>
      </c>
      <c r="R31" s="1">
        <f>(Main_S[[#This Row],[ROA]]-VLOOKUP(Main_S[[#This Row],[Industry]], Mean_ROA_S, 2, FALSE))/(VLOOKUP(Main_S[[#This Row],[Industry]], Mean_ROA_S, 3, FALSE))</f>
        <v>-4.3026812884628463</v>
      </c>
      <c r="S31" s="1">
        <f>(Main_S[[#This Row],[A/E]]-VLOOKUP(Main_S[[#This Row],[Industry]], Mean_AE_S, 2, FALSE))/(VLOOKUP(Main_S[[#This Row],[Industry]], Mean_AE_S, 3, FALSE))</f>
        <v>2.5958080065538955</v>
      </c>
      <c r="T31" s="1">
        <f>(Main_S[[#This Row],[P/E]]-VLOOKUP(Main_S[[#This Row],[Industry]], Mean_PE_S, 2, FALSE))/(VLOOKUP(Main_S[[#This Row],[Industry]], Mean_PE_S, 3, FALSE))</f>
        <v>-1.6389799587459057</v>
      </c>
      <c r="U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2" spans="1:26" x14ac:dyDescent="0.25">
      <c r="A32" s="67" t="s">
        <v>107</v>
      </c>
      <c r="B32" s="67" t="s">
        <v>268</v>
      </c>
      <c r="C32" s="2">
        <v>519</v>
      </c>
      <c r="D32">
        <f>RTD("tos.rtd", , "LAST", Main_S[[#This Row],[Symbol]])</f>
        <v>4.1288</v>
      </c>
      <c r="E32">
        <v>-0.32</v>
      </c>
      <c r="F32">
        <v>2.33</v>
      </c>
      <c r="G32">
        <v>0.28000000000000003</v>
      </c>
      <c r="H32" s="1">
        <f>IF(ISNUMBER(Main_S[[#This Row],[Free CF]]),IF(Main_S[[#This Row],[Free CF]]&lt;&gt;0,Main_S[[#This Row],[Current Price]]/Main_S[[#This Row],[Free CF]],""),"")</f>
        <v>-12.9025</v>
      </c>
      <c r="I32" s="1">
        <f>IF(ISNUMBER(Main_S[[#This Row],[BVPS]]),IF(Main_S[[#This Row],[BVPS]]&lt;&gt;0,Main_S[[#This Row],[Current Price]]/Main_S[[#This Row],[BVPS]],""),"")</f>
        <v>1.7720171673819742</v>
      </c>
      <c r="J32">
        <v>14.44</v>
      </c>
      <c r="K32">
        <v>6.4</v>
      </c>
      <c r="L32">
        <v>2.5</v>
      </c>
      <c r="M32" s="1">
        <f>IF(ISNUMBER(Main_S[[#This Row],[EPS]]),IF(Main_S[[#This Row],[EPS]]&lt;&gt;0,Main_S[[#This Row],[Current Price]]/Main_S[[#This Row],[EPS]],""),"")</f>
        <v>14.745714285714284</v>
      </c>
      <c r="N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2" s="1">
        <f>(Main_S[[#This Row],[P/FCF]]-VLOOKUP(Main_S[[#This Row],[Industry]], Mean_PFCF_S, 2, FALSE))/(VLOOKUP(Main_S[[#This Row],[Industry]], Mean_PFCF_S, 3, FALSE))</f>
        <v>-1.1276348986177747</v>
      </c>
      <c r="P32" s="1">
        <f>(Main_S[[#This Row],[P/B]]-VLOOKUP(Main_S[[#This Row],[Industry]], Mean_PB_S, 2, FALSE))/(VLOOKUP(Main_S[[#This Row],[Industry]], Mean_PB_S, 3, FALSE))</f>
        <v>-0.20130653554116679</v>
      </c>
      <c r="Q32" s="1">
        <f>(Main_S[[#This Row],[ROE]]-VLOOKUP(Main_S[[#This Row],[Industry]], Mean_ROE_S, 2, FALSE))/(VLOOKUP(Main_S[[#This Row],[Industry]], Mean_ROE_S, 3, FALSE))</f>
        <v>0.70785623363387051</v>
      </c>
      <c r="R32" s="1">
        <f>(Main_S[[#This Row],[ROA]]-VLOOKUP(Main_S[[#This Row],[Industry]], Mean_ROA_S, 2, FALSE))/(VLOOKUP(Main_S[[#This Row],[Industry]], Mean_ROA_S, 3, FALSE))</f>
        <v>0.57645276134289047</v>
      </c>
      <c r="S32" s="1">
        <f>(Main_S[[#This Row],[A/E]]-VLOOKUP(Main_S[[#This Row],[Industry]], Mean_AE_S, 2, FALSE))/(VLOOKUP(Main_S[[#This Row],[Industry]], Mean_AE_S, 3, FALSE))</f>
        <v>-0.15779890197077653</v>
      </c>
      <c r="T32" s="1">
        <f>(Main_S[[#This Row],[P/E]]-VLOOKUP(Main_S[[#This Row],[Industry]], Mean_PE_S, 2, FALSE))/(VLOOKUP(Main_S[[#This Row],[Industry]], Mean_PE_S, 3, FALSE))</f>
        <v>-0.33316663151971376</v>
      </c>
      <c r="U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3" spans="1:26" x14ac:dyDescent="0.25">
      <c r="A33" s="67" t="s">
        <v>107</v>
      </c>
      <c r="B33" s="67" t="s">
        <v>222</v>
      </c>
      <c r="C33" s="2">
        <v>649</v>
      </c>
      <c r="D33">
        <f>RTD("tos.rtd", , "LAST", Main_S[[#This Row],[Symbol]])</f>
        <v>92.22</v>
      </c>
      <c r="E33">
        <v>36.93</v>
      </c>
      <c r="F33">
        <v>89.03</v>
      </c>
      <c r="G33">
        <v>5.45</v>
      </c>
      <c r="H33" s="1">
        <f>IF(ISNUMBER(Main_S[[#This Row],[Free CF]]),IF(Main_S[[#This Row],[Free CF]]&lt;&gt;0,Main_S[[#This Row],[Current Price]]/Main_S[[#This Row],[Free CF]],""),"")</f>
        <v>2.497156783103168</v>
      </c>
      <c r="I33" s="1">
        <f>IF(ISNUMBER(Main_S[[#This Row],[BVPS]]),IF(Main_S[[#This Row],[BVPS]]&lt;&gt;0,Main_S[[#This Row],[Current Price]]/Main_S[[#This Row],[BVPS]],""),"")</f>
        <v>1.0358306188925082</v>
      </c>
      <c r="J33">
        <v>6.36</v>
      </c>
      <c r="K33">
        <v>3.91</v>
      </c>
      <c r="L33">
        <v>2</v>
      </c>
      <c r="M33" s="1">
        <f>IF(ISNUMBER(Main_S[[#This Row],[EPS]]),IF(Main_S[[#This Row],[EPS]]&lt;&gt;0,Main_S[[#This Row],[Current Price]]/Main_S[[#This Row],[EPS]],""),"")</f>
        <v>16.921100917431193</v>
      </c>
      <c r="N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3" s="1">
        <f>(Main_S[[#This Row],[P/FCF]]-VLOOKUP(Main_S[[#This Row],[Industry]], Mean_PFCF_S, 2, FALSE))/(VLOOKUP(Main_S[[#This Row],[Industry]], Mean_PFCF_S, 3, FALSE))</f>
        <v>-0.1745589589254446</v>
      </c>
      <c r="P33" s="1">
        <f>(Main_S[[#This Row],[P/B]]-VLOOKUP(Main_S[[#This Row],[Industry]], Mean_PB_S, 2, FALSE))/(VLOOKUP(Main_S[[#This Row],[Industry]], Mean_PB_S, 3, FALSE))</f>
        <v>-0.71821357033500721</v>
      </c>
      <c r="Q33" s="1">
        <f>(Main_S[[#This Row],[ROE]]-VLOOKUP(Main_S[[#This Row],[Industry]], Mean_ROE_S, 2, FALSE))/(VLOOKUP(Main_S[[#This Row],[Industry]], Mean_ROE_S, 3, FALSE))</f>
        <v>-0.53213907644996139</v>
      </c>
      <c r="R33" s="1">
        <f>(Main_S[[#This Row],[ROA]]-VLOOKUP(Main_S[[#This Row],[Industry]], Mean_ROA_S, 2, FALSE))/(VLOOKUP(Main_S[[#This Row],[Industry]], Mean_ROA_S, 3, FALSE))</f>
        <v>-0.30775712104548542</v>
      </c>
      <c r="S33" s="1">
        <f>(Main_S[[#This Row],[A/E]]-VLOOKUP(Main_S[[#This Row],[Industry]], Mean_AE_S, 2, FALSE))/(VLOOKUP(Main_S[[#This Row],[Industry]], Mean_AE_S, 3, FALSE))</f>
        <v>-0.49525072899585892</v>
      </c>
      <c r="T33" s="1">
        <f>(Main_S[[#This Row],[P/E]]-VLOOKUP(Main_S[[#This Row],[Industry]], Mean_PE_S, 2, FALSE))/(VLOOKUP(Main_S[[#This Row],[Industry]], Mean_PE_S, 3, FALSE))</f>
        <v>-0.1642190236820126</v>
      </c>
      <c r="U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4" spans="1:26" x14ac:dyDescent="0.25">
      <c r="A34" s="67" t="s">
        <v>107</v>
      </c>
      <c r="B34" s="67" t="s">
        <v>223</v>
      </c>
      <c r="C34" s="2">
        <v>733</v>
      </c>
      <c r="D34">
        <f>RTD("tos.rtd", , "LAST", Main_S[[#This Row],[Symbol]])</f>
        <v>5.68</v>
      </c>
      <c r="E34">
        <v>0.24</v>
      </c>
      <c r="F34">
        <v>1.32</v>
      </c>
      <c r="G34">
        <v>-0.09</v>
      </c>
      <c r="H34" s="1">
        <f>IF(ISNUMBER(Main_S[[#This Row],[Free CF]]),IF(Main_S[[#This Row],[Free CF]]&lt;&gt;0,Main_S[[#This Row],[Current Price]]/Main_S[[#This Row],[Free CF]],""),"")</f>
        <v>23.666666666666668</v>
      </c>
      <c r="I34" s="1">
        <f>IF(ISNUMBER(Main_S[[#This Row],[BVPS]]),IF(Main_S[[#This Row],[BVPS]]&lt;&gt;0,Main_S[[#This Row],[Current Price]]/Main_S[[#This Row],[BVPS]],""),"")</f>
        <v>4.3030303030303028</v>
      </c>
      <c r="J34">
        <v>-5.92</v>
      </c>
      <c r="K34">
        <v>3.81</v>
      </c>
      <c r="L34">
        <v>4.46</v>
      </c>
      <c r="M34" s="1">
        <f>IF(ISNUMBER(Main_S[[#This Row],[EPS]]),IF(Main_S[[#This Row],[EPS]]&lt;&gt;0,Main_S[[#This Row],[Current Price]]/Main_S[[#This Row],[EPS]],""),"")</f>
        <v>-63.111111111111107</v>
      </c>
      <c r="N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4" s="1">
        <f>(Main_S[[#This Row],[P/FCF]]-VLOOKUP(Main_S[[#This Row],[Industry]], Mean_PFCF_S, 2, FALSE))/(VLOOKUP(Main_S[[#This Row],[Industry]], Mean_PFCF_S, 3, FALSE))</f>
        <v>1.1356098850478218</v>
      </c>
      <c r="P34" s="1">
        <f>(Main_S[[#This Row],[P/B]]-VLOOKUP(Main_S[[#This Row],[Industry]], Mean_PB_S, 2, FALSE))/(VLOOKUP(Main_S[[#This Row],[Industry]], Mean_PB_S, 3, FALSE))</f>
        <v>1.5758225055376891</v>
      </c>
      <c r="Q34" s="1">
        <f>(Main_S[[#This Row],[ROE]]-VLOOKUP(Main_S[[#This Row],[Industry]], Mean_ROE_S, 2, FALSE))/(VLOOKUP(Main_S[[#This Row],[Industry]], Mean_ROE_S, 3, FALSE))</f>
        <v>-2.4166864041516267</v>
      </c>
      <c r="R34" s="1">
        <f>(Main_S[[#This Row],[ROA]]-VLOOKUP(Main_S[[#This Row],[Industry]], Mean_ROA_S, 2, FALSE))/(VLOOKUP(Main_S[[#This Row],[Industry]], Mean_ROA_S, 3, FALSE))</f>
        <v>-0.34326755808919529</v>
      </c>
      <c r="S34" s="1">
        <f>(Main_S[[#This Row],[A/E]]-VLOOKUP(Main_S[[#This Row],[Industry]], Mean_AE_S, 2, FALSE))/(VLOOKUP(Main_S[[#This Row],[Industry]], Mean_AE_S, 3, FALSE))</f>
        <v>1.1650122599675463</v>
      </c>
      <c r="T34" s="1">
        <f>(Main_S[[#This Row],[P/E]]-VLOOKUP(Main_S[[#This Row],[Industry]], Mean_PE_S, 2, FALSE))/(VLOOKUP(Main_S[[#This Row],[Industry]], Mean_PE_S, 3, FALSE))</f>
        <v>-6.3797811564282076</v>
      </c>
      <c r="U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5" spans="1:26" x14ac:dyDescent="0.25">
      <c r="A35" s="67" t="s">
        <v>107</v>
      </c>
      <c r="B35" s="67" t="s">
        <v>224</v>
      </c>
      <c r="C35" s="2">
        <v>1134</v>
      </c>
      <c r="D35">
        <f>RTD("tos.rtd", , "LAST", Main_S[[#This Row],[Symbol]])</f>
        <v>22.57</v>
      </c>
      <c r="E35">
        <v>2.48</v>
      </c>
      <c r="F35">
        <v>30.14</v>
      </c>
      <c r="G35">
        <v>0.13</v>
      </c>
      <c r="H35" s="1">
        <f>IF(ISNUMBER(Main_S[[#This Row],[Free CF]]),IF(Main_S[[#This Row],[Free CF]]&lt;&gt;0,Main_S[[#This Row],[Current Price]]/Main_S[[#This Row],[Free CF]],""),"")</f>
        <v>9.1008064516129039</v>
      </c>
      <c r="I35" s="1">
        <f>IF(ISNUMBER(Main_S[[#This Row],[BVPS]]),IF(Main_S[[#This Row],[BVPS]]&lt;&gt;0,Main_S[[#This Row],[Current Price]]/Main_S[[#This Row],[BVPS]],""),"")</f>
        <v>0.74883875248838749</v>
      </c>
      <c r="J35">
        <v>0.43</v>
      </c>
      <c r="K35">
        <v>2.64</v>
      </c>
      <c r="L35">
        <v>2.59</v>
      </c>
      <c r="M35" s="1">
        <f>IF(ISNUMBER(Main_S[[#This Row],[EPS]]),IF(Main_S[[#This Row],[EPS]]&lt;&gt;0,Main_S[[#This Row],[Current Price]]/Main_S[[#This Row],[EPS]],""),"")</f>
        <v>173.61538461538461</v>
      </c>
      <c r="N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5" s="1">
        <f>(Main_S[[#This Row],[P/FCF]]-VLOOKUP(Main_S[[#This Row],[Industry]], Mean_PFCF_S, 2, FALSE))/(VLOOKUP(Main_S[[#This Row],[Industry]], Mean_PFCF_S, 3, FALSE))</f>
        <v>0.23413713747843951</v>
      </c>
      <c r="P35" s="1">
        <f>(Main_S[[#This Row],[P/B]]-VLOOKUP(Main_S[[#This Row],[Industry]], Mean_PB_S, 2, FALSE))/(VLOOKUP(Main_S[[#This Row],[Industry]], Mean_PB_S, 3, FALSE))</f>
        <v>-0.91972243378448193</v>
      </c>
      <c r="Q35" s="1">
        <f>(Main_S[[#This Row],[ROE]]-VLOOKUP(Main_S[[#This Row],[Industry]], Mean_ROE_S, 2, FALSE))/(VLOOKUP(Main_S[[#This Row],[Industry]], Mean_ROE_S, 3, FALSE))</f>
        <v>-1.4421851394199026</v>
      </c>
      <c r="R35" s="1">
        <f>(Main_S[[#This Row],[ROA]]-VLOOKUP(Main_S[[#This Row],[Industry]], Mean_ROA_S, 2, FALSE))/(VLOOKUP(Main_S[[#This Row],[Industry]], Mean_ROA_S, 3, FALSE))</f>
        <v>-0.75873967150060073</v>
      </c>
      <c r="S35" s="1">
        <f>(Main_S[[#This Row],[A/E]]-VLOOKUP(Main_S[[#This Row],[Industry]], Mean_AE_S, 2, FALSE))/(VLOOKUP(Main_S[[#This Row],[Industry]], Mean_AE_S, 3, FALSE))</f>
        <v>-9.7057573106261799E-2</v>
      </c>
      <c r="T35" s="1">
        <f>(Main_S[[#This Row],[P/E]]-VLOOKUP(Main_S[[#This Row],[Industry]], Mean_PE_S, 2, FALSE))/(VLOOKUP(Main_S[[#This Row],[Industry]], Mean_PE_S, 3, FALSE))</f>
        <v>12.005169169954899</v>
      </c>
      <c r="U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6" spans="1:26" x14ac:dyDescent="0.25">
      <c r="A36" s="67" t="s">
        <v>107</v>
      </c>
      <c r="B36" s="67" t="s">
        <v>225</v>
      </c>
      <c r="C36" s="2">
        <v>1139</v>
      </c>
      <c r="D36">
        <f>RTD("tos.rtd", , "LAST", Main_S[[#This Row],[Symbol]])</f>
        <v>13.98</v>
      </c>
      <c r="E36">
        <v>-0.16</v>
      </c>
      <c r="F36">
        <v>8.43</v>
      </c>
      <c r="G36">
        <v>0.32</v>
      </c>
      <c r="H36" s="1">
        <f>IF(ISNUMBER(Main_S[[#This Row],[Free CF]]),IF(Main_S[[#This Row],[Free CF]]&lt;&gt;0,Main_S[[#This Row],[Current Price]]/Main_S[[#This Row],[Free CF]],""),"")</f>
        <v>-87.375</v>
      </c>
      <c r="I36" s="1">
        <f>IF(ISNUMBER(Main_S[[#This Row],[BVPS]]),IF(Main_S[[#This Row],[BVPS]]&lt;&gt;0,Main_S[[#This Row],[Current Price]]/Main_S[[#This Row],[BVPS]],""),"")</f>
        <v>1.6583629893238436</v>
      </c>
      <c r="J36">
        <v>2.46</v>
      </c>
      <c r="K36">
        <v>1.25</v>
      </c>
      <c r="L36">
        <v>3.83</v>
      </c>
      <c r="M36" s="1">
        <f>IF(ISNUMBER(Main_S[[#This Row],[EPS]]),IF(Main_S[[#This Row],[EPS]]&lt;&gt;0,Main_S[[#This Row],[Current Price]]/Main_S[[#This Row],[EPS]],""),"")</f>
        <v>43.6875</v>
      </c>
      <c r="N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6" s="1">
        <f>(Main_S[[#This Row],[P/FCF]]-VLOOKUP(Main_S[[#This Row],[Industry]], Mean_PFCF_S, 2, FALSE))/(VLOOKUP(Main_S[[#This Row],[Industry]], Mean_PFCF_S, 3, FALSE))</f>
        <v>-5.7366952769383852</v>
      </c>
      <c r="P36" s="1">
        <f>(Main_S[[#This Row],[P/B]]-VLOOKUP(Main_S[[#This Row],[Industry]], Mean_PB_S, 2, FALSE))/(VLOOKUP(Main_S[[#This Row],[Industry]], Mean_PB_S, 3, FALSE))</f>
        <v>-0.2811078363018259</v>
      </c>
      <c r="Q36" s="1">
        <f>(Main_S[[#This Row],[ROE]]-VLOOKUP(Main_S[[#This Row],[Industry]], Mean_ROE_S, 2, FALSE))/(VLOOKUP(Main_S[[#This Row],[Industry]], Mean_ROE_S, 3, FALSE))</f>
        <v>-1.1306516642379496</v>
      </c>
      <c r="R36" s="1">
        <f>(Main_S[[#This Row],[ROA]]-VLOOKUP(Main_S[[#This Row],[Industry]], Mean_ROA_S, 2, FALSE))/(VLOOKUP(Main_S[[#This Row],[Industry]], Mean_ROA_S, 3, FALSE))</f>
        <v>-1.252334746408168</v>
      </c>
      <c r="S36" s="1">
        <f>(Main_S[[#This Row],[A/E]]-VLOOKUP(Main_S[[#This Row],[Industry]], Mean_AE_S, 2, FALSE))/(VLOOKUP(Main_S[[#This Row],[Industry]], Mean_AE_S, 3, FALSE))</f>
        <v>0.73982295791594266</v>
      </c>
      <c r="T36" s="1">
        <f>(Main_S[[#This Row],[P/E]]-VLOOKUP(Main_S[[#This Row],[Industry]], Mean_PE_S, 2, FALSE))/(VLOOKUP(Main_S[[#This Row],[Industry]], Mean_PE_S, 3, FALSE))</f>
        <v>1.9145466676655465</v>
      </c>
      <c r="U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7" spans="1:26" x14ac:dyDescent="0.25">
      <c r="A37" s="67" t="s">
        <v>107</v>
      </c>
      <c r="B37" s="67" t="s">
        <v>226</v>
      </c>
      <c r="C37" s="2">
        <v>1419</v>
      </c>
      <c r="D37">
        <f>RTD("tos.rtd", , "LAST", Main_S[[#This Row],[Symbol]])</f>
        <v>31.52</v>
      </c>
      <c r="E37">
        <v>0.36</v>
      </c>
      <c r="F37">
        <v>6.49</v>
      </c>
      <c r="G37">
        <v>1.1299999999999999</v>
      </c>
      <c r="H37" s="1">
        <f>IF(ISNUMBER(Main_S[[#This Row],[Free CF]]),IF(Main_S[[#This Row],[Free CF]]&lt;&gt;0,Main_S[[#This Row],[Current Price]]/Main_S[[#This Row],[Free CF]],""),"")</f>
        <v>87.555555555555557</v>
      </c>
      <c r="I37" s="1">
        <f>IF(ISNUMBER(Main_S[[#This Row],[BVPS]]),IF(Main_S[[#This Row],[BVPS]]&lt;&gt;0,Main_S[[#This Row],[Current Price]]/Main_S[[#This Row],[BVPS]],""),"")</f>
        <v>4.8567026194144836</v>
      </c>
      <c r="J37">
        <v>20.420000000000002</v>
      </c>
      <c r="K37">
        <v>11.29</v>
      </c>
      <c r="L37">
        <v>1.3</v>
      </c>
      <c r="M37" s="1">
        <f>IF(ISNUMBER(Main_S[[#This Row],[EPS]]),IF(Main_S[[#This Row],[EPS]]&lt;&gt;0,Main_S[[#This Row],[Current Price]]/Main_S[[#This Row],[EPS]],""),"")</f>
        <v>27.893805309734514</v>
      </c>
      <c r="N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7" s="1">
        <f>(Main_S[[#This Row],[P/FCF]]-VLOOKUP(Main_S[[#This Row],[Industry]], Mean_PFCF_S, 2, FALSE))/(VLOOKUP(Main_S[[#This Row],[Industry]], Mean_PFCF_S, 3, FALSE))</f>
        <v>5.0896566324069905</v>
      </c>
      <c r="P37" s="1">
        <f>(Main_S[[#This Row],[P/B]]-VLOOKUP(Main_S[[#This Row],[Industry]], Mean_PB_S, 2, FALSE))/(VLOOKUP(Main_S[[#This Row],[Industry]], Mean_PB_S, 3, FALSE))</f>
        <v>1.9645787465975313</v>
      </c>
      <c r="Q37" s="1">
        <f>(Main_S[[#This Row],[ROE]]-VLOOKUP(Main_S[[#This Row],[Industry]], Mean_ROE_S, 2, FALSE))/(VLOOKUP(Main_S[[#This Row],[Industry]], Mean_ROE_S, 3, FALSE))</f>
        <v>1.6255755349087861</v>
      </c>
      <c r="R37" s="1">
        <f>(Main_S[[#This Row],[ROA]]-VLOOKUP(Main_S[[#This Row],[Industry]], Mean_ROA_S, 2, FALSE))/(VLOOKUP(Main_S[[#This Row],[Industry]], Mean_ROA_S, 3, FALSE))</f>
        <v>2.3129131327803027</v>
      </c>
      <c r="S37" s="1">
        <f>(Main_S[[#This Row],[A/E]]-VLOOKUP(Main_S[[#This Row],[Industry]], Mean_AE_S, 2, FALSE))/(VLOOKUP(Main_S[[#This Row],[Industry]], Mean_AE_S, 3, FALSE))</f>
        <v>-0.96768328683097427</v>
      </c>
      <c r="T37" s="1">
        <f>(Main_S[[#This Row],[P/E]]-VLOOKUP(Main_S[[#This Row],[Industry]], Mean_PE_S, 2, FALSE))/(VLOOKUP(Main_S[[#This Row],[Industry]], Mean_PE_S, 3, FALSE))</f>
        <v>0.68795692130243069</v>
      </c>
      <c r="U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8" spans="1:26" x14ac:dyDescent="0.25">
      <c r="A38" s="67" t="s">
        <v>109</v>
      </c>
      <c r="B38" s="67" t="s">
        <v>230</v>
      </c>
      <c r="C38" s="2">
        <v>1681</v>
      </c>
      <c r="D38">
        <f>RTD("tos.rtd", , "LAST", Main_S[[#This Row],[Symbol]])</f>
        <v>22.34</v>
      </c>
      <c r="E38">
        <v>2.46</v>
      </c>
      <c r="F38">
        <v>1.85</v>
      </c>
      <c r="G38">
        <v>0.74</v>
      </c>
      <c r="H38" s="1">
        <f>IF(ISNUMBER(Main_S[[#This Row],[Free CF]]),IF(Main_S[[#This Row],[Free CF]]&lt;&gt;0,Main_S[[#This Row],[Current Price]]/Main_S[[#This Row],[Free CF]],""),"")</f>
        <v>9.0813008130081307</v>
      </c>
      <c r="I38" s="1">
        <f>IF(ISNUMBER(Main_S[[#This Row],[BVPS]]),IF(Main_S[[#This Row],[BVPS]]&lt;&gt;0,Main_S[[#This Row],[Current Price]]/Main_S[[#This Row],[BVPS]],""),"")</f>
        <v>12.075675675675676</v>
      </c>
      <c r="J38">
        <v>33.46</v>
      </c>
      <c r="K38">
        <v>6.62</v>
      </c>
      <c r="L38">
        <v>31.46</v>
      </c>
      <c r="M38" s="1">
        <f>IF(ISNUMBER(Main_S[[#This Row],[EPS]]),IF(Main_S[[#This Row],[EPS]]&lt;&gt;0,Main_S[[#This Row],[Current Price]]/Main_S[[#This Row],[EPS]],""),"")</f>
        <v>30.189189189189189</v>
      </c>
      <c r="N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8" s="1">
        <f>(Main_S[[#This Row],[P/FCF]]-VLOOKUP(Main_S[[#This Row],[Industry]], Mean_PFCF_S, 2, FALSE))/(VLOOKUP(Main_S[[#This Row],[Industry]], Mean_PFCF_S, 3, FALSE))</f>
        <v>-1.4139747140602728</v>
      </c>
      <c r="P38" s="1">
        <f>(Main_S[[#This Row],[P/B]]-VLOOKUP(Main_S[[#This Row],[Industry]], Mean_PB_S, 2, FALSE))/(VLOOKUP(Main_S[[#This Row],[Industry]], Mean_PB_S, 3, FALSE))</f>
        <v>1.3700795535766488</v>
      </c>
      <c r="Q38" s="1">
        <f>(Main_S[[#This Row],[ROE]]-VLOOKUP(Main_S[[#This Row],[Industry]], Mean_ROE_S, 2, FALSE))/(VLOOKUP(Main_S[[#This Row],[Industry]], Mean_ROE_S, 3, FALSE))</f>
        <v>1.1380528430910619</v>
      </c>
      <c r="R38" s="1">
        <f>(Main_S[[#This Row],[ROA]]-VLOOKUP(Main_S[[#This Row],[Industry]], Mean_ROA_S, 2, FALSE))/(VLOOKUP(Main_S[[#This Row],[Industry]], Mean_ROA_S, 3, FALSE))</f>
        <v>-0.12728081163366753</v>
      </c>
      <c r="S38" s="1">
        <f>(Main_S[[#This Row],[A/E]]-VLOOKUP(Main_S[[#This Row],[Industry]], Mean_AE_S, 2, FALSE))/(VLOOKUP(Main_S[[#This Row],[Industry]], Mean_AE_S, 3, FALSE))</f>
        <v>1.4141271619262274</v>
      </c>
      <c r="T38" s="1">
        <f>(Main_S[[#This Row],[P/E]]-VLOOKUP(Main_S[[#This Row],[Industry]], Mean_PE_S, 2, FALSE))/(VLOOKUP(Main_S[[#This Row],[Industry]], Mean_PE_S, 3, FALSE))</f>
        <v>1.0063400249837307</v>
      </c>
      <c r="U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9" spans="1:26" x14ac:dyDescent="0.25">
      <c r="A39" s="67" t="s">
        <v>109</v>
      </c>
      <c r="B39" s="67" t="s">
        <v>231</v>
      </c>
      <c r="C39" s="2">
        <v>732</v>
      </c>
      <c r="D39">
        <f>RTD("tos.rtd", , "LAST", Main_S[[#This Row],[Symbol]])</f>
        <v>59.31</v>
      </c>
      <c r="E39">
        <v>2.93</v>
      </c>
      <c r="F39">
        <v>16.170000000000002</v>
      </c>
      <c r="G39">
        <v>3.13</v>
      </c>
      <c r="H39" s="1">
        <f>IF(ISNUMBER(Main_S[[#This Row],[Free CF]]),IF(Main_S[[#This Row],[Free CF]]&lt;&gt;0,Main_S[[#This Row],[Current Price]]/Main_S[[#This Row],[Free CF]],""),"")</f>
        <v>20.242320819112628</v>
      </c>
      <c r="I39" s="1">
        <f>IF(ISNUMBER(Main_S[[#This Row],[BVPS]]),IF(Main_S[[#This Row],[BVPS]]&lt;&gt;0,Main_S[[#This Row],[Current Price]]/Main_S[[#This Row],[BVPS]],""),"")</f>
        <v>3.6679035250463818</v>
      </c>
      <c r="J39">
        <v>21.12</v>
      </c>
      <c r="K39">
        <v>11.94</v>
      </c>
      <c r="L39">
        <v>1.5</v>
      </c>
      <c r="M39" s="1">
        <f>IF(ISNUMBER(Main_S[[#This Row],[EPS]]),IF(Main_S[[#This Row],[EPS]]&lt;&gt;0,Main_S[[#This Row],[Current Price]]/Main_S[[#This Row],[EPS]],""),"")</f>
        <v>18.948881789137381</v>
      </c>
      <c r="N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9" s="1">
        <f>(Main_S[[#This Row],[P/FCF]]-VLOOKUP(Main_S[[#This Row],[Industry]], Mean_PFCF_S, 2, FALSE))/(VLOOKUP(Main_S[[#This Row],[Industry]], Mean_PFCF_S, 3, FALSE))</f>
        <v>0.68447889198635115</v>
      </c>
      <c r="P39" s="1">
        <f>(Main_S[[#This Row],[P/B]]-VLOOKUP(Main_S[[#This Row],[Industry]], Mean_PB_S, 2, FALSE))/(VLOOKUP(Main_S[[#This Row],[Industry]], Mean_PB_S, 3, FALSE))</f>
        <v>-0.38145863005254993</v>
      </c>
      <c r="Q39" s="1">
        <f>(Main_S[[#This Row],[ROE]]-VLOOKUP(Main_S[[#This Row],[Industry]], Mean_ROE_S, 2, FALSE))/(VLOOKUP(Main_S[[#This Row],[Industry]], Mean_ROE_S, 3, FALSE))</f>
        <v>0.15804083445577219</v>
      </c>
      <c r="R39" s="1">
        <f>(Main_S[[#This Row],[ROA]]-VLOOKUP(Main_S[[#This Row],[Industry]], Mean_ROA_S, 2, FALSE))/(VLOOKUP(Main_S[[#This Row],[Industry]], Mean_ROA_S, 3, FALSE))</f>
        <v>1.2834148506394847</v>
      </c>
      <c r="S39" s="1">
        <f>(Main_S[[#This Row],[A/E]]-VLOOKUP(Main_S[[#This Row],[Industry]], Mean_AE_S, 2, FALSE))/(VLOOKUP(Main_S[[#This Row],[Industry]], Mean_AE_S, 3, FALSE))</f>
        <v>-0.72060158032989174</v>
      </c>
      <c r="T39" s="1">
        <f>(Main_S[[#This Row],[P/E]]-VLOOKUP(Main_S[[#This Row],[Industry]], Mean_PE_S, 2, FALSE))/(VLOOKUP(Main_S[[#This Row],[Industry]], Mean_PE_S, 3, FALSE))</f>
        <v>-1.3636697600727785</v>
      </c>
      <c r="U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0" spans="1:26" x14ac:dyDescent="0.25">
      <c r="A40" s="67" t="s">
        <v>109</v>
      </c>
      <c r="B40" s="67" t="s">
        <v>232</v>
      </c>
      <c r="C40" s="2">
        <v>1438</v>
      </c>
      <c r="D40">
        <f>RTD("tos.rtd", , "LAST", Main_S[[#This Row],[Symbol]])</f>
        <v>56.12</v>
      </c>
      <c r="E40">
        <v>2.74</v>
      </c>
      <c r="F40">
        <v>74.489999999999995</v>
      </c>
      <c r="G40">
        <v>2.0699999999999998</v>
      </c>
      <c r="H40" s="1">
        <f>IF(ISNUMBER(Main_S[[#This Row],[Free CF]]),IF(Main_S[[#This Row],[Free CF]]&lt;&gt;0,Main_S[[#This Row],[Current Price]]/Main_S[[#This Row],[Free CF]],""),"")</f>
        <v>20.481751824817515</v>
      </c>
      <c r="I40" s="1">
        <f>IF(ISNUMBER(Main_S[[#This Row],[BVPS]]),IF(Main_S[[#This Row],[BVPS]]&lt;&gt;0,Main_S[[#This Row],[Current Price]]/Main_S[[#This Row],[BVPS]],""),"")</f>
        <v>0.75338971674050215</v>
      </c>
      <c r="J40">
        <v>2.81</v>
      </c>
      <c r="K40">
        <v>2.74</v>
      </c>
      <c r="L40">
        <v>1.88</v>
      </c>
      <c r="M40" s="1">
        <f>IF(ISNUMBER(Main_S[[#This Row],[EPS]]),IF(Main_S[[#This Row],[EPS]]&lt;&gt;0,Main_S[[#This Row],[Current Price]]/Main_S[[#This Row],[EPS]],""),"")</f>
        <v>27.111111111111111</v>
      </c>
      <c r="N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0" s="1">
        <f>(Main_S[[#This Row],[P/FCF]]-VLOOKUP(Main_S[[#This Row],[Industry]], Mean_PFCF_S, 2, FALSE))/(VLOOKUP(Main_S[[#This Row],[Industry]], Mean_PFCF_S, 3, FALSE))</f>
        <v>0.72949582207392238</v>
      </c>
      <c r="P40" s="1">
        <f>(Main_S[[#This Row],[P/B]]-VLOOKUP(Main_S[[#This Row],[Industry]], Mean_PB_S, 2, FALSE))/(VLOOKUP(Main_S[[#This Row],[Industry]], Mean_PB_S, 3, FALSE))</f>
        <v>-0.98862092352409892</v>
      </c>
      <c r="Q40" s="1">
        <f>(Main_S[[#This Row],[ROE]]-VLOOKUP(Main_S[[#This Row],[Industry]], Mean_ROE_S, 2, FALSE))/(VLOOKUP(Main_S[[#This Row],[Industry]], Mean_ROE_S, 3, FALSE))</f>
        <v>-1.2960936775468339</v>
      </c>
      <c r="R40" s="1">
        <f>(Main_S[[#This Row],[ROA]]-VLOOKUP(Main_S[[#This Row],[Industry]], Mean_ROA_S, 2, FALSE))/(VLOOKUP(Main_S[[#This Row],[Industry]], Mean_ROA_S, 3, FALSE))</f>
        <v>-1.1561340390058161</v>
      </c>
      <c r="S40" s="1">
        <f>(Main_S[[#This Row],[A/E]]-VLOOKUP(Main_S[[#This Row],[Industry]], Mean_AE_S, 2, FALSE))/(VLOOKUP(Main_S[[#This Row],[Industry]], Mean_AE_S, 3, FALSE))</f>
        <v>-0.69352558159633604</v>
      </c>
      <c r="T40" s="1">
        <f>(Main_S[[#This Row],[P/E]]-VLOOKUP(Main_S[[#This Row],[Industry]], Mean_PE_S, 2, FALSE))/(VLOOKUP(Main_S[[#This Row],[Industry]], Mean_PE_S, 3, FALSE))</f>
        <v>0.35732973508904714</v>
      </c>
      <c r="U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1" spans="1:26" x14ac:dyDescent="0.25">
      <c r="A41" s="67" t="s">
        <v>110</v>
      </c>
      <c r="B41" s="67" t="s">
        <v>233</v>
      </c>
      <c r="C41" s="2">
        <v>1299</v>
      </c>
      <c r="D41">
        <f>RTD("tos.rtd", , "LAST", Main_S[[#This Row],[Symbol]])</f>
        <v>26.66</v>
      </c>
      <c r="E41">
        <v>0.66</v>
      </c>
      <c r="F41">
        <v>32</v>
      </c>
      <c r="G41">
        <v>1.72</v>
      </c>
      <c r="H41" s="1">
        <f>IF(ISNUMBER(Main_S[[#This Row],[Free CF]]),IF(Main_S[[#This Row],[Free CF]]&lt;&gt;0,Main_S[[#This Row],[Current Price]]/Main_S[[#This Row],[Free CF]],""),"")</f>
        <v>40.393939393939391</v>
      </c>
      <c r="I41" s="1">
        <f>IF(ISNUMBER(Main_S[[#This Row],[BVPS]]),IF(Main_S[[#This Row],[BVPS]]&lt;&gt;0,Main_S[[#This Row],[Current Price]]/Main_S[[#This Row],[BVPS]],""),"")</f>
        <v>0.833125</v>
      </c>
      <c r="J41">
        <v>5.53</v>
      </c>
      <c r="K41">
        <v>3.97</v>
      </c>
      <c r="L41">
        <v>2.4900000000000002</v>
      </c>
      <c r="M41" s="1">
        <f>IF(ISNUMBER(Main_S[[#This Row],[EPS]]),IF(Main_S[[#This Row],[EPS]]&lt;&gt;0,Main_S[[#This Row],[Current Price]]/Main_S[[#This Row],[EPS]],""),"")</f>
        <v>15.5</v>
      </c>
      <c r="N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1" s="1">
        <f>(Main_S[[#This Row],[P/FCF]]-VLOOKUP(Main_S[[#This Row],[Industry]], Mean_PFCF_S, 2, FALSE))/(VLOOKUP(Main_S[[#This Row],[Industry]], Mean_PFCF_S, 3, FALSE))</f>
        <v>1.5678964702038543</v>
      </c>
      <c r="P41" s="1">
        <f>(Main_S[[#This Row],[P/B]]-VLOOKUP(Main_S[[#This Row],[Industry]], Mean_PB_S, 2, FALSE))/(VLOOKUP(Main_S[[#This Row],[Industry]], Mean_PB_S, 3, FALSE))</f>
        <v>-0.32991096327456237</v>
      </c>
      <c r="Q41" s="1">
        <f>(Main_S[[#This Row],[ROE]]-VLOOKUP(Main_S[[#This Row],[Industry]], Mean_ROE_S, 2, FALSE))/(VLOOKUP(Main_S[[#This Row],[Industry]], Mean_ROE_S, 3, FALSE))</f>
        <v>0.77182002789538262</v>
      </c>
      <c r="R41" s="1">
        <f>(Main_S[[#This Row],[ROA]]-VLOOKUP(Main_S[[#This Row],[Industry]], Mean_ROA_S, 2, FALSE))/(VLOOKUP(Main_S[[#This Row],[Industry]], Mean_ROA_S, 3, FALSE))</f>
        <v>0.25803482444460418</v>
      </c>
      <c r="S41" s="1">
        <f>(Main_S[[#This Row],[A/E]]-VLOOKUP(Main_S[[#This Row],[Industry]], Mean_AE_S, 2, FALSE))/(VLOOKUP(Main_S[[#This Row],[Industry]], Mean_AE_S, 3, FALSE))</f>
        <v>1.6895124344826422</v>
      </c>
      <c r="T41" s="1">
        <f>(Main_S[[#This Row],[P/E]]-VLOOKUP(Main_S[[#This Row],[Industry]], Mean_PE_S, 2, FALSE))/(VLOOKUP(Main_S[[#This Row],[Industry]], Mean_PE_S, 3, FALSE))</f>
        <v>0.84806935541267492</v>
      </c>
      <c r="U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2" spans="1:26" x14ac:dyDescent="0.25">
      <c r="A42" s="67" t="s">
        <v>110</v>
      </c>
      <c r="B42" s="67" t="s">
        <v>262</v>
      </c>
      <c r="C42" s="2">
        <v>453</v>
      </c>
      <c r="D42">
        <f>RTD("tos.rtd", , "LAST", Main_S[[#This Row],[Symbol]])</f>
        <v>5.66</v>
      </c>
      <c r="E42">
        <v>0.13</v>
      </c>
      <c r="F42">
        <v>1.66</v>
      </c>
      <c r="G42">
        <v>-0.11</v>
      </c>
      <c r="H42" s="1">
        <f>IF(ISNUMBER(Main_S[[#This Row],[Free CF]]),IF(Main_S[[#This Row],[Free CF]]&lt;&gt;0,Main_S[[#This Row],[Current Price]]/Main_S[[#This Row],[Free CF]],""),"")</f>
        <v>43.53846153846154</v>
      </c>
      <c r="I42" s="1">
        <f>IF(ISNUMBER(Main_S[[#This Row],[BVPS]]),IF(Main_S[[#This Row],[BVPS]]&lt;&gt;0,Main_S[[#This Row],[Current Price]]/Main_S[[#This Row],[BVPS]],""),"")</f>
        <v>3.4096385542168677</v>
      </c>
      <c r="J42">
        <v>5.93</v>
      </c>
      <c r="K42">
        <v>4.05</v>
      </c>
      <c r="L42">
        <v>2.42</v>
      </c>
      <c r="M42" s="1">
        <f>IF(ISNUMBER(Main_S[[#This Row],[EPS]]),IF(Main_S[[#This Row],[EPS]]&lt;&gt;0,Main_S[[#This Row],[Current Price]]/Main_S[[#This Row],[EPS]],""),"")</f>
        <v>-51.454545454545453</v>
      </c>
      <c r="N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2" s="1">
        <f>(Main_S[[#This Row],[P/FCF]]-VLOOKUP(Main_S[[#This Row],[Industry]], Mean_PFCF_S, 2, FALSE))/(VLOOKUP(Main_S[[#This Row],[Industry]], Mean_PFCF_S, 3, FALSE))</f>
        <v>1.7230507828257475</v>
      </c>
      <c r="P42" s="1">
        <f>(Main_S[[#This Row],[P/B]]-VLOOKUP(Main_S[[#This Row],[Industry]], Mean_PB_S, 2, FALSE))/(VLOOKUP(Main_S[[#This Row],[Industry]], Mean_PB_S, 3, FALSE))</f>
        <v>1.7603982103837768</v>
      </c>
      <c r="Q42" s="1">
        <f>(Main_S[[#This Row],[ROE]]-VLOOKUP(Main_S[[#This Row],[Industry]], Mean_ROE_S, 2, FALSE))/(VLOOKUP(Main_S[[#This Row],[Industry]], Mean_ROE_S, 3, FALSE))</f>
        <v>0.80602053871383306</v>
      </c>
      <c r="R42" s="1">
        <f>(Main_S[[#This Row],[ROA]]-VLOOKUP(Main_S[[#This Row],[Industry]], Mean_ROA_S, 2, FALSE))/(VLOOKUP(Main_S[[#This Row],[Industry]], Mean_ROA_S, 3, FALSE))</f>
        <v>0.2757235870457766</v>
      </c>
      <c r="S42" s="1">
        <f>(Main_S[[#This Row],[A/E]]-VLOOKUP(Main_S[[#This Row],[Industry]], Mean_AE_S, 2, FALSE))/(VLOOKUP(Main_S[[#This Row],[Industry]], Mean_AE_S, 3, FALSE))</f>
        <v>1.5244902897192205</v>
      </c>
      <c r="T42" s="1">
        <f>(Main_S[[#This Row],[P/E]]-VLOOKUP(Main_S[[#This Row],[Industry]], Mean_PE_S, 2, FALSE))/(VLOOKUP(Main_S[[#This Row],[Industry]], Mean_PE_S, 3, FALSE))</f>
        <v>-4.3598413696817238</v>
      </c>
      <c r="U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3" spans="1:26" x14ac:dyDescent="0.25">
      <c r="A43" s="67" t="s">
        <v>110</v>
      </c>
      <c r="B43" s="67" t="s">
        <v>234</v>
      </c>
      <c r="C43" s="2">
        <v>795</v>
      </c>
      <c r="D43">
        <f>RTD("tos.rtd", , "LAST", Main_S[[#This Row],[Symbol]])</f>
        <v>7.93</v>
      </c>
      <c r="E43">
        <v>1.63</v>
      </c>
      <c r="F43">
        <v>-7.24</v>
      </c>
      <c r="G43">
        <v>2.74</v>
      </c>
      <c r="H43" s="1">
        <f>IF(ISNUMBER(Main_S[[#This Row],[Free CF]]),IF(Main_S[[#This Row],[Free CF]]&lt;&gt;0,Main_S[[#This Row],[Current Price]]/Main_S[[#This Row],[Free CF]],""),"")</f>
        <v>4.8650306748466257</v>
      </c>
      <c r="I43" s="1">
        <f>IF(ISNUMBER(Main_S[[#This Row],[BVPS]]),IF(Main_S[[#This Row],[BVPS]]&lt;&gt;0,Main_S[[#This Row],[Current Price]]/Main_S[[#This Row],[BVPS]],""),"")</f>
        <v>-1.0953038674033149</v>
      </c>
      <c r="J43">
        <v>-31.64</v>
      </c>
      <c r="K43">
        <v>12.17</v>
      </c>
      <c r="L43">
        <v>-3.65</v>
      </c>
      <c r="M43" s="1">
        <f>IF(ISNUMBER(Main_S[[#This Row],[EPS]]),IF(Main_S[[#This Row],[EPS]]&lt;&gt;0,Main_S[[#This Row],[Current Price]]/Main_S[[#This Row],[EPS]],""),"")</f>
        <v>2.8941605839416056</v>
      </c>
      <c r="N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3" s="1">
        <f>(Main_S[[#This Row],[P/FCF]]-VLOOKUP(Main_S[[#This Row],[Industry]], Mean_PFCF_S, 2, FALSE))/(VLOOKUP(Main_S[[#This Row],[Industry]], Mean_PFCF_S, 3, FALSE))</f>
        <v>-0.18514044833707793</v>
      </c>
      <c r="P43" s="1">
        <f>(Main_S[[#This Row],[P/B]]-VLOOKUP(Main_S[[#This Row],[Industry]], Mean_PB_S, 2, FALSE))/(VLOOKUP(Main_S[[#This Row],[Industry]], Mean_PB_S, 3, FALSE))</f>
        <v>-1.8944331237279111</v>
      </c>
      <c r="Q43" s="1">
        <f>(Main_S[[#This Row],[ROE]]-VLOOKUP(Main_S[[#This Row],[Industry]], Mean_ROE_S, 2, FALSE))/(VLOOKUP(Main_S[[#This Row],[Industry]], Mean_ROE_S, 3, FALSE))</f>
        <v>-2.4062624399091339</v>
      </c>
      <c r="R43" s="1">
        <f>(Main_S[[#This Row],[ROA]]-VLOOKUP(Main_S[[#This Row],[Industry]], Mean_ROA_S, 2, FALSE))/(VLOOKUP(Main_S[[#This Row],[Industry]], Mean_ROA_S, 3, FALSE))</f>
        <v>2.0711329910647875</v>
      </c>
      <c r="S43" s="1">
        <f>(Main_S[[#This Row],[A/E]]-VLOOKUP(Main_S[[#This Row],[Industry]], Mean_AE_S, 2, FALSE))/(VLOOKUP(Main_S[[#This Row],[Industry]], Mean_AE_S, 3, FALSE))</f>
        <v>-12.785287120480271</v>
      </c>
      <c r="T43" s="1">
        <f>(Main_S[[#This Row],[P/E]]-VLOOKUP(Main_S[[#This Row],[Industry]], Mean_PE_S, 2, FALSE))/(VLOOKUP(Main_S[[#This Row],[Industry]], Mean_PE_S, 3, FALSE))</f>
        <v>-0.13244788726321161</v>
      </c>
      <c r="U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4" spans="1:26" x14ac:dyDescent="0.25">
      <c r="A44" s="67" t="s">
        <v>110</v>
      </c>
      <c r="B44" s="67" t="s">
        <v>235</v>
      </c>
      <c r="C44" s="2">
        <v>554</v>
      </c>
      <c r="D44">
        <f>RTD("tos.rtd", , "LAST", Main_S[[#This Row],[Symbol]])</f>
        <v>4.97</v>
      </c>
      <c r="E44">
        <v>-0.02</v>
      </c>
      <c r="F44">
        <v>1.63</v>
      </c>
      <c r="G44">
        <v>-0.02</v>
      </c>
      <c r="H44" s="1">
        <f>IF(ISNUMBER(Main_S[[#This Row],[Free CF]]),IF(Main_S[[#This Row],[Free CF]]&lt;&gt;0,Main_S[[#This Row],[Current Price]]/Main_S[[#This Row],[Free CF]],""),"")</f>
        <v>-248.49999999999997</v>
      </c>
      <c r="I44" s="1">
        <f>IF(ISNUMBER(Main_S[[#This Row],[BVPS]]),IF(Main_S[[#This Row],[BVPS]]&lt;&gt;0,Main_S[[#This Row],[Current Price]]/Main_S[[#This Row],[BVPS]],""),"")</f>
        <v>3.0490797546012272</v>
      </c>
      <c r="J44">
        <v>-0.96</v>
      </c>
      <c r="K44">
        <v>-0.68</v>
      </c>
      <c r="L44">
        <v>1.47</v>
      </c>
      <c r="M44" s="1">
        <f>IF(ISNUMBER(Main_S[[#This Row],[EPS]]),IF(Main_S[[#This Row],[EPS]]&lt;&gt;0,Main_S[[#This Row],[Current Price]]/Main_S[[#This Row],[EPS]],""),"")</f>
        <v>-248.49999999999997</v>
      </c>
      <c r="N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4" s="1">
        <f>(Main_S[[#This Row],[P/FCF]]-VLOOKUP(Main_S[[#This Row],[Industry]], Mean_PFCF_S, 2, FALSE))/(VLOOKUP(Main_S[[#This Row],[Industry]], Mean_PFCF_S, 3, FALSE))</f>
        <v>-12.686460321457105</v>
      </c>
      <c r="P44" s="1">
        <f>(Main_S[[#This Row],[P/B]]-VLOOKUP(Main_S[[#This Row],[Industry]], Mean_PB_S, 2, FALSE))/(VLOOKUP(Main_S[[#This Row],[Industry]], Mean_PB_S, 3, FALSE))</f>
        <v>1.4678791334915564</v>
      </c>
      <c r="Q44" s="1">
        <f>(Main_S[[#This Row],[ROE]]-VLOOKUP(Main_S[[#This Row],[Industry]], Mean_ROE_S, 2, FALSE))/(VLOOKUP(Main_S[[#This Row],[Industry]], Mean_ROE_S, 3, FALSE))</f>
        <v>0.21691673986602261</v>
      </c>
      <c r="R44" s="1">
        <f>(Main_S[[#This Row],[ROA]]-VLOOKUP(Main_S[[#This Row],[Industry]], Mean_ROA_S, 2, FALSE))/(VLOOKUP(Main_S[[#This Row],[Industry]], Mean_ROA_S, 3, FALSE))</f>
        <v>-0.77012450174854852</v>
      </c>
      <c r="S44" s="1">
        <f>(Main_S[[#This Row],[A/E]]-VLOOKUP(Main_S[[#This Row],[Industry]], Mean_AE_S, 2, FALSE))/(VLOOKUP(Main_S[[#This Row],[Industry]], Mean_AE_S, 3, FALSE))</f>
        <v>-0.7150959606414905</v>
      </c>
      <c r="T44" s="1">
        <f>(Main_S[[#This Row],[P/E]]-VLOOKUP(Main_S[[#This Row],[Industry]], Mean_PE_S, 2, FALSE))/(VLOOKUP(Main_S[[#This Row],[Industry]], Mean_PE_S, 3, FALSE))</f>
        <v>-19.686584745977864</v>
      </c>
      <c r="U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5" spans="1:26" x14ac:dyDescent="0.25">
      <c r="A45" s="67" t="s">
        <v>110</v>
      </c>
      <c r="B45" s="67" t="s">
        <v>266</v>
      </c>
      <c r="C45" s="2">
        <v>284</v>
      </c>
      <c r="D45">
        <f>RTD("tos.rtd", , "LAST", Main_S[[#This Row],[Symbol]])</f>
        <v>14.59</v>
      </c>
      <c r="E45">
        <v>0.93</v>
      </c>
      <c r="F45">
        <v>8.73</v>
      </c>
      <c r="G45">
        <v>0.53</v>
      </c>
      <c r="H45" s="1">
        <f>IF(ISNUMBER(Main_S[[#This Row],[Free CF]]),IF(Main_S[[#This Row],[Free CF]]&lt;&gt;0,Main_S[[#This Row],[Current Price]]/Main_S[[#This Row],[Free CF]],""),"")</f>
        <v>15.688172043010752</v>
      </c>
      <c r="I45" s="1">
        <f>IF(ISNUMBER(Main_S[[#This Row],[BVPS]]),IF(Main_S[[#This Row],[BVPS]]&lt;&gt;0,Main_S[[#This Row],[Current Price]]/Main_S[[#This Row],[BVPS]],""),"")</f>
        <v>1.6712485681557845</v>
      </c>
      <c r="J45">
        <v>6.29</v>
      </c>
      <c r="K45">
        <v>5.41</v>
      </c>
      <c r="L45">
        <v>1.57</v>
      </c>
      <c r="M45" s="1">
        <f>IF(ISNUMBER(Main_S[[#This Row],[EPS]]),IF(Main_S[[#This Row],[EPS]]&lt;&gt;0,Main_S[[#This Row],[Current Price]]/Main_S[[#This Row],[EPS]],""),"")</f>
        <v>27.528301886792452</v>
      </c>
      <c r="N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5" s="1">
        <f>(Main_S[[#This Row],[P/FCF]]-VLOOKUP(Main_S[[#This Row],[Industry]], Mean_PFCF_S, 2, FALSE))/(VLOOKUP(Main_S[[#This Row],[Industry]], Mean_PFCF_S, 3, FALSE))</f>
        <v>0.34888570323968843</v>
      </c>
      <c r="P45" s="1">
        <f>(Main_S[[#This Row],[P/B]]-VLOOKUP(Main_S[[#This Row],[Industry]], Mean_PB_S, 2, FALSE))/(VLOOKUP(Main_S[[#This Row],[Industry]], Mean_PB_S, 3, FALSE))</f>
        <v>0.35005339410596714</v>
      </c>
      <c r="Q45" s="1">
        <f>(Main_S[[#This Row],[ROE]]-VLOOKUP(Main_S[[#This Row],[Industry]], Mean_ROE_S, 2, FALSE))/(VLOOKUP(Main_S[[#This Row],[Industry]], Mean_ROE_S, 3, FALSE))</f>
        <v>0.83680099845043854</v>
      </c>
      <c r="R45" s="1">
        <f>(Main_S[[#This Row],[ROA]]-VLOOKUP(Main_S[[#This Row],[Industry]], Mean_ROA_S, 2, FALSE))/(VLOOKUP(Main_S[[#This Row],[Industry]], Mean_ROA_S, 3, FALSE))</f>
        <v>0.57643255126570947</v>
      </c>
      <c r="S45" s="1">
        <f>(Main_S[[#This Row],[A/E]]-VLOOKUP(Main_S[[#This Row],[Industry]], Mean_AE_S, 2, FALSE))/(VLOOKUP(Main_S[[#This Row],[Industry]], Mean_AE_S, 3, FALSE))</f>
        <v>-0.47935003955088917</v>
      </c>
      <c r="T45" s="1">
        <f>(Main_S[[#This Row],[P/E]]-VLOOKUP(Main_S[[#This Row],[Industry]], Mean_PE_S, 2, FALSE))/(VLOOKUP(Main_S[[#This Row],[Industry]], Mean_PE_S, 3, FALSE))</f>
        <v>1.7836641231111074</v>
      </c>
      <c r="U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6" spans="1:26" x14ac:dyDescent="0.25">
      <c r="A46" s="67" t="s">
        <v>110</v>
      </c>
      <c r="B46" s="67" t="s">
        <v>236</v>
      </c>
      <c r="C46" s="2">
        <v>426</v>
      </c>
      <c r="D46">
        <f>RTD("tos.rtd", , "LAST", Main_S[[#This Row],[Symbol]])</f>
        <v>8.0399999999999991</v>
      </c>
      <c r="E46">
        <v>1.33</v>
      </c>
      <c r="F46">
        <v>15.26</v>
      </c>
      <c r="G46">
        <v>-0.78</v>
      </c>
      <c r="H46" s="1">
        <f>IF(ISNUMBER(Main_S[[#This Row],[Free CF]]),IF(Main_S[[#This Row],[Free CF]]&lt;&gt;0,Main_S[[#This Row],[Current Price]]/Main_S[[#This Row],[Free CF]],""),"")</f>
        <v>6.0451127819548862</v>
      </c>
      <c r="I46" s="1">
        <f>IF(ISNUMBER(Main_S[[#This Row],[BVPS]]),IF(Main_S[[#This Row],[BVPS]]&lt;&gt;0,Main_S[[#This Row],[Current Price]]/Main_S[[#This Row],[BVPS]],""),"")</f>
        <v>0.52686762778505891</v>
      </c>
      <c r="J46">
        <v>-4.93</v>
      </c>
      <c r="K46">
        <v>3.54</v>
      </c>
      <c r="L46">
        <v>1.85</v>
      </c>
      <c r="M46" s="1">
        <f>IF(ISNUMBER(Main_S[[#This Row],[EPS]]),IF(Main_S[[#This Row],[EPS]]&lt;&gt;0,Main_S[[#This Row],[Current Price]]/Main_S[[#This Row],[EPS]],""),"")</f>
        <v>-10.307692307692307</v>
      </c>
      <c r="N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6" s="1">
        <f>(Main_S[[#This Row],[P/FCF]]-VLOOKUP(Main_S[[#This Row],[Industry]], Mean_PFCF_S, 2, FALSE))/(VLOOKUP(Main_S[[#This Row],[Industry]], Mean_PFCF_S, 3, FALSE))</f>
        <v>-0.12691384990630067</v>
      </c>
      <c r="P46" s="1">
        <f>(Main_S[[#This Row],[P/B]]-VLOOKUP(Main_S[[#This Row],[Industry]], Mean_PB_S, 2, FALSE))/(VLOOKUP(Main_S[[#This Row],[Industry]], Mean_PB_S, 3, FALSE))</f>
        <v>-0.57837563507636414</v>
      </c>
      <c r="Q46" s="1">
        <f>(Main_S[[#This Row],[ROE]]-VLOOKUP(Main_S[[#This Row],[Industry]], Mean_ROE_S, 2, FALSE))/(VLOOKUP(Main_S[[#This Row],[Industry]], Mean_ROE_S, 3, FALSE))</f>
        <v>-0.12252333000709896</v>
      </c>
      <c r="R46" s="1">
        <f>(Main_S[[#This Row],[ROA]]-VLOOKUP(Main_S[[#This Row],[Industry]], Mean_ROA_S, 2, FALSE))/(VLOOKUP(Main_S[[#This Row],[Industry]], Mean_ROA_S, 3, FALSE))</f>
        <v>0.16295772546330184</v>
      </c>
      <c r="S46" s="1">
        <f>(Main_S[[#This Row],[A/E]]-VLOOKUP(Main_S[[#This Row],[Industry]], Mean_AE_S, 2, FALSE))/(VLOOKUP(Main_S[[#This Row],[Industry]], Mean_AE_S, 3, FALSE))</f>
        <v>0.18073853950279423</v>
      </c>
      <c r="T46" s="1">
        <f>(Main_S[[#This Row],[P/E]]-VLOOKUP(Main_S[[#This Row],[Industry]], Mean_PE_S, 2, FALSE))/(VLOOKUP(Main_S[[#This Row],[Industry]], Mean_PE_S, 3, FALSE))</f>
        <v>-1.1593247153963362</v>
      </c>
      <c r="U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7" spans="1:26" x14ac:dyDescent="0.25">
      <c r="A47" s="67" t="s">
        <v>110</v>
      </c>
      <c r="B47" s="67" t="s">
        <v>237</v>
      </c>
      <c r="C47" s="2">
        <v>879</v>
      </c>
      <c r="D47">
        <f>RTD("tos.rtd", , "LAST", Main_S[[#This Row],[Symbol]])</f>
        <v>1.33</v>
      </c>
      <c r="E47">
        <v>0.14000000000000001</v>
      </c>
      <c r="F47">
        <v>1.32</v>
      </c>
      <c r="G47">
        <v>0.02</v>
      </c>
      <c r="H47" s="1">
        <f>IF(ISNUMBER(Main_S[[#This Row],[Free CF]]),IF(Main_S[[#This Row],[Free CF]]&lt;&gt;0,Main_S[[#This Row],[Current Price]]/Main_S[[#This Row],[Free CF]],""),"")</f>
        <v>9.5</v>
      </c>
      <c r="I47" s="1">
        <f>IF(ISNUMBER(Main_S[[#This Row],[BVPS]]),IF(Main_S[[#This Row],[BVPS]]&lt;&gt;0,Main_S[[#This Row],[Current Price]]/Main_S[[#This Row],[BVPS]],""),"")</f>
        <v>1.0075757575757576</v>
      </c>
      <c r="J47">
        <v>1.41</v>
      </c>
      <c r="K47">
        <v>1.98</v>
      </c>
      <c r="L47">
        <v>2.02</v>
      </c>
      <c r="M47" s="1">
        <f>IF(ISNUMBER(Main_S[[#This Row],[EPS]]),IF(Main_S[[#This Row],[EPS]]&lt;&gt;0,Main_S[[#This Row],[Current Price]]/Main_S[[#This Row],[EPS]],""),"")</f>
        <v>66.5</v>
      </c>
      <c r="N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7" s="1">
        <f>(Main_S[[#This Row],[P/FCF]]-VLOOKUP(Main_S[[#This Row],[Industry]], Mean_PFCF_S, 2, FALSE))/(VLOOKUP(Main_S[[#This Row],[Industry]], Mean_PFCF_S, 3, FALSE))</f>
        <v>4.3554229778160695E-2</v>
      </c>
      <c r="P47" s="1">
        <f>(Main_S[[#This Row],[P/B]]-VLOOKUP(Main_S[[#This Row],[Industry]], Mean_PB_S, 2, FALSE))/(VLOOKUP(Main_S[[#This Row],[Industry]], Mean_PB_S, 3, FALSE))</f>
        <v>-0.18838016545848399</v>
      </c>
      <c r="Q47" s="1">
        <f>(Main_S[[#This Row],[ROE]]-VLOOKUP(Main_S[[#This Row],[Industry]], Mean_ROE_S, 2, FALSE))/(VLOOKUP(Main_S[[#This Row],[Industry]], Mean_ROE_S, 3, FALSE))</f>
        <v>0.41955476646534207</v>
      </c>
      <c r="R47" s="1">
        <f>(Main_S[[#This Row],[ROA]]-VLOOKUP(Main_S[[#This Row],[Industry]], Mean_ROA_S, 2, FALSE))/(VLOOKUP(Main_S[[#This Row],[Industry]], Mean_ROA_S, 3, FALSE))</f>
        <v>-0.18197314525956226</v>
      </c>
      <c r="S47" s="1">
        <f>(Main_S[[#This Row],[A/E]]-VLOOKUP(Main_S[[#This Row],[Industry]], Mean_AE_S, 2, FALSE))/(VLOOKUP(Main_S[[#This Row],[Industry]], Mean_AE_S, 3, FALSE))</f>
        <v>0.58150660535681609</v>
      </c>
      <c r="T47" s="1">
        <f>(Main_S[[#This Row],[P/E]]-VLOOKUP(Main_S[[#This Row],[Industry]], Mean_PE_S, 2, FALSE))/(VLOOKUP(Main_S[[#This Row],[Industry]], Mean_PE_S, 3, FALSE))</f>
        <v>4.8149911704540296</v>
      </c>
      <c r="U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8" spans="1:26" x14ac:dyDescent="0.25">
      <c r="A48" s="67" t="s">
        <v>110</v>
      </c>
      <c r="B48" s="67" t="s">
        <v>238</v>
      </c>
      <c r="C48" s="2">
        <v>403</v>
      </c>
      <c r="D48">
        <f>RTD("tos.rtd", , "LAST", Main_S[[#This Row],[Symbol]])</f>
        <v>11.99</v>
      </c>
      <c r="E48">
        <v>-1.7</v>
      </c>
      <c r="F48">
        <v>1.29</v>
      </c>
      <c r="G48">
        <v>-20.57</v>
      </c>
      <c r="H48" s="1">
        <f>IF(ISNUMBER(Main_S[[#This Row],[Free CF]]),IF(Main_S[[#This Row],[Free CF]]&lt;&gt;0,Main_S[[#This Row],[Current Price]]/Main_S[[#This Row],[Free CF]],""),"")</f>
        <v>-7.0529411764705889</v>
      </c>
      <c r="I48" s="1">
        <f>IF(ISNUMBER(Main_S[[#This Row],[BVPS]]),IF(Main_S[[#This Row],[BVPS]]&lt;&gt;0,Main_S[[#This Row],[Current Price]]/Main_S[[#This Row],[BVPS]],""),"")</f>
        <v>9.2945736434108532</v>
      </c>
      <c r="J48">
        <v>-190.32</v>
      </c>
      <c r="K48">
        <v>-32.71</v>
      </c>
      <c r="L48">
        <v>8.14</v>
      </c>
      <c r="M48" s="1">
        <f>IF(ISNUMBER(Main_S[[#This Row],[EPS]]),IF(Main_S[[#This Row],[EPS]]&lt;&gt;0,Main_S[[#This Row],[Current Price]]/Main_S[[#This Row],[EPS]],""),"")</f>
        <v>-0.58288770053475936</v>
      </c>
      <c r="N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8" s="1">
        <f>(Main_S[[#This Row],[P/FCF]]-VLOOKUP(Main_S[[#This Row],[Industry]], Mean_PFCF_S, 2, FALSE))/(VLOOKUP(Main_S[[#This Row],[Industry]], Mean_PFCF_S, 3, FALSE))</f>
        <v>-0.77318678588932777</v>
      </c>
      <c r="P48" s="1">
        <f>(Main_S[[#This Row],[P/B]]-VLOOKUP(Main_S[[#This Row],[Industry]], Mean_PB_S, 2, FALSE))/(VLOOKUP(Main_S[[#This Row],[Industry]], Mean_PB_S, 3, FALSE))</f>
        <v>6.5348088798688977</v>
      </c>
      <c r="Q48" s="1">
        <f>(Main_S[[#This Row],[ROE]]-VLOOKUP(Main_S[[#This Row],[Industry]], Mean_ROE_S, 2, FALSE))/(VLOOKUP(Main_S[[#This Row],[Industry]], Mean_ROE_S, 3, FALSE))</f>
        <v>-15.97360508158846</v>
      </c>
      <c r="R48" s="1">
        <f>(Main_S[[#This Row],[ROA]]-VLOOKUP(Main_S[[#This Row],[Industry]], Mean_ROA_S, 2, FALSE))/(VLOOKUP(Main_S[[#This Row],[Industry]], Mean_ROA_S, 3, FALSE))</f>
        <v>-7.8522628281929947</v>
      </c>
      <c r="S48" s="1">
        <f>(Main_S[[#This Row],[A/E]]-VLOOKUP(Main_S[[#This Row],[Industry]], Mean_AE_S, 2, FALSE))/(VLOOKUP(Main_S[[#This Row],[Industry]], Mean_AE_S, 3, FALSE))</f>
        <v>15.009156976101609</v>
      </c>
      <c r="T48" s="1">
        <f>(Main_S[[#This Row],[P/E]]-VLOOKUP(Main_S[[#This Row],[Industry]], Mean_PE_S, 2, FALSE))/(VLOOKUP(Main_S[[#This Row],[Industry]], Mean_PE_S, 3, FALSE))</f>
        <v>-0.40290237141304314</v>
      </c>
      <c r="U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9" spans="1:26" x14ac:dyDescent="0.25">
      <c r="A49" s="67" t="s">
        <v>110</v>
      </c>
      <c r="B49" s="67" t="s">
        <v>239</v>
      </c>
      <c r="C49" s="2">
        <v>556</v>
      </c>
      <c r="D49">
        <f>RTD("tos.rtd", , "LAST", Main_S[[#This Row],[Symbol]])</f>
        <v>29.81</v>
      </c>
      <c r="E49">
        <v>2.58</v>
      </c>
      <c r="F49">
        <v>28.2</v>
      </c>
      <c r="G49">
        <v>1.82</v>
      </c>
      <c r="H49" s="1">
        <f>IF(ISNUMBER(Main_S[[#This Row],[Free CF]]),IF(Main_S[[#This Row],[Free CF]]&lt;&gt;0,Main_S[[#This Row],[Current Price]]/Main_S[[#This Row],[Free CF]],""),"")</f>
        <v>11.554263565891471</v>
      </c>
      <c r="I49" s="1">
        <f>IF(ISNUMBER(Main_S[[#This Row],[BVPS]]),IF(Main_S[[#This Row],[BVPS]]&lt;&gt;0,Main_S[[#This Row],[Current Price]]/Main_S[[#This Row],[BVPS]],""),"")</f>
        <v>1.0570921985815602</v>
      </c>
      <c r="J49">
        <v>6.42</v>
      </c>
      <c r="K49">
        <v>5.21</v>
      </c>
      <c r="L49">
        <v>1.41</v>
      </c>
      <c r="M49" s="1">
        <f>IF(ISNUMBER(Main_S[[#This Row],[EPS]]),IF(Main_S[[#This Row],[EPS]]&lt;&gt;0,Main_S[[#This Row],[Current Price]]/Main_S[[#This Row],[EPS]],""),"")</f>
        <v>16.37912087912088</v>
      </c>
      <c r="N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9" s="1">
        <f>(Main_S[[#This Row],[P/FCF]]-VLOOKUP(Main_S[[#This Row],[Industry]], Mean_PFCF_S, 2, FALSE))/(VLOOKUP(Main_S[[#This Row],[Industry]], Mean_PFCF_S, 3, FALSE))</f>
        <v>0.14491393941331915</v>
      </c>
      <c r="P49" s="1">
        <f>(Main_S[[#This Row],[P/B]]-VLOOKUP(Main_S[[#This Row],[Industry]], Mean_PB_S, 2, FALSE))/(VLOOKUP(Main_S[[#This Row],[Industry]], Mean_PB_S, 3, FALSE))</f>
        <v>-0.14820778960898004</v>
      </c>
      <c r="Q49" s="1">
        <f>(Main_S[[#This Row],[ROE]]-VLOOKUP(Main_S[[#This Row],[Industry]], Mean_ROE_S, 2, FALSE))/(VLOOKUP(Main_S[[#This Row],[Industry]], Mean_ROE_S, 3, FALSE))</f>
        <v>0.84791616446643503</v>
      </c>
      <c r="R49" s="1">
        <f>(Main_S[[#This Row],[ROA]]-VLOOKUP(Main_S[[#This Row],[Industry]], Mean_ROA_S, 2, FALSE))/(VLOOKUP(Main_S[[#This Row],[Industry]], Mean_ROA_S, 3, FALSE))</f>
        <v>0.53221064476277813</v>
      </c>
      <c r="S49" s="1">
        <f>(Main_S[[#This Row],[A/E]]-VLOOKUP(Main_S[[#This Row],[Industry]], Mean_AE_S, 2, FALSE))/(VLOOKUP(Main_S[[#This Row],[Industry]], Mean_AE_S, 3, FALSE))</f>
        <v>-0.85654351329585143</v>
      </c>
      <c r="T49" s="1">
        <f>(Main_S[[#This Row],[P/E]]-VLOOKUP(Main_S[[#This Row],[Industry]], Mean_PE_S, 2, FALSE))/(VLOOKUP(Main_S[[#This Row],[Industry]], Mean_PE_S, 3, FALSE))</f>
        <v>0.91644982195077207</v>
      </c>
      <c r="U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0" spans="1:26" x14ac:dyDescent="0.25">
      <c r="A50" s="67" t="s">
        <v>110</v>
      </c>
      <c r="B50" s="67" t="s">
        <v>240</v>
      </c>
      <c r="C50" s="2">
        <v>331</v>
      </c>
      <c r="D50">
        <f>RTD("tos.rtd", , "LAST", Main_S[[#This Row],[Symbol]])</f>
        <v>2.3199999999999998</v>
      </c>
      <c r="E50">
        <v>-0.11</v>
      </c>
      <c r="F50">
        <v>5.91</v>
      </c>
      <c r="G50">
        <v>-0.38</v>
      </c>
      <c r="H50" s="1">
        <f>IF(ISNUMBER(Main_S[[#This Row],[Free CF]]),IF(Main_S[[#This Row],[Free CF]]&lt;&gt;0,Main_S[[#This Row],[Current Price]]/Main_S[[#This Row],[Free CF]],""),"")</f>
        <v>-21.09090909090909</v>
      </c>
      <c r="I50" s="1">
        <f>IF(ISNUMBER(Main_S[[#This Row],[BVPS]]),IF(Main_S[[#This Row],[BVPS]]&lt;&gt;0,Main_S[[#This Row],[Current Price]]/Main_S[[#This Row],[BVPS]],""),"")</f>
        <v>0.39255499153976309</v>
      </c>
      <c r="J50">
        <v>-6.49</v>
      </c>
      <c r="K50">
        <v>-3.32</v>
      </c>
      <c r="L50">
        <v>1.47</v>
      </c>
      <c r="M50" s="1">
        <f>IF(ISNUMBER(Main_S[[#This Row],[EPS]]),IF(Main_S[[#This Row],[EPS]]&lt;&gt;0,Main_S[[#This Row],[Current Price]]/Main_S[[#This Row],[EPS]],""),"")</f>
        <v>-6.1052631578947363</v>
      </c>
      <c r="N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0" s="1">
        <f>(Main_S[[#This Row],[P/FCF]]-VLOOKUP(Main_S[[#This Row],[Industry]], Mean_PFCF_S, 2, FALSE))/(VLOOKUP(Main_S[[#This Row],[Industry]], Mean_PFCF_S, 3, FALSE))</f>
        <v>-1.4658361495349708</v>
      </c>
      <c r="P50" s="1">
        <f>(Main_S[[#This Row],[P/B]]-VLOOKUP(Main_S[[#This Row],[Industry]], Mean_PB_S, 2, FALSE))/(VLOOKUP(Main_S[[#This Row],[Industry]], Mean_PB_S, 3, FALSE))</f>
        <v>-0.6873426285634654</v>
      </c>
      <c r="Q50" s="1">
        <f>(Main_S[[#This Row],[ROE]]-VLOOKUP(Main_S[[#This Row],[Industry]], Mean_ROE_S, 2, FALSE))/(VLOOKUP(Main_S[[#This Row],[Industry]], Mean_ROE_S, 3, FALSE))</f>
        <v>-0.2559053221990561</v>
      </c>
      <c r="R50" s="1">
        <f>(Main_S[[#This Row],[ROA]]-VLOOKUP(Main_S[[#This Row],[Industry]], Mean_ROA_S, 2, FALSE))/(VLOOKUP(Main_S[[#This Row],[Industry]], Mean_ROA_S, 3, FALSE))</f>
        <v>-1.3538536675872415</v>
      </c>
      <c r="S50" s="1">
        <f>(Main_S[[#This Row],[A/E]]-VLOOKUP(Main_S[[#This Row],[Industry]], Mean_AE_S, 2, FALSE))/(VLOOKUP(Main_S[[#This Row],[Industry]], Mean_AE_S, 3, FALSE))</f>
        <v>-0.7150959606414905</v>
      </c>
      <c r="T50" s="1">
        <f>(Main_S[[#This Row],[P/E]]-VLOOKUP(Main_S[[#This Row],[Industry]], Mean_PE_S, 2, FALSE))/(VLOOKUP(Main_S[[#This Row],[Industry]], Mean_PE_S, 3, FALSE))</f>
        <v>-0.8324480904846171</v>
      </c>
      <c r="U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1" spans="1:26" x14ac:dyDescent="0.25">
      <c r="A51" s="67" t="s">
        <v>110</v>
      </c>
      <c r="B51" s="67" t="s">
        <v>241</v>
      </c>
      <c r="C51" s="2">
        <v>508</v>
      </c>
      <c r="D51">
        <f>RTD("tos.rtd", , "LAST", Main_S[[#This Row],[Symbol]])</f>
        <v>7.08</v>
      </c>
      <c r="E51">
        <v>-0.41</v>
      </c>
      <c r="F51">
        <v>4.58</v>
      </c>
      <c r="G51">
        <v>-0.83</v>
      </c>
      <c r="H51" s="1">
        <f>IF(ISNUMBER(Main_S[[#This Row],[Free CF]]),IF(Main_S[[#This Row],[Free CF]]&lt;&gt;0,Main_S[[#This Row],[Current Price]]/Main_S[[#This Row],[Free CF]],""),"")</f>
        <v>-17.26829268292683</v>
      </c>
      <c r="I51" s="1">
        <f>IF(ISNUMBER(Main_S[[#This Row],[BVPS]]),IF(Main_S[[#This Row],[BVPS]]&lt;&gt;0,Main_S[[#This Row],[Current Price]]/Main_S[[#This Row],[BVPS]],""),"")</f>
        <v>1.5458515283842795</v>
      </c>
      <c r="J51">
        <v>-16.53</v>
      </c>
      <c r="K51">
        <v>-4.3</v>
      </c>
      <c r="L51">
        <v>1.26</v>
      </c>
      <c r="M51" s="1">
        <f>IF(ISNUMBER(Main_S[[#This Row],[EPS]]),IF(Main_S[[#This Row],[EPS]]&lt;&gt;0,Main_S[[#This Row],[Current Price]]/Main_S[[#This Row],[EPS]],""),"")</f>
        <v>-8.5301204819277121</v>
      </c>
      <c r="N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1" s="1">
        <f>(Main_S[[#This Row],[P/FCF]]-VLOOKUP(Main_S[[#This Row],[Industry]], Mean_PFCF_S, 2, FALSE))/(VLOOKUP(Main_S[[#This Row],[Industry]], Mean_PFCF_S, 3, FALSE))</f>
        <v>-1.2772238917930916</v>
      </c>
      <c r="P51" s="1">
        <f>(Main_S[[#This Row],[P/B]]-VLOOKUP(Main_S[[#This Row],[Industry]], Mean_PB_S, 2, FALSE))/(VLOOKUP(Main_S[[#This Row],[Industry]], Mean_PB_S, 3, FALSE))</f>
        <v>0.24831956772846631</v>
      </c>
      <c r="Q51" s="1">
        <f>(Main_S[[#This Row],[ROE]]-VLOOKUP(Main_S[[#This Row],[Industry]], Mean_ROE_S, 2, FALSE))/(VLOOKUP(Main_S[[#This Row],[Industry]], Mean_ROE_S, 3, FALSE))</f>
        <v>-1.1143381437421647</v>
      </c>
      <c r="R51" s="1">
        <f>(Main_S[[#This Row],[ROA]]-VLOOKUP(Main_S[[#This Row],[Industry]], Mean_ROA_S, 2, FALSE))/(VLOOKUP(Main_S[[#This Row],[Industry]], Mean_ROA_S, 3, FALSE))</f>
        <v>-1.570541009451605</v>
      </c>
      <c r="S51" s="1">
        <f>(Main_S[[#This Row],[A/E]]-VLOOKUP(Main_S[[#This Row],[Industry]], Mean_AE_S, 2, FALSE))/(VLOOKUP(Main_S[[#This Row],[Industry]], Mean_AE_S, 3, FALSE))</f>
        <v>-1.210162394931753</v>
      </c>
      <c r="T51" s="1">
        <f>(Main_S[[#This Row],[P/E]]-VLOOKUP(Main_S[[#This Row],[Industry]], Mean_PE_S, 2, FALSE))/(VLOOKUP(Main_S[[#This Row],[Industry]], Mean_PE_S, 3, FALSE))</f>
        <v>-1.0210602359173468</v>
      </c>
      <c r="U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2" spans="1:26" x14ac:dyDescent="0.25">
      <c r="A52" s="67" t="s">
        <v>108</v>
      </c>
      <c r="B52" s="67" t="s">
        <v>261</v>
      </c>
      <c r="C52" s="2">
        <v>1053</v>
      </c>
      <c r="D52">
        <f>RTD("tos.rtd", , "LAST", Main_S[[#This Row],[Symbol]])</f>
        <v>2.4</v>
      </c>
      <c r="E52">
        <v>0.09</v>
      </c>
      <c r="F52">
        <v>1.95</v>
      </c>
      <c r="G52">
        <v>0.02</v>
      </c>
      <c r="H52" s="1">
        <f>IF(ISNUMBER(Main_S[[#This Row],[Free CF]]),IF(Main_S[[#This Row],[Free CF]]&lt;&gt;0,Main_S[[#This Row],[Current Price]]/Main_S[[#This Row],[Free CF]],""),"")</f>
        <v>26.666666666666668</v>
      </c>
      <c r="I52" s="1">
        <f>IF(ISNUMBER(Main_S[[#This Row],[BVPS]]),IF(Main_S[[#This Row],[BVPS]]&lt;&gt;0,Main_S[[#This Row],[Current Price]]/Main_S[[#This Row],[BVPS]],""),"")</f>
        <v>1.2307692307692308</v>
      </c>
      <c r="J52">
        <v>0.8</v>
      </c>
      <c r="K52">
        <v>0.85</v>
      </c>
      <c r="L52">
        <v>1.36</v>
      </c>
      <c r="M52" s="1">
        <f>IF(ISNUMBER(Main_S[[#This Row],[EPS]]),IF(Main_S[[#This Row],[EPS]]&lt;&gt;0,Main_S[[#This Row],[Current Price]]/Main_S[[#This Row],[EPS]],""),"")</f>
        <v>120</v>
      </c>
      <c r="N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2" s="1">
        <f>(Main_S[[#This Row],[P/FCF]]-VLOOKUP(Main_S[[#This Row],[Industry]], Mean_PFCF_S, 2, FALSE))/(VLOOKUP(Main_S[[#This Row],[Industry]], Mean_PFCF_S, 3, FALSE))</f>
        <v>1.1197367453461433</v>
      </c>
      <c r="P52" s="1">
        <f>(Main_S[[#This Row],[P/B]]-VLOOKUP(Main_S[[#This Row],[Industry]], Mean_PB_S, 2, FALSE))/(VLOOKUP(Main_S[[#This Row],[Industry]], Mean_PB_S, 3, FALSE))</f>
        <v>0.97117355265205907</v>
      </c>
      <c r="Q52" s="1">
        <f>(Main_S[[#This Row],[ROE]]-VLOOKUP(Main_S[[#This Row],[Industry]], Mean_ROE_S, 2, FALSE))/(VLOOKUP(Main_S[[#This Row],[Industry]], Mean_ROE_S, 3, FALSE))</f>
        <v>-1.3882097478034734</v>
      </c>
      <c r="R52" s="1">
        <f>(Main_S[[#This Row],[ROA]]-VLOOKUP(Main_S[[#This Row],[Industry]], Mean_ROA_S, 2, FALSE))/(VLOOKUP(Main_S[[#This Row],[Industry]], Mean_ROA_S, 3, FALSE))</f>
        <v>-1.4304351165239724</v>
      </c>
      <c r="S52" s="1">
        <f>(Main_S[[#This Row],[A/E]]-VLOOKUP(Main_S[[#This Row],[Industry]], Mean_AE_S, 2, FALSE))/(VLOOKUP(Main_S[[#This Row],[Industry]], Mean_AE_S, 3, FALSE))</f>
        <v>-1.2445079348883237</v>
      </c>
      <c r="T52" s="1">
        <f>(Main_S[[#This Row],[P/E]]-VLOOKUP(Main_S[[#This Row],[Industry]], Mean_PE_S, 2, FALSE))/(VLOOKUP(Main_S[[#This Row],[Industry]], Mean_PE_S, 3, FALSE))</f>
        <v>1.4081720468122647</v>
      </c>
      <c r="U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3" spans="1:26" x14ac:dyDescent="0.25">
      <c r="A53" s="67" t="s">
        <v>108</v>
      </c>
      <c r="B53" s="67" t="s">
        <v>269</v>
      </c>
      <c r="C53" s="2">
        <v>992</v>
      </c>
      <c r="D53">
        <f>RTD("tos.rtd", , "LAST", Main_S[[#This Row],[Symbol]])</f>
        <v>6.75</v>
      </c>
      <c r="E53">
        <v>2.16</v>
      </c>
      <c r="F53">
        <v>16.600000000000001</v>
      </c>
      <c r="G53">
        <v>1.55</v>
      </c>
      <c r="H53" s="1">
        <f>IF(ISNUMBER(Main_S[[#This Row],[Free CF]]),IF(Main_S[[#This Row],[Free CF]]&lt;&gt;0,Main_S[[#This Row],[Current Price]]/Main_S[[#This Row],[Free CF]],""),"")</f>
        <v>3.125</v>
      </c>
      <c r="I53" s="1">
        <f>IF(ISNUMBER(Main_S[[#This Row],[BVPS]]),IF(Main_S[[#This Row],[BVPS]]&lt;&gt;0,Main_S[[#This Row],[Current Price]]/Main_S[[#This Row],[BVPS]],""),"")</f>
        <v>0.40662650602409633</v>
      </c>
      <c r="J53">
        <v>9.32</v>
      </c>
      <c r="K53">
        <v>5.91</v>
      </c>
      <c r="L53">
        <v>1.84</v>
      </c>
      <c r="M53" s="1">
        <f>IF(ISNUMBER(Main_S[[#This Row],[EPS]]),IF(Main_S[[#This Row],[EPS]]&lt;&gt;0,Main_S[[#This Row],[Current Price]]/Main_S[[#This Row],[EPS]],""),"")</f>
        <v>4.354838709677419</v>
      </c>
      <c r="N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3" s="1">
        <f>(Main_S[[#This Row],[P/FCF]]-VLOOKUP(Main_S[[#This Row],[Industry]], Mean_PFCF_S, 2, FALSE))/(VLOOKUP(Main_S[[#This Row],[Industry]], Mean_PFCF_S, 3, FALSE))</f>
        <v>-1.1164234473789372</v>
      </c>
      <c r="P53" s="1">
        <f>(Main_S[[#This Row],[P/B]]-VLOOKUP(Main_S[[#This Row],[Industry]], Mean_PB_S, 2, FALSE))/(VLOOKUP(Main_S[[#This Row],[Industry]], Mean_PB_S, 3, FALSE))</f>
        <v>-1.3758768683588909</v>
      </c>
      <c r="Q53" s="1">
        <f>(Main_S[[#This Row],[ROE]]-VLOOKUP(Main_S[[#This Row],[Industry]], Mean_ROE_S, 2, FALSE))/(VLOOKUP(Main_S[[#This Row],[Industry]], Mean_ROE_S, 3, FALSE))</f>
        <v>0.92788954422373138</v>
      </c>
      <c r="R53" s="1">
        <f>(Main_S[[#This Row],[ROA]]-VLOOKUP(Main_S[[#This Row],[Industry]], Mean_ROA_S, 2, FALSE))/(VLOOKUP(Main_S[[#This Row],[Industry]], Mean_ROA_S, 3, FALSE))</f>
        <v>0.1430435116523972</v>
      </c>
      <c r="S53" s="1">
        <f>(Main_S[[#This Row],[A/E]]-VLOOKUP(Main_S[[#This Row],[Industry]], Mean_AE_S, 2, FALSE))/(VLOOKUP(Main_S[[#This Row],[Industry]], Mean_AE_S, 3, FALSE))</f>
        <v>-0.33941125496954272</v>
      </c>
      <c r="T53" s="1">
        <f>(Main_S[[#This Row],[P/E]]-VLOOKUP(Main_S[[#This Row],[Industry]], Mean_PE_S, 2, FALSE))/(VLOOKUP(Main_S[[#This Row],[Industry]], Mean_PE_S, 3, FALSE))</f>
        <v>-0.81717278183707442</v>
      </c>
      <c r="U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4" spans="1:26" x14ac:dyDescent="0.25">
      <c r="A54" s="67" t="s">
        <v>108</v>
      </c>
      <c r="B54" s="67" t="s">
        <v>227</v>
      </c>
      <c r="C54" s="2">
        <v>1330</v>
      </c>
      <c r="D54">
        <f>RTD("tos.rtd", , "LAST", Main_S[[#This Row],[Symbol]])</f>
        <v>74.81</v>
      </c>
      <c r="E54">
        <v>3.12</v>
      </c>
      <c r="F54">
        <v>11.16</v>
      </c>
      <c r="G54">
        <v>0.09</v>
      </c>
      <c r="H54" s="1">
        <f>IF(ISNUMBER(Main_S[[#This Row],[Free CF]]),IF(Main_S[[#This Row],[Free CF]]&lt;&gt;0,Main_S[[#This Row],[Current Price]]/Main_S[[#This Row],[Free CF]],""),"")</f>
        <v>23.977564102564102</v>
      </c>
      <c r="I54" s="1">
        <f>IF(ISNUMBER(Main_S[[#This Row],[BVPS]]),IF(Main_S[[#This Row],[BVPS]]&lt;&gt;0,Main_S[[#This Row],[Current Price]]/Main_S[[#This Row],[BVPS]],""),"")</f>
        <v>6.7034050179211473</v>
      </c>
      <c r="J54">
        <v>28.33</v>
      </c>
      <c r="K54">
        <v>9.91</v>
      </c>
      <c r="L54">
        <v>2.83</v>
      </c>
      <c r="M54" s="1">
        <f>IF(ISNUMBER(Main_S[[#This Row],[EPS]]),IF(Main_S[[#This Row],[EPS]]&lt;&gt;0,Main_S[[#This Row],[Current Price]]/Main_S[[#This Row],[EPS]],""),"")</f>
        <v>831.22222222222229</v>
      </c>
      <c r="N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4" s="1">
        <f>(Main_S[[#This Row],[P/FCF]]-VLOOKUP(Main_S[[#This Row],[Industry]], Mean_PFCF_S, 2, FALSE))/(VLOOKUP(Main_S[[#This Row],[Industry]], Mean_PFCF_S, 3, FALSE))</f>
        <v>0.86430605757264523</v>
      </c>
      <c r="P54" s="1">
        <f>(Main_S[[#This Row],[P/B]]-VLOOKUP(Main_S[[#This Row],[Industry]], Mean_PB_S, 2, FALSE))/(VLOOKUP(Main_S[[#This Row],[Industry]], Mean_PB_S, 3, FALSE))</f>
        <v>16.556522719262325</v>
      </c>
      <c r="Q54" s="1">
        <f>(Main_S[[#This Row],[ROE]]-VLOOKUP(Main_S[[#This Row],[Industry]], Mean_ROE_S, 2, FALSE))/(VLOOKUP(Main_S[[#This Row],[Industry]], Mean_ROE_S, 3, FALSE))</f>
        <v>6.0956181288994546</v>
      </c>
      <c r="R54" s="1">
        <f>(Main_S[[#This Row],[ROA]]-VLOOKUP(Main_S[[#This Row],[Industry]], Mean_ROA_S, 2, FALSE))/(VLOOKUP(Main_S[[#This Row],[Industry]], Mean_ROA_S, 3, FALSE))</f>
        <v>1.3869001347167209</v>
      </c>
      <c r="S54" s="1">
        <f>(Main_S[[#This Row],[A/E]]-VLOOKUP(Main_S[[#This Row],[Industry]], Mean_AE_S, 2, FALSE))/(VLOOKUP(Main_S[[#This Row],[Industry]], Mean_AE_S, 3, FALSE))</f>
        <v>1.5273506473629428</v>
      </c>
      <c r="T54" s="1">
        <f>(Main_S[[#This Row],[P/E]]-VLOOKUP(Main_S[[#This Row],[Industry]], Mean_PE_S, 2, FALSE))/(VLOOKUP(Main_S[[#This Row],[Industry]], Mean_PE_S, 3, FALSE))</f>
        <v>15.094128956581892</v>
      </c>
      <c r="U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5" spans="1:26" x14ac:dyDescent="0.25">
      <c r="A55" s="67" t="s">
        <v>108</v>
      </c>
      <c r="B55" s="67" t="s">
        <v>228</v>
      </c>
      <c r="C55" s="2">
        <v>1616</v>
      </c>
      <c r="D55">
        <f>RTD("tos.rtd", , "LAST", Main_S[[#This Row],[Symbol]])</f>
        <v>60.89</v>
      </c>
      <c r="E55">
        <v>10.6</v>
      </c>
      <c r="F55">
        <v>59.01</v>
      </c>
      <c r="G55">
        <v>3.78</v>
      </c>
      <c r="H55" s="1">
        <f>IF(ISNUMBER(Main_S[[#This Row],[Free CF]]),IF(Main_S[[#This Row],[Free CF]]&lt;&gt;0,Main_S[[#This Row],[Current Price]]/Main_S[[#This Row],[Free CF]],""),"")</f>
        <v>5.74433962264151</v>
      </c>
      <c r="I55" s="1">
        <f>IF(ISNUMBER(Main_S[[#This Row],[BVPS]]),IF(Main_S[[#This Row],[BVPS]]&lt;&gt;0,Main_S[[#This Row],[Current Price]]/Main_S[[#This Row],[BVPS]],""),"")</f>
        <v>1.0318590069479749</v>
      </c>
      <c r="J55">
        <v>7.6</v>
      </c>
      <c r="K55">
        <v>5.13</v>
      </c>
      <c r="L55">
        <v>2.0499999999999998</v>
      </c>
      <c r="M55" s="1">
        <f>IF(ISNUMBER(Main_S[[#This Row],[EPS]]),IF(Main_S[[#This Row],[EPS]]&lt;&gt;0,Main_S[[#This Row],[Current Price]]/Main_S[[#This Row],[EPS]],""),"")</f>
        <v>16.108465608465611</v>
      </c>
      <c r="N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5" s="1">
        <f>(Main_S[[#This Row],[P/FCF]]-VLOOKUP(Main_S[[#This Row],[Industry]], Mean_PFCF_S, 2, FALSE))/(VLOOKUP(Main_S[[#This Row],[Industry]], Mean_PFCF_S, 3, FALSE))</f>
        <v>-0.86761935553985137</v>
      </c>
      <c r="P55" s="1">
        <f>(Main_S[[#This Row],[P/B]]-VLOOKUP(Main_S[[#This Row],[Industry]], Mean_PB_S, 2, FALSE))/(VLOOKUP(Main_S[[#This Row],[Industry]], Mean_PB_S, 3, FALSE))</f>
        <v>0.40470331570683254</v>
      </c>
      <c r="Q55" s="1">
        <f>(Main_S[[#This Row],[ROE]]-VLOOKUP(Main_S[[#This Row],[Industry]], Mean_ROE_S, 2, FALSE))/(VLOOKUP(Main_S[[#This Row],[Industry]], Mean_ROE_S, 3, FALSE))</f>
        <v>0.46032020357974157</v>
      </c>
      <c r="R55" s="1">
        <f>(Main_S[[#This Row],[ROA]]-VLOOKUP(Main_S[[#This Row],[Industry]], Mean_ROA_S, 2, FALSE))/(VLOOKUP(Main_S[[#This Row],[Industry]], Mean_ROA_S, 3, FALSE))</f>
        <v>-9.9508529845145979E-2</v>
      </c>
      <c r="S55" s="1">
        <f>(Main_S[[#This Row],[A/E]]-VLOOKUP(Main_S[[#This Row],[Industry]], Mean_AE_S, 2, FALSE))/(VLOOKUP(Main_S[[#This Row],[Industry]], Mean_AE_S, 3, FALSE))</f>
        <v>5.6568542494923442E-2</v>
      </c>
      <c r="T55" s="1">
        <f>(Main_S[[#This Row],[P/E]]-VLOOKUP(Main_S[[#This Row],[Industry]], Mean_PE_S, 2, FALSE))/(VLOOKUP(Main_S[[#This Row],[Industry]], Mean_PE_S, 3, FALSE))</f>
        <v>-0.59099926497519029</v>
      </c>
      <c r="U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28"/>
  <sheetViews>
    <sheetView topLeftCell="A5" workbookViewId="0">
      <selection activeCell="B24" sqref="B24"/>
    </sheetView>
  </sheetViews>
  <sheetFormatPr defaultRowHeight="15" x14ac:dyDescent="0.25"/>
  <cols>
    <col min="1" max="1" width="35.7109375" bestFit="1" customWidth="1"/>
    <col min="2" max="3" width="60.140625" bestFit="1" customWidth="1"/>
    <col min="4" max="4" width="45.140625" bestFit="1" customWidth="1"/>
    <col min="5" max="5" width="45.42578125" bestFit="1" customWidth="1"/>
    <col min="6" max="7" width="58" bestFit="1" customWidth="1"/>
    <col min="8" max="8" width="39" bestFit="1" customWidth="1"/>
    <col min="9" max="9" width="39.28515625" bestFit="1" customWidth="1"/>
    <col min="10" max="11" width="58.7109375" bestFit="1" customWidth="1"/>
    <col min="12" max="12" width="40.7109375" bestFit="1" customWidth="1"/>
    <col min="13" max="13" width="41" bestFit="1" customWidth="1"/>
    <col min="14" max="15" width="58.85546875" bestFit="1" customWidth="1"/>
    <col min="16" max="16" width="41.140625" bestFit="1" customWidth="1"/>
    <col min="17" max="17" width="41.42578125" bestFit="1" customWidth="1"/>
    <col min="18" max="19" width="57.85546875" bestFit="1" customWidth="1"/>
    <col min="20" max="20" width="38.5703125" bestFit="1" customWidth="1"/>
    <col min="21" max="21" width="38.85546875" bestFit="1" customWidth="1"/>
    <col min="22" max="23" width="57.8554687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106</v>
      </c>
      <c r="B3" s="1" cm="1">
        <f t="array" ref="B3">_xlfn.QUARTILE.INC(IF(Quartile_L[[#This Row],[Industry]]=Main_L[Industry],Main_L[P/FCF]),1)</f>
        <v>10.615760286225402</v>
      </c>
      <c r="C3" s="1" cm="1">
        <f t="array" ref="C3">_xlfn.QUARTILE.INC(IF(Quartile_L[[#This Row],[Industry]]=Main_L[Industry],Main_L[P/FCF]),3)</f>
        <v>43.762600321027286</v>
      </c>
      <c r="D3" s="1">
        <f>Quartile_L[[#This Row],[P/FCF Q1]]-1.5*(Quartile_L[[#This Row],[P/FCF Q3]]-Quartile_L[[#This Row],[P/FCF Q1]])</f>
        <v>-39.104499765977422</v>
      </c>
      <c r="E3" s="1">
        <f>Quartile_L[[#This Row],[P/FCF Q3]]+1.5*(Quartile_L[[#This Row],[P/FCF Q3]]-Quartile_L[[#This Row],[P/FCF Q1]])</f>
        <v>93.48286037323011</v>
      </c>
      <c r="F3" s="1" cm="1">
        <f t="array" ref="F3">_xlfn.QUARTILE.INC(IF(Quartile_L[[#This Row],[Industry]]=Main_L[Industry],Main_L[P/B]),1)</f>
        <v>1.9586556603773584</v>
      </c>
      <c r="G3" s="1" cm="1">
        <f t="array" ref="G3">_xlfn.QUARTILE.INC(IF(Quartile_L[[#This Row],[Industry]]=Main_L[Industry],Main_L[P/B]),3)</f>
        <v>8.4783646846427114</v>
      </c>
      <c r="H3" s="1">
        <f>Quartile_L[[#This Row],[P/B Q1]]-1.5*(Quartile_L[[#This Row],[P/B Q3]]-Quartile_L[[#This Row],[P/B Q1]])</f>
        <v>-7.8209078760206712</v>
      </c>
      <c r="I3" s="1">
        <f>Quartile_L[[#This Row],[P/B Q3]]+1.5*(Quartile_L[[#This Row],[P/B Q3]]-Quartile_L[[#This Row],[P/B Q1]])</f>
        <v>18.257928221040743</v>
      </c>
      <c r="J3" s="1" cm="1">
        <f t="array" ref="J3">_xlfn.QUARTILE.INC(IF(Quartile_L[[#This Row],[Industry]]=Main_L[Industry],Main_L[ROE]),1)</f>
        <v>6.6375000000000002</v>
      </c>
      <c r="K3" s="1" cm="1">
        <f t="array" ref="K3">_xlfn.QUARTILE.INC(IF(Quartile_L[[#This Row],[Industry]]=Main_L[Industry],Main_L[ROE]),3)</f>
        <v>17.2775</v>
      </c>
      <c r="L3" s="1">
        <f>Quartile_L[[#This Row],[ROE Q1]]-1.5*(Quartile_L[[#This Row],[ROE Q3]]-Quartile_L[[#This Row],[ROE Q1]])</f>
        <v>-9.3225000000000016</v>
      </c>
      <c r="M3" s="1">
        <f>Quartile_L[[#This Row],[ROE Q3]]+1.5*(Quartile_L[[#This Row],[ROE Q3]]-Quartile_L[[#This Row],[ROE Q1]])</f>
        <v>33.237499999999997</v>
      </c>
      <c r="N3" s="1" cm="1">
        <f t="array" ref="N3">_xlfn.QUARTILE.INC(IF(Quartile_L[[#This Row],[Industry]]=Main_L[Industry],Main_L[ROA]),1)</f>
        <v>4.4775</v>
      </c>
      <c r="O3" s="1" cm="1">
        <f t="array" ref="O3">_xlfn.QUARTILE.INC(IF(Quartile_L[[#This Row],[Industry]]=Main_L[Industry],Main_L[ROA]),3)</f>
        <v>8.6775000000000002</v>
      </c>
      <c r="P3" s="1">
        <f>Quartile_L[[#This Row],[ROA Q1]]-1.5*(Quartile_L[[#This Row],[ROA Q3]]-Quartile_L[[#This Row],[ROA Q1]])</f>
        <v>-1.8225000000000007</v>
      </c>
      <c r="Q3" s="1">
        <f>Quartile_L[[#This Row],[ROA Q3]]+1.5*(Quartile_L[[#This Row],[ROA Q3]]-Quartile_L[[#This Row],[ROA Q1]])</f>
        <v>14.977500000000001</v>
      </c>
      <c r="R3" s="1" cm="1">
        <f t="array" ref="R3">_xlfn.QUARTILE.INC(IF(Quartile_L[[#This Row],[Industry]]=Main_L[Industry],Main_L[P/E]),1)</f>
        <v>11.705661322645291</v>
      </c>
      <c r="S3" s="1" cm="1">
        <f t="array" ref="S3">_xlfn.QUARTILE.INC(IF(Quartile_L[[#This Row],[Industry]]=Main_L[Industry],Main_L[P/E]),3)</f>
        <v>38.57870813397129</v>
      </c>
      <c r="T3" s="1">
        <f>Quartile_L[[#This Row],[P/E Q1]]-1.5*(Quartile_L[[#This Row],[P/E Q3]]-Quartile_L[[#This Row],[P/E Q1]])</f>
        <v>-28.603908894343711</v>
      </c>
      <c r="U3" s="1">
        <f>Quartile_L[[#This Row],[P/E Q3]]+1.5*(Quartile_L[[#This Row],[P/E Q3]]-Quartile_L[[#This Row],[P/E Q1]])</f>
        <v>78.888278350960292</v>
      </c>
      <c r="V3" s="1" cm="1">
        <f t="array" ref="V3">_xlfn.QUARTILE.INC(IF(Quartile_L[[#This Row],[Industry]]=Main_L[Industry],Main_L[A/E]),1)</f>
        <v>2</v>
      </c>
      <c r="W3" s="1" cm="1">
        <f t="array" ref="W3">_xlfn.QUARTILE.INC(IF(Quartile_L[[#This Row],[Industry]]=Main_L[Industry],Main_L[A/E]),3)</f>
        <v>3.2549999999999999</v>
      </c>
      <c r="X3" s="1">
        <f>Quartile_L[[#This Row],[A/E Q1]]-1.5*(Quartile_L[[#This Row],[A/E Q3]]-Quartile_L[[#This Row],[A/E Q1]])</f>
        <v>0.11750000000000016</v>
      </c>
      <c r="Y3" s="1">
        <f>Quartile_L[[#This Row],[A/E Q3]]+1.5*(Quartile_L[[#This Row],[A/E Q3]]-Quartile_L[[#This Row],[A/E Q1]])</f>
        <v>5.1374999999999993</v>
      </c>
    </row>
    <row r="4" spans="1:25" x14ac:dyDescent="0.25">
      <c r="A4" t="s">
        <v>105</v>
      </c>
      <c r="B4" s="1" cm="1">
        <f t="array" ref="B4">_xlfn.QUARTILE.INC(IF(Quartile_L[[#This Row],[Industry]]=Main_L[Industry],Main_L[P/FCF]),1)</f>
        <v>15.631257814453612</v>
      </c>
      <c r="C4" s="1" cm="1">
        <f t="array" ref="C4">_xlfn.QUARTILE.INC(IF(Quartile_L[[#This Row],[Industry]]=Main_L[Industry],Main_L[P/FCF]),3)</f>
        <v>32.572022005572656</v>
      </c>
      <c r="D4" s="1">
        <f>Quartile_L[[#This Row],[P/FCF Q1]]-1.5*(Quartile_L[[#This Row],[P/FCF Q3]]-Quartile_L[[#This Row],[P/FCF Q1]])</f>
        <v>-9.7798884722249539</v>
      </c>
      <c r="E4" s="1">
        <f>Quartile_L[[#This Row],[P/FCF Q3]]+1.5*(Quartile_L[[#This Row],[P/FCF Q3]]-Quartile_L[[#This Row],[P/FCF Q1]])</f>
        <v>57.983168292251221</v>
      </c>
      <c r="F4" s="1" cm="1">
        <f t="array" ref="F4">_xlfn.QUARTILE.INC(IF(Quartile_L[[#This Row],[Industry]]=Main_L[Industry],Main_L[P/B]),1)</f>
        <v>3.5346927527301357</v>
      </c>
      <c r="G4" s="1" cm="1">
        <f t="array" ref="G4">_xlfn.QUARTILE.INC(IF(Quartile_L[[#This Row],[Industry]]=Main_L[Industry],Main_L[P/B]),3)</f>
        <v>7.3344261159997961</v>
      </c>
      <c r="H4" s="1">
        <f>Quartile_L[[#This Row],[P/B Q1]]-1.5*(Quartile_L[[#This Row],[P/B Q3]]-Quartile_L[[#This Row],[P/B Q1]])</f>
        <v>-2.1649072921743553</v>
      </c>
      <c r="I4" s="1">
        <f>Quartile_L[[#This Row],[P/B Q3]]+1.5*(Quartile_L[[#This Row],[P/B Q3]]-Quartile_L[[#This Row],[P/B Q1]])</f>
        <v>13.034026160904286</v>
      </c>
      <c r="J4" s="1" cm="1">
        <f t="array" ref="J4">_xlfn.QUARTILE.INC(IF(Quartile_L[[#This Row],[Industry]]=Main_L[Industry],Main_L[ROE]),1)</f>
        <v>16.355</v>
      </c>
      <c r="K4" s="1" cm="1">
        <f t="array" ref="K4">_xlfn.QUARTILE.INC(IF(Quartile_L[[#This Row],[Industry]]=Main_L[Industry],Main_L[ROE]),3)</f>
        <v>30.17</v>
      </c>
      <c r="L4" s="1">
        <f>Quartile_L[[#This Row],[ROE Q1]]-1.5*(Quartile_L[[#This Row],[ROE Q3]]-Quartile_L[[#This Row],[ROE Q1]])</f>
        <v>-4.3675000000000033</v>
      </c>
      <c r="M4" s="1">
        <f>Quartile_L[[#This Row],[ROE Q3]]+1.5*(Quartile_L[[#This Row],[ROE Q3]]-Quartile_L[[#This Row],[ROE Q1]])</f>
        <v>50.892500000000005</v>
      </c>
      <c r="N4" s="1" cm="1">
        <f t="array" ref="N4">_xlfn.QUARTILE.INC(IF(Quartile_L[[#This Row],[Industry]]=Main_L[Industry],Main_L[ROA]),1)</f>
        <v>5.5350000000000001</v>
      </c>
      <c r="O4" s="1" cm="1">
        <f t="array" ref="O4">_xlfn.QUARTILE.INC(IF(Quartile_L[[#This Row],[Industry]]=Main_L[Industry],Main_L[ROA]),3)</f>
        <v>7.2249999999999996</v>
      </c>
      <c r="P4" s="1">
        <f>Quartile_L[[#This Row],[ROA Q1]]-1.5*(Quartile_L[[#This Row],[ROA Q3]]-Quartile_L[[#This Row],[ROA Q1]])</f>
        <v>3.0000000000000009</v>
      </c>
      <c r="Q4" s="1">
        <f>Quartile_L[[#This Row],[ROA Q3]]+1.5*(Quartile_L[[#This Row],[ROA Q3]]-Quartile_L[[#This Row],[ROA Q1]])</f>
        <v>9.759999999999998</v>
      </c>
      <c r="R4" s="1" cm="1">
        <f t="array" ref="R4">_xlfn.QUARTILE.INC(IF(Quartile_L[[#This Row],[Industry]]=Main_L[Industry],Main_L[P/E]),1)</f>
        <v>19.33429351121892</v>
      </c>
      <c r="S4" s="1" cm="1">
        <f t="array" ref="S4">_xlfn.QUARTILE.INC(IF(Quartile_L[[#This Row],[Industry]]=Main_L[Industry],Main_L[P/E]),3)</f>
        <v>33.925314677962028</v>
      </c>
      <c r="T4" s="1">
        <f>Quartile_L[[#This Row],[P/E Q1]]-1.5*(Quartile_L[[#This Row],[P/E Q3]]-Quartile_L[[#This Row],[P/E Q1]])</f>
        <v>-2.5522382388957432</v>
      </c>
      <c r="U4" s="1">
        <f>Quartile_L[[#This Row],[P/E Q3]]+1.5*(Quartile_L[[#This Row],[P/E Q3]]-Quartile_L[[#This Row],[P/E Q1]])</f>
        <v>55.811846428076691</v>
      </c>
      <c r="V4" s="1" cm="1">
        <f t="array" ref="V4">_xlfn.QUARTILE.INC(IF(Quartile_L[[#This Row],[Industry]]=Main_L[Industry],Main_L[A/E]),1)</f>
        <v>2.6749999999999998</v>
      </c>
      <c r="W4" s="1" cm="1">
        <f t="array" ref="W4">_xlfn.QUARTILE.INC(IF(Quartile_L[[#This Row],[Industry]]=Main_L[Industry],Main_L[A/E]),3)</f>
        <v>4.4450000000000003</v>
      </c>
      <c r="X4" s="1">
        <f>Quartile_L[[#This Row],[A/E Q1]]-1.5*(Quartile_L[[#This Row],[A/E Q3]]-Quartile_L[[#This Row],[A/E Q1]])</f>
        <v>1.999999999999913E-2</v>
      </c>
      <c r="Y4" s="1">
        <f>Quartile_L[[#This Row],[A/E Q3]]+1.5*(Quartile_L[[#This Row],[A/E Q3]]-Quartile_L[[#This Row],[A/E Q1]])</f>
        <v>7.1000000000000014</v>
      </c>
    </row>
    <row r="5" spans="1:25" x14ac:dyDescent="0.25">
      <c r="A5" t="s">
        <v>107</v>
      </c>
      <c r="B5" s="1" cm="1">
        <f t="array" ref="B5">_xlfn.QUARTILE.INC(IF(Quartile_L[[#This Row],[Industry]]=Main_L[Industry],Main_L[P/FCF]),1)</f>
        <v>7.8814432989690717</v>
      </c>
      <c r="C5" s="1" cm="1">
        <f t="array" ref="C5">_xlfn.QUARTILE.INC(IF(Quartile_L[[#This Row],[Industry]]=Main_L[Industry],Main_L[P/FCF]),3)</f>
        <v>26.787148594377509</v>
      </c>
      <c r="D5" s="1">
        <f>Quartile_L[[#This Row],[P/FCF Q1]]-1.5*(Quartile_L[[#This Row],[P/FCF Q3]]-Quartile_L[[#This Row],[P/FCF Q1]])</f>
        <v>-20.477114644143587</v>
      </c>
      <c r="E5" s="1">
        <f>Quartile_L[[#This Row],[P/FCF Q3]]+1.5*(Quartile_L[[#This Row],[P/FCF Q3]]-Quartile_L[[#This Row],[P/FCF Q1]])</f>
        <v>55.14570653749017</v>
      </c>
      <c r="F5" s="1" cm="1">
        <f t="array" ref="F5">_xlfn.QUARTILE.INC(IF(Quartile_L[[#This Row],[Industry]]=Main_L[Industry],Main_L[P/B]),1)</f>
        <v>1.0394965277777777</v>
      </c>
      <c r="G5" s="1" cm="1">
        <f t="array" ref="G5">_xlfn.QUARTILE.INC(IF(Quartile_L[[#This Row],[Industry]]=Main_L[Industry],Main_L[P/B]),3)</f>
        <v>3.4750000000000001</v>
      </c>
      <c r="H5" s="1">
        <f>Quartile_L[[#This Row],[P/B Q1]]-1.5*(Quartile_L[[#This Row],[P/B Q3]]-Quartile_L[[#This Row],[P/B Q1]])</f>
        <v>-2.6137586805555557</v>
      </c>
      <c r="I5" s="1">
        <f>Quartile_L[[#This Row],[P/B Q3]]+1.5*(Quartile_L[[#This Row],[P/B Q3]]-Quartile_L[[#This Row],[P/B Q1]])</f>
        <v>7.1282552083333339</v>
      </c>
      <c r="J5" s="1" cm="1">
        <f t="array" ref="J5">_xlfn.QUARTILE.INC(IF(Quartile_L[[#This Row],[Industry]]=Main_L[Industry],Main_L[ROE]),1)</f>
        <v>5.35</v>
      </c>
      <c r="K5" s="1" cm="1">
        <f t="array" ref="K5">_xlfn.QUARTILE.INC(IF(Quartile_L[[#This Row],[Industry]]=Main_L[Industry],Main_L[ROE]),3)</f>
        <v>16.899999999999999</v>
      </c>
      <c r="L5" s="1">
        <f>Quartile_L[[#This Row],[ROE Q1]]-1.5*(Quartile_L[[#This Row],[ROE Q3]]-Quartile_L[[#This Row],[ROE Q1]])</f>
        <v>-11.975</v>
      </c>
      <c r="M5" s="1">
        <f>Quartile_L[[#This Row],[ROE Q3]]+1.5*(Quartile_L[[#This Row],[ROE Q3]]-Quartile_L[[#This Row],[ROE Q1]])</f>
        <v>34.224999999999994</v>
      </c>
      <c r="N5" s="1" cm="1">
        <f t="array" ref="N5">_xlfn.QUARTILE.INC(IF(Quartile_L[[#This Row],[Industry]]=Main_L[Industry],Main_L[ROA]),1)</f>
        <v>3.69</v>
      </c>
      <c r="O5" s="1" cm="1">
        <f t="array" ref="O5">_xlfn.QUARTILE.INC(IF(Quartile_L[[#This Row],[Industry]]=Main_L[Industry],Main_L[ROA]),3)</f>
        <v>7.2</v>
      </c>
      <c r="P5" s="1">
        <f>Quartile_L[[#This Row],[ROA Q1]]-1.5*(Quartile_L[[#This Row],[ROA Q3]]-Quartile_L[[#This Row],[ROA Q1]])</f>
        <v>-1.5750000000000006</v>
      </c>
      <c r="Q5" s="1">
        <f>Quartile_L[[#This Row],[ROA Q3]]+1.5*(Quartile_L[[#This Row],[ROA Q3]]-Quartile_L[[#This Row],[ROA Q1]])</f>
        <v>12.465</v>
      </c>
      <c r="R5" s="1" cm="1">
        <f t="array" ref="R5">_xlfn.QUARTILE.INC(IF(Quartile_L[[#This Row],[Industry]]=Main_L[Industry],Main_L[P/E]),1)</f>
        <v>11.816239316239317</v>
      </c>
      <c r="S5" s="1" cm="1">
        <f t="array" ref="S5">_xlfn.QUARTILE.INC(IF(Quartile_L[[#This Row],[Industry]]=Main_L[Industry],Main_L[P/E]),3)</f>
        <v>22.933823529411764</v>
      </c>
      <c r="T5" s="1">
        <f>Quartile_L[[#This Row],[P/E Q1]]-1.5*(Quartile_L[[#This Row],[P/E Q3]]-Quartile_L[[#This Row],[P/E Q1]])</f>
        <v>-4.8601370035193536</v>
      </c>
      <c r="U5" s="1">
        <f>Quartile_L[[#This Row],[P/E Q3]]+1.5*(Quartile_L[[#This Row],[P/E Q3]]-Quartile_L[[#This Row],[P/E Q1]])</f>
        <v>39.610199849170435</v>
      </c>
      <c r="V5" s="1" cm="1">
        <f t="array" ref="V5">_xlfn.QUARTILE.INC(IF(Quartile_L[[#This Row],[Industry]]=Main_L[Industry],Main_L[A/E]),1)</f>
        <v>1.97</v>
      </c>
      <c r="W5" s="1" cm="1">
        <f t="array" ref="W5">_xlfn.QUARTILE.INC(IF(Quartile_L[[#This Row],[Industry]]=Main_L[Industry],Main_L[A/E]),3)</f>
        <v>2.98</v>
      </c>
      <c r="X5" s="1">
        <f>Quartile_L[[#This Row],[A/E Q1]]-1.5*(Quartile_L[[#This Row],[A/E Q3]]-Quartile_L[[#This Row],[A/E Q1]])</f>
        <v>0.45499999999999985</v>
      </c>
      <c r="Y5" s="1">
        <f>Quartile_L[[#This Row],[A/E Q3]]+1.5*(Quartile_L[[#This Row],[A/E Q3]]-Quartile_L[[#This Row],[A/E Q1]])</f>
        <v>4.4950000000000001</v>
      </c>
    </row>
    <row r="6" spans="1:25" x14ac:dyDescent="0.25">
      <c r="A6" t="s">
        <v>110</v>
      </c>
      <c r="B6" s="1" cm="1">
        <f t="array" ref="B6">_xlfn.QUARTILE.INC(IF(Quartile_L[[#This Row],[Industry]]=Main_L[Industry],Main_L[P/FCF]),1)</f>
        <v>23.109908938993968</v>
      </c>
      <c r="C6" s="1" cm="1">
        <f t="array" ref="C6">_xlfn.QUARTILE.INC(IF(Quartile_L[[#This Row],[Industry]]=Main_L[Industry],Main_L[P/FCF]),3)</f>
        <v>27.317870722433462</v>
      </c>
      <c r="D6" s="1">
        <f>Quartile_L[[#This Row],[P/FCF Q1]]-1.5*(Quartile_L[[#This Row],[P/FCF Q3]]-Quartile_L[[#This Row],[P/FCF Q1]])</f>
        <v>16.797966263834727</v>
      </c>
      <c r="E6" s="1">
        <f>Quartile_L[[#This Row],[P/FCF Q3]]+1.5*(Quartile_L[[#This Row],[P/FCF Q3]]-Quartile_L[[#This Row],[P/FCF Q1]])</f>
        <v>33.629813397592699</v>
      </c>
      <c r="F6" s="1" cm="1">
        <f t="array" ref="F6">_xlfn.QUARTILE.INC(IF(Quartile_L[[#This Row],[Industry]]=Main_L[Industry],Main_L[P/B]),1)</f>
        <v>4.8884030129922653</v>
      </c>
      <c r="G6" s="1" cm="1">
        <f t="array" ref="G6">_xlfn.QUARTILE.INC(IF(Quartile_L[[#This Row],[Industry]]=Main_L[Industry],Main_L[P/B]),3)</f>
        <v>6.6044668359878784</v>
      </c>
      <c r="H6" s="1">
        <f>Quartile_L[[#This Row],[P/B Q1]]-1.5*(Quartile_L[[#This Row],[P/B Q3]]-Quartile_L[[#This Row],[P/B Q1]])</f>
        <v>2.3143072784988457</v>
      </c>
      <c r="I6" s="1">
        <f>Quartile_L[[#This Row],[P/B Q3]]+1.5*(Quartile_L[[#This Row],[P/B Q3]]-Quartile_L[[#This Row],[P/B Q1]])</f>
        <v>9.1785625704812972</v>
      </c>
      <c r="J6" s="1" cm="1">
        <f t="array" ref="J6">_xlfn.QUARTILE.INC(IF(Quartile_L[[#This Row],[Industry]]=Main_L[Industry],Main_L[ROE]),1)</f>
        <v>-2.879999999999999</v>
      </c>
      <c r="K6" s="1" cm="1">
        <f t="array" ref="K6">_xlfn.QUARTILE.INC(IF(Quartile_L[[#This Row],[Industry]]=Main_L[Industry],Main_L[ROE]),3)</f>
        <v>19.810000000000002</v>
      </c>
      <c r="L6" s="1">
        <f>Quartile_L[[#This Row],[ROE Q1]]-1.5*(Quartile_L[[#This Row],[ROE Q3]]-Quartile_L[[#This Row],[ROE Q1]])</f>
        <v>-36.915000000000006</v>
      </c>
      <c r="M6" s="1">
        <f>Quartile_L[[#This Row],[ROE Q3]]+1.5*(Quartile_L[[#This Row],[ROE Q3]]-Quartile_L[[#This Row],[ROE Q1]])</f>
        <v>53.845000000000006</v>
      </c>
      <c r="N6" s="1" cm="1">
        <f t="array" ref="N6">_xlfn.QUARTILE.INC(IF(Quartile_L[[#This Row],[Industry]]=Main_L[Industry],Main_L[ROA]),1)</f>
        <v>5.3249999999999993</v>
      </c>
      <c r="O6" s="1" cm="1">
        <f t="array" ref="O6">_xlfn.QUARTILE.INC(IF(Quartile_L[[#This Row],[Industry]]=Main_L[Industry],Main_L[ROA]),3)</f>
        <v>7.92</v>
      </c>
      <c r="P6" s="1">
        <f>Quartile_L[[#This Row],[ROA Q1]]-1.5*(Quartile_L[[#This Row],[ROA Q3]]-Quartile_L[[#This Row],[ROA Q1]])</f>
        <v>1.4324999999999983</v>
      </c>
      <c r="Q6" s="1">
        <f>Quartile_L[[#This Row],[ROA Q3]]+1.5*(Quartile_L[[#This Row],[ROA Q3]]-Quartile_L[[#This Row],[ROA Q1]])</f>
        <v>11.8125</v>
      </c>
      <c r="R6" s="1" cm="1">
        <f t="array" ref="R6">_xlfn.QUARTILE.INC(IF(Quartile_L[[#This Row],[Industry]]=Main_L[Industry],Main_L[P/E]),1)</f>
        <v>-1.0178017226348643</v>
      </c>
      <c r="S6" s="1" cm="1">
        <f t="array" ref="S6">_xlfn.QUARTILE.INC(IF(Quartile_L[[#This Row],[Industry]]=Main_L[Industry],Main_L[P/E]),3)</f>
        <v>32.602032988108938</v>
      </c>
      <c r="T6" s="1">
        <f>Quartile_L[[#This Row],[P/E Q1]]-1.5*(Quartile_L[[#This Row],[P/E Q3]]-Quartile_L[[#This Row],[P/E Q1]])</f>
        <v>-51.447553788750568</v>
      </c>
      <c r="U6" s="1">
        <f>Quartile_L[[#This Row],[P/E Q3]]+1.5*(Quartile_L[[#This Row],[P/E Q3]]-Quartile_L[[#This Row],[P/E Q1]])</f>
        <v>83.031785054224642</v>
      </c>
      <c r="V6" s="1" cm="1">
        <f t="array" ref="V6">_xlfn.QUARTILE.INC(IF(Quartile_L[[#This Row],[Industry]]=Main_L[Industry],Main_L[A/E]),1)</f>
        <v>3.3</v>
      </c>
      <c r="W6" s="1" cm="1">
        <f t="array" ref="W6">_xlfn.QUARTILE.INC(IF(Quartile_L[[#This Row],[Industry]]=Main_L[Industry],Main_L[A/E]),3)</f>
        <v>4.2850000000000001</v>
      </c>
      <c r="X6" s="1">
        <f>Quartile_L[[#This Row],[A/E Q1]]-1.5*(Quartile_L[[#This Row],[A/E Q3]]-Quartile_L[[#This Row],[A/E Q1]])</f>
        <v>1.8224999999999993</v>
      </c>
      <c r="Y6" s="1">
        <f>Quartile_L[[#This Row],[A/E Q3]]+1.5*(Quartile_L[[#This Row],[A/E Q3]]-Quartile_L[[#This Row],[A/E Q1]])</f>
        <v>5.7625000000000011</v>
      </c>
    </row>
    <row r="7" spans="1:25" x14ac:dyDescent="0.25">
      <c r="A7" t="s">
        <v>108</v>
      </c>
      <c r="B7" s="1" cm="1">
        <f t="array" ref="B7">_xlfn.QUARTILE.INC(IF(Quartile_L[[#This Row],[Industry]]=Main_L[Industry],Main_L[P/FCF]),1)</f>
        <v>10.376915194872943</v>
      </c>
      <c r="C7" s="1" cm="1">
        <f t="array" ref="C7">_xlfn.QUARTILE.INC(IF(Quartile_L[[#This Row],[Industry]]=Main_L[Industry],Main_L[P/FCF]),3)</f>
        <v>19.710186423418563</v>
      </c>
      <c r="D7" s="1">
        <f>Quartile_L[[#This Row],[P/FCF Q1]]-1.5*(Quartile_L[[#This Row],[P/FCF Q3]]-Quartile_L[[#This Row],[P/FCF Q1]])</f>
        <v>-3.6229916479454864</v>
      </c>
      <c r="E7" s="1">
        <f>Quartile_L[[#This Row],[P/FCF Q3]]+1.5*(Quartile_L[[#This Row],[P/FCF Q3]]-Quartile_L[[#This Row],[P/FCF Q1]])</f>
        <v>33.710093266236996</v>
      </c>
      <c r="F7" s="1" cm="1">
        <f t="array" ref="F7">_xlfn.QUARTILE.INC(IF(Quartile_L[[#This Row],[Industry]]=Main_L[Industry],Main_L[P/B]),1)</f>
        <v>-27.101662087912089</v>
      </c>
      <c r="G7" s="1" cm="1">
        <f t="array" ref="G7">_xlfn.QUARTILE.INC(IF(Quartile_L[[#This Row],[Industry]]=Main_L[Industry],Main_L[P/B]),3)</f>
        <v>-12.023749606959438</v>
      </c>
      <c r="H7" s="1">
        <f>Quartile_L[[#This Row],[P/B Q1]]-1.5*(Quartile_L[[#This Row],[P/B Q3]]-Quartile_L[[#This Row],[P/B Q1]])</f>
        <v>-49.718530809341068</v>
      </c>
      <c r="I7" s="1">
        <f>Quartile_L[[#This Row],[P/B Q3]]+1.5*(Quartile_L[[#This Row],[P/B Q3]]-Quartile_L[[#This Row],[P/B Q1]])</f>
        <v>10.593119114469541</v>
      </c>
      <c r="J7" s="1" cm="1">
        <f t="array" ref="J7">_xlfn.QUARTILE.INC(IF(Quartile_L[[#This Row],[Industry]]=Main_L[Industry],Main_L[ROE]),1)</f>
        <v>-166.08500000000001</v>
      </c>
      <c r="K7" s="1" cm="1">
        <f t="array" ref="K7">_xlfn.QUARTILE.INC(IF(Quartile_L[[#This Row],[Industry]]=Main_L[Industry],Main_L[ROE]),3)</f>
        <v>-43.19</v>
      </c>
      <c r="L7" s="1">
        <f>Quartile_L[[#This Row],[ROE Q1]]-1.5*(Quartile_L[[#This Row],[ROE Q3]]-Quartile_L[[#This Row],[ROE Q1]])</f>
        <v>-350.42750000000001</v>
      </c>
      <c r="M7" s="1">
        <f>Quartile_L[[#This Row],[ROE Q3]]+1.5*(Quartile_L[[#This Row],[ROE Q3]]-Quartile_L[[#This Row],[ROE Q1]])</f>
        <v>141.15250000000003</v>
      </c>
      <c r="N7" s="1" cm="1">
        <f t="array" ref="N7">_xlfn.QUARTILE.INC(IF(Quartile_L[[#This Row],[Industry]]=Main_L[Industry],Main_L[ROA]),1)</f>
        <v>9.4499999999999993</v>
      </c>
      <c r="O7" s="1" cm="1">
        <f t="array" ref="O7">_xlfn.QUARTILE.INC(IF(Quartile_L[[#This Row],[Industry]]=Main_L[Industry],Main_L[ROA]),3)</f>
        <v>17.335000000000001</v>
      </c>
      <c r="P7" s="1">
        <f>Quartile_L[[#This Row],[ROA Q1]]-1.5*(Quartile_L[[#This Row],[ROA Q3]]-Quartile_L[[#This Row],[ROA Q1]])</f>
        <v>-2.3775000000000031</v>
      </c>
      <c r="Q7" s="1">
        <f>Quartile_L[[#This Row],[ROA Q3]]+1.5*(Quartile_L[[#This Row],[ROA Q3]]-Quartile_L[[#This Row],[ROA Q1]])</f>
        <v>29.162500000000001</v>
      </c>
      <c r="R7" s="1" cm="1">
        <f t="array" ref="R7">_xlfn.QUARTILE.INC(IF(Quartile_L[[#This Row],[Industry]]=Main_L[Industry],Main_L[P/E]),1)</f>
        <v>19.016011980752232</v>
      </c>
      <c r="S7" s="1" cm="1">
        <f t="array" ref="S7">_xlfn.QUARTILE.INC(IF(Quartile_L[[#This Row],[Industry]]=Main_L[Industry],Main_L[P/E]),3)</f>
        <v>32.668627450980395</v>
      </c>
      <c r="T7" s="1">
        <f>Quartile_L[[#This Row],[P/E Q1]]-1.5*(Quartile_L[[#This Row],[P/E Q3]]-Quartile_L[[#This Row],[P/E Q1]])</f>
        <v>-1.4629112245900124</v>
      </c>
      <c r="U7" s="1">
        <f>Quartile_L[[#This Row],[P/E Q3]]+1.5*(Quartile_L[[#This Row],[P/E Q3]]-Quartile_L[[#This Row],[P/E Q1]])</f>
        <v>53.147550656322636</v>
      </c>
      <c r="V7" s="1" cm="1">
        <f t="array" ref="V7">_xlfn.QUARTILE.INC(IF(Quartile_L[[#This Row],[Industry]]=Main_L[Industry],Main_L[A/E]),1)</f>
        <v>-8.08</v>
      </c>
      <c r="W7" s="1" cm="1">
        <f t="array" ref="W7">_xlfn.QUARTILE.INC(IF(Quartile_L[[#This Row],[Industry]]=Main_L[Industry],Main_L[A/E]),3)</f>
        <v>-1.7850000000000001</v>
      </c>
      <c r="X7" s="1">
        <f>Quartile_L[[#This Row],[A/E Q1]]-1.5*(Quartile_L[[#This Row],[A/E Q3]]-Quartile_L[[#This Row],[A/E Q1]])</f>
        <v>-17.522500000000001</v>
      </c>
      <c r="Y7" s="1">
        <f>Quartile_L[[#This Row],[A/E Q3]]+1.5*(Quartile_L[[#This Row],[A/E Q3]]-Quartile_L[[#This Row],[A/E Q1]])</f>
        <v>7.6574999999999989</v>
      </c>
    </row>
    <row r="8" spans="1:25" x14ac:dyDescent="0.25">
      <c r="A8" t="s">
        <v>109</v>
      </c>
      <c r="B8" s="1" cm="1">
        <f t="array" ref="B8">_xlfn.QUARTILE.INC(IF(Quartile_L[[#This Row],[Industry]]=Main_L[Industry],Main_L[P/FCF]),1)</f>
        <v>19.706336939721794</v>
      </c>
      <c r="C8" s="1" cm="1">
        <f t="array" ref="C8">_xlfn.QUARTILE.INC(IF(Quartile_L[[#This Row],[Industry]]=Main_L[Industry],Main_L[P/FCF]),3)</f>
        <v>25.479623824451412</v>
      </c>
      <c r="D8" s="1">
        <f>Quartile_L[[#This Row],[P/FCF Q1]]-1.5*(Quartile_L[[#This Row],[P/FCF Q3]]-Quartile_L[[#This Row],[P/FCF Q1]])</f>
        <v>11.046406612627367</v>
      </c>
      <c r="E8" s="1">
        <f>Quartile_L[[#This Row],[P/FCF Q3]]+1.5*(Quartile_L[[#This Row],[P/FCF Q3]]-Quartile_L[[#This Row],[P/FCF Q1]])</f>
        <v>34.139554151545838</v>
      </c>
      <c r="F8" s="1" cm="1">
        <f t="array" ref="F8">_xlfn.QUARTILE.INC(IF(Quartile_L[[#This Row],[Industry]]=Main_L[Industry],Main_L[P/B]),1)</f>
        <v>7.4025500910746809</v>
      </c>
      <c r="G8" s="1" cm="1">
        <f t="array" ref="G8">_xlfn.QUARTILE.INC(IF(Quartile_L[[#This Row],[Industry]]=Main_L[Industry],Main_L[P/B]),3)</f>
        <v>201.93333333333334</v>
      </c>
      <c r="H8" s="1">
        <f>Quartile_L[[#This Row],[P/B Q1]]-1.5*(Quartile_L[[#This Row],[P/B Q3]]-Quartile_L[[#This Row],[P/B Q1]])</f>
        <v>-284.39362477231333</v>
      </c>
      <c r="I8" s="1">
        <f>Quartile_L[[#This Row],[P/B Q3]]+1.5*(Quartile_L[[#This Row],[P/B Q3]]-Quartile_L[[#This Row],[P/B Q1]])</f>
        <v>493.72950819672133</v>
      </c>
      <c r="J8" s="1" cm="1">
        <f t="array" ref="J8">_xlfn.QUARTILE.INC(IF(Quartile_L[[#This Row],[Industry]]=Main_L[Industry],Main_L[ROE]),1)</f>
        <v>30.29</v>
      </c>
      <c r="K8" s="1" cm="1">
        <f t="array" ref="K8">_xlfn.QUARTILE.INC(IF(Quartile_L[[#This Row],[Industry]]=Main_L[Industry],Main_L[ROE]),3)</f>
        <v>318.64999999999998</v>
      </c>
      <c r="L8" s="1">
        <f>Quartile_L[[#This Row],[ROE Q1]]-1.5*(Quartile_L[[#This Row],[ROE Q3]]-Quartile_L[[#This Row],[ROE Q1]])</f>
        <v>-402.24999999999994</v>
      </c>
      <c r="M8" s="1">
        <f>Quartile_L[[#This Row],[ROE Q3]]+1.5*(Quartile_L[[#This Row],[ROE Q3]]-Quartile_L[[#This Row],[ROE Q1]])</f>
        <v>751.18999999999994</v>
      </c>
      <c r="N8" s="1" cm="1">
        <f t="array" ref="N8">_xlfn.QUARTILE.INC(IF(Quartile_L[[#This Row],[Industry]]=Main_L[Industry],Main_L[ROA]),1)</f>
        <v>10.98</v>
      </c>
      <c r="O8" s="1" cm="1">
        <f t="array" ref="O8">_xlfn.QUARTILE.INC(IF(Quartile_L[[#This Row],[Industry]]=Main_L[Industry],Main_L[ROA]),3)</f>
        <v>11.6</v>
      </c>
      <c r="P8" s="1">
        <f>Quartile_L[[#This Row],[ROA Q1]]-1.5*(Quartile_L[[#This Row],[ROA Q3]]-Quartile_L[[#This Row],[ROA Q1]])</f>
        <v>10.050000000000001</v>
      </c>
      <c r="Q8" s="1">
        <f>Quartile_L[[#This Row],[ROA Q3]]+1.5*(Quartile_L[[#This Row],[ROA Q3]]-Quartile_L[[#This Row],[ROA Q1]])</f>
        <v>12.529999999999998</v>
      </c>
      <c r="R8" s="1" cm="1">
        <f t="array" ref="R8">_xlfn.QUARTILE.INC(IF(Quartile_L[[#This Row],[Industry]]=Main_L[Industry],Main_L[P/E]),1)</f>
        <v>22.89048473967684</v>
      </c>
      <c r="S8" s="1" cm="1">
        <f t="array" ref="S8">_xlfn.QUARTILE.INC(IF(Quartile_L[[#This Row],[Industry]]=Main_L[Industry],Main_L[P/E]),3)</f>
        <v>25.803174603174604</v>
      </c>
      <c r="T8" s="1">
        <f>Quartile_L[[#This Row],[P/E Q1]]-1.5*(Quartile_L[[#This Row],[P/E Q3]]-Quartile_L[[#This Row],[P/E Q1]])</f>
        <v>18.521449944430195</v>
      </c>
      <c r="U8" s="1">
        <f>Quartile_L[[#This Row],[P/E Q3]]+1.5*(Quartile_L[[#This Row],[P/E Q3]]-Quartile_L[[#This Row],[P/E Q1]])</f>
        <v>30.172209398421252</v>
      </c>
      <c r="V8" s="1" cm="1">
        <f t="array" ref="V8">_xlfn.QUARTILE.INC(IF(Quartile_L[[#This Row],[Industry]]=Main_L[Industry],Main_L[A/E]),1)</f>
        <v>2.39</v>
      </c>
      <c r="W8" s="1" cm="1">
        <f t="array" ref="W8">_xlfn.QUARTILE.INC(IF(Quartile_L[[#This Row],[Industry]]=Main_L[Industry],Main_L[A/E]),3)</f>
        <v>45.86</v>
      </c>
      <c r="X8" s="1">
        <f>Quartile_L[[#This Row],[A/E Q1]]-1.5*(Quartile_L[[#This Row],[A/E Q3]]-Quartile_L[[#This Row],[A/E Q1]])</f>
        <v>-62.814999999999998</v>
      </c>
      <c r="Y8" s="1">
        <f>Quartile_L[[#This Row],[A/E Q3]]+1.5*(Quartile_L[[#This Row],[A/E Q3]]-Quartile_L[[#This Row],[A/E Q1]])</f>
        <v>111.065</v>
      </c>
    </row>
    <row r="11" spans="1:25" x14ac:dyDescent="0.25">
      <c r="A11" t="s">
        <v>22</v>
      </c>
    </row>
    <row r="12" spans="1:25" x14ac:dyDescent="0.25">
      <c r="A12" t="s">
        <v>1</v>
      </c>
      <c r="B12" t="s">
        <v>2</v>
      </c>
      <c r="C12" t="s">
        <v>3</v>
      </c>
      <c r="D12" t="s">
        <v>4</v>
      </c>
      <c r="E12" t="s">
        <v>5</v>
      </c>
      <c r="F12" t="s">
        <v>72</v>
      </c>
      <c r="G12" t="s">
        <v>73</v>
      </c>
      <c r="H12" t="s">
        <v>74</v>
      </c>
      <c r="I12" t="s">
        <v>75</v>
      </c>
      <c r="J12" t="s">
        <v>6</v>
      </c>
      <c r="K12" t="s">
        <v>7</v>
      </c>
      <c r="L12" t="s">
        <v>8</v>
      </c>
      <c r="M12" t="s">
        <v>9</v>
      </c>
      <c r="N12" t="s">
        <v>10</v>
      </c>
      <c r="O12" t="s">
        <v>11</v>
      </c>
      <c r="P12" t="s">
        <v>12</v>
      </c>
      <c r="Q12" t="s">
        <v>13</v>
      </c>
      <c r="R12" t="s">
        <v>14</v>
      </c>
      <c r="S12" t="s">
        <v>15</v>
      </c>
      <c r="T12" t="s">
        <v>16</v>
      </c>
      <c r="U12" t="s">
        <v>17</v>
      </c>
      <c r="V12" t="s">
        <v>18</v>
      </c>
      <c r="W12" t="s">
        <v>19</v>
      </c>
      <c r="X12" t="s">
        <v>20</v>
      </c>
      <c r="Y12" t="s">
        <v>21</v>
      </c>
    </row>
    <row r="13" spans="1:25" x14ac:dyDescent="0.25">
      <c r="A13" t="s">
        <v>106</v>
      </c>
      <c r="B13" s="1" cm="1">
        <f t="array" ref="B13">_xlfn.QUARTILE.INC(IF(Quartile_M[[#This Row],[Industry]]=Main_M[Industry],Main_M[P/FCF]),1)</f>
        <v>22.389679144385028</v>
      </c>
      <c r="C13" s="1" cm="1">
        <f t="array" ref="C13">_xlfn.QUARTILE.INC(IF(Quartile_M[[#This Row],[Industry]]=Main_M[Industry],Main_M[P/FCF]),3)</f>
        <v>46.315789473684212</v>
      </c>
      <c r="D13" s="1">
        <f>Quartile_M[[#This Row],[P/FCF Q1]]-1.5*(Quartile_M[[#This Row],[P/FCF Q3]]-Quartile_M[[#This Row],[P/FCF Q1]])</f>
        <v>-13.499486349563753</v>
      </c>
      <c r="E13" s="1">
        <f>Quartile_M[[#This Row],[P/FCF Q3]]+1.5*(Quartile_M[[#This Row],[P/FCF Q3]]-Quartile_M[[#This Row],[P/FCF Q1]])</f>
        <v>82.204954967633</v>
      </c>
      <c r="F13" s="1" cm="1">
        <f t="array" ref="F13">_xlfn.QUARTILE.INC(IF(Quartile_M[[#This Row],[Industry]]=Main_M[Industry],Main_M[P/B]),1)</f>
        <v>2.8537048035392534</v>
      </c>
      <c r="G13" s="1" cm="1">
        <f t="array" ref="G13">_xlfn.QUARTILE.INC(IF(Quartile_M[[#This Row],[Industry]]=Main_M[Industry],Main_M[P/B]),3)</f>
        <v>8.8186995841059215</v>
      </c>
      <c r="H13" s="1">
        <f>Quartile_M[[#This Row],[P/B Q1]]-1.5*(Quartile_M[[#This Row],[P/B Q3]]-Quartile_M[[#This Row],[P/B Q1]])</f>
        <v>-6.0937873673107479</v>
      </c>
      <c r="I13" s="1">
        <f>Quartile_M[[#This Row],[P/B Q3]]+1.5*(Quartile_M[[#This Row],[P/B Q3]]-Quartile_M[[#This Row],[P/B Q1]])</f>
        <v>17.766191754955923</v>
      </c>
      <c r="J13" s="1" cm="1">
        <f t="array" ref="J13">_xlfn.QUARTILE.INC(IF(Quartile_M[[#This Row],[Industry]]=Main_M[Industry],Main_M[ROE]),1)</f>
        <v>8.2750000000000004</v>
      </c>
      <c r="K13" s="1" cm="1">
        <f t="array" ref="K13">_xlfn.QUARTILE.INC(IF(Quartile_M[[#This Row],[Industry]]=Main_M[Industry],Main_M[ROE]),3)</f>
        <v>30.844999999999999</v>
      </c>
      <c r="L13" s="1">
        <f>Quartile_M[[#This Row],[ROE Q1]]-1.5*(Quartile_M[[#This Row],[ROE Q3]]-Quartile_M[[#This Row],[ROE Q1]])</f>
        <v>-25.580000000000005</v>
      </c>
      <c r="M13" s="1">
        <f>Quartile_M[[#This Row],[ROE Q3]]+1.5*(Quartile_M[[#This Row],[ROE Q3]]-Quartile_M[[#This Row],[ROE Q1]])</f>
        <v>64.7</v>
      </c>
      <c r="N13" s="1" cm="1">
        <f t="array" ref="N13">_xlfn.QUARTILE.INC(IF(Quartile_M[[#This Row],[Industry]]=Main_M[Industry],Main_M[ROA]),1)</f>
        <v>4.8450000000000006</v>
      </c>
      <c r="O13" s="1" cm="1">
        <f t="array" ref="O13">_xlfn.QUARTILE.INC(IF(Quartile_M[[#This Row],[Industry]]=Main_M[Industry],Main_M[ROA]),3)</f>
        <v>12.635</v>
      </c>
      <c r="P13" s="1">
        <f>Quartile_M[[#This Row],[ROA Q1]]-1.5*(Quartile_M[[#This Row],[ROA Q3]]-Quartile_M[[#This Row],[ROA Q1]])</f>
        <v>-6.8399999999999981</v>
      </c>
      <c r="Q13" s="1">
        <f>Quartile_M[[#This Row],[ROA Q3]]+1.5*(Quartile_M[[#This Row],[ROA Q3]]-Quartile_M[[#This Row],[ROA Q1]])</f>
        <v>24.32</v>
      </c>
      <c r="R13" s="1" cm="1">
        <f t="array" ref="R13">_xlfn.QUARTILE.INC(IF(Quartile_M[[#This Row],[Industry]]=Main_M[Industry],Main_M[P/E]),1)</f>
        <v>25.771463701486155</v>
      </c>
      <c r="S13" s="1" cm="1">
        <f t="array" ref="S13">_xlfn.QUARTILE.INC(IF(Quartile_M[[#This Row],[Industry]]=Main_M[Industry],Main_M[P/E]),3)</f>
        <v>37.340670359052709</v>
      </c>
      <c r="T13" s="1">
        <f>Quartile_M[[#This Row],[P/E Q1]]-1.5*(Quartile_M[[#This Row],[P/E Q3]]-Quartile_M[[#This Row],[P/E Q1]])</f>
        <v>8.4176537151363249</v>
      </c>
      <c r="U13" s="1">
        <f>Quartile_M[[#This Row],[P/E Q3]]+1.5*(Quartile_M[[#This Row],[P/E Q3]]-Quartile_M[[#This Row],[P/E Q1]])</f>
        <v>54.694480345402539</v>
      </c>
      <c r="V13" s="1" cm="1">
        <f t="array" ref="V13">_xlfn.QUARTILE.INC(IF(Quartile_M[[#This Row],[Industry]]=Main_M[Industry],Main_M[A/E]),1)</f>
        <v>1.4249999999999998</v>
      </c>
      <c r="W13" s="1" cm="1">
        <f t="array" ref="W13">_xlfn.QUARTILE.INC(IF(Quartile_M[[#This Row],[Industry]]=Main_M[Industry],Main_M[A/E]),3)</f>
        <v>3.0750000000000002</v>
      </c>
      <c r="X13" s="1">
        <f>Quartile_M[[#This Row],[A/E Q1]]-1.5*(Quartile_M[[#This Row],[A/E Q3]]-Quartile_M[[#This Row],[A/E Q1]])</f>
        <v>-1.0500000000000007</v>
      </c>
      <c r="Y13" s="1">
        <f>Quartile_M[[#This Row],[A/E Q3]]+1.5*(Quartile_M[[#This Row],[A/E Q3]]-Quartile_M[[#This Row],[A/E Q1]])</f>
        <v>5.5500000000000007</v>
      </c>
    </row>
    <row r="14" spans="1:25" x14ac:dyDescent="0.25">
      <c r="A14" t="s">
        <v>105</v>
      </c>
      <c r="B14" s="1" cm="1">
        <f t="array" ref="B14">_xlfn.QUARTILE.INC(IF(Quartile_M[[#This Row],[Industry]]=Main_M[Industry],Main_M[P/FCF]),1)</f>
        <v>2.3079613095238081</v>
      </c>
      <c r="C14" s="1" cm="1">
        <f t="array" ref="C14">_xlfn.QUARTILE.INC(IF(Quartile_M[[#This Row],[Industry]]=Main_M[Industry],Main_M[P/FCF]),3)</f>
        <v>39.975367415794587</v>
      </c>
      <c r="D14" s="1">
        <f>Quartile_M[[#This Row],[P/FCF Q1]]-1.5*(Quartile_M[[#This Row],[P/FCF Q3]]-Quartile_M[[#This Row],[P/FCF Q1]])</f>
        <v>-54.193147849882351</v>
      </c>
      <c r="E14" s="1">
        <f>Quartile_M[[#This Row],[P/FCF Q3]]+1.5*(Quartile_M[[#This Row],[P/FCF Q3]]-Quartile_M[[#This Row],[P/FCF Q1]])</f>
        <v>96.476476575200749</v>
      </c>
      <c r="F14" s="1" cm="1">
        <f t="array" ref="F14">_xlfn.QUARTILE.INC(IF(Quartile_M[[#This Row],[Industry]]=Main_M[Industry],Main_M[P/B]),1)</f>
        <v>1.3875529613674531</v>
      </c>
      <c r="G14" s="1" cm="1">
        <f t="array" ref="G14">_xlfn.QUARTILE.INC(IF(Quartile_M[[#This Row],[Industry]]=Main_M[Industry],Main_M[P/B]),3)</f>
        <v>7.2636833761135442</v>
      </c>
      <c r="H14" s="1">
        <f>Quartile_M[[#This Row],[P/B Q1]]-1.5*(Quartile_M[[#This Row],[P/B Q3]]-Quartile_M[[#This Row],[P/B Q1]])</f>
        <v>-7.4266426607516838</v>
      </c>
      <c r="I14" s="1">
        <f>Quartile_M[[#This Row],[P/B Q3]]+1.5*(Quartile_M[[#This Row],[P/B Q3]]-Quartile_M[[#This Row],[P/B Q1]])</f>
        <v>16.077878998232681</v>
      </c>
      <c r="J14" s="1" cm="1">
        <f t="array" ref="J14">_xlfn.QUARTILE.INC(IF(Quartile_M[[#This Row],[Industry]]=Main_M[Industry],Main_M[ROE]),1)</f>
        <v>3.2550000000000008</v>
      </c>
      <c r="K14" s="1" cm="1">
        <f t="array" ref="K14">_xlfn.QUARTILE.INC(IF(Quartile_M[[#This Row],[Industry]]=Main_M[Industry],Main_M[ROE]),3)</f>
        <v>12.977500000000001</v>
      </c>
      <c r="L14" s="1">
        <f>Quartile_M[[#This Row],[ROE Q1]]-1.5*(Quartile_M[[#This Row],[ROE Q3]]-Quartile_M[[#This Row],[ROE Q1]])</f>
        <v>-11.328749999999999</v>
      </c>
      <c r="M14" s="1">
        <f>Quartile_M[[#This Row],[ROE Q3]]+1.5*(Quartile_M[[#This Row],[ROE Q3]]-Quartile_M[[#This Row],[ROE Q1]])</f>
        <v>27.561250000000001</v>
      </c>
      <c r="N14" s="1" cm="1">
        <f t="array" ref="N14">_xlfn.QUARTILE.INC(IF(Quartile_M[[#This Row],[Industry]]=Main_M[Industry],Main_M[ROA]),1)</f>
        <v>2.6800000000000006</v>
      </c>
      <c r="O14" s="1" cm="1">
        <f t="array" ref="O14">_xlfn.QUARTILE.INC(IF(Quartile_M[[#This Row],[Industry]]=Main_M[Industry],Main_M[ROA]),3)</f>
        <v>4.8025000000000002</v>
      </c>
      <c r="P14" s="1">
        <f>Quartile_M[[#This Row],[ROA Q1]]-1.5*(Quartile_M[[#This Row],[ROA Q3]]-Quartile_M[[#This Row],[ROA Q1]])</f>
        <v>-0.50374999999999881</v>
      </c>
      <c r="Q14" s="1">
        <f>Quartile_M[[#This Row],[ROA Q3]]+1.5*(Quartile_M[[#This Row],[ROA Q3]]-Quartile_M[[#This Row],[ROA Q1]])</f>
        <v>7.9862500000000001</v>
      </c>
      <c r="R14" s="1" cm="1">
        <f t="array" ref="R14">_xlfn.QUARTILE.INC(IF(Quartile_M[[#This Row],[Industry]]=Main_M[Industry],Main_M[P/E]),1)</f>
        <v>13.736381312024456</v>
      </c>
      <c r="S14" s="1" cm="1">
        <f t="array" ref="S14">_xlfn.QUARTILE.INC(IF(Quartile_M[[#This Row],[Industry]]=Main_M[Industry],Main_M[P/E]),3)</f>
        <v>73.669642857142861</v>
      </c>
      <c r="T14" s="1">
        <f>Quartile_M[[#This Row],[P/E Q1]]-1.5*(Quartile_M[[#This Row],[P/E Q3]]-Quartile_M[[#This Row],[P/E Q1]])</f>
        <v>-76.163511005653163</v>
      </c>
      <c r="U14" s="1">
        <f>Quartile_M[[#This Row],[P/E Q3]]+1.5*(Quartile_M[[#This Row],[P/E Q3]]-Quartile_M[[#This Row],[P/E Q1]])</f>
        <v>163.56953517482049</v>
      </c>
      <c r="V14" s="1" cm="1">
        <f t="array" ref="V14">_xlfn.QUARTILE.INC(IF(Quartile_M[[#This Row],[Industry]]=Main_M[Industry],Main_M[A/E]),1)</f>
        <v>1.6924999999999999</v>
      </c>
      <c r="W14" s="1" cm="1">
        <f t="array" ref="W14">_xlfn.QUARTILE.INC(IF(Quartile_M[[#This Row],[Industry]]=Main_M[Industry],Main_M[A/E]),3)</f>
        <v>3.9824999999999999</v>
      </c>
      <c r="X14" s="1">
        <f>Quartile_M[[#This Row],[A/E Q1]]-1.5*(Quartile_M[[#This Row],[A/E Q3]]-Quartile_M[[#This Row],[A/E Q1]])</f>
        <v>-1.7425000000000002</v>
      </c>
      <c r="Y14" s="1">
        <f>Quartile_M[[#This Row],[A/E Q3]]+1.5*(Quartile_M[[#This Row],[A/E Q3]]-Quartile_M[[#This Row],[A/E Q1]])</f>
        <v>7.4175000000000004</v>
      </c>
    </row>
    <row r="15" spans="1:25" x14ac:dyDescent="0.25">
      <c r="A15" t="s">
        <v>107</v>
      </c>
      <c r="B15" s="1" cm="1">
        <f t="array" ref="B15">_xlfn.QUARTILE.INC(IF(Quartile_M[[#This Row],[Industry]]=Main_M[Industry],Main_M[P/FCF]),1)</f>
        <v>5.0379329926178311</v>
      </c>
      <c r="C15" s="1" cm="1">
        <f t="array" ref="C15">_xlfn.QUARTILE.INC(IF(Quartile_M[[#This Row],[Industry]]=Main_M[Industry],Main_M[P/FCF]),3)</f>
        <v>20.560773971790919</v>
      </c>
      <c r="D15" s="1">
        <f>Quartile_M[[#This Row],[P/FCF Q1]]-1.5*(Quartile_M[[#This Row],[P/FCF Q3]]-Quartile_M[[#This Row],[P/FCF Q1]])</f>
        <v>-18.246328476141798</v>
      </c>
      <c r="E15" s="1">
        <f>Quartile_M[[#This Row],[P/FCF Q3]]+1.5*(Quartile_M[[#This Row],[P/FCF Q3]]-Quartile_M[[#This Row],[P/FCF Q1]])</f>
        <v>43.845035440550546</v>
      </c>
      <c r="F15" s="1" cm="1">
        <f t="array" ref="F15">_xlfn.QUARTILE.INC(IF(Quartile_M[[#This Row],[Industry]]=Main_M[Industry],Main_M[P/B]),1)</f>
        <v>1.3711834226103909</v>
      </c>
      <c r="G15" s="1" cm="1">
        <f t="array" ref="G15">_xlfn.QUARTILE.INC(IF(Quartile_M[[#This Row],[Industry]]=Main_M[Industry],Main_M[P/B]),3)</f>
        <v>2.599193139521943</v>
      </c>
      <c r="H15" s="1">
        <f>Quartile_M[[#This Row],[P/B Q1]]-1.5*(Quartile_M[[#This Row],[P/B Q3]]-Quartile_M[[#This Row],[P/B Q1]])</f>
        <v>-0.4708311527569371</v>
      </c>
      <c r="I15" s="1">
        <f>Quartile_M[[#This Row],[P/B Q3]]+1.5*(Quartile_M[[#This Row],[P/B Q3]]-Quartile_M[[#This Row],[P/B Q1]])</f>
        <v>4.4412077148892708</v>
      </c>
      <c r="J15" s="1" cm="1">
        <f t="array" ref="J15">_xlfn.QUARTILE.INC(IF(Quartile_M[[#This Row],[Industry]]=Main_M[Industry],Main_M[ROE]),1)</f>
        <v>4.84</v>
      </c>
      <c r="K15" s="1" cm="1">
        <f t="array" ref="K15">_xlfn.QUARTILE.INC(IF(Quartile_M[[#This Row],[Industry]]=Main_M[Industry],Main_M[ROE]),3)</f>
        <v>16.317499999999999</v>
      </c>
      <c r="L15" s="1">
        <f>Quartile_M[[#This Row],[ROE Q1]]-1.5*(Quartile_M[[#This Row],[ROE Q3]]-Quartile_M[[#This Row],[ROE Q1]])</f>
        <v>-12.376249999999999</v>
      </c>
      <c r="M15" s="1">
        <f>Quartile_M[[#This Row],[ROE Q3]]+1.5*(Quartile_M[[#This Row],[ROE Q3]]-Quartile_M[[#This Row],[ROE Q1]])</f>
        <v>33.533749999999998</v>
      </c>
      <c r="N15" s="1" cm="1">
        <f t="array" ref="N15">_xlfn.QUARTILE.INC(IF(Quartile_M[[#This Row],[Industry]]=Main_M[Industry],Main_M[ROA]),1)</f>
        <v>4.0299999999999994</v>
      </c>
      <c r="O15" s="1" cm="1">
        <f t="array" ref="O15">_xlfn.QUARTILE.INC(IF(Quartile_M[[#This Row],[Industry]]=Main_M[Industry],Main_M[ROA]),3)</f>
        <v>7.2575000000000003</v>
      </c>
      <c r="P15" s="1">
        <f>Quartile_M[[#This Row],[ROA Q1]]-1.5*(Quartile_M[[#This Row],[ROA Q3]]-Quartile_M[[#This Row],[ROA Q1]])</f>
        <v>-0.81125000000000203</v>
      </c>
      <c r="Q15" s="1">
        <f>Quartile_M[[#This Row],[ROA Q3]]+1.5*(Quartile_M[[#This Row],[ROA Q3]]-Quartile_M[[#This Row],[ROA Q1]])</f>
        <v>12.098750000000003</v>
      </c>
      <c r="R15" s="1" cm="1">
        <f t="array" ref="R15">_xlfn.QUARTILE.INC(IF(Quartile_M[[#This Row],[Industry]]=Main_M[Industry],Main_M[P/E]),1)</f>
        <v>9.6897702292473564</v>
      </c>
      <c r="S15" s="1" cm="1">
        <f t="array" ref="S15">_xlfn.QUARTILE.INC(IF(Quartile_M[[#This Row],[Industry]]=Main_M[Industry],Main_M[P/E]),3)</f>
        <v>28.895374196510559</v>
      </c>
      <c r="T15" s="1">
        <f>Quartile_M[[#This Row],[P/E Q1]]-1.5*(Quartile_M[[#This Row],[P/E Q3]]-Quartile_M[[#This Row],[P/E Q1]])</f>
        <v>-19.118635721647443</v>
      </c>
      <c r="U15" s="1">
        <f>Quartile_M[[#This Row],[P/E Q3]]+1.5*(Quartile_M[[#This Row],[P/E Q3]]-Quartile_M[[#This Row],[P/E Q1]])</f>
        <v>57.703780147405361</v>
      </c>
      <c r="V15" s="1" cm="1">
        <f t="array" ref="V15">_xlfn.QUARTILE.INC(IF(Quartile_M[[#This Row],[Industry]]=Main_M[Industry],Main_M[A/E]),1)</f>
        <v>1.4324999999999999</v>
      </c>
      <c r="W15" s="1" cm="1">
        <f t="array" ref="W15">_xlfn.QUARTILE.INC(IF(Quartile_M[[#This Row],[Industry]]=Main_M[Industry],Main_M[A/E]),3)</f>
        <v>2.88</v>
      </c>
      <c r="X15" s="1">
        <f>Quartile_M[[#This Row],[A/E Q1]]-1.5*(Quartile_M[[#This Row],[A/E Q3]]-Quartile_M[[#This Row],[A/E Q1]])</f>
        <v>-0.73875000000000024</v>
      </c>
      <c r="Y15" s="1">
        <f>Quartile_M[[#This Row],[A/E Q3]]+1.5*(Quartile_M[[#This Row],[A/E Q3]]-Quartile_M[[#This Row],[A/E Q1]])</f>
        <v>5.0512499999999996</v>
      </c>
    </row>
    <row r="16" spans="1:25" x14ac:dyDescent="0.25">
      <c r="A16" t="s">
        <v>110</v>
      </c>
      <c r="B16" s="1" cm="1">
        <f t="array" ref="B16">_xlfn.QUARTILE.INC(IF(Quartile_M[[#This Row],[Industry]]=Main_M[Industry],Main_M[P/FCF]),1)</f>
        <v>20.921917808219177</v>
      </c>
      <c r="C16" s="1" cm="1">
        <f t="array" ref="C16">_xlfn.QUARTILE.INC(IF(Quartile_M[[#This Row],[Industry]]=Main_M[Industry],Main_M[P/FCF]),3)</f>
        <v>51.17984806077569</v>
      </c>
      <c r="D16" s="1">
        <f>Quartile_M[[#This Row],[P/FCF Q1]]-1.5*(Quartile_M[[#This Row],[P/FCF Q3]]-Quartile_M[[#This Row],[P/FCF Q1]])</f>
        <v>-24.464977570615588</v>
      </c>
      <c r="E16" s="1">
        <f>Quartile_M[[#This Row],[P/FCF Q3]]+1.5*(Quartile_M[[#This Row],[P/FCF Q3]]-Quartile_M[[#This Row],[P/FCF Q1]])</f>
        <v>96.566743439610462</v>
      </c>
      <c r="F16" s="1" cm="1">
        <f t="array" ref="F16">_xlfn.QUARTILE.INC(IF(Quartile_M[[#This Row],[Industry]]=Main_M[Industry],Main_M[P/B]),1)</f>
        <v>-6.5804675810473832</v>
      </c>
      <c r="G16" s="1" cm="1">
        <f t="array" ref="G16">_xlfn.QUARTILE.INC(IF(Quartile_M[[#This Row],[Industry]]=Main_M[Industry],Main_M[P/B]),3)</f>
        <v>6.36596017695814</v>
      </c>
      <c r="H16" s="1">
        <f>Quartile_M[[#This Row],[P/B Q1]]-1.5*(Quartile_M[[#This Row],[P/B Q3]]-Quartile_M[[#This Row],[P/B Q1]])</f>
        <v>-26.000109218055666</v>
      </c>
      <c r="I16" s="1">
        <f>Quartile_M[[#This Row],[P/B Q3]]+1.5*(Quartile_M[[#This Row],[P/B Q3]]-Quartile_M[[#This Row],[P/B Q1]])</f>
        <v>25.785601813966423</v>
      </c>
      <c r="J16" s="1" cm="1">
        <f t="array" ref="J16">_xlfn.QUARTILE.INC(IF(Quartile_M[[#This Row],[Industry]]=Main_M[Industry],Main_M[ROE]),1)</f>
        <v>-34.772500000000008</v>
      </c>
      <c r="K16" s="1" cm="1">
        <f t="array" ref="K16">_xlfn.QUARTILE.INC(IF(Quartile_M[[#This Row],[Industry]]=Main_M[Industry],Main_M[ROE]),3)</f>
        <v>17.342500000000001</v>
      </c>
      <c r="L16" s="1">
        <f>Quartile_M[[#This Row],[ROE Q1]]-1.5*(Quartile_M[[#This Row],[ROE Q3]]-Quartile_M[[#This Row],[ROE Q1]])</f>
        <v>-112.94500000000002</v>
      </c>
      <c r="M16" s="1">
        <f>Quartile_M[[#This Row],[ROE Q3]]+1.5*(Quartile_M[[#This Row],[ROE Q3]]-Quartile_M[[#This Row],[ROE Q1]])</f>
        <v>95.515000000000015</v>
      </c>
      <c r="N16" s="1" cm="1">
        <f t="array" ref="N16">_xlfn.QUARTILE.INC(IF(Quartile_M[[#This Row],[Industry]]=Main_M[Industry],Main_M[ROA]),1)</f>
        <v>6.9975000000000005</v>
      </c>
      <c r="O16" s="1" cm="1">
        <f t="array" ref="O16">_xlfn.QUARTILE.INC(IF(Quartile_M[[#This Row],[Industry]]=Main_M[Industry],Main_M[ROA]),3)</f>
        <v>17.53</v>
      </c>
      <c r="P16" s="1">
        <f>Quartile_M[[#This Row],[ROA Q1]]-1.5*(Quartile_M[[#This Row],[ROA Q3]]-Quartile_M[[#This Row],[ROA Q1]])</f>
        <v>-8.8012500000000014</v>
      </c>
      <c r="Q16" s="1">
        <f>Quartile_M[[#This Row],[ROA Q3]]+1.5*(Quartile_M[[#This Row],[ROA Q3]]-Quartile_M[[#This Row],[ROA Q1]])</f>
        <v>33.328749999999999</v>
      </c>
      <c r="R16" s="1" cm="1">
        <f t="array" ref="R16">_xlfn.QUARTILE.INC(IF(Quartile_M[[#This Row],[Industry]]=Main_M[Industry],Main_M[P/E]),1)</f>
        <v>17.431334622823982</v>
      </c>
      <c r="S16" s="1" cm="1">
        <f t="array" ref="S16">_xlfn.QUARTILE.INC(IF(Quartile_M[[#This Row],[Industry]]=Main_M[Industry],Main_M[P/E]),3)</f>
        <v>36.247675720404985</v>
      </c>
      <c r="T16" s="1">
        <f>Quartile_M[[#This Row],[P/E Q1]]-1.5*(Quartile_M[[#This Row],[P/E Q3]]-Quartile_M[[#This Row],[P/E Q1]])</f>
        <v>-10.793177023547521</v>
      </c>
      <c r="U16" s="1">
        <f>Quartile_M[[#This Row],[P/E Q3]]+1.5*(Quartile_M[[#This Row],[P/E Q3]]-Quartile_M[[#This Row],[P/E Q1]])</f>
        <v>64.472187366776495</v>
      </c>
      <c r="V16" s="1" cm="1">
        <f t="array" ref="V16">_xlfn.QUARTILE.INC(IF(Quartile_M[[#This Row],[Industry]]=Main_M[Industry],Main_M[A/E]),1)</f>
        <v>0.29749999999999988</v>
      </c>
      <c r="W16" s="1" cm="1">
        <f t="array" ref="W16">_xlfn.QUARTILE.INC(IF(Quartile_M[[#This Row],[Industry]]=Main_M[Industry],Main_M[A/E]),3)</f>
        <v>2.1924999999999999</v>
      </c>
      <c r="X16" s="1">
        <f>Quartile_M[[#This Row],[A/E Q1]]-1.5*(Quartile_M[[#This Row],[A/E Q3]]-Quartile_M[[#This Row],[A/E Q1]])</f>
        <v>-2.5450000000000004</v>
      </c>
      <c r="Y16" s="1">
        <f>Quartile_M[[#This Row],[A/E Q3]]+1.5*(Quartile_M[[#This Row],[A/E Q3]]-Quartile_M[[#This Row],[A/E Q1]])</f>
        <v>5.0350000000000001</v>
      </c>
    </row>
    <row r="17" spans="1:25" x14ac:dyDescent="0.25">
      <c r="A17" t="s">
        <v>108</v>
      </c>
      <c r="B17" s="1" cm="1">
        <f t="array" ref="B17">_xlfn.QUARTILE.INC(IF(Quartile_M[[#This Row],[Industry]]=Main_M[Industry],Main_M[P/FCF]),1)</f>
        <v>18.333333333333336</v>
      </c>
      <c r="C17" s="1" cm="1">
        <f t="array" ref="C17">_xlfn.QUARTILE.INC(IF(Quartile_M[[#This Row],[Industry]]=Main_M[Industry],Main_M[P/FCF]),3)</f>
        <v>18.333333333333336</v>
      </c>
      <c r="D17" s="1">
        <f>Quartile_M[[#This Row],[P/FCF Q1]]-1.5*(Quartile_M[[#This Row],[P/FCF Q3]]-Quartile_M[[#This Row],[P/FCF Q1]])</f>
        <v>18.333333333333336</v>
      </c>
      <c r="E17" s="1">
        <f>Quartile_M[[#This Row],[P/FCF Q3]]+1.5*(Quartile_M[[#This Row],[P/FCF Q3]]-Quartile_M[[#This Row],[P/FCF Q1]])</f>
        <v>18.333333333333336</v>
      </c>
      <c r="F17" s="1" cm="1">
        <f t="array" ref="F17">_xlfn.QUARTILE.INC(IF(Quartile_M[[#This Row],[Industry]]=Main_M[Industry],Main_M[P/B]),1)</f>
        <v>1.2087912087912089</v>
      </c>
      <c r="G17" s="1" cm="1">
        <f t="array" ref="G17">_xlfn.QUARTILE.INC(IF(Quartile_M[[#This Row],[Industry]]=Main_M[Industry],Main_M[P/B]),3)</f>
        <v>1.2087912087912089</v>
      </c>
      <c r="H17" s="1">
        <f>Quartile_M[[#This Row],[P/B Q1]]-1.5*(Quartile_M[[#This Row],[P/B Q3]]-Quartile_M[[#This Row],[P/B Q1]])</f>
        <v>1.2087912087912089</v>
      </c>
      <c r="I17" s="1">
        <f>Quartile_M[[#This Row],[P/B Q3]]+1.5*(Quartile_M[[#This Row],[P/B Q3]]-Quartile_M[[#This Row],[P/B Q1]])</f>
        <v>1.2087912087912089</v>
      </c>
      <c r="J17" s="1" cm="1">
        <f t="array" ref="J17">_xlfn.QUARTILE.INC(IF(Quartile_M[[#This Row],[Industry]]=Main_M[Industry],Main_M[ROE]),1)</f>
        <v>4.1399999999999997</v>
      </c>
      <c r="K17" s="1" cm="1">
        <f t="array" ref="K17">_xlfn.QUARTILE.INC(IF(Quartile_M[[#This Row],[Industry]]=Main_M[Industry],Main_M[ROE]),3)</f>
        <v>4.1399999999999997</v>
      </c>
      <c r="L17" s="1">
        <f>Quartile_M[[#This Row],[ROE Q1]]-1.5*(Quartile_M[[#This Row],[ROE Q3]]-Quartile_M[[#This Row],[ROE Q1]])</f>
        <v>4.1399999999999997</v>
      </c>
      <c r="M17" s="1">
        <f>Quartile_M[[#This Row],[ROE Q3]]+1.5*(Quartile_M[[#This Row],[ROE Q3]]-Quartile_M[[#This Row],[ROE Q1]])</f>
        <v>4.1399999999999997</v>
      </c>
      <c r="N17" s="1" cm="1">
        <f t="array" ref="N17">_xlfn.QUARTILE.INC(IF(Quartile_M[[#This Row],[Industry]]=Main_M[Industry],Main_M[ROA]),1)</f>
        <v>0.08</v>
      </c>
      <c r="O17" s="1" cm="1">
        <f t="array" ref="O17">_xlfn.QUARTILE.INC(IF(Quartile_M[[#This Row],[Industry]]=Main_M[Industry],Main_M[ROA]),3)</f>
        <v>0.08</v>
      </c>
      <c r="P17" s="1">
        <f>Quartile_M[[#This Row],[ROA Q1]]-1.5*(Quartile_M[[#This Row],[ROA Q3]]-Quartile_M[[#This Row],[ROA Q1]])</f>
        <v>0.08</v>
      </c>
      <c r="Q17" s="1">
        <f>Quartile_M[[#This Row],[ROA Q3]]+1.5*(Quartile_M[[#This Row],[ROA Q3]]-Quartile_M[[#This Row],[ROA Q1]])</f>
        <v>0.08</v>
      </c>
      <c r="R17" s="1" cm="1">
        <f t="array" ref="R17">_xlfn.QUARTILE.INC(IF(Quartile_M[[#This Row],[Industry]]=Main_M[Industry],Main_M[P/E]),1)</f>
        <v>31.428571428571427</v>
      </c>
      <c r="S17" s="1" cm="1">
        <f t="array" ref="S17">_xlfn.QUARTILE.INC(IF(Quartile_M[[#This Row],[Industry]]=Main_M[Industry],Main_M[P/E]),3)</f>
        <v>31.428571428571427</v>
      </c>
      <c r="T17" s="1">
        <f>Quartile_M[[#This Row],[P/E Q1]]-1.5*(Quartile_M[[#This Row],[P/E Q3]]-Quartile_M[[#This Row],[P/E Q1]])</f>
        <v>31.428571428571427</v>
      </c>
      <c r="U17" s="1">
        <f>Quartile_M[[#This Row],[P/E Q3]]+1.5*(Quartile_M[[#This Row],[P/E Q3]]-Quartile_M[[#This Row],[P/E Q1]])</f>
        <v>31.428571428571427</v>
      </c>
      <c r="V17" s="1" cm="1">
        <f t="array" ref="V17">_xlfn.QUARTILE.INC(IF(Quartile_M[[#This Row],[Industry]]=Main_M[Industry],Main_M[A/E]),1)</f>
        <v>1.05</v>
      </c>
      <c r="W17" s="1" cm="1">
        <f t="array" ref="W17">_xlfn.QUARTILE.INC(IF(Quartile_M[[#This Row],[Industry]]=Main_M[Industry],Main_M[A/E]),3)</f>
        <v>1.05</v>
      </c>
      <c r="X17" s="1">
        <f>Quartile_M[[#This Row],[A/E Q1]]-1.5*(Quartile_M[[#This Row],[A/E Q3]]-Quartile_M[[#This Row],[A/E Q1]])</f>
        <v>1.05</v>
      </c>
      <c r="Y17" s="1">
        <f>Quartile_M[[#This Row],[A/E Q3]]+1.5*(Quartile_M[[#This Row],[A/E Q3]]-Quartile_M[[#This Row],[A/E Q1]])</f>
        <v>1.05</v>
      </c>
    </row>
    <row r="18" spans="1:25" x14ac:dyDescent="0.25">
      <c r="A18" t="s">
        <v>109</v>
      </c>
      <c r="B18" s="1" cm="1">
        <f t="array" ref="B18">_xlfn.QUARTILE.INC(IF(Quartile_M[[#This Row],[Industry]]=Main_M[Industry],Main_M[P/FCF]),1)</f>
        <v>6.6506849315068486</v>
      </c>
      <c r="C18" s="1" cm="1">
        <f t="array" ref="C18">_xlfn.QUARTILE.INC(IF(Quartile_M[[#This Row],[Industry]]=Main_M[Industry],Main_M[P/FCF]),3)</f>
        <v>28.561974020117091</v>
      </c>
      <c r="D18" s="1">
        <f>Quartile_M[[#This Row],[P/FCF Q1]]-1.5*(Quartile_M[[#This Row],[P/FCF Q3]]-Quartile_M[[#This Row],[P/FCF Q1]])</f>
        <v>-26.216248701408514</v>
      </c>
      <c r="E18" s="1">
        <f>Quartile_M[[#This Row],[P/FCF Q3]]+1.5*(Quartile_M[[#This Row],[P/FCF Q3]]-Quartile_M[[#This Row],[P/FCF Q1]])</f>
        <v>61.428907653032454</v>
      </c>
      <c r="F18" s="1" cm="1">
        <f t="array" ref="F18">_xlfn.QUARTILE.INC(IF(Quartile_M[[#This Row],[Industry]]=Main_M[Industry],Main_M[P/B]),1)</f>
        <v>1.4207775919732442</v>
      </c>
      <c r="G18" s="1" cm="1">
        <f t="array" ref="G18">_xlfn.QUARTILE.INC(IF(Quartile_M[[#This Row],[Industry]]=Main_M[Industry],Main_M[P/B]),3)</f>
        <v>7.5616051593354454</v>
      </c>
      <c r="H18" s="1">
        <f>Quartile_M[[#This Row],[P/B Q1]]-1.5*(Quartile_M[[#This Row],[P/B Q3]]-Quartile_M[[#This Row],[P/B Q1]])</f>
        <v>-7.7904637590700583</v>
      </c>
      <c r="I18" s="1">
        <f>Quartile_M[[#This Row],[P/B Q3]]+1.5*(Quartile_M[[#This Row],[P/B Q3]]-Quartile_M[[#This Row],[P/B Q1]])</f>
        <v>16.772846510378749</v>
      </c>
      <c r="J18" s="1" cm="1">
        <f t="array" ref="J18">_xlfn.QUARTILE.INC(IF(Quartile_M[[#This Row],[Industry]]=Main_M[Industry],Main_M[ROE]),1)</f>
        <v>8.19</v>
      </c>
      <c r="K18" s="1" cm="1">
        <f t="array" ref="K18">_xlfn.QUARTILE.INC(IF(Quartile_M[[#This Row],[Industry]]=Main_M[Industry],Main_M[ROE]),3)</f>
        <v>22.725000000000001</v>
      </c>
      <c r="L18" s="1">
        <f>Quartile_M[[#This Row],[ROE Q1]]-1.5*(Quartile_M[[#This Row],[ROE Q3]]-Quartile_M[[#This Row],[ROE Q1]])</f>
        <v>-13.612500000000002</v>
      </c>
      <c r="M18" s="1">
        <f>Quartile_M[[#This Row],[ROE Q3]]+1.5*(Quartile_M[[#This Row],[ROE Q3]]-Quartile_M[[#This Row],[ROE Q1]])</f>
        <v>44.527500000000003</v>
      </c>
      <c r="N18" s="1" cm="1">
        <f t="array" ref="N18">_xlfn.QUARTILE.INC(IF(Quartile_M[[#This Row],[Industry]]=Main_M[Industry],Main_M[ROA]),1)</f>
        <v>4.22</v>
      </c>
      <c r="O18" s="1" cm="1">
        <f t="array" ref="O18">_xlfn.QUARTILE.INC(IF(Quartile_M[[#This Row],[Industry]]=Main_M[Industry],Main_M[ROA]),3)</f>
        <v>9.0249999999999986</v>
      </c>
      <c r="P18" s="1">
        <f>Quartile_M[[#This Row],[ROA Q1]]-1.5*(Quartile_M[[#This Row],[ROA Q3]]-Quartile_M[[#This Row],[ROA Q1]])</f>
        <v>-2.987499999999998</v>
      </c>
      <c r="Q18" s="1">
        <f>Quartile_M[[#This Row],[ROA Q3]]+1.5*(Quartile_M[[#This Row],[ROA Q3]]-Quartile_M[[#This Row],[ROA Q1]])</f>
        <v>16.232499999999995</v>
      </c>
      <c r="R18" s="1" cm="1">
        <f t="array" ref="R18">_xlfn.QUARTILE.INC(IF(Quartile_M[[#This Row],[Industry]]=Main_M[Industry],Main_M[P/E]),1)</f>
        <v>18.173796791443849</v>
      </c>
      <c r="S18" s="1" cm="1">
        <f t="array" ref="S18">_xlfn.QUARTILE.INC(IF(Quartile_M[[#This Row],[Industry]]=Main_M[Industry],Main_M[P/E]),3)</f>
        <v>29.059151890421241</v>
      </c>
      <c r="T18" s="1">
        <f>Quartile_M[[#This Row],[P/E Q1]]-1.5*(Quartile_M[[#This Row],[P/E Q3]]-Quartile_M[[#This Row],[P/E Q1]])</f>
        <v>1.8457641429777603</v>
      </c>
      <c r="U18" s="1">
        <f>Quartile_M[[#This Row],[P/E Q3]]+1.5*(Quartile_M[[#This Row],[P/E Q3]]-Quartile_M[[#This Row],[P/E Q1]])</f>
        <v>45.387184538887325</v>
      </c>
      <c r="V18" s="1" cm="1">
        <f t="array" ref="V18">_xlfn.QUARTILE.INC(IF(Quartile_M[[#This Row],[Industry]]=Main_M[Industry],Main_M[A/E]),1)</f>
        <v>2.12</v>
      </c>
      <c r="W18" s="1" cm="1">
        <f t="array" ref="W18">_xlfn.QUARTILE.INC(IF(Quartile_M[[#This Row],[Industry]]=Main_M[Industry],Main_M[A/E]),3)</f>
        <v>2.35</v>
      </c>
      <c r="X18" s="1">
        <f>Quartile_M[[#This Row],[A/E Q1]]-1.5*(Quartile_M[[#This Row],[A/E Q3]]-Quartile_M[[#This Row],[A/E Q1]])</f>
        <v>1.7750000000000001</v>
      </c>
      <c r="Y18" s="1">
        <f>Quartile_M[[#This Row],[A/E Q3]]+1.5*(Quartile_M[[#This Row],[A/E Q3]]-Quartile_M[[#This Row],[A/E Q1]])</f>
        <v>2.6950000000000003</v>
      </c>
    </row>
    <row r="21" spans="1:25" x14ac:dyDescent="0.25">
      <c r="A21" t="s">
        <v>23</v>
      </c>
    </row>
    <row r="22" spans="1:25" x14ac:dyDescent="0.25">
      <c r="A22" t="s">
        <v>1</v>
      </c>
      <c r="B22" t="s">
        <v>2</v>
      </c>
      <c r="C22" t="s">
        <v>3</v>
      </c>
      <c r="D22" t="s">
        <v>4</v>
      </c>
      <c r="E22" t="s">
        <v>5</v>
      </c>
      <c r="F22" t="s">
        <v>72</v>
      </c>
      <c r="G22" t="s">
        <v>73</v>
      </c>
      <c r="H22" t="s">
        <v>74</v>
      </c>
      <c r="I22" t="s">
        <v>75</v>
      </c>
      <c r="J22" t="s">
        <v>6</v>
      </c>
      <c r="K22" t="s">
        <v>7</v>
      </c>
      <c r="L22" t="s">
        <v>8</v>
      </c>
      <c r="M22" t="s">
        <v>9</v>
      </c>
      <c r="N22" t="s">
        <v>10</v>
      </c>
      <c r="O22" t="s">
        <v>11</v>
      </c>
      <c r="P22" t="s">
        <v>12</v>
      </c>
      <c r="Q22" t="s">
        <v>13</v>
      </c>
      <c r="R22" t="s">
        <v>14</v>
      </c>
      <c r="S22" t="s">
        <v>15</v>
      </c>
      <c r="T22" t="s">
        <v>16</v>
      </c>
      <c r="U22" t="s">
        <v>17</v>
      </c>
      <c r="V22" t="s">
        <v>18</v>
      </c>
      <c r="W22" t="s">
        <v>19</v>
      </c>
      <c r="X22" t="s">
        <v>20</v>
      </c>
      <c r="Y22" t="s">
        <v>21</v>
      </c>
    </row>
    <row r="23" spans="1:25" x14ac:dyDescent="0.25">
      <c r="A23" t="s">
        <v>106</v>
      </c>
      <c r="B23" s="1" cm="1">
        <f t="array" ref="B23">_xlfn.QUARTILE.INC(IF(Quartile_S[[#This Row],[Industry]]=Main_S[Industry],Main_S[P/FCF]),1)</f>
        <v>9.3199519230769212</v>
      </c>
      <c r="C23" s="1" cm="1">
        <f t="array" ref="C23">_xlfn.QUARTILE.INC(IF(Quartile_S[[#This Row],[Industry]]=Main_S[Industry],Main_S[P/FCF]),3)</f>
        <v>10.256572313454335</v>
      </c>
      <c r="D23" s="1">
        <f>Quartile_S[[#This Row],[P/FCF Q1]]-1.5*(Quartile_S[[#This Row],[P/FCF Q3]]-Quartile_S[[#This Row],[P/FCF Q1]])</f>
        <v>7.9150213375108009</v>
      </c>
      <c r="E23" s="1">
        <f>Quartile_S[[#This Row],[P/FCF Q3]]+1.5*(Quartile_S[[#This Row],[P/FCF Q3]]-Quartile_S[[#This Row],[P/FCF Q1]])</f>
        <v>11.661502899020455</v>
      </c>
      <c r="F23" s="1" cm="1">
        <f t="array" ref="F23">_xlfn.QUARTILE.INC(IF(Quartile_S[[#This Row],[Industry]]=Main_S[Industry],Main_S[P/B]),1)</f>
        <v>1.4029659602822822</v>
      </c>
      <c r="G23" s="1" cm="1">
        <f t="array" ref="G23">_xlfn.QUARTILE.INC(IF(Quartile_S[[#This Row],[Industry]]=Main_S[Industry],Main_S[P/B]),3)</f>
        <v>2.1497610525487723</v>
      </c>
      <c r="H23" s="1">
        <f>Quartile_S[[#This Row],[P/B Q1]]-1.5*(Quartile_S[[#This Row],[P/B Q3]]-Quartile_S[[#This Row],[P/B Q1]])</f>
        <v>0.282773321882547</v>
      </c>
      <c r="I23" s="1">
        <f>Quartile_S[[#This Row],[P/B Q3]]+1.5*(Quartile_S[[#This Row],[P/B Q3]]-Quartile_S[[#This Row],[P/B Q1]])</f>
        <v>3.2699536909485074</v>
      </c>
      <c r="J23" s="1" cm="1">
        <f t="array" ref="J23">_xlfn.QUARTILE.INC(IF(Quartile_S[[#This Row],[Industry]]=Main_S[Industry],Main_S[ROE]),1)</f>
        <v>7.7700000000000005</v>
      </c>
      <c r="K23" s="1" cm="1">
        <f t="array" ref="K23">_xlfn.QUARTILE.INC(IF(Quartile_S[[#This Row],[Industry]]=Main_S[Industry],Main_S[ROE]),3)</f>
        <v>14.26</v>
      </c>
      <c r="L23" s="1">
        <f>Quartile_S[[#This Row],[ROE Q1]]-1.5*(Quartile_S[[#This Row],[ROE Q3]]-Quartile_S[[#This Row],[ROE Q1]])</f>
        <v>-1.964999999999999</v>
      </c>
      <c r="M23" s="1">
        <f>Quartile_S[[#This Row],[ROE Q3]]+1.5*(Quartile_S[[#This Row],[ROE Q3]]-Quartile_S[[#This Row],[ROE Q1]])</f>
        <v>23.994999999999997</v>
      </c>
      <c r="N23" s="1" cm="1">
        <f t="array" ref="N23">_xlfn.QUARTILE.INC(IF(Quartile_S[[#This Row],[Industry]]=Main_S[Industry],Main_S[ROA]),1)</f>
        <v>6.7799999999999994</v>
      </c>
      <c r="O23" s="1" cm="1">
        <f t="array" ref="O23">_xlfn.QUARTILE.INC(IF(Quartile_S[[#This Row],[Industry]]=Main_S[Industry],Main_S[ROA]),3)</f>
        <v>7</v>
      </c>
      <c r="P23" s="1">
        <f>Quartile_S[[#This Row],[ROA Q1]]-1.5*(Quartile_S[[#This Row],[ROA Q3]]-Quartile_S[[#This Row],[ROA Q1]])</f>
        <v>6.4499999999999984</v>
      </c>
      <c r="Q23" s="1">
        <f>Quartile_S[[#This Row],[ROA Q3]]+1.5*(Quartile_S[[#This Row],[ROA Q3]]-Quartile_S[[#This Row],[ROA Q1]])</f>
        <v>7.330000000000001</v>
      </c>
      <c r="R23" s="1" cm="1">
        <f t="array" ref="R23">_xlfn.QUARTILE.INC(IF(Quartile_S[[#This Row],[Industry]]=Main_S[Industry],Main_S[P/E]),1)</f>
        <v>15.144921874999998</v>
      </c>
      <c r="S23" s="1" cm="1">
        <f t="array" ref="S23">_xlfn.QUARTILE.INC(IF(Quartile_S[[#This Row],[Industry]]=Main_S[Industry],Main_S[P/E]),3)</f>
        <v>36.855937499999996</v>
      </c>
      <c r="T23" s="1">
        <f>Quartile_S[[#This Row],[P/E Q1]]-1.5*(Quartile_S[[#This Row],[P/E Q3]]-Quartile_S[[#This Row],[P/E Q1]])</f>
        <v>-17.421601562499998</v>
      </c>
      <c r="U23" s="1">
        <f>Quartile_S[[#This Row],[P/E Q3]]+1.5*(Quartile_S[[#This Row],[P/E Q3]]-Quartile_S[[#This Row],[P/E Q1]])</f>
        <v>69.422460937499991</v>
      </c>
      <c r="V23" s="1" cm="1">
        <f t="array" ref="V23">_xlfn.QUARTILE.INC(IF(Quartile_S[[#This Row],[Industry]]=Main_S[Industry],Main_S[A/E]),1)</f>
        <v>1.88</v>
      </c>
      <c r="W23" s="1" cm="1">
        <f t="array" ref="W23">_xlfn.QUARTILE.INC(IF(Quartile_S[[#This Row],[Industry]]=Main_S[Industry],Main_S[A/E]),3)</f>
        <v>2.1</v>
      </c>
      <c r="X23" s="1">
        <f>Quartile_S[[#This Row],[A/E Q1]]-1.5*(Quartile_S[[#This Row],[A/E Q3]]-Quartile_S[[#This Row],[A/E Q1]])</f>
        <v>1.5499999999999996</v>
      </c>
      <c r="Y23" s="1">
        <f>Quartile_S[[#This Row],[A/E Q3]]+1.5*(Quartile_S[[#This Row],[A/E Q3]]-Quartile_S[[#This Row],[A/E Q1]])</f>
        <v>2.4300000000000006</v>
      </c>
    </row>
    <row r="24" spans="1:25" x14ac:dyDescent="0.25">
      <c r="A24" t="s">
        <v>105</v>
      </c>
      <c r="B24" s="1" cm="1">
        <f t="array" ref="B24">_xlfn.QUARTILE.INC(IF(Quartile_S[[#This Row],[Industry]]=Main_S[Industry],Main_S[P/FCF]),1)</f>
        <v>5.1911672629695884</v>
      </c>
      <c r="C24" s="1" cm="1">
        <f t="array" ref="C24">_xlfn.QUARTILE.INC(IF(Quartile_S[[#This Row],[Industry]]=Main_S[Industry],Main_S[P/FCF]),3)</f>
        <v>26.160566298342538</v>
      </c>
      <c r="D24" s="1">
        <f>Quartile_S[[#This Row],[P/FCF Q1]]-1.5*(Quartile_S[[#This Row],[P/FCF Q3]]-Quartile_S[[#This Row],[P/FCF Q1]])</f>
        <v>-26.262931290089835</v>
      </c>
      <c r="E24" s="1">
        <f>Quartile_S[[#This Row],[P/FCF Q3]]+1.5*(Quartile_S[[#This Row],[P/FCF Q3]]-Quartile_S[[#This Row],[P/FCF Q1]])</f>
        <v>57.614664851401962</v>
      </c>
      <c r="F24" s="1" cm="1">
        <f t="array" ref="F24">_xlfn.QUARTILE.INC(IF(Quartile_S[[#This Row],[Industry]]=Main_S[Industry],Main_S[P/B]),1)</f>
        <v>0.91244917113890733</v>
      </c>
      <c r="G24" s="1" cm="1">
        <f t="array" ref="G24">_xlfn.QUARTILE.INC(IF(Quartile_S[[#This Row],[Industry]]=Main_S[Industry],Main_S[P/B]),3)</f>
        <v>3.9243598429574038</v>
      </c>
      <c r="H24" s="1">
        <f>Quartile_S[[#This Row],[P/B Q1]]-1.5*(Quartile_S[[#This Row],[P/B Q3]]-Quartile_S[[#This Row],[P/B Q1]])</f>
        <v>-3.6054168365888373</v>
      </c>
      <c r="I24" s="1">
        <f>Quartile_S[[#This Row],[P/B Q3]]+1.5*(Quartile_S[[#This Row],[P/B Q3]]-Quartile_S[[#This Row],[P/B Q1]])</f>
        <v>8.4422258506851477</v>
      </c>
      <c r="J24" s="1" cm="1">
        <f t="array" ref="J24">_xlfn.QUARTILE.INC(IF(Quartile_S[[#This Row],[Industry]]=Main_S[Industry],Main_S[ROE]),1)</f>
        <v>-0.68499999999999994</v>
      </c>
      <c r="K24" s="1" cm="1">
        <f t="array" ref="K24">_xlfn.QUARTILE.INC(IF(Quartile_S[[#This Row],[Industry]]=Main_S[Industry],Main_S[ROE]),3)</f>
        <v>17.32</v>
      </c>
      <c r="L24" s="1">
        <f>Quartile_S[[#This Row],[ROE Q1]]-1.5*(Quartile_S[[#This Row],[ROE Q3]]-Quartile_S[[#This Row],[ROE Q1]])</f>
        <v>-27.692499999999999</v>
      </c>
      <c r="M24" s="1">
        <f>Quartile_S[[#This Row],[ROE Q3]]+1.5*(Quartile_S[[#This Row],[ROE Q3]]-Quartile_S[[#This Row],[ROE Q1]])</f>
        <v>44.327500000000001</v>
      </c>
      <c r="N24" s="1" cm="1">
        <f t="array" ref="N24">_xlfn.QUARTILE.INC(IF(Quartile_S[[#This Row],[Industry]]=Main_S[Industry],Main_S[ROA]),1)</f>
        <v>2.0225</v>
      </c>
      <c r="O24" s="1" cm="1">
        <f t="array" ref="O24">_xlfn.QUARTILE.INC(IF(Quartile_S[[#This Row],[Industry]]=Main_S[Industry],Main_S[ROA]),3)</f>
        <v>4.16</v>
      </c>
      <c r="P24" s="1">
        <f>Quartile_S[[#This Row],[ROA Q1]]-1.5*(Quartile_S[[#This Row],[ROA Q3]]-Quartile_S[[#This Row],[ROA Q1]])</f>
        <v>-1.1837500000000003</v>
      </c>
      <c r="Q24" s="1">
        <f>Quartile_S[[#This Row],[ROA Q3]]+1.5*(Quartile_S[[#This Row],[ROA Q3]]-Quartile_S[[#This Row],[ROA Q1]])</f>
        <v>7.3662500000000009</v>
      </c>
      <c r="R24" s="1" cm="1">
        <f t="array" ref="R24">_xlfn.QUARTILE.INC(IF(Quartile_S[[#This Row],[Industry]]=Main_S[Industry],Main_S[P/E]),1)</f>
        <v>1.1181538855460247</v>
      </c>
      <c r="S24" s="1" cm="1">
        <f t="array" ref="S24">_xlfn.QUARTILE.INC(IF(Quartile_S[[#This Row],[Industry]]=Main_S[Industry],Main_S[P/E]),3)</f>
        <v>20.317022155821864</v>
      </c>
      <c r="T24" s="1">
        <f>Quartile_S[[#This Row],[P/E Q1]]-1.5*(Quartile_S[[#This Row],[P/E Q3]]-Quartile_S[[#This Row],[P/E Q1]])</f>
        <v>-27.680148519867732</v>
      </c>
      <c r="U24" s="1">
        <f>Quartile_S[[#This Row],[P/E Q3]]+1.5*(Quartile_S[[#This Row],[P/E Q3]]-Quartile_S[[#This Row],[P/E Q1]])</f>
        <v>49.115324561235624</v>
      </c>
      <c r="V24" s="1" cm="1">
        <f t="array" ref="V24">_xlfn.QUARTILE.INC(IF(Quartile_S[[#This Row],[Industry]]=Main_S[Industry],Main_S[A/E]),1)</f>
        <v>2.0150000000000001</v>
      </c>
      <c r="W24" s="1" cm="1">
        <f t="array" ref="W24">_xlfn.QUARTILE.INC(IF(Quartile_S[[#This Row],[Industry]]=Main_S[Industry],Main_S[A/E]),3)</f>
        <v>3.28</v>
      </c>
      <c r="X24" s="1">
        <f>Quartile_S[[#This Row],[A/E Q1]]-1.5*(Quartile_S[[#This Row],[A/E Q3]]-Quartile_S[[#This Row],[A/E Q1]])</f>
        <v>0.1175000000000006</v>
      </c>
      <c r="Y24" s="1">
        <f>Quartile_S[[#This Row],[A/E Q3]]+1.5*(Quartile_S[[#This Row],[A/E Q3]]-Quartile_S[[#This Row],[A/E Q1]])</f>
        <v>5.1774999999999993</v>
      </c>
    </row>
    <row r="25" spans="1:25" x14ac:dyDescent="0.25">
      <c r="A25" t="s">
        <v>107</v>
      </c>
      <c r="B25" s="1" cm="1">
        <f t="array" ref="B25">_xlfn.QUARTILE.INC(IF(Quartile_S[[#This Row],[Industry]]=Main_S[Industry],Main_S[P/FCF]),1)</f>
        <v>-10.405185502283105</v>
      </c>
      <c r="C25" s="1" cm="1">
        <f t="array" ref="C25">_xlfn.QUARTILE.INC(IF(Quartile_S[[#This Row],[Industry]]=Main_S[Industry],Main_S[P/FCF]),3)</f>
        <v>17.488190406976745</v>
      </c>
      <c r="D25" s="1">
        <f>Quartile_S[[#This Row],[P/FCF Q1]]-1.5*(Quartile_S[[#This Row],[P/FCF Q3]]-Quartile_S[[#This Row],[P/FCF Q1]])</f>
        <v>-52.245249366172885</v>
      </c>
      <c r="E25" s="1">
        <f>Quartile_S[[#This Row],[P/FCF Q3]]+1.5*(Quartile_S[[#This Row],[P/FCF Q3]]-Quartile_S[[#This Row],[P/FCF Q1]])</f>
        <v>59.328254270866523</v>
      </c>
      <c r="F25" s="1" cm="1">
        <f t="array" ref="F25">_xlfn.QUARTILE.INC(IF(Quartile_S[[#This Row],[Industry]]=Main_S[Industry],Main_S[P/B]),1)</f>
        <v>0.99587461407428302</v>
      </c>
      <c r="G25" s="1" cm="1">
        <f t="array" ref="G25">_xlfn.QUARTILE.INC(IF(Quartile_S[[#This Row],[Industry]]=Main_S[Industry],Main_S[P/B]),3)</f>
        <v>3.6791791824474336</v>
      </c>
      <c r="H25" s="1">
        <f>Quartile_S[[#This Row],[P/B Q1]]-1.5*(Quartile_S[[#This Row],[P/B Q3]]-Quartile_S[[#This Row],[P/B Q1]])</f>
        <v>-3.0290822384854423</v>
      </c>
      <c r="I25" s="1">
        <f>Quartile_S[[#This Row],[P/B Q3]]+1.5*(Quartile_S[[#This Row],[P/B Q3]]-Quartile_S[[#This Row],[P/B Q1]])</f>
        <v>7.704136035007159</v>
      </c>
      <c r="J25" s="1" cm="1">
        <f t="array" ref="J25">_xlfn.QUARTILE.INC(IF(Quartile_S[[#This Row],[Industry]]=Main_S[Industry],Main_S[ROE]),1)</f>
        <v>3.2149999999999999</v>
      </c>
      <c r="K25" s="1" cm="1">
        <f t="array" ref="K25">_xlfn.QUARTILE.INC(IF(Quartile_S[[#This Row],[Industry]]=Main_S[Industry],Main_S[ROE]),3)</f>
        <v>14.66</v>
      </c>
      <c r="L25" s="1">
        <f>Quartile_S[[#This Row],[ROE Q1]]-1.5*(Quartile_S[[#This Row],[ROE Q3]]-Quartile_S[[#This Row],[ROE Q1]])</f>
        <v>-13.952500000000001</v>
      </c>
      <c r="M25" s="1">
        <f>Quartile_S[[#This Row],[ROE Q3]]+1.5*(Quartile_S[[#This Row],[ROE Q3]]-Quartile_S[[#This Row],[ROE Q1]])</f>
        <v>31.827500000000001</v>
      </c>
      <c r="N25" s="1" cm="1">
        <f t="array" ref="N25">_xlfn.QUARTILE.INC(IF(Quartile_S[[#This Row],[Industry]]=Main_S[Industry],Main_S[ROA]),1)</f>
        <v>2.7050000000000001</v>
      </c>
      <c r="O25" s="1" cm="1">
        <f t="array" ref="O25">_xlfn.QUARTILE.INC(IF(Quartile_S[[#This Row],[Industry]]=Main_S[Industry],Main_S[ROA]),3)</f>
        <v>6.15</v>
      </c>
      <c r="P25" s="1">
        <f>Quartile_S[[#This Row],[ROA Q1]]-1.5*(Quartile_S[[#This Row],[ROA Q3]]-Quartile_S[[#This Row],[ROA Q1]])</f>
        <v>-2.4625000000000004</v>
      </c>
      <c r="Q25" s="1">
        <f>Quartile_S[[#This Row],[ROA Q3]]+1.5*(Quartile_S[[#This Row],[ROA Q3]]-Quartile_S[[#This Row],[ROA Q1]])</f>
        <v>11.317500000000001</v>
      </c>
      <c r="R25" s="1" cm="1">
        <f t="array" ref="R25">_xlfn.QUARTILE.INC(IF(Quartile_S[[#This Row],[Industry]]=Main_S[Industry],Main_S[P/E]),1)</f>
        <v>10.980247900839665</v>
      </c>
      <c r="S25" s="1" cm="1">
        <f t="array" ref="S25">_xlfn.QUARTILE.INC(IF(Quartile_S[[#This Row],[Industry]]=Main_S[Industry],Main_S[P/E]),3)</f>
        <v>36.481488660593136</v>
      </c>
      <c r="T25" s="1">
        <f>Quartile_S[[#This Row],[P/E Q1]]-1.5*(Quartile_S[[#This Row],[P/E Q3]]-Quartile_S[[#This Row],[P/E Q1]])</f>
        <v>-27.271613238790543</v>
      </c>
      <c r="U25" s="1">
        <f>Quartile_S[[#This Row],[P/E Q3]]+1.5*(Quartile_S[[#This Row],[P/E Q3]]-Quartile_S[[#This Row],[P/E Q1]])</f>
        <v>74.733349800223351</v>
      </c>
      <c r="V25" s="1" cm="1">
        <f t="array" ref="V25">_xlfn.QUARTILE.INC(IF(Quartile_S[[#This Row],[Industry]]=Main_S[Industry],Main_S[A/E]),1)</f>
        <v>1.7050000000000001</v>
      </c>
      <c r="W25" s="1" cm="1">
        <f t="array" ref="W25">_xlfn.QUARTILE.INC(IF(Quartile_S[[#This Row],[Industry]]=Main_S[Industry],Main_S[A/E]),3)</f>
        <v>3.605</v>
      </c>
      <c r="X25" s="1">
        <f>Quartile_S[[#This Row],[A/E Q1]]-1.5*(Quartile_S[[#This Row],[A/E Q3]]-Quartile_S[[#This Row],[A/E Q1]])</f>
        <v>-1.1449999999999996</v>
      </c>
      <c r="Y25" s="1">
        <f>Quartile_S[[#This Row],[A/E Q3]]+1.5*(Quartile_S[[#This Row],[A/E Q3]]-Quartile_S[[#This Row],[A/E Q1]])</f>
        <v>6.4550000000000001</v>
      </c>
    </row>
    <row r="26" spans="1:25" x14ac:dyDescent="0.25">
      <c r="A26" t="s">
        <v>110</v>
      </c>
      <c r="B26" s="1" cm="1">
        <f t="array" ref="B26">_xlfn.QUARTILE.INC(IF(Quartile_S[[#This Row],[Industry]]=Main_S[Industry],Main_S[P/FCF]),1)</f>
        <v>-12.16061692969871</v>
      </c>
      <c r="C26" s="1" cm="1">
        <f t="array" ref="C26">_xlfn.QUARTILE.INC(IF(Quartile_S[[#This Row],[Industry]]=Main_S[Industry],Main_S[P/FCF]),3)</f>
        <v>13.621217804451112</v>
      </c>
      <c r="D26" s="1">
        <f>Quartile_S[[#This Row],[P/FCF Q1]]-1.5*(Quartile_S[[#This Row],[P/FCF Q3]]-Quartile_S[[#This Row],[P/FCF Q1]])</f>
        <v>-50.833369030923443</v>
      </c>
      <c r="E26" s="1">
        <f>Quartile_S[[#This Row],[P/FCF Q3]]+1.5*(Quartile_S[[#This Row],[P/FCF Q3]]-Quartile_S[[#This Row],[P/FCF Q1]])</f>
        <v>52.293969905675844</v>
      </c>
      <c r="F26" s="1" cm="1">
        <f t="array" ref="F26">_xlfn.QUARTILE.INC(IF(Quartile_S[[#This Row],[Industry]]=Main_S[Industry],Main_S[P/B]),1)</f>
        <v>0.67999631389252946</v>
      </c>
      <c r="G26" s="1" cm="1">
        <f t="array" ref="G26">_xlfn.QUARTILE.INC(IF(Quartile_S[[#This Row],[Industry]]=Main_S[Industry],Main_S[P/B]),3)</f>
        <v>2.3601641613785058</v>
      </c>
      <c r="H26" s="1">
        <f>Quartile_S[[#This Row],[P/B Q1]]-1.5*(Quartile_S[[#This Row],[P/B Q3]]-Quartile_S[[#This Row],[P/B Q1]])</f>
        <v>-1.8402554573364354</v>
      </c>
      <c r="I26" s="1">
        <f>Quartile_S[[#This Row],[P/B Q3]]+1.5*(Quartile_S[[#This Row],[P/B Q3]]-Quartile_S[[#This Row],[P/B Q1]])</f>
        <v>4.8804159326074705</v>
      </c>
      <c r="J26" s="1" cm="1">
        <f t="array" ref="J26">_xlfn.QUARTILE.INC(IF(Quartile_S[[#This Row],[Industry]]=Main_S[Industry],Main_S[ROE]),1)</f>
        <v>-11.510000000000002</v>
      </c>
      <c r="K26" s="1" cm="1">
        <f t="array" ref="K26">_xlfn.QUARTILE.INC(IF(Quartile_S[[#This Row],[Industry]]=Main_S[Industry],Main_S[ROE]),3)</f>
        <v>5.73</v>
      </c>
      <c r="L26" s="1">
        <f>Quartile_S[[#This Row],[ROE Q1]]-1.5*(Quartile_S[[#This Row],[ROE Q3]]-Quartile_S[[#This Row],[ROE Q1]])</f>
        <v>-37.370000000000005</v>
      </c>
      <c r="M26" s="1">
        <f>Quartile_S[[#This Row],[ROE Q3]]+1.5*(Quartile_S[[#This Row],[ROE Q3]]-Quartile_S[[#This Row],[ROE Q1]])</f>
        <v>31.590000000000003</v>
      </c>
      <c r="N26" s="1" cm="1">
        <f t="array" ref="N26">_xlfn.QUARTILE.INC(IF(Quartile_S[[#This Row],[Industry]]=Main_S[Industry],Main_S[ROA]),1)</f>
        <v>-2</v>
      </c>
      <c r="O26" s="1" cm="1">
        <f t="array" ref="O26">_xlfn.QUARTILE.INC(IF(Quartile_S[[#This Row],[Industry]]=Main_S[Industry],Main_S[ROA]),3)</f>
        <v>4.63</v>
      </c>
      <c r="P26" s="1">
        <f>Quartile_S[[#This Row],[ROA Q1]]-1.5*(Quartile_S[[#This Row],[ROA Q3]]-Quartile_S[[#This Row],[ROA Q1]])</f>
        <v>-11.945</v>
      </c>
      <c r="Q26" s="1">
        <f>Quartile_S[[#This Row],[ROA Q3]]+1.5*(Quartile_S[[#This Row],[ROA Q3]]-Quartile_S[[#This Row],[ROA Q1]])</f>
        <v>14.574999999999999</v>
      </c>
      <c r="R26" s="1" cm="1">
        <f t="array" ref="R26">_xlfn.QUARTILE.INC(IF(Quartile_S[[#This Row],[Industry]]=Main_S[Industry],Main_S[P/E]),1)</f>
        <v>-9.4189063948100085</v>
      </c>
      <c r="S26" s="1" cm="1">
        <f t="array" ref="S26">_xlfn.QUARTILE.INC(IF(Quartile_S[[#This Row],[Industry]]=Main_S[Industry],Main_S[P/E]),3)</f>
        <v>15.93956043956044</v>
      </c>
      <c r="T26" s="1">
        <f>Quartile_S[[#This Row],[P/E Q1]]-1.5*(Quartile_S[[#This Row],[P/E Q3]]-Quartile_S[[#This Row],[P/E Q1]])</f>
        <v>-47.456606646365678</v>
      </c>
      <c r="U26" s="1">
        <f>Quartile_S[[#This Row],[P/E Q3]]+1.5*(Quartile_S[[#This Row],[P/E Q3]]-Quartile_S[[#This Row],[P/E Q1]])</f>
        <v>53.977260691116108</v>
      </c>
      <c r="V26" s="1" cm="1">
        <f t="array" ref="V26">_xlfn.QUARTILE.INC(IF(Quartile_S[[#This Row],[Industry]]=Main_S[Industry],Main_S[A/E]),1)</f>
        <v>1.44</v>
      </c>
      <c r="W26" s="1" cm="1">
        <f t="array" ref="W26">_xlfn.QUARTILE.INC(IF(Quartile_S[[#This Row],[Industry]]=Main_S[Industry],Main_S[A/E]),3)</f>
        <v>2.2199999999999998</v>
      </c>
      <c r="X26" s="1">
        <f>Quartile_S[[#This Row],[A/E Q1]]-1.5*(Quartile_S[[#This Row],[A/E Q3]]-Quartile_S[[#This Row],[A/E Q1]])</f>
        <v>0.27000000000000024</v>
      </c>
      <c r="Y26" s="1">
        <f>Quartile_S[[#This Row],[A/E Q3]]+1.5*(Quartile_S[[#This Row],[A/E Q3]]-Quartile_S[[#This Row],[A/E Q1]])</f>
        <v>3.3899999999999997</v>
      </c>
    </row>
    <row r="27" spans="1:25" x14ac:dyDescent="0.25">
      <c r="A27" t="s">
        <v>108</v>
      </c>
      <c r="B27" s="1" cm="1">
        <f t="array" ref="B27">_xlfn.QUARTILE.INC(IF(Quartile_S[[#This Row],[Industry]]=Main_S[Industry],Main_S[P/FCF]),1)</f>
        <v>5.089504716981132</v>
      </c>
      <c r="C27" s="1" cm="1">
        <f t="array" ref="C27">_xlfn.QUARTILE.INC(IF(Quartile_S[[#This Row],[Industry]]=Main_S[Industry],Main_S[P/FCF]),3)</f>
        <v>24.649839743589745</v>
      </c>
      <c r="D27" s="1">
        <f>Quartile_S[[#This Row],[P/FCF Q1]]-1.5*(Quartile_S[[#This Row],[P/FCF Q3]]-Quartile_S[[#This Row],[P/FCF Q1]])</f>
        <v>-24.250997822931787</v>
      </c>
      <c r="E27" s="1">
        <f>Quartile_S[[#This Row],[P/FCF Q3]]+1.5*(Quartile_S[[#This Row],[P/FCF Q3]]-Quartile_S[[#This Row],[P/FCF Q1]])</f>
        <v>53.990342283502663</v>
      </c>
      <c r="F27" s="1" cm="1">
        <f t="array" ref="F27">_xlfn.QUARTILE.INC(IF(Quartile_S[[#This Row],[Industry]]=Main_S[Industry],Main_S[P/B]),1)</f>
        <v>0.87555088171700524</v>
      </c>
      <c r="G27" s="1" cm="1">
        <f t="array" ref="G27">_xlfn.QUARTILE.INC(IF(Quartile_S[[#This Row],[Industry]]=Main_S[Industry],Main_S[P/B]),3)</f>
        <v>2.5989281775572097</v>
      </c>
      <c r="H27" s="1">
        <f>Quartile_S[[#This Row],[P/B Q1]]-1.5*(Quartile_S[[#This Row],[P/B Q3]]-Quartile_S[[#This Row],[P/B Q1]])</f>
        <v>-1.7095150620433013</v>
      </c>
      <c r="I27" s="1">
        <f>Quartile_S[[#This Row],[P/B Q3]]+1.5*(Quartile_S[[#This Row],[P/B Q3]]-Quartile_S[[#This Row],[P/B Q1]])</f>
        <v>5.1839941213175162</v>
      </c>
      <c r="J27" s="1" cm="1">
        <f t="array" ref="J27">_xlfn.QUARTILE.INC(IF(Quartile_S[[#This Row],[Industry]]=Main_S[Industry],Main_S[ROE]),1)</f>
        <v>5.8999999999999995</v>
      </c>
      <c r="K27" s="1" cm="1">
        <f t="array" ref="K27">_xlfn.QUARTILE.INC(IF(Quartile_S[[#This Row],[Industry]]=Main_S[Industry],Main_S[ROE]),3)</f>
        <v>14.0725</v>
      </c>
      <c r="L27" s="1">
        <f>Quartile_S[[#This Row],[ROE Q1]]-1.5*(Quartile_S[[#This Row],[ROE Q3]]-Quartile_S[[#This Row],[ROE Q1]])</f>
        <v>-6.3587499999999997</v>
      </c>
      <c r="M27" s="1">
        <f>Quartile_S[[#This Row],[ROE Q3]]+1.5*(Quartile_S[[#This Row],[ROE Q3]]-Quartile_S[[#This Row],[ROE Q1]])</f>
        <v>26.331249999999997</v>
      </c>
      <c r="N27" s="1" cm="1">
        <f t="array" ref="N27">_xlfn.QUARTILE.INC(IF(Quartile_S[[#This Row],[Industry]]=Main_S[Industry],Main_S[ROA]),1)</f>
        <v>4.0599999999999996</v>
      </c>
      <c r="O27" s="1" cm="1">
        <f t="array" ref="O27">_xlfn.QUARTILE.INC(IF(Quartile_S[[#This Row],[Industry]]=Main_S[Industry],Main_S[ROA]),3)</f>
        <v>6.91</v>
      </c>
      <c r="P27" s="1">
        <f>Quartile_S[[#This Row],[ROA Q1]]-1.5*(Quartile_S[[#This Row],[ROA Q3]]-Quartile_S[[#This Row],[ROA Q1]])</f>
        <v>-0.21500000000000075</v>
      </c>
      <c r="Q27" s="1">
        <f>Quartile_S[[#This Row],[ROA Q3]]+1.5*(Quartile_S[[#This Row],[ROA Q3]]-Quartile_S[[#This Row],[ROA Q1]])</f>
        <v>11.185</v>
      </c>
      <c r="R27" s="1" cm="1">
        <f t="array" ref="R27">_xlfn.QUARTILE.INC(IF(Quartile_S[[#This Row],[Industry]]=Main_S[Industry],Main_S[P/E]),1)</f>
        <v>13.170058883768561</v>
      </c>
      <c r="S27" s="1" cm="1">
        <f t="array" ref="S27">_xlfn.QUARTILE.INC(IF(Quartile_S[[#This Row],[Industry]]=Main_S[Industry],Main_S[P/E]),3)</f>
        <v>297.80555555555554</v>
      </c>
      <c r="T27" s="1">
        <f>Quartile_S[[#This Row],[P/E Q1]]-1.5*(Quartile_S[[#This Row],[P/E Q3]]-Quartile_S[[#This Row],[P/E Q1]])</f>
        <v>-413.78318612391195</v>
      </c>
      <c r="U27" s="1">
        <f>Quartile_S[[#This Row],[P/E Q3]]+1.5*(Quartile_S[[#This Row],[P/E Q3]]-Quartile_S[[#This Row],[P/E Q1]])</f>
        <v>724.75880056323604</v>
      </c>
      <c r="V27" s="1" cm="1">
        <f t="array" ref="V27">_xlfn.QUARTILE.INC(IF(Quartile_S[[#This Row],[Industry]]=Main_S[Industry],Main_S[A/E]),1)</f>
        <v>1.7200000000000002</v>
      </c>
      <c r="W27" s="1" cm="1">
        <f t="array" ref="W27">_xlfn.QUARTILE.INC(IF(Quartile_S[[#This Row],[Industry]]=Main_S[Industry],Main_S[A/E]),3)</f>
        <v>2.2450000000000001</v>
      </c>
      <c r="X27" s="1">
        <f>Quartile_S[[#This Row],[A/E Q1]]-1.5*(Quartile_S[[#This Row],[A/E Q3]]-Quartile_S[[#This Row],[A/E Q1]])</f>
        <v>0.93250000000000033</v>
      </c>
      <c r="Y27" s="1">
        <f>Quartile_S[[#This Row],[A/E Q3]]+1.5*(Quartile_S[[#This Row],[A/E Q3]]-Quartile_S[[#This Row],[A/E Q1]])</f>
        <v>3.0324999999999998</v>
      </c>
    </row>
    <row r="28" spans="1:25" x14ac:dyDescent="0.25">
      <c r="A28" t="s">
        <v>109</v>
      </c>
      <c r="B28" s="1" cm="1">
        <f t="array" ref="B28">_xlfn.QUARTILE.INC(IF(Quartile_S[[#This Row],[Industry]]=Main_S[Industry],Main_S[P/FCF]),1)</f>
        <v>14.661810816060379</v>
      </c>
      <c r="C28" s="1" cm="1">
        <f t="array" ref="C28">_xlfn.QUARTILE.INC(IF(Quartile_S[[#This Row],[Industry]]=Main_S[Industry],Main_S[P/FCF]),3)</f>
        <v>20.362036321965071</v>
      </c>
      <c r="D28" s="1">
        <f>Quartile_S[[#This Row],[P/FCF Q1]]-1.5*(Quartile_S[[#This Row],[P/FCF Q3]]-Quartile_S[[#This Row],[P/FCF Q1]])</f>
        <v>6.1114725572033404</v>
      </c>
      <c r="E28" s="1">
        <f>Quartile_S[[#This Row],[P/FCF Q3]]+1.5*(Quartile_S[[#This Row],[P/FCF Q3]]-Quartile_S[[#This Row],[P/FCF Q1]])</f>
        <v>28.91237458082211</v>
      </c>
      <c r="F28" s="1" cm="1">
        <f t="array" ref="F28">_xlfn.QUARTILE.INC(IF(Quartile_S[[#This Row],[Industry]]=Main_S[Industry],Main_S[P/B]),1)</f>
        <v>2.2106466208934421</v>
      </c>
      <c r="G28" s="1" cm="1">
        <f t="array" ref="G28">_xlfn.QUARTILE.INC(IF(Quartile_S[[#This Row],[Industry]]=Main_S[Industry],Main_S[P/B]),3)</f>
        <v>7.8717896003610281</v>
      </c>
      <c r="H28" s="1">
        <f>Quartile_S[[#This Row],[P/B Q1]]-1.5*(Quartile_S[[#This Row],[P/B Q3]]-Quartile_S[[#This Row],[P/B Q1]])</f>
        <v>-6.2810678483079379</v>
      </c>
      <c r="I28" s="1">
        <f>Quartile_S[[#This Row],[P/B Q3]]+1.5*(Quartile_S[[#This Row],[P/B Q3]]-Quartile_S[[#This Row],[P/B Q1]])</f>
        <v>16.36350406956241</v>
      </c>
      <c r="J28" s="1" cm="1">
        <f t="array" ref="J28">_xlfn.QUARTILE.INC(IF(Quartile_S[[#This Row],[Industry]]=Main_S[Industry],Main_S[ROE]),1)</f>
        <v>11.965000000000002</v>
      </c>
      <c r="K28" s="1" cm="1">
        <f t="array" ref="K28">_xlfn.QUARTILE.INC(IF(Quartile_S[[#This Row],[Industry]]=Main_S[Industry],Main_S[ROE]),3)</f>
        <v>27.29</v>
      </c>
      <c r="L28" s="1">
        <f>Quartile_S[[#This Row],[ROE Q1]]-1.5*(Quartile_S[[#This Row],[ROE Q3]]-Quartile_S[[#This Row],[ROE Q1]])</f>
        <v>-11.022499999999996</v>
      </c>
      <c r="M28" s="1">
        <f>Quartile_S[[#This Row],[ROE Q3]]+1.5*(Quartile_S[[#This Row],[ROE Q3]]-Quartile_S[[#This Row],[ROE Q1]])</f>
        <v>50.277499999999996</v>
      </c>
      <c r="N28" s="1" cm="1">
        <f t="array" ref="N28">_xlfn.QUARTILE.INC(IF(Quartile_S[[#This Row],[Industry]]=Main_S[Industry],Main_S[ROA]),1)</f>
        <v>4.68</v>
      </c>
      <c r="O28" s="1" cm="1">
        <f t="array" ref="O28">_xlfn.QUARTILE.INC(IF(Quartile_S[[#This Row],[Industry]]=Main_S[Industry],Main_S[ROA]),3)</f>
        <v>9.2799999999999994</v>
      </c>
      <c r="P28" s="1">
        <f>Quartile_S[[#This Row],[ROA Q1]]-1.5*(Quartile_S[[#This Row],[ROA Q3]]-Quartile_S[[#This Row],[ROA Q1]])</f>
        <v>-2.2199999999999998</v>
      </c>
      <c r="Q28" s="1">
        <f>Quartile_S[[#This Row],[ROA Q3]]+1.5*(Quartile_S[[#This Row],[ROA Q3]]-Quartile_S[[#This Row],[ROA Q1]])</f>
        <v>16.18</v>
      </c>
      <c r="R28" s="1" cm="1">
        <f t="array" ref="R28">_xlfn.QUARTILE.INC(IF(Quartile_S[[#This Row],[Industry]]=Main_S[Industry],Main_S[P/E]),1)</f>
        <v>23.029996450124244</v>
      </c>
      <c r="S28" s="1" cm="1">
        <f t="array" ref="S28">_xlfn.QUARTILE.INC(IF(Quartile_S[[#This Row],[Industry]]=Main_S[Industry],Main_S[P/E]),3)</f>
        <v>28.65015015015015</v>
      </c>
      <c r="T28" s="1">
        <f>Quartile_S[[#This Row],[P/E Q1]]-1.5*(Quartile_S[[#This Row],[P/E Q3]]-Quartile_S[[#This Row],[P/E Q1]])</f>
        <v>14.599765900085385</v>
      </c>
      <c r="U28" s="1">
        <f>Quartile_S[[#This Row],[P/E Q3]]+1.5*(Quartile_S[[#This Row],[P/E Q3]]-Quartile_S[[#This Row],[P/E Q1]])</f>
        <v>37.080380700189011</v>
      </c>
      <c r="V28" s="1" cm="1">
        <f t="array" ref="V28">_xlfn.QUARTILE.INC(IF(Quartile_S[[#This Row],[Industry]]=Main_S[Industry],Main_S[A/E]),1)</f>
        <v>1.69</v>
      </c>
      <c r="W28" s="1" cm="1">
        <f t="array" ref="W28">_xlfn.QUARTILE.INC(IF(Quartile_S[[#This Row],[Industry]]=Main_S[Industry],Main_S[A/E]),3)</f>
        <v>16.670000000000002</v>
      </c>
      <c r="X28" s="1">
        <f>Quartile_S[[#This Row],[A/E Q1]]-1.5*(Quartile_S[[#This Row],[A/E Q3]]-Quartile_S[[#This Row],[A/E Q1]])</f>
        <v>-20.78</v>
      </c>
      <c r="Y28" s="1">
        <f>Quartile_S[[#This Row],[A/E Q3]]+1.5*(Quartile_S[[#This Row],[A/E Q3]]-Quartile_S[[#This Row],[A/E Q1]])</f>
        <v>39.14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30"/>
  <sheetViews>
    <sheetView workbookViewId="0">
      <selection activeCell="I29" sqref="I29"/>
    </sheetView>
  </sheetViews>
  <sheetFormatPr defaultRowHeight="15" x14ac:dyDescent="0.25"/>
  <cols>
    <col min="1" max="1" width="35.7109375" bestFit="1" customWidth="1"/>
    <col min="2" max="2" width="16.28515625" bestFit="1" customWidth="1"/>
    <col min="3" max="3" width="16.85546875" bestFit="1" customWidth="1"/>
    <col min="5" max="5" width="35.7109375" bestFit="1" customWidth="1"/>
    <col min="6" max="6" width="14" bestFit="1" customWidth="1"/>
    <col min="7" max="7" width="14.5703125" bestFit="1" customWidth="1"/>
    <col min="9" max="9" width="35.7109375" bestFit="1" customWidth="1"/>
    <col min="10" max="10" width="14" bestFit="1" customWidth="1"/>
    <col min="11" max="11" width="14.5703125" bestFit="1" customWidth="1"/>
  </cols>
  <sheetData>
    <row r="1" spans="1:11" x14ac:dyDescent="0.25">
      <c r="A1" s="24" t="s">
        <v>55</v>
      </c>
      <c r="B1" s="24"/>
      <c r="C1" s="24"/>
      <c r="E1" s="24" t="s">
        <v>80</v>
      </c>
      <c r="F1" s="24"/>
      <c r="G1" s="24"/>
      <c r="I1" s="24" t="s">
        <v>56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106</v>
      </c>
      <c r="B5" s="1">
        <v>30.690299008466834</v>
      </c>
      <c r="C5" s="1">
        <v>24.968750445708306</v>
      </c>
      <c r="E5" s="6" t="s">
        <v>106</v>
      </c>
      <c r="F5" s="1">
        <v>4.1085102424242672</v>
      </c>
      <c r="G5" s="1">
        <v>3.3113193395666825</v>
      </c>
      <c r="I5" s="6" t="s">
        <v>106</v>
      </c>
      <c r="J5" s="1">
        <v>11.449230769230764</v>
      </c>
      <c r="K5" s="1">
        <v>8.6777899185116603</v>
      </c>
    </row>
    <row r="6" spans="1:11" x14ac:dyDescent="0.25">
      <c r="A6" s="6" t="s">
        <v>105</v>
      </c>
      <c r="B6" s="1">
        <v>21.542943573273213</v>
      </c>
      <c r="C6" s="1">
        <v>9.9819557899815781</v>
      </c>
      <c r="E6" s="6" t="s">
        <v>105</v>
      </c>
      <c r="F6" s="1">
        <v>5.2542355886157637</v>
      </c>
      <c r="G6" s="1">
        <v>2.5484906313649032</v>
      </c>
      <c r="I6" s="6" t="s">
        <v>105</v>
      </c>
      <c r="J6" s="1">
        <v>21.587222222222223</v>
      </c>
      <c r="K6" s="1">
        <v>7.7968339767964903</v>
      </c>
    </row>
    <row r="7" spans="1:11" x14ac:dyDescent="0.25">
      <c r="A7" s="6" t="s">
        <v>107</v>
      </c>
      <c r="B7" s="1">
        <v>13.914706952357101</v>
      </c>
      <c r="C7" s="1">
        <v>11.51746801609395</v>
      </c>
      <c r="E7" s="6" t="s">
        <v>107</v>
      </c>
      <c r="F7" s="1">
        <v>1.8396771348435244</v>
      </c>
      <c r="G7" s="1">
        <v>1.1938858545617397</v>
      </c>
      <c r="I7" s="6" t="s">
        <v>107</v>
      </c>
      <c r="J7" s="1">
        <v>10.033571428571429</v>
      </c>
      <c r="K7" s="1">
        <v>7.1251642659188237</v>
      </c>
    </row>
    <row r="8" spans="1:11" x14ac:dyDescent="0.25">
      <c r="A8" s="6" t="s">
        <v>109</v>
      </c>
      <c r="B8" s="1">
        <v>22.234006814813977</v>
      </c>
      <c r="C8" s="1">
        <v>3.0227717406557977</v>
      </c>
      <c r="E8" s="6" t="s">
        <v>109</v>
      </c>
      <c r="F8" s="1">
        <v>63.661050277684438</v>
      </c>
      <c r="G8" s="1">
        <v>81.004372034631942</v>
      </c>
      <c r="I8" s="6" t="s">
        <v>109</v>
      </c>
      <c r="J8" s="1">
        <v>204.12399999999997</v>
      </c>
      <c r="K8" s="1">
        <v>167.81548827209008</v>
      </c>
    </row>
    <row r="9" spans="1:11" x14ac:dyDescent="0.25">
      <c r="A9" s="6" t="s">
        <v>110</v>
      </c>
      <c r="B9" s="1">
        <v>24.87327262599598</v>
      </c>
      <c r="C9" s="1">
        <v>3.5683033627280096</v>
      </c>
      <c r="E9" s="6" t="s">
        <v>110</v>
      </c>
      <c r="F9" s="1">
        <v>5.7579397227196552</v>
      </c>
      <c r="G9" s="1">
        <v>1.4015380525651002</v>
      </c>
      <c r="I9" s="6" t="s">
        <v>110</v>
      </c>
      <c r="J9" s="1">
        <v>7.879999999999999</v>
      </c>
      <c r="K9" s="1">
        <v>18.600050179143782</v>
      </c>
    </row>
    <row r="10" spans="1:11" x14ac:dyDescent="0.25">
      <c r="A10" s="6" t="s">
        <v>108</v>
      </c>
      <c r="B10" s="1">
        <v>16.096297121785216</v>
      </c>
      <c r="C10" s="1">
        <v>8.1816562875296075</v>
      </c>
      <c r="E10" s="6" t="s">
        <v>108</v>
      </c>
      <c r="F10" s="1">
        <v>-17.482179225152446</v>
      </c>
      <c r="G10" s="1">
        <v>13.645183206187282</v>
      </c>
      <c r="I10" s="6" t="s">
        <v>108</v>
      </c>
      <c r="J10" s="1">
        <v>-108.66333333333334</v>
      </c>
      <c r="K10" s="1">
        <v>100.98735575418452</v>
      </c>
    </row>
    <row r="21" spans="1:11" x14ac:dyDescent="0.25">
      <c r="A21" s="24" t="s">
        <v>57</v>
      </c>
      <c r="B21" s="24"/>
      <c r="C21" s="24"/>
      <c r="E21" s="24" t="s">
        <v>58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106</v>
      </c>
      <c r="B25" s="1">
        <v>6.7542857142857144</v>
      </c>
      <c r="C25" s="1">
        <v>2.929326383526508</v>
      </c>
      <c r="E25" s="6" t="s">
        <v>106</v>
      </c>
      <c r="F25" s="1">
        <v>2.6378571428571429</v>
      </c>
      <c r="G25" s="1">
        <v>0.94447399246828356</v>
      </c>
      <c r="I25" s="6" t="s">
        <v>106</v>
      </c>
      <c r="J25" s="1">
        <v>26.48960463681049</v>
      </c>
      <c r="K25" s="1">
        <v>16.805241484362291</v>
      </c>
    </row>
    <row r="26" spans="1:11" x14ac:dyDescent="0.25">
      <c r="A26" s="6" t="s">
        <v>105</v>
      </c>
      <c r="B26" s="1">
        <v>6.21</v>
      </c>
      <c r="C26" s="1">
        <v>1.4121822911824891</v>
      </c>
      <c r="E26" s="6" t="s">
        <v>105</v>
      </c>
      <c r="F26" s="1">
        <v>3.254375</v>
      </c>
      <c r="G26" s="1">
        <v>1.1913278765205639</v>
      </c>
      <c r="I26" s="6" t="s">
        <v>105</v>
      </c>
      <c r="J26" s="1">
        <v>25.92857866118236</v>
      </c>
      <c r="K26" s="1">
        <v>8.7945118296347253</v>
      </c>
    </row>
    <row r="27" spans="1:11" x14ac:dyDescent="0.25">
      <c r="A27" s="6" t="s">
        <v>107</v>
      </c>
      <c r="B27" s="1">
        <v>5.7952941176470585</v>
      </c>
      <c r="C27" s="1">
        <v>2.65610532579755</v>
      </c>
      <c r="E27" s="6" t="s">
        <v>107</v>
      </c>
      <c r="F27" s="1">
        <v>2.6117647058823534</v>
      </c>
      <c r="G27" s="1">
        <v>0.73069858028116597</v>
      </c>
      <c r="I27" s="6" t="s">
        <v>107</v>
      </c>
      <c r="J27" s="1">
        <v>17.376211803441961</v>
      </c>
      <c r="K27" s="1">
        <v>8.015524431959097</v>
      </c>
    </row>
    <row r="28" spans="1:11" x14ac:dyDescent="0.25">
      <c r="A28" s="6" t="s">
        <v>109</v>
      </c>
      <c r="B28" s="1">
        <v>11.373333333333335</v>
      </c>
      <c r="C28" s="1">
        <v>0.27920522121822144</v>
      </c>
      <c r="E28" s="6" t="s">
        <v>109</v>
      </c>
      <c r="F28" s="1">
        <v>16.2575</v>
      </c>
      <c r="G28" s="1">
        <v>17.852475143520017</v>
      </c>
      <c r="I28" s="6" t="s">
        <v>109</v>
      </c>
      <c r="J28" s="1">
        <v>24.811956324859832</v>
      </c>
      <c r="K28" s="1">
        <v>1.3589135296098727</v>
      </c>
    </row>
    <row r="29" spans="1:11" x14ac:dyDescent="0.25">
      <c r="A29" s="6" t="s">
        <v>110</v>
      </c>
      <c r="B29" s="1">
        <v>6.5733333333333333</v>
      </c>
      <c r="C29" s="1">
        <v>2.1233673466663494</v>
      </c>
      <c r="E29" s="6" t="s">
        <v>110</v>
      </c>
      <c r="F29" s="1">
        <v>3.7266666666666666</v>
      </c>
      <c r="G29" s="1">
        <v>0.82552340299284854</v>
      </c>
      <c r="I29" s="6" t="s">
        <v>110</v>
      </c>
      <c r="J29" s="1">
        <v>12.230556427334333</v>
      </c>
      <c r="K29" s="1">
        <v>29.240493995608194</v>
      </c>
    </row>
    <row r="30" spans="1:11" x14ac:dyDescent="0.25">
      <c r="A30" s="6" t="s">
        <v>108</v>
      </c>
      <c r="B30" s="1">
        <v>13.273333333333333</v>
      </c>
      <c r="C30" s="1">
        <v>6.4468924469252835</v>
      </c>
      <c r="E30" s="6" t="s">
        <v>108</v>
      </c>
      <c r="F30" s="1">
        <v>-4.5866666666666669</v>
      </c>
      <c r="G30" s="1">
        <v>5.2320953949849018</v>
      </c>
      <c r="I30" s="6" t="s">
        <v>108</v>
      </c>
      <c r="J30" s="1">
        <v>25.06623020939038</v>
      </c>
      <c r="K30" s="1">
        <v>11.361387481074008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30"/>
  <sheetViews>
    <sheetView workbookViewId="0">
      <selection activeCell="G13" sqref="G13"/>
    </sheetView>
  </sheetViews>
  <sheetFormatPr defaultRowHeight="15" x14ac:dyDescent="0.25"/>
  <cols>
    <col min="1" max="1" width="35.7109375" bestFit="1" customWidth="1"/>
    <col min="2" max="2" width="14.85546875" bestFit="1" customWidth="1"/>
    <col min="3" max="3" width="15.42578125" bestFit="1" customWidth="1"/>
    <col min="5" max="5" width="35.7109375" bestFit="1" customWidth="1"/>
    <col min="6" max="6" width="14" bestFit="1" customWidth="1"/>
    <col min="7" max="7" width="14.5703125" bestFit="1" customWidth="1"/>
    <col min="9" max="9" width="35.710937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60</v>
      </c>
      <c r="B1" s="24"/>
      <c r="C1" s="24"/>
      <c r="E1" s="24" t="s">
        <v>79</v>
      </c>
      <c r="F1" s="24"/>
      <c r="G1" s="24"/>
      <c r="I1" s="24" t="s">
        <v>62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106</v>
      </c>
      <c r="B5" s="1">
        <v>34.620865415174869</v>
      </c>
      <c r="C5" s="1">
        <v>16.370391370565649</v>
      </c>
      <c r="E5" s="6" t="s">
        <v>106</v>
      </c>
      <c r="F5" s="1">
        <v>5.2920961762870675</v>
      </c>
      <c r="G5" s="1">
        <v>3.052050332051941</v>
      </c>
      <c r="I5" s="6" t="s">
        <v>106</v>
      </c>
      <c r="J5" s="1">
        <v>19.447142857142861</v>
      </c>
      <c r="K5" s="1">
        <v>13.593239616269038</v>
      </c>
    </row>
    <row r="6" spans="1:11" x14ac:dyDescent="0.25">
      <c r="A6" s="6" t="s">
        <v>105</v>
      </c>
      <c r="B6" s="1">
        <v>17.126192246442827</v>
      </c>
      <c r="C6" s="1">
        <v>22.390110823272778</v>
      </c>
      <c r="E6" s="6" t="s">
        <v>105</v>
      </c>
      <c r="F6" s="1">
        <v>3.9823539235459848</v>
      </c>
      <c r="G6" s="1">
        <v>4.5868700886381184</v>
      </c>
      <c r="I6" s="6" t="s">
        <v>105</v>
      </c>
      <c r="J6" s="1">
        <v>11.46</v>
      </c>
      <c r="K6" s="1">
        <v>2.2214334711322428</v>
      </c>
    </row>
    <row r="7" spans="1:11" x14ac:dyDescent="0.25">
      <c r="A7" s="6" t="s">
        <v>107</v>
      </c>
      <c r="B7" s="1">
        <v>15.183519375050698</v>
      </c>
      <c r="C7" s="1">
        <v>10.177019935176597</v>
      </c>
      <c r="E7" s="6" t="s">
        <v>107</v>
      </c>
      <c r="F7" s="1">
        <v>1.7533826009532987</v>
      </c>
      <c r="G7" s="1">
        <v>0.90300568616659715</v>
      </c>
      <c r="I7" s="6" t="s">
        <v>107</v>
      </c>
      <c r="J7" s="1">
        <v>9.7515789473684222</v>
      </c>
      <c r="K7" s="1">
        <v>7.1070048937338406</v>
      </c>
    </row>
    <row r="8" spans="1:11" x14ac:dyDescent="0.25">
      <c r="A8" s="6" t="s">
        <v>109</v>
      </c>
      <c r="B8" s="1">
        <v>21.118289268466842</v>
      </c>
      <c r="C8" s="1">
        <v>20.46315271485707</v>
      </c>
      <c r="E8" s="6" t="s">
        <v>109</v>
      </c>
      <c r="F8" s="1">
        <v>5.4847713325335512</v>
      </c>
      <c r="G8" s="1">
        <v>5.7478214296444881</v>
      </c>
      <c r="I8" s="6" t="s">
        <v>109</v>
      </c>
      <c r="J8" s="1">
        <v>17.88</v>
      </c>
      <c r="K8" s="1">
        <v>13.703729419395291</v>
      </c>
    </row>
    <row r="9" spans="1:11" x14ac:dyDescent="0.25">
      <c r="A9" s="6" t="s">
        <v>110</v>
      </c>
      <c r="B9" s="1">
        <v>35.593779679908863</v>
      </c>
      <c r="C9" s="1">
        <v>18.110859696590122</v>
      </c>
      <c r="E9" s="6" t="s">
        <v>110</v>
      </c>
      <c r="F9" s="1">
        <v>5.1425591838561457</v>
      </c>
      <c r="G9" s="1">
        <v>2.9955155558703268</v>
      </c>
      <c r="I9" s="6" t="s">
        <v>110</v>
      </c>
      <c r="J9" s="1">
        <v>-20.9</v>
      </c>
      <c r="K9" s="1">
        <v>53.837425179887646</v>
      </c>
    </row>
    <row r="10" spans="1:11" x14ac:dyDescent="0.25">
      <c r="A10" s="6" t="s">
        <v>108</v>
      </c>
      <c r="B10" s="1">
        <v>18.333333333333336</v>
      </c>
      <c r="C10" s="1">
        <v>0</v>
      </c>
      <c r="E10" s="6" t="s">
        <v>108</v>
      </c>
      <c r="F10" s="1">
        <v>1.2087912087912089</v>
      </c>
      <c r="G10" s="1">
        <v>0</v>
      </c>
      <c r="I10" s="6" t="s">
        <v>108</v>
      </c>
      <c r="J10" s="1">
        <v>4.1399999999999997</v>
      </c>
      <c r="K10" s="1">
        <v>0</v>
      </c>
    </row>
    <row r="21" spans="1:11" x14ac:dyDescent="0.25">
      <c r="A21" s="24" t="s">
        <v>64</v>
      </c>
      <c r="B21" s="24"/>
      <c r="C21" s="24"/>
      <c r="E21" s="24" t="s">
        <v>66</v>
      </c>
      <c r="F21" s="24"/>
      <c r="G21" s="24"/>
      <c r="I21" s="24" t="s">
        <v>59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106</v>
      </c>
      <c r="B25" s="1">
        <v>9.8457142857142852</v>
      </c>
      <c r="C25" s="1">
        <v>6.0188913481823594</v>
      </c>
      <c r="E25" s="6" t="s">
        <v>106</v>
      </c>
      <c r="F25" s="1">
        <v>2.3971428571428572</v>
      </c>
      <c r="G25" s="1">
        <v>1.0480010126182988</v>
      </c>
      <c r="I25" s="6" t="s">
        <v>106</v>
      </c>
      <c r="J25" s="1">
        <v>29.476751163101387</v>
      </c>
      <c r="K25" s="1">
        <v>7.51023327031786</v>
      </c>
    </row>
    <row r="26" spans="1:11" x14ac:dyDescent="0.25">
      <c r="A26" s="6" t="s">
        <v>105</v>
      </c>
      <c r="B26" s="1">
        <v>3.7442857142857142</v>
      </c>
      <c r="C26" s="1">
        <v>2.6515001529746307</v>
      </c>
      <c r="E26" s="6" t="s">
        <v>105</v>
      </c>
      <c r="F26" s="1">
        <v>2.7057142857142855</v>
      </c>
      <c r="G26" s="1">
        <v>1.4504566487130595</v>
      </c>
      <c r="I26" s="6" t="s">
        <v>105</v>
      </c>
      <c r="J26" s="1">
        <v>13.497984936895572</v>
      </c>
      <c r="K26" s="1">
        <v>20.545137123789015</v>
      </c>
    </row>
    <row r="27" spans="1:11" x14ac:dyDescent="0.25">
      <c r="A27" s="6" t="s">
        <v>107</v>
      </c>
      <c r="B27" s="1">
        <v>5.2715789473684209</v>
      </c>
      <c r="C27" s="1">
        <v>2.6453101761377313</v>
      </c>
      <c r="E27" s="6" t="s">
        <v>107</v>
      </c>
      <c r="F27" s="1">
        <v>2.1473684210526316</v>
      </c>
      <c r="G27" s="1">
        <v>0.94137548918290259</v>
      </c>
      <c r="I27" s="6" t="s">
        <v>107</v>
      </c>
      <c r="J27" s="1">
        <v>19.52809958729431</v>
      </c>
      <c r="K27" s="1">
        <v>10.864738057337016</v>
      </c>
    </row>
    <row r="28" spans="1:11" x14ac:dyDescent="0.25">
      <c r="A28" s="6" t="s">
        <v>109</v>
      </c>
      <c r="B28" s="1">
        <v>7.4233333333333329</v>
      </c>
      <c r="C28" s="1">
        <v>4.5301974448018134</v>
      </c>
      <c r="E28" s="6" t="s">
        <v>109</v>
      </c>
      <c r="F28" s="1">
        <v>2.1966666666666668</v>
      </c>
      <c r="G28" s="1">
        <v>0.21684607956387492</v>
      </c>
      <c r="I28" s="6" t="s">
        <v>109</v>
      </c>
      <c r="J28" s="1">
        <v>25.048347249585635</v>
      </c>
      <c r="K28" s="1">
        <v>9.7670901824869496</v>
      </c>
    </row>
    <row r="29" spans="1:11" x14ac:dyDescent="0.25">
      <c r="A29" s="6" t="s">
        <v>110</v>
      </c>
      <c r="B29" s="1">
        <v>13.9575</v>
      </c>
      <c r="C29" s="1">
        <v>10.81080333509032</v>
      </c>
      <c r="E29" s="6" t="s">
        <v>110</v>
      </c>
      <c r="F29" s="1">
        <v>2.25</v>
      </c>
      <c r="G29" s="1">
        <v>0.73243884841443674</v>
      </c>
      <c r="I29" s="6" t="s">
        <v>110</v>
      </c>
      <c r="J29" s="1">
        <v>26.230122980839916</v>
      </c>
      <c r="K29" s="1">
        <v>25.256819334185611</v>
      </c>
    </row>
    <row r="30" spans="1:11" x14ac:dyDescent="0.25">
      <c r="A30" s="6" t="s">
        <v>108</v>
      </c>
      <c r="B30" s="1">
        <v>0.08</v>
      </c>
      <c r="C30" s="1">
        <v>0</v>
      </c>
      <c r="E30" s="6" t="s">
        <v>108</v>
      </c>
      <c r="F30" s="1">
        <v>1.05</v>
      </c>
      <c r="G30" s="1">
        <v>0</v>
      </c>
      <c r="I30" s="6" t="s">
        <v>108</v>
      </c>
      <c r="J30" s="1">
        <v>31.428571428571427</v>
      </c>
      <c r="K30" s="1">
        <v>0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30"/>
  <sheetViews>
    <sheetView workbookViewId="0">
      <selection activeCell="F12" sqref="F12"/>
    </sheetView>
  </sheetViews>
  <sheetFormatPr defaultRowHeight="15" x14ac:dyDescent="0.25"/>
  <cols>
    <col min="1" max="1" width="35.7109375" bestFit="1" customWidth="1"/>
    <col min="2" max="2" width="16.28515625" bestFit="1" customWidth="1"/>
    <col min="3" max="3" width="16.85546875" bestFit="1" customWidth="1"/>
    <col min="5" max="5" width="35.7109375" bestFit="1" customWidth="1"/>
    <col min="6" max="6" width="14" bestFit="1" customWidth="1"/>
    <col min="7" max="7" width="14.5703125" bestFit="1" customWidth="1"/>
    <col min="9" max="9" width="35.710937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4" t="s">
        <v>61</v>
      </c>
      <c r="B1" s="24"/>
      <c r="C1" s="24"/>
      <c r="E1" s="24" t="s">
        <v>81</v>
      </c>
      <c r="F1" s="24"/>
      <c r="G1" s="24"/>
      <c r="I1" s="24" t="s">
        <v>63</v>
      </c>
      <c r="J1" s="24"/>
      <c r="K1" s="24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106</v>
      </c>
      <c r="B5" s="1">
        <v>9.8362725679439151</v>
      </c>
      <c r="C5" s="1">
        <v>0.77671006817667132</v>
      </c>
      <c r="E5" s="6" t="s">
        <v>106</v>
      </c>
      <c r="F5" s="1">
        <v>1.6815904020929497</v>
      </c>
      <c r="G5" s="1">
        <v>0.66607617455692181</v>
      </c>
      <c r="I5" s="6" t="s">
        <v>106</v>
      </c>
      <c r="J5" s="1">
        <v>9.9333333333333336</v>
      </c>
      <c r="K5" s="1">
        <v>6.1188306798675907</v>
      </c>
    </row>
    <row r="6" spans="1:11" x14ac:dyDescent="0.25">
      <c r="A6" s="6" t="s">
        <v>105</v>
      </c>
      <c r="B6" s="1">
        <v>15.862033352926039</v>
      </c>
      <c r="C6" s="1">
        <v>19.708479903029396</v>
      </c>
      <c r="E6" s="6" t="s">
        <v>105</v>
      </c>
      <c r="F6" s="1">
        <v>2.6909035641226295</v>
      </c>
      <c r="G6" s="1">
        <v>2.407951693461583</v>
      </c>
      <c r="I6" s="6" t="s">
        <v>105</v>
      </c>
      <c r="J6" s="1">
        <v>13.675000000000001</v>
      </c>
      <c r="K6" s="1">
        <v>12.804744237976799</v>
      </c>
    </row>
    <row r="7" spans="1:11" x14ac:dyDescent="0.25">
      <c r="A7" s="6" t="s">
        <v>107</v>
      </c>
      <c r="B7" s="1">
        <v>5.3176540214821291</v>
      </c>
      <c r="C7" s="1">
        <v>16.15784864747971</v>
      </c>
      <c r="E7" s="6" t="s">
        <v>107</v>
      </c>
      <c r="F7" s="1">
        <v>2.0587208754240409</v>
      </c>
      <c r="G7" s="1">
        <v>1.4242146052105513</v>
      </c>
      <c r="I7" s="6" t="s">
        <v>107</v>
      </c>
      <c r="J7" s="1">
        <v>9.8275000000000006</v>
      </c>
      <c r="K7" s="1">
        <v>6.5161536775923272</v>
      </c>
    </row>
    <row r="8" spans="1:11" x14ac:dyDescent="0.25">
      <c r="A8" s="6" t="s">
        <v>109</v>
      </c>
      <c r="B8" s="1">
        <v>16.601791152312757</v>
      </c>
      <c r="C8" s="1">
        <v>5.3186879966964202</v>
      </c>
      <c r="E8" s="6" t="s">
        <v>109</v>
      </c>
      <c r="F8" s="1">
        <v>5.4989896391541864</v>
      </c>
      <c r="G8" s="1">
        <v>4.8002220158331541</v>
      </c>
      <c r="I8" s="6" t="s">
        <v>109</v>
      </c>
      <c r="J8" s="1">
        <v>19.13</v>
      </c>
      <c r="K8" s="1">
        <v>12.591682439875402</v>
      </c>
    </row>
    <row r="9" spans="1:11" x14ac:dyDescent="0.25">
      <c r="A9" s="6" t="s">
        <v>110</v>
      </c>
      <c r="B9" s="1">
        <v>8.6172837047798136</v>
      </c>
      <c r="C9" s="1">
        <v>20.267062457910917</v>
      </c>
      <c r="E9" s="6" t="s">
        <v>110</v>
      </c>
      <c r="F9" s="1">
        <v>1.2397730113436984</v>
      </c>
      <c r="G9" s="1">
        <v>1.2325992665035295</v>
      </c>
      <c r="I9" s="6" t="s">
        <v>110</v>
      </c>
      <c r="J9" s="1">
        <v>-3.4970000000000008</v>
      </c>
      <c r="K9" s="1">
        <v>11.695731742819685</v>
      </c>
    </row>
    <row r="10" spans="1:11" x14ac:dyDescent="0.25">
      <c r="A10" s="6" t="s">
        <v>108</v>
      </c>
      <c r="B10" s="1">
        <v>14.87839259796807</v>
      </c>
      <c r="C10" s="1">
        <v>10.527719231947236</v>
      </c>
      <c r="E10" s="6" t="s">
        <v>108</v>
      </c>
      <c r="F10" s="1">
        <v>0.88975158124710063</v>
      </c>
      <c r="G10" s="1">
        <v>0.35113976136488356</v>
      </c>
      <c r="I10" s="6" t="s">
        <v>108</v>
      </c>
      <c r="J10" s="1">
        <v>5.9066666666666672</v>
      </c>
      <c r="K10" s="1">
        <v>3.6785987670428097</v>
      </c>
    </row>
    <row r="21" spans="1:11" x14ac:dyDescent="0.25">
      <c r="A21" s="24" t="s">
        <v>65</v>
      </c>
      <c r="B21" s="24"/>
      <c r="C21" s="24"/>
      <c r="E21" s="24" t="s">
        <v>67</v>
      </c>
      <c r="F21" s="24"/>
      <c r="G21" s="24"/>
      <c r="I21" s="24" t="s">
        <v>68</v>
      </c>
      <c r="J21" s="24"/>
      <c r="K21" s="24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106</v>
      </c>
      <c r="B25" s="1">
        <v>6.8533333333333326</v>
      </c>
      <c r="C25" s="1">
        <v>0.20741798914805584</v>
      </c>
      <c r="E25" s="6" t="s">
        <v>106</v>
      </c>
      <c r="F25" s="1">
        <v>1.9533333333333334</v>
      </c>
      <c r="G25" s="1">
        <v>0.20741798914805204</v>
      </c>
      <c r="I25" s="6" t="s">
        <v>106</v>
      </c>
      <c r="J25" s="1">
        <v>29.443281249999998</v>
      </c>
      <c r="K25" s="1">
        <v>20.225510657680129</v>
      </c>
    </row>
    <row r="26" spans="1:11" x14ac:dyDescent="0.25">
      <c r="A26" s="6" t="s">
        <v>105</v>
      </c>
      <c r="B26" s="1">
        <v>3.3457142857142861</v>
      </c>
      <c r="C26" s="1">
        <v>1.1360062517792895</v>
      </c>
      <c r="E26" s="6" t="s">
        <v>105</v>
      </c>
      <c r="F26" s="1">
        <v>2.42</v>
      </c>
      <c r="G26" s="1">
        <v>0.70269323162940711</v>
      </c>
      <c r="I26" s="6" t="s">
        <v>105</v>
      </c>
      <c r="J26" s="1">
        <v>10.285995277709523</v>
      </c>
      <c r="K26" s="1">
        <v>11.59080335139778</v>
      </c>
    </row>
    <row r="27" spans="1:11" x14ac:dyDescent="0.25">
      <c r="A27" s="6" t="s">
        <v>107</v>
      </c>
      <c r="B27" s="1">
        <v>4.7766666666666664</v>
      </c>
      <c r="C27" s="1">
        <v>2.8160734793804365</v>
      </c>
      <c r="E27" s="6" t="s">
        <v>107</v>
      </c>
      <c r="F27" s="1">
        <v>2.7338095238095237</v>
      </c>
      <c r="G27" s="1">
        <v>1.4816929705431277</v>
      </c>
      <c r="I27" s="6" t="s">
        <v>107</v>
      </c>
      <c r="J27" s="1">
        <v>19.035601817228684</v>
      </c>
      <c r="K27" s="1">
        <v>12.876102003212059</v>
      </c>
    </row>
    <row r="28" spans="1:11" x14ac:dyDescent="0.25">
      <c r="A28" s="6" t="s">
        <v>109</v>
      </c>
      <c r="B28" s="1">
        <v>7.0999999999999988</v>
      </c>
      <c r="C28" s="1">
        <v>3.7711890255815437</v>
      </c>
      <c r="E28" s="6" t="s">
        <v>109</v>
      </c>
      <c r="F28" s="1">
        <v>11.613333333333335</v>
      </c>
      <c r="G28" s="1">
        <v>14.034570016767722</v>
      </c>
      <c r="I28" s="6" t="s">
        <v>109</v>
      </c>
      <c r="J28" s="1">
        <v>25.416394029812562</v>
      </c>
      <c r="K28" s="1">
        <v>4.7427261570499386</v>
      </c>
    </row>
    <row r="29" spans="1:11" x14ac:dyDescent="0.25">
      <c r="A29" s="6" t="s">
        <v>110</v>
      </c>
      <c r="B29" s="1">
        <v>2.8029999999999999</v>
      </c>
      <c r="C29" s="1">
        <v>4.5226453542147214</v>
      </c>
      <c r="E29" s="6" t="s">
        <v>110</v>
      </c>
      <c r="F29" s="1">
        <v>1.7733333333333334</v>
      </c>
      <c r="G29" s="1">
        <v>0.42418549401568773</v>
      </c>
      <c r="I29" s="6" t="s">
        <v>110</v>
      </c>
      <c r="J29" s="1">
        <v>4.5969524627256781</v>
      </c>
      <c r="K29" s="1">
        <v>12.856315898796794</v>
      </c>
    </row>
    <row r="30" spans="1:11" x14ac:dyDescent="0.25">
      <c r="A30" s="6" t="s">
        <v>108</v>
      </c>
      <c r="B30" s="1">
        <v>5.45</v>
      </c>
      <c r="C30" s="1">
        <v>3.215804720439349</v>
      </c>
      <c r="E30" s="6" t="s">
        <v>108</v>
      </c>
      <c r="F30" s="1">
        <v>2.02</v>
      </c>
      <c r="G30" s="1">
        <v>0.5303300858899106</v>
      </c>
      <c r="I30" s="6" t="s">
        <v>108</v>
      </c>
      <c r="J30" s="1">
        <v>46.82110143938101</v>
      </c>
      <c r="K30" s="1">
        <v>51.967299540050512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14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M23" sqref="M23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8.570312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Large Cap"</f>
        <v>Consumer Staples - Large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x14ac:dyDescent="0.25">
      <c r="C2" s="34" t="s">
        <v>104</v>
      </c>
      <c r="D2" s="35"/>
      <c r="E2" s="35"/>
      <c r="F2" s="35"/>
      <c r="G2" s="35"/>
      <c r="H2" s="36"/>
      <c r="I2" s="42" t="s">
        <v>69</v>
      </c>
      <c r="J2" s="43"/>
      <c r="K2" s="43"/>
      <c r="L2" s="43"/>
      <c r="M2" s="44"/>
      <c r="N2" s="45" t="s">
        <v>86</v>
      </c>
      <c r="O2" s="46"/>
      <c r="P2" s="46"/>
      <c r="Q2" s="46"/>
      <c r="R2" s="46"/>
      <c r="S2" s="47"/>
      <c r="T2" s="40" t="str">
        <f>"Max Score:"&amp;IFERROR(CHAR(10)&amp;MAX($T$9:$T$1048576)&amp;"/5", CHAR(10)&amp;"0/5")</f>
        <v>Max Score:
5/5</v>
      </c>
    </row>
    <row r="3" spans="1:20" s="10" customFormat="1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242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6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4">_xlfn._xlws.FILTER(_xlfn._xlws.FILTER(Main_L[], Main_L[Preliminary Criteria]="YES"), COUNTIF($A$8:$S$8,Main_L[#Headers]))</f>
        <v>Beverages</v>
      </c>
      <c r="B9" t="str">
        <v>ABEV</v>
      </c>
      <c r="C9" s="9">
        <v>38139</v>
      </c>
      <c r="D9" s="1">
        <v>2.48</v>
      </c>
      <c r="E9" s="1">
        <v>0.25</v>
      </c>
      <c r="F9" s="1">
        <v>1.06</v>
      </c>
      <c r="G9" s="1">
        <v>0.16</v>
      </c>
      <c r="H9" s="1">
        <v>9.92</v>
      </c>
      <c r="I9" s="1">
        <v>2.3396226415094339</v>
      </c>
      <c r="J9" s="1">
        <v>16.239999999999998</v>
      </c>
      <c r="K9" s="1">
        <v>10</v>
      </c>
      <c r="L9" s="1">
        <v>1.56</v>
      </c>
      <c r="M9" s="1">
        <v>15.5</v>
      </c>
      <c r="N9" s="1">
        <v>-0.83185176020840434</v>
      </c>
      <c r="O9" s="1">
        <v>-0.53419420464179967</v>
      </c>
      <c r="P9" s="1">
        <v>0.5520725064511478</v>
      </c>
      <c r="Q9" s="1">
        <v>1.1080070503468069</v>
      </c>
      <c r="R9" s="1">
        <v>-1.1412247996795299</v>
      </c>
      <c r="S9" s="1">
        <v>-0.65393910864277671</v>
      </c>
      <c r="T9">
        <f t="shared" ref="T9:T14" si="0">SUM(IF($I9&lt;(0.7*VLOOKUP($A9, Mean_PB_L, 2, FALSE)),1,0), IF($J9&gt;VLOOKUP($A9, Mean_ROE_L, 2, FALSE),1,0), IF($K9&gt;VLOOKUP($A9, Mean_ROA_L, 2,FALSE),1,0), IF($M9&lt;VLOOKUP($A9, Mean_PE_L, 2, FALSE),1,0), IF(AND($M9&gt;1,$M9&lt;25),1,0))</f>
        <v>5</v>
      </c>
    </row>
    <row r="10" spans="1:20" x14ac:dyDescent="0.25">
      <c r="A10" t="str">
        <v>Consumer Staples Distribution &amp; Retail</v>
      </c>
      <c r="B10" t="str">
        <v>ANCTF</v>
      </c>
      <c r="C10" s="2">
        <v>49195</v>
      </c>
      <c r="D10" s="1">
        <v>52.44</v>
      </c>
      <c r="E10" s="1">
        <v>2.65</v>
      </c>
      <c r="F10" s="1">
        <v>14.98</v>
      </c>
      <c r="G10" s="1">
        <v>2.72</v>
      </c>
      <c r="H10" s="1">
        <v>19.788679245283017</v>
      </c>
      <c r="I10" s="1">
        <v>3.5006675567423229</v>
      </c>
      <c r="J10" s="1">
        <v>18.82</v>
      </c>
      <c r="K10" s="1">
        <v>6.47</v>
      </c>
      <c r="L10" s="1">
        <v>2.57</v>
      </c>
      <c r="M10" s="1">
        <v>19.27941176470588</v>
      </c>
      <c r="N10" s="1">
        <v>-0.17574354814823653</v>
      </c>
      <c r="O10" s="1">
        <v>-0.68808101952263279</v>
      </c>
      <c r="P10" s="1">
        <v>-0.35491614037922614</v>
      </c>
      <c r="Q10" s="1">
        <v>0.18411220819253379</v>
      </c>
      <c r="R10" s="1">
        <v>-0.57446401909003508</v>
      </c>
      <c r="S10" s="1">
        <v>-0.75605866764211849</v>
      </c>
      <c r="T10">
        <f t="shared" si="0"/>
        <v>4</v>
      </c>
    </row>
    <row r="11" spans="1:20" x14ac:dyDescent="0.25">
      <c r="A11" t="str">
        <v>Consumer Staples Distribution &amp; Retail</v>
      </c>
      <c r="B11" t="str">
        <v>CART</v>
      </c>
      <c r="C11" s="2">
        <v>11908</v>
      </c>
      <c r="D11" s="1">
        <v>45.92</v>
      </c>
      <c r="E11" s="1">
        <v>3.1</v>
      </c>
      <c r="F11" s="1">
        <v>12.1</v>
      </c>
      <c r="G11" s="1">
        <v>1.52</v>
      </c>
      <c r="H11" s="1">
        <v>14.812903225806451</v>
      </c>
      <c r="I11" s="1">
        <v>3.79504132231405</v>
      </c>
      <c r="J11" s="1">
        <v>12.96</v>
      </c>
      <c r="K11" s="1">
        <v>6.81</v>
      </c>
      <c r="L11" s="1">
        <v>1.35</v>
      </c>
      <c r="M11" s="1">
        <v>30.210526315789476</v>
      </c>
      <c r="N11" s="1">
        <v>-0.6742206125798903</v>
      </c>
      <c r="O11" s="1">
        <v>-0.57257195625640123</v>
      </c>
      <c r="P11" s="1">
        <v>-1.1065032611822929</v>
      </c>
      <c r="Q11" s="1">
        <v>0.42487432659815499</v>
      </c>
      <c r="R11" s="1">
        <v>-1.5985313846277045</v>
      </c>
      <c r="S11" s="1">
        <v>0.48688861162006802</v>
      </c>
      <c r="T11">
        <f t="shared" si="0"/>
        <v>1</v>
      </c>
    </row>
    <row r="12" spans="1:20" x14ac:dyDescent="0.25">
      <c r="A12" t="str">
        <v>Consumer Staples Distribution &amp; Retail</v>
      </c>
      <c r="B12" t="str">
        <v>USFD</v>
      </c>
      <c r="C12" s="2">
        <v>18304</v>
      </c>
      <c r="D12" s="1">
        <v>76.91</v>
      </c>
      <c r="E12" s="1">
        <v>4.58</v>
      </c>
      <c r="F12" s="1">
        <v>19.96</v>
      </c>
      <c r="G12" s="1">
        <v>2.19</v>
      </c>
      <c r="H12" s="1">
        <v>16.792576419213972</v>
      </c>
      <c r="I12" s="1">
        <v>3.8532064128256511</v>
      </c>
      <c r="J12" s="1">
        <v>11.16</v>
      </c>
      <c r="K12" s="1">
        <v>5.44</v>
      </c>
      <c r="L12" s="1">
        <v>2.96</v>
      </c>
      <c r="M12" s="1">
        <v>35.118721461187214</v>
      </c>
      <c r="N12" s="1">
        <v>-0.47589543111651145</v>
      </c>
      <c r="O12" s="1">
        <v>-0.54974860748840926</v>
      </c>
      <c r="P12" s="1">
        <v>-1.337366199312928</v>
      </c>
      <c r="Q12" s="1">
        <v>-0.54525538580096555</v>
      </c>
      <c r="R12" s="1">
        <v>-0.24709822190996028</v>
      </c>
      <c r="S12" s="1">
        <v>1.0449861206664111</v>
      </c>
      <c r="T12">
        <f t="shared" si="0"/>
        <v>0</v>
      </c>
    </row>
    <row r="13" spans="1:20" x14ac:dyDescent="0.25">
      <c r="A13" t="str">
        <v>Food Products</v>
      </c>
      <c r="B13" t="str">
        <v>CHLSY</v>
      </c>
      <c r="C13" s="2">
        <v>37060</v>
      </c>
      <c r="D13" s="1">
        <v>16.3</v>
      </c>
      <c r="E13" s="1">
        <v>4152.92</v>
      </c>
      <c r="F13" s="1">
        <v>23180.73</v>
      </c>
      <c r="G13" s="1">
        <v>3193.44</v>
      </c>
      <c r="H13" s="1">
        <v>3.924949192375485E-3</v>
      </c>
      <c r="I13" s="1">
        <v>7.0317026254134362E-4</v>
      </c>
      <c r="J13" s="1">
        <v>14.78</v>
      </c>
      <c r="K13" s="1">
        <v>6.66</v>
      </c>
      <c r="L13" s="1">
        <v>1.89</v>
      </c>
      <c r="M13" s="1">
        <v>5.104213637957814E-3</v>
      </c>
      <c r="N13" s="1">
        <v>-1.2077986223818007</v>
      </c>
      <c r="O13" s="1">
        <v>-1.5403264537848529</v>
      </c>
      <c r="P13" s="1">
        <v>0.66615005553370155</v>
      </c>
      <c r="Q13" s="1">
        <v>0.32555406367151346</v>
      </c>
      <c r="R13" s="1">
        <v>-0.98777351613934328</v>
      </c>
      <c r="S13" s="1">
        <v>-2.167182913265512</v>
      </c>
      <c r="T13">
        <f t="shared" si="0"/>
        <v>4</v>
      </c>
    </row>
    <row r="14" spans="1:20" x14ac:dyDescent="0.25">
      <c r="A14" t="str">
        <v>Household Products</v>
      </c>
      <c r="B14" t="str">
        <v>KMB</v>
      </c>
      <c r="C14" s="2">
        <v>47702</v>
      </c>
      <c r="D14" s="1">
        <v>132.69</v>
      </c>
      <c r="E14" s="1">
        <v>7.15</v>
      </c>
      <c r="F14" s="1">
        <v>3.32</v>
      </c>
      <c r="G14" s="1">
        <v>7.34</v>
      </c>
      <c r="H14" s="1">
        <v>18.558041958041958</v>
      </c>
      <c r="I14" s="1">
        <v>39.966867469879517</v>
      </c>
      <c r="J14" s="1">
        <v>207.06</v>
      </c>
      <c r="K14" s="1">
        <v>11.54</v>
      </c>
      <c r="L14" s="1">
        <v>14.81</v>
      </c>
      <c r="M14" s="1">
        <v>18.077656675749317</v>
      </c>
      <c r="N14" s="1">
        <v>-1.2160907842728839</v>
      </c>
      <c r="O14" s="1">
        <v>-0.29250498723297191</v>
      </c>
      <c r="P14" s="1">
        <v>1.7495405401673707E-2</v>
      </c>
      <c r="Q14" s="1">
        <v>0.59693248550105316</v>
      </c>
      <c r="R14" s="1">
        <v>-8.1081193972445023E-2</v>
      </c>
      <c r="S14" s="1">
        <v>-4.9556498646708222</v>
      </c>
      <c r="T14">
        <f t="shared" si="0"/>
        <v>5</v>
      </c>
    </row>
  </sheetData>
  <autoFilter ref="A8:T8" xr:uid="{97C29769-BCC2-47EA-9108-B1B7CE962C71}"/>
  <mergeCells count="15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  <mergeCell ref="L4:L6"/>
  </mergeCells>
  <phoneticPr fontId="6" type="noConversion"/>
  <conditionalFormatting sqref="I9:I1048576">
    <cfRule type="expression" dxfId="143" priority="1">
      <formula>$I9 &lt; (0.7*VLOOKUP($A9, Mean_PB_L, 2, FALSE))</formula>
    </cfRule>
  </conditionalFormatting>
  <conditionalFormatting sqref="J9:J1048576">
    <cfRule type="expression" dxfId="142" priority="3">
      <formula>$J9 &gt; VLOOKUP($A9, Mean_ROE_L, 2, FALSE)</formula>
    </cfRule>
  </conditionalFormatting>
  <conditionalFormatting sqref="K9:K1048576">
    <cfRule type="expression" dxfId="141" priority="4">
      <formula>$K9 &gt; VLOOKUP($A9, Mean_ROA_L, 2, FALSE)</formula>
    </cfRule>
  </conditionalFormatting>
  <conditionalFormatting sqref="M9:M1048576">
    <cfRule type="expression" dxfId="140" priority="5">
      <formula>AND($M9&gt;1, $M9&lt;25, $M9 &lt; VLOOKUP($A9, Mean_PE_L, 2, FALSE))</formula>
    </cfRule>
    <cfRule type="expression" dxfId="139" priority="6">
      <formula>AND($M9&gt;1, $M9&lt;25)</formula>
    </cfRule>
    <cfRule type="expression" dxfId="138" priority="9">
      <formula xml:space="preserve"> $M9 &lt; VLOOKUP($A9, Mean_PE_L, 2, FALSE)</formula>
    </cfRule>
  </conditionalFormatting>
  <conditionalFormatting sqref="N9:N1048576">
    <cfRule type="expression" dxfId="137" priority="10">
      <formula>$N9&lt;0</formula>
    </cfRule>
  </conditionalFormatting>
  <conditionalFormatting sqref="O9:O1048576">
    <cfRule type="expression" dxfId="136" priority="11">
      <formula>$O9&lt;0</formula>
    </cfRule>
  </conditionalFormatting>
  <conditionalFormatting sqref="P9:P1048576">
    <cfRule type="expression" dxfId="135" priority="12">
      <formula>$P9&gt;0</formula>
    </cfRule>
  </conditionalFormatting>
  <conditionalFormatting sqref="Q9:Q1048576">
    <cfRule type="expression" dxfId="134" priority="14">
      <formula>$Q9&gt;0</formula>
    </cfRule>
  </conditionalFormatting>
  <conditionalFormatting sqref="R9:R1048576">
    <cfRule type="expression" dxfId="133" priority="15">
      <formula>$R9&lt;0</formula>
    </cfRule>
  </conditionalFormatting>
  <conditionalFormatting sqref="S9:S1048576">
    <cfRule type="expression" dxfId="132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M15" sqref="M15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Mid Cap"</f>
        <v>Consumer Staples - Mid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7" t="s">
        <v>88</v>
      </c>
      <c r="D2" s="58"/>
      <c r="E2" s="58"/>
      <c r="F2" s="58"/>
      <c r="G2" s="58"/>
      <c r="H2" s="59"/>
      <c r="I2" s="60" t="s">
        <v>69</v>
      </c>
      <c r="J2" s="61"/>
      <c r="K2" s="61"/>
      <c r="L2" s="61"/>
      <c r="M2" s="62"/>
      <c r="N2" s="64" t="s">
        <v>86</v>
      </c>
      <c r="O2" s="65"/>
      <c r="P2" s="65"/>
      <c r="Q2" s="65"/>
      <c r="R2" s="65"/>
      <c r="S2" s="66"/>
      <c r="T2" s="63" t="str">
        <f>"Max Score:"&amp;IFERROR(CHAR(10)&amp;MAX($T$9:$T$1048576)&amp;"/5", CHAR(10)&amp;"0/5")</f>
        <v>Max Score:
3/5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242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1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9">_xlfn._xlws.FILTER(_xlfn._xlws.FILTER(Main_M[], Main_M[Preliminary Criteria]="YES"), COUNTIF($A$8:$S$8,Main_M[#Headers]))</f>
        <v>Food Products</v>
      </c>
      <c r="B9" t="str">
        <v>SFD</v>
      </c>
      <c r="C9" s="2">
        <v>9191</v>
      </c>
      <c r="D9" s="1">
        <v>23.074999999999999</v>
      </c>
      <c r="E9" s="1">
        <v>2.0499999999999998</v>
      </c>
      <c r="F9" s="1">
        <v>15.84</v>
      </c>
      <c r="G9" s="1">
        <v>2.33</v>
      </c>
      <c r="H9" s="1">
        <v>11.25609756097561</v>
      </c>
      <c r="I9" s="1">
        <v>1.4567550505050504</v>
      </c>
      <c r="J9" s="1">
        <v>11.78</v>
      </c>
      <c r="K9" s="1">
        <v>5.24</v>
      </c>
      <c r="L9" s="1">
        <v>1.79</v>
      </c>
      <c r="M9" s="1">
        <v>9.9034334763948486</v>
      </c>
      <c r="N9" s="1">
        <v>-0.38591079108532161</v>
      </c>
      <c r="O9" s="1">
        <v>-0.328489128022526</v>
      </c>
      <c r="P9" s="1">
        <v>0.28541151764507877</v>
      </c>
      <c r="Q9" s="1">
        <v>-1.1937710614536459E-2</v>
      </c>
      <c r="R9" s="1">
        <v>-0.3796236731878595</v>
      </c>
      <c r="S9" s="1">
        <v>-0.88586269269509654</v>
      </c>
      <c r="T9">
        <f t="shared" ref="T9:T10" si="0">SUM(IF($I9 &lt; (0.7*VLOOKUP($A9, Mean_PB_M, 2, FALSE)),1,0), IF($J9&gt;VLOOKUP($A9, Mean_ROE_M, 2, FALSE),1,0), IF($K9&gt;VLOOKUP($A9, Mean_ROA_M, 2,FALSE),1,0), IF($M9&lt;VLOOKUP($A9, Mean_PE_M, 2, FALSE),1,0), IF(AND($M9&gt;1,$M9&lt;25),1,0))</f>
        <v>3</v>
      </c>
    </row>
  </sheetData>
  <autoFilter ref="A8:T8" xr:uid="{0BF3C1E5-2754-4118-8E3A-5ED7654E3417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131" priority="1">
      <formula>$I9 &lt; (0.7*VLOOKUP($A9, Mean_PB_M, 2, FALSE))</formula>
    </cfRule>
  </conditionalFormatting>
  <conditionalFormatting sqref="J9:J1048576">
    <cfRule type="expression" dxfId="130" priority="3">
      <formula>$J9 &gt; VLOOKUP($A9, Mean_ROE_M, 2, FALSE)</formula>
    </cfRule>
  </conditionalFormatting>
  <conditionalFormatting sqref="K9:K1048576">
    <cfRule type="expression" dxfId="129" priority="4">
      <formula>$K9 &gt; VLOOKUP($A9, Mean_ROA_M, 2, FALSE)</formula>
    </cfRule>
  </conditionalFormatting>
  <conditionalFormatting sqref="M9:M1048576">
    <cfRule type="expression" dxfId="128" priority="5">
      <formula>AND($M9&gt;1, $M9&lt;25, $M9 &lt; VLOOKUP($A9, Mean_PE_M, 2, FALSE))</formula>
    </cfRule>
    <cfRule type="expression" dxfId="127" priority="6">
      <formula>AND($M9&gt;1, $M9&lt;25)</formula>
    </cfRule>
    <cfRule type="expression" dxfId="126" priority="7">
      <formula xml:space="preserve"> $M9 &lt; VLOOKUP($A9, Mean_PE_M, 2, FALSE)</formula>
    </cfRule>
  </conditionalFormatting>
  <conditionalFormatting sqref="N9:N1048576">
    <cfRule type="expression" dxfId="125" priority="8">
      <formula>$N9&lt;0</formula>
    </cfRule>
  </conditionalFormatting>
  <conditionalFormatting sqref="O9:O1048576">
    <cfRule type="expression" dxfId="124" priority="9">
      <formula>$O9&lt;0</formula>
    </cfRule>
  </conditionalFormatting>
  <conditionalFormatting sqref="P9:P1048576">
    <cfRule type="expression" dxfId="123" priority="10">
      <formula>$P9&gt;0</formula>
    </cfRule>
  </conditionalFormatting>
  <conditionalFormatting sqref="Q9:Q1048576">
    <cfRule type="expression" dxfId="122" priority="11">
      <formula>$Q9&gt;0</formula>
    </cfRule>
  </conditionalFormatting>
  <conditionalFormatting sqref="R9:R1048576">
    <cfRule type="expression" dxfId="121" priority="12">
      <formula>$R9&lt;0</formula>
    </cfRule>
  </conditionalFormatting>
  <conditionalFormatting sqref="S9:S1048576">
    <cfRule type="expression" dxfId="120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M23" sqref="M23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2"/>
      <c r="B1" s="22"/>
      <c r="C1" s="25" t="str" cm="1">
        <f t="array" aca="1" ref="C1" ca="1">MID(CELL("filename", A1), FIND("[", CELL("filename", A1)) + 1, FIND(".x", CELL("filename", A1)) - FIND("[", CELL("filename", A1)) - 1) &amp; " - Small Cap"</f>
        <v>Consumer Staples - Small Cap</v>
      </c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</row>
    <row r="2" spans="1:20" ht="15" customHeight="1" x14ac:dyDescent="0.25">
      <c r="C2" s="57" t="s">
        <v>89</v>
      </c>
      <c r="D2" s="58"/>
      <c r="E2" s="58"/>
      <c r="F2" s="58"/>
      <c r="G2" s="58"/>
      <c r="H2" s="59"/>
      <c r="I2" s="60" t="s">
        <v>69</v>
      </c>
      <c r="J2" s="61"/>
      <c r="K2" s="61"/>
      <c r="L2" s="61"/>
      <c r="M2" s="62"/>
      <c r="N2" s="64" t="s">
        <v>86</v>
      </c>
      <c r="O2" s="65"/>
      <c r="P2" s="65"/>
      <c r="Q2" s="65"/>
      <c r="R2" s="65"/>
      <c r="S2" s="66"/>
      <c r="T2" s="63" t="str">
        <f>"Max Score:"&amp;IFERROR(CHAR(10)&amp;MAX($T$9:$T$1048576)&amp;"/5", CHAR(10)&amp;"0/5")</f>
        <v>Max Score:
0/5</v>
      </c>
    </row>
    <row r="3" spans="1:20" ht="15" customHeight="1" x14ac:dyDescent="0.25">
      <c r="C3" s="34"/>
      <c r="D3" s="35"/>
      <c r="E3" s="35"/>
      <c r="F3" s="35"/>
      <c r="G3" s="35"/>
      <c r="H3" s="36"/>
      <c r="I3" s="14" t="s">
        <v>71</v>
      </c>
      <c r="J3" s="13" t="s">
        <v>30</v>
      </c>
      <c r="K3" s="13" t="s">
        <v>83</v>
      </c>
      <c r="L3" s="20" t="s">
        <v>33</v>
      </c>
      <c r="M3" s="15" t="s">
        <v>32</v>
      </c>
      <c r="N3" s="19" t="s">
        <v>96</v>
      </c>
      <c r="O3" s="20" t="s">
        <v>97</v>
      </c>
      <c r="P3" s="20" t="s">
        <v>98</v>
      </c>
      <c r="Q3" s="20" t="s">
        <v>99</v>
      </c>
      <c r="R3" s="20" t="s">
        <v>100</v>
      </c>
      <c r="S3" s="21" t="s">
        <v>101</v>
      </c>
      <c r="T3" s="40"/>
    </row>
    <row r="4" spans="1:20" s="10" customFormat="1" ht="15" customHeight="1" x14ac:dyDescent="0.25">
      <c r="C4" s="34"/>
      <c r="D4" s="35"/>
      <c r="E4" s="35"/>
      <c r="F4" s="35"/>
      <c r="G4" s="35"/>
      <c r="H4" s="36"/>
      <c r="I4" s="50" t="s">
        <v>82</v>
      </c>
      <c r="J4" s="48" t="s">
        <v>87</v>
      </c>
      <c r="K4" s="48" t="s">
        <v>87</v>
      </c>
      <c r="L4" s="55" t="s">
        <v>242</v>
      </c>
      <c r="M4" s="16" t="s">
        <v>84</v>
      </c>
      <c r="N4" s="52" t="s">
        <v>102</v>
      </c>
      <c r="O4" s="28" t="s">
        <v>102</v>
      </c>
      <c r="P4" s="28" t="s">
        <v>103</v>
      </c>
      <c r="Q4" s="28" t="s">
        <v>103</v>
      </c>
      <c r="R4" s="28" t="s">
        <v>102</v>
      </c>
      <c r="S4" s="31" t="s">
        <v>102</v>
      </c>
      <c r="T4" s="40"/>
    </row>
    <row r="5" spans="1:20" s="10" customFormat="1" x14ac:dyDescent="0.25">
      <c r="A5" s="23"/>
      <c r="C5" s="34"/>
      <c r="D5" s="35"/>
      <c r="E5" s="35"/>
      <c r="F5" s="35"/>
      <c r="G5" s="35"/>
      <c r="H5" s="36"/>
      <c r="I5" s="50"/>
      <c r="J5" s="48"/>
      <c r="K5" s="48"/>
      <c r="L5" s="55"/>
      <c r="M5" s="17" t="s">
        <v>53</v>
      </c>
      <c r="N5" s="53"/>
      <c r="O5" s="29"/>
      <c r="P5" s="29"/>
      <c r="Q5" s="29"/>
      <c r="R5" s="29"/>
      <c r="S5" s="32"/>
      <c r="T5" s="40"/>
    </row>
    <row r="6" spans="1:20" s="10" customFormat="1" ht="30.75" thickBot="1" x14ac:dyDescent="0.3">
      <c r="A6" s="23" t="str">
        <f>"Number of stocks: "&amp;COUNTA($B$9:$B$1048576)</f>
        <v>Number of stocks: 0</v>
      </c>
      <c r="C6" s="37"/>
      <c r="D6" s="38"/>
      <c r="E6" s="38"/>
      <c r="F6" s="38"/>
      <c r="G6" s="38"/>
      <c r="H6" s="39"/>
      <c r="I6" s="51"/>
      <c r="J6" s="49"/>
      <c r="K6" s="49"/>
      <c r="L6" s="56"/>
      <c r="M6" s="18" t="s">
        <v>85</v>
      </c>
      <c r="N6" s="54"/>
      <c r="O6" s="30"/>
      <c r="P6" s="30"/>
      <c r="Q6" s="30"/>
      <c r="R6" s="30"/>
      <c r="S6" s="33"/>
      <c r="T6" s="41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e" cm="1" vm="1">
        <f t="array" ref="A9">_xlfn._xlws.FILTER(_xlfn._xlws.FILTER(Main_S[], Main_S[Preliminary Criteria]="YES"), COUNTIF($A$8:$S$8,Main_S[#Headers]))</f>
        <v>#VALUE!</v>
      </c>
      <c r="T9" t="e" vm="2">
        <f>SUM(IF($I9 &lt; (0.7*VLOOKUP($A9, Mean_PB_S, 2, FALSE)),1,0), IF($J9&gt;VLOOKUP($A9, Mean_ROE_S, 2, FALSE),1,0), IF($K9&gt;VLOOKUP($A9, Mean_ROA_S, 2,FALSE),1,0), IF($M9&lt;VLOOKUP($A9, Mean_PE_S, 2, FALSE),1,0), IF(AND($M9&gt;1,$M9&lt;25),1,0))</f>
        <v>#VALUE!</v>
      </c>
    </row>
  </sheetData>
  <autoFilter ref="A8:T8" xr:uid="{F6F40F71-5FB0-44DA-81D2-9D55F6DCA29E}"/>
  <mergeCells count="15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  <mergeCell ref="L4:L6"/>
  </mergeCells>
  <conditionalFormatting sqref="I9:I1048576">
    <cfRule type="expression" dxfId="119" priority="1">
      <formula>$I9 &lt; (0.7*VLOOKUP($A9, Mean_PB_S, 2, FALSE))</formula>
    </cfRule>
  </conditionalFormatting>
  <conditionalFormatting sqref="J9:J1048576">
    <cfRule type="expression" dxfId="118" priority="3">
      <formula>$J9 &gt; VLOOKUP($A9, Mean_ROE_S, 2, FALSE)</formula>
    </cfRule>
  </conditionalFormatting>
  <conditionalFormatting sqref="K9:K1048576">
    <cfRule type="expression" dxfId="117" priority="4">
      <formula>$K9 &gt; VLOOKUP($A9, Mean_ROA_S, 2, FALSE)</formula>
    </cfRule>
  </conditionalFormatting>
  <conditionalFormatting sqref="M9:M1048576">
    <cfRule type="expression" dxfId="116" priority="5">
      <formula>AND($M9&gt;1, $M9&lt;25, $M9 &lt; VLOOKUP($A9, Mean_PE_S, 2, FALSE))</formula>
    </cfRule>
    <cfRule type="expression" dxfId="115" priority="6">
      <formula>AND($M9&gt;1, $M9&lt;25)</formula>
    </cfRule>
    <cfRule type="expression" dxfId="114" priority="7">
      <formula xml:space="preserve"> $M9 &lt; VLOOKUP($A9, Mean_PE_S, 2, FALSE)</formula>
    </cfRule>
  </conditionalFormatting>
  <conditionalFormatting sqref="N9:N1048576">
    <cfRule type="expression" dxfId="113" priority="8">
      <formula>$N9&lt;0</formula>
    </cfRule>
  </conditionalFormatting>
  <conditionalFormatting sqref="O9:O1048576">
    <cfRule type="expression" dxfId="112" priority="9">
      <formula>$O9&lt;0</formula>
    </cfRule>
  </conditionalFormatting>
  <conditionalFormatting sqref="P9:P1048576">
    <cfRule type="expression" dxfId="111" priority="10">
      <formula>$P9&gt;0</formula>
    </cfRule>
  </conditionalFormatting>
  <conditionalFormatting sqref="Q9:Q1048576">
    <cfRule type="expression" dxfId="110" priority="11">
      <formula>$Q9&gt;0</formula>
    </cfRule>
  </conditionalFormatting>
  <conditionalFormatting sqref="R9:R1048576">
    <cfRule type="expression" dxfId="109" priority="12">
      <formula>$R9&lt;0</formula>
    </cfRule>
  </conditionalFormatting>
  <conditionalFormatting sqref="S9:S1048576">
    <cfRule type="expression" dxfId="108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Khoi Le</cp:lastModifiedBy>
  <dcterms:created xsi:type="dcterms:W3CDTF">2024-11-08T05:29:25Z</dcterms:created>
  <dcterms:modified xsi:type="dcterms:W3CDTF">2025-06-09T20:21:48Z</dcterms:modified>
</cp:coreProperties>
</file>
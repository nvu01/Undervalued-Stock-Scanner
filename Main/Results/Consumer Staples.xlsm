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5E2BA8DF-1529-4C6D-A32B-7E4B9E24818A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Main_L!$A$1:$M$55</definedName>
    <definedName name="ExternalData_1" localSheetId="2" hidden="1">Main_M!$A$1:$M$36</definedName>
    <definedName name="ExternalData_1" localSheetId="3" hidden="1">Main_S!$A$1:$M$49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0" i="11" l="1"/>
  <c r="Y28" i="1"/>
  <c r="Y38" i="4" s="1"/>
  <c r="Y27" i="1"/>
  <c r="Y37" i="4" s="1"/>
  <c r="Y26" i="1"/>
  <c r="Y25" i="1"/>
  <c r="Y17" i="4" s="1"/>
  <c r="Y24" i="1"/>
  <c r="Y23" i="1"/>
  <c r="X28" i="1"/>
  <c r="X27" i="1"/>
  <c r="X26" i="1"/>
  <c r="X25" i="1"/>
  <c r="X24" i="1"/>
  <c r="X23" i="1"/>
  <c r="Y6" i="4" s="1"/>
  <c r="W28" i="1" a="1"/>
  <c r="W28" i="1" s="1"/>
  <c r="W27" i="1" a="1"/>
  <c r="W27" i="1" s="1"/>
  <c r="W26" i="1" a="1"/>
  <c r="W26" i="1" s="1"/>
  <c r="W25" i="1" a="1"/>
  <c r="W25" i="1"/>
  <c r="W24" i="1" a="1"/>
  <c r="W24" i="1"/>
  <c r="W23" i="1" a="1"/>
  <c r="W23" i="1"/>
  <c r="V28" i="1" a="1"/>
  <c r="V28" i="1" s="1"/>
  <c r="V27" i="1" a="1"/>
  <c r="V27" i="1" s="1"/>
  <c r="V26" i="1" a="1"/>
  <c r="V26" i="1"/>
  <c r="V25" i="1" a="1"/>
  <c r="V25" i="1"/>
  <c r="V24" i="1" a="1"/>
  <c r="V24" i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P23" i="1"/>
  <c r="O28" i="1" a="1"/>
  <c r="O28" i="1" s="1"/>
  <c r="O27" i="1" a="1"/>
  <c r="O27" i="1" s="1"/>
  <c r="O26" i="1" a="1"/>
  <c r="O26" i="1" s="1"/>
  <c r="O25" i="1" a="1"/>
  <c r="O25" i="1" s="1"/>
  <c r="O24" i="1" a="1"/>
  <c r="O24" i="1"/>
  <c r="O23" i="1" a="1"/>
  <c r="O23" i="1"/>
  <c r="N28" i="1" a="1"/>
  <c r="N28" i="1" s="1"/>
  <c r="N27" i="1" a="1"/>
  <c r="N27" i="1"/>
  <c r="N26" i="1" a="1"/>
  <c r="N26" i="1"/>
  <c r="N25" i="1" a="1"/>
  <c r="N25" i="1"/>
  <c r="N24" i="1" a="1"/>
  <c r="N24" i="1" s="1"/>
  <c r="N23" i="1" a="1"/>
  <c r="N23" i="1" s="1"/>
  <c r="M28" i="1"/>
  <c r="M27" i="1"/>
  <c r="M26" i="1"/>
  <c r="M25" i="1"/>
  <c r="M24" i="1"/>
  <c r="M23" i="1"/>
  <c r="L28" i="1"/>
  <c r="L27" i="1"/>
  <c r="L26" i="1"/>
  <c r="L25" i="1"/>
  <c r="W32" i="4" s="1"/>
  <c r="L24" i="1"/>
  <c r="L23" i="1"/>
  <c r="K28" i="1" a="1"/>
  <c r="K28" i="1" s="1"/>
  <c r="K27" i="1" a="1"/>
  <c r="K27" i="1"/>
  <c r="K26" i="1" a="1"/>
  <c r="K26" i="1"/>
  <c r="K25" i="1" a="1"/>
  <c r="K25" i="1"/>
  <c r="K24" i="1" a="1"/>
  <c r="K24" i="1"/>
  <c r="K23" i="1" a="1"/>
  <c r="K23" i="1"/>
  <c r="J28" i="1" a="1"/>
  <c r="J28" i="1" s="1"/>
  <c r="J27" i="1" a="1"/>
  <c r="J27" i="1"/>
  <c r="J26" i="1" a="1"/>
  <c r="J26" i="1"/>
  <c r="J25" i="1" a="1"/>
  <c r="J25" i="1" s="1"/>
  <c r="J24" i="1" a="1"/>
  <c r="J24" i="1" s="1"/>
  <c r="J23" i="1" a="1"/>
  <c r="J23" i="1" s="1"/>
  <c r="Y18" i="1"/>
  <c r="Y17" i="1"/>
  <c r="Y16" i="1"/>
  <c r="Y15" i="1"/>
  <c r="Y14" i="1"/>
  <c r="Y13" i="1"/>
  <c r="X18" i="1"/>
  <c r="X17" i="1"/>
  <c r="X16" i="1"/>
  <c r="X15" i="1"/>
  <c r="X14" i="1"/>
  <c r="X13" i="1"/>
  <c r="Y8" i="3" s="1"/>
  <c r="W18" i="1" a="1"/>
  <c r="W18" i="1"/>
  <c r="W17" i="1" a="1"/>
  <c r="W17" i="1" s="1"/>
  <c r="W16" i="1" a="1"/>
  <c r="W16" i="1" s="1"/>
  <c r="W15" i="1" a="1"/>
  <c r="W15" i="1" s="1"/>
  <c r="W14" i="1" a="1"/>
  <c r="W14" i="1"/>
  <c r="W13" i="1" a="1"/>
  <c r="W13" i="1"/>
  <c r="V18" i="1" a="1"/>
  <c r="V18" i="1"/>
  <c r="V17" i="1" a="1"/>
  <c r="V17" i="1"/>
  <c r="V16" i="1" a="1"/>
  <c r="V16" i="1" s="1"/>
  <c r="V15" i="1" a="1"/>
  <c r="V15" i="1"/>
  <c r="V14" i="1" a="1"/>
  <c r="V14" i="1"/>
  <c r="V13" i="1" a="1"/>
  <c r="V13" i="1"/>
  <c r="Q18" i="1"/>
  <c r="Q17" i="1"/>
  <c r="Q16" i="1"/>
  <c r="Q15" i="1"/>
  <c r="Q14" i="1"/>
  <c r="Q13" i="1"/>
  <c r="P18" i="1"/>
  <c r="P17" i="1"/>
  <c r="P16" i="1"/>
  <c r="P15" i="1"/>
  <c r="P14" i="1"/>
  <c r="P13" i="1"/>
  <c r="O18" i="1" a="1"/>
  <c r="O18" i="1" s="1"/>
  <c r="O17" i="1" a="1"/>
  <c r="O17" i="1" s="1"/>
  <c r="O16" i="1" a="1"/>
  <c r="O16" i="1"/>
  <c r="O15" i="1" a="1"/>
  <c r="O15" i="1" s="1"/>
  <c r="O14" i="1" a="1"/>
  <c r="O14" i="1"/>
  <c r="O13" i="1" a="1"/>
  <c r="O13" i="1" s="1"/>
  <c r="N18" i="1" a="1"/>
  <c r="N18" i="1"/>
  <c r="N17" i="1" a="1"/>
  <c r="N17" i="1"/>
  <c r="N16" i="1" a="1"/>
  <c r="N16" i="1" s="1"/>
  <c r="N15" i="1" a="1"/>
  <c r="N15" i="1" s="1"/>
  <c r="N14" i="1" a="1"/>
  <c r="N14" i="1"/>
  <c r="N13" i="1" a="1"/>
  <c r="N13" i="1" s="1"/>
  <c r="M18" i="1"/>
  <c r="M17" i="1"/>
  <c r="M16" i="1"/>
  <c r="M15" i="1"/>
  <c r="M14" i="1"/>
  <c r="M13" i="1"/>
  <c r="L18" i="1"/>
  <c r="L17" i="1"/>
  <c r="L16" i="1"/>
  <c r="L15" i="1"/>
  <c r="L14" i="1"/>
  <c r="L13" i="1"/>
  <c r="X8" i="3" s="1"/>
  <c r="K18" i="1" a="1"/>
  <c r="K18" i="1" s="1"/>
  <c r="K17" i="1" a="1"/>
  <c r="K17" i="1"/>
  <c r="K16" i="1" a="1"/>
  <c r="K16" i="1"/>
  <c r="K15" i="1" a="1"/>
  <c r="K15" i="1"/>
  <c r="K14" i="1" a="1"/>
  <c r="K14" i="1" s="1"/>
  <c r="K13" i="1" a="1"/>
  <c r="K13" i="1"/>
  <c r="J18" i="1" a="1"/>
  <c r="J18" i="1" s="1"/>
  <c r="J17" i="1" a="1"/>
  <c r="J17" i="1" s="1"/>
  <c r="J16" i="1" a="1"/>
  <c r="J16" i="1" s="1"/>
  <c r="J15" i="1" a="1"/>
  <c r="J15" i="1"/>
  <c r="J14" i="1" a="1"/>
  <c r="J14" i="1"/>
  <c r="J13" i="1" a="1"/>
  <c r="J13" i="1" s="1"/>
  <c r="Y8" i="1"/>
  <c r="Y7" i="1"/>
  <c r="Y6" i="1"/>
  <c r="Y5" i="1"/>
  <c r="Y31" i="2" s="1"/>
  <c r="Y4" i="1"/>
  <c r="Y3" i="1"/>
  <c r="X8" i="1"/>
  <c r="X7" i="1"/>
  <c r="X6" i="1"/>
  <c r="X5" i="1"/>
  <c r="X4" i="1"/>
  <c r="X3" i="1"/>
  <c r="Y19" i="2" s="1"/>
  <c r="W8" i="1" a="1"/>
  <c r="W8" i="1"/>
  <c r="W7" i="1" a="1"/>
  <c r="W7" i="1" s="1"/>
  <c r="W6" i="1" a="1"/>
  <c r="W6" i="1" s="1"/>
  <c r="W5" i="1" a="1"/>
  <c r="W5" i="1" s="1"/>
  <c r="W4" i="1" a="1"/>
  <c r="W4" i="1" s="1"/>
  <c r="W3" i="1" a="1"/>
  <c r="W3" i="1" s="1"/>
  <c r="V8" i="1" a="1"/>
  <c r="V8" i="1"/>
  <c r="V7" i="1" a="1"/>
  <c r="V7" i="1"/>
  <c r="V6" i="1" a="1"/>
  <c r="V6" i="1" s="1"/>
  <c r="V5" i="1" a="1"/>
  <c r="V5" i="1" s="1"/>
  <c r="V4" i="1" a="1"/>
  <c r="V4" i="1" s="1"/>
  <c r="V3" i="1" a="1"/>
  <c r="V3" i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/>
  <c r="O7" i="1" a="1"/>
  <c r="O7" i="1"/>
  <c r="O6" i="1" a="1"/>
  <c r="O6" i="1" s="1"/>
  <c r="O5" i="1" a="1"/>
  <c r="O5" i="1" s="1"/>
  <c r="O4" i="1" a="1"/>
  <c r="O4" i="1"/>
  <c r="O3" i="1" a="1"/>
  <c r="O3" i="1" s="1"/>
  <c r="N8" i="1" a="1"/>
  <c r="N8" i="1" s="1"/>
  <c r="N7" i="1" a="1"/>
  <c r="N7" i="1" s="1"/>
  <c r="N6" i="1" a="1"/>
  <c r="N6" i="1"/>
  <c r="N5" i="1" a="1"/>
  <c r="N5" i="1" s="1"/>
  <c r="N4" i="1" a="1"/>
  <c r="N4" i="1"/>
  <c r="N3" i="1" a="1"/>
  <c r="N3" i="1"/>
  <c r="M8" i="1"/>
  <c r="M7" i="1"/>
  <c r="M6" i="1"/>
  <c r="M5" i="1"/>
  <c r="M4" i="1"/>
  <c r="M3" i="1"/>
  <c r="L8" i="1"/>
  <c r="L7" i="1"/>
  <c r="L6" i="1"/>
  <c r="L5" i="1"/>
  <c r="L4" i="1"/>
  <c r="L3" i="1"/>
  <c r="W25" i="2" s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/>
  <c r="J8" i="1" a="1"/>
  <c r="J8" i="1" s="1"/>
  <c r="J7" i="1" a="1"/>
  <c r="J7" i="1"/>
  <c r="J6" i="1" a="1"/>
  <c r="J6" i="1" s="1"/>
  <c r="J5" i="1" a="1"/>
  <c r="J5" i="1" s="1"/>
  <c r="J4" i="1" a="1"/>
  <c r="J4" i="1"/>
  <c r="J3" i="1" a="1"/>
  <c r="J3" i="1" s="1"/>
  <c r="M48" i="4"/>
  <c r="T48" i="4" s="1"/>
  <c r="M46" i="4"/>
  <c r="T46" i="4" s="1"/>
  <c r="M41" i="4"/>
  <c r="T41" i="4" s="1"/>
  <c r="M30" i="4"/>
  <c r="M29" i="4"/>
  <c r="T29" i="4" s="1"/>
  <c r="M28" i="4"/>
  <c r="T28" i="4" s="1"/>
  <c r="M27" i="4"/>
  <c r="T27" i="4" s="1"/>
  <c r="M26" i="4"/>
  <c r="T26" i="4" s="1"/>
  <c r="M25" i="4"/>
  <c r="T25" i="4" s="1"/>
  <c r="M20" i="4"/>
  <c r="T20" i="4" s="1"/>
  <c r="M13" i="4"/>
  <c r="I41" i="4"/>
  <c r="I39" i="4"/>
  <c r="P39" i="4" s="1"/>
  <c r="I37" i="4"/>
  <c r="N37" i="4" s="1"/>
  <c r="I33" i="4"/>
  <c r="I28" i="4"/>
  <c r="P28" i="4" s="1"/>
  <c r="I23" i="4"/>
  <c r="P23" i="4" s="1"/>
  <c r="I22" i="4"/>
  <c r="I19" i="4"/>
  <c r="P19" i="4" s="1"/>
  <c r="I17" i="4"/>
  <c r="P17" i="4" s="1"/>
  <c r="I3" i="4"/>
  <c r="P3" i="4" s="1"/>
  <c r="H46" i="4"/>
  <c r="H41" i="4"/>
  <c r="H37" i="4"/>
  <c r="O37" i="4" s="1"/>
  <c r="H28" i="4"/>
  <c r="H27" i="4"/>
  <c r="H26" i="4"/>
  <c r="H25" i="4"/>
  <c r="O25" i="4" s="1"/>
  <c r="H23" i="4"/>
  <c r="N23" i="4" s="1"/>
  <c r="H21" i="4"/>
  <c r="O21" i="4" s="1"/>
  <c r="H17" i="4"/>
  <c r="O17" i="4" s="1"/>
  <c r="H13" i="4"/>
  <c r="H3" i="4"/>
  <c r="N3" i="4" s="1"/>
  <c r="D49" i="4"/>
  <c r="M49" i="4" s="1"/>
  <c r="D48" i="4"/>
  <c r="I48" i="4" s="1"/>
  <c r="P48" i="4" s="1"/>
  <c r="D47" i="4"/>
  <c r="I47" i="4" s="1"/>
  <c r="D46" i="4"/>
  <c r="I46" i="4" s="1"/>
  <c r="D45" i="4"/>
  <c r="I45" i="4" s="1"/>
  <c r="D44" i="4"/>
  <c r="H44" i="4" s="1"/>
  <c r="D43" i="4"/>
  <c r="M43" i="4" s="1"/>
  <c r="T43" i="4" s="1"/>
  <c r="D42" i="4"/>
  <c r="M42" i="4" s="1"/>
  <c r="T42" i="4" s="1"/>
  <c r="D41" i="4"/>
  <c r="D40" i="4"/>
  <c r="H40" i="4" s="1"/>
  <c r="O40" i="4" s="1"/>
  <c r="D39" i="4"/>
  <c r="H39" i="4" s="1"/>
  <c r="D38" i="4"/>
  <c r="H38" i="4" s="1"/>
  <c r="O38" i="4" s="1"/>
  <c r="D37" i="4"/>
  <c r="M37" i="4" s="1"/>
  <c r="T37" i="4" s="1"/>
  <c r="D36" i="4"/>
  <c r="M36" i="4" s="1"/>
  <c r="T36" i="4" s="1"/>
  <c r="D35" i="4"/>
  <c r="D34" i="4"/>
  <c r="I34" i="4" s="1"/>
  <c r="D33" i="4"/>
  <c r="D32" i="4"/>
  <c r="D31" i="4"/>
  <c r="D30" i="4"/>
  <c r="D29" i="4"/>
  <c r="D28" i="4"/>
  <c r="D27" i="4"/>
  <c r="I27" i="4" s="1"/>
  <c r="D26" i="4"/>
  <c r="I26" i="4" s="1"/>
  <c r="P26" i="4" s="1"/>
  <c r="D25" i="4"/>
  <c r="I25" i="4" s="1"/>
  <c r="D24" i="4"/>
  <c r="H24" i="4" s="1"/>
  <c r="D23" i="4"/>
  <c r="M23" i="4" s="1"/>
  <c r="T23" i="4" s="1"/>
  <c r="D22" i="4"/>
  <c r="M22" i="4" s="1"/>
  <c r="D21" i="4"/>
  <c r="I21" i="4" s="1"/>
  <c r="D20" i="4"/>
  <c r="H20" i="4" s="1"/>
  <c r="D19" i="4"/>
  <c r="H19" i="4" s="1"/>
  <c r="D18" i="4"/>
  <c r="H18" i="4" s="1"/>
  <c r="D17" i="4"/>
  <c r="M17" i="4" s="1"/>
  <c r="D16" i="4"/>
  <c r="M16" i="4" s="1"/>
  <c r="D15" i="4"/>
  <c r="D14" i="4"/>
  <c r="I14" i="4" s="1"/>
  <c r="D13" i="4"/>
  <c r="I13" i="4" s="1"/>
  <c r="D12" i="4"/>
  <c r="D11" i="4"/>
  <c r="D10" i="4"/>
  <c r="M10" i="4" s="1"/>
  <c r="D9" i="4"/>
  <c r="M9" i="4" s="1"/>
  <c r="D8" i="4"/>
  <c r="M8" i="4" s="1"/>
  <c r="T8" i="4" s="1"/>
  <c r="D7" i="4"/>
  <c r="I7" i="4" s="1"/>
  <c r="D6" i="4"/>
  <c r="I6" i="4" s="1"/>
  <c r="P6" i="4" s="1"/>
  <c r="D5" i="4"/>
  <c r="I5" i="4" s="1"/>
  <c r="P5" i="4" s="1"/>
  <c r="D4" i="4"/>
  <c r="H4" i="4" s="1"/>
  <c r="D3" i="4"/>
  <c r="M3" i="4" s="1"/>
  <c r="D2" i="4"/>
  <c r="M2" i="4" s="1"/>
  <c r="M33" i="3"/>
  <c r="T33" i="3" s="1"/>
  <c r="M29" i="3"/>
  <c r="M27" i="3"/>
  <c r="M26" i="3"/>
  <c r="T26" i="3" s="1"/>
  <c r="M25" i="3"/>
  <c r="T25" i="3" s="1"/>
  <c r="M24" i="3"/>
  <c r="T24" i="3" s="1"/>
  <c r="M4" i="3"/>
  <c r="I28" i="3"/>
  <c r="I27" i="3"/>
  <c r="I26" i="3"/>
  <c r="I25" i="3"/>
  <c r="I24" i="3"/>
  <c r="I23" i="3"/>
  <c r="P23" i="3" s="1"/>
  <c r="I21" i="3"/>
  <c r="I4" i="3"/>
  <c r="P4" i="3" s="1"/>
  <c r="H26" i="3"/>
  <c r="H21" i="3"/>
  <c r="H19" i="3"/>
  <c r="O19" i="3" s="1"/>
  <c r="H18" i="3"/>
  <c r="H17" i="3"/>
  <c r="N17" i="3" s="1"/>
  <c r="H9" i="3"/>
  <c r="H6" i="3"/>
  <c r="O6" i="3" s="1"/>
  <c r="H4" i="3"/>
  <c r="D36" i="3"/>
  <c r="D35" i="3"/>
  <c r="D34" i="3"/>
  <c r="M34" i="3" s="1"/>
  <c r="T34" i="3" s="1"/>
  <c r="D33" i="3"/>
  <c r="D32" i="3"/>
  <c r="D31" i="3"/>
  <c r="M31" i="3" s="1"/>
  <c r="D30" i="3"/>
  <c r="D29" i="3"/>
  <c r="I29" i="3" s="1"/>
  <c r="D28" i="3"/>
  <c r="H28" i="3" s="1"/>
  <c r="O28" i="3" s="1"/>
  <c r="D27" i="3"/>
  <c r="H27" i="3" s="1"/>
  <c r="D26" i="3"/>
  <c r="D25" i="3"/>
  <c r="H25" i="3" s="1"/>
  <c r="D24" i="3"/>
  <c r="H24" i="3" s="1"/>
  <c r="D23" i="3"/>
  <c r="H23" i="3" s="1"/>
  <c r="O23" i="3" s="1"/>
  <c r="D22" i="3"/>
  <c r="M22" i="3" s="1"/>
  <c r="T22" i="3" s="1"/>
  <c r="D21" i="3"/>
  <c r="M21" i="3" s="1"/>
  <c r="T21" i="3" s="1"/>
  <c r="D20" i="3"/>
  <c r="I20" i="3" s="1"/>
  <c r="P20" i="3" s="1"/>
  <c r="D19" i="3"/>
  <c r="I19" i="3" s="1"/>
  <c r="P19" i="3" s="1"/>
  <c r="D18" i="3"/>
  <c r="I18" i="3" s="1"/>
  <c r="D17" i="3"/>
  <c r="I17" i="3" s="1"/>
  <c r="D16" i="3"/>
  <c r="D15" i="3"/>
  <c r="D14" i="3"/>
  <c r="M14" i="3" s="1"/>
  <c r="D13" i="3"/>
  <c r="D12" i="3"/>
  <c r="D11" i="3"/>
  <c r="D10" i="3"/>
  <c r="I10" i="3" s="1"/>
  <c r="P10" i="3" s="1"/>
  <c r="D9" i="3"/>
  <c r="I9" i="3" s="1"/>
  <c r="P9" i="3" s="1"/>
  <c r="D8" i="3"/>
  <c r="H8" i="3" s="1"/>
  <c r="D7" i="3"/>
  <c r="H7" i="3" s="1"/>
  <c r="D6" i="3"/>
  <c r="I6" i="3" s="1"/>
  <c r="D5" i="3"/>
  <c r="H5" i="3" s="1"/>
  <c r="O5" i="3" s="1"/>
  <c r="D4" i="3"/>
  <c r="D3" i="3"/>
  <c r="H3" i="3" s="1"/>
  <c r="O3" i="3" s="1"/>
  <c r="D2" i="3"/>
  <c r="M2" i="3" s="1"/>
  <c r="T2" i="3" s="1"/>
  <c r="M53" i="2"/>
  <c r="T53" i="2" s="1"/>
  <c r="M44" i="2"/>
  <c r="M43" i="2"/>
  <c r="T43" i="2" s="1"/>
  <c r="M23" i="2"/>
  <c r="T23" i="2" s="1"/>
  <c r="M22" i="2"/>
  <c r="M19" i="2"/>
  <c r="T19" i="2" s="1"/>
  <c r="M18" i="2"/>
  <c r="M8" i="2"/>
  <c r="T8" i="2" s="1"/>
  <c r="M4" i="2"/>
  <c r="T4" i="2" s="1"/>
  <c r="M3" i="2"/>
  <c r="M2" i="2"/>
  <c r="T2" i="2" s="1"/>
  <c r="I53" i="2"/>
  <c r="P53" i="2" s="1"/>
  <c r="I24" i="2"/>
  <c r="I23" i="2"/>
  <c r="I22" i="2"/>
  <c r="I19" i="2"/>
  <c r="P19" i="2" s="1"/>
  <c r="I18" i="2"/>
  <c r="P18" i="2" s="1"/>
  <c r="I17" i="2"/>
  <c r="P17" i="2" s="1"/>
  <c r="I16" i="2"/>
  <c r="P16" i="2" s="1"/>
  <c r="I13" i="2"/>
  <c r="P13" i="2" s="1"/>
  <c r="I4" i="2"/>
  <c r="P4" i="2" s="1"/>
  <c r="I3" i="2"/>
  <c r="P3" i="2" s="1"/>
  <c r="I2" i="2"/>
  <c r="H55" i="2"/>
  <c r="N55" i="2" s="1"/>
  <c r="H43" i="2"/>
  <c r="N43" i="2" s="1"/>
  <c r="H42" i="2"/>
  <c r="H39" i="2"/>
  <c r="H38" i="2"/>
  <c r="H36" i="2"/>
  <c r="H35" i="2"/>
  <c r="O35" i="2" s="1"/>
  <c r="H34" i="2"/>
  <c r="O34" i="2" s="1"/>
  <c r="H33" i="2"/>
  <c r="O33" i="2" s="1"/>
  <c r="H32" i="2"/>
  <c r="H23" i="2"/>
  <c r="H22" i="2"/>
  <c r="O22" i="2" s="1"/>
  <c r="H19" i="2"/>
  <c r="O19" i="2" s="1"/>
  <c r="H18" i="2"/>
  <c r="O18" i="2" s="1"/>
  <c r="H17" i="2"/>
  <c r="H3" i="2"/>
  <c r="H2" i="2"/>
  <c r="O2" i="2" s="1"/>
  <c r="D55" i="2"/>
  <c r="I55" i="2" s="1"/>
  <c r="D54" i="2"/>
  <c r="I54" i="2" s="1"/>
  <c r="P54" i="2" s="1"/>
  <c r="D53" i="2"/>
  <c r="H53" i="2" s="1"/>
  <c r="D52" i="2"/>
  <c r="M52" i="2" s="1"/>
  <c r="T52" i="2" s="1"/>
  <c r="D51" i="2"/>
  <c r="H51" i="2" s="1"/>
  <c r="O51" i="2" s="1"/>
  <c r="D50" i="2"/>
  <c r="D49" i="2"/>
  <c r="M49" i="2" s="1"/>
  <c r="T49" i="2" s="1"/>
  <c r="D48" i="2"/>
  <c r="D47" i="2"/>
  <c r="I47" i="2" s="1"/>
  <c r="P47" i="2" s="1"/>
  <c r="D46" i="2"/>
  <c r="I46" i="2" s="1"/>
  <c r="P46" i="2" s="1"/>
  <c r="D45" i="2"/>
  <c r="M45" i="2" s="1"/>
  <c r="D44" i="2"/>
  <c r="H44" i="2" s="1"/>
  <c r="D43" i="2"/>
  <c r="I43" i="2" s="1"/>
  <c r="P43" i="2" s="1"/>
  <c r="D42" i="2"/>
  <c r="M42" i="2" s="1"/>
  <c r="T42" i="2" s="1"/>
  <c r="D41" i="2"/>
  <c r="D40" i="2"/>
  <c r="D39" i="2"/>
  <c r="M39" i="2" s="1"/>
  <c r="D38" i="2"/>
  <c r="M38" i="2" s="1"/>
  <c r="T38" i="2" s="1"/>
  <c r="D37" i="2"/>
  <c r="M37" i="2" s="1"/>
  <c r="D36" i="2"/>
  <c r="M36" i="2" s="1"/>
  <c r="T36" i="2" s="1"/>
  <c r="D35" i="2"/>
  <c r="D34" i="2"/>
  <c r="I34" i="2" s="1"/>
  <c r="P34" i="2" s="1"/>
  <c r="D33" i="2"/>
  <c r="M33" i="2" s="1"/>
  <c r="T33" i="2" s="1"/>
  <c r="D32" i="2"/>
  <c r="M32" i="2" s="1"/>
  <c r="D31" i="2"/>
  <c r="D30" i="2"/>
  <c r="M30" i="2" s="1"/>
  <c r="D29" i="2"/>
  <c r="M29" i="2" s="1"/>
  <c r="D28" i="2"/>
  <c r="D27" i="2"/>
  <c r="I27" i="2" s="1"/>
  <c r="D26" i="2"/>
  <c r="I26" i="2" s="1"/>
  <c r="P26" i="2" s="1"/>
  <c r="D25" i="2"/>
  <c r="M25" i="2" s="1"/>
  <c r="D24" i="2"/>
  <c r="H24" i="2" s="1"/>
  <c r="D23" i="2"/>
  <c r="D22" i="2"/>
  <c r="D21" i="2"/>
  <c r="I21" i="2" s="1"/>
  <c r="D20" i="2"/>
  <c r="D19" i="2"/>
  <c r="D18" i="2"/>
  <c r="D17" i="2"/>
  <c r="M17" i="2" s="1"/>
  <c r="D16" i="2"/>
  <c r="M16" i="2" s="1"/>
  <c r="D15" i="2"/>
  <c r="H15" i="2" s="1"/>
  <c r="D14" i="2"/>
  <c r="I14" i="2" s="1"/>
  <c r="D13" i="2"/>
  <c r="H13" i="2" s="1"/>
  <c r="N13" i="2" s="1"/>
  <c r="D12" i="2"/>
  <c r="M12" i="2" s="1"/>
  <c r="T12" i="2" s="1"/>
  <c r="D11" i="2"/>
  <c r="H11" i="2" s="1"/>
  <c r="D10" i="2"/>
  <c r="M10" i="2" s="1"/>
  <c r="D9" i="2"/>
  <c r="M9" i="2" s="1"/>
  <c r="T9" i="2" s="1"/>
  <c r="D8" i="2"/>
  <c r="D7" i="2"/>
  <c r="I7" i="2" s="1"/>
  <c r="P7" i="2" s="1"/>
  <c r="D6" i="2"/>
  <c r="I6" i="2" s="1"/>
  <c r="P6" i="2" s="1"/>
  <c r="D5" i="2"/>
  <c r="M5" i="2" s="1"/>
  <c r="D4" i="2"/>
  <c r="H4" i="2" s="1"/>
  <c r="D3" i="2"/>
  <c r="D2" i="2"/>
  <c r="N41" i="4"/>
  <c r="N46" i="4"/>
  <c r="O13" i="4"/>
  <c r="O39" i="4"/>
  <c r="O41" i="4"/>
  <c r="P7" i="4"/>
  <c r="P25" i="4"/>
  <c r="P27" i="4"/>
  <c r="P33" i="4"/>
  <c r="P41" i="4"/>
  <c r="P46" i="4"/>
  <c r="P47" i="4"/>
  <c r="Q3" i="4"/>
  <c r="Q4" i="4"/>
  <c r="Q5" i="4"/>
  <c r="Q6" i="4"/>
  <c r="Q7" i="4"/>
  <c r="Q8" i="4"/>
  <c r="Q9" i="4"/>
  <c r="Q10" i="4"/>
  <c r="Q11" i="4"/>
  <c r="Q12" i="4"/>
  <c r="Q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48" i="4"/>
  <c r="Q49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R3" i="4"/>
  <c r="R4" i="4"/>
  <c r="R5" i="4"/>
  <c r="R6" i="4"/>
  <c r="R7" i="4"/>
  <c r="R8" i="4"/>
  <c r="R9" i="4"/>
  <c r="R10" i="4"/>
  <c r="R11" i="4"/>
  <c r="R12" i="4"/>
  <c r="R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48" i="4"/>
  <c r="R49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S3" i="4"/>
  <c r="S4" i="4"/>
  <c r="S5" i="4"/>
  <c r="S6" i="4"/>
  <c r="S7" i="4"/>
  <c r="S8" i="4"/>
  <c r="S9" i="4"/>
  <c r="S10" i="4"/>
  <c r="S11" i="4"/>
  <c r="S12" i="4"/>
  <c r="S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48" i="4"/>
  <c r="S49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T3" i="4"/>
  <c r="T2" i="4"/>
  <c r="T13" i="4"/>
  <c r="W3" i="4"/>
  <c r="W4" i="4"/>
  <c r="W5" i="4"/>
  <c r="W6" i="4"/>
  <c r="W7" i="4"/>
  <c r="W8" i="4"/>
  <c r="W9" i="4"/>
  <c r="W10" i="4"/>
  <c r="W11" i="4"/>
  <c r="W12" i="4"/>
  <c r="W2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48" i="4"/>
  <c r="W49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X3" i="4"/>
  <c r="X4" i="4"/>
  <c r="X5" i="4"/>
  <c r="X6" i="4"/>
  <c r="X7" i="4"/>
  <c r="X8" i="4"/>
  <c r="X9" i="4"/>
  <c r="X10" i="4"/>
  <c r="X11" i="4"/>
  <c r="X12" i="4"/>
  <c r="X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48" i="4"/>
  <c r="X49" i="4"/>
  <c r="X34" i="4"/>
  <c r="X36" i="4"/>
  <c r="X38" i="4"/>
  <c r="X39" i="4"/>
  <c r="X40" i="4"/>
  <c r="X41" i="4"/>
  <c r="X42" i="4"/>
  <c r="X43" i="4"/>
  <c r="X44" i="4"/>
  <c r="X45" i="4"/>
  <c r="X46" i="4"/>
  <c r="X47" i="4"/>
  <c r="Y3" i="4"/>
  <c r="Y4" i="4"/>
  <c r="Y5" i="4"/>
  <c r="Y7" i="4"/>
  <c r="Y9" i="4"/>
  <c r="Y10" i="4"/>
  <c r="Y11" i="4"/>
  <c r="Y12" i="4"/>
  <c r="Y2" i="4"/>
  <c r="Y13" i="4"/>
  <c r="Y14" i="4"/>
  <c r="Y15" i="4"/>
  <c r="Y16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48" i="4"/>
  <c r="Y49" i="4"/>
  <c r="Y34" i="4"/>
  <c r="Y35" i="4"/>
  <c r="Y36" i="4"/>
  <c r="Y40" i="4"/>
  <c r="Y41" i="4"/>
  <c r="Y42" i="4"/>
  <c r="Y43" i="4"/>
  <c r="Y44" i="4"/>
  <c r="Y45" i="4"/>
  <c r="Y46" i="4"/>
  <c r="Y47" i="4"/>
  <c r="N2" i="2"/>
  <c r="N3" i="2"/>
  <c r="O23" i="2"/>
  <c r="O24" i="2"/>
  <c r="O3" i="2"/>
  <c r="O36" i="2"/>
  <c r="O39" i="2"/>
  <c r="O42" i="2"/>
  <c r="O43" i="2"/>
  <c r="O44" i="2"/>
  <c r="P5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53" i="2"/>
  <c r="Q54" i="2"/>
  <c r="Q55" i="2"/>
  <c r="Q45" i="2"/>
  <c r="Q46" i="2"/>
  <c r="Q47" i="2"/>
  <c r="Q48" i="2"/>
  <c r="Q49" i="2"/>
  <c r="Q50" i="2"/>
  <c r="Q51" i="2"/>
  <c r="Q52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53" i="2"/>
  <c r="R54" i="2"/>
  <c r="R55" i="2"/>
  <c r="R45" i="2"/>
  <c r="R46" i="2"/>
  <c r="R47" i="2"/>
  <c r="R48" i="2"/>
  <c r="R49" i="2"/>
  <c r="R50" i="2"/>
  <c r="R51" i="2"/>
  <c r="R52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53" i="2"/>
  <c r="S54" i="2"/>
  <c r="S55" i="2"/>
  <c r="S45" i="2"/>
  <c r="S46" i="2"/>
  <c r="S47" i="2"/>
  <c r="S48" i="2"/>
  <c r="S49" i="2"/>
  <c r="S50" i="2"/>
  <c r="S51" i="2"/>
  <c r="S52" i="2"/>
  <c r="T22" i="2"/>
  <c r="T3" i="2"/>
  <c r="T32" i="2"/>
  <c r="W16" i="2"/>
  <c r="W17" i="2"/>
  <c r="W18" i="2"/>
  <c r="W19" i="2"/>
  <c r="W20" i="2"/>
  <c r="W21" i="2"/>
  <c r="W22" i="2"/>
  <c r="W23" i="2"/>
  <c r="W24" i="2"/>
  <c r="W26" i="2"/>
  <c r="W28" i="2"/>
  <c r="W29" i="2"/>
  <c r="W30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53" i="2"/>
  <c r="W54" i="2"/>
  <c r="W55" i="2"/>
  <c r="W45" i="2"/>
  <c r="W46" i="2"/>
  <c r="W47" i="2"/>
  <c r="W48" i="2"/>
  <c r="W49" i="2"/>
  <c r="W50" i="2"/>
  <c r="W51" i="2"/>
  <c r="W52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53" i="2"/>
  <c r="X54" i="2"/>
  <c r="X55" i="2"/>
  <c r="X45" i="2"/>
  <c r="X46" i="2"/>
  <c r="X47" i="2"/>
  <c r="X48" i="2"/>
  <c r="X49" i="2"/>
  <c r="X50" i="2"/>
  <c r="X51" i="2"/>
  <c r="X52" i="2"/>
  <c r="Y16" i="2"/>
  <c r="Y17" i="2"/>
  <c r="Y18" i="2"/>
  <c r="Y28" i="2"/>
  <c r="Y29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53" i="2"/>
  <c r="Y54" i="2"/>
  <c r="Y55" i="2"/>
  <c r="Y45" i="2"/>
  <c r="Y46" i="2"/>
  <c r="Y47" i="2"/>
  <c r="Y48" i="2"/>
  <c r="Y49" i="2"/>
  <c r="Y50" i="2"/>
  <c r="Y51" i="2"/>
  <c r="Y52" i="2"/>
  <c r="N28" i="3"/>
  <c r="O8" i="3"/>
  <c r="O4" i="3"/>
  <c r="O24" i="3"/>
  <c r="O26" i="3"/>
  <c r="P17" i="3"/>
  <c r="P18" i="3"/>
  <c r="P24" i="3"/>
  <c r="P25" i="3"/>
  <c r="P27" i="3"/>
  <c r="P28" i="3"/>
  <c r="P29" i="3"/>
  <c r="Q8" i="3"/>
  <c r="Q9" i="3"/>
  <c r="Q10" i="3"/>
  <c r="Q11" i="3"/>
  <c r="Q12" i="3"/>
  <c r="Q2" i="3"/>
  <c r="Q3" i="3"/>
  <c r="Q4" i="3"/>
  <c r="Q5" i="3"/>
  <c r="Q6" i="3"/>
  <c r="Q7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36" i="3"/>
  <c r="Q29" i="3"/>
  <c r="Q30" i="3"/>
  <c r="Q31" i="3"/>
  <c r="Q32" i="3"/>
  <c r="Q33" i="3"/>
  <c r="Q34" i="3"/>
  <c r="Q35" i="3"/>
  <c r="R8" i="3"/>
  <c r="R9" i="3"/>
  <c r="R10" i="3"/>
  <c r="R11" i="3"/>
  <c r="R12" i="3"/>
  <c r="R2" i="3"/>
  <c r="R3" i="3"/>
  <c r="R4" i="3"/>
  <c r="R5" i="3"/>
  <c r="R6" i="3"/>
  <c r="R7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36" i="3"/>
  <c r="R29" i="3"/>
  <c r="R30" i="3"/>
  <c r="R31" i="3"/>
  <c r="R32" i="3"/>
  <c r="R33" i="3"/>
  <c r="R34" i="3"/>
  <c r="R35" i="3"/>
  <c r="S8" i="3"/>
  <c r="S9" i="3"/>
  <c r="S10" i="3"/>
  <c r="S11" i="3"/>
  <c r="S12" i="3"/>
  <c r="S2" i="3"/>
  <c r="S3" i="3"/>
  <c r="S4" i="3"/>
  <c r="S5" i="3"/>
  <c r="S6" i="3"/>
  <c r="S7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36" i="3"/>
  <c r="S29" i="3"/>
  <c r="S30" i="3"/>
  <c r="S31" i="3"/>
  <c r="S32" i="3"/>
  <c r="S33" i="3"/>
  <c r="S34" i="3"/>
  <c r="S35" i="3"/>
  <c r="T14" i="3"/>
  <c r="W8" i="3"/>
  <c r="W9" i="3"/>
  <c r="W10" i="3"/>
  <c r="W11" i="3"/>
  <c r="W12" i="3"/>
  <c r="W2" i="3"/>
  <c r="W3" i="3"/>
  <c r="W4" i="3"/>
  <c r="W5" i="3"/>
  <c r="W6" i="3"/>
  <c r="W7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36" i="3"/>
  <c r="W29" i="3"/>
  <c r="W30" i="3"/>
  <c r="W31" i="3"/>
  <c r="W32" i="3"/>
  <c r="W33" i="3"/>
  <c r="W34" i="3"/>
  <c r="W35" i="3"/>
  <c r="X9" i="3"/>
  <c r="X10" i="3"/>
  <c r="X11" i="3"/>
  <c r="X12" i="3"/>
  <c r="X2" i="3"/>
  <c r="X3" i="3"/>
  <c r="X4" i="3"/>
  <c r="X5" i="3"/>
  <c r="X6" i="3"/>
  <c r="X7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36" i="3"/>
  <c r="X29" i="3"/>
  <c r="X30" i="3"/>
  <c r="X31" i="3"/>
  <c r="X32" i="3"/>
  <c r="X33" i="3"/>
  <c r="X34" i="3"/>
  <c r="X35" i="3"/>
  <c r="Y10" i="3"/>
  <c r="Y11" i="3"/>
  <c r="Y12" i="3"/>
  <c r="Y2" i="3"/>
  <c r="Y3" i="3"/>
  <c r="Y4" i="3"/>
  <c r="Y5" i="3"/>
  <c r="Y6" i="3"/>
  <c r="Y7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36" i="3"/>
  <c r="Y29" i="3"/>
  <c r="Y30" i="3"/>
  <c r="Y31" i="3"/>
  <c r="Y32" i="3"/>
  <c r="Y33" i="3"/>
  <c r="Y34" i="3"/>
  <c r="Y35" i="3"/>
  <c r="C1" i="12" a="1"/>
  <c r="C1" i="12" s="1"/>
  <c r="C1" i="11" a="1"/>
  <c r="C1" i="11" s="1"/>
  <c r="C1" i="9" a="1"/>
  <c r="C1" i="9" s="1"/>
  <c r="I22" i="3" l="1"/>
  <c r="M28" i="3"/>
  <c r="T28" i="3" s="1"/>
  <c r="N19" i="4"/>
  <c r="N39" i="4"/>
  <c r="H22" i="4"/>
  <c r="I20" i="4"/>
  <c r="P20" i="4" s="1"/>
  <c r="M21" i="4"/>
  <c r="T21" i="4" s="1"/>
  <c r="I38" i="4"/>
  <c r="H42" i="4"/>
  <c r="N42" i="4" s="1"/>
  <c r="I40" i="4"/>
  <c r="N40" i="4" s="1"/>
  <c r="M5" i="3"/>
  <c r="T5" i="3" s="1"/>
  <c r="M6" i="3"/>
  <c r="T6" i="3" s="1"/>
  <c r="I42" i="4"/>
  <c r="P42" i="4" s="1"/>
  <c r="M6" i="2"/>
  <c r="T6" i="2" s="1"/>
  <c r="H20" i="3"/>
  <c r="O20" i="3" s="1"/>
  <c r="N19" i="3"/>
  <c r="M3" i="3"/>
  <c r="T3" i="3" s="1"/>
  <c r="I2" i="3"/>
  <c r="G15" i="1" s="1" a="1"/>
  <c r="G15" i="1" s="1"/>
  <c r="M47" i="4"/>
  <c r="T47" i="4" s="1"/>
  <c r="I32" i="2"/>
  <c r="P32" i="2" s="1"/>
  <c r="H46" i="2"/>
  <c r="I33" i="2"/>
  <c r="P33" i="2" s="1"/>
  <c r="M24" i="2"/>
  <c r="T24" i="2" s="1"/>
  <c r="I5" i="3"/>
  <c r="P5" i="3" s="1"/>
  <c r="M19" i="3"/>
  <c r="T19" i="3" s="1"/>
  <c r="H5" i="4"/>
  <c r="H48" i="4"/>
  <c r="O48" i="4" s="1"/>
  <c r="M5" i="4"/>
  <c r="H45" i="4"/>
  <c r="N45" i="4" s="1"/>
  <c r="H2" i="4"/>
  <c r="M8" i="3"/>
  <c r="T8" i="3" s="1"/>
  <c r="H12" i="2"/>
  <c r="H47" i="2"/>
  <c r="O47" i="2" s="1"/>
  <c r="I36" i="2"/>
  <c r="P36" i="2" s="1"/>
  <c r="M20" i="3"/>
  <c r="T20" i="3" s="1"/>
  <c r="H6" i="4"/>
  <c r="I2" i="4"/>
  <c r="P2" i="4" s="1"/>
  <c r="M6" i="4"/>
  <c r="N6" i="3"/>
  <c r="M13" i="2"/>
  <c r="T13" i="2" s="1"/>
  <c r="M45" i="4"/>
  <c r="T45" i="4" s="1"/>
  <c r="M7" i="3"/>
  <c r="T7" i="3" s="1"/>
  <c r="H6" i="2"/>
  <c r="O6" i="2" s="1"/>
  <c r="H47" i="4"/>
  <c r="N47" i="4" s="1"/>
  <c r="I39" i="2"/>
  <c r="P39" i="2" s="1"/>
  <c r="I7" i="3"/>
  <c r="P7" i="3" s="1"/>
  <c r="M23" i="3"/>
  <c r="T23" i="3" s="1"/>
  <c r="H7" i="4"/>
  <c r="N7" i="4" s="1"/>
  <c r="M7" i="4"/>
  <c r="M7" i="2"/>
  <c r="T7" i="2" s="1"/>
  <c r="O23" i="4"/>
  <c r="H22" i="3"/>
  <c r="H29" i="3"/>
  <c r="N29" i="3" s="1"/>
  <c r="H43" i="4"/>
  <c r="I3" i="3"/>
  <c r="I43" i="4"/>
  <c r="P43" i="4" s="1"/>
  <c r="H14" i="2"/>
  <c r="H52" i="2"/>
  <c r="O52" i="2" s="1"/>
  <c r="I42" i="2"/>
  <c r="N42" i="2" s="1"/>
  <c r="H2" i="3"/>
  <c r="O2" i="3" s="1"/>
  <c r="I8" i="3"/>
  <c r="P8" i="3" s="1"/>
  <c r="H8" i="4"/>
  <c r="I8" i="4"/>
  <c r="P8" i="4" s="1"/>
  <c r="M40" i="4"/>
  <c r="T40" i="4" s="1"/>
  <c r="N4" i="2"/>
  <c r="N24" i="2"/>
  <c r="H16" i="2"/>
  <c r="H54" i="2"/>
  <c r="I44" i="2"/>
  <c r="P44" i="2" s="1"/>
  <c r="I18" i="4"/>
  <c r="P18" i="4" s="1"/>
  <c r="H37" i="2"/>
  <c r="I37" i="2"/>
  <c r="P37" i="2" s="1"/>
  <c r="I38" i="2"/>
  <c r="N38" i="2"/>
  <c r="O44" i="4"/>
  <c r="T30" i="2"/>
  <c r="O24" i="4"/>
  <c r="T49" i="4"/>
  <c r="O4" i="4"/>
  <c r="P13" i="4"/>
  <c r="N13" i="4"/>
  <c r="T31" i="3"/>
  <c r="T9" i="4"/>
  <c r="T25" i="2"/>
  <c r="T45" i="2"/>
  <c r="P14" i="4"/>
  <c r="P34" i="4"/>
  <c r="T10" i="2"/>
  <c r="M20" i="2"/>
  <c r="H20" i="2"/>
  <c r="P22" i="2"/>
  <c r="N22" i="2"/>
  <c r="O8" i="4"/>
  <c r="N8" i="4"/>
  <c r="T17" i="2"/>
  <c r="O7" i="3"/>
  <c r="O27" i="3"/>
  <c r="N27" i="3"/>
  <c r="O18" i="3"/>
  <c r="O46" i="4"/>
  <c r="H12" i="3"/>
  <c r="I12" i="3"/>
  <c r="M12" i="3"/>
  <c r="O47" i="4"/>
  <c r="I31" i="4"/>
  <c r="H31" i="4"/>
  <c r="P38" i="4"/>
  <c r="O42" i="4"/>
  <c r="O7" i="4"/>
  <c r="N6" i="2"/>
  <c r="N8" i="3"/>
  <c r="P21" i="3"/>
  <c r="I12" i="4"/>
  <c r="H12" i="4"/>
  <c r="O12" i="4" s="1"/>
  <c r="I32" i="4"/>
  <c r="H32" i="4"/>
  <c r="H30" i="3"/>
  <c r="I30" i="3"/>
  <c r="T16" i="4"/>
  <c r="I11" i="4"/>
  <c r="H11" i="4"/>
  <c r="T29" i="2"/>
  <c r="P37" i="4"/>
  <c r="H7" i="2"/>
  <c r="P22" i="3"/>
  <c r="H33" i="4"/>
  <c r="M33" i="4"/>
  <c r="O5" i="4"/>
  <c r="I36" i="4"/>
  <c r="T27" i="3"/>
  <c r="I20" i="2"/>
  <c r="N24" i="3"/>
  <c r="M40" i="2"/>
  <c r="T40" i="2" s="1"/>
  <c r="H40" i="2"/>
  <c r="M41" i="2"/>
  <c r="T41" i="2" s="1"/>
  <c r="H41" i="2"/>
  <c r="H11" i="3"/>
  <c r="I11" i="3"/>
  <c r="I35" i="3"/>
  <c r="M35" i="3"/>
  <c r="H34" i="3"/>
  <c r="M30" i="3"/>
  <c r="M31" i="4"/>
  <c r="I15" i="3"/>
  <c r="M15" i="3"/>
  <c r="N17" i="2"/>
  <c r="O17" i="2"/>
  <c r="M46" i="2"/>
  <c r="I16" i="3"/>
  <c r="M16" i="3"/>
  <c r="I36" i="3"/>
  <c r="M36" i="3"/>
  <c r="H35" i="3"/>
  <c r="I34" i="3"/>
  <c r="M32" i="4"/>
  <c r="O11" i="2"/>
  <c r="O21" i="3"/>
  <c r="N18" i="3"/>
  <c r="O38" i="2"/>
  <c r="P27" i="2"/>
  <c r="N18" i="2"/>
  <c r="M47" i="2"/>
  <c r="H36" i="3"/>
  <c r="P21" i="4"/>
  <c r="H34" i="4"/>
  <c r="M34" i="4"/>
  <c r="H8" i="2"/>
  <c r="I8" i="2"/>
  <c r="H28" i="2"/>
  <c r="I28" i="2"/>
  <c r="H48" i="2"/>
  <c r="I48" i="2"/>
  <c r="O53" i="2"/>
  <c r="T18" i="2"/>
  <c r="M48" i="2"/>
  <c r="T4" i="3"/>
  <c r="T5" i="4"/>
  <c r="P23" i="2"/>
  <c r="N38" i="4"/>
  <c r="N16" i="2"/>
  <c r="O16" i="2"/>
  <c r="T37" i="2"/>
  <c r="H9" i="2"/>
  <c r="I9" i="2"/>
  <c r="P38" i="2"/>
  <c r="P3" i="3"/>
  <c r="I16" i="4"/>
  <c r="T6" i="4"/>
  <c r="H14" i="4"/>
  <c r="M14" i="4"/>
  <c r="H35" i="4"/>
  <c r="M35" i="4"/>
  <c r="I35" i="4"/>
  <c r="H16" i="4"/>
  <c r="T44" i="2"/>
  <c r="O54" i="2"/>
  <c r="N7" i="3"/>
  <c r="H45" i="2"/>
  <c r="I45" i="2"/>
  <c r="H50" i="2"/>
  <c r="I50" i="2"/>
  <c r="M44" i="4"/>
  <c r="I44" i="4"/>
  <c r="N44" i="4" s="1"/>
  <c r="H31" i="3"/>
  <c r="I31" i="3"/>
  <c r="N26" i="3"/>
  <c r="P26" i="3"/>
  <c r="T30" i="4"/>
  <c r="H5" i="2"/>
  <c r="I5" i="2"/>
  <c r="I31" i="2"/>
  <c r="M31" i="2"/>
  <c r="T29" i="3"/>
  <c r="N4" i="3"/>
  <c r="P45" i="4"/>
  <c r="O20" i="4"/>
  <c r="H27" i="2"/>
  <c r="O27" i="2" s="1"/>
  <c r="I41" i="2"/>
  <c r="H10" i="3"/>
  <c r="P6" i="3"/>
  <c r="N27" i="4"/>
  <c r="O27" i="4"/>
  <c r="H33" i="3"/>
  <c r="I33" i="3"/>
  <c r="N21" i="3"/>
  <c r="O4" i="2"/>
  <c r="O15" i="2"/>
  <c r="P24" i="2"/>
  <c r="H29" i="2"/>
  <c r="I29" i="2"/>
  <c r="P29" i="2" s="1"/>
  <c r="H30" i="2"/>
  <c r="I30" i="2"/>
  <c r="I11" i="2"/>
  <c r="N11" i="2" s="1"/>
  <c r="M11" i="2"/>
  <c r="H26" i="2"/>
  <c r="N9" i="3"/>
  <c r="O9" i="3"/>
  <c r="P21" i="2"/>
  <c r="N53" i="2"/>
  <c r="O19" i="4"/>
  <c r="H31" i="2"/>
  <c r="P42" i="2"/>
  <c r="H14" i="3"/>
  <c r="M9" i="3"/>
  <c r="O28" i="4"/>
  <c r="T10" i="4"/>
  <c r="H15" i="4"/>
  <c r="M15" i="4"/>
  <c r="I15" i="4"/>
  <c r="G27" i="1" s="1" a="1"/>
  <c r="G27" i="1" s="1"/>
  <c r="H32" i="3"/>
  <c r="I32" i="3"/>
  <c r="M32" i="3"/>
  <c r="H13" i="3"/>
  <c r="I13" i="3"/>
  <c r="M13" i="3"/>
  <c r="H49" i="2"/>
  <c r="I49" i="2"/>
  <c r="M4" i="4"/>
  <c r="I4" i="4"/>
  <c r="N26" i="4"/>
  <c r="O26" i="4"/>
  <c r="N19" i="2"/>
  <c r="T22" i="4"/>
  <c r="O18" i="4"/>
  <c r="N20" i="4"/>
  <c r="P14" i="2"/>
  <c r="O32" i="2"/>
  <c r="N32" i="2"/>
  <c r="I12" i="2"/>
  <c r="M26" i="2"/>
  <c r="H15" i="3"/>
  <c r="M10" i="3"/>
  <c r="H36" i="4"/>
  <c r="M11" i="4"/>
  <c r="M21" i="2"/>
  <c r="H21" i="2"/>
  <c r="H25" i="2"/>
  <c r="I25" i="2"/>
  <c r="O55" i="2"/>
  <c r="M24" i="4"/>
  <c r="I24" i="4"/>
  <c r="P2" i="2"/>
  <c r="O45" i="4"/>
  <c r="I15" i="2"/>
  <c r="M15" i="2"/>
  <c r="T15" i="2" s="1"/>
  <c r="I35" i="2"/>
  <c r="M35" i="2"/>
  <c r="T35" i="2" s="1"/>
  <c r="N33" i="2"/>
  <c r="M27" i="2"/>
  <c r="N5" i="3"/>
  <c r="N25" i="3"/>
  <c r="O25" i="3"/>
  <c r="H16" i="3"/>
  <c r="I14" i="3"/>
  <c r="M11" i="3"/>
  <c r="I9" i="4"/>
  <c r="H9" i="4"/>
  <c r="I29" i="4"/>
  <c r="H29" i="4"/>
  <c r="I49" i="4"/>
  <c r="H49" i="4"/>
  <c r="M12" i="4"/>
  <c r="T12" i="4" s="1"/>
  <c r="N12" i="2"/>
  <c r="O12" i="2"/>
  <c r="N20" i="3"/>
  <c r="H10" i="2"/>
  <c r="I10" i="2"/>
  <c r="M50" i="2"/>
  <c r="N25" i="4"/>
  <c r="I51" i="2"/>
  <c r="M51" i="2"/>
  <c r="I40" i="2"/>
  <c r="O13" i="2"/>
  <c r="T17" i="4"/>
  <c r="N17" i="4"/>
  <c r="T16" i="2"/>
  <c r="N34" i="2"/>
  <c r="I52" i="2"/>
  <c r="M28" i="2"/>
  <c r="O17" i="3"/>
  <c r="I10" i="4"/>
  <c r="H10" i="4"/>
  <c r="I30" i="4"/>
  <c r="F24" i="1" s="1" a="1"/>
  <c r="F24" i="1" s="1"/>
  <c r="H30" i="4"/>
  <c r="C28" i="1" a="1"/>
  <c r="C28" i="1" s="1"/>
  <c r="O2" i="4"/>
  <c r="N23" i="3"/>
  <c r="T7" i="4"/>
  <c r="M14" i="2"/>
  <c r="M34" i="2"/>
  <c r="T34" i="2" s="1"/>
  <c r="M54" i="2"/>
  <c r="T54" i="2" s="1"/>
  <c r="N23" i="2"/>
  <c r="M55" i="2"/>
  <c r="T55" i="2" s="1"/>
  <c r="N3" i="3"/>
  <c r="M17" i="3"/>
  <c r="M18" i="4"/>
  <c r="T18" i="4" s="1"/>
  <c r="M38" i="4"/>
  <c r="M18" i="3"/>
  <c r="T18" i="3" s="1"/>
  <c r="M19" i="4"/>
  <c r="T19" i="4" s="1"/>
  <c r="M39" i="4"/>
  <c r="O3" i="4"/>
  <c r="Y39" i="4"/>
  <c r="Y18" i="4"/>
  <c r="Y8" i="4"/>
  <c r="X35" i="4"/>
  <c r="X37" i="4"/>
  <c r="W33" i="4"/>
  <c r="W13" i="4"/>
  <c r="Y9" i="3"/>
  <c r="Y30" i="2"/>
  <c r="Y25" i="2"/>
  <c r="Y21" i="2"/>
  <c r="Y27" i="2"/>
  <c r="Y26" i="2"/>
  <c r="Y22" i="2"/>
  <c r="Y20" i="2"/>
  <c r="Y24" i="2"/>
  <c r="Y23" i="2"/>
  <c r="W27" i="2"/>
  <c r="N48" i="4"/>
  <c r="P22" i="4"/>
  <c r="N21" i="4"/>
  <c r="N28" i="4"/>
  <c r="N5" i="4"/>
  <c r="T39" i="2"/>
  <c r="T5" i="2"/>
  <c r="N54" i="2"/>
  <c r="O29" i="2"/>
  <c r="A2" i="15" a="1"/>
  <c r="A2" i="15" s="1"/>
  <c r="N27" i="2" l="1"/>
  <c r="G4" i="1" a="1"/>
  <c r="G4" i="1" s="1"/>
  <c r="B6" i="1" a="1"/>
  <c r="B6" i="1" s="1"/>
  <c r="F7" i="1" a="1"/>
  <c r="F7" i="1" s="1"/>
  <c r="S15" i="1" a="1"/>
  <c r="S15" i="1" s="1"/>
  <c r="O6" i="4"/>
  <c r="N6" i="4"/>
  <c r="N43" i="4"/>
  <c r="O43" i="4"/>
  <c r="N44" i="2"/>
  <c r="N36" i="2"/>
  <c r="O14" i="2"/>
  <c r="N14" i="2"/>
  <c r="F13" i="1" a="1"/>
  <c r="F13" i="1" s="1"/>
  <c r="H13" i="1" s="1"/>
  <c r="V12" i="3" s="1"/>
  <c r="C27" i="1" a="1"/>
  <c r="C27" i="1" s="1"/>
  <c r="O22" i="3"/>
  <c r="N22" i="3"/>
  <c r="B4" i="1" a="1"/>
  <c r="B4" i="1" s="1"/>
  <c r="C3" i="1" a="1"/>
  <c r="C3" i="1" s="1"/>
  <c r="F27" i="1" a="1"/>
  <c r="F27" i="1" s="1"/>
  <c r="H27" i="1" s="1"/>
  <c r="R4" i="1" a="1"/>
  <c r="R4" i="1" s="1"/>
  <c r="N52" i="2"/>
  <c r="R26" i="1" a="1"/>
  <c r="R26" i="1" s="1"/>
  <c r="T26" i="1" s="1"/>
  <c r="N2" i="4"/>
  <c r="S6" i="1" a="1"/>
  <c r="S6" i="1" s="1"/>
  <c r="P2" i="3"/>
  <c r="N2" i="3"/>
  <c r="O29" i="3"/>
  <c r="N22" i="4"/>
  <c r="O22" i="4"/>
  <c r="P9" i="4"/>
  <c r="N39" i="2"/>
  <c r="B15" i="1" a="1"/>
  <c r="B15" i="1" s="1"/>
  <c r="N47" i="2"/>
  <c r="C13" i="1" a="1"/>
  <c r="C13" i="1" s="1"/>
  <c r="B27" i="1" a="1"/>
  <c r="B27" i="1" s="1"/>
  <c r="D27" i="1" s="1"/>
  <c r="N18" i="4"/>
  <c r="G13" i="1" a="1"/>
  <c r="G13" i="1" s="1"/>
  <c r="I13" i="1" s="1"/>
  <c r="C26" i="1" a="1"/>
  <c r="C26" i="1" s="1"/>
  <c r="C24" i="1" a="1"/>
  <c r="C24" i="1" s="1"/>
  <c r="E24" i="1" s="1"/>
  <c r="P40" i="4"/>
  <c r="B24" i="1" a="1"/>
  <c r="B24" i="1" s="1"/>
  <c r="N46" i="2"/>
  <c r="O46" i="2"/>
  <c r="C8" i="1" a="1"/>
  <c r="C8" i="1" s="1"/>
  <c r="S8" i="1" a="1"/>
  <c r="S8" i="1" s="1"/>
  <c r="R7" i="1" a="1"/>
  <c r="R7" i="1" s="1"/>
  <c r="B7" i="1" a="1"/>
  <c r="B7" i="1" s="1"/>
  <c r="N37" i="2"/>
  <c r="O37" i="2"/>
  <c r="C14" i="1" a="1"/>
  <c r="C14" i="1" s="1"/>
  <c r="T34" i="4"/>
  <c r="O11" i="4"/>
  <c r="N11" i="4"/>
  <c r="C18" i="1" a="1"/>
  <c r="C18" i="1" s="1"/>
  <c r="B28" i="1" a="1"/>
  <c r="B28" i="1" s="1"/>
  <c r="D28" i="1" s="1"/>
  <c r="N49" i="2"/>
  <c r="O49" i="2"/>
  <c r="P30" i="2"/>
  <c r="P50" i="2"/>
  <c r="G16" i="1" a="1"/>
  <c r="G16" i="1" s="1"/>
  <c r="N34" i="4"/>
  <c r="O34" i="4"/>
  <c r="P11" i="4"/>
  <c r="B26" i="1" a="1"/>
  <c r="B26" i="1" s="1"/>
  <c r="S3" i="1" a="1"/>
  <c r="S3" i="1" s="1"/>
  <c r="C23" i="1" a="1"/>
  <c r="C23" i="1" s="1"/>
  <c r="S26" i="1" a="1"/>
  <c r="S26" i="1" s="1"/>
  <c r="T26" i="2"/>
  <c r="N30" i="2"/>
  <c r="O30" i="2"/>
  <c r="O50" i="2"/>
  <c r="N50" i="2"/>
  <c r="S28" i="1" a="1"/>
  <c r="S28" i="1" s="1"/>
  <c r="B14" i="1" a="1"/>
  <c r="B14" i="1" s="1"/>
  <c r="D14" i="1" s="1"/>
  <c r="T15" i="3"/>
  <c r="P36" i="4"/>
  <c r="B25" i="1" a="1"/>
  <c r="B25" i="1" s="1"/>
  <c r="P16" i="4"/>
  <c r="G5" i="1" a="1"/>
  <c r="G5" i="1" s="1"/>
  <c r="N15" i="3"/>
  <c r="A9" i="11" s="1" a="1"/>
  <c r="A6" i="11" s="1"/>
  <c r="P15" i="3"/>
  <c r="T27" i="2"/>
  <c r="T38" i="4"/>
  <c r="P24" i="4"/>
  <c r="P12" i="2"/>
  <c r="P13" i="3"/>
  <c r="O14" i="3"/>
  <c r="N14" i="3"/>
  <c r="N29" i="2"/>
  <c r="N10" i="3"/>
  <c r="O10" i="3"/>
  <c r="B17" i="1" a="1"/>
  <c r="B17" i="1" s="1"/>
  <c r="O45" i="2"/>
  <c r="N45" i="2"/>
  <c r="R23" i="1" a="1"/>
  <c r="R23" i="1" s="1"/>
  <c r="T31" i="4"/>
  <c r="O31" i="4"/>
  <c r="N31" i="4"/>
  <c r="C16" i="1" a="1"/>
  <c r="C16" i="1" s="1"/>
  <c r="C25" i="1" a="1"/>
  <c r="C25" i="1" s="1"/>
  <c r="E25" i="1" s="1"/>
  <c r="N35" i="2"/>
  <c r="P35" i="2"/>
  <c r="T24" i="4"/>
  <c r="O13" i="3"/>
  <c r="N13" i="3"/>
  <c r="S16" i="1" a="1"/>
  <c r="S16" i="1" s="1"/>
  <c r="T31" i="2"/>
  <c r="R24" i="1" a="1"/>
  <c r="R24" i="1" s="1"/>
  <c r="T33" i="4"/>
  <c r="P31" i="4"/>
  <c r="S7" i="1" a="1"/>
  <c r="S7" i="1" s="1"/>
  <c r="T17" i="3"/>
  <c r="R6" i="1" a="1"/>
  <c r="R6" i="1" s="1"/>
  <c r="N49" i="4"/>
  <c r="T32" i="3"/>
  <c r="R14" i="1" a="1"/>
  <c r="R14" i="1" s="1"/>
  <c r="P31" i="2"/>
  <c r="R25" i="1" a="1"/>
  <c r="R25" i="1" s="1"/>
  <c r="N36" i="3"/>
  <c r="O36" i="3"/>
  <c r="T30" i="3"/>
  <c r="N33" i="4"/>
  <c r="O33" i="4"/>
  <c r="P15" i="2"/>
  <c r="N15" i="2"/>
  <c r="P32" i="3"/>
  <c r="R15" i="1" a="1"/>
  <c r="R15" i="1" s="1"/>
  <c r="T15" i="1" s="1"/>
  <c r="P5" i="2"/>
  <c r="F8" i="1" a="1"/>
  <c r="F8" i="1" s="1"/>
  <c r="G7" i="1" a="1"/>
  <c r="G7" i="1" s="1"/>
  <c r="B16" i="1" a="1"/>
  <c r="B16" i="1" s="1"/>
  <c r="T32" i="4"/>
  <c r="O34" i="3"/>
  <c r="N34" i="3"/>
  <c r="P30" i="3"/>
  <c r="R16" i="1" a="1"/>
  <c r="R16" i="1" s="1"/>
  <c r="O5" i="2"/>
  <c r="N5" i="2"/>
  <c r="P9" i="2"/>
  <c r="R27" i="1" a="1"/>
  <c r="R27" i="1" s="1"/>
  <c r="T47" i="2"/>
  <c r="T35" i="3"/>
  <c r="N30" i="3"/>
  <c r="O30" i="3"/>
  <c r="O32" i="3"/>
  <c r="N32" i="3"/>
  <c r="P25" i="2"/>
  <c r="R17" i="1" a="1"/>
  <c r="R17" i="1" s="1"/>
  <c r="O9" i="2"/>
  <c r="N9" i="2"/>
  <c r="N35" i="3"/>
  <c r="P35" i="3"/>
  <c r="N32" i="4"/>
  <c r="O32" i="4"/>
  <c r="T12" i="3"/>
  <c r="O20" i="2"/>
  <c r="N20" i="2"/>
  <c r="T44" i="4"/>
  <c r="P49" i="4"/>
  <c r="C5" i="1" a="1"/>
  <c r="C5" i="1" s="1"/>
  <c r="R18" i="1" a="1"/>
  <c r="R18" i="1" s="1"/>
  <c r="P48" i="2"/>
  <c r="P34" i="3"/>
  <c r="P32" i="4"/>
  <c r="P12" i="3"/>
  <c r="T20" i="2"/>
  <c r="N24" i="4"/>
  <c r="T13" i="3"/>
  <c r="N29" i="4"/>
  <c r="O29" i="4"/>
  <c r="S5" i="1" a="1"/>
  <c r="S5" i="1" s="1"/>
  <c r="P30" i="4"/>
  <c r="P40" i="2"/>
  <c r="N9" i="4"/>
  <c r="N21" i="2"/>
  <c r="O21" i="2"/>
  <c r="O15" i="4"/>
  <c r="N15" i="4"/>
  <c r="C6" i="1" a="1"/>
  <c r="C6" i="1" s="1"/>
  <c r="S13" i="1" a="1"/>
  <c r="S13" i="1" s="1"/>
  <c r="G18" i="1" a="1"/>
  <c r="G18" i="1" s="1"/>
  <c r="N48" i="2"/>
  <c r="O48" i="2"/>
  <c r="O35" i="3"/>
  <c r="N12" i="4"/>
  <c r="O12" i="3"/>
  <c r="N12" i="3"/>
  <c r="O15" i="3"/>
  <c r="P15" i="4"/>
  <c r="N30" i="4"/>
  <c r="O30" i="4"/>
  <c r="T15" i="4"/>
  <c r="S4" i="1" a="1"/>
  <c r="S4" i="1" s="1"/>
  <c r="P12" i="4"/>
  <c r="F26" i="1" a="1"/>
  <c r="F26" i="1" s="1"/>
  <c r="B5" i="1" a="1"/>
  <c r="B5" i="1" s="1"/>
  <c r="O10" i="4"/>
  <c r="N10" i="4"/>
  <c r="T51" i="2"/>
  <c r="T11" i="3"/>
  <c r="T36" i="3"/>
  <c r="P14" i="3"/>
  <c r="O16" i="4"/>
  <c r="N16" i="4"/>
  <c r="O28" i="2"/>
  <c r="N28" i="2"/>
  <c r="O11" i="3"/>
  <c r="N11" i="3"/>
  <c r="G23" i="1" a="1"/>
  <c r="G23" i="1" s="1"/>
  <c r="N16" i="3"/>
  <c r="O16" i="3"/>
  <c r="S25" i="1" a="1"/>
  <c r="S25" i="1" s="1"/>
  <c r="U25" i="1" s="1"/>
  <c r="R13" i="1" a="1"/>
  <c r="R13" i="1" s="1"/>
  <c r="F16" i="1" a="1"/>
  <c r="F16" i="1" s="1"/>
  <c r="P8" i="2"/>
  <c r="T16" i="3"/>
  <c r="O41" i="2"/>
  <c r="N41" i="2"/>
  <c r="O7" i="2"/>
  <c r="N7" i="2"/>
  <c r="R3" i="1" a="1"/>
  <c r="R3" i="1" s="1"/>
  <c r="S18" i="1" a="1"/>
  <c r="S18" i="1" s="1"/>
  <c r="P45" i="2"/>
  <c r="T48" i="2"/>
  <c r="F14" i="1" a="1"/>
  <c r="F14" i="1" s="1"/>
  <c r="H14" i="1" s="1"/>
  <c r="G28" i="1" a="1"/>
  <c r="G28" i="1" s="1"/>
  <c r="S24" i="1" a="1"/>
  <c r="S24" i="1" s="1"/>
  <c r="U24" i="1" s="1"/>
  <c r="P36" i="3"/>
  <c r="C4" i="1" a="1"/>
  <c r="C4" i="1" s="1"/>
  <c r="B8" i="1" a="1"/>
  <c r="B8" i="1" s="1"/>
  <c r="B18" i="1" a="1"/>
  <c r="B18" i="1" s="1"/>
  <c r="D18" i="1" s="1"/>
  <c r="T50" i="2"/>
  <c r="P33" i="3"/>
  <c r="P31" i="3"/>
  <c r="P35" i="4"/>
  <c r="F17" i="1" a="1"/>
  <c r="F17" i="1" s="1"/>
  <c r="O8" i="2"/>
  <c r="N8" i="2"/>
  <c r="P16" i="3"/>
  <c r="P49" i="2"/>
  <c r="P11" i="2"/>
  <c r="T9" i="3"/>
  <c r="S17" i="1" a="1"/>
  <c r="S17" i="1" s="1"/>
  <c r="F23" i="1" a="1"/>
  <c r="F23" i="1" s="1"/>
  <c r="G26" i="1" a="1"/>
  <c r="G26" i="1" s="1"/>
  <c r="I26" i="1" s="1"/>
  <c r="O9" i="4"/>
  <c r="N25" i="2"/>
  <c r="O25" i="2"/>
  <c r="R5" i="1" a="1"/>
  <c r="R5" i="1" s="1"/>
  <c r="F15" i="1" a="1"/>
  <c r="F15" i="1" s="1"/>
  <c r="H15" i="1" s="1"/>
  <c r="B13" i="1" a="1"/>
  <c r="B13" i="1" s="1"/>
  <c r="D13" i="1" s="1"/>
  <c r="C17" i="1" a="1"/>
  <c r="C17" i="1" s="1"/>
  <c r="S27" i="1" a="1"/>
  <c r="S27" i="1" s="1"/>
  <c r="T28" i="2"/>
  <c r="P10" i="2"/>
  <c r="F3" i="1" a="1"/>
  <c r="F3" i="1" s="1"/>
  <c r="B3" i="1" a="1"/>
  <c r="B3" i="1" s="1"/>
  <c r="N33" i="3"/>
  <c r="O33" i="3"/>
  <c r="N31" i="3"/>
  <c r="O31" i="3"/>
  <c r="T35" i="4"/>
  <c r="F18" i="1" a="1"/>
  <c r="F18" i="1" s="1"/>
  <c r="T46" i="2"/>
  <c r="O40" i="2"/>
  <c r="N40" i="2"/>
  <c r="G6" i="1" a="1"/>
  <c r="G6" i="1" s="1"/>
  <c r="F25" i="1" a="1"/>
  <c r="F25" i="1" s="1"/>
  <c r="H25" i="1" s="1"/>
  <c r="P10" i="4"/>
  <c r="P51" i="2"/>
  <c r="P41" i="2"/>
  <c r="O49" i="4"/>
  <c r="T39" i="4"/>
  <c r="G17" i="1" a="1"/>
  <c r="G17" i="1" s="1"/>
  <c r="I17" i="1" s="1"/>
  <c r="P52" i="2"/>
  <c r="O10" i="2"/>
  <c r="N10" i="2"/>
  <c r="F4" i="1" a="1"/>
  <c r="F4" i="1" s="1"/>
  <c r="T11" i="4"/>
  <c r="S23" i="1" a="1"/>
  <c r="S23" i="1" s="1"/>
  <c r="N35" i="4"/>
  <c r="O35" i="4"/>
  <c r="B23" i="1" a="1"/>
  <c r="B23" i="1" s="1"/>
  <c r="D23" i="1" s="1"/>
  <c r="P29" i="4"/>
  <c r="T14" i="2"/>
  <c r="F5" i="1" a="1"/>
  <c r="F5" i="1" s="1"/>
  <c r="G24" i="1" a="1"/>
  <c r="G24" i="1" s="1"/>
  <c r="I24" i="1" s="1"/>
  <c r="P4" i="4"/>
  <c r="F28" i="1" a="1"/>
  <c r="F28" i="1" s="1"/>
  <c r="G25" i="1" a="1"/>
  <c r="G25" i="1" s="1"/>
  <c r="N26" i="2"/>
  <c r="O26" i="2"/>
  <c r="R28" i="1" a="1"/>
  <c r="R28" i="1" s="1"/>
  <c r="N51" i="2"/>
  <c r="N31" i="2"/>
  <c r="O31" i="2"/>
  <c r="R8" i="1" a="1"/>
  <c r="R8" i="1" s="1"/>
  <c r="T8" i="1" s="1"/>
  <c r="G3" i="1" a="1"/>
  <c r="G3" i="1" s="1"/>
  <c r="T21" i="2"/>
  <c r="S14" i="1" a="1"/>
  <c r="S14" i="1" s="1"/>
  <c r="P28" i="2"/>
  <c r="P11" i="3"/>
  <c r="G8" i="1" a="1"/>
  <c r="G8" i="1" s="1"/>
  <c r="C15" i="1" a="1"/>
  <c r="C15" i="1" s="1"/>
  <c r="E15" i="1" s="1"/>
  <c r="N36" i="4"/>
  <c r="O36" i="4"/>
  <c r="T14" i="4"/>
  <c r="C7" i="1" a="1"/>
  <c r="C7" i="1" s="1"/>
  <c r="F6" i="1" a="1"/>
  <c r="F6" i="1" s="1"/>
  <c r="T10" i="3"/>
  <c r="T4" i="4"/>
  <c r="T11" i="2"/>
  <c r="P44" i="4"/>
  <c r="O14" i="4"/>
  <c r="N14" i="4"/>
  <c r="G14" i="1" a="1"/>
  <c r="G14" i="1" s="1"/>
  <c r="P20" i="2"/>
  <c r="N4" i="4"/>
  <c r="T6" i="1" l="1"/>
  <c r="A9" i="12" a="1"/>
  <c r="A6" i="12" s="1"/>
  <c r="H4" i="1"/>
  <c r="D8" i="1"/>
  <c r="E4" i="1"/>
  <c r="U4" i="1"/>
  <c r="E6" i="1"/>
  <c r="U7" i="1"/>
  <c r="I7" i="1"/>
  <c r="I15" i="1"/>
  <c r="V16" i="3" s="1"/>
  <c r="U17" i="1"/>
  <c r="E27" i="1"/>
  <c r="U35" i="4" s="1"/>
  <c r="H23" i="1"/>
  <c r="V5" i="4" s="1"/>
  <c r="U3" i="1"/>
  <c r="T18" i="1"/>
  <c r="D24" i="1"/>
  <c r="U2" i="4" s="1"/>
  <c r="D26" i="1"/>
  <c r="I27" i="1"/>
  <c r="V36" i="4" s="1"/>
  <c r="U23" i="1"/>
  <c r="D3" i="1"/>
  <c r="U22" i="2" s="1"/>
  <c r="E5" i="1"/>
  <c r="T27" i="1"/>
  <c r="Z37" i="4" s="1"/>
  <c r="H24" i="1"/>
  <c r="V2" i="4" s="1"/>
  <c r="U26" i="1"/>
  <c r="I18" i="1"/>
  <c r="E28" i="1"/>
  <c r="U44" i="4" s="1"/>
  <c r="H3" i="1"/>
  <c r="T28" i="1"/>
  <c r="E16" i="1"/>
  <c r="V13" i="3"/>
  <c r="T16" i="1"/>
  <c r="I16" i="1"/>
  <c r="I28" i="1"/>
  <c r="E17" i="1"/>
  <c r="T13" i="1"/>
  <c r="T14" i="1"/>
  <c r="Z3" i="3" s="1"/>
  <c r="U5" i="1"/>
  <c r="H8" i="1"/>
  <c r="D6" i="1"/>
  <c r="U54" i="2" s="1"/>
  <c r="H6" i="1"/>
  <c r="I5" i="1"/>
  <c r="E7" i="1"/>
  <c r="Z20" i="3"/>
  <c r="Z19" i="3"/>
  <c r="Z22" i="3"/>
  <c r="Z24" i="3"/>
  <c r="Z25" i="3"/>
  <c r="Z26" i="3"/>
  <c r="D16" i="1"/>
  <c r="U36" i="3" s="1"/>
  <c r="U16" i="1"/>
  <c r="Z36" i="3" s="1"/>
  <c r="U10" i="3"/>
  <c r="V15" i="3"/>
  <c r="V6" i="4"/>
  <c r="V3" i="4"/>
  <c r="T25" i="1"/>
  <c r="D17" i="1"/>
  <c r="I3" i="1"/>
  <c r="V30" i="2" s="1"/>
  <c r="E23" i="1"/>
  <c r="U12" i="4" s="1"/>
  <c r="D25" i="1"/>
  <c r="E14" i="1"/>
  <c r="U7" i="3" s="1"/>
  <c r="Z48" i="4"/>
  <c r="Z49" i="4"/>
  <c r="U3" i="4"/>
  <c r="U6" i="4"/>
  <c r="U8" i="4"/>
  <c r="U5" i="4"/>
  <c r="H16" i="1"/>
  <c r="U8" i="1"/>
  <c r="Z51" i="2" s="1"/>
  <c r="U15" i="1"/>
  <c r="Z16" i="3" s="1"/>
  <c r="T7" i="1"/>
  <c r="E13" i="1"/>
  <c r="U11" i="3" s="1"/>
  <c r="U27" i="1"/>
  <c r="E3" i="1"/>
  <c r="V28" i="3"/>
  <c r="V19" i="3"/>
  <c r="V27" i="3"/>
  <c r="V26" i="3"/>
  <c r="V17" i="3"/>
  <c r="V21" i="3"/>
  <c r="V18" i="3"/>
  <c r="V23" i="3"/>
  <c r="V24" i="3"/>
  <c r="E8" i="1"/>
  <c r="I4" i="1"/>
  <c r="V15" i="2" s="1"/>
  <c r="H28" i="1"/>
  <c r="V41" i="4" s="1"/>
  <c r="T5" i="1"/>
  <c r="I23" i="1"/>
  <c r="V8" i="4" s="1"/>
  <c r="D5" i="1"/>
  <c r="V9" i="3"/>
  <c r="V8" i="3"/>
  <c r="V10" i="3"/>
  <c r="Z15" i="3"/>
  <c r="U28" i="1"/>
  <c r="Z47" i="4" s="1"/>
  <c r="I8" i="1"/>
  <c r="V11" i="3"/>
  <c r="H18" i="1"/>
  <c r="H17" i="1"/>
  <c r="H26" i="1"/>
  <c r="U18" i="1"/>
  <c r="Z34" i="3" s="1"/>
  <c r="V12" i="4"/>
  <c r="Z13" i="3"/>
  <c r="H7" i="1"/>
  <c r="T23" i="1"/>
  <c r="E26" i="1"/>
  <c r="T17" i="1"/>
  <c r="I25" i="1"/>
  <c r="V33" i="4" s="1"/>
  <c r="I14" i="1"/>
  <c r="V2" i="3" s="1"/>
  <c r="T3" i="1"/>
  <c r="U6" i="1"/>
  <c r="T24" i="1"/>
  <c r="Z2" i="4" s="1"/>
  <c r="T4" i="1"/>
  <c r="Z15" i="2" s="1"/>
  <c r="I6" i="1"/>
  <c r="H5" i="1"/>
  <c r="D7" i="1"/>
  <c r="U43" i="4"/>
  <c r="U41" i="4"/>
  <c r="U42" i="4"/>
  <c r="U38" i="4"/>
  <c r="U46" i="4"/>
  <c r="U40" i="4"/>
  <c r="U47" i="4"/>
  <c r="D4" i="1"/>
  <c r="U14" i="1"/>
  <c r="U13" i="1"/>
  <c r="E18" i="1"/>
  <c r="U33" i="3" s="1"/>
  <c r="D15" i="1"/>
  <c r="A9" i="11"/>
  <c r="T9" i="11" s="1"/>
  <c r="Z53" i="2" l="1"/>
  <c r="V20" i="2"/>
  <c r="U50" i="2"/>
  <c r="A9" i="12"/>
  <c r="T9" i="12" s="1"/>
  <c r="T2" i="12" s="1"/>
  <c r="Z34" i="2"/>
  <c r="V29" i="2"/>
  <c r="V55" i="2"/>
  <c r="V18" i="2"/>
  <c r="V23" i="2"/>
  <c r="V21" i="2"/>
  <c r="V17" i="2"/>
  <c r="V37" i="4"/>
  <c r="V8" i="2"/>
  <c r="U48" i="4"/>
  <c r="Z35" i="4"/>
  <c r="Z34" i="4"/>
  <c r="V14" i="2"/>
  <c r="U53" i="2"/>
  <c r="U51" i="2"/>
  <c r="Z7" i="3"/>
  <c r="V27" i="4"/>
  <c r="U34" i="4"/>
  <c r="U28" i="2"/>
  <c r="U55" i="2"/>
  <c r="V6" i="2"/>
  <c r="Z17" i="3"/>
  <c r="U52" i="2"/>
  <c r="U45" i="4"/>
  <c r="Z36" i="4"/>
  <c r="V24" i="2"/>
  <c r="V25" i="3"/>
  <c r="V26" i="4"/>
  <c r="V7" i="4"/>
  <c r="Z2" i="3"/>
  <c r="U37" i="4"/>
  <c r="V9" i="2"/>
  <c r="V2" i="2"/>
  <c r="V6" i="3"/>
  <c r="V13" i="2"/>
  <c r="Z4" i="3"/>
  <c r="V19" i="2"/>
  <c r="V14" i="3"/>
  <c r="V4" i="4"/>
  <c r="V7" i="2"/>
  <c r="V35" i="4"/>
  <c r="Z5" i="3"/>
  <c r="U36" i="4"/>
  <c r="V36" i="3"/>
  <c r="Z6" i="3"/>
  <c r="U39" i="4"/>
  <c r="V20" i="3"/>
  <c r="V25" i="4"/>
  <c r="V9" i="4"/>
  <c r="V22" i="3"/>
  <c r="U7" i="4"/>
  <c r="V34" i="4"/>
  <c r="U17" i="2"/>
  <c r="U19" i="2"/>
  <c r="U18" i="2"/>
  <c r="V22" i="2"/>
  <c r="V54" i="2"/>
  <c r="V5" i="2"/>
  <c r="V16" i="2"/>
  <c r="U21" i="2"/>
  <c r="U20" i="2"/>
  <c r="V25" i="2"/>
  <c r="V27" i="2"/>
  <c r="U26" i="2"/>
  <c r="V28" i="2"/>
  <c r="V26" i="2"/>
  <c r="V52" i="2"/>
  <c r="V35" i="3"/>
  <c r="V32" i="3"/>
  <c r="V34" i="3"/>
  <c r="V33" i="3"/>
  <c r="Z22" i="2"/>
  <c r="Z24" i="2"/>
  <c r="Z19" i="2"/>
  <c r="Z30" i="2"/>
  <c r="Z23" i="2"/>
  <c r="Z25" i="2"/>
  <c r="Z29" i="2"/>
  <c r="Z18" i="2"/>
  <c r="Z17" i="2"/>
  <c r="Z16" i="2"/>
  <c r="Z26" i="2"/>
  <c r="Z27" i="2"/>
  <c r="Z28" i="2"/>
  <c r="Z21" i="2"/>
  <c r="Z20" i="2"/>
  <c r="Z55" i="2"/>
  <c r="V47" i="2"/>
  <c r="V46" i="2"/>
  <c r="V45" i="2"/>
  <c r="V48" i="2"/>
  <c r="V49" i="2"/>
  <c r="V5" i="3"/>
  <c r="V51" i="2"/>
  <c r="V29" i="3"/>
  <c r="V31" i="3"/>
  <c r="V30" i="3"/>
  <c r="U2" i="2"/>
  <c r="U3" i="2"/>
  <c r="U12" i="2"/>
  <c r="U6" i="2"/>
  <c r="U14" i="2"/>
  <c r="U4" i="2"/>
  <c r="U13" i="2"/>
  <c r="U15" i="2"/>
  <c r="U11" i="2"/>
  <c r="U7" i="2"/>
  <c r="U10" i="2"/>
  <c r="U5" i="2"/>
  <c r="U8" i="2"/>
  <c r="U9" i="2"/>
  <c r="Z43" i="4"/>
  <c r="Z45" i="4"/>
  <c r="Z32" i="3"/>
  <c r="Z54" i="2"/>
  <c r="V21" i="4"/>
  <c r="Z39" i="4"/>
  <c r="Z44" i="4"/>
  <c r="U5" i="3"/>
  <c r="U4" i="3"/>
  <c r="Z33" i="3"/>
  <c r="V46" i="4"/>
  <c r="V39" i="4"/>
  <c r="V47" i="4"/>
  <c r="V38" i="4"/>
  <c r="V45" i="4"/>
  <c r="V42" i="4"/>
  <c r="V43" i="4"/>
  <c r="V40" i="4"/>
  <c r="V44" i="4"/>
  <c r="V22" i="4"/>
  <c r="Z50" i="2"/>
  <c r="Z27" i="3"/>
  <c r="V3" i="3"/>
  <c r="Z41" i="4"/>
  <c r="U19" i="4"/>
  <c r="U13" i="4"/>
  <c r="U21" i="4"/>
  <c r="U22" i="4"/>
  <c r="U27" i="4"/>
  <c r="U28" i="4"/>
  <c r="U23" i="4"/>
  <c r="U26" i="4"/>
  <c r="U17" i="4"/>
  <c r="U25" i="4"/>
  <c r="U24" i="4"/>
  <c r="U18" i="4"/>
  <c r="U20" i="4"/>
  <c r="U15" i="4"/>
  <c r="U31" i="4"/>
  <c r="U14" i="4"/>
  <c r="U29" i="4"/>
  <c r="U30" i="4"/>
  <c r="U33" i="4"/>
  <c r="U32" i="4"/>
  <c r="U16" i="4"/>
  <c r="V50" i="2"/>
  <c r="U29" i="2"/>
  <c r="V7" i="3"/>
  <c r="Z42" i="4"/>
  <c r="V11" i="2"/>
  <c r="V10" i="2"/>
  <c r="U49" i="4"/>
  <c r="U6" i="3"/>
  <c r="V12" i="2"/>
  <c r="V31" i="4"/>
  <c r="Z49" i="2"/>
  <c r="Z45" i="2"/>
  <c r="Z46" i="2"/>
  <c r="Z48" i="2"/>
  <c r="Z47" i="2"/>
  <c r="V19" i="4"/>
  <c r="Z14" i="3"/>
  <c r="U34" i="3"/>
  <c r="Z46" i="4"/>
  <c r="V4" i="3"/>
  <c r="V11" i="4"/>
  <c r="V10" i="4"/>
  <c r="U46" i="2"/>
  <c r="U47" i="2"/>
  <c r="U45" i="2"/>
  <c r="U49" i="2"/>
  <c r="U48" i="2"/>
  <c r="V20" i="4"/>
  <c r="U9" i="4"/>
  <c r="U2" i="3"/>
  <c r="V28" i="4"/>
  <c r="U3" i="3"/>
  <c r="V23" i="4"/>
  <c r="Z28" i="3"/>
  <c r="Z3" i="4"/>
  <c r="Z8" i="4"/>
  <c r="Z10" i="4"/>
  <c r="Z9" i="4"/>
  <c r="Z12" i="4"/>
  <c r="Z6" i="4"/>
  <c r="Z7" i="4"/>
  <c r="Z5" i="4"/>
  <c r="Z11" i="4"/>
  <c r="Z4" i="4"/>
  <c r="V24" i="4"/>
  <c r="U22" i="3"/>
  <c r="U26" i="3"/>
  <c r="U19" i="3"/>
  <c r="U28" i="3"/>
  <c r="U25" i="3"/>
  <c r="U18" i="3"/>
  <c r="U27" i="3"/>
  <c r="U17" i="3"/>
  <c r="U21" i="3"/>
  <c r="U23" i="3"/>
  <c r="U20" i="3"/>
  <c r="U24" i="3"/>
  <c r="U16" i="3"/>
  <c r="U15" i="3"/>
  <c r="U14" i="3"/>
  <c r="U13" i="3"/>
  <c r="V14" i="4"/>
  <c r="Z40" i="4"/>
  <c r="V13" i="4"/>
  <c r="V18" i="4"/>
  <c r="Z40" i="2"/>
  <c r="Z33" i="2"/>
  <c r="Z32" i="2"/>
  <c r="Z42" i="2"/>
  <c r="Z44" i="2"/>
  <c r="Z39" i="2"/>
  <c r="Z38" i="2"/>
  <c r="Z41" i="2"/>
  <c r="Z35" i="2"/>
  <c r="Z43" i="2"/>
  <c r="Z37" i="2"/>
  <c r="Z36" i="2"/>
  <c r="Z31" i="2"/>
  <c r="U8" i="3"/>
  <c r="Z2" i="2"/>
  <c r="Z4" i="2"/>
  <c r="Z3" i="2"/>
  <c r="Z13" i="2"/>
  <c r="Z12" i="2"/>
  <c r="Z9" i="2"/>
  <c r="Z8" i="2"/>
  <c r="Z7" i="2"/>
  <c r="Z6" i="2"/>
  <c r="Z5" i="2"/>
  <c r="Z10" i="2"/>
  <c r="Z14" i="2"/>
  <c r="Z11" i="2"/>
  <c r="Z38" i="4"/>
  <c r="U35" i="3"/>
  <c r="U12" i="3"/>
  <c r="Z23" i="3"/>
  <c r="U11" i="4"/>
  <c r="V17" i="4"/>
  <c r="V16" i="4"/>
  <c r="V15" i="4"/>
  <c r="V29" i="4"/>
  <c r="V32" i="4"/>
  <c r="Z52" i="2"/>
  <c r="U39" i="2"/>
  <c r="U33" i="2"/>
  <c r="U36" i="2"/>
  <c r="U34" i="2"/>
  <c r="U35" i="2"/>
  <c r="U32" i="2"/>
  <c r="U38" i="2"/>
  <c r="U37" i="2"/>
  <c r="U42" i="2"/>
  <c r="U43" i="2"/>
  <c r="U44" i="2"/>
  <c r="U40" i="2"/>
  <c r="U31" i="2"/>
  <c r="U41" i="2"/>
  <c r="Z10" i="3"/>
  <c r="Z11" i="3"/>
  <c r="Z9" i="3"/>
  <c r="V30" i="4"/>
  <c r="U10" i="4"/>
  <c r="Z35" i="3"/>
  <c r="U24" i="2"/>
  <c r="U9" i="3"/>
  <c r="U23" i="2"/>
  <c r="V53" i="2"/>
  <c r="U30" i="2"/>
  <c r="U27" i="2"/>
  <c r="U32" i="3"/>
  <c r="V4" i="2"/>
  <c r="U29" i="3"/>
  <c r="U30" i="3"/>
  <c r="U31" i="3"/>
  <c r="Z21" i="3"/>
  <c r="Z31" i="3"/>
  <c r="Z29" i="3"/>
  <c r="Z30" i="3"/>
  <c r="U25" i="2"/>
  <c r="V36" i="2"/>
  <c r="V33" i="2"/>
  <c r="V32" i="2"/>
  <c r="V39" i="2"/>
  <c r="V43" i="2"/>
  <c r="V34" i="2"/>
  <c r="V37" i="2"/>
  <c r="V38" i="2"/>
  <c r="V42" i="2"/>
  <c r="V44" i="2"/>
  <c r="V41" i="2"/>
  <c r="V40" i="2"/>
  <c r="V35" i="2"/>
  <c r="V31" i="2"/>
  <c r="U16" i="2"/>
  <c r="V48" i="4"/>
  <c r="V49" i="4"/>
  <c r="V3" i="2"/>
  <c r="Z8" i="3"/>
  <c r="U4" i="4"/>
  <c r="Z18" i="4"/>
  <c r="Z13" i="4"/>
  <c r="Z25" i="4"/>
  <c r="Z27" i="4"/>
  <c r="Z21" i="4"/>
  <c r="Z28" i="4"/>
  <c r="Z16" i="4"/>
  <c r="Z29" i="4"/>
  <c r="Z26" i="4"/>
  <c r="Z30" i="4"/>
  <c r="Z23" i="4"/>
  <c r="Z20" i="4"/>
  <c r="Z17" i="4"/>
  <c r="Z19" i="4"/>
  <c r="Z22" i="4"/>
  <c r="Z32" i="4"/>
  <c r="Z31" i="4"/>
  <c r="Z33" i="4"/>
  <c r="Z14" i="4"/>
  <c r="Z24" i="4"/>
  <c r="Z15" i="4"/>
  <c r="Z18" i="3"/>
  <c r="Z12" i="3"/>
  <c r="T2" i="11"/>
  <c r="A9" i="9" l="1" a="1"/>
  <c r="T10" i="9" l="1"/>
  <c r="T11" i="9"/>
  <c r="T12" i="9"/>
  <c r="A6" i="9"/>
  <c r="A9" i="9"/>
  <c r="T9" i="9" s="1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<sst xmlns="http://schemas.openxmlformats.org/spreadsheetml/2006/main" count="800" uniqueCount="248">
  <si>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</si>
  <si>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</si>
  <si>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</si>
  <si>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</si>
  <si>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</si>
  <si>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</si>
  <si>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</si>
  <si>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</si>
  <si>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</si>
  <si>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</si>
  <si>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</si>
  <si>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</si>
  <si>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</si>
  <si>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</si>
  <si>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</si>
  <si>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</si>
  <si>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</si>
  <si>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</si>
  <si>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</si>
  <si>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</si>
  <si>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</si>
  <si>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</si>
  <si>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</si>
  <si>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</si>
  <si>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</si>
  <si>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</si>
  <si>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</si>
  <si>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</si>
  <si>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</si>
  <si>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</si>
  <si>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</si>
  <si>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</si>
  <si>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</si>
  <si>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</si>
  <si>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</si>
  <si>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</si>
  <si>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</si>
  <si>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</si>
  <si>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</si>
  <si>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</si>
  <si>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</si>
  <si>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</si>
  <si>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</si>
  <si>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</si>
  <si>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</si>
  <si>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</si>
  <si>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</si>
  <si>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</si>
  <si>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</si>
  <si>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</si>
  <si>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</si>
  <si>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</si>
  <si>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</si>
  <si>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</si>
  <si>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</si>
  <si>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</si>
  <si>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</si>
  <si>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</si>
  <si>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</si>
  <si>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</si>
  <si>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</si>
  <si>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</si>
  <si>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</si>
  <si>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</si>
  <si>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</si>
  <si>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</si>
  <si>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</si>
  <si>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</si>
  <si>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</si>
  <si>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</si>
  <si>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</si>
  <si>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</si>
  <si>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</si>
  <si>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</si>
  <si>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</si>
  <si>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</si>
  <si>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</si>
  <si>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</si>
  <si>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</si>
  <si>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</si>
  <si>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</si>
  <si>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</si>
  <si>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</si>
  <si>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</si>
  <si>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</si>
  <si>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</si>
  <si>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</si>
  <si>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</si>
  <si>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</si>
  <si>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</si>
  <si>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</si>
  <si>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</si>
  <si>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</si>
  <si>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</si>
  <si>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</si>
  <si>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</si>
  <si>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</si>
  <si>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</si>
  <si>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</si>
  <si>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</si>
  <si>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</si>
  <si>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</si>
  <si>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</si>
  <si>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</si>
  <si>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</si>
  <si>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Consumer Staples Distribution &amp; Retail</t>
  </si>
  <si>
    <t>Beverages</t>
  </si>
  <si>
    <t>Food Products</t>
  </si>
  <si>
    <t>Tobacco</t>
  </si>
  <si>
    <t>Household Products</t>
  </si>
  <si>
    <t>Personal Care Products</t>
  </si>
  <si>
    <t>WBA</t>
  </si>
  <si>
    <t>CHEF</t>
  </si>
  <si>
    <t>TBBB</t>
  </si>
  <si>
    <t>WMK</t>
  </si>
  <si>
    <t>PSMT</t>
  </si>
  <si>
    <t>CCU</t>
  </si>
  <si>
    <t>SAM</t>
  </si>
  <si>
    <t>DVCMY</t>
  </si>
  <si>
    <t>CELH</t>
  </si>
  <si>
    <t>COCO</t>
  </si>
  <si>
    <t>FIZZ</t>
  </si>
  <si>
    <t>DAR</t>
  </si>
  <si>
    <t>INGR</t>
  </si>
  <si>
    <t>BRFS</t>
  </si>
  <si>
    <t>CALM</t>
  </si>
  <si>
    <t>FLO</t>
  </si>
  <si>
    <t>FRPT</t>
  </si>
  <si>
    <t>JJSF</t>
  </si>
  <si>
    <t>LANC</t>
  </si>
  <si>
    <t>LW</t>
  </si>
  <si>
    <t>NOMD</t>
  </si>
  <si>
    <t>POST</t>
  </si>
  <si>
    <t>SAPIF</t>
  </si>
  <si>
    <t>SEB</t>
  </si>
  <si>
    <t>SFD</t>
  </si>
  <si>
    <t>SMPL</t>
  </si>
  <si>
    <t>TR</t>
  </si>
  <si>
    <t>RLX</t>
  </si>
  <si>
    <t>CENT</t>
  </si>
  <si>
    <t>REYN</t>
  </si>
  <si>
    <t>WDFC</t>
  </si>
  <si>
    <t>BRBR</t>
  </si>
  <si>
    <t>COTY</t>
  </si>
  <si>
    <t>ELF</t>
  </si>
  <si>
    <t>IPAR</t>
  </si>
  <si>
    <t>PFGC</t>
  </si>
  <si>
    <t>SYY</t>
  </si>
  <si>
    <t>USFD</t>
  </si>
  <si>
    <t>ACI</t>
  </si>
  <si>
    <t>CART</t>
  </si>
  <si>
    <t>CASY</t>
  </si>
  <si>
    <t>KR</t>
  </si>
  <si>
    <t>LBLCF</t>
  </si>
  <si>
    <t>SFM</t>
  </si>
  <si>
    <t>BJ</t>
  </si>
  <si>
    <t>COST</t>
  </si>
  <si>
    <t>DG</t>
  </si>
  <si>
    <t>DLTR</t>
  </si>
  <si>
    <t>TGT</t>
  </si>
  <si>
    <t>WMT</t>
  </si>
  <si>
    <t>ABEV</t>
  </si>
  <si>
    <t>BUD</t>
  </si>
  <si>
    <t>TAP</t>
  </si>
  <si>
    <t>DEO</t>
  </si>
  <si>
    <t>STZ</t>
  </si>
  <si>
    <t>CCEP</t>
  </si>
  <si>
    <t>COKE</t>
  </si>
  <si>
    <t>FMX</t>
  </si>
  <si>
    <t>KDP</t>
  </si>
  <si>
    <t>KO</t>
  </si>
  <si>
    <t>KOF</t>
  </si>
  <si>
    <t>MNST</t>
  </si>
  <si>
    <t>PEP</t>
  </si>
  <si>
    <t>PRMB</t>
  </si>
  <si>
    <t>ADM</t>
  </si>
  <si>
    <t>BG</t>
  </si>
  <si>
    <t>CAG</t>
  </si>
  <si>
    <t>CPB</t>
  </si>
  <si>
    <t>GIS</t>
  </si>
  <si>
    <t>HRL</t>
  </si>
  <si>
    <t>HSY</t>
  </si>
  <si>
    <t>K</t>
  </si>
  <si>
    <t>KHC</t>
  </si>
  <si>
    <t>MDLZ</t>
  </si>
  <si>
    <t>MKC</t>
  </si>
  <si>
    <t>PPC</t>
  </si>
  <si>
    <t>SJM</t>
  </si>
  <si>
    <t>TSN</t>
  </si>
  <si>
    <t>BTI</t>
  </si>
  <si>
    <t>MO</t>
  </si>
  <si>
    <t>PM</t>
  </si>
  <si>
    <t>CHD</t>
  </si>
  <si>
    <t>CL</t>
  </si>
  <si>
    <t>CLX</t>
  </si>
  <si>
    <t>KMB</t>
  </si>
  <si>
    <t>PG</t>
  </si>
  <si>
    <t>EL</t>
  </si>
  <si>
    <t>KVUE</t>
  </si>
  <si>
    <t>UL</t>
  </si>
  <si>
    <t>GRDN</t>
  </si>
  <si>
    <t>ANDE</t>
  </si>
  <si>
    <t>SPTN</t>
  </si>
  <si>
    <t>UNFI</t>
  </si>
  <si>
    <t>DDL</t>
  </si>
  <si>
    <t>GO</t>
  </si>
  <si>
    <t>IMKTA</t>
  </si>
  <si>
    <t>NGVC</t>
  </si>
  <si>
    <t>VLGEA</t>
  </si>
  <si>
    <t>DADA</t>
  </si>
  <si>
    <t>MGPI</t>
  </si>
  <si>
    <t>ALF</t>
  </si>
  <si>
    <t>CRESY</t>
  </si>
  <si>
    <t>FDP</t>
  </si>
  <si>
    <t>LMNR</t>
  </si>
  <si>
    <t>LND</t>
  </si>
  <si>
    <t>AGRO</t>
  </si>
  <si>
    <t>AVO</t>
  </si>
  <si>
    <t>BGS</t>
  </si>
  <si>
    <t>CVGW</t>
  </si>
  <si>
    <t>DOLE</t>
  </si>
  <si>
    <t>JBSS</t>
  </si>
  <si>
    <t>KLG</t>
  </si>
  <si>
    <t>LWAY</t>
  </si>
  <si>
    <t>OTLY</t>
  </si>
  <si>
    <t>SENEA</t>
  </si>
  <si>
    <t>STKL</t>
  </si>
  <si>
    <t>THS</t>
  </si>
  <si>
    <t>UTZ</t>
  </si>
  <si>
    <t>VITL</t>
  </si>
  <si>
    <t>WEST</t>
  </si>
  <si>
    <t>WYHG</t>
  </si>
  <si>
    <t>TPB</t>
  </si>
  <si>
    <t>UVV</t>
  </si>
  <si>
    <t>CENTA</t>
  </si>
  <si>
    <t>ENR</t>
  </si>
  <si>
    <t>ODC</t>
  </si>
  <si>
    <t>SPB</t>
  </si>
  <si>
    <t>EPC</t>
  </si>
  <si>
    <t>HLF</t>
  </si>
  <si>
    <t>HNST</t>
  </si>
  <si>
    <t>JWLLF</t>
  </si>
  <si>
    <t>NUS</t>
  </si>
  <si>
    <t>OLPX</t>
  </si>
  <si>
    <t>UPXI</t>
  </si>
  <si>
    <t>USNA</t>
  </si>
  <si>
    <t>WALD</t>
  </si>
  <si>
    <t>YSG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</si>
</sst>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95.88</v>
        <stp/>
        <stp>LAST</stp>
        <stp>WMT</stp>
        <tr r="D30" s="2"/>
      </tp>
      <tp>
        <v>75.150000000000006</v>
        <stp/>
        <stp>LAST</stp>
        <stp>WMK</stp>
        <tr r="D11" s="3"/>
      </tp>
      <tp>
        <v>11.37</v>
        <stp/>
        <stp>LAST</stp>
        <stp>WBA</stp>
        <tr r="D8" s="3"/>
      </tp>
      <tp>
        <v>55.36</v>
        <stp/>
        <stp>LAST</stp>
        <stp>TSN</stp>
        <tr r="D44" s="2"/>
      </tp>
      <tp>
        <v>70.09</v>
        <stp/>
        <stp>LAST</stp>
        <stp>TPB</stp>
        <tr r="D48" s="4"/>
      </tp>
      <tp>
        <v>23.38</v>
        <stp/>
        <stp>LAST</stp>
        <stp>THS</stp>
        <tr r="D29" s="4"/>
      </tp>
      <tp>
        <v>55.18</v>
        <stp/>
        <stp>LAST</stp>
        <stp>TAP</stp>
        <tr r="D4" s="2"/>
      </tp>
      <tp>
        <v>99.09</v>
        <stp/>
        <stp>LAST</stp>
        <stp>TGT</stp>
        <tr r="D29" s="2"/>
      </tp>
      <tp>
        <v>56.19</v>
        <stp/>
        <stp>LAST</stp>
        <stp>UVV</stp>
        <tr r="D49" s="4"/>
      </tp>
      <tp>
        <v>12.61</v>
        <stp/>
        <stp>LAST</stp>
        <stp>UTZ</stp>
        <tr r="D30" s="4"/>
      </tp>
      <tp>
        <v>1.9</v>
        <stp/>
        <stp>LAST</stp>
        <stp>RLX</stp>
        <tr r="D36" s="3"/>
      </tp>
      <tp>
        <v>70.8</v>
        <stp/>
        <stp>LAST</stp>
        <stp>SYY</stp>
        <tr r="D17" s="2"/>
      </tp>
      <tp>
        <v>67.08</v>
        <stp/>
        <stp>LAST</stp>
        <stp>SPB</stp>
        <tr r="D37" s="4"/>
      </tp>
      <tp>
        <v>187.67</v>
        <stp/>
        <stp>LAST</stp>
        <stp>STZ</stp>
        <tr r="D6" s="2"/>
      </tp>
      <tp>
        <v>111.49</v>
        <stp/>
        <stp>LAST</stp>
        <stp>SJM</stp>
        <tr r="D43" s="2"/>
      </tp>
      <tp>
        <v>240.26</v>
        <stp/>
        <stp>LAST</stp>
        <stp>SAM</stp>
        <tr r="D3" s="3"/>
      </tp>
      <tp>
        <v>22.63</v>
        <stp/>
        <stp>LAST</stp>
        <stp>SFD</stp>
        <tr r="D26" s="3"/>
      </tp>
      <tp>
        <v>158.47</v>
        <stp/>
        <stp>LAST</stp>
        <stp>SFM</stp>
        <tr r="D24" s="2"/>
      </tp>
      <tp>
        <v>2536.0500000000002</v>
        <stp/>
        <stp>LAST</stp>
        <stp>SEB</stp>
        <tr r="D25" s="3"/>
      </tp>
      <tp>
        <v>18.59</v>
        <stp/>
        <stp>LAST</stp>
        <stp>SAPIF</stp>
        <tr r="D24" s="3"/>
      </tp>
      <tp>
        <v>46.63</v>
        <stp/>
        <stp>LAST</stp>
        <stp>PPC</stp>
        <tr r="D42" s="2"/>
      </tp>
      <tp>
        <v>130.31</v>
        <stp/>
        <stp>LAST</stp>
        <stp>PEP</stp>
        <tr r="D14" s="2"/>
      </tp>
      <tp>
        <v>4.8499999999999996</v>
        <stp/>
        <stp>LAST</stp>
        <stp>YSG</stp>
        <tr r="D47" s="4"/>
      </tp>
      <tp>
        <v>17.34</v>
        <stp/>
        <stp>LAST</stp>
        <stp>FLO</stp>
        <tr r="D17" s="3"/>
      </tp>
      <tp>
        <v>102.03</v>
        <stp/>
        <stp>LAST</stp>
        <stp>FMX</stp>
        <tr r="D9" s="2"/>
      </tp>
      <tp>
        <v>32.770000000000003</v>
        <stp/>
        <stp>LAST</stp>
        <stp>FDP</stp>
        <tr r="D15" s="4"/>
      </tp>
      <tp>
        <v>35.840000000000003</v>
        <stp/>
        <stp>LAST</stp>
        <stp>VLGEA</stp>
        <tr r="D11" s="4"/>
      </tp>
      <tp>
        <v>53.77</v>
        <stp/>
        <stp>LAST</stp>
        <stp>GIS</stp>
        <tr r="D35" s="2"/>
      </tp>
      <tp>
        <v>36.659999999999997</v>
        <stp/>
        <stp>LAST</stp>
        <stp>DAR</stp>
        <tr r="D13" s="3"/>
      </tp>
      <tp>
        <v>2.37</v>
        <stp/>
        <stp>LAST</stp>
        <stp>DDL</stp>
        <tr r="D7" s="4"/>
      </tp>
      <tp>
        <v>112.27</v>
        <stp/>
        <stp>LAST</stp>
        <stp>DEO</stp>
        <tr r="D5" s="2"/>
      </tp>
      <tp>
        <v>11.74</v>
        <stp/>
        <stp>LAST</stp>
        <stp>CRESY</stp>
        <tr r="D14" s="4"/>
      </tp>
      <tp>
        <v>28.44</v>
        <stp/>
        <stp>LAST</stp>
        <stp>EPC</stp>
        <tr r="D38" s="4"/>
      </tp>
      <tp>
        <v>22.85</v>
        <stp/>
        <stp>LAST</stp>
        <stp>ENR</stp>
        <tr r="D35" s="4"/>
      </tp>
      <tp>
        <v>78.209999999999994</v>
        <stp/>
        <stp>LAST</stp>
        <stp>ELF</stp>
        <tr r="D34" s="3"/>
      </tp>
      <tp>
        <v>40.69</v>
        <stp/>
        <stp>LAST</stp>
        <stp>BTI</stp>
        <tr r="D53" s="2"/>
      </tp>
      <tp>
        <v>65.91</v>
        <stp/>
        <stp>LAST</stp>
        <stp>BUD</stp>
        <tr r="D3" s="2"/>
      </tp>
      <tp>
        <v>4.3</v>
        <stp/>
        <stp>LAST</stp>
        <stp>BGS</stp>
        <tr r="D20" s="4"/>
      </tp>
      <tp>
        <v>6.2</v>
        <stp/>
        <stp>LAST</stp>
        <stp>DVCMY</stp>
        <tr r="D4" s="3"/>
      </tp>
      <tp>
        <v>35.18</v>
        <stp/>
        <stp>LAST</stp>
        <stp>CPB</stp>
        <tr r="D34" s="2"/>
      </tp>
      <tp>
        <v>94.1</v>
        <stp/>
        <stp>LAST</stp>
        <stp>CHD</stp>
        <tr r="D45" s="2"/>
      </tp>
      <tp>
        <v>136.33000000000001</v>
        <stp/>
        <stp>LAST</stp>
        <stp>CLX</stp>
        <tr r="D47" s="2"/>
      </tp>
      <tp>
        <v>14.75</v>
        <stp/>
        <stp>LAST</stp>
        <stp>CCU</stp>
        <tr r="D2" s="3"/>
      </tp>
      <tp>
        <v>22.83</v>
        <stp/>
        <stp>LAST</stp>
        <stp>CAG</stp>
        <tr r="D33" s="2"/>
      </tp>
      <tp>
        <v>10.58</v>
        <stp/>
        <stp>LAST</stp>
        <stp>AVO</stp>
        <tr r="D19" s="4"/>
      </tp>
      <tp>
        <v>10.48</v>
        <stp/>
        <stp>LAST</stp>
        <stp>ALF</stp>
        <tr r="D13" s="4"/>
      </tp>
      <tp>
        <v>21.72</v>
        <stp/>
        <stp>LAST</stp>
        <stp>ACI</stp>
        <tr r="D19" s="2"/>
      </tp>
      <tp>
        <v>50.69</v>
        <stp/>
        <stp>LAST</stp>
        <stp>ADM</stp>
        <tr r="D31" s="2"/>
      </tp>
      <tp>
        <v>32.1</v>
        <stp/>
        <stp>LAST</stp>
        <stp>CENTA</stp>
        <tr r="D34" s="4"/>
      </tp>
      <tp>
        <v>87.3</v>
        <stp/>
        <stp>LAST</stp>
        <stp>SENEA</stp>
        <tr r="D27" s="4"/>
      </tp>
      <tp>
        <v>7.43</v>
        <stp/>
        <stp>LAST</stp>
        <stp>NUS</stp>
        <tr r="D42" s="4"/>
      </tp>
      <tp>
        <v>47</v>
        <stp/>
        <stp>LAST</stp>
        <stp>ODC</stp>
        <tr r="D36" s="4"/>
      </tp>
      <tp>
        <v>154.19999999999999</v>
        <stp/>
        <stp>LAST</stp>
        <stp>LBLCF</stp>
        <tr r="D23" s="2"/>
      </tp>
      <tp>
        <v>24.69</v>
        <stp/>
        <stp>LAST</stp>
        <stp>JWLLF</stp>
        <tr r="D41" s="4"/>
      </tp>
      <tp>
        <v>3.69</v>
        <stp/>
        <stp>LAST</stp>
        <stp>LND</stp>
        <tr r="D17" s="4"/>
      </tp>
      <tp>
        <v>74.8</v>
        <stp/>
        <stp>LAST</stp>
        <stp>MKC</stp>
        <tr r="D41" s="2"/>
      </tp>
      <tp>
        <v>61.69</v>
        <stp/>
        <stp>LAST</stp>
        <stp>IMKTA</stp>
        <tr r="D9" s="4"/>
      </tp>
      <tp>
        <v>27.59</v>
        <stp/>
        <stp>LAST</stp>
        <stp>KHC</stp>
        <tr r="D39" s="2"/>
      </tp>
      <tp>
        <v>91.8</v>
        <stp/>
        <stp>LAST</stp>
        <stp>KOF</stp>
        <tr r="D12" s="2"/>
      </tp>
      <tp>
        <v>17.73</v>
        <stp/>
        <stp>LAST</stp>
        <stp>KLG</stp>
        <tr r="D24" s="4"/>
      </tp>
      <tp>
        <v>134.03</v>
        <stp/>
        <stp>LAST</stp>
        <stp>KMB</stp>
        <tr r="D48" s="2"/>
      </tp>
      <tp>
        <v>33.08</v>
        <stp/>
        <stp>LAST</stp>
        <stp>KDP</stp>
        <tr r="D10" s="2"/>
      </tp>
      <tp>
        <v>29.27</v>
        <stp/>
        <stp>LAST</stp>
        <stp>HRL</stp>
        <tr r="D36" s="2"/>
      </tp>
      <tp>
        <v>163.30000000000001</v>
        <stp/>
        <stp>LAST</stp>
        <stp>HSY</stp>
        <tr r="D37" s="2"/>
      </tp>
      <tp>
        <v>6.81</v>
        <stp/>
        <stp>LAST</stp>
        <stp>HLF</stp>
        <tr r="D39" s="4"/>
      </tp>
      <tp>
        <v>9.75</v>
        <stp/>
        <stp>LAST</stp>
        <stp>WYHG</stp>
        <tr r="D33" s="4"/>
      </tp>
      <tp>
        <v>77.31</v>
        <stp/>
        <stp>LAST</stp>
        <stp>FRPT</stp>
        <tr r="D18" s="3"/>
      </tp>
      <tp>
        <v>3.58</v>
        <stp/>
        <stp>LAST</stp>
        <stp>BRFS</stp>
        <tr r="D15" s="3"/>
      </tp>
      <tp>
        <v>24.64</v>
        <stp/>
        <stp>LAST</stp>
        <stp>GRDN</stp>
        <tr r="D3" s="4"/>
      </tp>
      <tp>
        <v>63.64</v>
        <stp/>
        <stp>LAST</stp>
        <stp>BRBR</stp>
        <tr r="D32" s="3"/>
      </tp>
      <tp>
        <v>32.200000000000003</v>
        <stp/>
        <stp>LAST</stp>
        <stp>PRMB</stp>
        <tr r="D15" s="2"/>
      </tp>
      <tp>
        <v>73.84</v>
        <stp/>
        <stp>LAST</stp>
        <stp>USFD</stp>
        <tr r="D18" s="2"/>
      </tp>
      <tp>
        <v>29.74</v>
        <stp/>
        <stp>LAST</stp>
        <stp>USNA</stp>
        <tr r="D45" s="4"/>
      </tp>
      <tp>
        <v>102.31</v>
        <stp/>
        <stp>LAST</stp>
        <stp>PSMT</stp>
        <tr r="D12" s="3"/>
      </tp>
      <tp>
        <v>19.02</v>
        <stp/>
        <stp>LAST</stp>
        <stp>SPTN</stp>
        <tr r="D5" s="4"/>
      </tp>
      <tp>
        <v>10.01</v>
        <stp/>
        <stp>LAST</stp>
        <stp>UPXI</stp>
        <tr r="D44" s="4"/>
      </tp>
      <tp>
        <v>124.69</v>
        <stp/>
        <stp>LAST</stp>
        <stp>IPAR</stp>
        <tr r="D35" s="3"/>
      </tp>
      <tp>
        <v>23.66</v>
        <stp/>
        <stp>LAST</stp>
        <stp>KVUE</stp>
        <tr r="D51" s="2"/>
      </tp>
      <tp>
        <v>26.03</v>
        <stp/>
        <stp>LAST</stp>
        <stp>CVGW</stp>
        <tr r="D21" s="4"/>
      </tp>
      <tp>
        <v>22.42</v>
        <stp/>
        <stp>LAST</stp>
        <stp>LWAY</stp>
        <tr r="D25" s="4"/>
      </tp>
      <tp>
        <v>9.82</v>
        <stp/>
        <stp>LAST</stp>
        <stp>OTLY</stp>
        <tr r="D26" s="4"/>
      </tp>
      <tp>
        <v>6.31</v>
        <stp/>
        <stp>LAST</stp>
        <stp>STKL</stp>
        <tr r="D28" s="4"/>
      </tp>
      <tp>
        <v>116.55</v>
        <stp/>
        <stp>LAST</stp>
        <stp>JJSF</stp>
        <tr r="D19" s="3"/>
      </tp>
      <tp>
        <v>61.28</v>
        <stp/>
        <stp>LAST</stp>
        <stp>CHEF</stp>
        <tr r="D9" s="3"/>
      </tp>
      <tp>
        <v>34.159999999999997</v>
        <stp/>
        <stp>LAST</stp>
        <stp>VITL</stp>
        <tr r="D31" s="4"/>
      </tp>
      <tp>
        <v>43.55</v>
        <stp/>
        <stp>LAST</stp>
        <stp>FIZZ</stp>
        <tr r="D7" s="3"/>
      </tp>
      <tp>
        <v>60.23</v>
        <stp/>
        <stp>LAST</stp>
        <stp>MNST</stp>
        <tr r="D13" s="2"/>
      </tp>
      <tp>
        <v>5.13</v>
        <stp/>
        <stp>LAST</stp>
        <stp>HNST</stp>
        <tr r="D40" s="4"/>
      </tp>
      <tp>
        <v>28.48</v>
        <stp/>
        <stp>LAST</stp>
        <stp>UNFI</stp>
        <tr r="D6" s="4"/>
      </tp>
      <tp>
        <v>137.68</v>
        <stp/>
        <stp>LAST</stp>
        <stp>INGR</stp>
        <tr r="D14" s="3"/>
      </tp>
      <tp>
        <v>36.36</v>
        <stp/>
        <stp>LAST</stp>
        <stp>ANDE</stp>
        <tr r="D4" s="4"/>
      </tp>
      <tp>
        <v>5.08</v>
        <stp/>
        <stp>LAST</stp>
        <stp>COTY</stp>
        <tr r="D33" s="3"/>
      </tp>
      <tp>
        <v>108.72</v>
        <stp/>
        <stp>LAST</stp>
        <stp>POST</stp>
        <tr r="D23" s="3"/>
      </tp>
      <tp>
        <v>999.03</v>
        <stp/>
        <stp>LAST</stp>
        <stp>COST</stp>
        <tr r="D26" s="2"/>
      </tp>
      <tp>
        <v>33.15</v>
        <stp/>
        <stp>LAST</stp>
        <stp>COCO</stp>
        <tr r="D6" s="3"/>
      </tp>
      <tp>
        <v>14.11</v>
        <stp/>
        <stp>LAST</stp>
        <stp>DOLE</stp>
        <tr r="D22" s="4"/>
      </tp>
      <tp>
        <v>18.399999999999999</v>
        <stp/>
        <stp>LAST</stp>
        <stp>NOMD</stp>
        <tr r="D22" s="3"/>
      </tp>
      <tp>
        <v>1151.26</v>
        <stp/>
        <stp>LAST</stp>
        <stp>COKE</stp>
        <tr r="D8" s="2"/>
      </tp>
      <tp>
        <v>85.71</v>
        <stp/>
        <stp>LAST</stp>
        <stp>DLTR</stp>
        <tr r="D28" s="2"/>
      </tp>
      <tp>
        <v>1.28</v>
        <stp/>
        <stp>LAST</stp>
        <stp>OLPX</stp>
        <tr r="D43" s="4"/>
      </tp>
      <tp>
        <v>35.92</v>
        <stp/>
        <stp>LAST</stp>
        <stp>SMPL</stp>
        <tr r="D27" s="3"/>
      </tp>
      <tp>
        <v>15.81</v>
        <stp/>
        <stp>LAST</stp>
        <stp>LMNR</stp>
        <tr r="D16" s="4"/>
      </tp>
      <tp>
        <v>62.64</v>
        <stp/>
        <stp>LAST</stp>
        <stp>JBSS</stp>
        <tr r="D23" s="4"/>
      </tp>
      <tp>
        <v>2.52</v>
        <stp/>
        <stp>LAST</stp>
        <stp>ABEV</stp>
        <tr r="D2" s="2"/>
      </tp>
      <tp>
        <v>28.69</v>
        <stp/>
        <stp>LAST</stp>
        <stp>TBBB</stp>
        <tr r="D10" s="3"/>
      </tp>
      <tp>
        <v>87.39</v>
        <stp/>
        <stp>LAST</stp>
        <stp>CCEP</stp>
        <tr r="D7" s="2"/>
      </tp>
      <tp>
        <v>44.31</v>
        <stp/>
        <stp>LAST</stp>
        <stp>CART</stp>
        <tr r="D20" s="2"/>
      </tp>
      <tp>
        <v>432.8</v>
        <stp/>
        <stp>LAST</stp>
        <stp>CASY</stp>
        <tr r="D21" s="2"/>
      </tp>
      <tp>
        <v>2.0299999999999998</v>
        <stp/>
        <stp>LAST</stp>
        <stp>DADA</stp>
        <tr r="D12" s="4"/>
      </tp>
      <tp>
        <v>167.59</v>
        <stp/>
        <stp>LAST</stp>
        <stp>LANC</stp>
        <tr r="D20" s="3"/>
      </tp>
      <tp>
        <v>3.03</v>
        <stp/>
        <stp>LAST</stp>
        <stp>WALD</stp>
        <tr r="D46" s="4"/>
      </tp>
      <tp>
        <v>93.95</v>
        <stp/>
        <stp>LAST</stp>
        <stp>CALM</stp>
        <tr r="D16" s="3"/>
      </tp>
      <tp>
        <v>87.44</v>
        <stp/>
        <stp>LAST</stp>
        <stp>PFGC</stp>
        <tr r="D16" s="2"/>
      </tp>
      <tp>
        <v>50.07</v>
        <stp/>
        <stp>LAST</stp>
        <stp>NGVC</stp>
        <tr r="D10" s="4"/>
      </tp>
      <tp>
        <v>8.9499999999999993</v>
        <stp/>
        <stp>LAST</stp>
        <stp>AGRO</stp>
        <tr r="D18" s="4"/>
      </tp>
      <tp>
        <v>32.89</v>
        <stp/>
        <stp>LAST</stp>
        <stp>MGPI</stp>
        <tr r="D2" s="4"/>
      </tp>
      <tp>
        <v>239.56</v>
        <stp/>
        <stp>LAST</stp>
        <stp>WDFC</stp>
        <tr r="D31" s="3"/>
      </tp>
      <tp>
        <v>64.14</v>
        <stp/>
        <stp>LAST</stp>
        <stp>MDLZ</stp>
        <tr r="D40" s="2"/>
      </tp>
      <tp>
        <v>7.5</v>
        <stp/>
        <stp>LAST</stp>
        <stp>WEST</stp>
        <tr r="D32" s="4"/>
      </tp>
      <tp>
        <v>23.18</v>
        <stp/>
        <stp>LAST</stp>
        <stp>REYN</stp>
        <tr r="D30" s="3"/>
      </tp>
      <tp>
        <v>36.46</v>
        <stp/>
        <stp>LAST</stp>
        <stp>CENT</stp>
        <tr r="D29" s="3"/>
      </tp>
      <tp>
        <v>37.93</v>
        <stp/>
        <stp>LAST</stp>
        <stp>CELH</stp>
        <tr r="D5" s="3"/>
      </tp>
      <tp>
        <v>32.1</v>
        <stp/>
        <stp>LAST</stp>
        <stp>TR</stp>
        <tr r="D28" s="3"/>
      </tp>
      <tp>
        <v>60.77</v>
        <stp/>
        <stp>LAST</stp>
        <stp>UL</stp>
        <tr r="D52" s="2"/>
      </tp>
      <tp>
        <v>163.82</v>
        <stp/>
        <stp>LAST</stp>
        <stp>PM</stp>
        <tr r="D55" s="2"/>
      </tp>
      <tp>
        <v>158.72999999999999</v>
        <stp/>
        <stp>LAST</stp>
        <stp>PG</stp>
        <tr r="D49" s="2"/>
      </tp>
      <tp>
        <v>13.71</v>
        <stp/>
        <stp>LAST</stp>
        <stp>GO</stp>
        <tr r="D8" s="4"/>
      </tp>
      <tp>
        <v>86.85</v>
        <stp/>
        <stp>LAST</stp>
        <stp>DG</stp>
        <tr r="D27" s="2"/>
      </tp>
      <tp>
        <v>65.48</v>
        <stp/>
        <stp>LAST</stp>
        <stp>EL</stp>
        <tr r="D50" s="2"/>
      </tp>
      <tp>
        <v>107.85</v>
        <stp/>
        <stp>LAST</stp>
        <stp>BJ</stp>
        <tr r="D25" s="2"/>
      </tp>
      <tp>
        <v>82.91</v>
        <stp/>
        <stp>LAST</stp>
        <stp>BG</stp>
        <tr r="D32" s="2"/>
      </tp>
      <tp>
        <v>87.88</v>
        <stp/>
        <stp>LAST</stp>
        <stp>CL</stp>
        <tr r="D46" s="2"/>
      </tp>
      <tp>
        <v>51.21</v>
        <stp/>
        <stp>LAST</stp>
        <stp>LW</stp>
        <tr r="D21" s="3"/>
      </tp>
      <tp>
        <v>56.47</v>
        <stp/>
        <stp>LAST</stp>
        <stp>MO</stp>
        <tr r="D54" s="2"/>
      </tp>
      <tp>
        <v>67.489999999999995</v>
        <stp/>
        <stp>LAST</stp>
        <stp>KR</stp>
        <tr r="D22" s="2"/>
      </tp>
      <tp>
        <v>68.959999999999994</v>
        <stp/>
        <stp>LAST</stp>
        <stp>KO</stp>
        <tr r="D11" s="2"/>
      </tp>
      <tp>
        <v>82.11</v>
        <stp/>
        <stp>LAST</stp>
        <stp>K</stp>
        <tr r="D3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6414583336" createdVersion="8" refreshedVersion="8" minRefreshableVersion="3" recordCount="54" xr:uid="{3432845B-C090-4238-AA0B-FA56B072311B}">
  <cacheSource type="worksheet">
    <worksheetSource name="Main_L"/>
  </cacheSource>
  <cacheFields count="26">
    <cacheField name="Industry" numFmtId="0">
      <sharedItems count="58">
        <s v="Beverages"/>
        <s v="Consumer Staples Distribution &amp; Retail"/>
        <s v="Food Products"/>
        <s v="Household Products"/>
        <s v="Personal Care Products"/>
        <s v="Tobacco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168" maxValue="790728"/>
    </cacheField>
    <cacheField name="Current Price" numFmtId="0">
      <sharedItems containsSemiMixedTypes="0" containsString="0" containsNumber="1" minValue="2.52" maxValue="1151.26"/>
    </cacheField>
    <cacheField name="Free CF" numFmtId="0">
      <sharedItems containsSemiMixedTypes="0" containsString="0" containsNumber="1" minValue="-0.22" maxValue="55.03"/>
    </cacheField>
    <cacheField name="BVPS" numFmtId="0">
      <sharedItems containsSemiMixedTypes="0" containsString="0" containsNumber="1" minValue="-7" maxValue="171.99"/>
    </cacheField>
    <cacheField name="EPS" numFmtId="0">
      <sharedItems containsSemiMixedTypes="0" containsString="0" containsNumber="1" minValue="-2.42" maxValue="64.239999999999995"/>
    </cacheField>
    <cacheField name="P/FCF" numFmtId="2">
      <sharedItems containsSemiMixedTypes="0" containsString="0" containsNumber="1" minValue="-313.45454545454544" maxValue="463.77272727272725"/>
    </cacheField>
    <cacheField name="P/B" numFmtId="2">
      <sharedItems containsSemiMixedTypes="0" containsString="0" containsNumber="1" minValue="-27.14903846153846" maxValue="619.68181818181824"/>
    </cacheField>
    <cacheField name="ROE" numFmtId="0">
      <sharedItems containsSemiMixedTypes="0" containsString="0" containsNumber="1" minValue="-239.61" maxValue="451.26"/>
    </cacheField>
    <cacheField name="ROA" numFmtId="0">
      <sharedItems containsSemiMixedTypes="0" containsString="0" containsNumber="1" minValue="2.33" maxValue="20.92"/>
    </cacheField>
    <cacheField name="A/E" numFmtId="0">
      <sharedItems containsSemiMixedTypes="0" containsString="0" containsNumber="1" minValue="-10.19" maxValue="204.15"/>
    </cacheField>
    <cacheField name="P/E" numFmtId="2">
      <sharedItems containsSemiMixedTypes="0" containsString="0" containsNumber="1" minValue="-644" maxValue="275.75675675675677"/>
    </cacheField>
    <cacheField name="Preliminary Criteria" numFmtId="0">
      <sharedItems/>
    </cacheField>
    <cacheField name="P/FCF Z-Score" numFmtId="2">
      <sharedItems containsSemiMixedTypes="0" containsString="0" containsNumber="1" minValue="-32.554498699649955" maxValue="42.738598551237793"/>
    </cacheField>
    <cacheField name="P/B Z-Score" numFmtId="2">
      <sharedItems containsSemiMixedTypes="0" containsString="0" containsNumber="1" minValue="-1.363430909108895" maxValue="7.1299025613511029"/>
    </cacheField>
    <cacheField name="ROE Z-Score" numFmtId="2">
      <sharedItems containsSemiMixedTypes="0" containsString="0" containsNumber="1" minValue="-1.5176360130156468" maxValue="8.3510227416758216"/>
    </cacheField>
    <cacheField name="ROA Z-Score" numFmtId="2">
      <sharedItems containsSemiMixedTypes="0" containsString="0" containsNumber="1" minValue="-1.671110655911237" maxValue="2.998651428898492"/>
    </cacheField>
    <cacheField name="A/E Z-Score" numFmtId="2">
      <sharedItems containsSemiMixedTypes="0" containsString="0" containsNumber="1" minValue="-1.8693983429507168" maxValue="10.524731080115806"/>
    </cacheField>
    <cacheField name="P/E Z-Score" numFmtId="2">
      <sharedItems containsSemiMixedTypes="0" containsString="0" containsNumber="1" minValue="-81.086299067028321" maxValue="52.634728999307235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6416203706" createdVersion="8" refreshedVersion="8" minRefreshableVersion="3" recordCount="35" xr:uid="{A2646FF5-8A5C-4026-A340-9C8CC354FDFF}">
  <cacheSource type="worksheet">
    <worksheetSource name="Main_M"/>
  </cacheSource>
  <cacheFields count="26">
    <cacheField name="Industry" numFmtId="0">
      <sharedItems count="59">
        <s v="Beverages"/>
        <s v="Consumer Staples Distribution &amp; Retail"/>
        <s v="Food Products"/>
        <s v="Household Products"/>
        <s v="Personal Care Products"/>
        <s v="Tobacco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14" maxValue="9555"/>
    </cacheField>
    <cacheField name="Current Price" numFmtId="0">
      <sharedItems containsSemiMixedTypes="0" containsString="0" containsNumber="1" minValue="1.9" maxValue="2536.0500000000002"/>
    </cacheField>
    <cacheField name="Free CF" numFmtId="0">
      <sharedItems containsString="0" containsBlank="1" containsNumber="1" minValue="-37.07" maxValue="17.61"/>
    </cacheField>
    <cacheField name="BVPS" numFmtId="0">
      <sharedItems containsString="0" containsBlank="1" containsNumber="1" minValue="-1.98" maxValue="4886.4399999999996"/>
    </cacheField>
    <cacheField name="EPS" numFmtId="0">
      <sharedItems containsString="0" containsBlank="1" containsNumber="1" minValue="-6.69" maxValue="100.92"/>
    </cacheField>
    <cacheField name="P/FCF" numFmtId="2">
      <sharedItems containsMixedTypes="1" containsNumber="1" minValue="-276.10714285714283" maxValue="177.74999999999997"/>
    </cacheField>
    <cacheField name="P/B" numFmtId="2">
      <sharedItems containsMixedTypes="1" containsNumber="1" minValue="-32.141414141414145" maxValue="22.311764705882354"/>
    </cacheField>
    <cacheField name="ROE" numFmtId="0">
      <sharedItems containsString="0" containsBlank="1" containsNumber="1" minValue="-112" maxValue="48.15"/>
    </cacheField>
    <cacheField name="ROA" numFmtId="0">
      <sharedItems containsString="0" containsBlank="1" containsNumber="1" minValue="-0.59" maxValue="32.96"/>
    </cacheField>
    <cacheField name="A/E" numFmtId="0">
      <sharedItems containsString="0" containsBlank="1" containsNumber="1" minValue="-3.73" maxValue="9.8800000000000008"/>
    </cacheField>
    <cacheField name="P/E" numFmtId="2">
      <sharedItems containsMixedTypes="1" containsNumber="1" minValue="-71.5" maxValue="249.38709677419357"/>
    </cacheField>
    <cacheField name="Preliminary Criteria" numFmtId="0">
      <sharedItems/>
    </cacheField>
    <cacheField name="P/FCF Z-Score" numFmtId="2">
      <sharedItems containsMixedTypes="1" containsNumber="1" minValue="-37.377146744087113" maxValue="9.5985606660951586"/>
    </cacheField>
    <cacheField name="P/B Z-Score" numFmtId="2">
      <sharedItems containsMixedTypes="1" containsNumber="1" minValue="-17.906199687483831" maxValue="11.032000792889839"/>
    </cacheField>
    <cacheField name="ROE Z-Score" numFmtId="2">
      <sharedItems containsMixedTypes="1" containsNumber="1" minValue="-1.7597340107443746" maxValue="5.2247915473045534"/>
    </cacheField>
    <cacheField name="ROA Z-Score" numFmtId="2">
      <sharedItems containsMixedTypes="1" containsNumber="1" minValue="-1.8312906316703277" maxValue="8.926788477602642"/>
    </cacheField>
    <cacheField name="A/E Z-Score" numFmtId="2">
      <sharedItems containsMixedTypes="1" containsNumber="1" minValue="-9.1790814671981753" maxValue="5.1548639992283309"/>
    </cacheField>
    <cacheField name="P/E Z-Score" numFmtId="2">
      <sharedItems containsMixedTypes="1" containsNumber="1" minValue="-11.128963461169878" maxValue="28.165116020606654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56417824076" createdVersion="8" refreshedVersion="8" minRefreshableVersion="3" recordCount="48" xr:uid="{FEEDC4AE-CB7E-4F82-B64E-6462C5DE2153}">
  <cacheSource type="worksheet">
    <worksheetSource name="Main_S"/>
  </cacheSource>
  <cacheFields count="26">
    <cacheField name="Industry" numFmtId="0">
      <sharedItems count="60">
        <s v="Beverages"/>
        <s v="Consumer Staples Distribution &amp; Retail"/>
        <s v="Food Products"/>
        <s v="Household Products"/>
        <s v="Personal Care Products"/>
        <s v="Tobacco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71" maxValue="1979"/>
    </cacheField>
    <cacheField name="Current Price" numFmtId="0">
      <sharedItems containsSemiMixedTypes="0" containsString="0" containsNumber="1" minValue="1.28" maxValue="87.3"/>
    </cacheField>
    <cacheField name="Free CF" numFmtId="0">
      <sharedItems containsString="0" containsBlank="1" containsNumber="1" minValue="-4.38" maxValue="36.93"/>
    </cacheField>
    <cacheField name="BVPS" numFmtId="0">
      <sharedItems containsString="0" containsBlank="1" containsNumber="1" minValue="-7.24" maxValue="89.03"/>
    </cacheField>
    <cacheField name="EPS" numFmtId="0">
      <sharedItems containsString="0" containsBlank="1" containsNumber="1" minValue="-22.34" maxValue="5.45"/>
    </cacheField>
    <cacheField name="P/FCF" numFmtId="2">
      <sharedItems containsMixedTypes="1" containsNumber="1" minValue="-108.33333333333334" maxValue="513"/>
    </cacheField>
    <cacheField name="P/B" numFmtId="2">
      <sharedItems containsMixedTypes="1" containsNumber="1" minValue="-29.111111111111114" maxValue="11.717948717948719"/>
    </cacheField>
    <cacheField name="ROE" numFmtId="0">
      <sharedItems containsString="0" containsBlank="1" containsNumber="1" minValue="-159.49" maxValue="42.79"/>
    </cacheField>
    <cacheField name="ROA" numFmtId="0">
      <sharedItems containsString="0" containsBlank="1" containsNumber="1" minValue="-31.23" maxValue="12.52"/>
    </cacheField>
    <cacheField name="A/E" numFmtId="0">
      <sharedItems containsString="0" containsBlank="1" containsNumber="1" minValue="-22.89" maxValue="30.09"/>
    </cacheField>
    <cacheField name="P/E" numFmtId="2">
      <sharedItems containsMixedTypes="1" containsNumber="1" minValue="-85.5" maxValue="1902"/>
    </cacheField>
    <cacheField name="Preliminary Criteria" numFmtId="0">
      <sharedItems/>
    </cacheField>
    <cacheField name="P/FCF Z-Score" numFmtId="2">
      <sharedItems containsMixedTypes="1" containsNumber="1" minValue="-4.4564619806865684" maxValue="35.954831331017807"/>
    </cacheField>
    <cacheField name="P/B Z-Score" numFmtId="2">
      <sharedItems containsMixedTypes="1" containsNumber="1" minValue="-12.945989313890349" maxValue="11.691625320210616"/>
    </cacheField>
    <cacheField name="ROE Z-Score" numFmtId="2">
      <sharedItems containsMixedTypes="1" containsNumber="1" minValue="-11.596160118626932" maxValue="4.4506565626592973"/>
    </cacheField>
    <cacheField name="ROA Z-Score" numFmtId="2">
      <sharedItems containsMixedTypes="1" containsNumber="1" minValue="-13.446255313236675" maxValue="3.5459335888731838"/>
    </cacheField>
    <cacheField name="A/E Z-Score" numFmtId="2">
      <sharedItems containsMixedTypes="1" containsNumber="1" minValue="-14.532767670076717" maxValue="81.851561198717846"/>
    </cacheField>
    <cacheField name="P/E Z-Score" numFmtId="2">
      <sharedItems containsMixedTypes="1" containsNumber="1" minValue="-5.9461308215787803" maxValue="108.1270269567588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ABEV"/>
    <n v="39118"/>
    <n v="2.52"/>
    <n v="0.22"/>
    <n v="1.01"/>
    <n v="0.15"/>
    <n v="11.454545454545455"/>
    <n v="2.495049504950495"/>
    <n v="16.52"/>
    <n v="9.18"/>
    <n v="1.65"/>
    <n v="16.8"/>
    <s v="YES"/>
    <n v="-1.0792627706865292"/>
    <n v="-0.73084111446965905"/>
    <n v="-0.15235707984291991"/>
    <n v="0.53328886230270733"/>
    <n v="-1.2129355699591275"/>
    <n v="-0.74613485520370659"/>
    <x v="0"/>
    <x v="0"/>
    <x v="0"/>
    <x v="0"/>
    <x v="0"/>
    <x v="0"/>
  </r>
  <r>
    <x v="0"/>
    <s v="BUD"/>
    <n v="127491"/>
    <n v="65.91"/>
    <n v="5.59"/>
    <n v="39.61"/>
    <n v="2.86"/>
    <n v="11.790697674418604"/>
    <n v="1.6639737440040394"/>
    <n v="8.18"/>
    <n v="4.47"/>
    <n v="2.64"/>
    <n v="23.045454545454547"/>
    <s v="NO"/>
    <n v="-1.0466983681364246"/>
    <n v="-0.97302736380178556"/>
    <n v="-0.71477290793205472"/>
    <n v="-1.0023036084501542"/>
    <n v="-0.33734770539488218"/>
    <n v="1.3188455570059611E-2"/>
    <x v="0"/>
    <x v="0"/>
    <x v="0"/>
    <x v="0"/>
    <x v="0"/>
    <x v="0"/>
  </r>
  <r>
    <x v="0"/>
    <s v="TAP"/>
    <n v="11524"/>
    <n v="55.18"/>
    <n v="5.92"/>
    <n v="64.430000000000007"/>
    <n v="5.35"/>
    <n v="9.3209459459459456"/>
    <n v="0.85643333850690662"/>
    <n v="8.61"/>
    <n v="4.32"/>
    <n v="1.99"/>
    <n v="10.314018691588785"/>
    <s v="NO"/>
    <n v="-1.285953041257875"/>
    <n v="-1.208355105485369"/>
    <n v="-0.68577544916966537"/>
    <n v="-1.0512078272639396"/>
    <n v="-0.91222862657342718"/>
    <n v="-1.5347014462941759"/>
    <x v="0"/>
    <x v="0"/>
    <x v="0"/>
    <x v="0"/>
    <x v="0"/>
    <x v="0"/>
  </r>
  <r>
    <x v="0"/>
    <s v="DEO"/>
    <n v="64307"/>
    <n v="112.27"/>
    <n v="1.23"/>
    <n v="4.63"/>
    <n v="1.61"/>
    <n v="91.276422764227647"/>
    <n v="24.248380129589634"/>
    <n v="32.32"/>
    <n v="7.72"/>
    <n v="4.5599999999999996"/>
    <n v="69.732919254658384"/>
    <s v="NO"/>
    <n v="6.6533999676361386"/>
    <n v="5.6083614011508924"/>
    <n v="0.91313093979836679"/>
    <n v="5.7287799181862754E-2"/>
    <n v="1.360762092547896"/>
    <n v="5.6894574951753913"/>
    <x v="1"/>
    <x v="1"/>
    <x v="0"/>
    <x v="0"/>
    <x v="0"/>
    <x v="1"/>
  </r>
  <r>
    <x v="0"/>
    <s v="STZ"/>
    <n v="33786"/>
    <n v="187.67"/>
    <n v="10.68"/>
    <n v="38.619999999999997"/>
    <n v="-0.45"/>
    <n v="17.572097378277153"/>
    <n v="4.8593992749870534"/>
    <n v="-0.36"/>
    <n v="9.27"/>
    <n v="3.15"/>
    <n v="-417.04444444444442"/>
    <s v="NO"/>
    <n v="-0.48663118389902721"/>
    <n v="-4.1838944243541919E-2"/>
    <n v="-1.2906759261432312"/>
    <n v="0.56263139359097847"/>
    <n v="0.1137127096836682"/>
    <n v="-53.493008204257109"/>
    <x v="0"/>
    <x v="0"/>
    <x v="0"/>
    <x v="0"/>
    <x v="0"/>
    <x v="1"/>
  </r>
  <r>
    <x v="0"/>
    <s v="CCEP"/>
    <n v="41796"/>
    <n v="87.39"/>
    <n v="4.78"/>
    <n v="19.079999999999998"/>
    <n v="3.19"/>
    <n v="18.282426778242677"/>
    <n v="4.5801886792452837"/>
    <n v="17.03"/>
    <n v="5.34"/>
    <n v="3.66"/>
    <n v="27.394984326018811"/>
    <s v="NO"/>
    <n v="-0.41781874966200067"/>
    <n v="-0.12320453103370274"/>
    <n v="-0.11796474503171372"/>
    <n v="-0.71865913933019887"/>
    <n v="0.56477312476221897"/>
    <n v="0.54200494590715786"/>
    <x v="0"/>
    <x v="0"/>
    <x v="0"/>
    <x v="0"/>
    <x v="0"/>
    <x v="0"/>
  </r>
  <r>
    <x v="0"/>
    <s v="COKE"/>
    <n v="10406"/>
    <n v="1151.26"/>
    <n v="55.03"/>
    <n v="171.99"/>
    <n v="64.239999999999995"/>
    <n v="20.920588769761949"/>
    <n v="6.6937612651898366"/>
    <n v="36.83"/>
    <n v="11.5"/>
    <n v="3.6"/>
    <n v="17.921232876712331"/>
    <s v="NO"/>
    <n v="-0.1622495045246688"/>
    <n v="0.49271791711731949"/>
    <n v="1.2172670770504048"/>
    <n v="1.2896741132892549"/>
    <n v="0.51170719357650707"/>
    <n v="-0.60981519201550272"/>
    <x v="0"/>
    <x v="0"/>
    <x v="0"/>
    <x v="0"/>
    <x v="0"/>
    <x v="0"/>
  </r>
  <r>
    <x v="0"/>
    <s v="FMX"/>
    <n v="180360"/>
    <n v="102.03"/>
    <n v="0.22"/>
    <n v="4.1399999999999997"/>
    <n v="0.37"/>
    <n v="463.77272727272725"/>
    <n v="24.644927536231886"/>
    <n v="11.04"/>
    <n v="4.8899999999999997"/>
    <n v="2.83"/>
    <n v="275.75675675675677"/>
    <s v="NO"/>
    <n v="42.738598551237793"/>
    <n v="5.7239204555837846"/>
    <n v="-0.52190608918685988"/>
    <n v="-0.8653717957715551"/>
    <n v="-0.16930558997346143"/>
    <n v="30.737866902664582"/>
    <x v="1"/>
    <x v="1"/>
    <x v="0"/>
    <x v="0"/>
    <x v="0"/>
    <x v="1"/>
  </r>
  <r>
    <x v="0"/>
    <s v="KDP"/>
    <n v="46233"/>
    <n v="33.08"/>
    <n v="1.31"/>
    <n v="18"/>
    <n v="1.1000000000000001"/>
    <n v="25.251908396946561"/>
    <n v="1.8377777777777777"/>
    <n v="6.13"/>
    <n v="4.0599999999999996"/>
    <n v="2.2000000000000002"/>
    <n v="30.072727272727267"/>
    <s v="NO"/>
    <n v="0.25734265514047994"/>
    <n v="-0.92237861547284961"/>
    <n v="-0.85301660668298129"/>
    <n v="-1.135975139874501"/>
    <n v="-0.72649786742343558"/>
    <n v="0.86756533945378689"/>
    <x v="0"/>
    <x v="0"/>
    <x v="0"/>
    <x v="0"/>
    <x v="0"/>
    <x v="0"/>
  </r>
  <r>
    <x v="0"/>
    <s v="KO"/>
    <n v="311629"/>
    <n v="68.959999999999994"/>
    <n v="-0.22"/>
    <n v="6.09"/>
    <n v="2.4900000000000002"/>
    <n v="-313.45454545454544"/>
    <n v="11.323481116584563"/>
    <n v="38.78"/>
    <n v="8.8699999999999992"/>
    <n v="3.88"/>
    <n v="27.69477911646586"/>
    <s v="NO"/>
    <n v="-32.554498699649955"/>
    <n v="1.8418782932915183"/>
    <n v="1.3487671807403108"/>
    <n v="0.432220143420884"/>
    <n v="0.75934820577649542"/>
    <n v="0.57845404199427264"/>
    <x v="1"/>
    <x v="0"/>
    <x v="0"/>
    <x v="0"/>
    <x v="0"/>
    <x v="0"/>
  </r>
  <r>
    <x v="0"/>
    <s v="KOF"/>
    <n v="19798"/>
    <n v="91.8"/>
    <n v="2.1"/>
    <n v="35.28"/>
    <n v="5.55"/>
    <n v="43.714285714285708"/>
    <n v="2.6020408163265305"/>
    <n v="17.36"/>
    <n v="8.0399999999999991"/>
    <n v="2.06"/>
    <n v="16.54054054054054"/>
    <s v="NO"/>
    <n v="2.0458665780841616"/>
    <n v="-0.69966245948906081"/>
    <n v="-9.5710881330345193E-2"/>
    <n v="0.16161679931793807"/>
    <n v="-0.85031837352342998"/>
    <n v="-0.77767997563240565"/>
    <x v="0"/>
    <x v="0"/>
    <x v="0"/>
    <x v="0"/>
    <x v="0"/>
    <x v="0"/>
  </r>
  <r>
    <x v="0"/>
    <s v="MNST"/>
    <n v="58935"/>
    <n v="60.23"/>
    <n v="1.61"/>
    <n v="6.12"/>
    <n v="1.49"/>
    <n v="37.409937888198755"/>
    <n v="9.8415032679738559"/>
    <n v="21.27"/>
    <n v="14.78"/>
    <n v="1.3"/>
    <n v="40.422818791946305"/>
    <s v="NO"/>
    <n v="1.4351393292739545"/>
    <n v="1.4100107384736789"/>
    <n v="0.16796368555556818"/>
    <n v="2.359046364684029"/>
    <n v="-1.5224868352091132"/>
    <n v="2.1259310359753836"/>
    <x v="0"/>
    <x v="0"/>
    <x v="0"/>
    <x v="0"/>
    <x v="0"/>
    <x v="0"/>
  </r>
  <r>
    <x v="0"/>
    <s v="PEP"/>
    <n v="180866"/>
    <n v="130.31"/>
    <n v="5.3"/>
    <n v="13.39"/>
    <n v="6.8"/>
    <n v="24.586792452830188"/>
    <n v="9.731889469753547"/>
    <n v="49.93"/>
    <n v="8.86"/>
    <n v="5.53"/>
    <n v="19.163235294117648"/>
    <s v="NO"/>
    <n v="0.19291022820344608"/>
    <n v="1.3780678568333906"/>
    <n v="2.1006780300441301"/>
    <n v="0.42895986216663168"/>
    <n v="2.2186613133835711"/>
    <n v="-0.45881234975486973"/>
    <x v="0"/>
    <x v="0"/>
    <x v="0"/>
    <x v="0"/>
    <x v="0"/>
    <x v="0"/>
  </r>
  <r>
    <x v="0"/>
    <s v="PRMB"/>
    <n v="12359"/>
    <n v="32.200000000000003"/>
    <n v="1.1399999999999999"/>
    <n v="9.07"/>
    <n v="-0.05"/>
    <n v="28.245614035087723"/>
    <n v="3.5501653803748625"/>
    <n v="-0.73"/>
    <n v="4.32"/>
    <n v="3.25"/>
    <n v="-644"/>
    <s v="NO"/>
    <n v="0.54735482746447872"/>
    <n v="-0.42336667171993941"/>
    <n v="-1.3156272278690082"/>
    <n v="-1.0512078272639396"/>
    <n v="0.20215592832652132"/>
    <n v="-81.086299067028321"/>
    <x v="0"/>
    <x v="0"/>
    <x v="0"/>
    <x v="0"/>
    <x v="0"/>
    <x v="1"/>
  </r>
  <r>
    <x v="1"/>
    <s v="PFGC"/>
    <n v="12953"/>
    <n v="87.44"/>
    <n v="3.47"/>
    <n v="27.54"/>
    <n v="2.48"/>
    <n v="25.198847262247835"/>
    <n v="3.1750181554103123"/>
    <n v="9.5399999999999991"/>
    <n v="3.38"/>
    <n v="4.0199999999999996"/>
    <n v="35.258064516129032"/>
    <s v="NO"/>
    <n v="0.36427357317666326"/>
    <n v="-0.81963246210694962"/>
    <n v="-1.5176360130156468"/>
    <n v="-1.671110655911237"/>
    <n v="0.4089308875204693"/>
    <n v="0.61101951530650478"/>
    <x v="0"/>
    <x v="0"/>
    <x v="0"/>
    <x v="0"/>
    <x v="0"/>
    <x v="0"/>
  </r>
  <r>
    <x v="1"/>
    <s v="SYY"/>
    <n v="34180"/>
    <n v="70.8"/>
    <n v="4.2699999999999996"/>
    <n v="3.96"/>
    <n v="3.88"/>
    <n v="16.580796252927403"/>
    <n v="17.878787878787879"/>
    <n v="93.61"/>
    <n v="8.61"/>
    <n v="13.71"/>
    <n v="18.24742268041237"/>
    <s v="NO"/>
    <n v="-0.50903827744361407"/>
    <n v="4.8496841767415777"/>
    <n v="8.3510227416758216"/>
    <n v="1.237667488225362"/>
    <n v="8.6774740497923055"/>
    <n v="-0.80217433288853335"/>
    <x v="0"/>
    <x v="1"/>
    <x v="1"/>
    <x v="0"/>
    <x v="1"/>
    <x v="0"/>
  </r>
  <r>
    <x v="1"/>
    <s v="USFD"/>
    <n v="15933"/>
    <n v="73.84"/>
    <n v="3.46"/>
    <n v="19.64"/>
    <n v="2.02"/>
    <n v="21.341040462427745"/>
    <n v="3.7596741344195519"/>
    <n v="10.65"/>
    <n v="5.28"/>
    <n v="2.97"/>
    <n v="36.554455445544555"/>
    <s v="YES"/>
    <n v="-2.665801820550897E-2"/>
    <n v="-0.59420728664806954"/>
    <n v="-1.3873373188594966"/>
    <n v="-0.61438437027843784"/>
    <n v="-0.48704128176595185"/>
    <n v="0.71871984219594454"/>
    <x v="0"/>
    <x v="0"/>
    <x v="0"/>
    <x v="0"/>
    <x v="0"/>
    <x v="0"/>
  </r>
  <r>
    <x v="1"/>
    <s v="ACI"/>
    <n v="12897"/>
    <n v="21.72"/>
    <n v="1.29"/>
    <n v="5.88"/>
    <n v="1.64"/>
    <n v="16.837209302325579"/>
    <n v="3.693877551020408"/>
    <n v="31.26"/>
    <n v="4.74"/>
    <n v="7.9"/>
    <n v="13.24390243902439"/>
    <s v="NO"/>
    <n v="-0.48305461194303501"/>
    <n v="-0.61957640436834249"/>
    <n v="1.0319924888506398"/>
    <n v="-0.91471710408986495"/>
    <n v="3.7197613797407709"/>
    <n v="-1.2178520064729732"/>
    <x v="0"/>
    <x v="0"/>
    <x v="0"/>
    <x v="0"/>
    <x v="1"/>
    <x v="0"/>
  </r>
  <r>
    <x v="1"/>
    <s v="CART"/>
    <n v="12005"/>
    <n v="44.31"/>
    <n v="3.1"/>
    <n v="12.1"/>
    <n v="1.52"/>
    <n v="14.293548387096774"/>
    <n v="3.6619834710743806"/>
    <n v="12.96"/>
    <n v="6.81"/>
    <n v="1.35"/>
    <n v="29.151315789473685"/>
    <s v="YES"/>
    <n v="-0.74081697826303938"/>
    <n v="-0.63187377038539161"/>
    <n v="-1.1161751715615629"/>
    <n v="0.23655837552060516"/>
    <n v="-1.8693983429507168"/>
    <n v="0.10368887979444182"/>
    <x v="0"/>
    <x v="0"/>
    <x v="0"/>
    <x v="0"/>
    <x v="0"/>
    <x v="0"/>
  </r>
  <r>
    <x v="1"/>
    <s v="CASY"/>
    <n v="16963"/>
    <n v="432.8"/>
    <n v="14.12"/>
    <n v="92.07"/>
    <n v="14.35"/>
    <n v="30.651558073654392"/>
    <n v="4.7007711523840561"/>
    <n v="16.82"/>
    <n v="6.95"/>
    <n v="2.41"/>
    <n v="30.1602787456446"/>
    <s v="NO"/>
    <n v="0.91682506822544363"/>
    <n v="-0.23134952410883691"/>
    <n v="-0.66306439728882516"/>
    <n v="0.31442241761986434"/>
    <n v="-0.96489310538537676"/>
    <n v="0.18751054016963045"/>
    <x v="0"/>
    <x v="0"/>
    <x v="0"/>
    <x v="0"/>
    <x v="0"/>
    <x v="0"/>
  </r>
  <r>
    <x v="1"/>
    <s v="KR"/>
    <n v="47835"/>
    <n v="67.489999999999995"/>
    <n v="2.4900000000000002"/>
    <n v="12.55"/>
    <n v="3.67"/>
    <n v="27.104417670682725"/>
    <n v="5.3776892430278878"/>
    <n v="26.88"/>
    <n v="5.63"/>
    <n v="6.35"/>
    <n v="18.389645776566756"/>
    <s v="NO"/>
    <n v="0.55737491570500575"/>
    <n v="2.9649054257304037E-2"/>
    <n v="0.51784088488312863"/>
    <n v="-0.41972426503029087"/>
    <n v="2.3971357965084339"/>
    <n v="-0.79035885840510622"/>
    <x v="0"/>
    <x v="0"/>
    <x v="0"/>
    <x v="0"/>
    <x v="0"/>
    <x v="0"/>
  </r>
  <r>
    <x v="1"/>
    <s v="LBLCF"/>
    <n v="49530"/>
    <n v="154.19999999999999"/>
    <n v="8.84"/>
    <n v="25.57"/>
    <n v="5.01"/>
    <n v="17.443438914027148"/>
    <n v="6.030504497457958"/>
    <n v="20.6"/>
    <n v="6.4"/>
    <n v="3.65"/>
    <n v="30.778443113772454"/>
    <s v="NO"/>
    <n v="-0.42162221806147959"/>
    <n v="0.28135432805183819"/>
    <n v="-0.21934451989220613"/>
    <n v="8.5279665156331626E-3"/>
    <n v="9.3207361200492417E-2"/>
    <n v="0.2388658088683939"/>
    <x v="0"/>
    <x v="0"/>
    <x v="0"/>
    <x v="0"/>
    <x v="0"/>
    <x v="0"/>
  </r>
  <r>
    <x v="1"/>
    <s v="SFM"/>
    <n v="16410"/>
    <n v="158.47"/>
    <n v="4.87"/>
    <n v="13.12"/>
    <n v="4.43"/>
    <n v="32.540041067761805"/>
    <n v="12.078506097560977"/>
    <n v="35.74"/>
    <n v="10.11"/>
    <n v="2.9"/>
    <n v="35.772009029345377"/>
    <s v="NO"/>
    <n v="1.1081948543482245"/>
    <n v="2.6132757841347578"/>
    <n v="1.5578827139132991"/>
    <n v="2.0719250821459929"/>
    <n v="-0.54677275971838024"/>
    <n v="0.65371650648445889"/>
    <x v="0"/>
    <x v="0"/>
    <x v="0"/>
    <x v="0"/>
    <x v="0"/>
    <x v="0"/>
  </r>
  <r>
    <x v="1"/>
    <s v="BJ"/>
    <n v="15720"/>
    <n v="107.85"/>
    <n v="2.37"/>
    <n v="14.03"/>
    <n v="4"/>
    <n v="45.506329113924046"/>
    <n v="7.6870990734141129"/>
    <n v="32.33"/>
    <n v="7.1"/>
    <n v="3.82"/>
    <n v="26.962499999999999"/>
    <s v="NO"/>
    <n v="2.4221361384068856"/>
    <n v="0.92008571258668059"/>
    <n v="1.1575957345687298"/>
    <n v="0.3978481770119271"/>
    <n v="0.23826952194210349"/>
    <n v="-7.8151466877348613E-2"/>
    <x v="0"/>
    <x v="0"/>
    <x v="0"/>
    <x v="0"/>
    <x v="0"/>
    <x v="0"/>
  </r>
  <r>
    <x v="1"/>
    <s v="COST"/>
    <n v="446856"/>
    <n v="999.03"/>
    <n v="15.6"/>
    <n v="57.64"/>
    <n v="17.13"/>
    <n v="64.04038461538461"/>
    <n v="17.332234559333795"/>
    <n v="32.89"/>
    <n v="8.73"/>
    <n v="2.86"/>
    <n v="58.320490367775832"/>
    <s v="NO"/>
    <n v="4.3002882045729214"/>
    <n v="4.6389502026456366"/>
    <n v="1.2233320127015626"/>
    <n v="1.304408095739013"/>
    <n v="-0.58090503283405348"/>
    <n v="2.5269776932965815"/>
    <x v="1"/>
    <x v="1"/>
    <x v="0"/>
    <x v="0"/>
    <x v="0"/>
    <x v="0"/>
  </r>
  <r>
    <x v="1"/>
    <s v="DG"/>
    <n v="20431"/>
    <n v="86.85"/>
    <n v="7.67"/>
    <n v="33.71"/>
    <n v="5.1100000000000003"/>
    <n v="11.323337679269882"/>
    <n v="2.5763868288341736"/>
    <n v="15.89"/>
    <n v="3.92"/>
    <n v="4.2"/>
    <n v="16.996086105675143"/>
    <s v="NO"/>
    <n v="-1.041803849561334"/>
    <n v="-1.0504460972591794"/>
    <n v="-0.77223357347370758"/>
    <n v="-1.37077792209981"/>
    <n v="0.56252611654099927"/>
    <n v="-0.90613167715094034"/>
    <x v="0"/>
    <x v="0"/>
    <x v="0"/>
    <x v="0"/>
    <x v="0"/>
    <x v="0"/>
  </r>
  <r>
    <x v="1"/>
    <s v="DLTR"/>
    <n v="18162"/>
    <n v="85.71"/>
    <n v="7.24"/>
    <n v="18.489999999999998"/>
    <n v="4.83"/>
    <n v="11.838397790055247"/>
    <n v="4.6354786371011354"/>
    <n v="18.47"/>
    <n v="4.6500000000000004"/>
    <n v="4.6900000000000004"/>
    <n v="17.745341614906831"/>
    <s v="NO"/>
    <n v="-0.98961013452713609"/>
    <n v="-0.25652428882901673"/>
    <n v="-0.46937714921887264"/>
    <n v="-0.96477255972510267"/>
    <n v="0.98064646220799623"/>
    <n v="-0.84388574389348714"/>
    <x v="0"/>
    <x v="0"/>
    <x v="0"/>
    <x v="0"/>
    <x v="0"/>
    <x v="0"/>
  </r>
  <r>
    <x v="1"/>
    <s v="TGT"/>
    <n v="43387"/>
    <n v="99.09"/>
    <n v="9.7200000000000006"/>
    <n v="32.19"/>
    <n v="8.86"/>
    <n v="10.194444444444445"/>
    <n v="3.0782851817334578"/>
    <n v="29.12"/>
    <n v="6.34"/>
    <n v="3.94"/>
    <n v="11.183972911963883"/>
    <s v="NO"/>
    <n v="-1.1562004618570709"/>
    <n v="-0.85692969047142609"/>
    <n v="0.78078599741445864"/>
    <n v="-2.4842337241192343E-2"/>
    <n v="0.34066634128912321"/>
    <n v="-1.3889848633911011"/>
    <x v="0"/>
    <x v="0"/>
    <x v="0"/>
    <x v="0"/>
    <x v="0"/>
    <x v="0"/>
  </r>
  <r>
    <x v="1"/>
    <s v="WMT"/>
    <n v="790728"/>
    <n v="95.88"/>
    <n v="1.57"/>
    <n v="11.34"/>
    <n v="2.41"/>
    <n v="61.07006369426751"/>
    <n v="8.455026455026454"/>
    <n v="21.41"/>
    <n v="7.12"/>
    <n v="2.87"/>
    <n v="39.784232365145222"/>
    <s v="NO"/>
    <n v="3.9992901647897416"/>
    <n v="1.2161746451466342"/>
    <n v="-0.12426168902150224"/>
    <n v="0.40897161159753581"/>
    <n v="-0.57237196455513495"/>
    <n v="0.98704016296352881"/>
    <x v="1"/>
    <x v="0"/>
    <x v="0"/>
    <x v="0"/>
    <x v="0"/>
    <x v="0"/>
  </r>
  <r>
    <x v="2"/>
    <s v="ADM"/>
    <n v="22990"/>
    <n v="50.69"/>
    <n v="2.4900000000000002"/>
    <n v="46.38"/>
    <n v="3.65"/>
    <n v="20.357429718875501"/>
    <n v="1.0929279862009487"/>
    <n v="7.59"/>
    <n v="2.33"/>
    <n v="2.4"/>
    <n v="13.887671232876713"/>
    <s v="NO"/>
    <n v="0.32841702836170872"/>
    <n v="-0.95668827657428801"/>
    <n v="-0.61048430172321499"/>
    <n v="-1.3460016311127212"/>
    <n v="-0.47691976398937841"/>
    <n v="-0.73652884906532878"/>
    <x v="0"/>
    <x v="0"/>
    <x v="0"/>
    <x v="0"/>
    <x v="0"/>
    <x v="0"/>
  </r>
  <r>
    <x v="2"/>
    <s v="BG"/>
    <n v="10168"/>
    <n v="82.91"/>
    <n v="3.73"/>
    <n v="74"/>
    <n v="7.99"/>
    <n v="22.227882037533512"/>
    <n v="1.1204054054054053"/>
    <n v="10.44"/>
    <n v="3.89"/>
    <n v="2.5099999999999998"/>
    <n v="10.376720901126408"/>
    <s v="NO"/>
    <n v="0.57613673735032822"/>
    <n v="-0.93064059964629875"/>
    <n v="-0.39319327907596902"/>
    <n v="-0.75380429784314351"/>
    <n v="-0.32672417369415507"/>
    <n v="-1.2589565217114793"/>
    <x v="0"/>
    <x v="0"/>
    <x v="0"/>
    <x v="0"/>
    <x v="0"/>
    <x v="0"/>
  </r>
  <r>
    <x v="2"/>
    <s v="CAG"/>
    <n v="10979"/>
    <n v="22.83"/>
    <n v="3.03"/>
    <n v="18.39"/>
    <n v="0.68"/>
    <n v="7.5346534653465342"/>
    <n v="1.2414355628058726"/>
    <n v="3.66"/>
    <n v="5.13"/>
    <n v="2.36"/>
    <n v="33.573529411764703"/>
    <s v="NO"/>
    <n v="-1.3698109191057684"/>
    <n v="-0.81590804725288713"/>
    <n v="-0.91011718558415411"/>
    <n v="-0.28308334062886398"/>
    <n v="-0.53153634227855062"/>
    <n v="2.1927171101936755"/>
    <x v="0"/>
    <x v="0"/>
    <x v="0"/>
    <x v="0"/>
    <x v="0"/>
    <x v="0"/>
  </r>
  <r>
    <x v="2"/>
    <s v="CPB"/>
    <n v="10523"/>
    <n v="35.18"/>
    <n v="2.59"/>
    <n v="13.12"/>
    <n v="1.73"/>
    <n v="13.583011583011583"/>
    <n v="2.6814024390243905"/>
    <n v="13.42"/>
    <n v="6.5"/>
    <n v="4.07"/>
    <n v="20.335260115606935"/>
    <s v="NO"/>
    <n v="-0.56877605827492883"/>
    <n v="0.54913252295693393"/>
    <n v="-0.16599073609744511"/>
    <n v="0.23698739435788052"/>
    <n v="1.8033223795835609"/>
    <n v="0.22286918733603087"/>
    <x v="0"/>
    <x v="0"/>
    <x v="0"/>
    <x v="0"/>
    <x v="0"/>
    <x v="0"/>
  </r>
  <r>
    <x v="2"/>
    <s v="GIS"/>
    <n v="29811"/>
    <n v="53.77"/>
    <n v="4.43"/>
    <n v="16.920000000000002"/>
    <n v="4.54"/>
    <n v="12.137697516930023"/>
    <n v="3.1778959810874703"/>
    <n v="26.83"/>
    <n v="7.2"/>
    <n v="3.53"/>
    <n v="11.843612334801763"/>
    <s v="NO"/>
    <n v="-0.76019113807966798"/>
    <n v="1.0197918408594888"/>
    <n v="0.85642070730591213"/>
    <n v="0.50271696697884494"/>
    <n v="1.0659985726797356"/>
    <n v="-1.040683801989595"/>
    <x v="0"/>
    <x v="0"/>
    <x v="0"/>
    <x v="0"/>
    <x v="0"/>
    <x v="0"/>
  </r>
  <r>
    <x v="2"/>
    <s v="HRL"/>
    <n v="16008"/>
    <n v="29.27"/>
    <n v="1.62"/>
    <n v="14.6"/>
    <n v="1.38"/>
    <n v="18.067901234567898"/>
    <n v="2.0047945205479452"/>
    <n v="9.52"/>
    <n v="4.91"/>
    <n v="1.67"/>
    <n v="21.210144927536234"/>
    <s v="NO"/>
    <n v="2.5195543271538383E-2"/>
    <n v="-9.2269216276829769E-2"/>
    <n v="-0.46333634603578172"/>
    <n v="-0.36659834916688122"/>
    <n v="-1.4736723177667708"/>
    <n v="0.35305161458268169"/>
    <x v="0"/>
    <x v="0"/>
    <x v="0"/>
    <x v="0"/>
    <x v="0"/>
    <x v="0"/>
  </r>
  <r>
    <x v="2"/>
    <s v="HSY"/>
    <n v="43385"/>
    <n v="163.30000000000001"/>
    <n v="8.99"/>
    <n v="23.12"/>
    <n v="8.1199999999999992"/>
    <n v="18.164627363737488"/>
    <n v="7.0631487889273359"/>
    <n v="37.479999999999997"/>
    <n v="10.96"/>
    <n v="2.98"/>
    <n v="20.110837438423648"/>
    <s v="NO"/>
    <n v="3.8005796882642169E-2"/>
    <n v="4.7028819145357517"/>
    <n v="1.6684029498298314"/>
    <n v="1.9300643856285964"/>
    <n v="0.31502062120361835"/>
    <n v="0.18947520398354242"/>
    <x v="0"/>
    <x v="1"/>
    <x v="0"/>
    <x v="0"/>
    <x v="0"/>
    <x v="0"/>
  </r>
  <r>
    <x v="2"/>
    <s v="K"/>
    <n v="28643"/>
    <n v="82.11"/>
    <n v="2.5099999999999998"/>
    <n v="11.28"/>
    <n v="3.97"/>
    <n v="32.713147410358566"/>
    <n v="7.2792553191489366"/>
    <n v="38.15"/>
    <n v="8.1199999999999992"/>
    <n v="3.95"/>
    <n v="20.682619647355164"/>
    <s v="NO"/>
    <n v="1.9647884880072108"/>
    <n v="4.9077436972001145"/>
    <n v="1.7194854007679559"/>
    <n v="0.85196154813782621"/>
    <n v="1.6394726447160441"/>
    <n v="0.27455611383613199"/>
    <x v="0"/>
    <x v="1"/>
    <x v="0"/>
    <x v="0"/>
    <x v="0"/>
    <x v="0"/>
  </r>
  <r>
    <x v="2"/>
    <s v="KHC"/>
    <n v="33411"/>
    <n v="27.59"/>
    <n v="2.5099999999999998"/>
    <n v="41.56"/>
    <n v="2.19"/>
    <n v="10.99203187250996"/>
    <n v="0.66385948026948982"/>
    <n v="5.35"/>
    <n v="3.75"/>
    <n v="1.83"/>
    <n v="12.598173515981735"/>
    <s v="NO"/>
    <n v="-0.91192126089702874"/>
    <n v="-1.363430909108895"/>
    <n v="-0.78126742127754167"/>
    <n v="-0.80695021236733644"/>
    <n v="-1.2552060046100819"/>
    <n v="-0.92840547147944463"/>
    <x v="0"/>
    <x v="0"/>
    <x v="0"/>
    <x v="0"/>
    <x v="0"/>
    <x v="0"/>
  </r>
  <r>
    <x v="2"/>
    <s v="MDLZ"/>
    <n v="86986"/>
    <n v="64.14"/>
    <n v="2.4900000000000002"/>
    <n v="19.91"/>
    <n v="2.7"/>
    <n v="25.75903614457831"/>
    <n v="3.2214967353088899"/>
    <n v="13.3"/>
    <n v="3.66"/>
    <n v="2.67"/>
    <n v="23.755555555555553"/>
    <s v="NO"/>
    <n v="1.0437971310772858"/>
    <n v="1.0611239016081926"/>
    <n v="-0.17513983178785542"/>
    <n v="-0.84111544313288888"/>
    <n v="-0.10825786053746615"/>
    <n v="0.73180745692522231"/>
    <x v="0"/>
    <x v="0"/>
    <x v="0"/>
    <x v="0"/>
    <x v="0"/>
    <x v="0"/>
  </r>
  <r>
    <x v="2"/>
    <s v="MKC"/>
    <n v="20103"/>
    <n v="74.8"/>
    <n v="2.42"/>
    <n v="20.22"/>
    <n v="2.9"/>
    <n v="30.90909090909091"/>
    <n v="3.6993076162215628"/>
    <n v="14.66"/>
    <n v="5.16"/>
    <n v="2.38"/>
    <n v="25.793103448275861"/>
    <s v="NO"/>
    <n v="1.7258621347208103"/>
    <n v="1.5140726798789188"/>
    <n v="-7.1450080629871404E-2"/>
    <n v="-0.2716949303736797"/>
    <n v="-0.50422805313396457"/>
    <n v="1.0349935754734363"/>
    <x v="0"/>
    <x v="0"/>
    <x v="0"/>
    <x v="0"/>
    <x v="0"/>
    <x v="0"/>
  </r>
  <r>
    <x v="2"/>
    <s v="PPC"/>
    <n v="11093"/>
    <n v="46.63"/>
    <n v="5.82"/>
    <n v="13.2"/>
    <n v="5.08"/>
    <n v="8.0120274914089347"/>
    <n v="3.5325757575757581"/>
    <n v="36.39"/>
    <n v="11.46"/>
    <n v="3.5"/>
    <n v="9.1791338582677167"/>
    <s v="NO"/>
    <n v="-1.3065882677527803"/>
    <n v="1.3560164390328104"/>
    <n v="1.5852986639752709"/>
    <n v="2.1198712232149992"/>
    <n v="1.0250361389628568"/>
    <n v="-1.43715688129331"/>
    <x v="0"/>
    <x v="0"/>
    <x v="0"/>
    <x v="0"/>
    <x v="0"/>
    <x v="0"/>
  </r>
  <r>
    <x v="2"/>
    <s v="SJM"/>
    <n v="11946"/>
    <n v="111.49"/>
    <n v="7.67"/>
    <n v="64.91"/>
    <n v="-2.42"/>
    <n v="14.535853976531943"/>
    <n v="1.7176089970728701"/>
    <n v="-3.55"/>
    <n v="5.52"/>
    <n v="2.67"/>
    <n v="-46.070247933884296"/>
    <s v="NO"/>
    <n v="-0.44258313794203702"/>
    <n v="-0.36451151378710434"/>
    <n v="-1.4598253516496429"/>
    <n v="-0.13503400731146967"/>
    <n v="-0.10825786053746615"/>
    <n v="-9.65823756243846"/>
    <x v="0"/>
    <x v="0"/>
    <x v="0"/>
    <x v="0"/>
    <x v="0"/>
    <x v="1"/>
  </r>
  <r>
    <x v="2"/>
    <s v="TSN"/>
    <n v="19657"/>
    <n v="55.36"/>
    <n v="3.62"/>
    <n v="51.65"/>
    <n v="2.57"/>
    <n v="15.292817679558011"/>
    <n v="1.0718296224588577"/>
    <n v="5.12"/>
    <n v="3.67"/>
    <n v="1.97"/>
    <n v="21.540856031128406"/>
    <s v="NO"/>
    <n v="-0.34233207761931178"/>
    <n v="-0.97668882169004079"/>
    <n v="-0.79880318801749484"/>
    <n v="-0.83731930638116092"/>
    <n v="-1.0640479805979792"/>
    <n v="0.40226126320843331"/>
    <x v="0"/>
    <x v="0"/>
    <x v="0"/>
    <x v="0"/>
    <x v="0"/>
    <x v="0"/>
  </r>
  <r>
    <x v="3"/>
    <s v="CHD"/>
    <n v="22655"/>
    <n v="94.1"/>
    <n v="3.79"/>
    <n v="18.48"/>
    <n v="2.33"/>
    <n v="24.828496042216358"/>
    <n v="5.0919913419913412"/>
    <n v="13.36"/>
    <n v="8.24"/>
    <n v="1.97"/>
    <n v="40.386266094420598"/>
    <s v="NO"/>
    <n v="0.84710261446796953"/>
    <n v="-0.72749062753012661"/>
    <n v="-1.1367484727673167"/>
    <n v="-1.5757619273427383"/>
    <n v="-0.80030919439123205"/>
    <n v="52.634728999307235"/>
    <x v="0"/>
    <x v="0"/>
    <x v="0"/>
    <x v="0"/>
    <x v="0"/>
    <x v="1"/>
  </r>
  <r>
    <x v="3"/>
    <s v="CL"/>
    <n v="73651"/>
    <n v="87.88"/>
    <n v="4.25"/>
    <n v="0.45"/>
    <n v="3.53"/>
    <n v="20.677647058823528"/>
    <n v="195.28888888888886"/>
    <n v="451.26"/>
    <n v="16.02"/>
    <n v="45.86"/>
    <n v="24.895184135977338"/>
    <s v="NO"/>
    <n v="-0.80107321315893765"/>
    <n v="1.7041340790090114"/>
    <n v="1.4726650236198848"/>
    <n v="2.998651428898492"/>
    <n v="1.6581734332085001"/>
    <n v="0.13484665782919047"/>
    <x v="0"/>
    <x v="0"/>
    <x v="0"/>
    <x v="1"/>
    <x v="0"/>
    <x v="0"/>
  </r>
  <r>
    <x v="3"/>
    <s v="CLX"/>
    <n v="16822"/>
    <n v="136.33000000000001"/>
    <n v="5.6"/>
    <n v="0.22"/>
    <n v="5.57"/>
    <n v="24.344642857142862"/>
    <n v="619.68181818181824"/>
    <n v="318.64999999999998"/>
    <n v="12.92"/>
    <n v="204.15"/>
    <n v="24.475763016157991"/>
    <s v="NO"/>
    <n v="0.65497923755181331"/>
    <n v="7.1299025613511029"/>
    <n v="0.6824519070272681"/>
    <n v="1.1759417368229375"/>
    <n v="10.524731080115806"/>
    <n v="-1.286587913436837"/>
    <x v="0"/>
    <x v="1"/>
    <x v="0"/>
    <x v="0"/>
    <x v="1"/>
    <x v="0"/>
  </r>
  <r>
    <x v="3"/>
    <s v="KMB"/>
    <n v="44327"/>
    <n v="134.03"/>
    <n v="7.15"/>
    <n v="3.32"/>
    <n v="7.34"/>
    <n v="18.745454545454546"/>
    <n v="40.370481927710848"/>
    <n v="207.06"/>
    <n v="11.54"/>
    <n v="14.81"/>
    <n v="18.260217983651227"/>
    <s v="YES"/>
    <n v="-1.5682880666979855"/>
    <n v="-0.27646303231663544"/>
    <n v="1.7495405401673707E-2"/>
    <n v="0.3645419384151094"/>
    <n v="-8.1081193972445023E-2"/>
    <n v="-22.351313009472396"/>
    <x v="0"/>
    <x v="0"/>
    <x v="0"/>
    <x v="0"/>
    <x v="0"/>
    <x v="1"/>
  </r>
  <r>
    <x v="3"/>
    <s v="PG"/>
    <n v="373462"/>
    <n v="158.72999999999999"/>
    <n v="6.38"/>
    <n v="21.96"/>
    <n v="6.3"/>
    <n v="24.879310344827584"/>
    <n v="7.2281420765027313"/>
    <n v="30.29"/>
    <n v="10.98"/>
    <n v="2.39"/>
    <n v="25.195238095238093"/>
    <s v="NO"/>
    <n v="0.86727942783714307"/>
    <n v="-0.70018041916224905"/>
    <n v="-1.0358638632815089"/>
    <n v="3.5278252104687401E-2"/>
    <n v="-0.77678304484482308"/>
    <n v="1.1517412556076465"/>
    <x v="0"/>
    <x v="0"/>
    <x v="0"/>
    <x v="0"/>
    <x v="0"/>
    <x v="0"/>
  </r>
  <r>
    <x v="4"/>
    <s v="EL"/>
    <n v="21319"/>
    <n v="65.48"/>
    <n v="2.63"/>
    <n v="12.08"/>
    <n v="-2.42"/>
    <n v="24.897338403041829"/>
    <n v="5.4205298013245038"/>
    <n v="-15.98"/>
    <n v="3.88"/>
    <n v="4.58"/>
    <n v="-27.057851239669425"/>
    <s v="NO"/>
    <n v="-0.2080982291154336"/>
    <n v="-0.33992686677047079"/>
    <n v="-1.2774780168601563"/>
    <n v="-1.283260918175926"/>
    <n v="1.0402393690855012"/>
    <n v="-1.3704501456271365"/>
    <x v="0"/>
    <x v="0"/>
    <x v="0"/>
    <x v="0"/>
    <x v="0"/>
    <x v="0"/>
  </r>
  <r>
    <x v="4"/>
    <s v="KVUE"/>
    <n v="44341"/>
    <n v="23.66"/>
    <n v="0.69"/>
    <n v="5.05"/>
    <n v="0.54"/>
    <n v="34.289855072463773"/>
    <n v="4.6851485148514858"/>
    <n v="9.8699999999999992"/>
    <n v="6.88"/>
    <n v="2.65"/>
    <n v="43.81481481481481"/>
    <s v="NO"/>
    <n v="1.3154620686238605"/>
    <n v="-1.018875199035377"/>
    <n v="0.11334635780648868"/>
    <n v="0.12691591498443247"/>
    <n v="-1.3498344194085676"/>
    <n v="0.98754906915345519"/>
    <x v="0"/>
    <x v="0"/>
    <x v="0"/>
    <x v="0"/>
    <x v="0"/>
    <x v="0"/>
  </r>
  <r>
    <x v="4"/>
    <s v="UL"/>
    <n v="157454"/>
    <n v="60.77"/>
    <n v="3.14"/>
    <n v="8.3699999999999992"/>
    <n v="2.37"/>
    <n v="19.353503184713375"/>
    <n v="7.260454002389487"/>
    <n v="29.4"/>
    <n v="9.07"/>
    <n v="3.99"/>
    <n v="25.641350210970465"/>
    <s v="NO"/>
    <n v="-1.1073638395084262"/>
    <n v="1.3588020658058488"/>
    <n v="1.1641316590536677"/>
    <n v="1.1563450031914944"/>
    <n v="0.30959505032306589"/>
    <n v="0.38290107647368127"/>
    <x v="0"/>
    <x v="0"/>
    <x v="0"/>
    <x v="0"/>
    <x v="0"/>
    <x v="0"/>
  </r>
  <r>
    <x v="5"/>
    <s v="BTI"/>
    <n v="97470"/>
    <n v="40.69"/>
    <n v="5.4"/>
    <n v="27.26"/>
    <n v="1.7"/>
    <n v="7.5351851851851839"/>
    <n v="1.4926632428466615"/>
    <n v="6.18"/>
    <n v="5.15"/>
    <n v="2.4"/>
    <n v="23.935294117647057"/>
    <s v="NO"/>
    <n v="-0.94723649046908887"/>
    <n v="1.4039400337955452"/>
    <n v="1.1372050736022432"/>
    <n v="-1.2600386000246668"/>
    <n v="1.3353477219401555"/>
    <n v="0.15824053740087773"/>
    <x v="0"/>
    <x v="0"/>
    <x v="0"/>
    <x v="0"/>
    <x v="0"/>
    <x v="0"/>
  </r>
  <r>
    <x v="5"/>
    <s v="MO"/>
    <n v="102600"/>
    <n v="56.47"/>
    <n v="4.97"/>
    <n v="-2.08"/>
    <n v="5.99"/>
    <n v="11.362173038229377"/>
    <n v="-27.14903846153846"/>
    <n v="-239.61"/>
    <n v="20.92"/>
    <n v="-10.19"/>
    <n v="9.4273789649415694"/>
    <s v="NO"/>
    <n v="-0.43580864756270127"/>
    <n v="-0.84932769782965301"/>
    <n v="-1.2966639802452768"/>
    <n v="1.1861011688373355"/>
    <n v="-1.0709539697430348"/>
    <n v="-1.2961740675287032"/>
    <x v="0"/>
    <x v="0"/>
    <x v="0"/>
    <x v="0"/>
    <x v="0"/>
    <x v="0"/>
  </r>
  <r>
    <x v="5"/>
    <s v="PM"/>
    <n v="272951"/>
    <n v="163.82"/>
    <n v="6.56"/>
    <n v="-7"/>
    <n v="4.8600000000000003"/>
    <n v="24.972560975609756"/>
    <n v="-23.40285714285714"/>
    <n v="-92.56"/>
    <n v="13.75"/>
    <n v="-5.97"/>
    <n v="33.707818930041149"/>
    <s v="NO"/>
    <n v="1.3830451380317901"/>
    <n v="-0.55461233596589232"/>
    <n v="0.15945890664303367"/>
    <n v="7.393743118733169E-2"/>
    <n v="-0.26439375219712041"/>
    <n v="1.1379335301278259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s v="CCU"/>
    <n v="2830"/>
    <n v="14.75"/>
    <n v="0.35"/>
    <n v="4.1500000000000004"/>
    <n v="0.44"/>
    <n v="42.142857142857146"/>
    <n v="3.5542168674698793"/>
    <n v="11.73"/>
    <n v="4.01"/>
    <n v="2.62"/>
    <n v="33.522727272727273"/>
    <s v="NO"/>
    <n v="0.37812570782089283"/>
    <n v="-0.80178600373200815"/>
    <n v="-0.63581816744920139"/>
    <n v="-1.0371445738190057"/>
    <n v="1.7278076008493857"/>
    <n v="-0.57648900047718521"/>
    <x v="0"/>
    <x v="0"/>
    <x v="0"/>
    <x v="0"/>
    <x v="0"/>
    <x v="0"/>
  </r>
  <r>
    <x v="0"/>
    <s v="SAM"/>
    <n v="2687"/>
    <n v="240.26"/>
    <n v="16.04"/>
    <n v="82.03"/>
    <n v="6.16"/>
    <n v="14.978802992518704"/>
    <n v="2.9289284408143361"/>
    <n v="7.36"/>
    <n v="8.09"/>
    <n v="1.38"/>
    <n v="39.003246753246749"/>
    <s v="NO"/>
    <n v="-1.3671657707018903"/>
    <n v="-1.0214104584923656"/>
    <n v="-0.99526517802526993"/>
    <n v="-0.40913183099004402"/>
    <n v="-0.63305347358944419"/>
    <n v="1.4066117584533055"/>
    <x v="0"/>
    <x v="0"/>
    <x v="0"/>
    <x v="0"/>
    <x v="0"/>
    <x v="0"/>
  </r>
  <r>
    <x v="0"/>
    <s v="DVCMY"/>
    <n v="7710"/>
    <n v="6.2"/>
    <m/>
    <m/>
    <m/>
    <s v=""/>
    <s v=""/>
    <m/>
    <m/>
    <m/>
    <s v=""/>
    <s v="NO"/>
    <e v="#VALUE!"/>
    <e v="#VALUE!"/>
    <n v="-1.6006496168902273"/>
    <n v="-1.6543825882170782"/>
    <n v="-3.2604633790133026"/>
    <e v="#VALUE!"/>
    <x v="1"/>
    <x v="1"/>
    <x v="0"/>
    <x v="0"/>
    <x v="0"/>
    <x v="1"/>
  </r>
  <r>
    <x v="0"/>
    <s v="CELH"/>
    <n v="9224"/>
    <n v="37.93"/>
    <n v="0.91"/>
    <n v="1.7"/>
    <n v="0.45"/>
    <n v="41.681318681318679"/>
    <n v="22.311764705882354"/>
    <n v="12.54"/>
    <n v="5.9"/>
    <n v="4.42"/>
    <n v="84.288888888888891"/>
    <s v="NO"/>
    <n v="0.34847184468708053"/>
    <n v="5.78655953576102"/>
    <n v="-0.56919297784585698"/>
    <n v="-0.74622690618500132"/>
    <n v="5.1548639992283309"/>
    <n v="17.793013012396884"/>
    <x v="0"/>
    <x v="1"/>
    <x v="0"/>
    <x v="0"/>
    <x v="1"/>
    <x v="1"/>
  </r>
  <r>
    <x v="0"/>
    <s v="COCO"/>
    <n v="2014"/>
    <n v="33.15"/>
    <n v="0.56000000000000005"/>
    <n v="4.87"/>
    <n v="1.01"/>
    <n v="59.196428571428562"/>
    <n v="6.8069815195071861"/>
    <n v="24.86"/>
    <n v="13.77"/>
    <n v="1.38"/>
    <n v="32.821782178217823"/>
    <s v="NO"/>
    <n v="1.4738182995062348"/>
    <n v="0.34070541736860399"/>
    <n v="0.44416793068896326"/>
    <n v="0.46516041883066717"/>
    <n v="-0.63305347358944419"/>
    <n v="-0.83012275797612545"/>
    <x v="0"/>
    <x v="0"/>
    <x v="0"/>
    <x v="0"/>
    <x v="0"/>
    <x v="0"/>
  </r>
  <r>
    <x v="0"/>
    <s v="FIZZ"/>
    <n v="4085"/>
    <n v="43.55"/>
    <n v="1.87"/>
    <n v="4.33"/>
    <n v="1.99"/>
    <n v="23.288770053475933"/>
    <n v="10.057736720554272"/>
    <n v="40.81"/>
    <n v="21.97"/>
    <n v="1.47"/>
    <n v="21.884422110552762"/>
    <s v="NO"/>
    <n v="-0.83325008131231615"/>
    <n v="1.4824910448557707"/>
    <n v="1.7561083926313648"/>
    <n v="1.727342892163384"/>
    <n v="-0.46170065367049679"/>
    <n v="-4.7877561772130059"/>
    <x v="0"/>
    <x v="0"/>
    <x v="0"/>
    <x v="0"/>
    <x v="0"/>
    <x v="1"/>
  </r>
  <r>
    <x v="1"/>
    <s v="WBA"/>
    <n v="9555"/>
    <n v="11.37"/>
    <n v="0.66"/>
    <n v="8.2200000000000006"/>
    <n v="-6.69"/>
    <n v="17.227272727272727"/>
    <n v="1.3832116788321165"/>
    <n v="-66.209999999999994"/>
    <n v="-0.59"/>
    <n v="9.8800000000000008"/>
    <n v="-1.6995515695067263"/>
    <s v="NO"/>
    <n v="-0.94959706056698578"/>
    <n v="-0.85072702947765111"/>
    <n v="-0.62577388601641482"/>
    <n v="-1.8312906316703277"/>
    <n v="1.7562158182394432"/>
    <n v="-1.4130471833563463"/>
    <x v="0"/>
    <x v="0"/>
    <x v="1"/>
    <x v="0"/>
    <x v="0"/>
    <x v="0"/>
  </r>
  <r>
    <x v="1"/>
    <s v="CHEF"/>
    <n v="2522"/>
    <n v="61.28"/>
    <n v="3.33"/>
    <n v="13.32"/>
    <n v="1.47"/>
    <n v="18.402402402402402"/>
    <n v="4.6006006006006004"/>
    <n v="12.9"/>
    <n v="4.79"/>
    <n v="3.39"/>
    <n v="41.687074829931973"/>
    <s v="NO"/>
    <n v="-0.90698459925245933"/>
    <n v="1.6010823348746803"/>
    <n v="0.7510214821886072"/>
    <n v="0.37281308161521193"/>
    <n v="-0.33589884041951173"/>
    <n v="1.4065140916854479"/>
    <x v="0"/>
    <x v="0"/>
    <x v="0"/>
    <x v="0"/>
    <x v="0"/>
    <x v="0"/>
  </r>
  <r>
    <x v="1"/>
    <s v="TBBB"/>
    <n v="3555"/>
    <n v="28.69"/>
    <n v="0.57999999999999996"/>
    <n v="1.69"/>
    <n v="0.12"/>
    <n v="49.465517241379317"/>
    <n v="16.976331360946748"/>
    <n v="-111.46"/>
    <n v="4.4000000000000004"/>
    <n v="5.65"/>
    <n v="239.08333333333334"/>
    <s v="NO"/>
    <n v="0.21942366648938735"/>
    <n v="11.032000792889839"/>
    <n v="-1.4132848253575505"/>
    <n v="0.21303604663726405"/>
    <n v="0.39263415319670364"/>
    <n v="14.234680107412599"/>
    <x v="0"/>
    <x v="1"/>
    <x v="0"/>
    <x v="0"/>
    <x v="0"/>
    <x v="1"/>
  </r>
  <r>
    <x v="1"/>
    <s v="WMK"/>
    <n v="2372"/>
    <n v="75.150000000000006"/>
    <n v="0.81"/>
    <n v="53.76"/>
    <n v="4.09"/>
    <n v="92.777777777777786"/>
    <n v="1.3978794642857144"/>
    <n v="7.8"/>
    <n v="3.97"/>
    <n v="1.46"/>
    <n v="18.374083129584353"/>
    <s v="NO"/>
    <n v="1.790009505323136"/>
    <n v="-0.83954945206817999"/>
    <n v="0.66226334316894331"/>
    <n v="3.6871623456449489E-2"/>
    <n v="-0.95805312257849218"/>
    <n v="-0.10852439041514"/>
    <x v="0"/>
    <x v="0"/>
    <x v="0"/>
    <x v="0"/>
    <x v="0"/>
    <x v="0"/>
  </r>
  <r>
    <x v="1"/>
    <s v="PSMT"/>
    <n v="3219"/>
    <n v="102.31"/>
    <n v="2.61"/>
    <n v="39.1"/>
    <n v="4.6900000000000004"/>
    <n v="39.199233716475099"/>
    <n v="2.616624040920716"/>
    <n v="12.6"/>
    <n v="6.83"/>
    <n v="1.78"/>
    <n v="21.814498933901916"/>
    <s v="NO"/>
    <n v="-0.15285151199307809"/>
    <n v="8.9194146671150096E-2"/>
    <n v="0.74580041518745055"/>
    <n v="1.2085698799614017"/>
    <n v="-0.85489800843814301"/>
    <n v="0.11505748208603851"/>
    <x v="0"/>
    <x v="0"/>
    <x v="1"/>
    <x v="0"/>
    <x v="0"/>
    <x v="0"/>
  </r>
  <r>
    <x v="2"/>
    <s v="DAR"/>
    <n v="5214"/>
    <n v="36.659999999999997"/>
    <n v="3.18"/>
    <n v="27.55"/>
    <n v="1.07"/>
    <n v="11.528301886792452"/>
    <n v="1.3306715063520869"/>
    <n v="6.24"/>
    <n v="1.66"/>
    <n v="2.2999999999999998"/>
    <n v="34.261682242990652"/>
    <s v="NO"/>
    <n v="-0.3704272747274196"/>
    <n v="-0.8337003596089394"/>
    <n v="-0.57971898487531126"/>
    <n v="-1.412610609126788"/>
    <n v="0.79003830492963245"/>
    <n v="1.8220339144176072"/>
    <x v="0"/>
    <x v="0"/>
    <x v="0"/>
    <x v="0"/>
    <x v="0"/>
    <x v="0"/>
  </r>
  <r>
    <x v="2"/>
    <s v="INGR"/>
    <n v="8725"/>
    <n v="137.68"/>
    <n v="17.329999999999998"/>
    <n v="58.98"/>
    <n v="9.7100000000000009"/>
    <n v="7.9446047316791706"/>
    <n v="2.3343506273312991"/>
    <n v="17.62"/>
    <n v="8.34"/>
    <n v="1.96"/>
    <n v="14.179196704428424"/>
    <s v="NO"/>
    <n v="-0.83150005871787691"/>
    <n v="0.49586862388925745"/>
    <n v="0.99640437127374293"/>
    <n v="1.0400593446854489"/>
    <n v="0.1921714795774784"/>
    <n v="-0.63715746746333257"/>
    <x v="0"/>
    <x v="0"/>
    <x v="0"/>
    <x v="0"/>
    <x v="0"/>
    <x v="0"/>
  </r>
  <r>
    <x v="2"/>
    <s v="BRFS"/>
    <n v="5583"/>
    <n v="3.58"/>
    <n v="0.82"/>
    <n v="1.5"/>
    <n v="0.31"/>
    <n v="4.3658536585365857"/>
    <n v="2.3866666666666667"/>
    <n v="22.97"/>
    <n v="7.02"/>
    <n v="4.1500000000000004"/>
    <n v="11.548387096774194"/>
    <s v="NO"/>
    <n v="-1.2919364876578465"/>
    <n v="0.56517143370751322"/>
    <n v="1.7373762478464525"/>
    <n v="0.5554000124950067"/>
    <n v="4.0431372075810614"/>
    <n v="-0.95931202856533671"/>
    <x v="0"/>
    <x v="0"/>
    <x v="0"/>
    <x v="0"/>
    <x v="1"/>
    <x v="0"/>
  </r>
  <r>
    <x v="2"/>
    <s v="CALM"/>
    <n v="4634"/>
    <n v="93.95"/>
    <n v="17.61"/>
    <n v="48.56"/>
    <n v="20.239999999999998"/>
    <n v="5.3350369108461102"/>
    <n v="1.9347199341021417"/>
    <n v="48.15"/>
    <n v="29.82"/>
    <n v="1.29"/>
    <n v="4.6417984189723329"/>
    <s v="YES"/>
    <n v="-1.1672429097695241"/>
    <n v="-3.352026491515088E-2"/>
    <n v="5.2247915473045534"/>
    <n v="8.926788477602642"/>
    <n v="-0.98597785273411953"/>
    <n v="-1.8050551175885095"/>
    <x v="0"/>
    <x v="0"/>
    <x v="1"/>
    <x v="1"/>
    <x v="0"/>
    <x v="0"/>
  </r>
  <r>
    <x v="2"/>
    <s v="FLO"/>
    <n v="3669"/>
    <n v="17.34"/>
    <n v="1.33"/>
    <n v="6.7"/>
    <n v="1.17"/>
    <n v="13.037593984962406"/>
    <n v="2.5880597014925373"/>
    <n v="17.97"/>
    <n v="6.95"/>
    <n v="2.41"/>
    <n v="14.820512820512821"/>
    <s v="NO"/>
    <n v="-0.17624415058560797"/>
    <n v="0.83195583421971186"/>
    <n v="1.0448791669373778"/>
    <n v="0.52969838124248347"/>
    <n v="0.98346580724944765"/>
    <n v="-0.55862540216156831"/>
    <x v="0"/>
    <x v="0"/>
    <x v="0"/>
    <x v="0"/>
    <x v="0"/>
    <x v="0"/>
  </r>
  <r>
    <x v="2"/>
    <s v="FRPT"/>
    <n v="3956"/>
    <n v="77.31"/>
    <n v="-0.28000000000000003"/>
    <n v="21.52"/>
    <n v="0.31"/>
    <n v="-276.10714285714283"/>
    <n v="3.5924721189591078"/>
    <n v="1.54"/>
    <n v="0.97"/>
    <n v="1.49"/>
    <n v="249.38709677419357"/>
    <s v="NO"/>
    <n v="-37.377146744087113"/>
    <n v="2.1624962121057369"/>
    <n v="-1.2306662409298414"/>
    <n v="-1.6659552600445193"/>
    <n v="-0.63429148487991127"/>
    <n v="28.165116020606654"/>
    <x v="1"/>
    <x v="0"/>
    <x v="0"/>
    <x v="0"/>
    <x v="0"/>
    <x v="1"/>
  </r>
  <r>
    <x v="2"/>
    <s v="JJSF"/>
    <n v="2217"/>
    <n v="116.55"/>
    <n v="4.46"/>
    <n v="48.61"/>
    <n v="4.32"/>
    <n v="26.132286995515695"/>
    <n v="2.3976548035383667"/>
    <n v="9.08"/>
    <n v="5.63"/>
    <n v="1.42"/>
    <n v="26.979166666666664"/>
    <s v="NO"/>
    <n v="1.5084982538504439"/>
    <n v="0.5797273666403332"/>
    <n v="-0.18638064291895687"/>
    <n v="4.5039049052041341E-2"/>
    <n v="-0.75738171362888429"/>
    <n v="0.93025687271025748"/>
    <x v="0"/>
    <x v="0"/>
    <x v="0"/>
    <x v="0"/>
    <x v="0"/>
    <x v="0"/>
  </r>
  <r>
    <x v="2"/>
    <s v="LANC"/>
    <n v="4402"/>
    <n v="167.59"/>
    <n v="5.39"/>
    <n v="36.14"/>
    <n v="6.15"/>
    <n v="31.092764378478666"/>
    <n v="4.6372440509131154"/>
    <n v="17.77"/>
    <n v="11.69"/>
    <n v="1.28"/>
    <n v="27.25040650406504"/>
    <s v="NO"/>
    <n v="2.1467053952159194"/>
    <n v="3.546500647906198"/>
    <n v="1.017179283701015"/>
    <n v="2.2700659831990708"/>
    <n v="-1.0035621711268301"/>
    <n v="0.96347142024582255"/>
    <x v="0"/>
    <x v="1"/>
    <x v="1"/>
    <x v="0"/>
    <x v="0"/>
    <x v="0"/>
  </r>
  <r>
    <x v="2"/>
    <s v="LW"/>
    <n v="7174"/>
    <n v="51.21"/>
    <n v="0.6"/>
    <n v="11.58"/>
    <n v="2.5499999999999998"/>
    <n v="85.350000000000009"/>
    <n v="4.4222797927461137"/>
    <n v="21.64"/>
    <n v="7.37"/>
    <n v="4.54"/>
    <n v="20.082352941176474"/>
    <s v="NO"/>
    <n v="9.1273551535100967"/>
    <n v="3.2617385120348232"/>
    <n v="1.553172024324639"/>
    <n v="0.68390816875762417"/>
    <n v="4.7289256248967666"/>
    <n v="8.5710770904478789E-2"/>
    <x v="1"/>
    <x v="1"/>
    <x v="0"/>
    <x v="0"/>
    <x v="1"/>
    <x v="0"/>
  </r>
  <r>
    <x v="2"/>
    <s v="NOMD"/>
    <n v="2935"/>
    <n v="18.399999999999999"/>
    <n v="2.2799999999999998"/>
    <n v="17.670000000000002"/>
    <n v="1.45"/>
    <n v="8.0701754385964914"/>
    <n v="1.0413129598189019"/>
    <n v="8.64"/>
    <n v="4.4000000000000004"/>
    <n v="2.42"/>
    <n v="12.689655172413792"/>
    <s v="NO"/>
    <n v="-0.81534433100985615"/>
    <n v="-1.2170122573450393"/>
    <n v="-0.24732038603895537"/>
    <n v="-0.40657532867087043"/>
    <n v="1.0010501256421576"/>
    <n v="-0.81955857968872525"/>
    <x v="0"/>
    <x v="0"/>
    <x v="0"/>
    <x v="0"/>
    <x v="0"/>
    <x v="0"/>
  </r>
  <r>
    <x v="2"/>
    <s v="POST"/>
    <n v="6279"/>
    <n v="108.72"/>
    <n v="9.77"/>
    <n v="68.819999999999993"/>
    <n v="6.07"/>
    <n v="11.127942681678608"/>
    <n v="1.5797733217088057"/>
    <n v="9.99"/>
    <n v="4.08"/>
    <n v="3.3"/>
    <n v="17.911037891268531"/>
    <s v="NO"/>
    <n v="-0.42193685416681603"/>
    <n v="-0.50371636322146462"/>
    <n v="-6.0346174193505242E-2"/>
    <n v="-0.52406850011097772"/>
    <n v="2.5484701442006745"/>
    <n v="-0.18017659885504553"/>
    <x v="0"/>
    <x v="0"/>
    <x v="0"/>
    <x v="0"/>
    <x v="0"/>
    <x v="0"/>
  </r>
  <r>
    <x v="2"/>
    <s v="SAPIF"/>
    <n v="7982"/>
    <n v="18.59"/>
    <n v="1.04"/>
    <n v="11.51"/>
    <n v="-0.26"/>
    <n v="17.875"/>
    <n v="1.6151172893136403"/>
    <n v="-2.2799999999999998"/>
    <n v="4.25"/>
    <n v="1.98"/>
    <n v="-71.5"/>
    <s v="NO"/>
    <n v="0.44612882405685012"/>
    <n v="-0.45689637653557402"/>
    <n v="-1.7597340107443746"/>
    <n v="-0.46165025278342076"/>
    <n v="0.22734011636289927"/>
    <n v="-11.128963461169878"/>
    <x v="0"/>
    <x v="0"/>
    <x v="0"/>
    <x v="0"/>
    <x v="0"/>
    <x v="1"/>
  </r>
  <r>
    <x v="2"/>
    <s v="SEB"/>
    <n v="2442"/>
    <n v="2536.0500000000002"/>
    <n v="-37.07"/>
    <n v="4886.4399999999996"/>
    <n v="100.92"/>
    <n v="-68.412462908011875"/>
    <n v="0.51899747055115797"/>
    <n v="2.12"/>
    <n v="1.73"/>
    <n v="1.61"/>
    <n v="25.129310344827587"/>
    <s v="NO"/>
    <n v="-10.655479103305179"/>
    <n v="-1.9089211150819143"/>
    <n v="-1.1503365795443889"/>
    <n v="-1.3869089778742647"/>
    <n v="-0.42327966416738605"/>
    <n v="0.70373358127556984"/>
    <x v="1"/>
    <x v="0"/>
    <x v="0"/>
    <x v="0"/>
    <x v="0"/>
    <x v="0"/>
  </r>
  <r>
    <x v="2"/>
    <s v="SFD"/>
    <n v="8841"/>
    <n v="22.63"/>
    <n v="2.0499999999999998"/>
    <n v="15.84"/>
    <n v="2.33"/>
    <n v="11.039024390243902"/>
    <n v="1.4286616161616161"/>
    <n v="11.78"/>
    <n v="5.24"/>
    <n v="1.79"/>
    <n v="9.7124463519313302"/>
    <s v="YES"/>
    <n v="-0.4333769403138773"/>
    <n v="-0.7038933247019824"/>
    <n v="0.18756778077194339"/>
    <n v="-9.815575364058915E-2"/>
    <n v="-0.10676193309859859"/>
    <n v="-1.1841312945218396"/>
    <x v="0"/>
    <x v="0"/>
    <x v="0"/>
    <x v="0"/>
    <x v="0"/>
    <x v="0"/>
  </r>
  <r>
    <x v="2"/>
    <s v="SMPL"/>
    <n v="3573"/>
    <n v="35.92"/>
    <n v="1.77"/>
    <n v="17.989999999999998"/>
    <n v="1.44"/>
    <n v="20.293785310734464"/>
    <n v="1.9966648137854366"/>
    <n v="8.4"/>
    <n v="6.75"/>
    <n v="1.34"/>
    <n v="24.944444444444446"/>
    <s v="NO"/>
    <n v="0.75732590037908465"/>
    <n v="4.8537824161250541E-2"/>
    <n v="-0.28056024592259099"/>
    <n v="0.45626514909241644"/>
    <n v="-0.89805626077056744"/>
    <n v="0.68109591383381207"/>
    <x v="0"/>
    <x v="0"/>
    <x v="0"/>
    <x v="0"/>
    <x v="0"/>
    <x v="0"/>
  </r>
  <r>
    <x v="2"/>
    <s v="TR"/>
    <n v="2361"/>
    <n v="32.1"/>
    <n v="1.65"/>
    <n v="11.91"/>
    <n v="1.18"/>
    <n v="19.454545454545457"/>
    <n v="2.6952141057934509"/>
    <n v="10.25"/>
    <n v="6.53"/>
    <n v="1.32"/>
    <n v="27.203389830508478"/>
    <s v="NO"/>
    <n v="0.64935063344652355"/>
    <n v="0.97390276668625997"/>
    <n v="-2.4336325986233382E-2"/>
    <n v="0.37548859372734289"/>
    <n v="-0.93322489755598825"/>
    <n v="0.95771401545680923"/>
    <x v="0"/>
    <x v="0"/>
    <x v="0"/>
    <x v="0"/>
    <x v="0"/>
    <x v="0"/>
  </r>
  <r>
    <x v="3"/>
    <s v="CENT"/>
    <n v="2257"/>
    <n v="36.46"/>
    <n v="5.45"/>
    <n v="23.21"/>
    <n v="1.82"/>
    <n v="6.6899082568807335"/>
    <n v="1.5708746230073245"/>
    <n v="8.27"/>
    <n v="4.3499999999999996"/>
    <n v="2.33"/>
    <n v="20.032967032967033"/>
    <s v="NO"/>
    <n v="-0.93210266017923982"/>
    <n v="-0.77311225491525337"/>
    <n v="-1.0078694352893749"/>
    <n v="-1.0135745455353233"/>
    <n v="0.83038920862107413"/>
    <n v="-0.41973767084096014"/>
    <x v="0"/>
    <x v="0"/>
    <x v="0"/>
    <x v="0"/>
    <x v="0"/>
    <x v="0"/>
  </r>
  <r>
    <x v="3"/>
    <s v="REYN"/>
    <n v="4804"/>
    <n v="23.18"/>
    <n v="1.5"/>
    <n v="10.09"/>
    <n v="1.59"/>
    <n v="15.453333333333333"/>
    <n v="2.2973240832507433"/>
    <n v="16.25"/>
    <n v="7.01"/>
    <n v="2.2799999999999998"/>
    <n v="14.578616352201257"/>
    <s v="NO"/>
    <n v="-0.45502872786684739"/>
    <n v="-0.63897938191047388"/>
    <n v="-0.35522149693861388"/>
    <n v="-0.3473204373498307"/>
    <n v="0.57618843047176471"/>
    <n v="-0.95968886548946408"/>
    <x v="0"/>
    <x v="0"/>
    <x v="0"/>
    <x v="0"/>
    <x v="0"/>
    <x v="0"/>
  </r>
  <r>
    <x v="3"/>
    <s v="WDFC"/>
    <n v="3155"/>
    <n v="239.56"/>
    <n v="4.8600000000000003"/>
    <n v="17.87"/>
    <n v="6.27"/>
    <n v="49.292181069958843"/>
    <n v="13.40570789031897"/>
    <n v="37.26"/>
    <n v="13.83"/>
    <n v="1.89"/>
    <n v="38.207336523126003"/>
    <s v="NO"/>
    <n v="1.3871313880460867"/>
    <n v="1.412091636825727"/>
    <n v="1.3630909322279885"/>
    <n v="1.360894982885154"/>
    <n v="-1.4065776390928377"/>
    <n v="1.3794265363304241"/>
    <x v="0"/>
    <x v="0"/>
    <x v="0"/>
    <x v="0"/>
    <x v="0"/>
    <x v="0"/>
  </r>
  <r>
    <x v="4"/>
    <s v="BRBR"/>
    <n v="8047"/>
    <n v="63.64"/>
    <n v="1.23"/>
    <n v="-1.98"/>
    <n v="2.14"/>
    <n v="51.739837398373986"/>
    <n v="-32.141414141414145"/>
    <n v="-112"/>
    <n v="32.96"/>
    <n v="-3.73"/>
    <n v="29.738317757009344"/>
    <s v="NO"/>
    <n v="1.3793271862588121"/>
    <n v="-17.906199687483831"/>
    <n v="-1.715745148539483"/>
    <n v="6.3832018517382485"/>
    <n v="-9.1790814671981753"/>
    <n v="-0.39594229119451563"/>
    <x v="0"/>
    <x v="1"/>
    <x v="0"/>
    <x v="1"/>
    <x v="1"/>
    <x v="0"/>
  </r>
  <r>
    <x v="4"/>
    <s v="COTY"/>
    <n v="3985"/>
    <n v="5.08"/>
    <n v="0.32"/>
    <n v="4.34"/>
    <n v="0"/>
    <n v="15.875"/>
    <n v="1.1705069124423964"/>
    <n v="0.76"/>
    <n v="3.17"/>
    <n v="3.1"/>
    <s v=""/>
    <s v="NO"/>
    <n v="-0.96001962678782382"/>
    <n v="-1.4012644142261095"/>
    <n v="0.36198049125337634"/>
    <n v="-1.1249154092494753"/>
    <n v="1.4050141581755227"/>
    <e v="#VALUE!"/>
    <x v="0"/>
    <x v="0"/>
    <x v="0"/>
    <x v="0"/>
    <x v="0"/>
    <x v="1"/>
  </r>
  <r>
    <x v="4"/>
    <s v="ELF"/>
    <n v="3754"/>
    <n v="78.209999999999994"/>
    <n v="0.44"/>
    <n v="13.61"/>
    <n v="1.67"/>
    <n v="177.74999999999997"/>
    <n v="5.7465099191770754"/>
    <n v="14.24"/>
    <n v="6.92"/>
    <n v="1.65"/>
    <n v="46.832335329341319"/>
    <s v="NO"/>
    <n v="9.5985606660951586"/>
    <n v="0.86599100206411461"/>
    <n v="0.61036415234248365"/>
    <n v="-0.17978483762463601"/>
    <n v="-0.84197539625959639"/>
    <n v="1.3737356953829405"/>
    <x v="1"/>
    <x v="0"/>
    <x v="0"/>
    <x v="0"/>
    <x v="0"/>
    <x v="0"/>
  </r>
  <r>
    <x v="4"/>
    <s v="IPAR"/>
    <n v="3846"/>
    <n v="124.69"/>
    <n v="5.16"/>
    <n v="24.55"/>
    <n v="5.17"/>
    <n v="24.164728682170541"/>
    <n v="5.0790224032586559"/>
    <n v="21.46"/>
    <n v="12.81"/>
    <n v="1.83"/>
    <n v="24.117988394584138"/>
    <s v="NO"/>
    <n v="-0.41930755947098858"/>
    <n v="0.53527341216199542"/>
    <n v="0.74340050494362275"/>
    <n v="1.3047002468741118"/>
    <n v="-0.56303876191592628"/>
    <n v="-0.97779340418842453"/>
    <x v="0"/>
    <x v="0"/>
    <x v="0"/>
    <x v="0"/>
    <x v="0"/>
    <x v="0"/>
  </r>
  <r>
    <x v="5"/>
    <s v="RLX"/>
    <n v="2205"/>
    <n v="1.9"/>
    <n v="0.09"/>
    <n v="1.8"/>
    <n v="0.06"/>
    <n v="21.111111111111111"/>
    <n v="1.0555555555555556"/>
    <n v="3.57"/>
    <n v="-0.4"/>
    <n v="1.06"/>
    <n v="31.666666666666668"/>
    <s v="NO"/>
    <e v="#DIV/0!"/>
    <e v="#DIV/0!"/>
    <e v="#DIV/0!"/>
    <e v="#DIV/0!"/>
    <e v="#DIV/0!"/>
    <e v="#DIV/0!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MGPI"/>
    <n v="672"/>
    <n v="32.89"/>
    <n v="2.67"/>
    <n v="38.94"/>
    <n v="0.5"/>
    <n v="12.318352059925093"/>
    <n v="0.84463276836158196"/>
    <n v="1.28"/>
    <n v="6.56"/>
    <n v="1.66"/>
    <n v="65.78"/>
    <s v="NO"/>
    <e v="#DIV/0!"/>
    <e v="#DIV/0!"/>
    <e v="#DIV/0!"/>
    <e v="#DIV/0!"/>
    <e v="#DIV/0!"/>
    <e v="#DIV/0!"/>
    <x v="0"/>
    <x v="0"/>
    <x v="0"/>
    <x v="0"/>
    <x v="0"/>
    <x v="0"/>
  </r>
  <r>
    <x v="1"/>
    <s v="GRDN"/>
    <n v="1635"/>
    <n v="24.64"/>
    <n v="0.67"/>
    <n v="2.25"/>
    <n v="-1.77"/>
    <n v="36.776119402985074"/>
    <n v="10.951111111111111"/>
    <n v="-67.7"/>
    <n v="-12.35"/>
    <n v="2.25"/>
    <n v="-13.92090395480226"/>
    <s v="NO"/>
    <n v="0.80314612356973458"/>
    <n v="4.6842771452307987"/>
    <n v="-9.2450198328908755"/>
    <n v="-13.446255313236675"/>
    <n v="-0.51848322244807665"/>
    <n v="-1.2936051568609057"/>
    <x v="0"/>
    <x v="1"/>
    <x v="1"/>
    <x v="1"/>
    <x v="0"/>
    <x v="0"/>
  </r>
  <r>
    <x v="1"/>
    <s v="ANDE"/>
    <n v="1077"/>
    <n v="36.36"/>
    <n v="5.36"/>
    <n v="40.46"/>
    <n v="3.32"/>
    <n v="6.7835820895522385"/>
    <n v="0.89866534849233803"/>
    <n v="10.96"/>
    <n v="3.02"/>
    <n v="3.02"/>
    <n v="10.951807228915664"/>
    <s v="NO"/>
    <n v="-0.46913832069785039"/>
    <n v="-0.56529345399680775"/>
    <n v="0.50520104930639687"/>
    <n v="-4.7944508410244356E-2"/>
    <n v="0.25091479287637075"/>
    <n v="0.12690639686976832"/>
    <x v="0"/>
    <x v="0"/>
    <x v="0"/>
    <x v="0"/>
    <x v="0"/>
    <x v="0"/>
  </r>
  <r>
    <x v="1"/>
    <s v="SPTN"/>
    <n v="633"/>
    <n v="19.02"/>
    <n v="2.17"/>
    <n v="22.03"/>
    <n v="0.01"/>
    <n v="8.7649769585253452"/>
    <n v="0.86336813436223325"/>
    <n v="0.04"/>
    <n v="3.31"/>
    <n v="3.5"/>
    <n v="1902"/>
    <s v="NO"/>
    <n v="-0.3850874835378662"/>
    <n v="-0.58372630326629416"/>
    <n v="-0.84837652549139386"/>
    <n v="0.20485380866195246"/>
    <n v="0.7305395297020002"/>
    <n v="108.1270269567588"/>
    <x v="0"/>
    <x v="0"/>
    <x v="0"/>
    <x v="0"/>
    <x v="0"/>
    <x v="1"/>
  </r>
  <r>
    <x v="1"/>
    <s v="UNFI"/>
    <n v="1604"/>
    <n v="28.48"/>
    <n v="2.58"/>
    <n v="26.86"/>
    <n v="-1.37"/>
    <n v="11.038759689922481"/>
    <n v="1.060312732688012"/>
    <n v="-4.76"/>
    <n v="1.45"/>
    <n v="4.76"/>
    <n v="-20.788321167883211"/>
    <s v="NO"/>
    <n v="-0.28863354339372288"/>
    <n v="-0.48087824047024458"/>
    <n v="-1.4433556792486646"/>
    <n v="-1.416542293939034"/>
    <n v="1.9895544638692775"/>
    <n v="-1.6858119180545279"/>
    <x v="0"/>
    <x v="0"/>
    <x v="0"/>
    <x v="0"/>
    <x v="0"/>
    <x v="0"/>
  </r>
  <r>
    <x v="1"/>
    <s v="DDL"/>
    <n v="540"/>
    <n v="2.37"/>
    <n v="0.53"/>
    <n v="0.51"/>
    <n v="0.18"/>
    <n v="4.4716981132075473"/>
    <n v="4.6470588235294121"/>
    <n v="42.79"/>
    <n v="1.88"/>
    <n v="8.91"/>
    <n v="13.166666666666668"/>
    <s v="NO"/>
    <n v="-0.56720851693754892"/>
    <n v="1.3921860137426958"/>
    <n v="4.4506565626592973"/>
    <n v="-1.0417034100043974"/>
    <n v="6.1363100010075335"/>
    <n v="0.25339978144596603"/>
    <x v="0"/>
    <x v="0"/>
    <x v="1"/>
    <x v="0"/>
    <x v="1"/>
    <x v="0"/>
  </r>
  <r>
    <x v="1"/>
    <s v="GO"/>
    <n v="1502"/>
    <n v="13.71"/>
    <n v="-0.96"/>
    <n v="12.31"/>
    <n v="0.4"/>
    <n v="-14.281250000000002"/>
    <n v="1.1137286758732738"/>
    <n v="3.27"/>
    <n v="2.09"/>
    <n v="2.65"/>
    <n v="34.274999999999999"/>
    <s v="NO"/>
    <n v="-1.3627092083013734"/>
    <n v="-0.45298346028469966"/>
    <n v="-0.44800513660889724"/>
    <n v="-0.85864255971073766"/>
    <n v="-0.11879594176005213"/>
    <n v="1.4589230216959768"/>
    <x v="0"/>
    <x v="0"/>
    <x v="0"/>
    <x v="0"/>
    <x v="0"/>
    <x v="0"/>
  </r>
  <r>
    <x v="1"/>
    <s v="IMKTA"/>
    <n v="1159"/>
    <n v="61.69"/>
    <n v="0.94"/>
    <n v="82.21"/>
    <n v="4.1500000000000004"/>
    <n v="65.627659574468083"/>
    <n v="0.75039532903539719"/>
    <n v="5.15"/>
    <n v="3.5"/>
    <n v="1.6"/>
    <n v="14.865060240963853"/>
    <s v="NO"/>
    <n v="2.0270294305982111"/>
    <n v="-0.64272276356667035"/>
    <n v="-0.21497163472063285"/>
    <n v="0.37048029226097789"/>
    <n v="-1.1679750535661166"/>
    <n v="0.35039715649088699"/>
    <x v="0"/>
    <x v="0"/>
    <x v="0"/>
    <x v="0"/>
    <x v="0"/>
    <x v="0"/>
  </r>
  <r>
    <x v="1"/>
    <s v="NGVC"/>
    <n v="1131"/>
    <n v="50.07"/>
    <n v="1.02"/>
    <n v="7.93"/>
    <n v="1.56"/>
    <n v="49.088235294117645"/>
    <n v="6.3139974779319044"/>
    <n v="21.52"/>
    <n v="4.93"/>
    <n v="3.57"/>
    <n v="32.096153846153847"/>
    <s v="NO"/>
    <n v="1.3254264948703647"/>
    <n v="2.2626917948738834"/>
    <n v="1.814155187572392"/>
    <n v="1.6170375109273274"/>
    <n v="0.80048480382240439"/>
    <n v="1.334486400674695"/>
    <x v="0"/>
    <x v="0"/>
    <x v="0"/>
    <x v="0"/>
    <x v="0"/>
    <x v="0"/>
  </r>
  <r>
    <x v="1"/>
    <s v="VLGEA"/>
    <n v="542"/>
    <n v="35.840000000000003"/>
    <n v="2.6"/>
    <n v="32"/>
    <n v="3.65"/>
    <n v="13.784615384615385"/>
    <n v="1.1200000000000001"/>
    <n v="12.01"/>
    <n v="4.42"/>
    <n v="2.12"/>
    <n v="9.8191780821917813"/>
    <s v="NO"/>
    <n v="-0.17215425222695993"/>
    <n v="-0.44970846039598478"/>
    <n v="0.6353527391907996"/>
    <n v="1.1724611602141539"/>
    <n v="-0.64838158867168461"/>
    <n v="6.2220533831781125E-2"/>
    <x v="0"/>
    <x v="0"/>
    <x v="0"/>
    <x v="0"/>
    <x v="0"/>
    <x v="0"/>
  </r>
  <r>
    <x v="1"/>
    <s v="DADA"/>
    <n v="509"/>
    <n v="2.0299999999999998"/>
    <n v="-0.56000000000000005"/>
    <n v="1.91"/>
    <n v="-1.07"/>
    <n v="-3.6249999999999991"/>
    <n v="1.0628272251308899"/>
    <n v="-44.49"/>
    <n v="-10.76"/>
    <n v="1.45"/>
    <n v="-1.8971962616822426"/>
    <s v="NO"/>
    <n v="-0.91067072394298954"/>
    <n v="-0.47956512663587825"/>
    <n v="-6.3680477164937406"/>
    <n v="-12.060223161013251"/>
    <n v="-1.3178577838241259"/>
    <n v="-0.60691621609364044"/>
    <x v="0"/>
    <x v="0"/>
    <x v="1"/>
    <x v="1"/>
    <x v="0"/>
    <x v="0"/>
  </r>
  <r>
    <x v="2"/>
    <s v="ALF"/>
    <n v="372"/>
    <n v="10.48"/>
    <m/>
    <n v="-0.36"/>
    <m/>
    <s v=""/>
    <n v="-29.111111111111114"/>
    <m/>
    <m/>
    <n v="-22.89"/>
    <s v=""/>
    <s v="NO"/>
    <e v="#VALUE!"/>
    <n v="-12.945989313890349"/>
    <n v="-0.79744591142150434"/>
    <n v="-1.4072494855887734"/>
    <n v="-14.532767670076717"/>
    <e v="#VALUE!"/>
    <x v="1"/>
    <x v="1"/>
    <x v="0"/>
    <x v="0"/>
    <x v="1"/>
    <x v="1"/>
  </r>
  <r>
    <x v="2"/>
    <s v="CRESY"/>
    <n v="648"/>
    <n v="11.74"/>
    <n v="-0.15"/>
    <n v="1.2"/>
    <n v="-0.15"/>
    <n v="-78.266666666666666"/>
    <n v="9.7833333333333332"/>
    <n v="-16.88"/>
    <n v="1.51"/>
    <n v="5.35"/>
    <n v="-78.266666666666666"/>
    <s v="NO"/>
    <n v="-3.3113066628645194"/>
    <n v="2.7978645090031096"/>
    <n v="-2.567519230894856"/>
    <n v="-0.80986079210334572"/>
    <n v="1.3400935868063253"/>
    <n v="-5.9348614443952314"/>
    <x v="1"/>
    <x v="0"/>
    <x v="0"/>
    <x v="0"/>
    <x v="0"/>
    <x v="1"/>
  </r>
  <r>
    <x v="2"/>
    <s v="FDP"/>
    <n v="1582"/>
    <n v="32.770000000000003"/>
    <n v="3.36"/>
    <n v="41.86"/>
    <n v="3.05"/>
    <n v="9.7529761904761916"/>
    <n v="0.78284758719541336"/>
    <n v="7.46"/>
    <n v="3.37"/>
    <n v="1.57"/>
    <n v="10.744262295081969"/>
    <s v="NO"/>
    <n v="4.1115579618451567E-2"/>
    <n v="-0.84538927559933019"/>
    <n v="-1.5174171891219822E-2"/>
    <n v="-7.4004520657719342E-2"/>
    <n v="-0.78453160975946423"/>
    <n v="-0.57895475819681108"/>
    <x v="0"/>
    <x v="0"/>
    <x v="0"/>
    <x v="0"/>
    <x v="0"/>
    <x v="0"/>
  </r>
  <r>
    <x v="2"/>
    <s v="LMNR"/>
    <n v="271"/>
    <n v="15.81"/>
    <n v="0.23"/>
    <n v="9.76"/>
    <n v="0.43"/>
    <n v="68.739130434782609"/>
    <n v="1.619877049180328"/>
    <n v="3.97"/>
    <n v="-0.79"/>
    <n v="1.71"/>
    <n v="36.767441860465119"/>
    <s v="NO"/>
    <n v="2.2877333693326127"/>
    <n v="-0.5065730337638471"/>
    <n v="-0.38114312242214377"/>
    <n v="-1.7197905901275072"/>
    <n v="-0.70584178766443506"/>
    <n v="0.98689477349691623"/>
    <x v="1"/>
    <x v="0"/>
    <x v="0"/>
    <x v="0"/>
    <x v="0"/>
    <x v="0"/>
  </r>
  <r>
    <x v="2"/>
    <s v="LND"/>
    <n v="362"/>
    <n v="3.69"/>
    <n v="0.3"/>
    <n v="3.58"/>
    <n v="0.45"/>
    <n v="12.3"/>
    <n v="1.0307262569832403"/>
    <n v="13.43"/>
    <n v="5.28"/>
    <n v="1.79"/>
    <n v="8.1999999999999993"/>
    <s v="NO"/>
    <n v="0.13812459935555454"/>
    <n v="-0.74505192411646948"/>
    <n v="0.6108529440599596"/>
    <n v="0.68163283335364966"/>
    <n v="-0.66087617503870399"/>
    <n v="-0.73204642454182833"/>
    <x v="0"/>
    <x v="0"/>
    <x v="0"/>
    <x v="0"/>
    <x v="0"/>
    <x v="0"/>
  </r>
  <r>
    <x v="2"/>
    <s v="AGRO"/>
    <n v="861"/>
    <n v="8.9499999999999993"/>
    <n v="0.63"/>
    <n v="13.68"/>
    <n v="0.9"/>
    <n v="14.206349206349206"/>
    <n v="0.65423976608187129"/>
    <n v="6.89"/>
    <n v="4.0199999999999996"/>
    <n v="2.2799999999999998"/>
    <n v="9.9444444444444429"/>
    <s v="NO"/>
    <n v="0.21073211369956676"/>
    <n v="-0.8974476804695829"/>
    <n v="-7.4945605072488236E-2"/>
    <n v="0.18314955269693478"/>
    <n v="-0.38546179770610178"/>
    <n v="-0.62708086837156574"/>
    <x v="0"/>
    <x v="0"/>
    <x v="0"/>
    <x v="0"/>
    <x v="0"/>
    <x v="0"/>
  </r>
  <r>
    <x v="2"/>
    <s v="AVO"/>
    <n v="728"/>
    <n v="10.58"/>
    <n v="0.64"/>
    <n v="7.75"/>
    <n v="0.56999999999999995"/>
    <n v="16.53125"/>
    <n v="1.3651612903225807"/>
    <n v="8.25"/>
    <n v="4.3600000000000003"/>
    <n v="1.81"/>
    <n v="18.561403508771932"/>
    <s v="NO"/>
    <n v="0.2992810884420693"/>
    <n v="-0.60967793039173968"/>
    <n v="6.7666937254748649E-2"/>
    <n v="0.31766091414398506"/>
    <n v="-0.64963477188227126"/>
    <n v="-0.10858691256572546"/>
    <x v="0"/>
    <x v="0"/>
    <x v="0"/>
    <x v="0"/>
    <x v="0"/>
    <x v="0"/>
  </r>
  <r>
    <x v="2"/>
    <s v="BGS"/>
    <n v="374"/>
    <n v="4.3"/>
    <n v="1.31"/>
    <n v="6.63"/>
    <n v="-3.18"/>
    <n v="3.282442748091603"/>
    <n v="0.64856711915535448"/>
    <n v="-36.94"/>
    <n v="4.22"/>
    <n v="5.71"/>
    <n v="-1.3522012578616351"/>
    <s v="NO"/>
    <n v="-0.2053289585420402"/>
    <n v="-0.89974387791566124"/>
    <n v="-4.6710542302215989"/>
    <n v="0.26227388295990545"/>
    <n v="1.5424388436221148"/>
    <n v="-1.3068151544230746"/>
    <x v="0"/>
    <x v="0"/>
    <x v="1"/>
    <x v="0"/>
    <x v="0"/>
    <x v="0"/>
  </r>
  <r>
    <x v="2"/>
    <s v="CVGW"/>
    <n v="464"/>
    <n v="26.03"/>
    <n v="1"/>
    <n v="11.29"/>
    <n v="0.77"/>
    <n v="26.03"/>
    <n v="2.3055801594331271"/>
    <n v="6.84"/>
    <n v="4.4800000000000004"/>
    <n v="1.48"/>
    <n v="33.805194805194809"/>
    <s v="NO"/>
    <n v="0.66106193351398246"/>
    <n v="-0.22901129743043427"/>
    <n v="-8.0188713246283697E-2"/>
    <n v="0.36513551230176744"/>
    <n v="-0.83511792396341167"/>
    <n v="0.80865240489618118"/>
    <x v="0"/>
    <x v="0"/>
    <x v="0"/>
    <x v="0"/>
    <x v="0"/>
    <x v="0"/>
  </r>
  <r>
    <x v="2"/>
    <s v="DOLE"/>
    <n v="1388"/>
    <n v="14.11"/>
    <n v="2"/>
    <n v="13.61"/>
    <n v="1.62"/>
    <n v="7.0549999999999997"/>
    <n v="1.0367376928728875"/>
    <n v="12.07"/>
    <n v="3.39"/>
    <n v="3.44"/>
    <n v="8.7098765432098748"/>
    <s v="NO"/>
    <n v="-6.1642794501761862E-2"/>
    <n v="-0.74261859027498767"/>
    <n v="0.4682404017327228"/>
    <n v="-6.6092087631422269E-2"/>
    <n v="0.26653958536699779"/>
    <n v="-0.70136647075674807"/>
    <x v="0"/>
    <x v="0"/>
    <x v="0"/>
    <x v="0"/>
    <x v="0"/>
    <x v="0"/>
  </r>
  <r>
    <x v="2"/>
    <s v="JBSS"/>
    <n v="686"/>
    <n v="62.64"/>
    <n v="-1.62"/>
    <n v="29.78"/>
    <n v="4.72"/>
    <n v="-38.666666666666664"/>
    <n v="2.1034251175285426"/>
    <n v="16.579999999999998"/>
    <n v="8.8800000000000008"/>
    <n v="1.7"/>
    <n v="13.271186440677967"/>
    <s v="NO"/>
    <n v="-1.8030533174403571"/>
    <n v="-0.31084045001937904"/>
    <n v="0.94116875900907415"/>
    <n v="2.10587077808712"/>
    <n v="-0.71146248924265143"/>
    <n v="-0.4269063515036296"/>
    <x v="0"/>
    <x v="0"/>
    <x v="0"/>
    <x v="0"/>
    <x v="0"/>
    <x v="0"/>
  </r>
  <r>
    <x v="2"/>
    <s v="KLG"/>
    <n v="1485"/>
    <n v="17.73"/>
    <n v="-0.33"/>
    <n v="3.68"/>
    <n v="0.82"/>
    <n v="-53.727272727272727"/>
    <n v="4.8179347826086953"/>
    <n v="23.34"/>
    <n v="7.27"/>
    <n v="6.19"/>
    <n v="21.621951219512198"/>
    <s v="NO"/>
    <n v="-2.3766697183248144"/>
    <n v="0.78794998080673329"/>
    <n v="1.6500369841062221"/>
    <n v="1.4689199194702065"/>
    <n v="1.8122325193765012"/>
    <n v="7.5570337994229131E-2"/>
    <x v="0"/>
    <x v="0"/>
    <x v="0"/>
    <x v="0"/>
    <x v="0"/>
    <x v="0"/>
  </r>
  <r>
    <x v="2"/>
    <s v="LWAY"/>
    <n v="367"/>
    <n v="22.42"/>
    <n v="0.42"/>
    <n v="4.76"/>
    <n v="0.6"/>
    <n v="53.380952380952387"/>
    <n v="4.7100840336134455"/>
    <n v="13.64"/>
    <n v="10.06"/>
    <n v="1.26"/>
    <n v="37.366666666666674"/>
    <s v="NO"/>
    <n v="1.7027832827338909"/>
    <n v="0.74429370929741434"/>
    <n v="0.63287399838990066"/>
    <n v="2.5727043266386462"/>
    <n v="-0.95877335868417191"/>
    <n v="1.0229509318081058"/>
    <x v="0"/>
    <x v="0"/>
    <x v="0"/>
    <x v="1"/>
    <x v="0"/>
    <x v="0"/>
  </r>
  <r>
    <x v="2"/>
    <s v="OTLY"/>
    <n v="322"/>
    <n v="9.82"/>
    <n v="-4.38"/>
    <n v="4.03"/>
    <n v="-6.17"/>
    <n v="-2.2420091324200913"/>
    <n v="2.4367245657568239"/>
    <n v="-85.5"/>
    <n v="-7.34"/>
    <n v="6.58"/>
    <n v="-1.5915721231766613"/>
    <s v="NO"/>
    <n v="-0.41573989365356961"/>
    <n v="-0.1759261231248955"/>
    <n v="-9.7631608886117629"/>
    <n v="-4.3111124062397934"/>
    <n v="2.0314398809269396"/>
    <n v="-1.3212184196510197"/>
    <x v="0"/>
    <x v="0"/>
    <x v="1"/>
    <x v="1"/>
    <x v="0"/>
    <x v="0"/>
  </r>
  <r>
    <x v="2"/>
    <s v="SENEA"/>
    <n v="616"/>
    <n v="87.3"/>
    <n v="36.93"/>
    <n v="89.03"/>
    <n v="5.45"/>
    <n v="2.363931762794476"/>
    <n v="0.9805683477479501"/>
    <n v="6.36"/>
    <n v="3.91"/>
    <n v="2"/>
    <n v="16.01834862385321"/>
    <s v="NO"/>
    <n v="-0.24031247536989966"/>
    <n v="-0.76535504972584334"/>
    <n v="-0.13052255171472019"/>
    <n v="0.13963117105230122"/>
    <n v="-0.54284144189616013"/>
    <n v="-0.26160592742578742"/>
    <x v="0"/>
    <x v="0"/>
    <x v="0"/>
    <x v="0"/>
    <x v="0"/>
    <x v="0"/>
  </r>
  <r>
    <x v="2"/>
    <s v="STKL"/>
    <n v="531"/>
    <n v="6.31"/>
    <n v="0.15"/>
    <n v="1.27"/>
    <n v="-0.1"/>
    <n v="42.066666666666663"/>
    <n v="4.9685039370078741"/>
    <n v="-6.86"/>
    <n v="3.82"/>
    <n v="4.5"/>
    <n v="-63.099999999999994"/>
    <s v="NO"/>
    <n v="1.2718537554698444"/>
    <n v="0.84889798484580226"/>
    <n v="-1.5168003528662433"/>
    <n v="0.10402522243396434"/>
    <n v="0.86233395265793356"/>
    <n v="-5.0222628190932666"/>
    <x v="0"/>
    <x v="0"/>
    <x v="0"/>
    <x v="0"/>
    <x v="0"/>
    <x v="1"/>
  </r>
  <r>
    <x v="2"/>
    <s v="THS"/>
    <n v="1078"/>
    <n v="23.38"/>
    <n v="2.42"/>
    <n v="30.85"/>
    <n v="0.51"/>
    <n v="9.661157024793388"/>
    <n v="0.75786061588330622"/>
    <n v="1.67"/>
    <n v="2.4700000000000002"/>
    <n v="2.57"/>
    <n v="45.843137254901961"/>
    <s v="NO"/>
    <n v="3.7618444168574197E-2"/>
    <n v="-0.85550360502178946"/>
    <n v="-0.62232609841673558"/>
    <n v="-0.43006400684108687"/>
    <n v="-0.2224614519378269"/>
    <n v="1.5329915080434509"/>
    <x v="0"/>
    <x v="0"/>
    <x v="0"/>
    <x v="0"/>
    <x v="0"/>
    <x v="0"/>
  </r>
  <r>
    <x v="2"/>
    <s v="UTZ"/>
    <n v="1042"/>
    <n v="12.61"/>
    <n v="-0.16"/>
    <n v="8.43"/>
    <n v="0.32"/>
    <n v="-78.8125"/>
    <n v="1.4958481613285883"/>
    <n v="2.46"/>
    <n v="1.25"/>
    <n v="3.83"/>
    <n v="39.40625"/>
    <s v="NO"/>
    <n v="-3.3320959293050247"/>
    <n v="-0.55677795912132333"/>
    <n v="-0.53948498927076705"/>
    <n v="-0.91272242144520743"/>
    <n v="0.48574694691743647"/>
    <n v="1.1456753897985756"/>
    <x v="1"/>
    <x v="0"/>
    <x v="0"/>
    <x v="0"/>
    <x v="0"/>
    <x v="0"/>
  </r>
  <r>
    <x v="2"/>
    <s v="VITL"/>
    <n v="1600"/>
    <n v="34.159999999999997"/>
    <n v="0.84"/>
    <n v="6.11"/>
    <n v="1.18"/>
    <n v="40.666666666666664"/>
    <n v="5.5908346972176748"/>
    <n v="23.11"/>
    <n v="12.52"/>
    <n v="1.33"/>
    <n v="28.949152542372879"/>
    <s v="NO"/>
    <n v="1.2185316675003033"/>
    <n v="1.100807599655399"/>
    <n v="1.625918686506763"/>
    <n v="3.5459335888731838"/>
    <n v="-0.91942844763665721"/>
    <n v="0.51645784488785995"/>
    <x v="0"/>
    <x v="0"/>
    <x v="0"/>
    <x v="1"/>
    <x v="0"/>
    <x v="0"/>
  </r>
  <r>
    <x v="2"/>
    <s v="WEST"/>
    <n v="577"/>
    <n v="7.5"/>
    <n v="-1.93"/>
    <n v="1.03"/>
    <n v="-0.89"/>
    <n v="-3.8860103626943006"/>
    <n v="7.2815533980582519"/>
    <n v="-21.15"/>
    <n v="-1.89"/>
    <n v="11.3"/>
    <n v="-8.4269662921348321"/>
    <s v="NO"/>
    <n v="-0.47835530666979464"/>
    <n v="1.7851836965986854"/>
    <n v="-3.0152806689369891"/>
    <n v="-2.154974406573845"/>
    <n v="4.6844110258450682"/>
    <n v="-1.7325132320898085"/>
    <x v="0"/>
    <x v="0"/>
    <x v="1"/>
    <x v="0"/>
    <x v="1"/>
    <x v="0"/>
  </r>
  <r>
    <x v="2"/>
    <s v="WYHG"/>
    <n v="421"/>
    <n v="9.75"/>
    <n v="-0.09"/>
    <n v="3.19"/>
    <n v="0.2"/>
    <n v="-108.33333333333334"/>
    <n v="3.0564263322884013"/>
    <n v="6.95"/>
    <n v="4.92"/>
    <n v="1.25"/>
    <n v="48.75"/>
    <s v="NO"/>
    <n v="-4.4564619806865684"/>
    <n v="7.4919316768142716E-2"/>
    <n v="-6.8653875263933614E-2"/>
    <n v="0.53920903888030247"/>
    <n v="-0.96439406026238828"/>
    <n v="1.7079013286006794"/>
    <x v="1"/>
    <x v="0"/>
    <x v="0"/>
    <x v="0"/>
    <x v="0"/>
    <x v="0"/>
  </r>
  <r>
    <x v="3"/>
    <s v="CENTA"/>
    <n v="1979"/>
    <n v="32.1"/>
    <n v="5.45"/>
    <n v="23.21"/>
    <n v="1.82"/>
    <n v="5.8899082568807337"/>
    <n v="1.3830245583800087"/>
    <n v="8.27"/>
    <n v="4.3499999999999996"/>
    <n v="2.33"/>
    <n v="17.637362637362639"/>
    <s v="NO"/>
    <n v="-0.86705995380384127"/>
    <n v="-0.40715674094732107"/>
    <n v="-0.75558308398908591"/>
    <n v="-0.62506376872974878"/>
    <n v="1.3342210542668396"/>
    <n v="0.46789445889799297"/>
    <x v="0"/>
    <x v="0"/>
    <x v="0"/>
    <x v="0"/>
    <x v="0"/>
    <x v="0"/>
  </r>
  <r>
    <x v="3"/>
    <s v="ENR"/>
    <n v="1582"/>
    <n v="22.85"/>
    <n v="3.08"/>
    <n v="1.95"/>
    <n v="0.79"/>
    <n v="7.4188311688311694"/>
    <n v="11.717948717948719"/>
    <n v="37.6"/>
    <n v="6.65"/>
    <n v="30.09"/>
    <n v="28.924050632911392"/>
    <s v="NO"/>
    <n v="-0.74154279135938694"/>
    <n v="11.691625320210616"/>
    <n v="1.5279049998233702"/>
    <n v="4.9096450767752951E-2"/>
    <n v="81.851561198717846"/>
    <n v="8.466058296211056"/>
    <x v="0"/>
    <x v="1"/>
    <x v="0"/>
    <x v="0"/>
    <x v="1"/>
    <x v="1"/>
  </r>
  <r>
    <x v="3"/>
    <s v="ODC"/>
    <n v="654"/>
    <n v="47"/>
    <n v="2.93"/>
    <n v="16.170000000000002"/>
    <n v="3.13"/>
    <n v="16.040955631399317"/>
    <n v="2.9066171923314776"/>
    <n v="21.12"/>
    <n v="11.94"/>
    <n v="1.5"/>
    <n v="15.015974440894569"/>
    <s v="NO"/>
    <n v="-3.3708152787658985E-2"/>
    <n v="1.3764669164258612"/>
    <n v="0.24485407513092988"/>
    <n v="1.5996649556120062"/>
    <n v="-1.0731778045189799"/>
    <n v="-1.3897180032183445"/>
    <x v="0"/>
    <x v="0"/>
    <x v="0"/>
    <x v="0"/>
    <x v="0"/>
    <x v="0"/>
  </r>
  <r>
    <x v="3"/>
    <s v="SPB"/>
    <n v="1628"/>
    <n v="67.08"/>
    <n v="1.84"/>
    <n v="74.3"/>
    <n v="3.67"/>
    <n v="36.45652173913043"/>
    <n v="0.90282637954239575"/>
    <n v="4.91"/>
    <n v="2.99"/>
    <n v="1.78"/>
    <n v="18.277929155313352"/>
    <s v="NO"/>
    <n v="1.6423108979508878"/>
    <n v="-0.96931017547854015"/>
    <n v="-1.0171759909652145"/>
    <n v="-1.0236976376500104"/>
    <n v="-0.26104324974786014"/>
    <n v="0.92182354432035019"/>
    <x v="0"/>
    <x v="0"/>
    <x v="0"/>
    <x v="0"/>
    <x v="0"/>
    <x v="0"/>
  </r>
  <r>
    <x v="4"/>
    <s v="EPC"/>
    <n v="1303"/>
    <n v="28.44"/>
    <n v="2.46"/>
    <n v="31"/>
    <n v="1.86"/>
    <n v="11.560975609756099"/>
    <n v="0.91741935483870973"/>
    <n v="6.02"/>
    <n v="4.13"/>
    <n v="2.4700000000000002"/>
    <n v="15.290322580645162"/>
    <s v="NO"/>
    <n v="1.0052382768479839"/>
    <n v="0.29795783112402824"/>
    <n v="1.1038983515602059"/>
    <n v="0.39333374466236326"/>
    <n v="1.6128998865652018"/>
    <n v="0.49124873930865698"/>
    <x v="0"/>
    <x v="0"/>
    <x v="0"/>
    <x v="0"/>
    <x v="0"/>
    <x v="0"/>
  </r>
  <r>
    <x v="4"/>
    <s v="HLF"/>
    <n v="692"/>
    <n v="6.81"/>
    <n v="1.63"/>
    <n v="-7.24"/>
    <n v="2.74"/>
    <n v="4.1779141104294482"/>
    <n v="-0.94060773480662974"/>
    <n v="-31.64"/>
    <n v="12.17"/>
    <n v="-3.65"/>
    <n v="2.4854014598540144"/>
    <s v="NO"/>
    <n v="0.49064929923669975"/>
    <n v="-7.9307363979250161"/>
    <n v="-1.7858617957858611"/>
    <n v="1.9100739399071598"/>
    <n v="-12.346015495344542"/>
    <n v="-0.32658907875966137"/>
    <x v="0"/>
    <x v="1"/>
    <x v="0"/>
    <x v="0"/>
    <x v="1"/>
    <x v="0"/>
  </r>
  <r>
    <x v="4"/>
    <s v="HNST"/>
    <n v="529"/>
    <n v="5.13"/>
    <n v="0.01"/>
    <n v="1.6"/>
    <n v="-0.06"/>
    <n v="513"/>
    <n v="3.2062499999999998"/>
    <n v="-4.12"/>
    <n v="-1.76"/>
    <n v="1.42"/>
    <n v="-85.5"/>
    <s v="NO"/>
    <n v="35.954831331017807"/>
    <n v="10.434563280027554"/>
    <n v="0.32582697890781293"/>
    <n v="-0.71781050284906101"/>
    <n v="-0.78201206621343133"/>
    <n v="-5.9461308215787803"/>
    <x v="1"/>
    <x v="1"/>
    <x v="0"/>
    <x v="0"/>
    <x v="0"/>
    <x v="1"/>
  </r>
  <r>
    <x v="4"/>
    <s v="JWLLF"/>
    <n v="946"/>
    <n v="24.69"/>
    <m/>
    <m/>
    <m/>
    <s v=""/>
    <s v=""/>
    <m/>
    <m/>
    <m/>
    <s v=""/>
    <s v="NO"/>
    <e v="#VALUE!"/>
    <e v="#VALUE!"/>
    <n v="0.64196643209596471"/>
    <n v="-0.38578777354174237"/>
    <n v="-4.020845373780725"/>
    <e v="#VALUE!"/>
    <x v="1"/>
    <x v="1"/>
    <x v="0"/>
    <x v="0"/>
    <x v="1"/>
    <x v="1"/>
  </r>
  <r>
    <x v="4"/>
    <s v="NUS"/>
    <n v="284"/>
    <n v="7.43"/>
    <n v="1.41"/>
    <n v="13.08"/>
    <n v="-2.95"/>
    <n v="5.2695035460992905"/>
    <n v="0.56804281345565744"/>
    <n v="-19.899999999999999"/>
    <n v="3.42"/>
    <n v="2.25"/>
    <n v="-2.5186440677966098"/>
    <s v="NO"/>
    <n v="0.56673154394289005"/>
    <n v="-1.2493353950434121"/>
    <n v="-0.88501781995360329"/>
    <n v="0.2593927572713427"/>
    <n v="1.1111088107449165"/>
    <n v="-0.64619258410288349"/>
    <x v="0"/>
    <x v="0"/>
    <x v="0"/>
    <x v="0"/>
    <x v="0"/>
    <x v="0"/>
  </r>
  <r>
    <x v="4"/>
    <s v="OLPX"/>
    <n v="885"/>
    <n v="1.28"/>
    <n v="0.21"/>
    <n v="1.32"/>
    <n v="0.03"/>
    <n v="6.0952380952380958"/>
    <n v="0.96969696969696972"/>
    <n v="2.27"/>
    <n v="2.38"/>
    <n v="2.02"/>
    <n v="42.666666666666671"/>
    <s v="NO"/>
    <n v="0.62428407786914897"/>
    <n v="0.52948110120440406"/>
    <n v="0.81615006285739788"/>
    <n v="6.3197508135199851E-2"/>
    <n v="0.58650904966007322"/>
    <n v="2.2397491246523833"/>
    <x v="0"/>
    <x v="0"/>
    <x v="0"/>
    <x v="0"/>
    <x v="0"/>
    <x v="0"/>
  </r>
  <r>
    <x v="4"/>
    <s v="UPXI"/>
    <n v="428"/>
    <n v="10.01"/>
    <n v="-0.46"/>
    <n v="3.6"/>
    <n v="-22.34"/>
    <n v="-21.760869565217391"/>
    <n v="2.7805555555555554"/>
    <n v="-159.49"/>
    <n v="-31.23"/>
    <n v="4.66"/>
    <n v="-0.44807520143240825"/>
    <s v="NO"/>
    <n v="-1.31724735357443"/>
    <n v="8.5492789169201924"/>
    <n v="-11.596160118626932"/>
    <n v="-6.2773047259664922"/>
    <n v="6.6080019595034925"/>
    <n v="-0.51394737088732068"/>
    <x v="0"/>
    <x v="1"/>
    <x v="1"/>
    <x v="1"/>
    <x v="1"/>
    <x v="0"/>
  </r>
  <r>
    <x v="4"/>
    <s v="USNA"/>
    <n v="535"/>
    <n v="29.74"/>
    <n v="2.67"/>
    <n v="27.81"/>
    <n v="1.82"/>
    <n v="11.138576779026216"/>
    <n v="1.0693994965839626"/>
    <n v="6.42"/>
    <n v="5.21"/>
    <n v="1.41"/>
    <n v="16.340659340659339"/>
    <s v="NO"/>
    <n v="0.97579767385838179"/>
    <n v="0.97103634665198668"/>
    <n v="1.134591502355172"/>
    <n v="0.59707496491912704"/>
    <n v="-0.8048207514779897"/>
    <n v="0.5583327233444656"/>
    <x v="0"/>
    <x v="0"/>
    <x v="0"/>
    <x v="0"/>
    <x v="0"/>
    <x v="0"/>
  </r>
  <r>
    <x v="4"/>
    <s v="WALD"/>
    <n v="344"/>
    <n v="3.03"/>
    <n v="-0.11"/>
    <n v="5.91"/>
    <n v="-0.38"/>
    <n v="-27.545454545454543"/>
    <n v="0.51269035532994922"/>
    <n v="-6.49"/>
    <n v="-3.32"/>
    <n v="1.47"/>
    <n v="-7.973684210526315"/>
    <s v="NO"/>
    <n v="-1.7204247713918634"/>
    <n v="-1.4944763056797772"/>
    <n v="0.14397006044763822"/>
    <n v="-1.0121033765532752"/>
    <n v="-0.66796863989063915"/>
    <n v="-0.99460067547029896"/>
    <x v="0"/>
    <x v="0"/>
    <x v="0"/>
    <x v="0"/>
    <x v="0"/>
    <x v="0"/>
  </r>
  <r>
    <x v="4"/>
    <s v="YSG"/>
    <n v="395"/>
    <n v="4.8499999999999996"/>
    <n v="-0.41"/>
    <n v="4.5599999999999996"/>
    <n v="-0.96"/>
    <n v="-11.829268292682926"/>
    <n v="1.0635964912280702"/>
    <n v="-19.489999999999998"/>
    <n v="-5.87"/>
    <n v="1.3"/>
    <n v="-5.052083333333333"/>
    <s v="NO"/>
    <n v="-0.62502874678881093"/>
    <n v="0.94533642174277177"/>
    <n v="-0.85355734038876296"/>
    <n v="-1.4931590354928563"/>
    <n v="-1.055716289388132"/>
    <n v="-0.80800087808534138"/>
    <x v="0"/>
    <x v="0"/>
    <x v="0"/>
    <x v="0"/>
    <x v="0"/>
    <x v="0"/>
  </r>
  <r>
    <x v="5"/>
    <s v="TPB"/>
    <n v="1439"/>
    <n v="70.09"/>
    <n v="3.52"/>
    <n v="10.6"/>
    <n v="0"/>
    <n v="19.91193181818182"/>
    <n v="6.612264150943397"/>
    <n v="28.05"/>
    <n v="10.4"/>
    <n v="2.62"/>
    <s v=""/>
    <s v="NO"/>
    <n v="-1.0000000000001006"/>
    <n v="1"/>
    <n v="1"/>
    <n v="1.0000000000000013"/>
    <n v="1.0000000000000084"/>
    <e v="#VALUE!"/>
    <x v="0"/>
    <x v="0"/>
    <x v="0"/>
    <x v="0"/>
    <x v="0"/>
    <x v="1"/>
  </r>
  <r>
    <x v="5"/>
    <s v="UVV"/>
    <n v="1458"/>
    <n v="56.19"/>
    <n v="2.7"/>
    <n v="58.69"/>
    <n v="5.0199999999999996"/>
    <n v="20.81111111111111"/>
    <n v="0.95740330550349295"/>
    <n v="9.83"/>
    <n v="5.72"/>
    <n v="2.1"/>
    <n v="11.193227091633467"/>
    <s v="NO"/>
    <n v="1.0000000000001006"/>
    <n v="-1"/>
    <n v="-1.0000000000000002"/>
    <n v="-1.0000000000000018"/>
    <n v="-1.00000000000001"/>
    <e v="#DIV/0!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55" tableType="queryTable" totalsRowShown="0">
  <autoFilter ref="A1:Z55" xr:uid="{1B3BB95A-07C7-4768-8185-A2A759A39458}"/>
  <sortState xmlns:xlrd2="http://schemas.microsoft.com/office/spreadsheetml/2017/richdata2" ref="A2:Z55">
    <sortCondition ref="A1:A55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03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02"/>
    <tableColumn id="9" xr3:uid="{92CA53A2-ADA4-45CE-B0FD-3AD68E123166}" uniqueName="9" name="P/B" queryTableFieldId="46" dataDxfId="101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00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99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98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97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96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95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94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36" tableType="queryTable" totalsRowShown="0">
  <autoFilter ref="A1:Z36" xr:uid="{8A05384F-F989-4428-B033-1A9B3ACA4EBB}"/>
  <sortState xmlns:xlrd2="http://schemas.microsoft.com/office/spreadsheetml/2017/richdata2" ref="A2:Z36">
    <sortCondition ref="A1:A36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13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12"/>
    <tableColumn id="9" xr3:uid="{F1DC44A8-3710-4CCA-B495-699F6ACADE85}" uniqueName="9" name="P/B" queryTableFieldId="45" dataDxfId="111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10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09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08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07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06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05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04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49" tableType="queryTable" totalsRowShown="0">
  <autoFilter ref="A1:Z49" xr:uid="{DE7CBD96-9DC7-4F09-9B11-F8C87451A82B}"/>
  <sortState xmlns:xlrd2="http://schemas.microsoft.com/office/spreadsheetml/2017/richdata2" ref="A2:Z49">
    <sortCondition ref="A1:A49"/>
  </sortState>
  <tableColumns count="26">
    <tableColumn id="1" xr3:uid="{261FC5A1-AB9E-4068-9D87-D85D75FE0DD5}" uniqueName="1" name="Industry" queryTableFieldId="1" dataDxfId="142"/>
    <tableColumn id="2" xr3:uid="{4D1C6415-A4DE-450C-A6A0-32BD8F91DEB2}" uniqueName="2" name="Symbol" queryTableFieldId="2" dataDxfId="141"/>
    <tableColumn id="3" xr3:uid="{1913483F-1018-45E5-BBAD-415B97CDE58A}" uniqueName="3" name="Market Cap (M)" queryTableFieldId="43" dataDxfId="93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92"/>
    <tableColumn id="9" xr3:uid="{A85952D4-A3AB-4C1A-90DC-2E32ECE72481}" uniqueName="9" name="P/B" queryTableFieldId="45" dataDxfId="91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90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89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88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87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86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85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84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0"/>
    <tableColumn id="2" xr3:uid="{E59C1D9B-F213-4C25-84A0-0FA886F9704F}" uniqueName="2" name="P/FCF Q1" queryTableFieldId="2" dataDxfId="137"/>
    <tableColumn id="3" xr3:uid="{04B713EC-FD8B-48E2-A2D2-C366A9A339B7}" uniqueName="3" name="P/FCF Q3" queryTableFieldId="3" dataDxfId="136"/>
    <tableColumn id="4" xr3:uid="{9DCEA951-E29F-4D9E-B9F0-5DC32A557DF0}" uniqueName="4" name="P/FCF LB" queryTableFieldId="4" dataDxfId="135"/>
    <tableColumn id="5" xr3:uid="{C2B6F391-AB27-4C2B-B68A-D2B47E1AA772}" uniqueName="5" name="P/FCF UB" queryTableFieldId="5" dataDxfId="134"/>
    <tableColumn id="6" xr3:uid="{1FD6B89C-F582-4857-A32F-326E69C5DFFD}" uniqueName="6" name="P/B Q1" queryTableFieldId="6" dataDxfId="133"/>
    <tableColumn id="7" xr3:uid="{A3697E12-D8D4-4284-AE2B-01C3BA154C99}" uniqueName="7" name="P/B Q3" queryTableFieldId="7" dataDxfId="132"/>
    <tableColumn id="8" xr3:uid="{A270BB2A-00C0-4246-AFBA-EDE9D5F40C76}" uniqueName="8" name="P/B LB" queryTableFieldId="8" dataDxfId="131"/>
    <tableColumn id="9" xr3:uid="{F99BB669-75E9-428A-88A3-E037E705383F}" uniqueName="9" name="P/B UB" queryTableFieldId="9" dataDxfId="130"/>
    <tableColumn id="10" xr3:uid="{D3A49932-F6DE-43A8-B449-B1C4E41499CF}" uniqueName="10" name="ROE Q1" queryTableFieldId="10" dataDxfId="129"/>
    <tableColumn id="11" xr3:uid="{BD8F2597-7442-49AD-BA3A-A3F29A6E60DD}" uniqueName="11" name="ROE Q3" queryTableFieldId="11" dataDxfId="128"/>
    <tableColumn id="12" xr3:uid="{3B29ED46-D0C8-4AF8-BFC0-41462C6C29EB}" uniqueName="12" name="ROE LB" queryTableFieldId="12" dataDxfId="127"/>
    <tableColumn id="13" xr3:uid="{F62F045D-EA3F-4608-85C5-21D743180D21}" uniqueName="13" name="ROE UB" queryTableFieldId="13" dataDxfId="126"/>
    <tableColumn id="14" xr3:uid="{9D898AB4-6F4D-4D03-BA61-39B91E78C9C6}" uniqueName="14" name="ROA Q1" queryTableFieldId="14" dataDxfId="125"/>
    <tableColumn id="15" xr3:uid="{2D1DFB04-09CE-4BEC-AD50-26246811DCDA}" uniqueName="15" name="ROA Q3" queryTableFieldId="15" dataDxfId="124"/>
    <tableColumn id="16" xr3:uid="{753F114C-61F5-4444-9EB0-76DCEA7F1F1B}" uniqueName="16" name="ROA LB" queryTableFieldId="16" dataDxfId="123"/>
    <tableColumn id="17" xr3:uid="{AA60DB6D-6DE2-4BF0-A375-18A578568BBF}" uniqueName="17" name="ROA UB" queryTableFieldId="17" dataDxfId="122"/>
    <tableColumn id="18" xr3:uid="{5357CEC7-DB8C-48BE-BDAD-FCBB1FB43389}" uniqueName="18" name="P/E Q1" queryTableFieldId="18" dataDxfId="121"/>
    <tableColumn id="19" xr3:uid="{C18FE8DB-95D8-42EC-BC42-C15678D7CE64}" uniqueName="19" name="P/E Q3" queryTableFieldId="19" dataDxfId="120"/>
    <tableColumn id="20" xr3:uid="{B7040099-49E4-464B-9BD8-1326A00D0599}" uniqueName="20" name="P/E LB" queryTableFieldId="20" dataDxfId="119"/>
    <tableColumn id="21" xr3:uid="{E8713F96-91B8-41CB-AA45-CCA61FACA752}" uniqueName="21" name="P/E UB" queryTableFieldId="21" dataDxfId="118"/>
    <tableColumn id="22" xr3:uid="{91693169-B783-4EDC-94CF-D23F08159B62}" uniqueName="22" name="A/E Q1" queryTableFieldId="22" dataDxfId="117"/>
    <tableColumn id="23" xr3:uid="{F98A9AC1-1CAF-483B-A342-F3A466AEB043}" uniqueName="23" name="A/E Q3" queryTableFieldId="23" dataDxfId="116"/>
    <tableColumn id="24" xr3:uid="{04D140EC-A8E6-4894-B430-208F20D411DB}" uniqueName="24" name="A/E LB" queryTableFieldId="24" dataDxfId="115"/>
    <tableColumn id="25" xr3:uid="{3E6CFD0C-10B0-4D91-A289-A353306CC102}" uniqueName="25" name="A/E UB" queryTableFieldId="25" dataDxfId="11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39"/>
    <tableColumn id="2" xr3:uid="{E9710093-0C0E-47F6-BA82-6DF1689DE3FF}" uniqueName="2" name="P/FCF Q1" queryTableFieldId="2" dataDxfId="23"/>
    <tableColumn id="3" xr3:uid="{BB549C0D-7552-41A2-B049-C1E0C569FC5B}" uniqueName="3" name="P/FCF Q3" queryTableFieldId="3" dataDxfId="22"/>
    <tableColumn id="4" xr3:uid="{F8874757-4F98-4408-A256-B3DBB97E40A5}" uniqueName="4" name="P/FCF LB" queryTableFieldId="4" dataDxfId="21"/>
    <tableColumn id="5" xr3:uid="{7F92E8F9-91DF-48EA-A8F2-F3E13D8104D3}" uniqueName="5" name="P/FCF UB" queryTableFieldId="5" dataDxfId="20"/>
    <tableColumn id="6" xr3:uid="{837AC52A-2B15-4BFB-A555-2456F010C7C9}" uniqueName="6" name="P/B Q1" queryTableFieldId="6" dataDxfId="19"/>
    <tableColumn id="7" xr3:uid="{C672A3A3-8D6C-4E08-B6E3-1D85CD510A41}" uniqueName="7" name="P/B Q3" queryTableFieldId="7" dataDxfId="18"/>
    <tableColumn id="8" xr3:uid="{47FBFC34-1D36-49FE-8583-28072989EA1C}" uniqueName="8" name="P/B LB" queryTableFieldId="8" dataDxfId="17"/>
    <tableColumn id="9" xr3:uid="{98DADD72-A76B-4DE4-AB34-515EBE2E4A04}" uniqueName="9" name="P/B UB" queryTableFieldId="9" dataDxfId="16"/>
    <tableColumn id="10" xr3:uid="{C06AFB5F-1921-4B19-AFA7-04514BD3BC35}" uniqueName="10" name="ROE Q1" queryTableFieldId="10" dataDxfId="15"/>
    <tableColumn id="11" xr3:uid="{38FF7E38-2AC1-4486-B824-BCBE4156ADA7}" uniqueName="11" name="ROE Q3" queryTableFieldId="11" dataDxfId="14"/>
    <tableColumn id="12" xr3:uid="{1BBD6DC1-3C0C-48AF-9986-81D1F4A26368}" uniqueName="12" name="ROE LB" queryTableFieldId="12" dataDxfId="13"/>
    <tableColumn id="13" xr3:uid="{5775303C-3550-4762-86D0-7A82C106A3F0}" uniqueName="13" name="ROE UB" queryTableFieldId="13" dataDxfId="12"/>
    <tableColumn id="14" xr3:uid="{9FE06177-2E94-4066-A65B-77414C97B4DC}" uniqueName="14" name="ROA Q1" queryTableFieldId="14" dataDxfId="11"/>
    <tableColumn id="15" xr3:uid="{386179E5-15F0-4AED-9E0C-1EB211C80CEE}" uniqueName="15" name="ROA Q3" queryTableFieldId="15" dataDxfId="10"/>
    <tableColumn id="16" xr3:uid="{C7DC1506-2223-42A0-AC4B-68B0E14D2B9D}" uniqueName="16" name="ROA LB" queryTableFieldId="16" dataDxfId="9"/>
    <tableColumn id="17" xr3:uid="{C45AE1E6-1326-44B3-972F-838B081A78FC}" uniqueName="17" name="ROA UB" queryTableFieldId="17" dataDxfId="8"/>
    <tableColumn id="18" xr3:uid="{17D85B47-F40C-47C3-996F-C47242CFB7D2}" uniqueName="18" name="P/E Q1" queryTableFieldId="18" dataDxfId="7"/>
    <tableColumn id="19" xr3:uid="{44248722-1EBA-4DF8-B99D-B6B2F31E253B}" uniqueName="19" name="P/E Q3" queryTableFieldId="19" dataDxfId="6"/>
    <tableColumn id="20" xr3:uid="{93299C7A-5544-43AE-ACC5-72F0CB129F08}" uniqueName="20" name="P/E LB" queryTableFieldId="20" dataDxfId="5"/>
    <tableColumn id="21" xr3:uid="{3E027012-2DA9-4754-8880-25FEEDEFA94A}" uniqueName="21" name="P/E UB" queryTableFieldId="21" dataDxfId="4"/>
    <tableColumn id="22" xr3:uid="{FF2638EF-6EA0-401C-B7D8-A2BC49ECD2B0}" uniqueName="22" name="A/E Q1" queryTableFieldId="22" dataDxfId="3"/>
    <tableColumn id="23" xr3:uid="{546FB46A-BFEC-4020-A8E1-97073EBE991F}" uniqueName="23" name="A/E Q3" queryTableFieldId="23" dataDxfId="2"/>
    <tableColumn id="24" xr3:uid="{41F03CE5-975A-469D-B609-D8C5D8D172FA}" uniqueName="24" name="A/E LB" queryTableFieldId="24" dataDxfId="1"/>
    <tableColumn id="25" xr3:uid="{1863137D-3C8C-4A15-9A63-5E253392AFAD}" uniqueName="25" name="A/E UB" queryTableFieldId="25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38"/>
    <tableColumn id="2" xr3:uid="{0E20A80F-BE74-42F8-83EF-419A13269CF8}" uniqueName="2" name="P/FCF Q1" queryTableFieldId="2" dataDxfId="83"/>
    <tableColumn id="3" xr3:uid="{6D66145B-6613-41BC-8233-7356853CCFEF}" uniqueName="3" name="P/FCF Q3" queryTableFieldId="3" dataDxfId="82"/>
    <tableColumn id="4" xr3:uid="{90A69125-3CA2-4D0A-8F1A-65993DFA9D46}" uniqueName="4" name="P/FCF LB" queryTableFieldId="4" dataDxfId="81"/>
    <tableColumn id="5" xr3:uid="{BED6E3D4-DC60-428F-B5E8-4C3C64096FD7}" uniqueName="5" name="P/FCF UB" queryTableFieldId="5" dataDxfId="80"/>
    <tableColumn id="6" xr3:uid="{FC33B186-B76E-4D86-8EBD-E25B773D256E}" uniqueName="6" name="P/B Q1" queryTableFieldId="6" dataDxfId="79"/>
    <tableColumn id="7" xr3:uid="{D82D1432-7C03-4449-BD2D-F895D50A5F32}" uniqueName="7" name="P/B Q3" queryTableFieldId="7" dataDxfId="78"/>
    <tableColumn id="8" xr3:uid="{D3389429-24FB-4947-AACF-CAA92D678F94}" uniqueName="8" name="P/B LB" queryTableFieldId="8" dataDxfId="77"/>
    <tableColumn id="9" xr3:uid="{452E932D-DD5B-4C62-A8B3-25C90C8C7751}" uniqueName="9" name="P/B UB" queryTableFieldId="9" dataDxfId="76"/>
    <tableColumn id="10" xr3:uid="{99E11285-9679-47B1-9540-1BD10239596C}" uniqueName="10" name="ROE Q1" queryTableFieldId="10" dataDxfId="75"/>
    <tableColumn id="11" xr3:uid="{B4F1825A-C678-4C01-BB96-B04FAB1938BD}" uniqueName="11" name="ROE Q3" queryTableFieldId="11" dataDxfId="74"/>
    <tableColumn id="12" xr3:uid="{9F07026D-928C-42B1-8DD2-9BD3176C8B6A}" uniqueName="12" name="ROE LB" queryTableFieldId="12" dataDxfId="73"/>
    <tableColumn id="13" xr3:uid="{47360B1B-7AC4-49FA-9F18-2F1F1B72CA28}" uniqueName="13" name="ROE UB" queryTableFieldId="13" dataDxfId="72"/>
    <tableColumn id="14" xr3:uid="{58B0248D-BCFF-4737-ADF5-EE087C03D561}" uniqueName="14" name="ROA Q1" queryTableFieldId="14" dataDxfId="71"/>
    <tableColumn id="15" xr3:uid="{CCD6E6AE-6BBB-4675-8C50-0F87AF280A3C}" uniqueName="15" name="ROA Q3" queryTableFieldId="15" dataDxfId="70"/>
    <tableColumn id="16" xr3:uid="{BB86731C-A605-4988-A848-B35835CAF73E}" uniqueName="16" name="ROA LB" queryTableFieldId="16" dataDxfId="69"/>
    <tableColumn id="17" xr3:uid="{9760AC7A-70E9-4457-8DC8-4BDA6646C74E}" uniqueName="17" name="ROA UB" queryTableFieldId="17" dataDxfId="68"/>
    <tableColumn id="18" xr3:uid="{931D5CA9-41B9-424B-87E6-FA364034B249}" uniqueName="18" name="P/E Q1" queryTableFieldId="18" dataDxfId="67"/>
    <tableColumn id="19" xr3:uid="{23E1DD3D-5F02-4A6D-9773-5EA3466661AF}" uniqueName="19" name="P/E Q3" queryTableFieldId="19" dataDxfId="66"/>
    <tableColumn id="20" xr3:uid="{478DC28A-5ACD-47E8-8720-6EEE2D43205B}" uniqueName="20" name="P/E LB" queryTableFieldId="20" dataDxfId="65"/>
    <tableColumn id="21" xr3:uid="{AC7D613F-0AC5-4542-BBED-886B4C332840}" uniqueName="21" name="P/E UB" queryTableFieldId="21" dataDxfId="64"/>
    <tableColumn id="22" xr3:uid="{1E3F527B-4B19-4D38-9A78-D4BBA95224B9}" uniqueName="22" name="A/E Q1" queryTableFieldId="22" dataDxfId="63"/>
    <tableColumn id="23" xr3:uid="{1256121C-1427-4F44-988A-E08E26F80A67}" uniqueName="23" name="A/E Q3" queryTableFieldId="23" dataDxfId="62"/>
    <tableColumn id="24" xr3:uid="{3F6A6F05-B80E-47C0-9039-80E1A481FF30}" uniqueName="24" name="A/E LB" queryTableFieldId="24" dataDxfId="61"/>
    <tableColumn id="25" xr3:uid="{08969B40-89DA-4EAE-925B-3C841EB86C63}" uniqueName="25" name="A/E UB" queryTableFieldId="25" dataDxfId="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55"/>
  <sheetViews>
    <sheetView workbookViewId="0">
      <selection activeCell="B24" sqref="B24"/>
    </sheetView>
  </sheetViews>
  <sheetFormatPr defaultRowHeight="15" x14ac:dyDescent="0.25"/>
  <cols>
    <col min="1" max="1" width="35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161</v>
      </c>
      <c r="C2" s="2">
        <v>39118</v>
      </c>
      <c r="D2">
        <f>RTD("tos.rtd", , "LAST", Main_L[[#This Row],[Symbol]])</f>
        <v>2.52</v>
      </c>
      <c r="E2">
        <v>0.22</v>
      </c>
      <c r="F2">
        <v>1.01</v>
      </c>
      <c r="G2">
        <v>0.15</v>
      </c>
      <c r="H2" s="1">
        <f>IF(ISNUMBER(Main_L[[#This Row],[Free CF]]),IF(Main_L[[#This Row],[Free CF]]&lt;&gt;0,Main_L[[#This Row],[Current Price]]/Main_L[[#This Row],[Free CF]],""),"")</f>
        <v>11.454545454545455</v>
      </c>
      <c r="I2" s="1">
        <f>IF(ISNUMBER(Main_L[[#This Row],[BVPS]]),IF(Main_L[[#This Row],[BVPS]]&lt;&gt;0,Main_L[[#This Row],[Current Price]]/Main_L[[#This Row],[BVPS]],""),"")</f>
        <v>2.495049504950495</v>
      </c>
      <c r="J2">
        <v>16.52</v>
      </c>
      <c r="K2">
        <v>9.18</v>
      </c>
      <c r="L2">
        <v>1.65</v>
      </c>
      <c r="M2" s="1">
        <f>IF(ISNUMBER(Main_L[[#This Row],[EPS]]),IF(Main_L[[#This Row],[EPS]]&lt;&gt;0,Main_L[[#This Row],[Current Price]]/Main_L[[#This Row],[EPS]],""),"")</f>
        <v>16.8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" s="1">
        <f>(Main_L[[#This Row],[P/FCF]]-VLOOKUP(Main_L[[#This Row],[Industry]], Mean_PFCF_L, 2, FALSE))/(VLOOKUP(Main_L[[#This Row],[Industry]], Mean_PFCF_L, 3, FALSE))</f>
        <v>-1.0792627706865292</v>
      </c>
      <c r="P2" s="1">
        <f>(Main_L[[#This Row],[P/B]]-VLOOKUP(Main_L[[#This Row],[Industry]], Mean_PB_L, 2, FALSE))/(VLOOKUP(Main_L[[#This Row],[Industry]], Mean_PB_L, 3, FALSE))</f>
        <v>-0.73084111446965905</v>
      </c>
      <c r="Q2" s="1">
        <f>(Main_L[[#This Row],[ROE]]-VLOOKUP(Main_L[[#This Row],[Industry]], Mean_ROE_L, 2, FALSE))/(VLOOKUP(Main_L[[#This Row],[Industry]], Mean_ROE_L, 3, FALSE))</f>
        <v>-0.15235707984291991</v>
      </c>
      <c r="R2" s="1">
        <f>(Main_L[[#This Row],[ROA]]-VLOOKUP(Main_L[[#This Row],[Industry]], Mean_ROA_L, 2, FALSE))/(VLOOKUP(Main_L[[#This Row],[Industry]], Mean_ROA_L, 3, FALSE))</f>
        <v>0.53328886230270733</v>
      </c>
      <c r="S2" s="1">
        <f>(Main_L[[#This Row],[A/E]]-VLOOKUP(Main_L[[#This Row],[Industry]], Mean_AE_L, 2, FALSE))/(VLOOKUP(Main_L[[#This Row],[Industry]], Mean_AE_L, 3, FALSE))</f>
        <v>-1.2129355699591275</v>
      </c>
      <c r="T2" s="1">
        <f>(Main_L[[#This Row],[P/E]]-VLOOKUP(Main_L[[#This Row],[Industry]], Mean_PE_L, 2, FALSE))/(VLOOKUP(Main_L[[#This Row],[Industry]], Mean_PE_L, 3, FALSE))</f>
        <v>-0.74613485520370659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106</v>
      </c>
      <c r="B3" t="s">
        <v>162</v>
      </c>
      <c r="C3" s="2">
        <v>127491</v>
      </c>
      <c r="D3">
        <f>RTD("tos.rtd", , "LAST", Main_L[[#This Row],[Symbol]])</f>
        <v>65.91</v>
      </c>
      <c r="E3">
        <v>5.59</v>
      </c>
      <c r="F3">
        <v>39.61</v>
      </c>
      <c r="G3">
        <v>2.86</v>
      </c>
      <c r="H3" s="1">
        <f>IF(ISNUMBER(Main_L[[#This Row],[Free CF]]),IF(Main_L[[#This Row],[Free CF]]&lt;&gt;0,Main_L[[#This Row],[Current Price]]/Main_L[[#This Row],[Free CF]],""),"")</f>
        <v>11.790697674418604</v>
      </c>
      <c r="I3" s="1">
        <f>IF(ISNUMBER(Main_L[[#This Row],[BVPS]]),IF(Main_L[[#This Row],[BVPS]]&lt;&gt;0,Main_L[[#This Row],[Current Price]]/Main_L[[#This Row],[BVPS]],""),"")</f>
        <v>1.6639737440040394</v>
      </c>
      <c r="J3">
        <v>8.18</v>
      </c>
      <c r="K3">
        <v>4.47</v>
      </c>
      <c r="L3">
        <v>2.64</v>
      </c>
      <c r="M3" s="1">
        <f>IF(ISNUMBER(Main_L[[#This Row],[EPS]]),IF(Main_L[[#This Row],[EPS]]&lt;&gt;0,Main_L[[#This Row],[Current Price]]/Main_L[[#This Row],[EPS]],""),"")</f>
        <v>23.045454545454547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-1.0466983681364246</v>
      </c>
      <c r="P3" s="1">
        <f>(Main_L[[#This Row],[P/B]]-VLOOKUP(Main_L[[#This Row],[Industry]], Mean_PB_L, 2, FALSE))/(VLOOKUP(Main_L[[#This Row],[Industry]], Mean_PB_L, 3, FALSE))</f>
        <v>-0.97302736380178556</v>
      </c>
      <c r="Q3" s="1">
        <f>(Main_L[[#This Row],[ROE]]-VLOOKUP(Main_L[[#This Row],[Industry]], Mean_ROE_L, 2, FALSE))/(VLOOKUP(Main_L[[#This Row],[Industry]], Mean_ROE_L, 3, FALSE))</f>
        <v>-0.71477290793205472</v>
      </c>
      <c r="R3" s="1">
        <f>(Main_L[[#This Row],[ROA]]-VLOOKUP(Main_L[[#This Row],[Industry]], Mean_ROA_L, 2, FALSE))/(VLOOKUP(Main_L[[#This Row],[Industry]], Mean_ROA_L, 3, FALSE))</f>
        <v>-1.0023036084501542</v>
      </c>
      <c r="S3" s="1">
        <f>(Main_L[[#This Row],[A/E]]-VLOOKUP(Main_L[[#This Row],[Industry]], Mean_AE_L, 2, FALSE))/(VLOOKUP(Main_L[[#This Row],[Industry]], Mean_AE_L, 3, FALSE))</f>
        <v>-0.33734770539488218</v>
      </c>
      <c r="T3" s="1">
        <f>(Main_L[[#This Row],[P/E]]-VLOOKUP(Main_L[[#This Row],[Industry]], Mean_PE_L, 2, FALSE))/(VLOOKUP(Main_L[[#This Row],[Industry]], Mean_PE_L, 3, FALSE))</f>
        <v>1.3188455570059611E-2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" spans="1:26" x14ac:dyDescent="0.25">
      <c r="A4" t="s">
        <v>106</v>
      </c>
      <c r="B4" t="s">
        <v>163</v>
      </c>
      <c r="C4" s="2">
        <v>11524</v>
      </c>
      <c r="D4">
        <f>RTD("tos.rtd", , "LAST", Main_L[[#This Row],[Symbol]])</f>
        <v>55.18</v>
      </c>
      <c r="E4">
        <v>5.92</v>
      </c>
      <c r="F4">
        <v>64.430000000000007</v>
      </c>
      <c r="G4">
        <v>5.35</v>
      </c>
      <c r="H4" s="1">
        <f>IF(ISNUMBER(Main_L[[#This Row],[Free CF]]),IF(Main_L[[#This Row],[Free CF]]&lt;&gt;0,Main_L[[#This Row],[Current Price]]/Main_L[[#This Row],[Free CF]],""),"")</f>
        <v>9.3209459459459456</v>
      </c>
      <c r="I4" s="1">
        <f>IF(ISNUMBER(Main_L[[#This Row],[BVPS]]),IF(Main_L[[#This Row],[BVPS]]&lt;&gt;0,Main_L[[#This Row],[Current Price]]/Main_L[[#This Row],[BVPS]],""),"")</f>
        <v>0.85643333850690662</v>
      </c>
      <c r="J4">
        <v>8.61</v>
      </c>
      <c r="K4">
        <v>4.32</v>
      </c>
      <c r="L4">
        <v>1.99</v>
      </c>
      <c r="M4" s="1">
        <f>IF(ISNUMBER(Main_L[[#This Row],[EPS]]),IF(Main_L[[#This Row],[EPS]]&lt;&gt;0,Main_L[[#This Row],[Current Price]]/Main_L[[#This Row],[EPS]],""),"")</f>
        <v>10.314018691588785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-1.285953041257875</v>
      </c>
      <c r="P4" s="1">
        <f>(Main_L[[#This Row],[P/B]]-VLOOKUP(Main_L[[#This Row],[Industry]], Mean_PB_L, 2, FALSE))/(VLOOKUP(Main_L[[#This Row],[Industry]], Mean_PB_L, 3, FALSE))</f>
        <v>-1.208355105485369</v>
      </c>
      <c r="Q4" s="1">
        <f>(Main_L[[#This Row],[ROE]]-VLOOKUP(Main_L[[#This Row],[Industry]], Mean_ROE_L, 2, FALSE))/(VLOOKUP(Main_L[[#This Row],[Industry]], Mean_ROE_L, 3, FALSE))</f>
        <v>-0.68577544916966537</v>
      </c>
      <c r="R4" s="1">
        <f>(Main_L[[#This Row],[ROA]]-VLOOKUP(Main_L[[#This Row],[Industry]], Mean_ROA_L, 2, FALSE))/(VLOOKUP(Main_L[[#This Row],[Industry]], Mean_ROA_L, 3, FALSE))</f>
        <v>-1.0512078272639396</v>
      </c>
      <c r="S4" s="1">
        <f>(Main_L[[#This Row],[A/E]]-VLOOKUP(Main_L[[#This Row],[Industry]], Mean_AE_L, 2, FALSE))/(VLOOKUP(Main_L[[#This Row],[Industry]], Mean_AE_L, 3, FALSE))</f>
        <v>-0.91222862657342718</v>
      </c>
      <c r="T4" s="1">
        <f>(Main_L[[#This Row],[P/E]]-VLOOKUP(Main_L[[#This Row],[Industry]], Mean_PE_L, 2, FALSE))/(VLOOKUP(Main_L[[#This Row],[Industry]], Mean_PE_L, 3, FALSE))</f>
        <v>-1.5347014462941759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106</v>
      </c>
      <c r="B5" t="s">
        <v>164</v>
      </c>
      <c r="C5" s="2">
        <v>64307</v>
      </c>
      <c r="D5">
        <f>RTD("tos.rtd", , "LAST", Main_L[[#This Row],[Symbol]])</f>
        <v>112.27</v>
      </c>
      <c r="E5">
        <v>1.23</v>
      </c>
      <c r="F5">
        <v>4.63</v>
      </c>
      <c r="G5">
        <v>1.61</v>
      </c>
      <c r="H5" s="1">
        <f>IF(ISNUMBER(Main_L[[#This Row],[Free CF]]),IF(Main_L[[#This Row],[Free CF]]&lt;&gt;0,Main_L[[#This Row],[Current Price]]/Main_L[[#This Row],[Free CF]],""),"")</f>
        <v>91.276422764227647</v>
      </c>
      <c r="I5" s="1">
        <f>IF(ISNUMBER(Main_L[[#This Row],[BVPS]]),IF(Main_L[[#This Row],[BVPS]]&lt;&gt;0,Main_L[[#This Row],[Current Price]]/Main_L[[#This Row],[BVPS]],""),"")</f>
        <v>24.248380129589634</v>
      </c>
      <c r="J5">
        <v>32.32</v>
      </c>
      <c r="K5">
        <v>7.72</v>
      </c>
      <c r="L5">
        <v>4.5599999999999996</v>
      </c>
      <c r="M5" s="1">
        <f>IF(ISNUMBER(Main_L[[#This Row],[EPS]]),IF(Main_L[[#This Row],[EPS]]&lt;&gt;0,Main_L[[#This Row],[Current Price]]/Main_L[[#This Row],[EPS]],""),"")</f>
        <v>69.732919254658384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6.6533999676361386</v>
      </c>
      <c r="P5" s="1">
        <f>(Main_L[[#This Row],[P/B]]-VLOOKUP(Main_L[[#This Row],[Industry]], Mean_PB_L, 2, FALSE))/(VLOOKUP(Main_L[[#This Row],[Industry]], Mean_PB_L, 3, FALSE))</f>
        <v>5.6083614011508924</v>
      </c>
      <c r="Q5" s="1">
        <f>(Main_L[[#This Row],[ROE]]-VLOOKUP(Main_L[[#This Row],[Industry]], Mean_ROE_L, 2, FALSE))/(VLOOKUP(Main_L[[#This Row],[Industry]], Mean_ROE_L, 3, FALSE))</f>
        <v>0.91313093979836679</v>
      </c>
      <c r="R5" s="1">
        <f>(Main_L[[#This Row],[ROA]]-VLOOKUP(Main_L[[#This Row],[Industry]], Mean_ROA_L, 2, FALSE))/(VLOOKUP(Main_L[[#This Row],[Industry]], Mean_ROA_L, 3, FALSE))</f>
        <v>5.7287799181862754E-2</v>
      </c>
      <c r="S5" s="1">
        <f>(Main_L[[#This Row],[A/E]]-VLOOKUP(Main_L[[#This Row],[Industry]], Mean_AE_L, 2, FALSE))/(VLOOKUP(Main_L[[#This Row],[Industry]], Mean_AE_L, 3, FALSE))</f>
        <v>1.360762092547896</v>
      </c>
      <c r="T5" s="1">
        <f>(Main_L[[#This Row],[P/E]]-VLOOKUP(Main_L[[#This Row],[Industry]], Mean_PE_L, 2, FALSE))/(VLOOKUP(Main_L[[#This Row],[Industry]], Mean_PE_L, 3, FALSE))</f>
        <v>5.6894574951753913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6" spans="1:26" x14ac:dyDescent="0.25">
      <c r="A6" t="s">
        <v>106</v>
      </c>
      <c r="B6" t="s">
        <v>165</v>
      </c>
      <c r="C6" s="2">
        <v>33786</v>
      </c>
      <c r="D6">
        <f>RTD("tos.rtd", , "LAST", Main_L[[#This Row],[Symbol]])</f>
        <v>187.67</v>
      </c>
      <c r="E6">
        <v>10.68</v>
      </c>
      <c r="F6">
        <v>38.619999999999997</v>
      </c>
      <c r="G6">
        <v>-0.45</v>
      </c>
      <c r="H6" s="1">
        <f>IF(ISNUMBER(Main_L[[#This Row],[Free CF]]),IF(Main_L[[#This Row],[Free CF]]&lt;&gt;0,Main_L[[#This Row],[Current Price]]/Main_L[[#This Row],[Free CF]],""),"")</f>
        <v>17.572097378277153</v>
      </c>
      <c r="I6" s="1">
        <f>IF(ISNUMBER(Main_L[[#This Row],[BVPS]]),IF(Main_L[[#This Row],[BVPS]]&lt;&gt;0,Main_L[[#This Row],[Current Price]]/Main_L[[#This Row],[BVPS]],""),"")</f>
        <v>4.8593992749870534</v>
      </c>
      <c r="J6">
        <v>-0.36</v>
      </c>
      <c r="K6">
        <v>9.27</v>
      </c>
      <c r="L6">
        <v>3.15</v>
      </c>
      <c r="M6" s="1">
        <f>IF(ISNUMBER(Main_L[[#This Row],[EPS]]),IF(Main_L[[#This Row],[EPS]]&lt;&gt;0,Main_L[[#This Row],[Current Price]]/Main_L[[#This Row],[EPS]],""),"")</f>
        <v>-417.04444444444442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-0.48663118389902721</v>
      </c>
      <c r="P6" s="1">
        <f>(Main_L[[#This Row],[P/B]]-VLOOKUP(Main_L[[#This Row],[Industry]], Mean_PB_L, 2, FALSE))/(VLOOKUP(Main_L[[#This Row],[Industry]], Mean_PB_L, 3, FALSE))</f>
        <v>-4.1838944243541919E-2</v>
      </c>
      <c r="Q6" s="1">
        <f>(Main_L[[#This Row],[ROE]]-VLOOKUP(Main_L[[#This Row],[Industry]], Mean_ROE_L, 2, FALSE))/(VLOOKUP(Main_L[[#This Row],[Industry]], Mean_ROE_L, 3, FALSE))</f>
        <v>-1.2906759261432312</v>
      </c>
      <c r="R6" s="1">
        <f>(Main_L[[#This Row],[ROA]]-VLOOKUP(Main_L[[#This Row],[Industry]], Mean_ROA_L, 2, FALSE))/(VLOOKUP(Main_L[[#This Row],[Industry]], Mean_ROA_L, 3, FALSE))</f>
        <v>0.56263139359097847</v>
      </c>
      <c r="S6" s="1">
        <f>(Main_L[[#This Row],[A/E]]-VLOOKUP(Main_L[[#This Row],[Industry]], Mean_AE_L, 2, FALSE))/(VLOOKUP(Main_L[[#This Row],[Industry]], Mean_AE_L, 3, FALSE))</f>
        <v>0.1137127096836682</v>
      </c>
      <c r="T6" s="1">
        <f>(Main_L[[#This Row],[P/E]]-VLOOKUP(Main_L[[#This Row],[Industry]], Mean_PE_L, 2, FALSE))/(VLOOKUP(Main_L[[#This Row],[Industry]], Mean_PE_L, 3, FALSE))</f>
        <v>-53.493008204257109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" spans="1:26" x14ac:dyDescent="0.25">
      <c r="A7" t="s">
        <v>106</v>
      </c>
      <c r="B7" t="s">
        <v>166</v>
      </c>
      <c r="C7" s="2">
        <v>41796</v>
      </c>
      <c r="D7">
        <f>RTD("tos.rtd", , "LAST", Main_L[[#This Row],[Symbol]])</f>
        <v>87.39</v>
      </c>
      <c r="E7">
        <v>4.78</v>
      </c>
      <c r="F7">
        <v>19.079999999999998</v>
      </c>
      <c r="G7">
        <v>3.19</v>
      </c>
      <c r="H7" s="1">
        <f>IF(ISNUMBER(Main_L[[#This Row],[Free CF]]),IF(Main_L[[#This Row],[Free CF]]&lt;&gt;0,Main_L[[#This Row],[Current Price]]/Main_L[[#This Row],[Free CF]],""),"")</f>
        <v>18.282426778242677</v>
      </c>
      <c r="I7" s="1">
        <f>IF(ISNUMBER(Main_L[[#This Row],[BVPS]]),IF(Main_L[[#This Row],[BVPS]]&lt;&gt;0,Main_L[[#This Row],[Current Price]]/Main_L[[#This Row],[BVPS]],""),"")</f>
        <v>4.5801886792452837</v>
      </c>
      <c r="J7">
        <v>17.03</v>
      </c>
      <c r="K7">
        <v>5.34</v>
      </c>
      <c r="L7">
        <v>3.66</v>
      </c>
      <c r="M7" s="1">
        <f>IF(ISNUMBER(Main_L[[#This Row],[EPS]]),IF(Main_L[[#This Row],[EPS]]&lt;&gt;0,Main_L[[#This Row],[Current Price]]/Main_L[[#This Row],[EPS]],""),"")</f>
        <v>27.394984326018811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-0.41781874966200067</v>
      </c>
      <c r="P7" s="1">
        <f>(Main_L[[#This Row],[P/B]]-VLOOKUP(Main_L[[#This Row],[Industry]], Mean_PB_L, 2, FALSE))/(VLOOKUP(Main_L[[#This Row],[Industry]], Mean_PB_L, 3, FALSE))</f>
        <v>-0.12320453103370274</v>
      </c>
      <c r="Q7" s="1">
        <f>(Main_L[[#This Row],[ROE]]-VLOOKUP(Main_L[[#This Row],[Industry]], Mean_ROE_L, 2, FALSE))/(VLOOKUP(Main_L[[#This Row],[Industry]], Mean_ROE_L, 3, FALSE))</f>
        <v>-0.11796474503171372</v>
      </c>
      <c r="R7" s="1">
        <f>(Main_L[[#This Row],[ROA]]-VLOOKUP(Main_L[[#This Row],[Industry]], Mean_ROA_L, 2, FALSE))/(VLOOKUP(Main_L[[#This Row],[Industry]], Mean_ROA_L, 3, FALSE))</f>
        <v>-0.71865913933019887</v>
      </c>
      <c r="S7" s="1">
        <f>(Main_L[[#This Row],[A/E]]-VLOOKUP(Main_L[[#This Row],[Industry]], Mean_AE_L, 2, FALSE))/(VLOOKUP(Main_L[[#This Row],[Industry]], Mean_AE_L, 3, FALSE))</f>
        <v>0.56477312476221897</v>
      </c>
      <c r="T7" s="1">
        <f>(Main_L[[#This Row],[P/E]]-VLOOKUP(Main_L[[#This Row],[Industry]], Mean_PE_L, 2, FALSE))/(VLOOKUP(Main_L[[#This Row],[Industry]], Mean_PE_L, 3, FALSE))</f>
        <v>0.54200494590715786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106</v>
      </c>
      <c r="B8" t="s">
        <v>167</v>
      </c>
      <c r="C8" s="2">
        <v>10406</v>
      </c>
      <c r="D8">
        <f>RTD("tos.rtd", , "LAST", Main_L[[#This Row],[Symbol]])</f>
        <v>1151.26</v>
      </c>
      <c r="E8">
        <v>55.03</v>
      </c>
      <c r="F8">
        <v>171.99</v>
      </c>
      <c r="G8">
        <v>64.239999999999995</v>
      </c>
      <c r="H8" s="1">
        <f>IF(ISNUMBER(Main_L[[#This Row],[Free CF]]),IF(Main_L[[#This Row],[Free CF]]&lt;&gt;0,Main_L[[#This Row],[Current Price]]/Main_L[[#This Row],[Free CF]],""),"")</f>
        <v>20.920588769761949</v>
      </c>
      <c r="I8" s="1">
        <f>IF(ISNUMBER(Main_L[[#This Row],[BVPS]]),IF(Main_L[[#This Row],[BVPS]]&lt;&gt;0,Main_L[[#This Row],[Current Price]]/Main_L[[#This Row],[BVPS]],""),"")</f>
        <v>6.6937612651898366</v>
      </c>
      <c r="J8">
        <v>36.83</v>
      </c>
      <c r="K8">
        <v>11.5</v>
      </c>
      <c r="L8">
        <v>3.6</v>
      </c>
      <c r="M8" s="1">
        <f>IF(ISNUMBER(Main_L[[#This Row],[EPS]]),IF(Main_L[[#This Row],[EPS]]&lt;&gt;0,Main_L[[#This Row],[Current Price]]/Main_L[[#This Row],[EPS]],""),"")</f>
        <v>17.921232876712331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-0.1622495045246688</v>
      </c>
      <c r="P8" s="1">
        <f>(Main_L[[#This Row],[P/B]]-VLOOKUP(Main_L[[#This Row],[Industry]], Mean_PB_L, 2, FALSE))/(VLOOKUP(Main_L[[#This Row],[Industry]], Mean_PB_L, 3, FALSE))</f>
        <v>0.49271791711731949</v>
      </c>
      <c r="Q8" s="1">
        <f>(Main_L[[#This Row],[ROE]]-VLOOKUP(Main_L[[#This Row],[Industry]], Mean_ROE_L, 2, FALSE))/(VLOOKUP(Main_L[[#This Row],[Industry]], Mean_ROE_L, 3, FALSE))</f>
        <v>1.2172670770504048</v>
      </c>
      <c r="R8" s="1">
        <f>(Main_L[[#This Row],[ROA]]-VLOOKUP(Main_L[[#This Row],[Industry]], Mean_ROA_L, 2, FALSE))/(VLOOKUP(Main_L[[#This Row],[Industry]], Mean_ROA_L, 3, FALSE))</f>
        <v>1.2896741132892549</v>
      </c>
      <c r="S8" s="1">
        <f>(Main_L[[#This Row],[A/E]]-VLOOKUP(Main_L[[#This Row],[Industry]], Mean_AE_L, 2, FALSE))/(VLOOKUP(Main_L[[#This Row],[Industry]], Mean_AE_L, 3, FALSE))</f>
        <v>0.51170719357650707</v>
      </c>
      <c r="T8" s="1">
        <f>(Main_L[[#This Row],[P/E]]-VLOOKUP(Main_L[[#This Row],[Industry]], Mean_PE_L, 2, FALSE))/(VLOOKUP(Main_L[[#This Row],[Industry]], Mean_PE_L, 3, FALSE))</f>
        <v>-0.60981519201550272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106</v>
      </c>
      <c r="B9" t="s">
        <v>168</v>
      </c>
      <c r="C9" s="2">
        <v>180360</v>
      </c>
      <c r="D9">
        <f>RTD("tos.rtd", , "LAST", Main_L[[#This Row],[Symbol]])</f>
        <v>102.03</v>
      </c>
      <c r="E9">
        <v>0.22</v>
      </c>
      <c r="F9">
        <v>4.1399999999999997</v>
      </c>
      <c r="G9">
        <v>0.37</v>
      </c>
      <c r="H9" s="1">
        <f>IF(ISNUMBER(Main_L[[#This Row],[Free CF]]),IF(Main_L[[#This Row],[Free CF]]&lt;&gt;0,Main_L[[#This Row],[Current Price]]/Main_L[[#This Row],[Free CF]],""),"")</f>
        <v>463.77272727272725</v>
      </c>
      <c r="I9" s="1">
        <f>IF(ISNUMBER(Main_L[[#This Row],[BVPS]]),IF(Main_L[[#This Row],[BVPS]]&lt;&gt;0,Main_L[[#This Row],[Current Price]]/Main_L[[#This Row],[BVPS]],""),"")</f>
        <v>24.644927536231886</v>
      </c>
      <c r="J9">
        <v>11.04</v>
      </c>
      <c r="K9">
        <v>4.8899999999999997</v>
      </c>
      <c r="L9">
        <v>2.83</v>
      </c>
      <c r="M9" s="1">
        <f>IF(ISNUMBER(Main_L[[#This Row],[EPS]]),IF(Main_L[[#This Row],[EPS]]&lt;&gt;0,Main_L[[#This Row],[Current Price]]/Main_L[[#This Row],[EPS]],""),"")</f>
        <v>275.75675675675677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42.738598551237793</v>
      </c>
      <c r="P9" s="1">
        <f>(Main_L[[#This Row],[P/B]]-VLOOKUP(Main_L[[#This Row],[Industry]], Mean_PB_L, 2, FALSE))/(VLOOKUP(Main_L[[#This Row],[Industry]], Mean_PB_L, 3, FALSE))</f>
        <v>5.7239204555837846</v>
      </c>
      <c r="Q9" s="1">
        <f>(Main_L[[#This Row],[ROE]]-VLOOKUP(Main_L[[#This Row],[Industry]], Mean_ROE_L, 2, FALSE))/(VLOOKUP(Main_L[[#This Row],[Industry]], Mean_ROE_L, 3, FALSE))</f>
        <v>-0.52190608918685988</v>
      </c>
      <c r="R9" s="1">
        <f>(Main_L[[#This Row],[ROA]]-VLOOKUP(Main_L[[#This Row],[Industry]], Mean_ROA_L, 2, FALSE))/(VLOOKUP(Main_L[[#This Row],[Industry]], Mean_ROA_L, 3, FALSE))</f>
        <v>-0.8653717957715551</v>
      </c>
      <c r="S9" s="1">
        <f>(Main_L[[#This Row],[A/E]]-VLOOKUP(Main_L[[#This Row],[Industry]], Mean_AE_L, 2, FALSE))/(VLOOKUP(Main_L[[#This Row],[Industry]], Mean_AE_L, 3, FALSE))</f>
        <v>-0.16930558997346143</v>
      </c>
      <c r="T9" s="1">
        <f>(Main_L[[#This Row],[P/E]]-VLOOKUP(Main_L[[#This Row],[Industry]], Mean_PE_L, 2, FALSE))/(VLOOKUP(Main_L[[#This Row],[Industry]], Mean_PE_L, 3, FALSE))</f>
        <v>30.737866902664582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0" spans="1:26" x14ac:dyDescent="0.25">
      <c r="A10" t="s">
        <v>106</v>
      </c>
      <c r="B10" t="s">
        <v>169</v>
      </c>
      <c r="C10" s="2">
        <v>46233</v>
      </c>
      <c r="D10">
        <f>RTD("tos.rtd", , "LAST", Main_L[[#This Row],[Symbol]])</f>
        <v>33.08</v>
      </c>
      <c r="E10">
        <v>1.31</v>
      </c>
      <c r="F10">
        <v>18</v>
      </c>
      <c r="G10">
        <v>1.1000000000000001</v>
      </c>
      <c r="H10" s="1">
        <f>IF(ISNUMBER(Main_L[[#This Row],[Free CF]]),IF(Main_L[[#This Row],[Free CF]]&lt;&gt;0,Main_L[[#This Row],[Current Price]]/Main_L[[#This Row],[Free CF]],""),"")</f>
        <v>25.251908396946561</v>
      </c>
      <c r="I10" s="1">
        <f>IF(ISNUMBER(Main_L[[#This Row],[BVPS]]),IF(Main_L[[#This Row],[BVPS]]&lt;&gt;0,Main_L[[#This Row],[Current Price]]/Main_L[[#This Row],[BVPS]],""),"")</f>
        <v>1.8377777777777777</v>
      </c>
      <c r="J10">
        <v>6.13</v>
      </c>
      <c r="K10">
        <v>4.0599999999999996</v>
      </c>
      <c r="L10">
        <v>2.2000000000000002</v>
      </c>
      <c r="M10" s="1">
        <f>IF(ISNUMBER(Main_L[[#This Row],[EPS]]),IF(Main_L[[#This Row],[EPS]]&lt;&gt;0,Main_L[[#This Row],[Current Price]]/Main_L[[#This Row],[EPS]],""),"")</f>
        <v>30.072727272727267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0.25734265514047994</v>
      </c>
      <c r="P10" s="1">
        <f>(Main_L[[#This Row],[P/B]]-VLOOKUP(Main_L[[#This Row],[Industry]], Mean_PB_L, 2, FALSE))/(VLOOKUP(Main_L[[#This Row],[Industry]], Mean_PB_L, 3, FALSE))</f>
        <v>-0.92237861547284961</v>
      </c>
      <c r="Q10" s="1">
        <f>(Main_L[[#This Row],[ROE]]-VLOOKUP(Main_L[[#This Row],[Industry]], Mean_ROE_L, 2, FALSE))/(VLOOKUP(Main_L[[#This Row],[Industry]], Mean_ROE_L, 3, FALSE))</f>
        <v>-0.85301660668298129</v>
      </c>
      <c r="R10" s="1">
        <f>(Main_L[[#This Row],[ROA]]-VLOOKUP(Main_L[[#This Row],[Industry]], Mean_ROA_L, 2, FALSE))/(VLOOKUP(Main_L[[#This Row],[Industry]], Mean_ROA_L, 3, FALSE))</f>
        <v>-1.135975139874501</v>
      </c>
      <c r="S10" s="1">
        <f>(Main_L[[#This Row],[A/E]]-VLOOKUP(Main_L[[#This Row],[Industry]], Mean_AE_L, 2, FALSE))/(VLOOKUP(Main_L[[#This Row],[Industry]], Mean_AE_L, 3, FALSE))</f>
        <v>-0.72649786742343558</v>
      </c>
      <c r="T10" s="1">
        <f>(Main_L[[#This Row],[P/E]]-VLOOKUP(Main_L[[#This Row],[Industry]], Mean_PE_L, 2, FALSE))/(VLOOKUP(Main_L[[#This Row],[Industry]], Mean_PE_L, 3, FALSE))</f>
        <v>0.86756533945378689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106</v>
      </c>
      <c r="B11" t="s">
        <v>170</v>
      </c>
      <c r="C11" s="2">
        <v>311629</v>
      </c>
      <c r="D11">
        <f>RTD("tos.rtd", , "LAST", Main_L[[#This Row],[Symbol]])</f>
        <v>68.959999999999994</v>
      </c>
      <c r="E11">
        <v>-0.22</v>
      </c>
      <c r="F11">
        <v>6.09</v>
      </c>
      <c r="G11">
        <v>2.4900000000000002</v>
      </c>
      <c r="H11" s="1">
        <f>IF(ISNUMBER(Main_L[[#This Row],[Free CF]]),IF(Main_L[[#This Row],[Free CF]]&lt;&gt;0,Main_L[[#This Row],[Current Price]]/Main_L[[#This Row],[Free CF]],""),"")</f>
        <v>-313.45454545454544</v>
      </c>
      <c r="I11" s="1">
        <f>IF(ISNUMBER(Main_L[[#This Row],[BVPS]]),IF(Main_L[[#This Row],[BVPS]]&lt;&gt;0,Main_L[[#This Row],[Current Price]]/Main_L[[#This Row],[BVPS]],""),"")</f>
        <v>11.323481116584563</v>
      </c>
      <c r="J11">
        <v>38.78</v>
      </c>
      <c r="K11">
        <v>8.8699999999999992</v>
      </c>
      <c r="L11">
        <v>3.88</v>
      </c>
      <c r="M11" s="1">
        <f>IF(ISNUMBER(Main_L[[#This Row],[EPS]]),IF(Main_L[[#This Row],[EPS]]&lt;&gt;0,Main_L[[#This Row],[Current Price]]/Main_L[[#This Row],[EPS]],""),"")</f>
        <v>27.69477911646586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-32.554498699649955</v>
      </c>
      <c r="P11" s="1">
        <f>(Main_L[[#This Row],[P/B]]-VLOOKUP(Main_L[[#This Row],[Industry]], Mean_PB_L, 2, FALSE))/(VLOOKUP(Main_L[[#This Row],[Industry]], Mean_PB_L, 3, FALSE))</f>
        <v>1.8418782932915183</v>
      </c>
      <c r="Q11" s="1">
        <f>(Main_L[[#This Row],[ROE]]-VLOOKUP(Main_L[[#This Row],[Industry]], Mean_ROE_L, 2, FALSE))/(VLOOKUP(Main_L[[#This Row],[Industry]], Mean_ROE_L, 3, FALSE))</f>
        <v>1.3487671807403108</v>
      </c>
      <c r="R11" s="1">
        <f>(Main_L[[#This Row],[ROA]]-VLOOKUP(Main_L[[#This Row],[Industry]], Mean_ROA_L, 2, FALSE))/(VLOOKUP(Main_L[[#This Row],[Industry]], Mean_ROA_L, 3, FALSE))</f>
        <v>0.432220143420884</v>
      </c>
      <c r="S11" s="1">
        <f>(Main_L[[#This Row],[A/E]]-VLOOKUP(Main_L[[#This Row],[Industry]], Mean_AE_L, 2, FALSE))/(VLOOKUP(Main_L[[#This Row],[Industry]], Mean_AE_L, 3, FALSE))</f>
        <v>0.75934820577649542</v>
      </c>
      <c r="T11" s="1">
        <f>(Main_L[[#This Row],[P/E]]-VLOOKUP(Main_L[[#This Row],[Industry]], Mean_PE_L, 2, FALSE))/(VLOOKUP(Main_L[[#This Row],[Industry]], Mean_PE_L, 3, FALSE))</f>
        <v>0.57845404199427264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106</v>
      </c>
      <c r="B12" t="s">
        <v>171</v>
      </c>
      <c r="C12" s="2">
        <v>19798</v>
      </c>
      <c r="D12">
        <f>RTD("tos.rtd", , "LAST", Main_L[[#This Row],[Symbol]])</f>
        <v>91.8</v>
      </c>
      <c r="E12">
        <v>2.1</v>
      </c>
      <c r="F12">
        <v>35.28</v>
      </c>
      <c r="G12">
        <v>5.55</v>
      </c>
      <c r="H12" s="1">
        <f>IF(ISNUMBER(Main_L[[#This Row],[Free CF]]),IF(Main_L[[#This Row],[Free CF]]&lt;&gt;0,Main_L[[#This Row],[Current Price]]/Main_L[[#This Row],[Free CF]],""),"")</f>
        <v>43.714285714285708</v>
      </c>
      <c r="I12" s="1">
        <f>IF(ISNUMBER(Main_L[[#This Row],[BVPS]]),IF(Main_L[[#This Row],[BVPS]]&lt;&gt;0,Main_L[[#This Row],[Current Price]]/Main_L[[#This Row],[BVPS]],""),"")</f>
        <v>2.6020408163265305</v>
      </c>
      <c r="J12">
        <v>17.36</v>
      </c>
      <c r="K12">
        <v>8.0399999999999991</v>
      </c>
      <c r="L12">
        <v>2.06</v>
      </c>
      <c r="M12" s="1">
        <f>IF(ISNUMBER(Main_L[[#This Row],[EPS]]),IF(Main_L[[#This Row],[EPS]]&lt;&gt;0,Main_L[[#This Row],[Current Price]]/Main_L[[#This Row],[EPS]],""),"")</f>
        <v>16.54054054054054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2.0458665780841616</v>
      </c>
      <c r="P12" s="1">
        <f>(Main_L[[#This Row],[P/B]]-VLOOKUP(Main_L[[#This Row],[Industry]], Mean_PB_L, 2, FALSE))/(VLOOKUP(Main_L[[#This Row],[Industry]], Mean_PB_L, 3, FALSE))</f>
        <v>-0.69966245948906081</v>
      </c>
      <c r="Q12" s="1">
        <f>(Main_L[[#This Row],[ROE]]-VLOOKUP(Main_L[[#This Row],[Industry]], Mean_ROE_L, 2, FALSE))/(VLOOKUP(Main_L[[#This Row],[Industry]], Mean_ROE_L, 3, FALSE))</f>
        <v>-9.5710881330345193E-2</v>
      </c>
      <c r="R12" s="1">
        <f>(Main_L[[#This Row],[ROA]]-VLOOKUP(Main_L[[#This Row],[Industry]], Mean_ROA_L, 2, FALSE))/(VLOOKUP(Main_L[[#This Row],[Industry]], Mean_ROA_L, 3, FALSE))</f>
        <v>0.16161679931793807</v>
      </c>
      <c r="S12" s="1">
        <f>(Main_L[[#This Row],[A/E]]-VLOOKUP(Main_L[[#This Row],[Industry]], Mean_AE_L, 2, FALSE))/(VLOOKUP(Main_L[[#This Row],[Industry]], Mean_AE_L, 3, FALSE))</f>
        <v>-0.85031837352342998</v>
      </c>
      <c r="T12" s="1">
        <f>(Main_L[[#This Row],[P/E]]-VLOOKUP(Main_L[[#This Row],[Industry]], Mean_PE_L, 2, FALSE))/(VLOOKUP(Main_L[[#This Row],[Industry]], Mean_PE_L, 3, FALSE))</f>
        <v>-0.77767997563240565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106</v>
      </c>
      <c r="B13" t="s">
        <v>172</v>
      </c>
      <c r="C13" s="2">
        <v>58935</v>
      </c>
      <c r="D13">
        <f>RTD("tos.rtd", , "LAST", Main_L[[#This Row],[Symbol]])</f>
        <v>60.23</v>
      </c>
      <c r="E13">
        <v>1.61</v>
      </c>
      <c r="F13">
        <v>6.12</v>
      </c>
      <c r="G13">
        <v>1.49</v>
      </c>
      <c r="H13" s="1">
        <f>IF(ISNUMBER(Main_L[[#This Row],[Free CF]]),IF(Main_L[[#This Row],[Free CF]]&lt;&gt;0,Main_L[[#This Row],[Current Price]]/Main_L[[#This Row],[Free CF]],""),"")</f>
        <v>37.409937888198755</v>
      </c>
      <c r="I13" s="1">
        <f>IF(ISNUMBER(Main_L[[#This Row],[BVPS]]),IF(Main_L[[#This Row],[BVPS]]&lt;&gt;0,Main_L[[#This Row],[Current Price]]/Main_L[[#This Row],[BVPS]],""),"")</f>
        <v>9.8415032679738559</v>
      </c>
      <c r="J13">
        <v>21.27</v>
      </c>
      <c r="K13">
        <v>14.78</v>
      </c>
      <c r="L13">
        <v>1.3</v>
      </c>
      <c r="M13" s="1">
        <f>IF(ISNUMBER(Main_L[[#This Row],[EPS]]),IF(Main_L[[#This Row],[EPS]]&lt;&gt;0,Main_L[[#This Row],[Current Price]]/Main_L[[#This Row],[EPS]],""),"")</f>
        <v>40.422818791946305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1.4351393292739545</v>
      </c>
      <c r="P13" s="1">
        <f>(Main_L[[#This Row],[P/B]]-VLOOKUP(Main_L[[#This Row],[Industry]], Mean_PB_L, 2, FALSE))/(VLOOKUP(Main_L[[#This Row],[Industry]], Mean_PB_L, 3, FALSE))</f>
        <v>1.4100107384736789</v>
      </c>
      <c r="Q13" s="1">
        <f>(Main_L[[#This Row],[ROE]]-VLOOKUP(Main_L[[#This Row],[Industry]], Mean_ROE_L, 2, FALSE))/(VLOOKUP(Main_L[[#This Row],[Industry]], Mean_ROE_L, 3, FALSE))</f>
        <v>0.16796368555556818</v>
      </c>
      <c r="R13" s="1">
        <f>(Main_L[[#This Row],[ROA]]-VLOOKUP(Main_L[[#This Row],[Industry]], Mean_ROA_L, 2, FALSE))/(VLOOKUP(Main_L[[#This Row],[Industry]], Mean_ROA_L, 3, FALSE))</f>
        <v>2.359046364684029</v>
      </c>
      <c r="S13" s="1">
        <f>(Main_L[[#This Row],[A/E]]-VLOOKUP(Main_L[[#This Row],[Industry]], Mean_AE_L, 2, FALSE))/(VLOOKUP(Main_L[[#This Row],[Industry]], Mean_AE_L, 3, FALSE))</f>
        <v>-1.5224868352091132</v>
      </c>
      <c r="T13" s="1">
        <f>(Main_L[[#This Row],[P/E]]-VLOOKUP(Main_L[[#This Row],[Industry]], Mean_PE_L, 2, FALSE))/(VLOOKUP(Main_L[[#This Row],[Industry]], Mean_PE_L, 3, FALSE))</f>
        <v>2.1259310359753836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t="s">
        <v>106</v>
      </c>
      <c r="B14" t="s">
        <v>173</v>
      </c>
      <c r="C14" s="2">
        <v>180866</v>
      </c>
      <c r="D14">
        <f>RTD("tos.rtd", , "LAST", Main_L[[#This Row],[Symbol]])</f>
        <v>130.31</v>
      </c>
      <c r="E14">
        <v>5.3</v>
      </c>
      <c r="F14">
        <v>13.39</v>
      </c>
      <c r="G14">
        <v>6.8</v>
      </c>
      <c r="H14" s="1">
        <f>IF(ISNUMBER(Main_L[[#This Row],[Free CF]]),IF(Main_L[[#This Row],[Free CF]]&lt;&gt;0,Main_L[[#This Row],[Current Price]]/Main_L[[#This Row],[Free CF]],""),"")</f>
        <v>24.586792452830188</v>
      </c>
      <c r="I14" s="1">
        <f>IF(ISNUMBER(Main_L[[#This Row],[BVPS]]),IF(Main_L[[#This Row],[BVPS]]&lt;&gt;0,Main_L[[#This Row],[Current Price]]/Main_L[[#This Row],[BVPS]],""),"")</f>
        <v>9.731889469753547</v>
      </c>
      <c r="J14">
        <v>49.93</v>
      </c>
      <c r="K14">
        <v>8.86</v>
      </c>
      <c r="L14">
        <v>5.53</v>
      </c>
      <c r="M14" s="1">
        <f>IF(ISNUMBER(Main_L[[#This Row],[EPS]]),IF(Main_L[[#This Row],[EPS]]&lt;&gt;0,Main_L[[#This Row],[Current Price]]/Main_L[[#This Row],[EPS]],""),"")</f>
        <v>19.163235294117648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0.19291022820344608</v>
      </c>
      <c r="P14" s="1">
        <f>(Main_L[[#This Row],[P/B]]-VLOOKUP(Main_L[[#This Row],[Industry]], Mean_PB_L, 2, FALSE))/(VLOOKUP(Main_L[[#This Row],[Industry]], Mean_PB_L, 3, FALSE))</f>
        <v>1.3780678568333906</v>
      </c>
      <c r="Q14" s="1">
        <f>(Main_L[[#This Row],[ROE]]-VLOOKUP(Main_L[[#This Row],[Industry]], Mean_ROE_L, 2, FALSE))/(VLOOKUP(Main_L[[#This Row],[Industry]], Mean_ROE_L, 3, FALSE))</f>
        <v>2.1006780300441301</v>
      </c>
      <c r="R14" s="1">
        <f>(Main_L[[#This Row],[ROA]]-VLOOKUP(Main_L[[#This Row],[Industry]], Mean_ROA_L, 2, FALSE))/(VLOOKUP(Main_L[[#This Row],[Industry]], Mean_ROA_L, 3, FALSE))</f>
        <v>0.42895986216663168</v>
      </c>
      <c r="S14" s="1">
        <f>(Main_L[[#This Row],[A/E]]-VLOOKUP(Main_L[[#This Row],[Industry]], Mean_AE_L, 2, FALSE))/(VLOOKUP(Main_L[[#This Row],[Industry]], Mean_AE_L, 3, FALSE))</f>
        <v>2.2186613133835711</v>
      </c>
      <c r="T14" s="1">
        <f>(Main_L[[#This Row],[P/E]]-VLOOKUP(Main_L[[#This Row],[Industry]], Mean_PE_L, 2, FALSE))/(VLOOKUP(Main_L[[#This Row],[Industry]], Mean_PE_L, 3, FALSE))</f>
        <v>-0.45881234975486973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106</v>
      </c>
      <c r="B15" t="s">
        <v>174</v>
      </c>
      <c r="C15" s="2">
        <v>12359</v>
      </c>
      <c r="D15">
        <f>RTD("tos.rtd", , "LAST", Main_L[[#This Row],[Symbol]])</f>
        <v>32.200000000000003</v>
      </c>
      <c r="E15">
        <v>1.1399999999999999</v>
      </c>
      <c r="F15">
        <v>9.07</v>
      </c>
      <c r="G15">
        <v>-0.05</v>
      </c>
      <c r="H15" s="1">
        <f>IF(ISNUMBER(Main_L[[#This Row],[Free CF]]),IF(Main_L[[#This Row],[Free CF]]&lt;&gt;0,Main_L[[#This Row],[Current Price]]/Main_L[[#This Row],[Free CF]],""),"")</f>
        <v>28.245614035087723</v>
      </c>
      <c r="I15" s="1">
        <f>IF(ISNUMBER(Main_L[[#This Row],[BVPS]]),IF(Main_L[[#This Row],[BVPS]]&lt;&gt;0,Main_L[[#This Row],[Current Price]]/Main_L[[#This Row],[BVPS]],""),"")</f>
        <v>3.5501653803748625</v>
      </c>
      <c r="J15">
        <v>-0.73</v>
      </c>
      <c r="K15">
        <v>4.32</v>
      </c>
      <c r="L15">
        <v>3.25</v>
      </c>
      <c r="M15" s="1">
        <f>IF(ISNUMBER(Main_L[[#This Row],[EPS]]),IF(Main_L[[#This Row],[EPS]]&lt;&gt;0,Main_L[[#This Row],[Current Price]]/Main_L[[#This Row],[EPS]],""),"")</f>
        <v>-644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0.54735482746447872</v>
      </c>
      <c r="P15" s="1">
        <f>(Main_L[[#This Row],[P/B]]-VLOOKUP(Main_L[[#This Row],[Industry]], Mean_PB_L, 2, FALSE))/(VLOOKUP(Main_L[[#This Row],[Industry]], Mean_PB_L, 3, FALSE))</f>
        <v>-0.42336667171993941</v>
      </c>
      <c r="Q15" s="1">
        <f>(Main_L[[#This Row],[ROE]]-VLOOKUP(Main_L[[#This Row],[Industry]], Mean_ROE_L, 2, FALSE))/(VLOOKUP(Main_L[[#This Row],[Industry]], Mean_ROE_L, 3, FALSE))</f>
        <v>-1.3156272278690082</v>
      </c>
      <c r="R15" s="1">
        <f>(Main_L[[#This Row],[ROA]]-VLOOKUP(Main_L[[#This Row],[Industry]], Mean_ROA_L, 2, FALSE))/(VLOOKUP(Main_L[[#This Row],[Industry]], Mean_ROA_L, 3, FALSE))</f>
        <v>-1.0512078272639396</v>
      </c>
      <c r="S15" s="1">
        <f>(Main_L[[#This Row],[A/E]]-VLOOKUP(Main_L[[#This Row],[Industry]], Mean_AE_L, 2, FALSE))/(VLOOKUP(Main_L[[#This Row],[Industry]], Mean_AE_L, 3, FALSE))</f>
        <v>0.20215592832652132</v>
      </c>
      <c r="T15" s="1">
        <f>(Main_L[[#This Row],[P/E]]-VLOOKUP(Main_L[[#This Row],[Industry]], Mean_PE_L, 2, FALSE))/(VLOOKUP(Main_L[[#This Row],[Industry]], Mean_PE_L, 3, FALSE))</f>
        <v>-81.086299067028321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6" spans="1:26" x14ac:dyDescent="0.25">
      <c r="A16" t="s">
        <v>105</v>
      </c>
      <c r="B16" t="s">
        <v>146</v>
      </c>
      <c r="C16" s="2">
        <v>12953</v>
      </c>
      <c r="D16">
        <f>RTD("tos.rtd", , "LAST", Main_L[[#This Row],[Symbol]])</f>
        <v>87.44</v>
      </c>
      <c r="E16">
        <v>3.47</v>
      </c>
      <c r="F16">
        <v>27.54</v>
      </c>
      <c r="G16">
        <v>2.48</v>
      </c>
      <c r="H16" s="1">
        <f>IF(ISNUMBER(Main_L[[#This Row],[Free CF]]),IF(Main_L[[#This Row],[Free CF]]&lt;&gt;0,Main_L[[#This Row],[Current Price]]/Main_L[[#This Row],[Free CF]],""),"")</f>
        <v>25.198847262247835</v>
      </c>
      <c r="I16" s="1">
        <f>IF(ISNUMBER(Main_L[[#This Row],[BVPS]]),IF(Main_L[[#This Row],[BVPS]]&lt;&gt;0,Main_L[[#This Row],[Current Price]]/Main_L[[#This Row],[BVPS]],""),"")</f>
        <v>3.1750181554103123</v>
      </c>
      <c r="J16">
        <v>9.5399999999999991</v>
      </c>
      <c r="K16">
        <v>3.38</v>
      </c>
      <c r="L16">
        <v>4.0199999999999996</v>
      </c>
      <c r="M16" s="1">
        <f>IF(ISNUMBER(Main_L[[#This Row],[EPS]]),IF(Main_L[[#This Row],[EPS]]&lt;&gt;0,Main_L[[#This Row],[Current Price]]/Main_L[[#This Row],[EPS]],""),"")</f>
        <v>35.258064516129032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0.36427357317666326</v>
      </c>
      <c r="P16" s="1">
        <f>(Main_L[[#This Row],[P/B]]-VLOOKUP(Main_L[[#This Row],[Industry]], Mean_PB_L, 2, FALSE))/(VLOOKUP(Main_L[[#This Row],[Industry]], Mean_PB_L, 3, FALSE))</f>
        <v>-0.81963246210694962</v>
      </c>
      <c r="Q16" s="1">
        <f>(Main_L[[#This Row],[ROE]]-VLOOKUP(Main_L[[#This Row],[Industry]], Mean_ROE_L, 2, FALSE))/(VLOOKUP(Main_L[[#This Row],[Industry]], Mean_ROE_L, 3, FALSE))</f>
        <v>-1.5176360130156468</v>
      </c>
      <c r="R16" s="1">
        <f>(Main_L[[#This Row],[ROA]]-VLOOKUP(Main_L[[#This Row],[Industry]], Mean_ROA_L, 2, FALSE))/(VLOOKUP(Main_L[[#This Row],[Industry]], Mean_ROA_L, 3, FALSE))</f>
        <v>-1.671110655911237</v>
      </c>
      <c r="S16" s="1">
        <f>(Main_L[[#This Row],[A/E]]-VLOOKUP(Main_L[[#This Row],[Industry]], Mean_AE_L, 2, FALSE))/(VLOOKUP(Main_L[[#This Row],[Industry]], Mean_AE_L, 3, FALSE))</f>
        <v>0.4089308875204693</v>
      </c>
      <c r="T16" s="1">
        <f>(Main_L[[#This Row],[P/E]]-VLOOKUP(Main_L[[#This Row],[Industry]], Mean_PE_L, 2, FALSE))/(VLOOKUP(Main_L[[#This Row],[Industry]], Mean_PE_L, 3, FALSE))</f>
        <v>0.61101951530650478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105</v>
      </c>
      <c r="B17" t="s">
        <v>147</v>
      </c>
      <c r="C17" s="2">
        <v>34180</v>
      </c>
      <c r="D17">
        <f>RTD("tos.rtd", , "LAST", Main_L[[#This Row],[Symbol]])</f>
        <v>70.8</v>
      </c>
      <c r="E17">
        <v>4.2699999999999996</v>
      </c>
      <c r="F17">
        <v>3.96</v>
      </c>
      <c r="G17">
        <v>3.88</v>
      </c>
      <c r="H17" s="1">
        <f>IF(ISNUMBER(Main_L[[#This Row],[Free CF]]),IF(Main_L[[#This Row],[Free CF]]&lt;&gt;0,Main_L[[#This Row],[Current Price]]/Main_L[[#This Row],[Free CF]],""),"")</f>
        <v>16.580796252927403</v>
      </c>
      <c r="I17" s="1">
        <f>IF(ISNUMBER(Main_L[[#This Row],[BVPS]]),IF(Main_L[[#This Row],[BVPS]]&lt;&gt;0,Main_L[[#This Row],[Current Price]]/Main_L[[#This Row],[BVPS]],""),"")</f>
        <v>17.878787878787879</v>
      </c>
      <c r="J17">
        <v>93.61</v>
      </c>
      <c r="K17">
        <v>8.61</v>
      </c>
      <c r="L17">
        <v>13.71</v>
      </c>
      <c r="M17" s="1">
        <f>IF(ISNUMBER(Main_L[[#This Row],[EPS]]),IF(Main_L[[#This Row],[EPS]]&lt;&gt;0,Main_L[[#This Row],[Current Price]]/Main_L[[#This Row],[EPS]],""),"")</f>
        <v>18.24742268041237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-0.50903827744361407</v>
      </c>
      <c r="P17" s="1">
        <f>(Main_L[[#This Row],[P/B]]-VLOOKUP(Main_L[[#This Row],[Industry]], Mean_PB_L, 2, FALSE))/(VLOOKUP(Main_L[[#This Row],[Industry]], Mean_PB_L, 3, FALSE))</f>
        <v>4.8496841767415777</v>
      </c>
      <c r="Q17" s="1">
        <f>(Main_L[[#This Row],[ROE]]-VLOOKUP(Main_L[[#This Row],[Industry]], Mean_ROE_L, 2, FALSE))/(VLOOKUP(Main_L[[#This Row],[Industry]], Mean_ROE_L, 3, FALSE))</f>
        <v>8.3510227416758216</v>
      </c>
      <c r="R17" s="1">
        <f>(Main_L[[#This Row],[ROA]]-VLOOKUP(Main_L[[#This Row],[Industry]], Mean_ROA_L, 2, FALSE))/(VLOOKUP(Main_L[[#This Row],[Industry]], Mean_ROA_L, 3, FALSE))</f>
        <v>1.237667488225362</v>
      </c>
      <c r="S17" s="1">
        <f>(Main_L[[#This Row],[A/E]]-VLOOKUP(Main_L[[#This Row],[Industry]], Mean_AE_L, 2, FALSE))/(VLOOKUP(Main_L[[#This Row],[Industry]], Mean_AE_L, 3, FALSE))</f>
        <v>8.6774740497923055</v>
      </c>
      <c r="T17" s="1">
        <f>(Main_L[[#This Row],[P/E]]-VLOOKUP(Main_L[[#This Row],[Industry]], Mean_PE_L, 2, FALSE))/(VLOOKUP(Main_L[[#This Row],[Industry]], Mean_PE_L, 3, FALSE))</f>
        <v>-0.80217433288853335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105</v>
      </c>
      <c r="B18" t="s">
        <v>148</v>
      </c>
      <c r="C18" s="2">
        <v>15933</v>
      </c>
      <c r="D18">
        <f>RTD("tos.rtd", , "LAST", Main_L[[#This Row],[Symbol]])</f>
        <v>73.84</v>
      </c>
      <c r="E18">
        <v>3.46</v>
      </c>
      <c r="F18">
        <v>19.64</v>
      </c>
      <c r="G18">
        <v>2.02</v>
      </c>
      <c r="H18" s="1">
        <f>IF(ISNUMBER(Main_L[[#This Row],[Free CF]]),IF(Main_L[[#This Row],[Free CF]]&lt;&gt;0,Main_L[[#This Row],[Current Price]]/Main_L[[#This Row],[Free CF]],""),"")</f>
        <v>21.341040462427745</v>
      </c>
      <c r="I18" s="1">
        <f>IF(ISNUMBER(Main_L[[#This Row],[BVPS]]),IF(Main_L[[#This Row],[BVPS]]&lt;&gt;0,Main_L[[#This Row],[Current Price]]/Main_L[[#This Row],[BVPS]],""),"")</f>
        <v>3.7596741344195519</v>
      </c>
      <c r="J18">
        <v>10.65</v>
      </c>
      <c r="K18">
        <v>5.28</v>
      </c>
      <c r="L18">
        <v>2.97</v>
      </c>
      <c r="M18" s="1">
        <f>IF(ISNUMBER(Main_L[[#This Row],[EPS]]),IF(Main_L[[#This Row],[EPS]]&lt;&gt;0,Main_L[[#This Row],[Current Price]]/Main_L[[#This Row],[EPS]],""),"")</f>
        <v>36.554455445544555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8" s="1">
        <f>(Main_L[[#This Row],[P/FCF]]-VLOOKUP(Main_L[[#This Row],[Industry]], Mean_PFCF_L, 2, FALSE))/(VLOOKUP(Main_L[[#This Row],[Industry]], Mean_PFCF_L, 3, FALSE))</f>
        <v>-2.665801820550897E-2</v>
      </c>
      <c r="P18" s="1">
        <f>(Main_L[[#This Row],[P/B]]-VLOOKUP(Main_L[[#This Row],[Industry]], Mean_PB_L, 2, FALSE))/(VLOOKUP(Main_L[[#This Row],[Industry]], Mean_PB_L, 3, FALSE))</f>
        <v>-0.59420728664806954</v>
      </c>
      <c r="Q18" s="1">
        <f>(Main_L[[#This Row],[ROE]]-VLOOKUP(Main_L[[#This Row],[Industry]], Mean_ROE_L, 2, FALSE))/(VLOOKUP(Main_L[[#This Row],[Industry]], Mean_ROE_L, 3, FALSE))</f>
        <v>-1.3873373188594966</v>
      </c>
      <c r="R18" s="1">
        <f>(Main_L[[#This Row],[ROA]]-VLOOKUP(Main_L[[#This Row],[Industry]], Mean_ROA_L, 2, FALSE))/(VLOOKUP(Main_L[[#This Row],[Industry]], Mean_ROA_L, 3, FALSE))</f>
        <v>-0.61438437027843784</v>
      </c>
      <c r="S18" s="1">
        <f>(Main_L[[#This Row],[A/E]]-VLOOKUP(Main_L[[#This Row],[Industry]], Mean_AE_L, 2, FALSE))/(VLOOKUP(Main_L[[#This Row],[Industry]], Mean_AE_L, 3, FALSE))</f>
        <v>-0.48704128176595185</v>
      </c>
      <c r="T18" s="1">
        <f>(Main_L[[#This Row],[P/E]]-VLOOKUP(Main_L[[#This Row],[Industry]], Mean_PE_L, 2, FALSE))/(VLOOKUP(Main_L[[#This Row],[Industry]], Mean_PE_L, 3, FALSE))</f>
        <v>0.71871984219594454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105</v>
      </c>
      <c r="B19" t="s">
        <v>149</v>
      </c>
      <c r="C19" s="2">
        <v>12897</v>
      </c>
      <c r="D19">
        <f>RTD("tos.rtd", , "LAST", Main_L[[#This Row],[Symbol]])</f>
        <v>21.72</v>
      </c>
      <c r="E19">
        <v>1.29</v>
      </c>
      <c r="F19">
        <v>5.88</v>
      </c>
      <c r="G19">
        <v>1.64</v>
      </c>
      <c r="H19" s="1">
        <f>IF(ISNUMBER(Main_L[[#This Row],[Free CF]]),IF(Main_L[[#This Row],[Free CF]]&lt;&gt;0,Main_L[[#This Row],[Current Price]]/Main_L[[#This Row],[Free CF]],""),"")</f>
        <v>16.837209302325579</v>
      </c>
      <c r="I19" s="1">
        <f>IF(ISNUMBER(Main_L[[#This Row],[BVPS]]),IF(Main_L[[#This Row],[BVPS]]&lt;&gt;0,Main_L[[#This Row],[Current Price]]/Main_L[[#This Row],[BVPS]],""),"")</f>
        <v>3.693877551020408</v>
      </c>
      <c r="J19">
        <v>31.26</v>
      </c>
      <c r="K19">
        <v>4.74</v>
      </c>
      <c r="L19">
        <v>7.9</v>
      </c>
      <c r="M19" s="1">
        <f>IF(ISNUMBER(Main_L[[#This Row],[EPS]]),IF(Main_L[[#This Row],[EPS]]&lt;&gt;0,Main_L[[#This Row],[Current Price]]/Main_L[[#This Row],[EPS]],""),"")</f>
        <v>13.24390243902439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-0.48305461194303501</v>
      </c>
      <c r="P19" s="1">
        <f>(Main_L[[#This Row],[P/B]]-VLOOKUP(Main_L[[#This Row],[Industry]], Mean_PB_L, 2, FALSE))/(VLOOKUP(Main_L[[#This Row],[Industry]], Mean_PB_L, 3, FALSE))</f>
        <v>-0.61957640436834249</v>
      </c>
      <c r="Q19" s="1">
        <f>(Main_L[[#This Row],[ROE]]-VLOOKUP(Main_L[[#This Row],[Industry]], Mean_ROE_L, 2, FALSE))/(VLOOKUP(Main_L[[#This Row],[Industry]], Mean_ROE_L, 3, FALSE))</f>
        <v>1.0319924888506398</v>
      </c>
      <c r="R19" s="1">
        <f>(Main_L[[#This Row],[ROA]]-VLOOKUP(Main_L[[#This Row],[Industry]], Mean_ROA_L, 2, FALSE))/(VLOOKUP(Main_L[[#This Row],[Industry]], Mean_ROA_L, 3, FALSE))</f>
        <v>-0.91471710408986495</v>
      </c>
      <c r="S19" s="1">
        <f>(Main_L[[#This Row],[A/E]]-VLOOKUP(Main_L[[#This Row],[Industry]], Mean_AE_L, 2, FALSE))/(VLOOKUP(Main_L[[#This Row],[Industry]], Mean_AE_L, 3, FALSE))</f>
        <v>3.7197613797407709</v>
      </c>
      <c r="T19" s="1">
        <f>(Main_L[[#This Row],[P/E]]-VLOOKUP(Main_L[[#This Row],[Industry]], Mean_PE_L, 2, FALSE))/(VLOOKUP(Main_L[[#This Row],[Industry]], Mean_PE_L, 3, FALSE))</f>
        <v>-1.2178520064729732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105</v>
      </c>
      <c r="B20" t="s">
        <v>150</v>
      </c>
      <c r="C20" s="2">
        <v>12005</v>
      </c>
      <c r="D20">
        <f>RTD("tos.rtd", , "LAST", Main_L[[#This Row],[Symbol]])</f>
        <v>44.31</v>
      </c>
      <c r="E20">
        <v>3.1</v>
      </c>
      <c r="F20">
        <v>12.1</v>
      </c>
      <c r="G20">
        <v>1.52</v>
      </c>
      <c r="H20" s="1">
        <f>IF(ISNUMBER(Main_L[[#This Row],[Free CF]]),IF(Main_L[[#This Row],[Free CF]]&lt;&gt;0,Main_L[[#This Row],[Current Price]]/Main_L[[#This Row],[Free CF]],""),"")</f>
        <v>14.293548387096774</v>
      </c>
      <c r="I20" s="1">
        <f>IF(ISNUMBER(Main_L[[#This Row],[BVPS]]),IF(Main_L[[#This Row],[BVPS]]&lt;&gt;0,Main_L[[#This Row],[Current Price]]/Main_L[[#This Row],[BVPS]],""),"")</f>
        <v>3.6619834710743806</v>
      </c>
      <c r="J20">
        <v>12.96</v>
      </c>
      <c r="K20">
        <v>6.81</v>
      </c>
      <c r="L20">
        <v>1.35</v>
      </c>
      <c r="M20" s="1">
        <f>IF(ISNUMBER(Main_L[[#This Row],[EPS]]),IF(Main_L[[#This Row],[EPS]]&lt;&gt;0,Main_L[[#This Row],[Current Price]]/Main_L[[#This Row],[EPS]],""),"")</f>
        <v>29.151315789473685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0" s="1">
        <f>(Main_L[[#This Row],[P/FCF]]-VLOOKUP(Main_L[[#This Row],[Industry]], Mean_PFCF_L, 2, FALSE))/(VLOOKUP(Main_L[[#This Row],[Industry]], Mean_PFCF_L, 3, FALSE))</f>
        <v>-0.74081697826303938</v>
      </c>
      <c r="P20" s="1">
        <f>(Main_L[[#This Row],[P/B]]-VLOOKUP(Main_L[[#This Row],[Industry]], Mean_PB_L, 2, FALSE))/(VLOOKUP(Main_L[[#This Row],[Industry]], Mean_PB_L, 3, FALSE))</f>
        <v>-0.63187377038539161</v>
      </c>
      <c r="Q20" s="1">
        <f>(Main_L[[#This Row],[ROE]]-VLOOKUP(Main_L[[#This Row],[Industry]], Mean_ROE_L, 2, FALSE))/(VLOOKUP(Main_L[[#This Row],[Industry]], Mean_ROE_L, 3, FALSE))</f>
        <v>-1.1161751715615629</v>
      </c>
      <c r="R20" s="1">
        <f>(Main_L[[#This Row],[ROA]]-VLOOKUP(Main_L[[#This Row],[Industry]], Mean_ROA_L, 2, FALSE))/(VLOOKUP(Main_L[[#This Row],[Industry]], Mean_ROA_L, 3, FALSE))</f>
        <v>0.23655837552060516</v>
      </c>
      <c r="S20" s="1">
        <f>(Main_L[[#This Row],[A/E]]-VLOOKUP(Main_L[[#This Row],[Industry]], Mean_AE_L, 2, FALSE))/(VLOOKUP(Main_L[[#This Row],[Industry]], Mean_AE_L, 3, FALSE))</f>
        <v>-1.8693983429507168</v>
      </c>
      <c r="T20" s="1">
        <f>(Main_L[[#This Row],[P/E]]-VLOOKUP(Main_L[[#This Row],[Industry]], Mean_PE_L, 2, FALSE))/(VLOOKUP(Main_L[[#This Row],[Industry]], Mean_PE_L, 3, FALSE))</f>
        <v>0.10368887979444182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105</v>
      </c>
      <c r="B21" t="s">
        <v>151</v>
      </c>
      <c r="C21" s="2">
        <v>16963</v>
      </c>
      <c r="D21">
        <f>RTD("tos.rtd", , "LAST", Main_L[[#This Row],[Symbol]])</f>
        <v>432.8</v>
      </c>
      <c r="E21">
        <v>14.12</v>
      </c>
      <c r="F21">
        <v>92.07</v>
      </c>
      <c r="G21">
        <v>14.35</v>
      </c>
      <c r="H21" s="1">
        <f>IF(ISNUMBER(Main_L[[#This Row],[Free CF]]),IF(Main_L[[#This Row],[Free CF]]&lt;&gt;0,Main_L[[#This Row],[Current Price]]/Main_L[[#This Row],[Free CF]],""),"")</f>
        <v>30.651558073654392</v>
      </c>
      <c r="I21" s="1">
        <f>IF(ISNUMBER(Main_L[[#This Row],[BVPS]]),IF(Main_L[[#This Row],[BVPS]]&lt;&gt;0,Main_L[[#This Row],[Current Price]]/Main_L[[#This Row],[BVPS]],""),"")</f>
        <v>4.7007711523840561</v>
      </c>
      <c r="J21">
        <v>16.82</v>
      </c>
      <c r="K21">
        <v>6.95</v>
      </c>
      <c r="L21">
        <v>2.41</v>
      </c>
      <c r="M21" s="1">
        <f>IF(ISNUMBER(Main_L[[#This Row],[EPS]]),IF(Main_L[[#This Row],[EPS]]&lt;&gt;0,Main_L[[#This Row],[Current Price]]/Main_L[[#This Row],[EPS]],""),"")</f>
        <v>30.1602787456446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0.91682506822544363</v>
      </c>
      <c r="P21" s="1">
        <f>(Main_L[[#This Row],[P/B]]-VLOOKUP(Main_L[[#This Row],[Industry]], Mean_PB_L, 2, FALSE))/(VLOOKUP(Main_L[[#This Row],[Industry]], Mean_PB_L, 3, FALSE))</f>
        <v>-0.23134952410883691</v>
      </c>
      <c r="Q21" s="1">
        <f>(Main_L[[#This Row],[ROE]]-VLOOKUP(Main_L[[#This Row],[Industry]], Mean_ROE_L, 2, FALSE))/(VLOOKUP(Main_L[[#This Row],[Industry]], Mean_ROE_L, 3, FALSE))</f>
        <v>-0.66306439728882516</v>
      </c>
      <c r="R21" s="1">
        <f>(Main_L[[#This Row],[ROA]]-VLOOKUP(Main_L[[#This Row],[Industry]], Mean_ROA_L, 2, FALSE))/(VLOOKUP(Main_L[[#This Row],[Industry]], Mean_ROA_L, 3, FALSE))</f>
        <v>0.31442241761986434</v>
      </c>
      <c r="S21" s="1">
        <f>(Main_L[[#This Row],[A/E]]-VLOOKUP(Main_L[[#This Row],[Industry]], Mean_AE_L, 2, FALSE))/(VLOOKUP(Main_L[[#This Row],[Industry]], Mean_AE_L, 3, FALSE))</f>
        <v>-0.96489310538537676</v>
      </c>
      <c r="T21" s="1">
        <f>(Main_L[[#This Row],[P/E]]-VLOOKUP(Main_L[[#This Row],[Industry]], Mean_PE_L, 2, FALSE))/(VLOOKUP(Main_L[[#This Row],[Industry]], Mean_PE_L, 3, FALSE))</f>
        <v>0.18751054016963045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2" spans="1:26" x14ac:dyDescent="0.25">
      <c r="A22" t="s">
        <v>105</v>
      </c>
      <c r="B22" t="s">
        <v>152</v>
      </c>
      <c r="C22" s="2">
        <v>47835</v>
      </c>
      <c r="D22">
        <f>RTD("tos.rtd", , "LAST", Main_L[[#This Row],[Symbol]])</f>
        <v>67.489999999999995</v>
      </c>
      <c r="E22">
        <v>2.4900000000000002</v>
      </c>
      <c r="F22">
        <v>12.55</v>
      </c>
      <c r="G22">
        <v>3.67</v>
      </c>
      <c r="H22" s="1">
        <f>IF(ISNUMBER(Main_L[[#This Row],[Free CF]]),IF(Main_L[[#This Row],[Free CF]]&lt;&gt;0,Main_L[[#This Row],[Current Price]]/Main_L[[#This Row],[Free CF]],""),"")</f>
        <v>27.104417670682725</v>
      </c>
      <c r="I22" s="1">
        <f>IF(ISNUMBER(Main_L[[#This Row],[BVPS]]),IF(Main_L[[#This Row],[BVPS]]&lt;&gt;0,Main_L[[#This Row],[Current Price]]/Main_L[[#This Row],[BVPS]],""),"")</f>
        <v>5.3776892430278878</v>
      </c>
      <c r="J22">
        <v>26.88</v>
      </c>
      <c r="K22">
        <v>5.63</v>
      </c>
      <c r="L22">
        <v>6.35</v>
      </c>
      <c r="M22" s="1">
        <f>IF(ISNUMBER(Main_L[[#This Row],[EPS]]),IF(Main_L[[#This Row],[EPS]]&lt;&gt;0,Main_L[[#This Row],[Current Price]]/Main_L[[#This Row],[EPS]],""),"")</f>
        <v>18.389645776566756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0.55737491570500575</v>
      </c>
      <c r="P22" s="1">
        <f>(Main_L[[#This Row],[P/B]]-VLOOKUP(Main_L[[#This Row],[Industry]], Mean_PB_L, 2, FALSE))/(VLOOKUP(Main_L[[#This Row],[Industry]], Mean_PB_L, 3, FALSE))</f>
        <v>2.9649054257304037E-2</v>
      </c>
      <c r="Q22" s="1">
        <f>(Main_L[[#This Row],[ROE]]-VLOOKUP(Main_L[[#This Row],[Industry]], Mean_ROE_L, 2, FALSE))/(VLOOKUP(Main_L[[#This Row],[Industry]], Mean_ROE_L, 3, FALSE))</f>
        <v>0.51784088488312863</v>
      </c>
      <c r="R22" s="1">
        <f>(Main_L[[#This Row],[ROA]]-VLOOKUP(Main_L[[#This Row],[Industry]], Mean_ROA_L, 2, FALSE))/(VLOOKUP(Main_L[[#This Row],[Industry]], Mean_ROA_L, 3, FALSE))</f>
        <v>-0.41972426503029087</v>
      </c>
      <c r="S22" s="1">
        <f>(Main_L[[#This Row],[A/E]]-VLOOKUP(Main_L[[#This Row],[Industry]], Mean_AE_L, 2, FALSE))/(VLOOKUP(Main_L[[#This Row],[Industry]], Mean_AE_L, 3, FALSE))</f>
        <v>2.3971357965084339</v>
      </c>
      <c r="T22" s="1">
        <f>(Main_L[[#This Row],[P/E]]-VLOOKUP(Main_L[[#This Row],[Industry]], Mean_PE_L, 2, FALSE))/(VLOOKUP(Main_L[[#This Row],[Industry]], Mean_PE_L, 3, FALSE))</f>
        <v>-0.79035885840510622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105</v>
      </c>
      <c r="B23" t="s">
        <v>153</v>
      </c>
      <c r="C23" s="2">
        <v>49530</v>
      </c>
      <c r="D23">
        <f>RTD("tos.rtd", , "LAST", Main_L[[#This Row],[Symbol]])</f>
        <v>154.19999999999999</v>
      </c>
      <c r="E23">
        <v>8.84</v>
      </c>
      <c r="F23">
        <v>25.57</v>
      </c>
      <c r="G23">
        <v>5.01</v>
      </c>
      <c r="H23" s="1">
        <f>IF(ISNUMBER(Main_L[[#This Row],[Free CF]]),IF(Main_L[[#This Row],[Free CF]]&lt;&gt;0,Main_L[[#This Row],[Current Price]]/Main_L[[#This Row],[Free CF]],""),"")</f>
        <v>17.443438914027148</v>
      </c>
      <c r="I23" s="1">
        <f>IF(ISNUMBER(Main_L[[#This Row],[BVPS]]),IF(Main_L[[#This Row],[BVPS]]&lt;&gt;0,Main_L[[#This Row],[Current Price]]/Main_L[[#This Row],[BVPS]],""),"")</f>
        <v>6.030504497457958</v>
      </c>
      <c r="J23">
        <v>20.6</v>
      </c>
      <c r="K23">
        <v>6.4</v>
      </c>
      <c r="L23">
        <v>3.65</v>
      </c>
      <c r="M23" s="1">
        <f>IF(ISNUMBER(Main_L[[#This Row],[EPS]]),IF(Main_L[[#This Row],[EPS]]&lt;&gt;0,Main_L[[#This Row],[Current Price]]/Main_L[[#This Row],[EPS]],""),"")</f>
        <v>30.778443113772454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-0.42162221806147959</v>
      </c>
      <c r="P23" s="1">
        <f>(Main_L[[#This Row],[P/B]]-VLOOKUP(Main_L[[#This Row],[Industry]], Mean_PB_L, 2, FALSE))/(VLOOKUP(Main_L[[#This Row],[Industry]], Mean_PB_L, 3, FALSE))</f>
        <v>0.28135432805183819</v>
      </c>
      <c r="Q23" s="1">
        <f>(Main_L[[#This Row],[ROE]]-VLOOKUP(Main_L[[#This Row],[Industry]], Mean_ROE_L, 2, FALSE))/(VLOOKUP(Main_L[[#This Row],[Industry]], Mean_ROE_L, 3, FALSE))</f>
        <v>-0.21934451989220613</v>
      </c>
      <c r="R23" s="1">
        <f>(Main_L[[#This Row],[ROA]]-VLOOKUP(Main_L[[#This Row],[Industry]], Mean_ROA_L, 2, FALSE))/(VLOOKUP(Main_L[[#This Row],[Industry]], Mean_ROA_L, 3, FALSE))</f>
        <v>8.5279665156331626E-3</v>
      </c>
      <c r="S23" s="1">
        <f>(Main_L[[#This Row],[A/E]]-VLOOKUP(Main_L[[#This Row],[Industry]], Mean_AE_L, 2, FALSE))/(VLOOKUP(Main_L[[#This Row],[Industry]], Mean_AE_L, 3, FALSE))</f>
        <v>9.3207361200492417E-2</v>
      </c>
      <c r="T23" s="1">
        <f>(Main_L[[#This Row],[P/E]]-VLOOKUP(Main_L[[#This Row],[Industry]], Mean_PE_L, 2, FALSE))/(VLOOKUP(Main_L[[#This Row],[Industry]], Mean_PE_L, 3, FALSE))</f>
        <v>0.2388658088683939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t="s">
        <v>105</v>
      </c>
      <c r="B24" t="s">
        <v>154</v>
      </c>
      <c r="C24" s="2">
        <v>16410</v>
      </c>
      <c r="D24">
        <f>RTD("tos.rtd", , "LAST", Main_L[[#This Row],[Symbol]])</f>
        <v>158.47</v>
      </c>
      <c r="E24">
        <v>4.87</v>
      </c>
      <c r="F24">
        <v>13.12</v>
      </c>
      <c r="G24">
        <v>4.43</v>
      </c>
      <c r="H24" s="1">
        <f>IF(ISNUMBER(Main_L[[#This Row],[Free CF]]),IF(Main_L[[#This Row],[Free CF]]&lt;&gt;0,Main_L[[#This Row],[Current Price]]/Main_L[[#This Row],[Free CF]],""),"")</f>
        <v>32.540041067761805</v>
      </c>
      <c r="I24" s="1">
        <f>IF(ISNUMBER(Main_L[[#This Row],[BVPS]]),IF(Main_L[[#This Row],[BVPS]]&lt;&gt;0,Main_L[[#This Row],[Current Price]]/Main_L[[#This Row],[BVPS]],""),"")</f>
        <v>12.078506097560977</v>
      </c>
      <c r="J24">
        <v>35.74</v>
      </c>
      <c r="K24">
        <v>10.11</v>
      </c>
      <c r="L24">
        <v>2.9</v>
      </c>
      <c r="M24" s="1">
        <f>IF(ISNUMBER(Main_L[[#This Row],[EPS]]),IF(Main_L[[#This Row],[EPS]]&lt;&gt;0,Main_L[[#This Row],[Current Price]]/Main_L[[#This Row],[EPS]],""),"")</f>
        <v>35.772009029345377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1.1081948543482245</v>
      </c>
      <c r="P24" s="1">
        <f>(Main_L[[#This Row],[P/B]]-VLOOKUP(Main_L[[#This Row],[Industry]], Mean_PB_L, 2, FALSE))/(VLOOKUP(Main_L[[#This Row],[Industry]], Mean_PB_L, 3, FALSE))</f>
        <v>2.6132757841347578</v>
      </c>
      <c r="Q24" s="1">
        <f>(Main_L[[#This Row],[ROE]]-VLOOKUP(Main_L[[#This Row],[Industry]], Mean_ROE_L, 2, FALSE))/(VLOOKUP(Main_L[[#This Row],[Industry]], Mean_ROE_L, 3, FALSE))</f>
        <v>1.5578827139132991</v>
      </c>
      <c r="R24" s="1">
        <f>(Main_L[[#This Row],[ROA]]-VLOOKUP(Main_L[[#This Row],[Industry]], Mean_ROA_L, 2, FALSE))/(VLOOKUP(Main_L[[#This Row],[Industry]], Mean_ROA_L, 3, FALSE))</f>
        <v>2.0719250821459929</v>
      </c>
      <c r="S24" s="1">
        <f>(Main_L[[#This Row],[A/E]]-VLOOKUP(Main_L[[#This Row],[Industry]], Mean_AE_L, 2, FALSE))/(VLOOKUP(Main_L[[#This Row],[Industry]], Mean_AE_L, 3, FALSE))</f>
        <v>-0.54677275971838024</v>
      </c>
      <c r="T24" s="1">
        <f>(Main_L[[#This Row],[P/E]]-VLOOKUP(Main_L[[#This Row],[Industry]], Mean_PE_L, 2, FALSE))/(VLOOKUP(Main_L[[#This Row],[Industry]], Mean_PE_L, 3, FALSE))</f>
        <v>0.65371650648445889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105</v>
      </c>
      <c r="B25" t="s">
        <v>155</v>
      </c>
      <c r="C25" s="2">
        <v>15720</v>
      </c>
      <c r="D25">
        <f>RTD("tos.rtd", , "LAST", Main_L[[#This Row],[Symbol]])</f>
        <v>107.85</v>
      </c>
      <c r="E25">
        <v>2.37</v>
      </c>
      <c r="F25">
        <v>14.03</v>
      </c>
      <c r="G25">
        <v>4</v>
      </c>
      <c r="H25" s="1">
        <f>IF(ISNUMBER(Main_L[[#This Row],[Free CF]]),IF(Main_L[[#This Row],[Free CF]]&lt;&gt;0,Main_L[[#This Row],[Current Price]]/Main_L[[#This Row],[Free CF]],""),"")</f>
        <v>45.506329113924046</v>
      </c>
      <c r="I25" s="1">
        <f>IF(ISNUMBER(Main_L[[#This Row],[BVPS]]),IF(Main_L[[#This Row],[BVPS]]&lt;&gt;0,Main_L[[#This Row],[Current Price]]/Main_L[[#This Row],[BVPS]],""),"")</f>
        <v>7.6870990734141129</v>
      </c>
      <c r="J25">
        <v>32.33</v>
      </c>
      <c r="K25">
        <v>7.1</v>
      </c>
      <c r="L25">
        <v>3.82</v>
      </c>
      <c r="M25" s="1">
        <f>IF(ISNUMBER(Main_L[[#This Row],[EPS]]),IF(Main_L[[#This Row],[EPS]]&lt;&gt;0,Main_L[[#This Row],[Current Price]]/Main_L[[#This Row],[EPS]],""),"")</f>
        <v>26.962499999999999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2.4221361384068856</v>
      </c>
      <c r="P25" s="1">
        <f>(Main_L[[#This Row],[P/B]]-VLOOKUP(Main_L[[#This Row],[Industry]], Mean_PB_L, 2, FALSE))/(VLOOKUP(Main_L[[#This Row],[Industry]], Mean_PB_L, 3, FALSE))</f>
        <v>0.92008571258668059</v>
      </c>
      <c r="Q25" s="1">
        <f>(Main_L[[#This Row],[ROE]]-VLOOKUP(Main_L[[#This Row],[Industry]], Mean_ROE_L, 2, FALSE))/(VLOOKUP(Main_L[[#This Row],[Industry]], Mean_ROE_L, 3, FALSE))</f>
        <v>1.1575957345687298</v>
      </c>
      <c r="R25" s="1">
        <f>(Main_L[[#This Row],[ROA]]-VLOOKUP(Main_L[[#This Row],[Industry]], Mean_ROA_L, 2, FALSE))/(VLOOKUP(Main_L[[#This Row],[Industry]], Mean_ROA_L, 3, FALSE))</f>
        <v>0.3978481770119271</v>
      </c>
      <c r="S25" s="1">
        <f>(Main_L[[#This Row],[A/E]]-VLOOKUP(Main_L[[#This Row],[Industry]], Mean_AE_L, 2, FALSE))/(VLOOKUP(Main_L[[#This Row],[Industry]], Mean_AE_L, 3, FALSE))</f>
        <v>0.23826952194210349</v>
      </c>
      <c r="T25" s="1">
        <f>(Main_L[[#This Row],[P/E]]-VLOOKUP(Main_L[[#This Row],[Industry]], Mean_PE_L, 2, FALSE))/(VLOOKUP(Main_L[[#This Row],[Industry]], Mean_PE_L, 3, FALSE))</f>
        <v>-7.8151466877348613E-2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105</v>
      </c>
      <c r="B26" t="s">
        <v>156</v>
      </c>
      <c r="C26" s="2">
        <v>446856</v>
      </c>
      <c r="D26">
        <f>RTD("tos.rtd", , "LAST", Main_L[[#This Row],[Symbol]])</f>
        <v>999.03</v>
      </c>
      <c r="E26">
        <v>15.6</v>
      </c>
      <c r="F26">
        <v>57.64</v>
      </c>
      <c r="G26">
        <v>17.13</v>
      </c>
      <c r="H26" s="1">
        <f>IF(ISNUMBER(Main_L[[#This Row],[Free CF]]),IF(Main_L[[#This Row],[Free CF]]&lt;&gt;0,Main_L[[#This Row],[Current Price]]/Main_L[[#This Row],[Free CF]],""),"")</f>
        <v>64.04038461538461</v>
      </c>
      <c r="I26" s="1">
        <f>IF(ISNUMBER(Main_L[[#This Row],[BVPS]]),IF(Main_L[[#This Row],[BVPS]]&lt;&gt;0,Main_L[[#This Row],[Current Price]]/Main_L[[#This Row],[BVPS]],""),"")</f>
        <v>17.332234559333795</v>
      </c>
      <c r="J26">
        <v>32.89</v>
      </c>
      <c r="K26">
        <v>8.73</v>
      </c>
      <c r="L26">
        <v>2.86</v>
      </c>
      <c r="M26" s="1">
        <f>IF(ISNUMBER(Main_L[[#This Row],[EPS]]),IF(Main_L[[#This Row],[EPS]]&lt;&gt;0,Main_L[[#This Row],[Current Price]]/Main_L[[#This Row],[EPS]],""),"")</f>
        <v>58.320490367775832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4.3002882045729214</v>
      </c>
      <c r="P26" s="1">
        <f>(Main_L[[#This Row],[P/B]]-VLOOKUP(Main_L[[#This Row],[Industry]], Mean_PB_L, 2, FALSE))/(VLOOKUP(Main_L[[#This Row],[Industry]], Mean_PB_L, 3, FALSE))</f>
        <v>4.6389502026456366</v>
      </c>
      <c r="Q26" s="1">
        <f>(Main_L[[#This Row],[ROE]]-VLOOKUP(Main_L[[#This Row],[Industry]], Mean_ROE_L, 2, FALSE))/(VLOOKUP(Main_L[[#This Row],[Industry]], Mean_ROE_L, 3, FALSE))</f>
        <v>1.2233320127015626</v>
      </c>
      <c r="R26" s="1">
        <f>(Main_L[[#This Row],[ROA]]-VLOOKUP(Main_L[[#This Row],[Industry]], Mean_ROA_L, 2, FALSE))/(VLOOKUP(Main_L[[#This Row],[Industry]], Mean_ROA_L, 3, FALSE))</f>
        <v>1.304408095739013</v>
      </c>
      <c r="S26" s="1">
        <f>(Main_L[[#This Row],[A/E]]-VLOOKUP(Main_L[[#This Row],[Industry]], Mean_AE_L, 2, FALSE))/(VLOOKUP(Main_L[[#This Row],[Industry]], Mean_AE_L, 3, FALSE))</f>
        <v>-0.58090503283405348</v>
      </c>
      <c r="T26" s="1">
        <f>(Main_L[[#This Row],[P/E]]-VLOOKUP(Main_L[[#This Row],[Industry]], Mean_PE_L, 2, FALSE))/(VLOOKUP(Main_L[[#This Row],[Industry]], Mean_PE_L, 3, FALSE))</f>
        <v>2.5269776932965815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105</v>
      </c>
      <c r="B27" t="s">
        <v>157</v>
      </c>
      <c r="C27" s="2">
        <v>20431</v>
      </c>
      <c r="D27">
        <f>RTD("tos.rtd", , "LAST", Main_L[[#This Row],[Symbol]])</f>
        <v>86.85</v>
      </c>
      <c r="E27">
        <v>7.67</v>
      </c>
      <c r="F27">
        <v>33.71</v>
      </c>
      <c r="G27">
        <v>5.1100000000000003</v>
      </c>
      <c r="H27" s="1">
        <f>IF(ISNUMBER(Main_L[[#This Row],[Free CF]]),IF(Main_L[[#This Row],[Free CF]]&lt;&gt;0,Main_L[[#This Row],[Current Price]]/Main_L[[#This Row],[Free CF]],""),"")</f>
        <v>11.323337679269882</v>
      </c>
      <c r="I27" s="1">
        <f>IF(ISNUMBER(Main_L[[#This Row],[BVPS]]),IF(Main_L[[#This Row],[BVPS]]&lt;&gt;0,Main_L[[#This Row],[Current Price]]/Main_L[[#This Row],[BVPS]],""),"")</f>
        <v>2.5763868288341736</v>
      </c>
      <c r="J27">
        <v>15.89</v>
      </c>
      <c r="K27">
        <v>3.92</v>
      </c>
      <c r="L27">
        <v>4.2</v>
      </c>
      <c r="M27" s="1">
        <f>IF(ISNUMBER(Main_L[[#This Row],[EPS]]),IF(Main_L[[#This Row],[EPS]]&lt;&gt;0,Main_L[[#This Row],[Current Price]]/Main_L[[#This Row],[EPS]],""),"")</f>
        <v>16.996086105675143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-1.041803849561334</v>
      </c>
      <c r="P27" s="1">
        <f>(Main_L[[#This Row],[P/B]]-VLOOKUP(Main_L[[#This Row],[Industry]], Mean_PB_L, 2, FALSE))/(VLOOKUP(Main_L[[#This Row],[Industry]], Mean_PB_L, 3, FALSE))</f>
        <v>-1.0504460972591794</v>
      </c>
      <c r="Q27" s="1">
        <f>(Main_L[[#This Row],[ROE]]-VLOOKUP(Main_L[[#This Row],[Industry]], Mean_ROE_L, 2, FALSE))/(VLOOKUP(Main_L[[#This Row],[Industry]], Mean_ROE_L, 3, FALSE))</f>
        <v>-0.77223357347370758</v>
      </c>
      <c r="R27" s="1">
        <f>(Main_L[[#This Row],[ROA]]-VLOOKUP(Main_L[[#This Row],[Industry]], Mean_ROA_L, 2, FALSE))/(VLOOKUP(Main_L[[#This Row],[Industry]], Mean_ROA_L, 3, FALSE))</f>
        <v>-1.37077792209981</v>
      </c>
      <c r="S27" s="1">
        <f>(Main_L[[#This Row],[A/E]]-VLOOKUP(Main_L[[#This Row],[Industry]], Mean_AE_L, 2, FALSE))/(VLOOKUP(Main_L[[#This Row],[Industry]], Mean_AE_L, 3, FALSE))</f>
        <v>0.56252611654099927</v>
      </c>
      <c r="T27" s="1">
        <f>(Main_L[[#This Row],[P/E]]-VLOOKUP(Main_L[[#This Row],[Industry]], Mean_PE_L, 2, FALSE))/(VLOOKUP(Main_L[[#This Row],[Industry]], Mean_PE_L, 3, FALSE))</f>
        <v>-0.90613167715094034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105</v>
      </c>
      <c r="B28" t="s">
        <v>158</v>
      </c>
      <c r="C28" s="2">
        <v>18162</v>
      </c>
      <c r="D28">
        <f>RTD("tos.rtd", , "LAST", Main_L[[#This Row],[Symbol]])</f>
        <v>85.71</v>
      </c>
      <c r="E28">
        <v>7.24</v>
      </c>
      <c r="F28">
        <v>18.489999999999998</v>
      </c>
      <c r="G28">
        <v>4.83</v>
      </c>
      <c r="H28" s="1">
        <f>IF(ISNUMBER(Main_L[[#This Row],[Free CF]]),IF(Main_L[[#This Row],[Free CF]]&lt;&gt;0,Main_L[[#This Row],[Current Price]]/Main_L[[#This Row],[Free CF]],""),"")</f>
        <v>11.838397790055247</v>
      </c>
      <c r="I28" s="1">
        <f>IF(ISNUMBER(Main_L[[#This Row],[BVPS]]),IF(Main_L[[#This Row],[BVPS]]&lt;&gt;0,Main_L[[#This Row],[Current Price]]/Main_L[[#This Row],[BVPS]],""),"")</f>
        <v>4.6354786371011354</v>
      </c>
      <c r="J28">
        <v>18.47</v>
      </c>
      <c r="K28">
        <v>4.6500000000000004</v>
      </c>
      <c r="L28">
        <v>4.6900000000000004</v>
      </c>
      <c r="M28" s="1">
        <f>IF(ISNUMBER(Main_L[[#This Row],[EPS]]),IF(Main_L[[#This Row],[EPS]]&lt;&gt;0,Main_L[[#This Row],[Current Price]]/Main_L[[#This Row],[EPS]],""),"")</f>
        <v>17.745341614906831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-0.98961013452713609</v>
      </c>
      <c r="P28" s="1">
        <f>(Main_L[[#This Row],[P/B]]-VLOOKUP(Main_L[[#This Row],[Industry]], Mean_PB_L, 2, FALSE))/(VLOOKUP(Main_L[[#This Row],[Industry]], Mean_PB_L, 3, FALSE))</f>
        <v>-0.25652428882901673</v>
      </c>
      <c r="Q28" s="1">
        <f>(Main_L[[#This Row],[ROE]]-VLOOKUP(Main_L[[#This Row],[Industry]], Mean_ROE_L, 2, FALSE))/(VLOOKUP(Main_L[[#This Row],[Industry]], Mean_ROE_L, 3, FALSE))</f>
        <v>-0.46937714921887264</v>
      </c>
      <c r="R28" s="1">
        <f>(Main_L[[#This Row],[ROA]]-VLOOKUP(Main_L[[#This Row],[Industry]], Mean_ROA_L, 2, FALSE))/(VLOOKUP(Main_L[[#This Row],[Industry]], Mean_ROA_L, 3, FALSE))</f>
        <v>-0.96477255972510267</v>
      </c>
      <c r="S28" s="1">
        <f>(Main_L[[#This Row],[A/E]]-VLOOKUP(Main_L[[#This Row],[Industry]], Mean_AE_L, 2, FALSE))/(VLOOKUP(Main_L[[#This Row],[Industry]], Mean_AE_L, 3, FALSE))</f>
        <v>0.98064646220799623</v>
      </c>
      <c r="T28" s="1">
        <f>(Main_L[[#This Row],[P/E]]-VLOOKUP(Main_L[[#This Row],[Industry]], Mean_PE_L, 2, FALSE))/(VLOOKUP(Main_L[[#This Row],[Industry]], Mean_PE_L, 3, FALSE))</f>
        <v>-0.84388574389348714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105</v>
      </c>
      <c r="B29" t="s">
        <v>159</v>
      </c>
      <c r="C29" s="2">
        <v>43387</v>
      </c>
      <c r="D29">
        <f>RTD("tos.rtd", , "LAST", Main_L[[#This Row],[Symbol]])</f>
        <v>99.09</v>
      </c>
      <c r="E29">
        <v>9.7200000000000006</v>
      </c>
      <c r="F29">
        <v>32.19</v>
      </c>
      <c r="G29">
        <v>8.86</v>
      </c>
      <c r="H29" s="1">
        <f>IF(ISNUMBER(Main_L[[#This Row],[Free CF]]),IF(Main_L[[#This Row],[Free CF]]&lt;&gt;0,Main_L[[#This Row],[Current Price]]/Main_L[[#This Row],[Free CF]],""),"")</f>
        <v>10.194444444444445</v>
      </c>
      <c r="I29" s="1">
        <f>IF(ISNUMBER(Main_L[[#This Row],[BVPS]]),IF(Main_L[[#This Row],[BVPS]]&lt;&gt;0,Main_L[[#This Row],[Current Price]]/Main_L[[#This Row],[BVPS]],""),"")</f>
        <v>3.0782851817334578</v>
      </c>
      <c r="J29">
        <v>29.12</v>
      </c>
      <c r="K29">
        <v>6.34</v>
      </c>
      <c r="L29">
        <v>3.94</v>
      </c>
      <c r="M29" s="1">
        <f>IF(ISNUMBER(Main_L[[#This Row],[EPS]]),IF(Main_L[[#This Row],[EPS]]&lt;&gt;0,Main_L[[#This Row],[Current Price]]/Main_L[[#This Row],[EPS]],""),"")</f>
        <v>11.183972911963883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-1.1562004618570709</v>
      </c>
      <c r="P29" s="1">
        <f>(Main_L[[#This Row],[P/B]]-VLOOKUP(Main_L[[#This Row],[Industry]], Mean_PB_L, 2, FALSE))/(VLOOKUP(Main_L[[#This Row],[Industry]], Mean_PB_L, 3, FALSE))</f>
        <v>-0.85692969047142609</v>
      </c>
      <c r="Q29" s="1">
        <f>(Main_L[[#This Row],[ROE]]-VLOOKUP(Main_L[[#This Row],[Industry]], Mean_ROE_L, 2, FALSE))/(VLOOKUP(Main_L[[#This Row],[Industry]], Mean_ROE_L, 3, FALSE))</f>
        <v>0.78078599741445864</v>
      </c>
      <c r="R29" s="1">
        <f>(Main_L[[#This Row],[ROA]]-VLOOKUP(Main_L[[#This Row],[Industry]], Mean_ROA_L, 2, FALSE))/(VLOOKUP(Main_L[[#This Row],[Industry]], Mean_ROA_L, 3, FALSE))</f>
        <v>-2.4842337241192343E-2</v>
      </c>
      <c r="S29" s="1">
        <f>(Main_L[[#This Row],[A/E]]-VLOOKUP(Main_L[[#This Row],[Industry]], Mean_AE_L, 2, FALSE))/(VLOOKUP(Main_L[[#This Row],[Industry]], Mean_AE_L, 3, FALSE))</f>
        <v>0.34066634128912321</v>
      </c>
      <c r="T29" s="1">
        <f>(Main_L[[#This Row],[P/E]]-VLOOKUP(Main_L[[#This Row],[Industry]], Mean_PE_L, 2, FALSE))/(VLOOKUP(Main_L[[#This Row],[Industry]], Mean_PE_L, 3, FALSE))</f>
        <v>-1.3889848633911011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105</v>
      </c>
      <c r="B30" t="s">
        <v>160</v>
      </c>
      <c r="C30" s="2">
        <v>790728</v>
      </c>
      <c r="D30">
        <f>RTD("tos.rtd", , "LAST", Main_L[[#This Row],[Symbol]])</f>
        <v>95.88</v>
      </c>
      <c r="E30">
        <v>1.57</v>
      </c>
      <c r="F30">
        <v>11.34</v>
      </c>
      <c r="G30">
        <v>2.41</v>
      </c>
      <c r="H30" s="1">
        <f>IF(ISNUMBER(Main_L[[#This Row],[Free CF]]),IF(Main_L[[#This Row],[Free CF]]&lt;&gt;0,Main_L[[#This Row],[Current Price]]/Main_L[[#This Row],[Free CF]],""),"")</f>
        <v>61.07006369426751</v>
      </c>
      <c r="I30" s="1">
        <f>IF(ISNUMBER(Main_L[[#This Row],[BVPS]]),IF(Main_L[[#This Row],[BVPS]]&lt;&gt;0,Main_L[[#This Row],[Current Price]]/Main_L[[#This Row],[BVPS]],""),"")</f>
        <v>8.455026455026454</v>
      </c>
      <c r="J30">
        <v>21.41</v>
      </c>
      <c r="K30">
        <v>7.12</v>
      </c>
      <c r="L30">
        <v>2.87</v>
      </c>
      <c r="M30" s="1">
        <f>IF(ISNUMBER(Main_L[[#This Row],[EPS]]),IF(Main_L[[#This Row],[EPS]]&lt;&gt;0,Main_L[[#This Row],[Current Price]]/Main_L[[#This Row],[EPS]],""),"")</f>
        <v>39.784232365145222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3.9992901647897416</v>
      </c>
      <c r="P30" s="1">
        <f>(Main_L[[#This Row],[P/B]]-VLOOKUP(Main_L[[#This Row],[Industry]], Mean_PB_L, 2, FALSE))/(VLOOKUP(Main_L[[#This Row],[Industry]], Mean_PB_L, 3, FALSE))</f>
        <v>1.2161746451466342</v>
      </c>
      <c r="Q30" s="1">
        <f>(Main_L[[#This Row],[ROE]]-VLOOKUP(Main_L[[#This Row],[Industry]], Mean_ROE_L, 2, FALSE))/(VLOOKUP(Main_L[[#This Row],[Industry]], Mean_ROE_L, 3, FALSE))</f>
        <v>-0.12426168902150224</v>
      </c>
      <c r="R30" s="1">
        <f>(Main_L[[#This Row],[ROA]]-VLOOKUP(Main_L[[#This Row],[Industry]], Mean_ROA_L, 2, FALSE))/(VLOOKUP(Main_L[[#This Row],[Industry]], Mean_ROA_L, 3, FALSE))</f>
        <v>0.40897161159753581</v>
      </c>
      <c r="S30" s="1">
        <f>(Main_L[[#This Row],[A/E]]-VLOOKUP(Main_L[[#This Row],[Industry]], Mean_AE_L, 2, FALSE))/(VLOOKUP(Main_L[[#This Row],[Industry]], Mean_AE_L, 3, FALSE))</f>
        <v>-0.57237196455513495</v>
      </c>
      <c r="T30" s="1">
        <f>(Main_L[[#This Row],[P/E]]-VLOOKUP(Main_L[[#This Row],[Industry]], Mean_PE_L, 2, FALSE))/(VLOOKUP(Main_L[[#This Row],[Industry]], Mean_PE_L, 3, FALSE))</f>
        <v>0.98704016296352881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107</v>
      </c>
      <c r="B31" t="s">
        <v>175</v>
      </c>
      <c r="C31" s="2">
        <v>22990</v>
      </c>
      <c r="D31">
        <f>RTD("tos.rtd", , "LAST", Main_L[[#This Row],[Symbol]])</f>
        <v>50.69</v>
      </c>
      <c r="E31">
        <v>2.4900000000000002</v>
      </c>
      <c r="F31">
        <v>46.38</v>
      </c>
      <c r="G31">
        <v>3.65</v>
      </c>
      <c r="H31" s="1">
        <f>IF(ISNUMBER(Main_L[[#This Row],[Free CF]]),IF(Main_L[[#This Row],[Free CF]]&lt;&gt;0,Main_L[[#This Row],[Current Price]]/Main_L[[#This Row],[Free CF]],""),"")</f>
        <v>20.357429718875501</v>
      </c>
      <c r="I31" s="1">
        <f>IF(ISNUMBER(Main_L[[#This Row],[BVPS]]),IF(Main_L[[#This Row],[BVPS]]&lt;&gt;0,Main_L[[#This Row],[Current Price]]/Main_L[[#This Row],[BVPS]],""),"")</f>
        <v>1.0929279862009487</v>
      </c>
      <c r="J31">
        <v>7.59</v>
      </c>
      <c r="K31">
        <v>2.33</v>
      </c>
      <c r="L31">
        <v>2.4</v>
      </c>
      <c r="M31" s="1">
        <f>IF(ISNUMBER(Main_L[[#This Row],[EPS]]),IF(Main_L[[#This Row],[EPS]]&lt;&gt;0,Main_L[[#This Row],[Current Price]]/Main_L[[#This Row],[EPS]],""),"")</f>
        <v>13.887671232876713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0.32841702836170872</v>
      </c>
      <c r="P31" s="1">
        <f>(Main_L[[#This Row],[P/B]]-VLOOKUP(Main_L[[#This Row],[Industry]], Mean_PB_L, 2, FALSE))/(VLOOKUP(Main_L[[#This Row],[Industry]], Mean_PB_L, 3, FALSE))</f>
        <v>-0.95668827657428801</v>
      </c>
      <c r="Q31" s="1">
        <f>(Main_L[[#This Row],[ROE]]-VLOOKUP(Main_L[[#This Row],[Industry]], Mean_ROE_L, 2, FALSE))/(VLOOKUP(Main_L[[#This Row],[Industry]], Mean_ROE_L, 3, FALSE))</f>
        <v>-0.61048430172321499</v>
      </c>
      <c r="R31" s="1">
        <f>(Main_L[[#This Row],[ROA]]-VLOOKUP(Main_L[[#This Row],[Industry]], Mean_ROA_L, 2, FALSE))/(VLOOKUP(Main_L[[#This Row],[Industry]], Mean_ROA_L, 3, FALSE))</f>
        <v>-1.3460016311127212</v>
      </c>
      <c r="S31" s="1">
        <f>(Main_L[[#This Row],[A/E]]-VLOOKUP(Main_L[[#This Row],[Industry]], Mean_AE_L, 2, FALSE))/(VLOOKUP(Main_L[[#This Row],[Industry]], Mean_AE_L, 3, FALSE))</f>
        <v>-0.47691976398937841</v>
      </c>
      <c r="T31" s="1">
        <f>(Main_L[[#This Row],[P/E]]-VLOOKUP(Main_L[[#This Row],[Industry]], Mean_PE_L, 2, FALSE))/(VLOOKUP(Main_L[[#This Row],[Industry]], Mean_PE_L, 3, FALSE))</f>
        <v>-0.73652884906532878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107</v>
      </c>
      <c r="B32" t="s">
        <v>176</v>
      </c>
      <c r="C32" s="2">
        <v>10168</v>
      </c>
      <c r="D32">
        <f>RTD("tos.rtd", , "LAST", Main_L[[#This Row],[Symbol]])</f>
        <v>82.91</v>
      </c>
      <c r="E32">
        <v>3.73</v>
      </c>
      <c r="F32">
        <v>74</v>
      </c>
      <c r="G32">
        <v>7.99</v>
      </c>
      <c r="H32" s="1">
        <f>IF(ISNUMBER(Main_L[[#This Row],[Free CF]]),IF(Main_L[[#This Row],[Free CF]]&lt;&gt;0,Main_L[[#This Row],[Current Price]]/Main_L[[#This Row],[Free CF]],""),"")</f>
        <v>22.227882037533512</v>
      </c>
      <c r="I32" s="1">
        <f>IF(ISNUMBER(Main_L[[#This Row],[BVPS]]),IF(Main_L[[#This Row],[BVPS]]&lt;&gt;0,Main_L[[#This Row],[Current Price]]/Main_L[[#This Row],[BVPS]],""),"")</f>
        <v>1.1204054054054053</v>
      </c>
      <c r="J32">
        <v>10.44</v>
      </c>
      <c r="K32">
        <v>3.89</v>
      </c>
      <c r="L32">
        <v>2.5099999999999998</v>
      </c>
      <c r="M32" s="1">
        <f>IF(ISNUMBER(Main_L[[#This Row],[EPS]]),IF(Main_L[[#This Row],[EPS]]&lt;&gt;0,Main_L[[#This Row],[Current Price]]/Main_L[[#This Row],[EPS]],""),"")</f>
        <v>10.376720901126408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0.57613673735032822</v>
      </c>
      <c r="P32" s="1">
        <f>(Main_L[[#This Row],[P/B]]-VLOOKUP(Main_L[[#This Row],[Industry]], Mean_PB_L, 2, FALSE))/(VLOOKUP(Main_L[[#This Row],[Industry]], Mean_PB_L, 3, FALSE))</f>
        <v>-0.93064059964629875</v>
      </c>
      <c r="Q32" s="1">
        <f>(Main_L[[#This Row],[ROE]]-VLOOKUP(Main_L[[#This Row],[Industry]], Mean_ROE_L, 2, FALSE))/(VLOOKUP(Main_L[[#This Row],[Industry]], Mean_ROE_L, 3, FALSE))</f>
        <v>-0.39319327907596902</v>
      </c>
      <c r="R32" s="1">
        <f>(Main_L[[#This Row],[ROA]]-VLOOKUP(Main_L[[#This Row],[Industry]], Mean_ROA_L, 2, FALSE))/(VLOOKUP(Main_L[[#This Row],[Industry]], Mean_ROA_L, 3, FALSE))</f>
        <v>-0.75380429784314351</v>
      </c>
      <c r="S32" s="1">
        <f>(Main_L[[#This Row],[A/E]]-VLOOKUP(Main_L[[#This Row],[Industry]], Mean_AE_L, 2, FALSE))/(VLOOKUP(Main_L[[#This Row],[Industry]], Mean_AE_L, 3, FALSE))</f>
        <v>-0.32672417369415507</v>
      </c>
      <c r="T32" s="1">
        <f>(Main_L[[#This Row],[P/E]]-VLOOKUP(Main_L[[#This Row],[Industry]], Mean_PE_L, 2, FALSE))/(VLOOKUP(Main_L[[#This Row],[Industry]], Mean_PE_L, 3, FALSE))</f>
        <v>-1.2589565217114793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107</v>
      </c>
      <c r="B33" t="s">
        <v>177</v>
      </c>
      <c r="C33" s="2">
        <v>10979</v>
      </c>
      <c r="D33">
        <f>RTD("tos.rtd", , "LAST", Main_L[[#This Row],[Symbol]])</f>
        <v>22.83</v>
      </c>
      <c r="E33">
        <v>3.03</v>
      </c>
      <c r="F33">
        <v>18.39</v>
      </c>
      <c r="G33">
        <v>0.68</v>
      </c>
      <c r="H33" s="1">
        <f>IF(ISNUMBER(Main_L[[#This Row],[Free CF]]),IF(Main_L[[#This Row],[Free CF]]&lt;&gt;0,Main_L[[#This Row],[Current Price]]/Main_L[[#This Row],[Free CF]],""),"")</f>
        <v>7.5346534653465342</v>
      </c>
      <c r="I33" s="1">
        <f>IF(ISNUMBER(Main_L[[#This Row],[BVPS]]),IF(Main_L[[#This Row],[BVPS]]&lt;&gt;0,Main_L[[#This Row],[Current Price]]/Main_L[[#This Row],[BVPS]],""),"")</f>
        <v>1.2414355628058726</v>
      </c>
      <c r="J33">
        <v>3.66</v>
      </c>
      <c r="K33">
        <v>5.13</v>
      </c>
      <c r="L33">
        <v>2.36</v>
      </c>
      <c r="M33" s="1">
        <f>IF(ISNUMBER(Main_L[[#This Row],[EPS]]),IF(Main_L[[#This Row],[EPS]]&lt;&gt;0,Main_L[[#This Row],[Current Price]]/Main_L[[#This Row],[EPS]],""),"")</f>
        <v>33.573529411764703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-1.3698109191057684</v>
      </c>
      <c r="P33" s="1">
        <f>(Main_L[[#This Row],[P/B]]-VLOOKUP(Main_L[[#This Row],[Industry]], Mean_PB_L, 2, FALSE))/(VLOOKUP(Main_L[[#This Row],[Industry]], Mean_PB_L, 3, FALSE))</f>
        <v>-0.81590804725288713</v>
      </c>
      <c r="Q33" s="1">
        <f>(Main_L[[#This Row],[ROE]]-VLOOKUP(Main_L[[#This Row],[Industry]], Mean_ROE_L, 2, FALSE))/(VLOOKUP(Main_L[[#This Row],[Industry]], Mean_ROE_L, 3, FALSE))</f>
        <v>-0.91011718558415411</v>
      </c>
      <c r="R33" s="1">
        <f>(Main_L[[#This Row],[ROA]]-VLOOKUP(Main_L[[#This Row],[Industry]], Mean_ROA_L, 2, FALSE))/(VLOOKUP(Main_L[[#This Row],[Industry]], Mean_ROA_L, 3, FALSE))</f>
        <v>-0.28308334062886398</v>
      </c>
      <c r="S33" s="1">
        <f>(Main_L[[#This Row],[A/E]]-VLOOKUP(Main_L[[#This Row],[Industry]], Mean_AE_L, 2, FALSE))/(VLOOKUP(Main_L[[#This Row],[Industry]], Mean_AE_L, 3, FALSE))</f>
        <v>-0.53153634227855062</v>
      </c>
      <c r="T33" s="1">
        <f>(Main_L[[#This Row],[P/E]]-VLOOKUP(Main_L[[#This Row],[Industry]], Mean_PE_L, 2, FALSE))/(VLOOKUP(Main_L[[#This Row],[Industry]], Mean_PE_L, 3, FALSE))</f>
        <v>2.1927171101936755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t="s">
        <v>107</v>
      </c>
      <c r="B34" t="s">
        <v>178</v>
      </c>
      <c r="C34" s="2">
        <v>10523</v>
      </c>
      <c r="D34">
        <f>RTD("tos.rtd", , "LAST", Main_L[[#This Row],[Symbol]])</f>
        <v>35.18</v>
      </c>
      <c r="E34">
        <v>2.59</v>
      </c>
      <c r="F34">
        <v>13.12</v>
      </c>
      <c r="G34">
        <v>1.73</v>
      </c>
      <c r="H34" s="1">
        <f>IF(ISNUMBER(Main_L[[#This Row],[Free CF]]),IF(Main_L[[#This Row],[Free CF]]&lt;&gt;0,Main_L[[#This Row],[Current Price]]/Main_L[[#This Row],[Free CF]],""),"")</f>
        <v>13.583011583011583</v>
      </c>
      <c r="I34" s="1">
        <f>IF(ISNUMBER(Main_L[[#This Row],[BVPS]]),IF(Main_L[[#This Row],[BVPS]]&lt;&gt;0,Main_L[[#This Row],[Current Price]]/Main_L[[#This Row],[BVPS]],""),"")</f>
        <v>2.6814024390243905</v>
      </c>
      <c r="J34">
        <v>13.42</v>
      </c>
      <c r="K34">
        <v>6.5</v>
      </c>
      <c r="L34">
        <v>4.07</v>
      </c>
      <c r="M34" s="1">
        <f>IF(ISNUMBER(Main_L[[#This Row],[EPS]]),IF(Main_L[[#This Row],[EPS]]&lt;&gt;0,Main_L[[#This Row],[Current Price]]/Main_L[[#This Row],[EPS]],""),"")</f>
        <v>20.335260115606935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-0.56877605827492883</v>
      </c>
      <c r="P34" s="1">
        <f>(Main_L[[#This Row],[P/B]]-VLOOKUP(Main_L[[#This Row],[Industry]], Mean_PB_L, 2, FALSE))/(VLOOKUP(Main_L[[#This Row],[Industry]], Mean_PB_L, 3, FALSE))</f>
        <v>0.54913252295693393</v>
      </c>
      <c r="Q34" s="1">
        <f>(Main_L[[#This Row],[ROE]]-VLOOKUP(Main_L[[#This Row],[Industry]], Mean_ROE_L, 2, FALSE))/(VLOOKUP(Main_L[[#This Row],[Industry]], Mean_ROE_L, 3, FALSE))</f>
        <v>-0.16599073609744511</v>
      </c>
      <c r="R34" s="1">
        <f>(Main_L[[#This Row],[ROA]]-VLOOKUP(Main_L[[#This Row],[Industry]], Mean_ROA_L, 2, FALSE))/(VLOOKUP(Main_L[[#This Row],[Industry]], Mean_ROA_L, 3, FALSE))</f>
        <v>0.23698739435788052</v>
      </c>
      <c r="S34" s="1">
        <f>(Main_L[[#This Row],[A/E]]-VLOOKUP(Main_L[[#This Row],[Industry]], Mean_AE_L, 2, FALSE))/(VLOOKUP(Main_L[[#This Row],[Industry]], Mean_AE_L, 3, FALSE))</f>
        <v>1.8033223795835609</v>
      </c>
      <c r="T34" s="1">
        <f>(Main_L[[#This Row],[P/E]]-VLOOKUP(Main_L[[#This Row],[Industry]], Mean_PE_L, 2, FALSE))/(VLOOKUP(Main_L[[#This Row],[Industry]], Mean_PE_L, 3, FALSE))</f>
        <v>0.22286918733603087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t="s">
        <v>107</v>
      </c>
      <c r="B35" t="s">
        <v>179</v>
      </c>
      <c r="C35" s="2">
        <v>29811</v>
      </c>
      <c r="D35">
        <f>RTD("tos.rtd", , "LAST", Main_L[[#This Row],[Symbol]])</f>
        <v>53.77</v>
      </c>
      <c r="E35">
        <v>4.43</v>
      </c>
      <c r="F35">
        <v>16.920000000000002</v>
      </c>
      <c r="G35">
        <v>4.54</v>
      </c>
      <c r="H35" s="1">
        <f>IF(ISNUMBER(Main_L[[#This Row],[Free CF]]),IF(Main_L[[#This Row],[Free CF]]&lt;&gt;0,Main_L[[#This Row],[Current Price]]/Main_L[[#This Row],[Free CF]],""),"")</f>
        <v>12.137697516930023</v>
      </c>
      <c r="I35" s="1">
        <f>IF(ISNUMBER(Main_L[[#This Row],[BVPS]]),IF(Main_L[[#This Row],[BVPS]]&lt;&gt;0,Main_L[[#This Row],[Current Price]]/Main_L[[#This Row],[BVPS]],""),"")</f>
        <v>3.1778959810874703</v>
      </c>
      <c r="J35">
        <v>26.83</v>
      </c>
      <c r="K35">
        <v>7.2</v>
      </c>
      <c r="L35">
        <v>3.53</v>
      </c>
      <c r="M35" s="1">
        <f>IF(ISNUMBER(Main_L[[#This Row],[EPS]]),IF(Main_L[[#This Row],[EPS]]&lt;&gt;0,Main_L[[#This Row],[Current Price]]/Main_L[[#This Row],[EPS]],""),"")</f>
        <v>11.843612334801763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-0.76019113807966798</v>
      </c>
      <c r="P35" s="1">
        <f>(Main_L[[#This Row],[P/B]]-VLOOKUP(Main_L[[#This Row],[Industry]], Mean_PB_L, 2, FALSE))/(VLOOKUP(Main_L[[#This Row],[Industry]], Mean_PB_L, 3, FALSE))</f>
        <v>1.0197918408594888</v>
      </c>
      <c r="Q35" s="1">
        <f>(Main_L[[#This Row],[ROE]]-VLOOKUP(Main_L[[#This Row],[Industry]], Mean_ROE_L, 2, FALSE))/(VLOOKUP(Main_L[[#This Row],[Industry]], Mean_ROE_L, 3, FALSE))</f>
        <v>0.85642070730591213</v>
      </c>
      <c r="R35" s="1">
        <f>(Main_L[[#This Row],[ROA]]-VLOOKUP(Main_L[[#This Row],[Industry]], Mean_ROA_L, 2, FALSE))/(VLOOKUP(Main_L[[#This Row],[Industry]], Mean_ROA_L, 3, FALSE))</f>
        <v>0.50271696697884494</v>
      </c>
      <c r="S35" s="1">
        <f>(Main_L[[#This Row],[A/E]]-VLOOKUP(Main_L[[#This Row],[Industry]], Mean_AE_L, 2, FALSE))/(VLOOKUP(Main_L[[#This Row],[Industry]], Mean_AE_L, 3, FALSE))</f>
        <v>1.0659985726797356</v>
      </c>
      <c r="T35" s="1">
        <f>(Main_L[[#This Row],[P/E]]-VLOOKUP(Main_L[[#This Row],[Industry]], Mean_PE_L, 2, FALSE))/(VLOOKUP(Main_L[[#This Row],[Industry]], Mean_PE_L, 3, FALSE))</f>
        <v>-1.040683801989595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107</v>
      </c>
      <c r="B36" t="s">
        <v>180</v>
      </c>
      <c r="C36" s="2">
        <v>16008</v>
      </c>
      <c r="D36">
        <f>RTD("tos.rtd", , "LAST", Main_L[[#This Row],[Symbol]])</f>
        <v>29.27</v>
      </c>
      <c r="E36">
        <v>1.62</v>
      </c>
      <c r="F36">
        <v>14.6</v>
      </c>
      <c r="G36">
        <v>1.38</v>
      </c>
      <c r="H36" s="1">
        <f>IF(ISNUMBER(Main_L[[#This Row],[Free CF]]),IF(Main_L[[#This Row],[Free CF]]&lt;&gt;0,Main_L[[#This Row],[Current Price]]/Main_L[[#This Row],[Free CF]],""),"")</f>
        <v>18.067901234567898</v>
      </c>
      <c r="I36" s="1">
        <f>IF(ISNUMBER(Main_L[[#This Row],[BVPS]]),IF(Main_L[[#This Row],[BVPS]]&lt;&gt;0,Main_L[[#This Row],[Current Price]]/Main_L[[#This Row],[BVPS]],""),"")</f>
        <v>2.0047945205479452</v>
      </c>
      <c r="J36">
        <v>9.52</v>
      </c>
      <c r="K36">
        <v>4.91</v>
      </c>
      <c r="L36">
        <v>1.67</v>
      </c>
      <c r="M36" s="1">
        <f>IF(ISNUMBER(Main_L[[#This Row],[EPS]]),IF(Main_L[[#This Row],[EPS]]&lt;&gt;0,Main_L[[#This Row],[Current Price]]/Main_L[[#This Row],[EPS]],""),"")</f>
        <v>21.210144927536234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2.5195543271538383E-2</v>
      </c>
      <c r="P36" s="1">
        <f>(Main_L[[#This Row],[P/B]]-VLOOKUP(Main_L[[#This Row],[Industry]], Mean_PB_L, 2, FALSE))/(VLOOKUP(Main_L[[#This Row],[Industry]], Mean_PB_L, 3, FALSE))</f>
        <v>-9.2269216276829769E-2</v>
      </c>
      <c r="Q36" s="1">
        <f>(Main_L[[#This Row],[ROE]]-VLOOKUP(Main_L[[#This Row],[Industry]], Mean_ROE_L, 2, FALSE))/(VLOOKUP(Main_L[[#This Row],[Industry]], Mean_ROE_L, 3, FALSE))</f>
        <v>-0.46333634603578172</v>
      </c>
      <c r="R36" s="1">
        <f>(Main_L[[#This Row],[ROA]]-VLOOKUP(Main_L[[#This Row],[Industry]], Mean_ROA_L, 2, FALSE))/(VLOOKUP(Main_L[[#This Row],[Industry]], Mean_ROA_L, 3, FALSE))</f>
        <v>-0.36659834916688122</v>
      </c>
      <c r="S36" s="1">
        <f>(Main_L[[#This Row],[A/E]]-VLOOKUP(Main_L[[#This Row],[Industry]], Mean_AE_L, 2, FALSE))/(VLOOKUP(Main_L[[#This Row],[Industry]], Mean_AE_L, 3, FALSE))</f>
        <v>-1.4736723177667708</v>
      </c>
      <c r="T36" s="1">
        <f>(Main_L[[#This Row],[P/E]]-VLOOKUP(Main_L[[#This Row],[Industry]], Mean_PE_L, 2, FALSE))/(VLOOKUP(Main_L[[#This Row],[Industry]], Mean_PE_L, 3, FALSE))</f>
        <v>0.35305161458268169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107</v>
      </c>
      <c r="B37" t="s">
        <v>181</v>
      </c>
      <c r="C37" s="2">
        <v>43385</v>
      </c>
      <c r="D37">
        <f>RTD("tos.rtd", , "LAST", Main_L[[#This Row],[Symbol]])</f>
        <v>163.30000000000001</v>
      </c>
      <c r="E37">
        <v>8.99</v>
      </c>
      <c r="F37">
        <v>23.12</v>
      </c>
      <c r="G37">
        <v>8.1199999999999992</v>
      </c>
      <c r="H37" s="1">
        <f>IF(ISNUMBER(Main_L[[#This Row],[Free CF]]),IF(Main_L[[#This Row],[Free CF]]&lt;&gt;0,Main_L[[#This Row],[Current Price]]/Main_L[[#This Row],[Free CF]],""),"")</f>
        <v>18.164627363737488</v>
      </c>
      <c r="I37" s="1">
        <f>IF(ISNUMBER(Main_L[[#This Row],[BVPS]]),IF(Main_L[[#This Row],[BVPS]]&lt;&gt;0,Main_L[[#This Row],[Current Price]]/Main_L[[#This Row],[BVPS]],""),"")</f>
        <v>7.0631487889273359</v>
      </c>
      <c r="J37">
        <v>37.479999999999997</v>
      </c>
      <c r="K37">
        <v>10.96</v>
      </c>
      <c r="L37">
        <v>2.98</v>
      </c>
      <c r="M37" s="1">
        <f>IF(ISNUMBER(Main_L[[#This Row],[EPS]]),IF(Main_L[[#This Row],[EPS]]&lt;&gt;0,Main_L[[#This Row],[Current Price]]/Main_L[[#This Row],[EPS]],""),"")</f>
        <v>20.110837438423648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3.8005796882642169E-2</v>
      </c>
      <c r="P37" s="1">
        <f>(Main_L[[#This Row],[P/B]]-VLOOKUP(Main_L[[#This Row],[Industry]], Mean_PB_L, 2, FALSE))/(VLOOKUP(Main_L[[#This Row],[Industry]], Mean_PB_L, 3, FALSE))</f>
        <v>4.7028819145357517</v>
      </c>
      <c r="Q37" s="1">
        <f>(Main_L[[#This Row],[ROE]]-VLOOKUP(Main_L[[#This Row],[Industry]], Mean_ROE_L, 2, FALSE))/(VLOOKUP(Main_L[[#This Row],[Industry]], Mean_ROE_L, 3, FALSE))</f>
        <v>1.6684029498298314</v>
      </c>
      <c r="R37" s="1">
        <f>(Main_L[[#This Row],[ROA]]-VLOOKUP(Main_L[[#This Row],[Industry]], Mean_ROA_L, 2, FALSE))/(VLOOKUP(Main_L[[#This Row],[Industry]], Mean_ROA_L, 3, FALSE))</f>
        <v>1.9300643856285964</v>
      </c>
      <c r="S37" s="1">
        <f>(Main_L[[#This Row],[A/E]]-VLOOKUP(Main_L[[#This Row],[Industry]], Mean_AE_L, 2, FALSE))/(VLOOKUP(Main_L[[#This Row],[Industry]], Mean_AE_L, 3, FALSE))</f>
        <v>0.31502062120361835</v>
      </c>
      <c r="T37" s="1">
        <f>(Main_L[[#This Row],[P/E]]-VLOOKUP(Main_L[[#This Row],[Industry]], Mean_PE_L, 2, FALSE))/(VLOOKUP(Main_L[[#This Row],[Industry]], Mean_PE_L, 3, FALSE))</f>
        <v>0.18947520398354242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107</v>
      </c>
      <c r="B38" t="s">
        <v>182</v>
      </c>
      <c r="C38" s="2">
        <v>28643</v>
      </c>
      <c r="D38">
        <f>RTD("tos.rtd", , "LAST", Main_L[[#This Row],[Symbol]])</f>
        <v>82.11</v>
      </c>
      <c r="E38">
        <v>2.5099999999999998</v>
      </c>
      <c r="F38">
        <v>11.28</v>
      </c>
      <c r="G38">
        <v>3.97</v>
      </c>
      <c r="H38" s="1">
        <f>IF(ISNUMBER(Main_L[[#This Row],[Free CF]]),IF(Main_L[[#This Row],[Free CF]]&lt;&gt;0,Main_L[[#This Row],[Current Price]]/Main_L[[#This Row],[Free CF]],""),"")</f>
        <v>32.713147410358566</v>
      </c>
      <c r="I38" s="1">
        <f>IF(ISNUMBER(Main_L[[#This Row],[BVPS]]),IF(Main_L[[#This Row],[BVPS]]&lt;&gt;0,Main_L[[#This Row],[Current Price]]/Main_L[[#This Row],[BVPS]],""),"")</f>
        <v>7.2792553191489366</v>
      </c>
      <c r="J38">
        <v>38.15</v>
      </c>
      <c r="K38">
        <v>8.1199999999999992</v>
      </c>
      <c r="L38">
        <v>3.95</v>
      </c>
      <c r="M38" s="1">
        <f>IF(ISNUMBER(Main_L[[#This Row],[EPS]]),IF(Main_L[[#This Row],[EPS]]&lt;&gt;0,Main_L[[#This Row],[Current Price]]/Main_L[[#This Row],[EPS]],""),"")</f>
        <v>20.682619647355164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1.9647884880072108</v>
      </c>
      <c r="P38" s="1">
        <f>(Main_L[[#This Row],[P/B]]-VLOOKUP(Main_L[[#This Row],[Industry]], Mean_PB_L, 2, FALSE))/(VLOOKUP(Main_L[[#This Row],[Industry]], Mean_PB_L, 3, FALSE))</f>
        <v>4.9077436972001145</v>
      </c>
      <c r="Q38" s="1">
        <f>(Main_L[[#This Row],[ROE]]-VLOOKUP(Main_L[[#This Row],[Industry]], Mean_ROE_L, 2, FALSE))/(VLOOKUP(Main_L[[#This Row],[Industry]], Mean_ROE_L, 3, FALSE))</f>
        <v>1.7194854007679559</v>
      </c>
      <c r="R38" s="1">
        <f>(Main_L[[#This Row],[ROA]]-VLOOKUP(Main_L[[#This Row],[Industry]], Mean_ROA_L, 2, FALSE))/(VLOOKUP(Main_L[[#This Row],[Industry]], Mean_ROA_L, 3, FALSE))</f>
        <v>0.85196154813782621</v>
      </c>
      <c r="S38" s="1">
        <f>(Main_L[[#This Row],[A/E]]-VLOOKUP(Main_L[[#This Row],[Industry]], Mean_AE_L, 2, FALSE))/(VLOOKUP(Main_L[[#This Row],[Industry]], Mean_AE_L, 3, FALSE))</f>
        <v>1.6394726447160441</v>
      </c>
      <c r="T38" s="1">
        <f>(Main_L[[#This Row],[P/E]]-VLOOKUP(Main_L[[#This Row],[Industry]], Mean_PE_L, 2, FALSE))/(VLOOKUP(Main_L[[#This Row],[Industry]], Mean_PE_L, 3, FALSE))</f>
        <v>0.27455611383613199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107</v>
      </c>
      <c r="B39" t="s">
        <v>183</v>
      </c>
      <c r="C39" s="2">
        <v>33411</v>
      </c>
      <c r="D39">
        <f>RTD("tos.rtd", , "LAST", Main_L[[#This Row],[Symbol]])</f>
        <v>27.59</v>
      </c>
      <c r="E39">
        <v>2.5099999999999998</v>
      </c>
      <c r="F39">
        <v>41.56</v>
      </c>
      <c r="G39">
        <v>2.19</v>
      </c>
      <c r="H39" s="1">
        <f>IF(ISNUMBER(Main_L[[#This Row],[Free CF]]),IF(Main_L[[#This Row],[Free CF]]&lt;&gt;0,Main_L[[#This Row],[Current Price]]/Main_L[[#This Row],[Free CF]],""),"")</f>
        <v>10.99203187250996</v>
      </c>
      <c r="I39" s="1">
        <f>IF(ISNUMBER(Main_L[[#This Row],[BVPS]]),IF(Main_L[[#This Row],[BVPS]]&lt;&gt;0,Main_L[[#This Row],[Current Price]]/Main_L[[#This Row],[BVPS]],""),"")</f>
        <v>0.66385948026948982</v>
      </c>
      <c r="J39">
        <v>5.35</v>
      </c>
      <c r="K39">
        <v>3.75</v>
      </c>
      <c r="L39">
        <v>1.83</v>
      </c>
      <c r="M39" s="1">
        <f>IF(ISNUMBER(Main_L[[#This Row],[EPS]]),IF(Main_L[[#This Row],[EPS]]&lt;&gt;0,Main_L[[#This Row],[Current Price]]/Main_L[[#This Row],[EPS]],""),"")</f>
        <v>12.598173515981735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-0.91192126089702874</v>
      </c>
      <c r="P39" s="1">
        <f>(Main_L[[#This Row],[P/B]]-VLOOKUP(Main_L[[#This Row],[Industry]], Mean_PB_L, 2, FALSE))/(VLOOKUP(Main_L[[#This Row],[Industry]], Mean_PB_L, 3, FALSE))</f>
        <v>-1.363430909108895</v>
      </c>
      <c r="Q39" s="1">
        <f>(Main_L[[#This Row],[ROE]]-VLOOKUP(Main_L[[#This Row],[Industry]], Mean_ROE_L, 2, FALSE))/(VLOOKUP(Main_L[[#This Row],[Industry]], Mean_ROE_L, 3, FALSE))</f>
        <v>-0.78126742127754167</v>
      </c>
      <c r="R39" s="1">
        <f>(Main_L[[#This Row],[ROA]]-VLOOKUP(Main_L[[#This Row],[Industry]], Mean_ROA_L, 2, FALSE))/(VLOOKUP(Main_L[[#This Row],[Industry]], Mean_ROA_L, 3, FALSE))</f>
        <v>-0.80695021236733644</v>
      </c>
      <c r="S39" s="1">
        <f>(Main_L[[#This Row],[A/E]]-VLOOKUP(Main_L[[#This Row],[Industry]], Mean_AE_L, 2, FALSE))/(VLOOKUP(Main_L[[#This Row],[Industry]], Mean_AE_L, 3, FALSE))</f>
        <v>-1.2552060046100819</v>
      </c>
      <c r="T39" s="1">
        <f>(Main_L[[#This Row],[P/E]]-VLOOKUP(Main_L[[#This Row],[Industry]], Mean_PE_L, 2, FALSE))/(VLOOKUP(Main_L[[#This Row],[Industry]], Mean_PE_L, 3, FALSE))</f>
        <v>-0.92840547147944463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107</v>
      </c>
      <c r="B40" t="s">
        <v>184</v>
      </c>
      <c r="C40" s="2">
        <v>86986</v>
      </c>
      <c r="D40">
        <f>RTD("tos.rtd", , "LAST", Main_L[[#This Row],[Symbol]])</f>
        <v>64.14</v>
      </c>
      <c r="E40">
        <v>2.4900000000000002</v>
      </c>
      <c r="F40">
        <v>19.91</v>
      </c>
      <c r="G40">
        <v>2.7</v>
      </c>
      <c r="H40" s="1">
        <f>IF(ISNUMBER(Main_L[[#This Row],[Free CF]]),IF(Main_L[[#This Row],[Free CF]]&lt;&gt;0,Main_L[[#This Row],[Current Price]]/Main_L[[#This Row],[Free CF]],""),"")</f>
        <v>25.75903614457831</v>
      </c>
      <c r="I40" s="1">
        <f>IF(ISNUMBER(Main_L[[#This Row],[BVPS]]),IF(Main_L[[#This Row],[BVPS]]&lt;&gt;0,Main_L[[#This Row],[Current Price]]/Main_L[[#This Row],[BVPS]],""),"")</f>
        <v>3.2214967353088899</v>
      </c>
      <c r="J40">
        <v>13.3</v>
      </c>
      <c r="K40">
        <v>3.66</v>
      </c>
      <c r="L40">
        <v>2.67</v>
      </c>
      <c r="M40" s="1">
        <f>IF(ISNUMBER(Main_L[[#This Row],[EPS]]),IF(Main_L[[#This Row],[EPS]]&lt;&gt;0,Main_L[[#This Row],[Current Price]]/Main_L[[#This Row],[EPS]],""),"")</f>
        <v>23.755555555555553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1.0437971310772858</v>
      </c>
      <c r="P40" s="1">
        <f>(Main_L[[#This Row],[P/B]]-VLOOKUP(Main_L[[#This Row],[Industry]], Mean_PB_L, 2, FALSE))/(VLOOKUP(Main_L[[#This Row],[Industry]], Mean_PB_L, 3, FALSE))</f>
        <v>1.0611239016081926</v>
      </c>
      <c r="Q40" s="1">
        <f>(Main_L[[#This Row],[ROE]]-VLOOKUP(Main_L[[#This Row],[Industry]], Mean_ROE_L, 2, FALSE))/(VLOOKUP(Main_L[[#This Row],[Industry]], Mean_ROE_L, 3, FALSE))</f>
        <v>-0.17513983178785542</v>
      </c>
      <c r="R40" s="1">
        <f>(Main_L[[#This Row],[ROA]]-VLOOKUP(Main_L[[#This Row],[Industry]], Mean_ROA_L, 2, FALSE))/(VLOOKUP(Main_L[[#This Row],[Industry]], Mean_ROA_L, 3, FALSE))</f>
        <v>-0.84111544313288888</v>
      </c>
      <c r="S40" s="1">
        <f>(Main_L[[#This Row],[A/E]]-VLOOKUP(Main_L[[#This Row],[Industry]], Mean_AE_L, 2, FALSE))/(VLOOKUP(Main_L[[#This Row],[Industry]], Mean_AE_L, 3, FALSE))</f>
        <v>-0.10825786053746615</v>
      </c>
      <c r="T40" s="1">
        <f>(Main_L[[#This Row],[P/E]]-VLOOKUP(Main_L[[#This Row],[Industry]], Mean_PE_L, 2, FALSE))/(VLOOKUP(Main_L[[#This Row],[Industry]], Mean_PE_L, 3, FALSE))</f>
        <v>0.73180745692522231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107</v>
      </c>
      <c r="B41" t="s">
        <v>185</v>
      </c>
      <c r="C41" s="2">
        <v>20103</v>
      </c>
      <c r="D41">
        <f>RTD("tos.rtd", , "LAST", Main_L[[#This Row],[Symbol]])</f>
        <v>74.8</v>
      </c>
      <c r="E41">
        <v>2.42</v>
      </c>
      <c r="F41">
        <v>20.22</v>
      </c>
      <c r="G41">
        <v>2.9</v>
      </c>
      <c r="H41" s="1">
        <f>IF(ISNUMBER(Main_L[[#This Row],[Free CF]]),IF(Main_L[[#This Row],[Free CF]]&lt;&gt;0,Main_L[[#This Row],[Current Price]]/Main_L[[#This Row],[Free CF]],""),"")</f>
        <v>30.90909090909091</v>
      </c>
      <c r="I41" s="1">
        <f>IF(ISNUMBER(Main_L[[#This Row],[BVPS]]),IF(Main_L[[#This Row],[BVPS]]&lt;&gt;0,Main_L[[#This Row],[Current Price]]/Main_L[[#This Row],[BVPS]],""),"")</f>
        <v>3.6993076162215628</v>
      </c>
      <c r="J41">
        <v>14.66</v>
      </c>
      <c r="K41">
        <v>5.16</v>
      </c>
      <c r="L41">
        <v>2.38</v>
      </c>
      <c r="M41" s="1">
        <f>IF(ISNUMBER(Main_L[[#This Row],[EPS]]),IF(Main_L[[#This Row],[EPS]]&lt;&gt;0,Main_L[[#This Row],[Current Price]]/Main_L[[#This Row],[EPS]],""),"")</f>
        <v>25.793103448275861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1.7258621347208103</v>
      </c>
      <c r="P41" s="1">
        <f>(Main_L[[#This Row],[P/B]]-VLOOKUP(Main_L[[#This Row],[Industry]], Mean_PB_L, 2, FALSE))/(VLOOKUP(Main_L[[#This Row],[Industry]], Mean_PB_L, 3, FALSE))</f>
        <v>1.5140726798789188</v>
      </c>
      <c r="Q41" s="1">
        <f>(Main_L[[#This Row],[ROE]]-VLOOKUP(Main_L[[#This Row],[Industry]], Mean_ROE_L, 2, FALSE))/(VLOOKUP(Main_L[[#This Row],[Industry]], Mean_ROE_L, 3, FALSE))</f>
        <v>-7.1450080629871404E-2</v>
      </c>
      <c r="R41" s="1">
        <f>(Main_L[[#This Row],[ROA]]-VLOOKUP(Main_L[[#This Row],[Industry]], Mean_ROA_L, 2, FALSE))/(VLOOKUP(Main_L[[#This Row],[Industry]], Mean_ROA_L, 3, FALSE))</f>
        <v>-0.2716949303736797</v>
      </c>
      <c r="S41" s="1">
        <f>(Main_L[[#This Row],[A/E]]-VLOOKUP(Main_L[[#This Row],[Industry]], Mean_AE_L, 2, FALSE))/(VLOOKUP(Main_L[[#This Row],[Industry]], Mean_AE_L, 3, FALSE))</f>
        <v>-0.50422805313396457</v>
      </c>
      <c r="T41" s="1">
        <f>(Main_L[[#This Row],[P/E]]-VLOOKUP(Main_L[[#This Row],[Industry]], Mean_PE_L, 2, FALSE))/(VLOOKUP(Main_L[[#This Row],[Industry]], Mean_PE_L, 3, FALSE))</f>
        <v>1.0349935754734363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107</v>
      </c>
      <c r="B42" t="s">
        <v>186</v>
      </c>
      <c r="C42" s="2">
        <v>11093</v>
      </c>
      <c r="D42">
        <f>RTD("tos.rtd", , "LAST", Main_L[[#This Row],[Symbol]])</f>
        <v>46.63</v>
      </c>
      <c r="E42">
        <v>5.82</v>
      </c>
      <c r="F42">
        <v>13.2</v>
      </c>
      <c r="G42">
        <v>5.08</v>
      </c>
      <c r="H42" s="1">
        <f>IF(ISNUMBER(Main_L[[#This Row],[Free CF]]),IF(Main_L[[#This Row],[Free CF]]&lt;&gt;0,Main_L[[#This Row],[Current Price]]/Main_L[[#This Row],[Free CF]],""),"")</f>
        <v>8.0120274914089347</v>
      </c>
      <c r="I42" s="1">
        <f>IF(ISNUMBER(Main_L[[#This Row],[BVPS]]),IF(Main_L[[#This Row],[BVPS]]&lt;&gt;0,Main_L[[#This Row],[Current Price]]/Main_L[[#This Row],[BVPS]],""),"")</f>
        <v>3.5325757575757581</v>
      </c>
      <c r="J42">
        <v>36.39</v>
      </c>
      <c r="K42">
        <v>11.46</v>
      </c>
      <c r="L42">
        <v>3.5</v>
      </c>
      <c r="M42" s="1">
        <f>IF(ISNUMBER(Main_L[[#This Row],[EPS]]),IF(Main_L[[#This Row],[EPS]]&lt;&gt;0,Main_L[[#This Row],[Current Price]]/Main_L[[#This Row],[EPS]],""),"")</f>
        <v>9.1791338582677167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-1.3065882677527803</v>
      </c>
      <c r="P42" s="1">
        <f>(Main_L[[#This Row],[P/B]]-VLOOKUP(Main_L[[#This Row],[Industry]], Mean_PB_L, 2, FALSE))/(VLOOKUP(Main_L[[#This Row],[Industry]], Mean_PB_L, 3, FALSE))</f>
        <v>1.3560164390328104</v>
      </c>
      <c r="Q42" s="1">
        <f>(Main_L[[#This Row],[ROE]]-VLOOKUP(Main_L[[#This Row],[Industry]], Mean_ROE_L, 2, FALSE))/(VLOOKUP(Main_L[[#This Row],[Industry]], Mean_ROE_L, 3, FALSE))</f>
        <v>1.5852986639752709</v>
      </c>
      <c r="R42" s="1">
        <f>(Main_L[[#This Row],[ROA]]-VLOOKUP(Main_L[[#This Row],[Industry]], Mean_ROA_L, 2, FALSE))/(VLOOKUP(Main_L[[#This Row],[Industry]], Mean_ROA_L, 3, FALSE))</f>
        <v>2.1198712232149992</v>
      </c>
      <c r="S42" s="1">
        <f>(Main_L[[#This Row],[A/E]]-VLOOKUP(Main_L[[#This Row],[Industry]], Mean_AE_L, 2, FALSE))/(VLOOKUP(Main_L[[#This Row],[Industry]], Mean_AE_L, 3, FALSE))</f>
        <v>1.0250361389628568</v>
      </c>
      <c r="T42" s="1">
        <f>(Main_L[[#This Row],[P/E]]-VLOOKUP(Main_L[[#This Row],[Industry]], Mean_PE_L, 2, FALSE))/(VLOOKUP(Main_L[[#This Row],[Industry]], Mean_PE_L, 3, FALSE))</f>
        <v>-1.43715688129331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107</v>
      </c>
      <c r="B43" t="s">
        <v>187</v>
      </c>
      <c r="C43" s="2">
        <v>11946</v>
      </c>
      <c r="D43">
        <f>RTD("tos.rtd", , "LAST", Main_L[[#This Row],[Symbol]])</f>
        <v>111.49</v>
      </c>
      <c r="E43">
        <v>7.67</v>
      </c>
      <c r="F43">
        <v>64.91</v>
      </c>
      <c r="G43">
        <v>-2.42</v>
      </c>
      <c r="H43" s="1">
        <f>IF(ISNUMBER(Main_L[[#This Row],[Free CF]]),IF(Main_L[[#This Row],[Free CF]]&lt;&gt;0,Main_L[[#This Row],[Current Price]]/Main_L[[#This Row],[Free CF]],""),"")</f>
        <v>14.535853976531943</v>
      </c>
      <c r="I43" s="1">
        <f>IF(ISNUMBER(Main_L[[#This Row],[BVPS]]),IF(Main_L[[#This Row],[BVPS]]&lt;&gt;0,Main_L[[#This Row],[Current Price]]/Main_L[[#This Row],[BVPS]],""),"")</f>
        <v>1.7176089970728701</v>
      </c>
      <c r="J43">
        <v>-3.55</v>
      </c>
      <c r="K43">
        <v>5.52</v>
      </c>
      <c r="L43">
        <v>2.67</v>
      </c>
      <c r="M43" s="1">
        <f>IF(ISNUMBER(Main_L[[#This Row],[EPS]]),IF(Main_L[[#This Row],[EPS]]&lt;&gt;0,Main_L[[#This Row],[Current Price]]/Main_L[[#This Row],[EPS]],""),"")</f>
        <v>-46.070247933884296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-0.44258313794203702</v>
      </c>
      <c r="P43" s="1">
        <f>(Main_L[[#This Row],[P/B]]-VLOOKUP(Main_L[[#This Row],[Industry]], Mean_PB_L, 2, FALSE))/(VLOOKUP(Main_L[[#This Row],[Industry]], Mean_PB_L, 3, FALSE))</f>
        <v>-0.36451151378710434</v>
      </c>
      <c r="Q43" s="1">
        <f>(Main_L[[#This Row],[ROE]]-VLOOKUP(Main_L[[#This Row],[Industry]], Mean_ROE_L, 2, FALSE))/(VLOOKUP(Main_L[[#This Row],[Industry]], Mean_ROE_L, 3, FALSE))</f>
        <v>-1.4598253516496429</v>
      </c>
      <c r="R43" s="1">
        <f>(Main_L[[#This Row],[ROA]]-VLOOKUP(Main_L[[#This Row],[Industry]], Mean_ROA_L, 2, FALSE))/(VLOOKUP(Main_L[[#This Row],[Industry]], Mean_ROA_L, 3, FALSE))</f>
        <v>-0.13503400731146967</v>
      </c>
      <c r="S43" s="1">
        <f>(Main_L[[#This Row],[A/E]]-VLOOKUP(Main_L[[#This Row],[Industry]], Mean_AE_L, 2, FALSE))/(VLOOKUP(Main_L[[#This Row],[Industry]], Mean_AE_L, 3, FALSE))</f>
        <v>-0.10825786053746615</v>
      </c>
      <c r="T43" s="1">
        <f>(Main_L[[#This Row],[P/E]]-VLOOKUP(Main_L[[#This Row],[Industry]], Mean_PE_L, 2, FALSE))/(VLOOKUP(Main_L[[#This Row],[Industry]], Mean_PE_L, 3, FALSE))</f>
        <v>-9.65823756243846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4" spans="1:26" x14ac:dyDescent="0.25">
      <c r="A44" t="s">
        <v>107</v>
      </c>
      <c r="B44" t="s">
        <v>188</v>
      </c>
      <c r="C44" s="2">
        <v>19657</v>
      </c>
      <c r="D44">
        <f>RTD("tos.rtd", , "LAST", Main_L[[#This Row],[Symbol]])</f>
        <v>55.36</v>
      </c>
      <c r="E44">
        <v>3.62</v>
      </c>
      <c r="F44">
        <v>51.65</v>
      </c>
      <c r="G44">
        <v>2.57</v>
      </c>
      <c r="H44" s="1">
        <f>IF(ISNUMBER(Main_L[[#This Row],[Free CF]]),IF(Main_L[[#This Row],[Free CF]]&lt;&gt;0,Main_L[[#This Row],[Current Price]]/Main_L[[#This Row],[Free CF]],""),"")</f>
        <v>15.292817679558011</v>
      </c>
      <c r="I44" s="1">
        <f>IF(ISNUMBER(Main_L[[#This Row],[BVPS]]),IF(Main_L[[#This Row],[BVPS]]&lt;&gt;0,Main_L[[#This Row],[Current Price]]/Main_L[[#This Row],[BVPS]],""),"")</f>
        <v>1.0718296224588577</v>
      </c>
      <c r="J44">
        <v>5.12</v>
      </c>
      <c r="K44">
        <v>3.67</v>
      </c>
      <c r="L44">
        <v>1.97</v>
      </c>
      <c r="M44" s="1">
        <f>IF(ISNUMBER(Main_L[[#This Row],[EPS]]),IF(Main_L[[#This Row],[EPS]]&lt;&gt;0,Main_L[[#This Row],[Current Price]]/Main_L[[#This Row],[EPS]],""),"")</f>
        <v>21.540856031128406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-0.34233207761931178</v>
      </c>
      <c r="P44" s="1">
        <f>(Main_L[[#This Row],[P/B]]-VLOOKUP(Main_L[[#This Row],[Industry]], Mean_PB_L, 2, FALSE))/(VLOOKUP(Main_L[[#This Row],[Industry]], Mean_PB_L, 3, FALSE))</f>
        <v>-0.97668882169004079</v>
      </c>
      <c r="Q44" s="1">
        <f>(Main_L[[#This Row],[ROE]]-VLOOKUP(Main_L[[#This Row],[Industry]], Mean_ROE_L, 2, FALSE))/(VLOOKUP(Main_L[[#This Row],[Industry]], Mean_ROE_L, 3, FALSE))</f>
        <v>-0.79880318801749484</v>
      </c>
      <c r="R44" s="1">
        <f>(Main_L[[#This Row],[ROA]]-VLOOKUP(Main_L[[#This Row],[Industry]], Mean_ROA_L, 2, FALSE))/(VLOOKUP(Main_L[[#This Row],[Industry]], Mean_ROA_L, 3, FALSE))</f>
        <v>-0.83731930638116092</v>
      </c>
      <c r="S44" s="1">
        <f>(Main_L[[#This Row],[A/E]]-VLOOKUP(Main_L[[#This Row],[Industry]], Mean_AE_L, 2, FALSE))/(VLOOKUP(Main_L[[#This Row],[Industry]], Mean_AE_L, 3, FALSE))</f>
        <v>-1.0640479805979792</v>
      </c>
      <c r="T44" s="1">
        <f>(Main_L[[#This Row],[P/E]]-VLOOKUP(Main_L[[#This Row],[Industry]], Mean_PE_L, 2, FALSE))/(VLOOKUP(Main_L[[#This Row],[Industry]], Mean_PE_L, 3, FALSE))</f>
        <v>0.40226126320843331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109</v>
      </c>
      <c r="B45" t="s">
        <v>192</v>
      </c>
      <c r="C45" s="2">
        <v>22655</v>
      </c>
      <c r="D45">
        <f>RTD("tos.rtd", , "LAST", Main_L[[#This Row],[Symbol]])</f>
        <v>94.1</v>
      </c>
      <c r="E45">
        <v>3.79</v>
      </c>
      <c r="F45">
        <v>18.48</v>
      </c>
      <c r="G45">
        <v>2.33</v>
      </c>
      <c r="H45" s="1">
        <f>IF(ISNUMBER(Main_L[[#This Row],[Free CF]]),IF(Main_L[[#This Row],[Free CF]]&lt;&gt;0,Main_L[[#This Row],[Current Price]]/Main_L[[#This Row],[Free CF]],""),"")</f>
        <v>24.828496042216358</v>
      </c>
      <c r="I45" s="1">
        <f>IF(ISNUMBER(Main_L[[#This Row],[BVPS]]),IF(Main_L[[#This Row],[BVPS]]&lt;&gt;0,Main_L[[#This Row],[Current Price]]/Main_L[[#This Row],[BVPS]],""),"")</f>
        <v>5.0919913419913412</v>
      </c>
      <c r="J45">
        <v>13.36</v>
      </c>
      <c r="K45">
        <v>8.24</v>
      </c>
      <c r="L45">
        <v>1.97</v>
      </c>
      <c r="M45" s="1">
        <f>IF(ISNUMBER(Main_L[[#This Row],[EPS]]),IF(Main_L[[#This Row],[EPS]]&lt;&gt;0,Main_L[[#This Row],[Current Price]]/Main_L[[#This Row],[EPS]],""),"")</f>
        <v>40.386266094420598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0.84710261446796953</v>
      </c>
      <c r="P45" s="1">
        <f>(Main_L[[#This Row],[P/B]]-VLOOKUP(Main_L[[#This Row],[Industry]], Mean_PB_L, 2, FALSE))/(VLOOKUP(Main_L[[#This Row],[Industry]], Mean_PB_L, 3, FALSE))</f>
        <v>-0.72749062753012661</v>
      </c>
      <c r="Q45" s="1">
        <f>(Main_L[[#This Row],[ROE]]-VLOOKUP(Main_L[[#This Row],[Industry]], Mean_ROE_L, 2, FALSE))/(VLOOKUP(Main_L[[#This Row],[Industry]], Mean_ROE_L, 3, FALSE))</f>
        <v>-1.1367484727673167</v>
      </c>
      <c r="R45" s="1">
        <f>(Main_L[[#This Row],[ROA]]-VLOOKUP(Main_L[[#This Row],[Industry]], Mean_ROA_L, 2, FALSE))/(VLOOKUP(Main_L[[#This Row],[Industry]], Mean_ROA_L, 3, FALSE))</f>
        <v>-1.5757619273427383</v>
      </c>
      <c r="S45" s="1">
        <f>(Main_L[[#This Row],[A/E]]-VLOOKUP(Main_L[[#This Row],[Industry]], Mean_AE_L, 2, FALSE))/(VLOOKUP(Main_L[[#This Row],[Industry]], Mean_AE_L, 3, FALSE))</f>
        <v>-0.80030919439123205</v>
      </c>
      <c r="T45" s="1">
        <f>(Main_L[[#This Row],[P/E]]-VLOOKUP(Main_L[[#This Row],[Industry]], Mean_PE_L, 2, FALSE))/(VLOOKUP(Main_L[[#This Row],[Industry]], Mean_PE_L, 3, FALSE))</f>
        <v>52.634728999307235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6" spans="1:26" x14ac:dyDescent="0.25">
      <c r="A46" t="s">
        <v>109</v>
      </c>
      <c r="B46" t="s">
        <v>193</v>
      </c>
      <c r="C46" s="2">
        <v>73651</v>
      </c>
      <c r="D46">
        <f>RTD("tos.rtd", , "LAST", Main_L[[#This Row],[Symbol]])</f>
        <v>87.88</v>
      </c>
      <c r="E46">
        <v>4.25</v>
      </c>
      <c r="F46">
        <v>0.45</v>
      </c>
      <c r="G46">
        <v>3.53</v>
      </c>
      <c r="H46" s="1">
        <f>IF(ISNUMBER(Main_L[[#This Row],[Free CF]]),IF(Main_L[[#This Row],[Free CF]]&lt;&gt;0,Main_L[[#This Row],[Current Price]]/Main_L[[#This Row],[Free CF]],""),"")</f>
        <v>20.677647058823528</v>
      </c>
      <c r="I46" s="1">
        <f>IF(ISNUMBER(Main_L[[#This Row],[BVPS]]),IF(Main_L[[#This Row],[BVPS]]&lt;&gt;0,Main_L[[#This Row],[Current Price]]/Main_L[[#This Row],[BVPS]],""),"")</f>
        <v>195.28888888888886</v>
      </c>
      <c r="J46">
        <v>451.26</v>
      </c>
      <c r="K46">
        <v>16.02</v>
      </c>
      <c r="L46">
        <v>45.86</v>
      </c>
      <c r="M46" s="1">
        <f>IF(ISNUMBER(Main_L[[#This Row],[EPS]]),IF(Main_L[[#This Row],[EPS]]&lt;&gt;0,Main_L[[#This Row],[Current Price]]/Main_L[[#This Row],[EPS]],""),"")</f>
        <v>24.895184135977338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-0.80107321315893765</v>
      </c>
      <c r="P46" s="1">
        <f>(Main_L[[#This Row],[P/B]]-VLOOKUP(Main_L[[#This Row],[Industry]], Mean_PB_L, 2, FALSE))/(VLOOKUP(Main_L[[#This Row],[Industry]], Mean_PB_L, 3, FALSE))</f>
        <v>1.7041340790090114</v>
      </c>
      <c r="Q46" s="1">
        <f>(Main_L[[#This Row],[ROE]]-VLOOKUP(Main_L[[#This Row],[Industry]], Mean_ROE_L, 2, FALSE))/(VLOOKUP(Main_L[[#This Row],[Industry]], Mean_ROE_L, 3, FALSE))</f>
        <v>1.4726650236198848</v>
      </c>
      <c r="R46" s="1">
        <f>(Main_L[[#This Row],[ROA]]-VLOOKUP(Main_L[[#This Row],[Industry]], Mean_ROA_L, 2, FALSE))/(VLOOKUP(Main_L[[#This Row],[Industry]], Mean_ROA_L, 3, FALSE))</f>
        <v>2.998651428898492</v>
      </c>
      <c r="S46" s="1">
        <f>(Main_L[[#This Row],[A/E]]-VLOOKUP(Main_L[[#This Row],[Industry]], Mean_AE_L, 2, FALSE))/(VLOOKUP(Main_L[[#This Row],[Industry]], Mean_AE_L, 3, FALSE))</f>
        <v>1.6581734332085001</v>
      </c>
      <c r="T46" s="1">
        <f>(Main_L[[#This Row],[P/E]]-VLOOKUP(Main_L[[#This Row],[Industry]], Mean_PE_L, 2, FALSE))/(VLOOKUP(Main_L[[#This Row],[Industry]], Mean_PE_L, 3, FALSE))</f>
        <v>0.13484665782919047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t="s">
        <v>109</v>
      </c>
      <c r="B47" t="s">
        <v>194</v>
      </c>
      <c r="C47" s="2">
        <v>16822</v>
      </c>
      <c r="D47">
        <f>RTD("tos.rtd", , "LAST", Main_L[[#This Row],[Symbol]])</f>
        <v>136.33000000000001</v>
      </c>
      <c r="E47">
        <v>5.6</v>
      </c>
      <c r="F47">
        <v>0.22</v>
      </c>
      <c r="G47">
        <v>5.57</v>
      </c>
      <c r="H47" s="1">
        <f>IF(ISNUMBER(Main_L[[#This Row],[Free CF]]),IF(Main_L[[#This Row],[Free CF]]&lt;&gt;0,Main_L[[#This Row],[Current Price]]/Main_L[[#This Row],[Free CF]],""),"")</f>
        <v>24.344642857142862</v>
      </c>
      <c r="I47" s="1">
        <f>IF(ISNUMBER(Main_L[[#This Row],[BVPS]]),IF(Main_L[[#This Row],[BVPS]]&lt;&gt;0,Main_L[[#This Row],[Current Price]]/Main_L[[#This Row],[BVPS]],""),"")</f>
        <v>619.68181818181824</v>
      </c>
      <c r="J47">
        <v>318.64999999999998</v>
      </c>
      <c r="K47">
        <v>12.92</v>
      </c>
      <c r="L47">
        <v>204.15</v>
      </c>
      <c r="M47" s="1">
        <f>IF(ISNUMBER(Main_L[[#This Row],[EPS]]),IF(Main_L[[#This Row],[EPS]]&lt;&gt;0,Main_L[[#This Row],[Current Price]]/Main_L[[#This Row],[EPS]],""),"")</f>
        <v>24.475763016157991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0.65497923755181331</v>
      </c>
      <c r="P47" s="1">
        <f>(Main_L[[#This Row],[P/B]]-VLOOKUP(Main_L[[#This Row],[Industry]], Mean_PB_L, 2, FALSE))/(VLOOKUP(Main_L[[#This Row],[Industry]], Mean_PB_L, 3, FALSE))</f>
        <v>7.1299025613511029</v>
      </c>
      <c r="Q47" s="1">
        <f>(Main_L[[#This Row],[ROE]]-VLOOKUP(Main_L[[#This Row],[Industry]], Mean_ROE_L, 2, FALSE))/(VLOOKUP(Main_L[[#This Row],[Industry]], Mean_ROE_L, 3, FALSE))</f>
        <v>0.6824519070272681</v>
      </c>
      <c r="R47" s="1">
        <f>(Main_L[[#This Row],[ROA]]-VLOOKUP(Main_L[[#This Row],[Industry]], Mean_ROA_L, 2, FALSE))/(VLOOKUP(Main_L[[#This Row],[Industry]], Mean_ROA_L, 3, FALSE))</f>
        <v>1.1759417368229375</v>
      </c>
      <c r="S47" s="1">
        <f>(Main_L[[#This Row],[A/E]]-VLOOKUP(Main_L[[#This Row],[Industry]], Mean_AE_L, 2, FALSE))/(VLOOKUP(Main_L[[#This Row],[Industry]], Mean_AE_L, 3, FALSE))</f>
        <v>10.524731080115806</v>
      </c>
      <c r="T47" s="1">
        <f>(Main_L[[#This Row],[P/E]]-VLOOKUP(Main_L[[#This Row],[Industry]], Mean_PE_L, 2, FALSE))/(VLOOKUP(Main_L[[#This Row],[Industry]], Mean_PE_L, 3, FALSE))</f>
        <v>-1.286587913436837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109</v>
      </c>
      <c r="B48" t="s">
        <v>195</v>
      </c>
      <c r="C48" s="2">
        <v>44327</v>
      </c>
      <c r="D48">
        <f>RTD("tos.rtd", , "LAST", Main_L[[#This Row],[Symbol]])</f>
        <v>134.03</v>
      </c>
      <c r="E48">
        <v>7.15</v>
      </c>
      <c r="F48">
        <v>3.32</v>
      </c>
      <c r="G48">
        <v>7.34</v>
      </c>
      <c r="H48" s="1">
        <f>IF(ISNUMBER(Main_L[[#This Row],[Free CF]]),IF(Main_L[[#This Row],[Free CF]]&lt;&gt;0,Main_L[[#This Row],[Current Price]]/Main_L[[#This Row],[Free CF]],""),"")</f>
        <v>18.745454545454546</v>
      </c>
      <c r="I48" s="1">
        <f>IF(ISNUMBER(Main_L[[#This Row],[BVPS]]),IF(Main_L[[#This Row],[BVPS]]&lt;&gt;0,Main_L[[#This Row],[Current Price]]/Main_L[[#This Row],[BVPS]],""),"")</f>
        <v>40.370481927710848</v>
      </c>
      <c r="J48">
        <v>207.06</v>
      </c>
      <c r="K48">
        <v>11.54</v>
      </c>
      <c r="L48">
        <v>14.81</v>
      </c>
      <c r="M48" s="1">
        <f>IF(ISNUMBER(Main_L[[#This Row],[EPS]]),IF(Main_L[[#This Row],[EPS]]&lt;&gt;0,Main_L[[#This Row],[Current Price]]/Main_L[[#This Row],[EPS]],""),"")</f>
        <v>18.260217983651227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8" s="1">
        <f>(Main_L[[#This Row],[P/FCF]]-VLOOKUP(Main_L[[#This Row],[Industry]], Mean_PFCF_L, 2, FALSE))/(VLOOKUP(Main_L[[#This Row],[Industry]], Mean_PFCF_L, 3, FALSE))</f>
        <v>-1.5682880666979855</v>
      </c>
      <c r="P48" s="1">
        <f>(Main_L[[#This Row],[P/B]]-VLOOKUP(Main_L[[#This Row],[Industry]], Mean_PB_L, 2, FALSE))/(VLOOKUP(Main_L[[#This Row],[Industry]], Mean_PB_L, 3, FALSE))</f>
        <v>-0.27646303231663544</v>
      </c>
      <c r="Q48" s="1">
        <f>(Main_L[[#This Row],[ROE]]-VLOOKUP(Main_L[[#This Row],[Industry]], Mean_ROE_L, 2, FALSE))/(VLOOKUP(Main_L[[#This Row],[Industry]], Mean_ROE_L, 3, FALSE))</f>
        <v>1.7495405401673707E-2</v>
      </c>
      <c r="R48" s="1">
        <f>(Main_L[[#This Row],[ROA]]-VLOOKUP(Main_L[[#This Row],[Industry]], Mean_ROA_L, 2, FALSE))/(VLOOKUP(Main_L[[#This Row],[Industry]], Mean_ROA_L, 3, FALSE))</f>
        <v>0.3645419384151094</v>
      </c>
      <c r="S48" s="1">
        <f>(Main_L[[#This Row],[A/E]]-VLOOKUP(Main_L[[#This Row],[Industry]], Mean_AE_L, 2, FALSE))/(VLOOKUP(Main_L[[#This Row],[Industry]], Mean_AE_L, 3, FALSE))</f>
        <v>-8.1081193972445023E-2</v>
      </c>
      <c r="T48" s="1">
        <f>(Main_L[[#This Row],[P/E]]-VLOOKUP(Main_L[[#This Row],[Industry]], Mean_PE_L, 2, FALSE))/(VLOOKUP(Main_L[[#This Row],[Industry]], Mean_PE_L, 3, FALSE))</f>
        <v>-22.351313009472396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9" spans="1:26" x14ac:dyDescent="0.25">
      <c r="A49" t="s">
        <v>109</v>
      </c>
      <c r="B49" t="s">
        <v>196</v>
      </c>
      <c r="C49" s="2">
        <v>373462</v>
      </c>
      <c r="D49">
        <f>RTD("tos.rtd", , "LAST", Main_L[[#This Row],[Symbol]])</f>
        <v>158.72999999999999</v>
      </c>
      <c r="E49">
        <v>6.38</v>
      </c>
      <c r="F49">
        <v>21.96</v>
      </c>
      <c r="G49">
        <v>6.3</v>
      </c>
      <c r="H49" s="1">
        <f>IF(ISNUMBER(Main_L[[#This Row],[Free CF]]),IF(Main_L[[#This Row],[Free CF]]&lt;&gt;0,Main_L[[#This Row],[Current Price]]/Main_L[[#This Row],[Free CF]],""),"")</f>
        <v>24.879310344827584</v>
      </c>
      <c r="I49" s="1">
        <f>IF(ISNUMBER(Main_L[[#This Row],[BVPS]]),IF(Main_L[[#This Row],[BVPS]]&lt;&gt;0,Main_L[[#This Row],[Current Price]]/Main_L[[#This Row],[BVPS]],""),"")</f>
        <v>7.2281420765027313</v>
      </c>
      <c r="J49">
        <v>30.29</v>
      </c>
      <c r="K49">
        <v>10.98</v>
      </c>
      <c r="L49">
        <v>2.39</v>
      </c>
      <c r="M49" s="1">
        <f>IF(ISNUMBER(Main_L[[#This Row],[EPS]]),IF(Main_L[[#This Row],[EPS]]&lt;&gt;0,Main_L[[#This Row],[Current Price]]/Main_L[[#This Row],[EPS]],""),"")</f>
        <v>25.195238095238093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0.86727942783714307</v>
      </c>
      <c r="P49" s="1">
        <f>(Main_L[[#This Row],[P/B]]-VLOOKUP(Main_L[[#This Row],[Industry]], Mean_PB_L, 2, FALSE))/(VLOOKUP(Main_L[[#This Row],[Industry]], Mean_PB_L, 3, FALSE))</f>
        <v>-0.70018041916224905</v>
      </c>
      <c r="Q49" s="1">
        <f>(Main_L[[#This Row],[ROE]]-VLOOKUP(Main_L[[#This Row],[Industry]], Mean_ROE_L, 2, FALSE))/(VLOOKUP(Main_L[[#This Row],[Industry]], Mean_ROE_L, 3, FALSE))</f>
        <v>-1.0358638632815089</v>
      </c>
      <c r="R49" s="1">
        <f>(Main_L[[#This Row],[ROA]]-VLOOKUP(Main_L[[#This Row],[Industry]], Mean_ROA_L, 2, FALSE))/(VLOOKUP(Main_L[[#This Row],[Industry]], Mean_ROA_L, 3, FALSE))</f>
        <v>3.5278252104687401E-2</v>
      </c>
      <c r="S49" s="1">
        <f>(Main_L[[#This Row],[A/E]]-VLOOKUP(Main_L[[#This Row],[Industry]], Mean_AE_L, 2, FALSE))/(VLOOKUP(Main_L[[#This Row],[Industry]], Mean_AE_L, 3, FALSE))</f>
        <v>-0.77678304484482308</v>
      </c>
      <c r="T49" s="1">
        <f>(Main_L[[#This Row],[P/E]]-VLOOKUP(Main_L[[#This Row],[Industry]], Mean_PE_L, 2, FALSE))/(VLOOKUP(Main_L[[#This Row],[Industry]], Mean_PE_L, 3, FALSE))</f>
        <v>1.1517412556076465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110</v>
      </c>
      <c r="B50" t="s">
        <v>197</v>
      </c>
      <c r="C50" s="2">
        <v>21319</v>
      </c>
      <c r="D50">
        <f>RTD("tos.rtd", , "LAST", Main_L[[#This Row],[Symbol]])</f>
        <v>65.48</v>
      </c>
      <c r="E50">
        <v>2.63</v>
      </c>
      <c r="F50">
        <v>12.08</v>
      </c>
      <c r="G50">
        <v>-2.42</v>
      </c>
      <c r="H50" s="1">
        <f>IF(ISNUMBER(Main_L[[#This Row],[Free CF]]),IF(Main_L[[#This Row],[Free CF]]&lt;&gt;0,Main_L[[#This Row],[Current Price]]/Main_L[[#This Row],[Free CF]],""),"")</f>
        <v>24.897338403041829</v>
      </c>
      <c r="I50" s="1">
        <f>IF(ISNUMBER(Main_L[[#This Row],[BVPS]]),IF(Main_L[[#This Row],[BVPS]]&lt;&gt;0,Main_L[[#This Row],[Current Price]]/Main_L[[#This Row],[BVPS]],""),"")</f>
        <v>5.4205298013245038</v>
      </c>
      <c r="J50">
        <v>-15.98</v>
      </c>
      <c r="K50">
        <v>3.88</v>
      </c>
      <c r="L50">
        <v>4.58</v>
      </c>
      <c r="M50" s="1">
        <f>IF(ISNUMBER(Main_L[[#This Row],[EPS]]),IF(Main_L[[#This Row],[EPS]]&lt;&gt;0,Main_L[[#This Row],[Current Price]]/Main_L[[#This Row],[EPS]],""),"")</f>
        <v>-27.057851239669425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-0.2080982291154336</v>
      </c>
      <c r="P50" s="1">
        <f>(Main_L[[#This Row],[P/B]]-VLOOKUP(Main_L[[#This Row],[Industry]], Mean_PB_L, 2, FALSE))/(VLOOKUP(Main_L[[#This Row],[Industry]], Mean_PB_L, 3, FALSE))</f>
        <v>-0.33992686677047079</v>
      </c>
      <c r="Q50" s="1">
        <f>(Main_L[[#This Row],[ROE]]-VLOOKUP(Main_L[[#This Row],[Industry]], Mean_ROE_L, 2, FALSE))/(VLOOKUP(Main_L[[#This Row],[Industry]], Mean_ROE_L, 3, FALSE))</f>
        <v>-1.2774780168601563</v>
      </c>
      <c r="R50" s="1">
        <f>(Main_L[[#This Row],[ROA]]-VLOOKUP(Main_L[[#This Row],[Industry]], Mean_ROA_L, 2, FALSE))/(VLOOKUP(Main_L[[#This Row],[Industry]], Mean_ROA_L, 3, FALSE))</f>
        <v>-1.283260918175926</v>
      </c>
      <c r="S50" s="1">
        <f>(Main_L[[#This Row],[A/E]]-VLOOKUP(Main_L[[#This Row],[Industry]], Mean_AE_L, 2, FALSE))/(VLOOKUP(Main_L[[#This Row],[Industry]], Mean_AE_L, 3, FALSE))</f>
        <v>1.0402393690855012</v>
      </c>
      <c r="T50" s="1">
        <f>(Main_L[[#This Row],[P/E]]-VLOOKUP(Main_L[[#This Row],[Industry]], Mean_PE_L, 2, FALSE))/(VLOOKUP(Main_L[[#This Row],[Industry]], Mean_PE_L, 3, FALSE))</f>
        <v>-1.3704501456271365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110</v>
      </c>
      <c r="B51" t="s">
        <v>198</v>
      </c>
      <c r="C51" s="2">
        <v>44341</v>
      </c>
      <c r="D51">
        <f>RTD("tos.rtd", , "LAST", Main_L[[#This Row],[Symbol]])</f>
        <v>23.66</v>
      </c>
      <c r="E51">
        <v>0.69</v>
      </c>
      <c r="F51">
        <v>5.05</v>
      </c>
      <c r="G51">
        <v>0.54</v>
      </c>
      <c r="H51" s="1">
        <f>IF(ISNUMBER(Main_L[[#This Row],[Free CF]]),IF(Main_L[[#This Row],[Free CF]]&lt;&gt;0,Main_L[[#This Row],[Current Price]]/Main_L[[#This Row],[Free CF]],""),"")</f>
        <v>34.289855072463773</v>
      </c>
      <c r="I51" s="1">
        <f>IF(ISNUMBER(Main_L[[#This Row],[BVPS]]),IF(Main_L[[#This Row],[BVPS]]&lt;&gt;0,Main_L[[#This Row],[Current Price]]/Main_L[[#This Row],[BVPS]],""),"")</f>
        <v>4.6851485148514858</v>
      </c>
      <c r="J51">
        <v>9.8699999999999992</v>
      </c>
      <c r="K51">
        <v>6.88</v>
      </c>
      <c r="L51">
        <v>2.65</v>
      </c>
      <c r="M51" s="1">
        <f>IF(ISNUMBER(Main_L[[#This Row],[EPS]]),IF(Main_L[[#This Row],[EPS]]&lt;&gt;0,Main_L[[#This Row],[Current Price]]/Main_L[[#This Row],[EPS]],""),"")</f>
        <v>43.81481481481481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1.3154620686238605</v>
      </c>
      <c r="P51" s="1">
        <f>(Main_L[[#This Row],[P/B]]-VLOOKUP(Main_L[[#This Row],[Industry]], Mean_PB_L, 2, FALSE))/(VLOOKUP(Main_L[[#This Row],[Industry]], Mean_PB_L, 3, FALSE))</f>
        <v>-1.018875199035377</v>
      </c>
      <c r="Q51" s="1">
        <f>(Main_L[[#This Row],[ROE]]-VLOOKUP(Main_L[[#This Row],[Industry]], Mean_ROE_L, 2, FALSE))/(VLOOKUP(Main_L[[#This Row],[Industry]], Mean_ROE_L, 3, FALSE))</f>
        <v>0.11334635780648868</v>
      </c>
      <c r="R51" s="1">
        <f>(Main_L[[#This Row],[ROA]]-VLOOKUP(Main_L[[#This Row],[Industry]], Mean_ROA_L, 2, FALSE))/(VLOOKUP(Main_L[[#This Row],[Industry]], Mean_ROA_L, 3, FALSE))</f>
        <v>0.12691591498443247</v>
      </c>
      <c r="S51" s="1">
        <f>(Main_L[[#This Row],[A/E]]-VLOOKUP(Main_L[[#This Row],[Industry]], Mean_AE_L, 2, FALSE))/(VLOOKUP(Main_L[[#This Row],[Industry]], Mean_AE_L, 3, FALSE))</f>
        <v>-1.3498344194085676</v>
      </c>
      <c r="T51" s="1">
        <f>(Main_L[[#This Row],[P/E]]-VLOOKUP(Main_L[[#This Row],[Industry]], Mean_PE_L, 2, FALSE))/(VLOOKUP(Main_L[[#This Row],[Industry]], Mean_PE_L, 3, FALSE))</f>
        <v>0.98754906915345519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t="s">
        <v>110</v>
      </c>
      <c r="B52" t="s">
        <v>199</v>
      </c>
      <c r="C52" s="2">
        <v>157454</v>
      </c>
      <c r="D52">
        <f>RTD("tos.rtd", , "LAST", Main_L[[#This Row],[Symbol]])</f>
        <v>60.77</v>
      </c>
      <c r="E52">
        <v>3.14</v>
      </c>
      <c r="F52">
        <v>8.3699999999999992</v>
      </c>
      <c r="G52">
        <v>2.37</v>
      </c>
      <c r="H52" s="1">
        <f>IF(ISNUMBER(Main_L[[#This Row],[Free CF]]),IF(Main_L[[#This Row],[Free CF]]&lt;&gt;0,Main_L[[#This Row],[Current Price]]/Main_L[[#This Row],[Free CF]],""),"")</f>
        <v>19.353503184713375</v>
      </c>
      <c r="I52" s="1">
        <f>IF(ISNUMBER(Main_L[[#This Row],[BVPS]]),IF(Main_L[[#This Row],[BVPS]]&lt;&gt;0,Main_L[[#This Row],[Current Price]]/Main_L[[#This Row],[BVPS]],""),"")</f>
        <v>7.260454002389487</v>
      </c>
      <c r="J52">
        <v>29.4</v>
      </c>
      <c r="K52">
        <v>9.07</v>
      </c>
      <c r="L52">
        <v>3.99</v>
      </c>
      <c r="M52" s="1">
        <f>IF(ISNUMBER(Main_L[[#This Row],[EPS]]),IF(Main_L[[#This Row],[EPS]]&lt;&gt;0,Main_L[[#This Row],[Current Price]]/Main_L[[#This Row],[EPS]],""),"")</f>
        <v>25.641350210970465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-1.1073638395084262</v>
      </c>
      <c r="P52" s="1">
        <f>(Main_L[[#This Row],[P/B]]-VLOOKUP(Main_L[[#This Row],[Industry]], Mean_PB_L, 2, FALSE))/(VLOOKUP(Main_L[[#This Row],[Industry]], Mean_PB_L, 3, FALSE))</f>
        <v>1.3588020658058488</v>
      </c>
      <c r="Q52" s="1">
        <f>(Main_L[[#This Row],[ROE]]-VLOOKUP(Main_L[[#This Row],[Industry]], Mean_ROE_L, 2, FALSE))/(VLOOKUP(Main_L[[#This Row],[Industry]], Mean_ROE_L, 3, FALSE))</f>
        <v>1.1641316590536677</v>
      </c>
      <c r="R52" s="1">
        <f>(Main_L[[#This Row],[ROA]]-VLOOKUP(Main_L[[#This Row],[Industry]], Mean_ROA_L, 2, FALSE))/(VLOOKUP(Main_L[[#This Row],[Industry]], Mean_ROA_L, 3, FALSE))</f>
        <v>1.1563450031914944</v>
      </c>
      <c r="S52" s="1">
        <f>(Main_L[[#This Row],[A/E]]-VLOOKUP(Main_L[[#This Row],[Industry]], Mean_AE_L, 2, FALSE))/(VLOOKUP(Main_L[[#This Row],[Industry]], Mean_AE_L, 3, FALSE))</f>
        <v>0.30959505032306589</v>
      </c>
      <c r="T52" s="1">
        <f>(Main_L[[#This Row],[P/E]]-VLOOKUP(Main_L[[#This Row],[Industry]], Mean_PE_L, 2, FALSE))/(VLOOKUP(Main_L[[#This Row],[Industry]], Mean_PE_L, 3, FALSE))</f>
        <v>0.38290107647368127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108</v>
      </c>
      <c r="B53" t="s">
        <v>189</v>
      </c>
      <c r="C53" s="2">
        <v>97470</v>
      </c>
      <c r="D53">
        <f>RTD("tos.rtd", , "LAST", Main_L[[#This Row],[Symbol]])</f>
        <v>40.69</v>
      </c>
      <c r="E53">
        <v>5.4</v>
      </c>
      <c r="F53">
        <v>27.26</v>
      </c>
      <c r="G53">
        <v>1.7</v>
      </c>
      <c r="H53" s="1">
        <f>IF(ISNUMBER(Main_L[[#This Row],[Free CF]]),IF(Main_L[[#This Row],[Free CF]]&lt;&gt;0,Main_L[[#This Row],[Current Price]]/Main_L[[#This Row],[Free CF]],""),"")</f>
        <v>7.5351851851851839</v>
      </c>
      <c r="I53" s="1">
        <f>IF(ISNUMBER(Main_L[[#This Row],[BVPS]]),IF(Main_L[[#This Row],[BVPS]]&lt;&gt;0,Main_L[[#This Row],[Current Price]]/Main_L[[#This Row],[BVPS]],""),"")</f>
        <v>1.4926632428466615</v>
      </c>
      <c r="J53">
        <v>6.18</v>
      </c>
      <c r="K53">
        <v>5.15</v>
      </c>
      <c r="L53">
        <v>2.4</v>
      </c>
      <c r="M53" s="1">
        <f>IF(ISNUMBER(Main_L[[#This Row],[EPS]]),IF(Main_L[[#This Row],[EPS]]&lt;&gt;0,Main_L[[#This Row],[Current Price]]/Main_L[[#This Row],[EPS]],""),"")</f>
        <v>23.935294117647057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-0.94723649046908887</v>
      </c>
      <c r="P53" s="1">
        <f>(Main_L[[#This Row],[P/B]]-VLOOKUP(Main_L[[#This Row],[Industry]], Mean_PB_L, 2, FALSE))/(VLOOKUP(Main_L[[#This Row],[Industry]], Mean_PB_L, 3, FALSE))</f>
        <v>1.4039400337955452</v>
      </c>
      <c r="Q53" s="1">
        <f>(Main_L[[#This Row],[ROE]]-VLOOKUP(Main_L[[#This Row],[Industry]], Mean_ROE_L, 2, FALSE))/(VLOOKUP(Main_L[[#This Row],[Industry]], Mean_ROE_L, 3, FALSE))</f>
        <v>1.1372050736022432</v>
      </c>
      <c r="R53" s="1">
        <f>(Main_L[[#This Row],[ROA]]-VLOOKUP(Main_L[[#This Row],[Industry]], Mean_ROA_L, 2, FALSE))/(VLOOKUP(Main_L[[#This Row],[Industry]], Mean_ROA_L, 3, FALSE))</f>
        <v>-1.2600386000246668</v>
      </c>
      <c r="S53" s="1">
        <f>(Main_L[[#This Row],[A/E]]-VLOOKUP(Main_L[[#This Row],[Industry]], Mean_AE_L, 2, FALSE))/(VLOOKUP(Main_L[[#This Row],[Industry]], Mean_AE_L, 3, FALSE))</f>
        <v>1.3353477219401555</v>
      </c>
      <c r="T53" s="1">
        <f>(Main_L[[#This Row],[P/E]]-VLOOKUP(Main_L[[#This Row],[Industry]], Mean_PE_L, 2, FALSE))/(VLOOKUP(Main_L[[#This Row],[Industry]], Mean_PE_L, 3, FALSE))</f>
        <v>0.15824053740087773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t="s">
        <v>108</v>
      </c>
      <c r="B54" t="s">
        <v>190</v>
      </c>
      <c r="C54" s="2">
        <v>102600</v>
      </c>
      <c r="D54">
        <f>RTD("tos.rtd", , "LAST", Main_L[[#This Row],[Symbol]])</f>
        <v>56.47</v>
      </c>
      <c r="E54">
        <v>4.97</v>
      </c>
      <c r="F54">
        <v>-2.08</v>
      </c>
      <c r="G54">
        <v>5.99</v>
      </c>
      <c r="H54" s="1">
        <f>IF(ISNUMBER(Main_L[[#This Row],[Free CF]]),IF(Main_L[[#This Row],[Free CF]]&lt;&gt;0,Main_L[[#This Row],[Current Price]]/Main_L[[#This Row],[Free CF]],""),"")</f>
        <v>11.362173038229377</v>
      </c>
      <c r="I54" s="1">
        <f>IF(ISNUMBER(Main_L[[#This Row],[BVPS]]),IF(Main_L[[#This Row],[BVPS]]&lt;&gt;0,Main_L[[#This Row],[Current Price]]/Main_L[[#This Row],[BVPS]],""),"")</f>
        <v>-27.14903846153846</v>
      </c>
      <c r="J54">
        <v>-239.61</v>
      </c>
      <c r="K54">
        <v>20.92</v>
      </c>
      <c r="L54">
        <v>-10.19</v>
      </c>
      <c r="M54" s="1">
        <f>IF(ISNUMBER(Main_L[[#This Row],[EPS]]),IF(Main_L[[#This Row],[EPS]]&lt;&gt;0,Main_L[[#This Row],[Current Price]]/Main_L[[#This Row],[EPS]],""),"")</f>
        <v>9.4273789649415694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-0.43580864756270127</v>
      </c>
      <c r="P54" s="1">
        <f>(Main_L[[#This Row],[P/B]]-VLOOKUP(Main_L[[#This Row],[Industry]], Mean_PB_L, 2, FALSE))/(VLOOKUP(Main_L[[#This Row],[Industry]], Mean_PB_L, 3, FALSE))</f>
        <v>-0.84932769782965301</v>
      </c>
      <c r="Q54" s="1">
        <f>(Main_L[[#This Row],[ROE]]-VLOOKUP(Main_L[[#This Row],[Industry]], Mean_ROE_L, 2, FALSE))/(VLOOKUP(Main_L[[#This Row],[Industry]], Mean_ROE_L, 3, FALSE))</f>
        <v>-1.2966639802452768</v>
      </c>
      <c r="R54" s="1">
        <f>(Main_L[[#This Row],[ROA]]-VLOOKUP(Main_L[[#This Row],[Industry]], Mean_ROA_L, 2, FALSE))/(VLOOKUP(Main_L[[#This Row],[Industry]], Mean_ROA_L, 3, FALSE))</f>
        <v>1.1861011688373355</v>
      </c>
      <c r="S54" s="1">
        <f>(Main_L[[#This Row],[A/E]]-VLOOKUP(Main_L[[#This Row],[Industry]], Mean_AE_L, 2, FALSE))/(VLOOKUP(Main_L[[#This Row],[Industry]], Mean_AE_L, 3, FALSE))</f>
        <v>-1.0709539697430348</v>
      </c>
      <c r="T54" s="1">
        <f>(Main_L[[#This Row],[P/E]]-VLOOKUP(Main_L[[#This Row],[Industry]], Mean_PE_L, 2, FALSE))/(VLOOKUP(Main_L[[#This Row],[Industry]], Mean_PE_L, 3, FALSE))</f>
        <v>-1.2961740675287032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108</v>
      </c>
      <c r="B55" t="s">
        <v>191</v>
      </c>
      <c r="C55" s="2">
        <v>272951</v>
      </c>
      <c r="D55">
        <f>RTD("tos.rtd", , "LAST", Main_L[[#This Row],[Symbol]])</f>
        <v>163.82</v>
      </c>
      <c r="E55">
        <v>6.56</v>
      </c>
      <c r="F55">
        <v>-7</v>
      </c>
      <c r="G55">
        <v>4.8600000000000003</v>
      </c>
      <c r="H55" s="1">
        <f>IF(ISNUMBER(Main_L[[#This Row],[Free CF]]),IF(Main_L[[#This Row],[Free CF]]&lt;&gt;0,Main_L[[#This Row],[Current Price]]/Main_L[[#This Row],[Free CF]],""),"")</f>
        <v>24.972560975609756</v>
      </c>
      <c r="I55" s="1">
        <f>IF(ISNUMBER(Main_L[[#This Row],[BVPS]]),IF(Main_L[[#This Row],[BVPS]]&lt;&gt;0,Main_L[[#This Row],[Current Price]]/Main_L[[#This Row],[BVPS]],""),"")</f>
        <v>-23.40285714285714</v>
      </c>
      <c r="J55">
        <v>-92.56</v>
      </c>
      <c r="K55">
        <v>13.75</v>
      </c>
      <c r="L55">
        <v>-5.97</v>
      </c>
      <c r="M55" s="1">
        <f>IF(ISNUMBER(Main_L[[#This Row],[EPS]]),IF(Main_L[[#This Row],[EPS]]&lt;&gt;0,Main_L[[#This Row],[Current Price]]/Main_L[[#This Row],[EPS]],""),"")</f>
        <v>33.707818930041149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1.3830451380317901</v>
      </c>
      <c r="P55" s="1">
        <f>(Main_L[[#This Row],[P/B]]-VLOOKUP(Main_L[[#This Row],[Industry]], Mean_PB_L, 2, FALSE))/(VLOOKUP(Main_L[[#This Row],[Industry]], Mean_PB_L, 3, FALSE))</f>
        <v>-0.55461233596589232</v>
      </c>
      <c r="Q55" s="1">
        <f>(Main_L[[#This Row],[ROE]]-VLOOKUP(Main_L[[#This Row],[Industry]], Mean_ROE_L, 2, FALSE))/(VLOOKUP(Main_L[[#This Row],[Industry]], Mean_ROE_L, 3, FALSE))</f>
        <v>0.15945890664303367</v>
      </c>
      <c r="R55" s="1">
        <f>(Main_L[[#This Row],[ROA]]-VLOOKUP(Main_L[[#This Row],[Industry]], Mean_ROA_L, 2, FALSE))/(VLOOKUP(Main_L[[#This Row],[Industry]], Mean_ROA_L, 3, FALSE))</f>
        <v>7.393743118733169E-2</v>
      </c>
      <c r="S55" s="1">
        <f>(Main_L[[#This Row],[A/E]]-VLOOKUP(Main_L[[#This Row],[Industry]], Mean_AE_L, 2, FALSE))/(VLOOKUP(Main_L[[#This Row],[Industry]], Mean_AE_L, 3, FALSE))</f>
        <v>-0.26439375219712041</v>
      </c>
      <c r="T55" s="1">
        <f>(Main_L[[#This Row],[P/E]]-VLOOKUP(Main_L[[#This Row],[Industry]], Mean_PE_L, 2, FALSE))/(VLOOKUP(Main_L[[#This Row],[Industry]], Mean_PE_L, 3, FALSE))</f>
        <v>1.1379335301278259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36"/>
  <sheetViews>
    <sheetView topLeftCell="H1" workbookViewId="0">
      <selection activeCell="B24" sqref="B24"/>
    </sheetView>
  </sheetViews>
  <sheetFormatPr defaultRowHeight="15" x14ac:dyDescent="0.25"/>
  <cols>
    <col min="1" max="1" width="35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116</v>
      </c>
      <c r="C2" s="2">
        <v>2830</v>
      </c>
      <c r="D2">
        <f>RTD("tos.rtd", , "LAST", Main_M[[#This Row],[Symbol]])</f>
        <v>14.75</v>
      </c>
      <c r="E2">
        <v>0.35</v>
      </c>
      <c r="F2">
        <v>4.1500000000000004</v>
      </c>
      <c r="G2">
        <v>0.44</v>
      </c>
      <c r="H2" s="1">
        <f>IF(ISNUMBER(Main_M[[#This Row],[Free CF]]),IF(Main_M[[#This Row],[Free CF]]&lt;&gt;0,Main_M[[#This Row],[Current Price]]/Main_M[[#This Row],[Free CF]],""),"")</f>
        <v>42.142857142857146</v>
      </c>
      <c r="I2" s="1">
        <f>IF(ISNUMBER(Main_M[[#This Row],[BVPS]]),IF(Main_M[[#This Row],[BVPS]]&lt;&gt;0,Main_M[[#This Row],[Current Price]]/Main_M[[#This Row],[BVPS]],""),"")</f>
        <v>3.5542168674698793</v>
      </c>
      <c r="J2">
        <v>11.73</v>
      </c>
      <c r="K2">
        <v>4.01</v>
      </c>
      <c r="L2">
        <v>2.62</v>
      </c>
      <c r="M2" s="1">
        <f>IF(ISNUMBER(Main_M[[#This Row],[EPS]]),IF(Main_M[[#This Row],[EPS]]&lt;&gt;0,Main_M[[#This Row],[Current Price]]/Main_M[[#This Row],[EPS]],""),"")</f>
        <v>33.522727272727273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0.37812570782089283</v>
      </c>
      <c r="P2" s="1">
        <f>(Main_M[[#This Row],[P/B]]-VLOOKUP(Main_M[[#This Row],[Industry]], Mean_PB_M, 2, FALSE))/(VLOOKUP(Main_M[[#This Row],[Industry]], Mean_PB_M, 3, FALSE))</f>
        <v>-0.80178600373200815</v>
      </c>
      <c r="Q2" s="1">
        <f>(Main_M[[#This Row],[ROE]]-VLOOKUP(Main_M[[#This Row],[Industry]], Mean_ROE_M, 2, FALSE))/(VLOOKUP(Main_M[[#This Row],[Industry]], Mean_ROE_M, 3, FALSE))</f>
        <v>-0.63581816744920139</v>
      </c>
      <c r="R2" s="1">
        <f>(Main_M[[#This Row],[ROA]]-VLOOKUP(Main_M[[#This Row],[Industry]], Mean_ROA_M, 2, FALSE))/(VLOOKUP(Main_M[[#This Row],[Industry]], Mean_ROA_M, 3, FALSE))</f>
        <v>-1.0371445738190057</v>
      </c>
      <c r="S2" s="1">
        <f>(Main_M[[#This Row],[A/E]]-VLOOKUP(Main_M[[#This Row],[Industry]], Mean_AE_M, 2, FALSE))/(VLOOKUP(Main_M[[#This Row],[Industry]], Mean_AE_M, 3, FALSE))</f>
        <v>1.7278076008493857</v>
      </c>
      <c r="T2" s="1">
        <f>(Main_M[[#This Row],[P/E]]-VLOOKUP(Main_M[[#This Row],[Industry]], Mean_PE_M, 2, FALSE))/(VLOOKUP(Main_M[[#This Row],[Industry]], Mean_PE_M, 3, FALSE))</f>
        <v>-0.57648900047718521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t="s">
        <v>106</v>
      </c>
      <c r="B3" t="s">
        <v>117</v>
      </c>
      <c r="C3" s="2">
        <v>2687</v>
      </c>
      <c r="D3">
        <f>RTD("tos.rtd", , "LAST", Main_M[[#This Row],[Symbol]])</f>
        <v>240.26</v>
      </c>
      <c r="E3">
        <v>16.04</v>
      </c>
      <c r="F3">
        <v>82.03</v>
      </c>
      <c r="G3">
        <v>6.16</v>
      </c>
      <c r="H3" s="1">
        <f>IF(ISNUMBER(Main_M[[#This Row],[Free CF]]),IF(Main_M[[#This Row],[Free CF]]&lt;&gt;0,Main_M[[#This Row],[Current Price]]/Main_M[[#This Row],[Free CF]],""),"")</f>
        <v>14.978802992518704</v>
      </c>
      <c r="I3" s="1">
        <f>IF(ISNUMBER(Main_M[[#This Row],[BVPS]]),IF(Main_M[[#This Row],[BVPS]]&lt;&gt;0,Main_M[[#This Row],[Current Price]]/Main_M[[#This Row],[BVPS]],""),"")</f>
        <v>2.9289284408143361</v>
      </c>
      <c r="J3">
        <v>7.36</v>
      </c>
      <c r="K3">
        <v>8.09</v>
      </c>
      <c r="L3">
        <v>1.38</v>
      </c>
      <c r="M3" s="1">
        <f>IF(ISNUMBER(Main_M[[#This Row],[EPS]]),IF(Main_M[[#This Row],[EPS]]&lt;&gt;0,Main_M[[#This Row],[Current Price]]/Main_M[[#This Row],[EPS]],""),"")</f>
        <v>39.003246753246749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-1.3671657707018903</v>
      </c>
      <c r="P3" s="1">
        <f>(Main_M[[#This Row],[P/B]]-VLOOKUP(Main_M[[#This Row],[Industry]], Mean_PB_M, 2, FALSE))/(VLOOKUP(Main_M[[#This Row],[Industry]], Mean_PB_M, 3, FALSE))</f>
        <v>-1.0214104584923656</v>
      </c>
      <c r="Q3" s="1">
        <f>(Main_M[[#This Row],[ROE]]-VLOOKUP(Main_M[[#This Row],[Industry]], Mean_ROE_M, 2, FALSE))/(VLOOKUP(Main_M[[#This Row],[Industry]], Mean_ROE_M, 3, FALSE))</f>
        <v>-0.99526517802526993</v>
      </c>
      <c r="R3" s="1">
        <f>(Main_M[[#This Row],[ROA]]-VLOOKUP(Main_M[[#This Row],[Industry]], Mean_ROA_M, 2, FALSE))/(VLOOKUP(Main_M[[#This Row],[Industry]], Mean_ROA_M, 3, FALSE))</f>
        <v>-0.40913183099004402</v>
      </c>
      <c r="S3" s="1">
        <f>(Main_M[[#This Row],[A/E]]-VLOOKUP(Main_M[[#This Row],[Industry]], Mean_AE_M, 2, FALSE))/(VLOOKUP(Main_M[[#This Row],[Industry]], Mean_AE_M, 3, FALSE))</f>
        <v>-0.63305347358944419</v>
      </c>
      <c r="T3" s="1">
        <f>(Main_M[[#This Row],[P/E]]-VLOOKUP(Main_M[[#This Row],[Industry]], Mean_PE_M, 2, FALSE))/(VLOOKUP(Main_M[[#This Row],[Industry]], Mean_PE_M, 3, FALSE))</f>
        <v>1.4066117584533055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106</v>
      </c>
      <c r="B4" t="s">
        <v>118</v>
      </c>
      <c r="C4" s="2">
        <v>7710</v>
      </c>
      <c r="D4">
        <f>RTD("tos.rtd", , "LAST", Main_M[[#This Row],[Symbol]])</f>
        <v>6.2</v>
      </c>
      <c r="H4" s="1" t="str">
        <f>IF(ISNUMBER(Main_M[[#This Row],[Free CF]]),IF(Main_M[[#This Row],[Free CF]]&lt;&gt;0,Main_M[[#This Row],[Current Price]]/Main_M[[#This Row],[Free CF]],""),"")</f>
        <v/>
      </c>
      <c r="I4" s="1" t="str">
        <f>IF(ISNUMBER(Main_M[[#This Row],[BVPS]]),IF(Main_M[[#This Row],[BVPS]]&lt;&gt;0,Main_M[[#This Row],[Current Price]]/Main_M[[#This Row],[BVPS]],""),"")</f>
        <v/>
      </c>
      <c r="M4" s="1" t="str">
        <f>IF(ISNUMBER(Main_M[[#This Row],[EPS]]),IF(Main_M[[#This Row],[EPS]]&lt;&gt;0,Main_M[[#This Row],[Current Price]]/Main_M[[#This Row],[EPS]],""),"")</f>
        <v/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 t="e">
        <f>(Main_M[[#This Row],[P/FCF]]-VLOOKUP(Main_M[[#This Row],[Industry]], Mean_PFCF_M, 2, FALSE))/(VLOOKUP(Main_M[[#This Row],[Industry]], Mean_PFCF_M, 3, FALSE))</f>
        <v>#VALUE!</v>
      </c>
      <c r="P4" s="1" t="e">
        <f>(Main_M[[#This Row],[P/B]]-VLOOKUP(Main_M[[#This Row],[Industry]], Mean_PB_M, 2, FALSE))/(VLOOKUP(Main_M[[#This Row],[Industry]], Mean_PB_M, 3, FALSE))</f>
        <v>#VALUE!</v>
      </c>
      <c r="Q4" s="1">
        <f>(Main_M[[#This Row],[ROE]]-VLOOKUP(Main_M[[#This Row],[Industry]], Mean_ROE_M, 2, FALSE))/(VLOOKUP(Main_M[[#This Row],[Industry]], Mean_ROE_M, 3, FALSE))</f>
        <v>-1.6006496168902273</v>
      </c>
      <c r="R4" s="1">
        <f>(Main_M[[#This Row],[ROA]]-VLOOKUP(Main_M[[#This Row],[Industry]], Mean_ROA_M, 2, FALSE))/(VLOOKUP(Main_M[[#This Row],[Industry]], Mean_ROA_M, 3, FALSE))</f>
        <v>-1.6543825882170782</v>
      </c>
      <c r="S4" s="1">
        <f>(Main_M[[#This Row],[A/E]]-VLOOKUP(Main_M[[#This Row],[Industry]], Mean_AE_M, 2, FALSE))/(VLOOKUP(Main_M[[#This Row],[Industry]], Mean_AE_M, 3, FALSE))</f>
        <v>-3.2604633790133026</v>
      </c>
      <c r="T4" s="1" t="e">
        <f>(Main_M[[#This Row],[P/E]]-VLOOKUP(Main_M[[#This Row],[Industry]], Mean_PE_M, 2, FALSE))/(VLOOKUP(Main_M[[#This Row],[Industry]], Mean_PE_M, 3, FALSE))</f>
        <v>#VALUE!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" spans="1:26" x14ac:dyDescent="0.25">
      <c r="A5" t="s">
        <v>106</v>
      </c>
      <c r="B5" t="s">
        <v>119</v>
      </c>
      <c r="C5" s="2">
        <v>9224</v>
      </c>
      <c r="D5">
        <f>RTD("tos.rtd", , "LAST", Main_M[[#This Row],[Symbol]])</f>
        <v>37.93</v>
      </c>
      <c r="E5">
        <v>0.91</v>
      </c>
      <c r="F5">
        <v>1.7</v>
      </c>
      <c r="G5">
        <v>0.45</v>
      </c>
      <c r="H5" s="1">
        <f>IF(ISNUMBER(Main_M[[#This Row],[Free CF]]),IF(Main_M[[#This Row],[Free CF]]&lt;&gt;0,Main_M[[#This Row],[Current Price]]/Main_M[[#This Row],[Free CF]],""),"")</f>
        <v>41.681318681318679</v>
      </c>
      <c r="I5" s="1">
        <f>IF(ISNUMBER(Main_M[[#This Row],[BVPS]]),IF(Main_M[[#This Row],[BVPS]]&lt;&gt;0,Main_M[[#This Row],[Current Price]]/Main_M[[#This Row],[BVPS]],""),"")</f>
        <v>22.311764705882354</v>
      </c>
      <c r="J5">
        <v>12.54</v>
      </c>
      <c r="K5">
        <v>5.9</v>
      </c>
      <c r="L5">
        <v>4.42</v>
      </c>
      <c r="M5" s="1">
        <f>IF(ISNUMBER(Main_M[[#This Row],[EPS]]),IF(Main_M[[#This Row],[EPS]]&lt;&gt;0,Main_M[[#This Row],[Current Price]]/Main_M[[#This Row],[EPS]],""),"")</f>
        <v>84.288888888888891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0.34847184468708053</v>
      </c>
      <c r="P5" s="1">
        <f>(Main_M[[#This Row],[P/B]]-VLOOKUP(Main_M[[#This Row],[Industry]], Mean_PB_M, 2, FALSE))/(VLOOKUP(Main_M[[#This Row],[Industry]], Mean_PB_M, 3, FALSE))</f>
        <v>5.78655953576102</v>
      </c>
      <c r="Q5" s="1">
        <f>(Main_M[[#This Row],[ROE]]-VLOOKUP(Main_M[[#This Row],[Industry]], Mean_ROE_M, 2, FALSE))/(VLOOKUP(Main_M[[#This Row],[Industry]], Mean_ROE_M, 3, FALSE))</f>
        <v>-0.56919297784585698</v>
      </c>
      <c r="R5" s="1">
        <f>(Main_M[[#This Row],[ROA]]-VLOOKUP(Main_M[[#This Row],[Industry]], Mean_ROA_M, 2, FALSE))/(VLOOKUP(Main_M[[#This Row],[Industry]], Mean_ROA_M, 3, FALSE))</f>
        <v>-0.74622690618500132</v>
      </c>
      <c r="S5" s="1">
        <f>(Main_M[[#This Row],[A/E]]-VLOOKUP(Main_M[[#This Row],[Industry]], Mean_AE_M, 2, FALSE))/(VLOOKUP(Main_M[[#This Row],[Industry]], Mean_AE_M, 3, FALSE))</f>
        <v>5.1548639992283309</v>
      </c>
      <c r="T5" s="1">
        <f>(Main_M[[#This Row],[P/E]]-VLOOKUP(Main_M[[#This Row],[Industry]], Mean_PE_M, 2, FALSE))/(VLOOKUP(Main_M[[#This Row],[Industry]], Mean_PE_M, 3, FALSE))</f>
        <v>17.793013012396884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6" spans="1:26" x14ac:dyDescent="0.25">
      <c r="A6" t="s">
        <v>106</v>
      </c>
      <c r="B6" t="s">
        <v>120</v>
      </c>
      <c r="C6" s="2">
        <v>2014</v>
      </c>
      <c r="D6">
        <f>RTD("tos.rtd", , "LAST", Main_M[[#This Row],[Symbol]])</f>
        <v>33.15</v>
      </c>
      <c r="E6">
        <v>0.56000000000000005</v>
      </c>
      <c r="F6">
        <v>4.87</v>
      </c>
      <c r="G6">
        <v>1.01</v>
      </c>
      <c r="H6" s="1">
        <f>IF(ISNUMBER(Main_M[[#This Row],[Free CF]]),IF(Main_M[[#This Row],[Free CF]]&lt;&gt;0,Main_M[[#This Row],[Current Price]]/Main_M[[#This Row],[Free CF]],""),"")</f>
        <v>59.196428571428562</v>
      </c>
      <c r="I6" s="1">
        <f>IF(ISNUMBER(Main_M[[#This Row],[BVPS]]),IF(Main_M[[#This Row],[BVPS]]&lt;&gt;0,Main_M[[#This Row],[Current Price]]/Main_M[[#This Row],[BVPS]],""),"")</f>
        <v>6.8069815195071861</v>
      </c>
      <c r="J6">
        <v>24.86</v>
      </c>
      <c r="K6">
        <v>13.77</v>
      </c>
      <c r="L6">
        <v>1.38</v>
      </c>
      <c r="M6" s="1">
        <f>IF(ISNUMBER(Main_M[[#This Row],[EPS]]),IF(Main_M[[#This Row],[EPS]]&lt;&gt;0,Main_M[[#This Row],[Current Price]]/Main_M[[#This Row],[EPS]],""),"")</f>
        <v>32.821782178217823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1.4738182995062348</v>
      </c>
      <c r="P6" s="1">
        <f>(Main_M[[#This Row],[P/B]]-VLOOKUP(Main_M[[#This Row],[Industry]], Mean_PB_M, 2, FALSE))/(VLOOKUP(Main_M[[#This Row],[Industry]], Mean_PB_M, 3, FALSE))</f>
        <v>0.34070541736860399</v>
      </c>
      <c r="Q6" s="1">
        <f>(Main_M[[#This Row],[ROE]]-VLOOKUP(Main_M[[#This Row],[Industry]], Mean_ROE_M, 2, FALSE))/(VLOOKUP(Main_M[[#This Row],[Industry]], Mean_ROE_M, 3, FALSE))</f>
        <v>0.44416793068896326</v>
      </c>
      <c r="R6" s="1">
        <f>(Main_M[[#This Row],[ROA]]-VLOOKUP(Main_M[[#This Row],[Industry]], Mean_ROA_M, 2, FALSE))/(VLOOKUP(Main_M[[#This Row],[Industry]], Mean_ROA_M, 3, FALSE))</f>
        <v>0.46516041883066717</v>
      </c>
      <c r="S6" s="1">
        <f>(Main_M[[#This Row],[A/E]]-VLOOKUP(Main_M[[#This Row],[Industry]], Mean_AE_M, 2, FALSE))/(VLOOKUP(Main_M[[#This Row],[Industry]], Mean_AE_M, 3, FALSE))</f>
        <v>-0.63305347358944419</v>
      </c>
      <c r="T6" s="1">
        <f>(Main_M[[#This Row],[P/E]]-VLOOKUP(Main_M[[#This Row],[Industry]], Mean_PE_M, 2, FALSE))/(VLOOKUP(Main_M[[#This Row],[Industry]], Mean_PE_M, 3, FALSE))</f>
        <v>-0.83012275797612545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106</v>
      </c>
      <c r="B7" t="s">
        <v>121</v>
      </c>
      <c r="C7" s="2">
        <v>4085</v>
      </c>
      <c r="D7">
        <f>RTD("tos.rtd", , "LAST", Main_M[[#This Row],[Symbol]])</f>
        <v>43.55</v>
      </c>
      <c r="E7">
        <v>1.87</v>
      </c>
      <c r="F7">
        <v>4.33</v>
      </c>
      <c r="G7">
        <v>1.99</v>
      </c>
      <c r="H7" s="1">
        <f>IF(ISNUMBER(Main_M[[#This Row],[Free CF]]),IF(Main_M[[#This Row],[Free CF]]&lt;&gt;0,Main_M[[#This Row],[Current Price]]/Main_M[[#This Row],[Free CF]],""),"")</f>
        <v>23.288770053475933</v>
      </c>
      <c r="I7" s="1">
        <f>IF(ISNUMBER(Main_M[[#This Row],[BVPS]]),IF(Main_M[[#This Row],[BVPS]]&lt;&gt;0,Main_M[[#This Row],[Current Price]]/Main_M[[#This Row],[BVPS]],""),"")</f>
        <v>10.057736720554272</v>
      </c>
      <c r="J7">
        <v>40.81</v>
      </c>
      <c r="K7">
        <v>21.97</v>
      </c>
      <c r="L7">
        <v>1.47</v>
      </c>
      <c r="M7" s="1">
        <f>IF(ISNUMBER(Main_M[[#This Row],[EPS]]),IF(Main_M[[#This Row],[EPS]]&lt;&gt;0,Main_M[[#This Row],[Current Price]]/Main_M[[#This Row],[EPS]],""),"")</f>
        <v>21.884422110552762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-0.83325008131231615</v>
      </c>
      <c r="P7" s="1">
        <f>(Main_M[[#This Row],[P/B]]-VLOOKUP(Main_M[[#This Row],[Industry]], Mean_PB_M, 2, FALSE))/(VLOOKUP(Main_M[[#This Row],[Industry]], Mean_PB_M, 3, FALSE))</f>
        <v>1.4824910448557707</v>
      </c>
      <c r="Q7" s="1">
        <f>(Main_M[[#This Row],[ROE]]-VLOOKUP(Main_M[[#This Row],[Industry]], Mean_ROE_M, 2, FALSE))/(VLOOKUP(Main_M[[#This Row],[Industry]], Mean_ROE_M, 3, FALSE))</f>
        <v>1.7561083926313648</v>
      </c>
      <c r="R7" s="1">
        <f>(Main_M[[#This Row],[ROA]]-VLOOKUP(Main_M[[#This Row],[Industry]], Mean_ROA_M, 2, FALSE))/(VLOOKUP(Main_M[[#This Row],[Industry]], Mean_ROA_M, 3, FALSE))</f>
        <v>1.727342892163384</v>
      </c>
      <c r="S7" s="1">
        <f>(Main_M[[#This Row],[A/E]]-VLOOKUP(Main_M[[#This Row],[Industry]], Mean_AE_M, 2, FALSE))/(VLOOKUP(Main_M[[#This Row],[Industry]], Mean_AE_M, 3, FALSE))</f>
        <v>-0.46170065367049679</v>
      </c>
      <c r="T7" s="1">
        <f>(Main_M[[#This Row],[P/E]]-VLOOKUP(Main_M[[#This Row],[Industry]], Mean_PE_M, 2, FALSE))/(VLOOKUP(Main_M[[#This Row],[Industry]], Mean_PE_M, 3, FALSE))</f>
        <v>-4.7877561772130059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" spans="1:26" x14ac:dyDescent="0.25">
      <c r="A8" t="s">
        <v>105</v>
      </c>
      <c r="B8" t="s">
        <v>111</v>
      </c>
      <c r="C8" s="2">
        <v>9555</v>
      </c>
      <c r="D8">
        <f>RTD("tos.rtd", , "LAST", Main_M[[#This Row],[Symbol]])</f>
        <v>11.37</v>
      </c>
      <c r="E8">
        <v>0.66</v>
      </c>
      <c r="F8">
        <v>8.2200000000000006</v>
      </c>
      <c r="G8">
        <v>-6.69</v>
      </c>
      <c r="H8" s="1">
        <f>IF(ISNUMBER(Main_M[[#This Row],[Free CF]]),IF(Main_M[[#This Row],[Free CF]]&lt;&gt;0,Main_M[[#This Row],[Current Price]]/Main_M[[#This Row],[Free CF]],""),"")</f>
        <v>17.227272727272727</v>
      </c>
      <c r="I8" s="1">
        <f>IF(ISNUMBER(Main_M[[#This Row],[BVPS]]),IF(Main_M[[#This Row],[BVPS]]&lt;&gt;0,Main_M[[#This Row],[Current Price]]/Main_M[[#This Row],[BVPS]],""),"")</f>
        <v>1.3832116788321165</v>
      </c>
      <c r="J8">
        <v>-66.209999999999994</v>
      </c>
      <c r="K8">
        <v>-0.59</v>
      </c>
      <c r="L8">
        <v>9.8800000000000008</v>
      </c>
      <c r="M8" s="1">
        <f>IF(ISNUMBER(Main_M[[#This Row],[EPS]]),IF(Main_M[[#This Row],[EPS]]&lt;&gt;0,Main_M[[#This Row],[Current Price]]/Main_M[[#This Row],[EPS]],""),"")</f>
        <v>-1.6995515695067263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-0.94959706056698578</v>
      </c>
      <c r="P8" s="1">
        <f>(Main_M[[#This Row],[P/B]]-VLOOKUP(Main_M[[#This Row],[Industry]], Mean_PB_M, 2, FALSE))/(VLOOKUP(Main_M[[#This Row],[Industry]], Mean_PB_M, 3, FALSE))</f>
        <v>-0.85072702947765111</v>
      </c>
      <c r="Q8" s="1">
        <f>(Main_M[[#This Row],[ROE]]-VLOOKUP(Main_M[[#This Row],[Industry]], Mean_ROE_M, 2, FALSE))/(VLOOKUP(Main_M[[#This Row],[Industry]], Mean_ROE_M, 3, FALSE))</f>
        <v>-0.62577388601641482</v>
      </c>
      <c r="R8" s="1">
        <f>(Main_M[[#This Row],[ROA]]-VLOOKUP(Main_M[[#This Row],[Industry]], Mean_ROA_M, 2, FALSE))/(VLOOKUP(Main_M[[#This Row],[Industry]], Mean_ROA_M, 3, FALSE))</f>
        <v>-1.8312906316703277</v>
      </c>
      <c r="S8" s="1">
        <f>(Main_M[[#This Row],[A/E]]-VLOOKUP(Main_M[[#This Row],[Industry]], Mean_AE_M, 2, FALSE))/(VLOOKUP(Main_M[[#This Row],[Industry]], Mean_AE_M, 3, FALSE))</f>
        <v>1.7562158182394432</v>
      </c>
      <c r="T8" s="1">
        <f>(Main_M[[#This Row],[P/E]]-VLOOKUP(Main_M[[#This Row],[Industry]], Mean_PE_M, 2, FALSE))/(VLOOKUP(Main_M[[#This Row],[Industry]], Mean_PE_M, 3, FALSE))</f>
        <v>-1.4130471833563463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105</v>
      </c>
      <c r="B9" t="s">
        <v>112</v>
      </c>
      <c r="C9" s="2">
        <v>2522</v>
      </c>
      <c r="D9">
        <f>RTD("tos.rtd", , "LAST", Main_M[[#This Row],[Symbol]])</f>
        <v>61.28</v>
      </c>
      <c r="E9">
        <v>3.33</v>
      </c>
      <c r="F9">
        <v>13.32</v>
      </c>
      <c r="G9">
        <v>1.47</v>
      </c>
      <c r="H9" s="1">
        <f>IF(ISNUMBER(Main_M[[#This Row],[Free CF]]),IF(Main_M[[#This Row],[Free CF]]&lt;&gt;0,Main_M[[#This Row],[Current Price]]/Main_M[[#This Row],[Free CF]],""),"")</f>
        <v>18.402402402402402</v>
      </c>
      <c r="I9" s="1">
        <f>IF(ISNUMBER(Main_M[[#This Row],[BVPS]]),IF(Main_M[[#This Row],[BVPS]]&lt;&gt;0,Main_M[[#This Row],[Current Price]]/Main_M[[#This Row],[BVPS]],""),"")</f>
        <v>4.6006006006006004</v>
      </c>
      <c r="J9">
        <v>12.9</v>
      </c>
      <c r="K9">
        <v>4.79</v>
      </c>
      <c r="L9">
        <v>3.39</v>
      </c>
      <c r="M9" s="1">
        <f>IF(ISNUMBER(Main_M[[#This Row],[EPS]]),IF(Main_M[[#This Row],[EPS]]&lt;&gt;0,Main_M[[#This Row],[Current Price]]/Main_M[[#This Row],[EPS]],""),"")</f>
        <v>41.687074829931973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-0.90698459925245933</v>
      </c>
      <c r="P9" s="1">
        <f>(Main_M[[#This Row],[P/B]]-VLOOKUP(Main_M[[#This Row],[Industry]], Mean_PB_M, 2, FALSE))/(VLOOKUP(Main_M[[#This Row],[Industry]], Mean_PB_M, 3, FALSE))</f>
        <v>1.6010823348746803</v>
      </c>
      <c r="Q9" s="1">
        <f>(Main_M[[#This Row],[ROE]]-VLOOKUP(Main_M[[#This Row],[Industry]], Mean_ROE_M, 2, FALSE))/(VLOOKUP(Main_M[[#This Row],[Industry]], Mean_ROE_M, 3, FALSE))</f>
        <v>0.7510214821886072</v>
      </c>
      <c r="R9" s="1">
        <f>(Main_M[[#This Row],[ROA]]-VLOOKUP(Main_M[[#This Row],[Industry]], Mean_ROA_M, 2, FALSE))/(VLOOKUP(Main_M[[#This Row],[Industry]], Mean_ROA_M, 3, FALSE))</f>
        <v>0.37281308161521193</v>
      </c>
      <c r="S9" s="1">
        <f>(Main_M[[#This Row],[A/E]]-VLOOKUP(Main_M[[#This Row],[Industry]], Mean_AE_M, 2, FALSE))/(VLOOKUP(Main_M[[#This Row],[Industry]], Mean_AE_M, 3, FALSE))</f>
        <v>-0.33589884041951173</v>
      </c>
      <c r="T9" s="1">
        <f>(Main_M[[#This Row],[P/E]]-VLOOKUP(Main_M[[#This Row],[Industry]], Mean_PE_M, 2, FALSE))/(VLOOKUP(Main_M[[#This Row],[Industry]], Mean_PE_M, 3, FALSE))</f>
        <v>1.4065140916854479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105</v>
      </c>
      <c r="B10" t="s">
        <v>113</v>
      </c>
      <c r="C10" s="2">
        <v>3555</v>
      </c>
      <c r="D10">
        <f>RTD("tos.rtd", , "LAST", Main_M[[#This Row],[Symbol]])</f>
        <v>28.69</v>
      </c>
      <c r="E10">
        <v>0.57999999999999996</v>
      </c>
      <c r="F10">
        <v>1.69</v>
      </c>
      <c r="G10">
        <v>0.12</v>
      </c>
      <c r="H10" s="1">
        <f>IF(ISNUMBER(Main_M[[#This Row],[Free CF]]),IF(Main_M[[#This Row],[Free CF]]&lt;&gt;0,Main_M[[#This Row],[Current Price]]/Main_M[[#This Row],[Free CF]],""),"")</f>
        <v>49.465517241379317</v>
      </c>
      <c r="I10" s="1">
        <f>IF(ISNUMBER(Main_M[[#This Row],[BVPS]]),IF(Main_M[[#This Row],[BVPS]]&lt;&gt;0,Main_M[[#This Row],[Current Price]]/Main_M[[#This Row],[BVPS]],""),"")</f>
        <v>16.976331360946748</v>
      </c>
      <c r="J10">
        <v>-111.46</v>
      </c>
      <c r="K10">
        <v>4.4000000000000004</v>
      </c>
      <c r="L10">
        <v>5.65</v>
      </c>
      <c r="M10" s="1">
        <f>IF(ISNUMBER(Main_M[[#This Row],[EPS]]),IF(Main_M[[#This Row],[EPS]]&lt;&gt;0,Main_M[[#This Row],[Current Price]]/Main_M[[#This Row],[EPS]],""),"")</f>
        <v>239.08333333333334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0.21942366648938735</v>
      </c>
      <c r="P10" s="1">
        <f>(Main_M[[#This Row],[P/B]]-VLOOKUP(Main_M[[#This Row],[Industry]], Mean_PB_M, 2, FALSE))/(VLOOKUP(Main_M[[#This Row],[Industry]], Mean_PB_M, 3, FALSE))</f>
        <v>11.032000792889839</v>
      </c>
      <c r="Q10" s="1">
        <f>(Main_M[[#This Row],[ROE]]-VLOOKUP(Main_M[[#This Row],[Industry]], Mean_ROE_M, 2, FALSE))/(VLOOKUP(Main_M[[#This Row],[Industry]], Mean_ROE_M, 3, FALSE))</f>
        <v>-1.4132848253575505</v>
      </c>
      <c r="R10" s="1">
        <f>(Main_M[[#This Row],[ROA]]-VLOOKUP(Main_M[[#This Row],[Industry]], Mean_ROA_M, 2, FALSE))/(VLOOKUP(Main_M[[#This Row],[Industry]], Mean_ROA_M, 3, FALSE))</f>
        <v>0.21303604663726405</v>
      </c>
      <c r="S10" s="1">
        <f>(Main_M[[#This Row],[A/E]]-VLOOKUP(Main_M[[#This Row],[Industry]], Mean_AE_M, 2, FALSE))/(VLOOKUP(Main_M[[#This Row],[Industry]], Mean_AE_M, 3, FALSE))</f>
        <v>0.39263415319670364</v>
      </c>
      <c r="T10" s="1">
        <f>(Main_M[[#This Row],[P/E]]-VLOOKUP(Main_M[[#This Row],[Industry]], Mean_PE_M, 2, FALSE))/(VLOOKUP(Main_M[[#This Row],[Industry]], Mean_PE_M, 3, FALSE))</f>
        <v>14.234680107412599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" spans="1:26" x14ac:dyDescent="0.25">
      <c r="A11" t="s">
        <v>105</v>
      </c>
      <c r="B11" t="s">
        <v>114</v>
      </c>
      <c r="C11" s="2">
        <v>2372</v>
      </c>
      <c r="D11">
        <f>RTD("tos.rtd", , "LAST", Main_M[[#This Row],[Symbol]])</f>
        <v>75.150000000000006</v>
      </c>
      <c r="E11">
        <v>0.81</v>
      </c>
      <c r="F11">
        <v>53.76</v>
      </c>
      <c r="G11">
        <v>4.09</v>
      </c>
      <c r="H11" s="1">
        <f>IF(ISNUMBER(Main_M[[#This Row],[Free CF]]),IF(Main_M[[#This Row],[Free CF]]&lt;&gt;0,Main_M[[#This Row],[Current Price]]/Main_M[[#This Row],[Free CF]],""),"")</f>
        <v>92.777777777777786</v>
      </c>
      <c r="I11" s="1">
        <f>IF(ISNUMBER(Main_M[[#This Row],[BVPS]]),IF(Main_M[[#This Row],[BVPS]]&lt;&gt;0,Main_M[[#This Row],[Current Price]]/Main_M[[#This Row],[BVPS]],""),"")</f>
        <v>1.3978794642857144</v>
      </c>
      <c r="J11">
        <v>7.8</v>
      </c>
      <c r="K11">
        <v>3.97</v>
      </c>
      <c r="L11">
        <v>1.46</v>
      </c>
      <c r="M11" s="1">
        <f>IF(ISNUMBER(Main_M[[#This Row],[EPS]]),IF(Main_M[[#This Row],[EPS]]&lt;&gt;0,Main_M[[#This Row],[Current Price]]/Main_M[[#This Row],[EPS]],""),"")</f>
        <v>18.374083129584353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1.790009505323136</v>
      </c>
      <c r="P11" s="1">
        <f>(Main_M[[#This Row],[P/B]]-VLOOKUP(Main_M[[#This Row],[Industry]], Mean_PB_M, 2, FALSE))/(VLOOKUP(Main_M[[#This Row],[Industry]], Mean_PB_M, 3, FALSE))</f>
        <v>-0.83954945206817999</v>
      </c>
      <c r="Q11" s="1">
        <f>(Main_M[[#This Row],[ROE]]-VLOOKUP(Main_M[[#This Row],[Industry]], Mean_ROE_M, 2, FALSE))/(VLOOKUP(Main_M[[#This Row],[Industry]], Mean_ROE_M, 3, FALSE))</f>
        <v>0.66226334316894331</v>
      </c>
      <c r="R11" s="1">
        <f>(Main_M[[#This Row],[ROA]]-VLOOKUP(Main_M[[#This Row],[Industry]], Mean_ROA_M, 2, FALSE))/(VLOOKUP(Main_M[[#This Row],[Industry]], Mean_ROA_M, 3, FALSE))</f>
        <v>3.6871623456449489E-2</v>
      </c>
      <c r="S11" s="1">
        <f>(Main_M[[#This Row],[A/E]]-VLOOKUP(Main_M[[#This Row],[Industry]], Mean_AE_M, 2, FALSE))/(VLOOKUP(Main_M[[#This Row],[Industry]], Mean_AE_M, 3, FALSE))</f>
        <v>-0.95805312257849218</v>
      </c>
      <c r="T11" s="1">
        <f>(Main_M[[#This Row],[P/E]]-VLOOKUP(Main_M[[#This Row],[Industry]], Mean_PE_M, 2, FALSE))/(VLOOKUP(Main_M[[#This Row],[Industry]], Mean_PE_M, 3, FALSE))</f>
        <v>-0.10852439041514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105</v>
      </c>
      <c r="B12" t="s">
        <v>115</v>
      </c>
      <c r="C12" s="2">
        <v>3219</v>
      </c>
      <c r="D12">
        <f>RTD("tos.rtd", , "LAST", Main_M[[#This Row],[Symbol]])</f>
        <v>102.31</v>
      </c>
      <c r="E12">
        <v>2.61</v>
      </c>
      <c r="F12">
        <v>39.1</v>
      </c>
      <c r="G12">
        <v>4.6900000000000004</v>
      </c>
      <c r="H12" s="1">
        <f>IF(ISNUMBER(Main_M[[#This Row],[Free CF]]),IF(Main_M[[#This Row],[Free CF]]&lt;&gt;0,Main_M[[#This Row],[Current Price]]/Main_M[[#This Row],[Free CF]],""),"")</f>
        <v>39.199233716475099</v>
      </c>
      <c r="I12" s="1">
        <f>IF(ISNUMBER(Main_M[[#This Row],[BVPS]]),IF(Main_M[[#This Row],[BVPS]]&lt;&gt;0,Main_M[[#This Row],[Current Price]]/Main_M[[#This Row],[BVPS]],""),"")</f>
        <v>2.616624040920716</v>
      </c>
      <c r="J12">
        <v>12.6</v>
      </c>
      <c r="K12">
        <v>6.83</v>
      </c>
      <c r="L12">
        <v>1.78</v>
      </c>
      <c r="M12" s="1">
        <f>IF(ISNUMBER(Main_M[[#This Row],[EPS]]),IF(Main_M[[#This Row],[EPS]]&lt;&gt;0,Main_M[[#This Row],[Current Price]]/Main_M[[#This Row],[EPS]],""),"")</f>
        <v>21.814498933901916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-0.15285151199307809</v>
      </c>
      <c r="P12" s="1">
        <f>(Main_M[[#This Row],[P/B]]-VLOOKUP(Main_M[[#This Row],[Industry]], Mean_PB_M, 2, FALSE))/(VLOOKUP(Main_M[[#This Row],[Industry]], Mean_PB_M, 3, FALSE))</f>
        <v>8.9194146671150096E-2</v>
      </c>
      <c r="Q12" s="1">
        <f>(Main_M[[#This Row],[ROE]]-VLOOKUP(Main_M[[#This Row],[Industry]], Mean_ROE_M, 2, FALSE))/(VLOOKUP(Main_M[[#This Row],[Industry]], Mean_ROE_M, 3, FALSE))</f>
        <v>0.74580041518745055</v>
      </c>
      <c r="R12" s="1">
        <f>(Main_M[[#This Row],[ROA]]-VLOOKUP(Main_M[[#This Row],[Industry]], Mean_ROA_M, 2, FALSE))/(VLOOKUP(Main_M[[#This Row],[Industry]], Mean_ROA_M, 3, FALSE))</f>
        <v>1.2085698799614017</v>
      </c>
      <c r="S12" s="1">
        <f>(Main_M[[#This Row],[A/E]]-VLOOKUP(Main_M[[#This Row],[Industry]], Mean_AE_M, 2, FALSE))/(VLOOKUP(Main_M[[#This Row],[Industry]], Mean_AE_M, 3, FALSE))</f>
        <v>-0.85489800843814301</v>
      </c>
      <c r="T12" s="1">
        <f>(Main_M[[#This Row],[P/E]]-VLOOKUP(Main_M[[#This Row],[Industry]], Mean_PE_M, 2, FALSE))/(VLOOKUP(Main_M[[#This Row],[Industry]], Mean_PE_M, 3, FALSE))</f>
        <v>0.11505748208603851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107</v>
      </c>
      <c r="B13" t="s">
        <v>122</v>
      </c>
      <c r="C13" s="2">
        <v>5214</v>
      </c>
      <c r="D13">
        <f>RTD("tos.rtd", , "LAST", Main_M[[#This Row],[Symbol]])</f>
        <v>36.659999999999997</v>
      </c>
      <c r="E13">
        <v>3.18</v>
      </c>
      <c r="F13">
        <v>27.55</v>
      </c>
      <c r="G13">
        <v>1.07</v>
      </c>
      <c r="H13" s="1">
        <f>IF(ISNUMBER(Main_M[[#This Row],[Free CF]]),IF(Main_M[[#This Row],[Free CF]]&lt;&gt;0,Main_M[[#This Row],[Current Price]]/Main_M[[#This Row],[Free CF]],""),"")</f>
        <v>11.528301886792452</v>
      </c>
      <c r="I13" s="1">
        <f>IF(ISNUMBER(Main_M[[#This Row],[BVPS]]),IF(Main_M[[#This Row],[BVPS]]&lt;&gt;0,Main_M[[#This Row],[Current Price]]/Main_M[[#This Row],[BVPS]],""),"")</f>
        <v>1.3306715063520869</v>
      </c>
      <c r="J13">
        <v>6.24</v>
      </c>
      <c r="K13">
        <v>1.66</v>
      </c>
      <c r="L13">
        <v>2.2999999999999998</v>
      </c>
      <c r="M13" s="1">
        <f>IF(ISNUMBER(Main_M[[#This Row],[EPS]]),IF(Main_M[[#This Row],[EPS]]&lt;&gt;0,Main_M[[#This Row],[Current Price]]/Main_M[[#This Row],[EPS]],""),"")</f>
        <v>34.261682242990652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-0.3704272747274196</v>
      </c>
      <c r="P13" s="1">
        <f>(Main_M[[#This Row],[P/B]]-VLOOKUP(Main_M[[#This Row],[Industry]], Mean_PB_M, 2, FALSE))/(VLOOKUP(Main_M[[#This Row],[Industry]], Mean_PB_M, 3, FALSE))</f>
        <v>-0.8337003596089394</v>
      </c>
      <c r="Q13" s="1">
        <f>(Main_M[[#This Row],[ROE]]-VLOOKUP(Main_M[[#This Row],[Industry]], Mean_ROE_M, 2, FALSE))/(VLOOKUP(Main_M[[#This Row],[Industry]], Mean_ROE_M, 3, FALSE))</f>
        <v>-0.57971898487531126</v>
      </c>
      <c r="R13" s="1">
        <f>(Main_M[[#This Row],[ROA]]-VLOOKUP(Main_M[[#This Row],[Industry]], Mean_ROA_M, 2, FALSE))/(VLOOKUP(Main_M[[#This Row],[Industry]], Mean_ROA_M, 3, FALSE))</f>
        <v>-1.412610609126788</v>
      </c>
      <c r="S13" s="1">
        <f>(Main_M[[#This Row],[A/E]]-VLOOKUP(Main_M[[#This Row],[Industry]], Mean_AE_M, 2, FALSE))/(VLOOKUP(Main_M[[#This Row],[Industry]], Mean_AE_M, 3, FALSE))</f>
        <v>0.79003830492963245</v>
      </c>
      <c r="T13" s="1">
        <f>(Main_M[[#This Row],[P/E]]-VLOOKUP(Main_M[[#This Row],[Industry]], Mean_PE_M, 2, FALSE))/(VLOOKUP(Main_M[[#This Row],[Industry]], Mean_PE_M, 3, FALSE))</f>
        <v>1.8220339144176072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107</v>
      </c>
      <c r="B14" t="s">
        <v>123</v>
      </c>
      <c r="C14" s="2">
        <v>8725</v>
      </c>
      <c r="D14">
        <f>RTD("tos.rtd", , "LAST", Main_M[[#This Row],[Symbol]])</f>
        <v>137.68</v>
      </c>
      <c r="E14">
        <v>17.329999999999998</v>
      </c>
      <c r="F14">
        <v>58.98</v>
      </c>
      <c r="G14">
        <v>9.7100000000000009</v>
      </c>
      <c r="H14" s="1">
        <f>IF(ISNUMBER(Main_M[[#This Row],[Free CF]]),IF(Main_M[[#This Row],[Free CF]]&lt;&gt;0,Main_M[[#This Row],[Current Price]]/Main_M[[#This Row],[Free CF]],""),"")</f>
        <v>7.9446047316791706</v>
      </c>
      <c r="I14" s="1">
        <f>IF(ISNUMBER(Main_M[[#This Row],[BVPS]]),IF(Main_M[[#This Row],[BVPS]]&lt;&gt;0,Main_M[[#This Row],[Current Price]]/Main_M[[#This Row],[BVPS]],""),"")</f>
        <v>2.3343506273312991</v>
      </c>
      <c r="J14">
        <v>17.62</v>
      </c>
      <c r="K14">
        <v>8.34</v>
      </c>
      <c r="L14">
        <v>1.96</v>
      </c>
      <c r="M14" s="1">
        <f>IF(ISNUMBER(Main_M[[#This Row],[EPS]]),IF(Main_M[[#This Row],[EPS]]&lt;&gt;0,Main_M[[#This Row],[Current Price]]/Main_M[[#This Row],[EPS]],""),"")</f>
        <v>14.179196704428424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-0.83150005871787691</v>
      </c>
      <c r="P14" s="1">
        <f>(Main_M[[#This Row],[P/B]]-VLOOKUP(Main_M[[#This Row],[Industry]], Mean_PB_M, 2, FALSE))/(VLOOKUP(Main_M[[#This Row],[Industry]], Mean_PB_M, 3, FALSE))</f>
        <v>0.49586862388925745</v>
      </c>
      <c r="Q14" s="1">
        <f>(Main_M[[#This Row],[ROE]]-VLOOKUP(Main_M[[#This Row],[Industry]], Mean_ROE_M, 2, FALSE))/(VLOOKUP(Main_M[[#This Row],[Industry]], Mean_ROE_M, 3, FALSE))</f>
        <v>0.99640437127374293</v>
      </c>
      <c r="R14" s="1">
        <f>(Main_M[[#This Row],[ROA]]-VLOOKUP(Main_M[[#This Row],[Industry]], Mean_ROA_M, 2, FALSE))/(VLOOKUP(Main_M[[#This Row],[Industry]], Mean_ROA_M, 3, FALSE))</f>
        <v>1.0400593446854489</v>
      </c>
      <c r="S14" s="1">
        <f>(Main_M[[#This Row],[A/E]]-VLOOKUP(Main_M[[#This Row],[Industry]], Mean_AE_M, 2, FALSE))/(VLOOKUP(Main_M[[#This Row],[Industry]], Mean_AE_M, 3, FALSE))</f>
        <v>0.1921714795774784</v>
      </c>
      <c r="T14" s="1">
        <f>(Main_M[[#This Row],[P/E]]-VLOOKUP(Main_M[[#This Row],[Industry]], Mean_PE_M, 2, FALSE))/(VLOOKUP(Main_M[[#This Row],[Industry]], Mean_PE_M, 3, FALSE))</f>
        <v>-0.63715746746333257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107</v>
      </c>
      <c r="B15" t="s">
        <v>124</v>
      </c>
      <c r="C15" s="2">
        <v>5583</v>
      </c>
      <c r="D15">
        <f>RTD("tos.rtd", , "LAST", Main_M[[#This Row],[Symbol]])</f>
        <v>3.58</v>
      </c>
      <c r="E15">
        <v>0.82</v>
      </c>
      <c r="F15">
        <v>1.5</v>
      </c>
      <c r="G15">
        <v>0.31</v>
      </c>
      <c r="H15" s="1">
        <f>IF(ISNUMBER(Main_M[[#This Row],[Free CF]]),IF(Main_M[[#This Row],[Free CF]]&lt;&gt;0,Main_M[[#This Row],[Current Price]]/Main_M[[#This Row],[Free CF]],""),"")</f>
        <v>4.3658536585365857</v>
      </c>
      <c r="I15" s="1">
        <f>IF(ISNUMBER(Main_M[[#This Row],[BVPS]]),IF(Main_M[[#This Row],[BVPS]]&lt;&gt;0,Main_M[[#This Row],[Current Price]]/Main_M[[#This Row],[BVPS]],""),"")</f>
        <v>2.3866666666666667</v>
      </c>
      <c r="J15">
        <v>22.97</v>
      </c>
      <c r="K15">
        <v>7.02</v>
      </c>
      <c r="L15">
        <v>4.1500000000000004</v>
      </c>
      <c r="M15" s="1">
        <f>IF(ISNUMBER(Main_M[[#This Row],[EPS]]),IF(Main_M[[#This Row],[EPS]]&lt;&gt;0,Main_M[[#This Row],[Current Price]]/Main_M[[#This Row],[EPS]],""),"")</f>
        <v>11.548387096774194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-1.2919364876578465</v>
      </c>
      <c r="P15" s="1">
        <f>(Main_M[[#This Row],[P/B]]-VLOOKUP(Main_M[[#This Row],[Industry]], Mean_PB_M, 2, FALSE))/(VLOOKUP(Main_M[[#This Row],[Industry]], Mean_PB_M, 3, FALSE))</f>
        <v>0.56517143370751322</v>
      </c>
      <c r="Q15" s="1">
        <f>(Main_M[[#This Row],[ROE]]-VLOOKUP(Main_M[[#This Row],[Industry]], Mean_ROE_M, 2, FALSE))/(VLOOKUP(Main_M[[#This Row],[Industry]], Mean_ROE_M, 3, FALSE))</f>
        <v>1.7373762478464525</v>
      </c>
      <c r="R15" s="1">
        <f>(Main_M[[#This Row],[ROA]]-VLOOKUP(Main_M[[#This Row],[Industry]], Mean_ROA_M, 2, FALSE))/(VLOOKUP(Main_M[[#This Row],[Industry]], Mean_ROA_M, 3, FALSE))</f>
        <v>0.5554000124950067</v>
      </c>
      <c r="S15" s="1">
        <f>(Main_M[[#This Row],[A/E]]-VLOOKUP(Main_M[[#This Row],[Industry]], Mean_AE_M, 2, FALSE))/(VLOOKUP(Main_M[[#This Row],[Industry]], Mean_AE_M, 3, FALSE))</f>
        <v>4.0431372075810614</v>
      </c>
      <c r="T15" s="1">
        <f>(Main_M[[#This Row],[P/E]]-VLOOKUP(Main_M[[#This Row],[Industry]], Mean_PE_M, 2, FALSE))/(VLOOKUP(Main_M[[#This Row],[Industry]], Mean_PE_M, 3, FALSE))</f>
        <v>-0.95931202856533671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107</v>
      </c>
      <c r="B16" t="s">
        <v>125</v>
      </c>
      <c r="C16" s="2">
        <v>4634</v>
      </c>
      <c r="D16">
        <f>RTD("tos.rtd", , "LAST", Main_M[[#This Row],[Symbol]])</f>
        <v>93.95</v>
      </c>
      <c r="E16">
        <v>17.61</v>
      </c>
      <c r="F16">
        <v>48.56</v>
      </c>
      <c r="G16">
        <v>20.239999999999998</v>
      </c>
      <c r="H16" s="1">
        <f>IF(ISNUMBER(Main_M[[#This Row],[Free CF]]),IF(Main_M[[#This Row],[Free CF]]&lt;&gt;0,Main_M[[#This Row],[Current Price]]/Main_M[[#This Row],[Free CF]],""),"")</f>
        <v>5.3350369108461102</v>
      </c>
      <c r="I16" s="1">
        <f>IF(ISNUMBER(Main_M[[#This Row],[BVPS]]),IF(Main_M[[#This Row],[BVPS]]&lt;&gt;0,Main_M[[#This Row],[Current Price]]/Main_M[[#This Row],[BVPS]],""),"")</f>
        <v>1.9347199341021417</v>
      </c>
      <c r="J16">
        <v>48.15</v>
      </c>
      <c r="K16">
        <v>29.82</v>
      </c>
      <c r="L16">
        <v>1.29</v>
      </c>
      <c r="M16" s="1">
        <f>IF(ISNUMBER(Main_M[[#This Row],[EPS]]),IF(Main_M[[#This Row],[EPS]]&lt;&gt;0,Main_M[[#This Row],[Current Price]]/Main_M[[#This Row],[EPS]],""),"")</f>
        <v>4.6417984189723329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16" s="1">
        <f>(Main_M[[#This Row],[P/FCF]]-VLOOKUP(Main_M[[#This Row],[Industry]], Mean_PFCF_M, 2, FALSE))/(VLOOKUP(Main_M[[#This Row],[Industry]], Mean_PFCF_M, 3, FALSE))</f>
        <v>-1.1672429097695241</v>
      </c>
      <c r="P16" s="1">
        <f>(Main_M[[#This Row],[P/B]]-VLOOKUP(Main_M[[#This Row],[Industry]], Mean_PB_M, 2, FALSE))/(VLOOKUP(Main_M[[#This Row],[Industry]], Mean_PB_M, 3, FALSE))</f>
        <v>-3.352026491515088E-2</v>
      </c>
      <c r="Q16" s="1">
        <f>(Main_M[[#This Row],[ROE]]-VLOOKUP(Main_M[[#This Row],[Industry]], Mean_ROE_M, 2, FALSE))/(VLOOKUP(Main_M[[#This Row],[Industry]], Mean_ROE_M, 3, FALSE))</f>
        <v>5.2247915473045534</v>
      </c>
      <c r="R16" s="1">
        <f>(Main_M[[#This Row],[ROA]]-VLOOKUP(Main_M[[#This Row],[Industry]], Mean_ROA_M, 2, FALSE))/(VLOOKUP(Main_M[[#This Row],[Industry]], Mean_ROA_M, 3, FALSE))</f>
        <v>8.926788477602642</v>
      </c>
      <c r="S16" s="1">
        <f>(Main_M[[#This Row],[A/E]]-VLOOKUP(Main_M[[#This Row],[Industry]], Mean_AE_M, 2, FALSE))/(VLOOKUP(Main_M[[#This Row],[Industry]], Mean_AE_M, 3, FALSE))</f>
        <v>-0.98597785273411953</v>
      </c>
      <c r="T16" s="1">
        <f>(Main_M[[#This Row],[P/E]]-VLOOKUP(Main_M[[#This Row],[Industry]], Mean_PE_M, 2, FALSE))/(VLOOKUP(Main_M[[#This Row],[Industry]], Mean_PE_M, 3, FALSE))</f>
        <v>-1.8050551175885095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107</v>
      </c>
      <c r="B17" t="s">
        <v>126</v>
      </c>
      <c r="C17" s="2">
        <v>3669</v>
      </c>
      <c r="D17">
        <f>RTD("tos.rtd", , "LAST", Main_M[[#This Row],[Symbol]])</f>
        <v>17.34</v>
      </c>
      <c r="E17">
        <v>1.33</v>
      </c>
      <c r="F17">
        <v>6.7</v>
      </c>
      <c r="G17">
        <v>1.17</v>
      </c>
      <c r="H17" s="1">
        <f>IF(ISNUMBER(Main_M[[#This Row],[Free CF]]),IF(Main_M[[#This Row],[Free CF]]&lt;&gt;0,Main_M[[#This Row],[Current Price]]/Main_M[[#This Row],[Free CF]],""),"")</f>
        <v>13.037593984962406</v>
      </c>
      <c r="I17" s="1">
        <f>IF(ISNUMBER(Main_M[[#This Row],[BVPS]]),IF(Main_M[[#This Row],[BVPS]]&lt;&gt;0,Main_M[[#This Row],[Current Price]]/Main_M[[#This Row],[BVPS]],""),"")</f>
        <v>2.5880597014925373</v>
      </c>
      <c r="J17">
        <v>17.97</v>
      </c>
      <c r="K17">
        <v>6.95</v>
      </c>
      <c r="L17">
        <v>2.41</v>
      </c>
      <c r="M17" s="1">
        <f>IF(ISNUMBER(Main_M[[#This Row],[EPS]]),IF(Main_M[[#This Row],[EPS]]&lt;&gt;0,Main_M[[#This Row],[Current Price]]/Main_M[[#This Row],[EPS]],""),"")</f>
        <v>14.820512820512821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-0.17624415058560797</v>
      </c>
      <c r="P17" s="1">
        <f>(Main_M[[#This Row],[P/B]]-VLOOKUP(Main_M[[#This Row],[Industry]], Mean_PB_M, 2, FALSE))/(VLOOKUP(Main_M[[#This Row],[Industry]], Mean_PB_M, 3, FALSE))</f>
        <v>0.83195583421971186</v>
      </c>
      <c r="Q17" s="1">
        <f>(Main_M[[#This Row],[ROE]]-VLOOKUP(Main_M[[#This Row],[Industry]], Mean_ROE_M, 2, FALSE))/(VLOOKUP(Main_M[[#This Row],[Industry]], Mean_ROE_M, 3, FALSE))</f>
        <v>1.0448791669373778</v>
      </c>
      <c r="R17" s="1">
        <f>(Main_M[[#This Row],[ROA]]-VLOOKUP(Main_M[[#This Row],[Industry]], Mean_ROA_M, 2, FALSE))/(VLOOKUP(Main_M[[#This Row],[Industry]], Mean_ROA_M, 3, FALSE))</f>
        <v>0.52969838124248347</v>
      </c>
      <c r="S17" s="1">
        <f>(Main_M[[#This Row],[A/E]]-VLOOKUP(Main_M[[#This Row],[Industry]], Mean_AE_M, 2, FALSE))/(VLOOKUP(Main_M[[#This Row],[Industry]], Mean_AE_M, 3, FALSE))</f>
        <v>0.98346580724944765</v>
      </c>
      <c r="T17" s="1">
        <f>(Main_M[[#This Row],[P/E]]-VLOOKUP(Main_M[[#This Row],[Industry]], Mean_PE_M, 2, FALSE))/(VLOOKUP(Main_M[[#This Row],[Industry]], Mean_PE_M, 3, FALSE))</f>
        <v>-0.55862540216156831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107</v>
      </c>
      <c r="B18" t="s">
        <v>127</v>
      </c>
      <c r="C18" s="2">
        <v>3956</v>
      </c>
      <c r="D18">
        <f>RTD("tos.rtd", , "LAST", Main_M[[#This Row],[Symbol]])</f>
        <v>77.31</v>
      </c>
      <c r="E18">
        <v>-0.28000000000000003</v>
      </c>
      <c r="F18">
        <v>21.52</v>
      </c>
      <c r="G18">
        <v>0.31</v>
      </c>
      <c r="H18" s="1">
        <f>IF(ISNUMBER(Main_M[[#This Row],[Free CF]]),IF(Main_M[[#This Row],[Free CF]]&lt;&gt;0,Main_M[[#This Row],[Current Price]]/Main_M[[#This Row],[Free CF]],""),"")</f>
        <v>-276.10714285714283</v>
      </c>
      <c r="I18" s="1">
        <f>IF(ISNUMBER(Main_M[[#This Row],[BVPS]]),IF(Main_M[[#This Row],[BVPS]]&lt;&gt;0,Main_M[[#This Row],[Current Price]]/Main_M[[#This Row],[BVPS]],""),"")</f>
        <v>3.5924721189591078</v>
      </c>
      <c r="J18">
        <v>1.54</v>
      </c>
      <c r="K18">
        <v>0.97</v>
      </c>
      <c r="L18">
        <v>1.49</v>
      </c>
      <c r="M18" s="1">
        <f>IF(ISNUMBER(Main_M[[#This Row],[EPS]]),IF(Main_M[[#This Row],[EPS]]&lt;&gt;0,Main_M[[#This Row],[Current Price]]/Main_M[[#This Row],[EPS]],""),"")</f>
        <v>249.38709677419357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-37.377146744087113</v>
      </c>
      <c r="P18" s="1">
        <f>(Main_M[[#This Row],[P/B]]-VLOOKUP(Main_M[[#This Row],[Industry]], Mean_PB_M, 2, FALSE))/(VLOOKUP(Main_M[[#This Row],[Industry]], Mean_PB_M, 3, FALSE))</f>
        <v>2.1624962121057369</v>
      </c>
      <c r="Q18" s="1">
        <f>(Main_M[[#This Row],[ROE]]-VLOOKUP(Main_M[[#This Row],[Industry]], Mean_ROE_M, 2, FALSE))/(VLOOKUP(Main_M[[#This Row],[Industry]], Mean_ROE_M, 3, FALSE))</f>
        <v>-1.2306662409298414</v>
      </c>
      <c r="R18" s="1">
        <f>(Main_M[[#This Row],[ROA]]-VLOOKUP(Main_M[[#This Row],[Industry]], Mean_ROA_M, 2, FALSE))/(VLOOKUP(Main_M[[#This Row],[Industry]], Mean_ROA_M, 3, FALSE))</f>
        <v>-1.6659552600445193</v>
      </c>
      <c r="S18" s="1">
        <f>(Main_M[[#This Row],[A/E]]-VLOOKUP(Main_M[[#This Row],[Industry]], Mean_AE_M, 2, FALSE))/(VLOOKUP(Main_M[[#This Row],[Industry]], Mean_AE_M, 3, FALSE))</f>
        <v>-0.63429148487991127</v>
      </c>
      <c r="T18" s="1">
        <f>(Main_M[[#This Row],[P/E]]-VLOOKUP(Main_M[[#This Row],[Industry]], Mean_PE_M, 2, FALSE))/(VLOOKUP(Main_M[[#This Row],[Industry]], Mean_PE_M, 3, FALSE))</f>
        <v>28.165116020606654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9" spans="1:26" x14ac:dyDescent="0.25">
      <c r="A19" t="s">
        <v>107</v>
      </c>
      <c r="B19" t="s">
        <v>128</v>
      </c>
      <c r="C19" s="2">
        <v>2217</v>
      </c>
      <c r="D19">
        <f>RTD("tos.rtd", , "LAST", Main_M[[#This Row],[Symbol]])</f>
        <v>116.55</v>
      </c>
      <c r="E19">
        <v>4.46</v>
      </c>
      <c r="F19">
        <v>48.61</v>
      </c>
      <c r="G19">
        <v>4.32</v>
      </c>
      <c r="H19" s="1">
        <f>IF(ISNUMBER(Main_M[[#This Row],[Free CF]]),IF(Main_M[[#This Row],[Free CF]]&lt;&gt;0,Main_M[[#This Row],[Current Price]]/Main_M[[#This Row],[Free CF]],""),"")</f>
        <v>26.132286995515695</v>
      </c>
      <c r="I19" s="1">
        <f>IF(ISNUMBER(Main_M[[#This Row],[BVPS]]),IF(Main_M[[#This Row],[BVPS]]&lt;&gt;0,Main_M[[#This Row],[Current Price]]/Main_M[[#This Row],[BVPS]],""),"")</f>
        <v>2.3976548035383667</v>
      </c>
      <c r="J19">
        <v>9.08</v>
      </c>
      <c r="K19">
        <v>5.63</v>
      </c>
      <c r="L19">
        <v>1.42</v>
      </c>
      <c r="M19" s="1">
        <f>IF(ISNUMBER(Main_M[[#This Row],[EPS]]),IF(Main_M[[#This Row],[EPS]]&lt;&gt;0,Main_M[[#This Row],[Current Price]]/Main_M[[#This Row],[EPS]],""),"")</f>
        <v>26.979166666666664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1.5084982538504439</v>
      </c>
      <c r="P19" s="1">
        <f>(Main_M[[#This Row],[P/B]]-VLOOKUP(Main_M[[#This Row],[Industry]], Mean_PB_M, 2, FALSE))/(VLOOKUP(Main_M[[#This Row],[Industry]], Mean_PB_M, 3, FALSE))</f>
        <v>0.5797273666403332</v>
      </c>
      <c r="Q19" s="1">
        <f>(Main_M[[#This Row],[ROE]]-VLOOKUP(Main_M[[#This Row],[Industry]], Mean_ROE_M, 2, FALSE))/(VLOOKUP(Main_M[[#This Row],[Industry]], Mean_ROE_M, 3, FALSE))</f>
        <v>-0.18638064291895687</v>
      </c>
      <c r="R19" s="1">
        <f>(Main_M[[#This Row],[ROA]]-VLOOKUP(Main_M[[#This Row],[Industry]], Mean_ROA_M, 2, FALSE))/(VLOOKUP(Main_M[[#This Row],[Industry]], Mean_ROA_M, 3, FALSE))</f>
        <v>4.5039049052041341E-2</v>
      </c>
      <c r="S19" s="1">
        <f>(Main_M[[#This Row],[A/E]]-VLOOKUP(Main_M[[#This Row],[Industry]], Mean_AE_M, 2, FALSE))/(VLOOKUP(Main_M[[#This Row],[Industry]], Mean_AE_M, 3, FALSE))</f>
        <v>-0.75738171362888429</v>
      </c>
      <c r="T19" s="1">
        <f>(Main_M[[#This Row],[P/E]]-VLOOKUP(Main_M[[#This Row],[Industry]], Mean_PE_M, 2, FALSE))/(VLOOKUP(Main_M[[#This Row],[Industry]], Mean_PE_M, 3, FALSE))</f>
        <v>0.93025687271025748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107</v>
      </c>
      <c r="B20" t="s">
        <v>129</v>
      </c>
      <c r="C20" s="2">
        <v>4402</v>
      </c>
      <c r="D20">
        <f>RTD("tos.rtd", , "LAST", Main_M[[#This Row],[Symbol]])</f>
        <v>167.59</v>
      </c>
      <c r="E20">
        <v>5.39</v>
      </c>
      <c r="F20">
        <v>36.14</v>
      </c>
      <c r="G20">
        <v>6.15</v>
      </c>
      <c r="H20" s="1">
        <f>IF(ISNUMBER(Main_M[[#This Row],[Free CF]]),IF(Main_M[[#This Row],[Free CF]]&lt;&gt;0,Main_M[[#This Row],[Current Price]]/Main_M[[#This Row],[Free CF]],""),"")</f>
        <v>31.092764378478666</v>
      </c>
      <c r="I20" s="1">
        <f>IF(ISNUMBER(Main_M[[#This Row],[BVPS]]),IF(Main_M[[#This Row],[BVPS]]&lt;&gt;0,Main_M[[#This Row],[Current Price]]/Main_M[[#This Row],[BVPS]],""),"")</f>
        <v>4.6372440509131154</v>
      </c>
      <c r="J20">
        <v>17.77</v>
      </c>
      <c r="K20">
        <v>11.69</v>
      </c>
      <c r="L20">
        <v>1.28</v>
      </c>
      <c r="M20" s="1">
        <f>IF(ISNUMBER(Main_M[[#This Row],[EPS]]),IF(Main_M[[#This Row],[EPS]]&lt;&gt;0,Main_M[[#This Row],[Current Price]]/Main_M[[#This Row],[EPS]],""),"")</f>
        <v>27.25040650406504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2.1467053952159194</v>
      </c>
      <c r="P20" s="1">
        <f>(Main_M[[#This Row],[P/B]]-VLOOKUP(Main_M[[#This Row],[Industry]], Mean_PB_M, 2, FALSE))/(VLOOKUP(Main_M[[#This Row],[Industry]], Mean_PB_M, 3, FALSE))</f>
        <v>3.546500647906198</v>
      </c>
      <c r="Q20" s="1">
        <f>(Main_M[[#This Row],[ROE]]-VLOOKUP(Main_M[[#This Row],[Industry]], Mean_ROE_M, 2, FALSE))/(VLOOKUP(Main_M[[#This Row],[Industry]], Mean_ROE_M, 3, FALSE))</f>
        <v>1.017179283701015</v>
      </c>
      <c r="R20" s="1">
        <f>(Main_M[[#This Row],[ROA]]-VLOOKUP(Main_M[[#This Row],[Industry]], Mean_ROA_M, 2, FALSE))/(VLOOKUP(Main_M[[#This Row],[Industry]], Mean_ROA_M, 3, FALSE))</f>
        <v>2.2700659831990708</v>
      </c>
      <c r="S20" s="1">
        <f>(Main_M[[#This Row],[A/E]]-VLOOKUP(Main_M[[#This Row],[Industry]], Mean_AE_M, 2, FALSE))/(VLOOKUP(Main_M[[#This Row],[Industry]], Mean_AE_M, 3, FALSE))</f>
        <v>-1.0035621711268301</v>
      </c>
      <c r="T20" s="1">
        <f>(Main_M[[#This Row],[P/E]]-VLOOKUP(Main_M[[#This Row],[Industry]], Mean_PE_M, 2, FALSE))/(VLOOKUP(Main_M[[#This Row],[Industry]], Mean_PE_M, 3, FALSE))</f>
        <v>0.96347142024582255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107</v>
      </c>
      <c r="B21" t="s">
        <v>130</v>
      </c>
      <c r="C21" s="2">
        <v>7174</v>
      </c>
      <c r="D21">
        <f>RTD("tos.rtd", , "LAST", Main_M[[#This Row],[Symbol]])</f>
        <v>51.21</v>
      </c>
      <c r="E21">
        <v>0.6</v>
      </c>
      <c r="F21">
        <v>11.58</v>
      </c>
      <c r="G21">
        <v>2.5499999999999998</v>
      </c>
      <c r="H21" s="1">
        <f>IF(ISNUMBER(Main_M[[#This Row],[Free CF]]),IF(Main_M[[#This Row],[Free CF]]&lt;&gt;0,Main_M[[#This Row],[Current Price]]/Main_M[[#This Row],[Free CF]],""),"")</f>
        <v>85.350000000000009</v>
      </c>
      <c r="I21" s="1">
        <f>IF(ISNUMBER(Main_M[[#This Row],[BVPS]]),IF(Main_M[[#This Row],[BVPS]]&lt;&gt;0,Main_M[[#This Row],[Current Price]]/Main_M[[#This Row],[BVPS]],""),"")</f>
        <v>4.4222797927461137</v>
      </c>
      <c r="J21">
        <v>21.64</v>
      </c>
      <c r="K21">
        <v>7.37</v>
      </c>
      <c r="L21">
        <v>4.54</v>
      </c>
      <c r="M21" s="1">
        <f>IF(ISNUMBER(Main_M[[#This Row],[EPS]]),IF(Main_M[[#This Row],[EPS]]&lt;&gt;0,Main_M[[#This Row],[Current Price]]/Main_M[[#This Row],[EPS]],""),"")</f>
        <v>20.082352941176474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9.1273551535100967</v>
      </c>
      <c r="P21" s="1">
        <f>(Main_M[[#This Row],[P/B]]-VLOOKUP(Main_M[[#This Row],[Industry]], Mean_PB_M, 2, FALSE))/(VLOOKUP(Main_M[[#This Row],[Industry]], Mean_PB_M, 3, FALSE))</f>
        <v>3.2617385120348232</v>
      </c>
      <c r="Q21" s="1">
        <f>(Main_M[[#This Row],[ROE]]-VLOOKUP(Main_M[[#This Row],[Industry]], Mean_ROE_M, 2, FALSE))/(VLOOKUP(Main_M[[#This Row],[Industry]], Mean_ROE_M, 3, FALSE))</f>
        <v>1.553172024324639</v>
      </c>
      <c r="R21" s="1">
        <f>(Main_M[[#This Row],[ROA]]-VLOOKUP(Main_M[[#This Row],[Industry]], Mean_ROA_M, 2, FALSE))/(VLOOKUP(Main_M[[#This Row],[Industry]], Mean_ROA_M, 3, FALSE))</f>
        <v>0.68390816875762417</v>
      </c>
      <c r="S21" s="1">
        <f>(Main_M[[#This Row],[A/E]]-VLOOKUP(Main_M[[#This Row],[Industry]], Mean_AE_M, 2, FALSE))/(VLOOKUP(Main_M[[#This Row],[Industry]], Mean_AE_M, 3, FALSE))</f>
        <v>4.7289256248967666</v>
      </c>
      <c r="T21" s="1">
        <f>(Main_M[[#This Row],[P/E]]-VLOOKUP(Main_M[[#This Row],[Industry]], Mean_PE_M, 2, FALSE))/(VLOOKUP(Main_M[[#This Row],[Industry]], Mean_PE_M, 3, FALSE))</f>
        <v>8.5710770904478789E-2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107</v>
      </c>
      <c r="B22" t="s">
        <v>131</v>
      </c>
      <c r="C22" s="2">
        <v>2935</v>
      </c>
      <c r="D22">
        <f>RTD("tos.rtd", , "LAST", Main_M[[#This Row],[Symbol]])</f>
        <v>18.399999999999999</v>
      </c>
      <c r="E22">
        <v>2.2799999999999998</v>
      </c>
      <c r="F22">
        <v>17.670000000000002</v>
      </c>
      <c r="G22">
        <v>1.45</v>
      </c>
      <c r="H22" s="1">
        <f>IF(ISNUMBER(Main_M[[#This Row],[Free CF]]),IF(Main_M[[#This Row],[Free CF]]&lt;&gt;0,Main_M[[#This Row],[Current Price]]/Main_M[[#This Row],[Free CF]],""),"")</f>
        <v>8.0701754385964914</v>
      </c>
      <c r="I22" s="1">
        <f>IF(ISNUMBER(Main_M[[#This Row],[BVPS]]),IF(Main_M[[#This Row],[BVPS]]&lt;&gt;0,Main_M[[#This Row],[Current Price]]/Main_M[[#This Row],[BVPS]],""),"")</f>
        <v>1.0413129598189019</v>
      </c>
      <c r="J22">
        <v>8.64</v>
      </c>
      <c r="K22">
        <v>4.4000000000000004</v>
      </c>
      <c r="L22">
        <v>2.42</v>
      </c>
      <c r="M22" s="1">
        <f>IF(ISNUMBER(Main_M[[#This Row],[EPS]]),IF(Main_M[[#This Row],[EPS]]&lt;&gt;0,Main_M[[#This Row],[Current Price]]/Main_M[[#This Row],[EPS]],""),"")</f>
        <v>12.689655172413792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-0.81534433100985615</v>
      </c>
      <c r="P22" s="1">
        <f>(Main_M[[#This Row],[P/B]]-VLOOKUP(Main_M[[#This Row],[Industry]], Mean_PB_M, 2, FALSE))/(VLOOKUP(Main_M[[#This Row],[Industry]], Mean_PB_M, 3, FALSE))</f>
        <v>-1.2170122573450393</v>
      </c>
      <c r="Q22" s="1">
        <f>(Main_M[[#This Row],[ROE]]-VLOOKUP(Main_M[[#This Row],[Industry]], Mean_ROE_M, 2, FALSE))/(VLOOKUP(Main_M[[#This Row],[Industry]], Mean_ROE_M, 3, FALSE))</f>
        <v>-0.24732038603895537</v>
      </c>
      <c r="R22" s="1">
        <f>(Main_M[[#This Row],[ROA]]-VLOOKUP(Main_M[[#This Row],[Industry]], Mean_ROA_M, 2, FALSE))/(VLOOKUP(Main_M[[#This Row],[Industry]], Mean_ROA_M, 3, FALSE))</f>
        <v>-0.40657532867087043</v>
      </c>
      <c r="S22" s="1">
        <f>(Main_M[[#This Row],[A/E]]-VLOOKUP(Main_M[[#This Row],[Industry]], Mean_AE_M, 2, FALSE))/(VLOOKUP(Main_M[[#This Row],[Industry]], Mean_AE_M, 3, FALSE))</f>
        <v>1.0010501256421576</v>
      </c>
      <c r="T22" s="1">
        <f>(Main_M[[#This Row],[P/E]]-VLOOKUP(Main_M[[#This Row],[Industry]], Mean_PE_M, 2, FALSE))/(VLOOKUP(Main_M[[#This Row],[Industry]], Mean_PE_M, 3, FALSE))</f>
        <v>-0.81955857968872525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107</v>
      </c>
      <c r="B23" t="s">
        <v>132</v>
      </c>
      <c r="C23" s="2">
        <v>6279</v>
      </c>
      <c r="D23">
        <f>RTD("tos.rtd", , "LAST", Main_M[[#This Row],[Symbol]])</f>
        <v>108.72</v>
      </c>
      <c r="E23">
        <v>9.77</v>
      </c>
      <c r="F23">
        <v>68.819999999999993</v>
      </c>
      <c r="G23">
        <v>6.07</v>
      </c>
      <c r="H23" s="1">
        <f>IF(ISNUMBER(Main_M[[#This Row],[Free CF]]),IF(Main_M[[#This Row],[Free CF]]&lt;&gt;0,Main_M[[#This Row],[Current Price]]/Main_M[[#This Row],[Free CF]],""),"")</f>
        <v>11.127942681678608</v>
      </c>
      <c r="I23" s="1">
        <f>IF(ISNUMBER(Main_M[[#This Row],[BVPS]]),IF(Main_M[[#This Row],[BVPS]]&lt;&gt;0,Main_M[[#This Row],[Current Price]]/Main_M[[#This Row],[BVPS]],""),"")</f>
        <v>1.5797733217088057</v>
      </c>
      <c r="J23">
        <v>9.99</v>
      </c>
      <c r="K23">
        <v>4.08</v>
      </c>
      <c r="L23">
        <v>3.3</v>
      </c>
      <c r="M23" s="1">
        <f>IF(ISNUMBER(Main_M[[#This Row],[EPS]]),IF(Main_M[[#This Row],[EPS]]&lt;&gt;0,Main_M[[#This Row],[Current Price]]/Main_M[[#This Row],[EPS]],""),"")</f>
        <v>17.911037891268531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-0.42193685416681603</v>
      </c>
      <c r="P23" s="1">
        <f>(Main_M[[#This Row],[P/B]]-VLOOKUP(Main_M[[#This Row],[Industry]], Mean_PB_M, 2, FALSE))/(VLOOKUP(Main_M[[#This Row],[Industry]], Mean_PB_M, 3, FALSE))</f>
        <v>-0.50371636322146462</v>
      </c>
      <c r="Q23" s="1">
        <f>(Main_M[[#This Row],[ROE]]-VLOOKUP(Main_M[[#This Row],[Industry]], Mean_ROE_M, 2, FALSE))/(VLOOKUP(Main_M[[#This Row],[Industry]], Mean_ROE_M, 3, FALSE))</f>
        <v>-6.0346174193505242E-2</v>
      </c>
      <c r="R23" s="1">
        <f>(Main_M[[#This Row],[ROA]]-VLOOKUP(Main_M[[#This Row],[Industry]], Mean_ROA_M, 2, FALSE))/(VLOOKUP(Main_M[[#This Row],[Industry]], Mean_ROA_M, 3, FALSE))</f>
        <v>-0.52406850011097772</v>
      </c>
      <c r="S23" s="1">
        <f>(Main_M[[#This Row],[A/E]]-VLOOKUP(Main_M[[#This Row],[Industry]], Mean_AE_M, 2, FALSE))/(VLOOKUP(Main_M[[#This Row],[Industry]], Mean_AE_M, 3, FALSE))</f>
        <v>2.5484701442006745</v>
      </c>
      <c r="T23" s="1">
        <f>(Main_M[[#This Row],[P/E]]-VLOOKUP(Main_M[[#This Row],[Industry]], Mean_PE_M, 2, FALSE))/(VLOOKUP(Main_M[[#This Row],[Industry]], Mean_PE_M, 3, FALSE))</f>
        <v>-0.18017659885504553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107</v>
      </c>
      <c r="B24" t="s">
        <v>133</v>
      </c>
      <c r="C24" s="2">
        <v>7982</v>
      </c>
      <c r="D24">
        <f>RTD("tos.rtd", , "LAST", Main_M[[#This Row],[Symbol]])</f>
        <v>18.59</v>
      </c>
      <c r="E24">
        <v>1.04</v>
      </c>
      <c r="F24">
        <v>11.51</v>
      </c>
      <c r="G24">
        <v>-0.26</v>
      </c>
      <c r="H24" s="1">
        <f>IF(ISNUMBER(Main_M[[#This Row],[Free CF]]),IF(Main_M[[#This Row],[Free CF]]&lt;&gt;0,Main_M[[#This Row],[Current Price]]/Main_M[[#This Row],[Free CF]],""),"")</f>
        <v>17.875</v>
      </c>
      <c r="I24" s="1">
        <f>IF(ISNUMBER(Main_M[[#This Row],[BVPS]]),IF(Main_M[[#This Row],[BVPS]]&lt;&gt;0,Main_M[[#This Row],[Current Price]]/Main_M[[#This Row],[BVPS]],""),"")</f>
        <v>1.6151172893136403</v>
      </c>
      <c r="J24">
        <v>-2.2799999999999998</v>
      </c>
      <c r="K24">
        <v>4.25</v>
      </c>
      <c r="L24">
        <v>1.98</v>
      </c>
      <c r="M24" s="1">
        <f>IF(ISNUMBER(Main_M[[#This Row],[EPS]]),IF(Main_M[[#This Row],[EPS]]&lt;&gt;0,Main_M[[#This Row],[Current Price]]/Main_M[[#This Row],[EPS]],""),"")</f>
        <v>-71.5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0.44612882405685012</v>
      </c>
      <c r="P24" s="1">
        <f>(Main_M[[#This Row],[P/B]]-VLOOKUP(Main_M[[#This Row],[Industry]], Mean_PB_M, 2, FALSE))/(VLOOKUP(Main_M[[#This Row],[Industry]], Mean_PB_M, 3, FALSE))</f>
        <v>-0.45689637653557402</v>
      </c>
      <c r="Q24" s="1">
        <f>(Main_M[[#This Row],[ROE]]-VLOOKUP(Main_M[[#This Row],[Industry]], Mean_ROE_M, 2, FALSE))/(VLOOKUP(Main_M[[#This Row],[Industry]], Mean_ROE_M, 3, FALSE))</f>
        <v>-1.7597340107443746</v>
      </c>
      <c r="R24" s="1">
        <f>(Main_M[[#This Row],[ROA]]-VLOOKUP(Main_M[[#This Row],[Industry]], Mean_ROA_M, 2, FALSE))/(VLOOKUP(Main_M[[#This Row],[Industry]], Mean_ROA_M, 3, FALSE))</f>
        <v>-0.46165025278342076</v>
      </c>
      <c r="S24" s="1">
        <f>(Main_M[[#This Row],[A/E]]-VLOOKUP(Main_M[[#This Row],[Industry]], Mean_AE_M, 2, FALSE))/(VLOOKUP(Main_M[[#This Row],[Industry]], Mean_AE_M, 3, FALSE))</f>
        <v>0.22734011636289927</v>
      </c>
      <c r="T24" s="1">
        <f>(Main_M[[#This Row],[P/E]]-VLOOKUP(Main_M[[#This Row],[Industry]], Mean_PE_M, 2, FALSE))/(VLOOKUP(Main_M[[#This Row],[Industry]], Mean_PE_M, 3, FALSE))</f>
        <v>-11.128963461169878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5" spans="1:26" x14ac:dyDescent="0.25">
      <c r="A25" t="s">
        <v>107</v>
      </c>
      <c r="B25" t="s">
        <v>134</v>
      </c>
      <c r="C25" s="2">
        <v>2442</v>
      </c>
      <c r="D25">
        <f>RTD("tos.rtd", , "LAST", Main_M[[#This Row],[Symbol]])</f>
        <v>2536.0500000000002</v>
      </c>
      <c r="E25">
        <v>-37.07</v>
      </c>
      <c r="F25">
        <v>4886.4399999999996</v>
      </c>
      <c r="G25">
        <v>100.92</v>
      </c>
      <c r="H25" s="1">
        <f>IF(ISNUMBER(Main_M[[#This Row],[Free CF]]),IF(Main_M[[#This Row],[Free CF]]&lt;&gt;0,Main_M[[#This Row],[Current Price]]/Main_M[[#This Row],[Free CF]],""),"")</f>
        <v>-68.412462908011875</v>
      </c>
      <c r="I25" s="1">
        <f>IF(ISNUMBER(Main_M[[#This Row],[BVPS]]),IF(Main_M[[#This Row],[BVPS]]&lt;&gt;0,Main_M[[#This Row],[Current Price]]/Main_M[[#This Row],[BVPS]],""),"")</f>
        <v>0.51899747055115797</v>
      </c>
      <c r="J25">
        <v>2.12</v>
      </c>
      <c r="K25">
        <v>1.73</v>
      </c>
      <c r="L25">
        <v>1.61</v>
      </c>
      <c r="M25" s="1">
        <f>IF(ISNUMBER(Main_M[[#This Row],[EPS]]),IF(Main_M[[#This Row],[EPS]]&lt;&gt;0,Main_M[[#This Row],[Current Price]]/Main_M[[#This Row],[EPS]],""),"")</f>
        <v>25.129310344827587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-10.655479103305179</v>
      </c>
      <c r="P25" s="1">
        <f>(Main_M[[#This Row],[P/B]]-VLOOKUP(Main_M[[#This Row],[Industry]], Mean_PB_M, 2, FALSE))/(VLOOKUP(Main_M[[#This Row],[Industry]], Mean_PB_M, 3, FALSE))</f>
        <v>-1.9089211150819143</v>
      </c>
      <c r="Q25" s="1">
        <f>(Main_M[[#This Row],[ROE]]-VLOOKUP(Main_M[[#This Row],[Industry]], Mean_ROE_M, 2, FALSE))/(VLOOKUP(Main_M[[#This Row],[Industry]], Mean_ROE_M, 3, FALSE))</f>
        <v>-1.1503365795443889</v>
      </c>
      <c r="R25" s="1">
        <f>(Main_M[[#This Row],[ROA]]-VLOOKUP(Main_M[[#This Row],[Industry]], Mean_ROA_M, 2, FALSE))/(VLOOKUP(Main_M[[#This Row],[Industry]], Mean_ROA_M, 3, FALSE))</f>
        <v>-1.3869089778742647</v>
      </c>
      <c r="S25" s="1">
        <f>(Main_M[[#This Row],[A/E]]-VLOOKUP(Main_M[[#This Row],[Industry]], Mean_AE_M, 2, FALSE))/(VLOOKUP(Main_M[[#This Row],[Industry]], Mean_AE_M, 3, FALSE))</f>
        <v>-0.42327966416738605</v>
      </c>
      <c r="T25" s="1">
        <f>(Main_M[[#This Row],[P/E]]-VLOOKUP(Main_M[[#This Row],[Industry]], Mean_PE_M, 2, FALSE))/(VLOOKUP(Main_M[[#This Row],[Industry]], Mean_PE_M, 3, FALSE))</f>
        <v>0.70373358127556984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107</v>
      </c>
      <c r="B26" t="s">
        <v>135</v>
      </c>
      <c r="C26" s="2">
        <v>8841</v>
      </c>
      <c r="D26">
        <f>RTD("tos.rtd", , "LAST", Main_M[[#This Row],[Symbol]])</f>
        <v>22.63</v>
      </c>
      <c r="E26">
        <v>2.0499999999999998</v>
      </c>
      <c r="F26">
        <v>15.84</v>
      </c>
      <c r="G26">
        <v>2.33</v>
      </c>
      <c r="H26" s="1">
        <f>IF(ISNUMBER(Main_M[[#This Row],[Free CF]]),IF(Main_M[[#This Row],[Free CF]]&lt;&gt;0,Main_M[[#This Row],[Current Price]]/Main_M[[#This Row],[Free CF]],""),"")</f>
        <v>11.039024390243902</v>
      </c>
      <c r="I26" s="1">
        <f>IF(ISNUMBER(Main_M[[#This Row],[BVPS]]),IF(Main_M[[#This Row],[BVPS]]&lt;&gt;0,Main_M[[#This Row],[Current Price]]/Main_M[[#This Row],[BVPS]],""),"")</f>
        <v>1.4286616161616161</v>
      </c>
      <c r="J26">
        <v>11.78</v>
      </c>
      <c r="K26">
        <v>5.24</v>
      </c>
      <c r="L26">
        <v>1.79</v>
      </c>
      <c r="M26" s="1">
        <f>IF(ISNUMBER(Main_M[[#This Row],[EPS]]),IF(Main_M[[#This Row],[EPS]]&lt;&gt;0,Main_M[[#This Row],[Current Price]]/Main_M[[#This Row],[EPS]],""),"")</f>
        <v>9.7124463519313302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26" s="1">
        <f>(Main_M[[#This Row],[P/FCF]]-VLOOKUP(Main_M[[#This Row],[Industry]], Mean_PFCF_M, 2, FALSE))/(VLOOKUP(Main_M[[#This Row],[Industry]], Mean_PFCF_M, 3, FALSE))</f>
        <v>-0.4333769403138773</v>
      </c>
      <c r="P26" s="1">
        <f>(Main_M[[#This Row],[P/B]]-VLOOKUP(Main_M[[#This Row],[Industry]], Mean_PB_M, 2, FALSE))/(VLOOKUP(Main_M[[#This Row],[Industry]], Mean_PB_M, 3, FALSE))</f>
        <v>-0.7038933247019824</v>
      </c>
      <c r="Q26" s="1">
        <f>(Main_M[[#This Row],[ROE]]-VLOOKUP(Main_M[[#This Row],[Industry]], Mean_ROE_M, 2, FALSE))/(VLOOKUP(Main_M[[#This Row],[Industry]], Mean_ROE_M, 3, FALSE))</f>
        <v>0.18756778077194339</v>
      </c>
      <c r="R26" s="1">
        <f>(Main_M[[#This Row],[ROA]]-VLOOKUP(Main_M[[#This Row],[Industry]], Mean_ROA_M, 2, FALSE))/(VLOOKUP(Main_M[[#This Row],[Industry]], Mean_ROA_M, 3, FALSE))</f>
        <v>-9.815575364058915E-2</v>
      </c>
      <c r="S26" s="1">
        <f>(Main_M[[#This Row],[A/E]]-VLOOKUP(Main_M[[#This Row],[Industry]], Mean_AE_M, 2, FALSE))/(VLOOKUP(Main_M[[#This Row],[Industry]], Mean_AE_M, 3, FALSE))</f>
        <v>-0.10676193309859859</v>
      </c>
      <c r="T26" s="1">
        <f>(Main_M[[#This Row],[P/E]]-VLOOKUP(Main_M[[#This Row],[Industry]], Mean_PE_M, 2, FALSE))/(VLOOKUP(Main_M[[#This Row],[Industry]], Mean_PE_M, 3, FALSE))</f>
        <v>-1.1841312945218396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107</v>
      </c>
      <c r="B27" t="s">
        <v>136</v>
      </c>
      <c r="C27" s="2">
        <v>3573</v>
      </c>
      <c r="D27">
        <f>RTD("tos.rtd", , "LAST", Main_M[[#This Row],[Symbol]])</f>
        <v>35.92</v>
      </c>
      <c r="E27">
        <v>1.77</v>
      </c>
      <c r="F27">
        <v>17.989999999999998</v>
      </c>
      <c r="G27">
        <v>1.44</v>
      </c>
      <c r="H27" s="1">
        <f>IF(ISNUMBER(Main_M[[#This Row],[Free CF]]),IF(Main_M[[#This Row],[Free CF]]&lt;&gt;0,Main_M[[#This Row],[Current Price]]/Main_M[[#This Row],[Free CF]],""),"")</f>
        <v>20.293785310734464</v>
      </c>
      <c r="I27" s="1">
        <f>IF(ISNUMBER(Main_M[[#This Row],[BVPS]]),IF(Main_M[[#This Row],[BVPS]]&lt;&gt;0,Main_M[[#This Row],[Current Price]]/Main_M[[#This Row],[BVPS]],""),"")</f>
        <v>1.9966648137854366</v>
      </c>
      <c r="J27">
        <v>8.4</v>
      </c>
      <c r="K27">
        <v>6.75</v>
      </c>
      <c r="L27">
        <v>1.34</v>
      </c>
      <c r="M27" s="1">
        <f>IF(ISNUMBER(Main_M[[#This Row],[EPS]]),IF(Main_M[[#This Row],[EPS]]&lt;&gt;0,Main_M[[#This Row],[Current Price]]/Main_M[[#This Row],[EPS]],""),"")</f>
        <v>24.944444444444446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0.75732590037908465</v>
      </c>
      <c r="P27" s="1">
        <f>(Main_M[[#This Row],[P/B]]-VLOOKUP(Main_M[[#This Row],[Industry]], Mean_PB_M, 2, FALSE))/(VLOOKUP(Main_M[[#This Row],[Industry]], Mean_PB_M, 3, FALSE))</f>
        <v>4.8537824161250541E-2</v>
      </c>
      <c r="Q27" s="1">
        <f>(Main_M[[#This Row],[ROE]]-VLOOKUP(Main_M[[#This Row],[Industry]], Mean_ROE_M, 2, FALSE))/(VLOOKUP(Main_M[[#This Row],[Industry]], Mean_ROE_M, 3, FALSE))</f>
        <v>-0.28056024592259099</v>
      </c>
      <c r="R27" s="1">
        <f>(Main_M[[#This Row],[ROA]]-VLOOKUP(Main_M[[#This Row],[Industry]], Mean_ROA_M, 2, FALSE))/(VLOOKUP(Main_M[[#This Row],[Industry]], Mean_ROA_M, 3, FALSE))</f>
        <v>0.45626514909241644</v>
      </c>
      <c r="S27" s="1">
        <f>(Main_M[[#This Row],[A/E]]-VLOOKUP(Main_M[[#This Row],[Industry]], Mean_AE_M, 2, FALSE))/(VLOOKUP(Main_M[[#This Row],[Industry]], Mean_AE_M, 3, FALSE))</f>
        <v>-0.89805626077056744</v>
      </c>
      <c r="T27" s="1">
        <f>(Main_M[[#This Row],[P/E]]-VLOOKUP(Main_M[[#This Row],[Industry]], Mean_PE_M, 2, FALSE))/(VLOOKUP(Main_M[[#This Row],[Industry]], Mean_PE_M, 3, FALSE))</f>
        <v>0.68109591383381207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107</v>
      </c>
      <c r="B28" t="s">
        <v>137</v>
      </c>
      <c r="C28" s="2">
        <v>2361</v>
      </c>
      <c r="D28">
        <f>RTD("tos.rtd", , "LAST", Main_M[[#This Row],[Symbol]])</f>
        <v>32.1</v>
      </c>
      <c r="E28">
        <v>1.65</v>
      </c>
      <c r="F28">
        <v>11.91</v>
      </c>
      <c r="G28">
        <v>1.18</v>
      </c>
      <c r="H28" s="1">
        <f>IF(ISNUMBER(Main_M[[#This Row],[Free CF]]),IF(Main_M[[#This Row],[Free CF]]&lt;&gt;0,Main_M[[#This Row],[Current Price]]/Main_M[[#This Row],[Free CF]],""),"")</f>
        <v>19.454545454545457</v>
      </c>
      <c r="I28" s="1">
        <f>IF(ISNUMBER(Main_M[[#This Row],[BVPS]]),IF(Main_M[[#This Row],[BVPS]]&lt;&gt;0,Main_M[[#This Row],[Current Price]]/Main_M[[#This Row],[BVPS]],""),"")</f>
        <v>2.6952141057934509</v>
      </c>
      <c r="J28">
        <v>10.25</v>
      </c>
      <c r="K28">
        <v>6.53</v>
      </c>
      <c r="L28">
        <v>1.32</v>
      </c>
      <c r="M28" s="1">
        <f>IF(ISNUMBER(Main_M[[#This Row],[EPS]]),IF(Main_M[[#This Row],[EPS]]&lt;&gt;0,Main_M[[#This Row],[Current Price]]/Main_M[[#This Row],[EPS]],""),"")</f>
        <v>27.203389830508478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0.64935063344652355</v>
      </c>
      <c r="P28" s="1">
        <f>(Main_M[[#This Row],[P/B]]-VLOOKUP(Main_M[[#This Row],[Industry]], Mean_PB_M, 2, FALSE))/(VLOOKUP(Main_M[[#This Row],[Industry]], Mean_PB_M, 3, FALSE))</f>
        <v>0.97390276668625997</v>
      </c>
      <c r="Q28" s="1">
        <f>(Main_M[[#This Row],[ROE]]-VLOOKUP(Main_M[[#This Row],[Industry]], Mean_ROE_M, 2, FALSE))/(VLOOKUP(Main_M[[#This Row],[Industry]], Mean_ROE_M, 3, FALSE))</f>
        <v>-2.4336325986233382E-2</v>
      </c>
      <c r="R28" s="1">
        <f>(Main_M[[#This Row],[ROA]]-VLOOKUP(Main_M[[#This Row],[Industry]], Mean_ROA_M, 2, FALSE))/(VLOOKUP(Main_M[[#This Row],[Industry]], Mean_ROA_M, 3, FALSE))</f>
        <v>0.37548859372734289</v>
      </c>
      <c r="S28" s="1">
        <f>(Main_M[[#This Row],[A/E]]-VLOOKUP(Main_M[[#This Row],[Industry]], Mean_AE_M, 2, FALSE))/(VLOOKUP(Main_M[[#This Row],[Industry]], Mean_AE_M, 3, FALSE))</f>
        <v>-0.93322489755598825</v>
      </c>
      <c r="T28" s="1">
        <f>(Main_M[[#This Row],[P/E]]-VLOOKUP(Main_M[[#This Row],[Industry]], Mean_PE_M, 2, FALSE))/(VLOOKUP(Main_M[[#This Row],[Industry]], Mean_PE_M, 3, FALSE))</f>
        <v>0.95771401545680923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109</v>
      </c>
      <c r="B29" t="s">
        <v>139</v>
      </c>
      <c r="C29" s="2">
        <v>2257</v>
      </c>
      <c r="D29">
        <f>RTD("tos.rtd", , "LAST", Main_M[[#This Row],[Symbol]])</f>
        <v>36.46</v>
      </c>
      <c r="E29">
        <v>5.45</v>
      </c>
      <c r="F29">
        <v>23.21</v>
      </c>
      <c r="G29">
        <v>1.82</v>
      </c>
      <c r="H29" s="1">
        <f>IF(ISNUMBER(Main_M[[#This Row],[Free CF]]),IF(Main_M[[#This Row],[Free CF]]&lt;&gt;0,Main_M[[#This Row],[Current Price]]/Main_M[[#This Row],[Free CF]],""),"")</f>
        <v>6.6899082568807335</v>
      </c>
      <c r="I29" s="1">
        <f>IF(ISNUMBER(Main_M[[#This Row],[BVPS]]),IF(Main_M[[#This Row],[BVPS]]&lt;&gt;0,Main_M[[#This Row],[Current Price]]/Main_M[[#This Row],[BVPS]],""),"")</f>
        <v>1.5708746230073245</v>
      </c>
      <c r="J29">
        <v>8.27</v>
      </c>
      <c r="K29">
        <v>4.3499999999999996</v>
      </c>
      <c r="L29">
        <v>2.33</v>
      </c>
      <c r="M29" s="1">
        <f>IF(ISNUMBER(Main_M[[#This Row],[EPS]]),IF(Main_M[[#This Row],[EPS]]&lt;&gt;0,Main_M[[#This Row],[Current Price]]/Main_M[[#This Row],[EPS]],""),"")</f>
        <v>20.032967032967033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-0.93210266017923982</v>
      </c>
      <c r="P29" s="1">
        <f>(Main_M[[#This Row],[P/B]]-VLOOKUP(Main_M[[#This Row],[Industry]], Mean_PB_M, 2, FALSE))/(VLOOKUP(Main_M[[#This Row],[Industry]], Mean_PB_M, 3, FALSE))</f>
        <v>-0.77311225491525337</v>
      </c>
      <c r="Q29" s="1">
        <f>(Main_M[[#This Row],[ROE]]-VLOOKUP(Main_M[[#This Row],[Industry]], Mean_ROE_M, 2, FALSE))/(VLOOKUP(Main_M[[#This Row],[Industry]], Mean_ROE_M, 3, FALSE))</f>
        <v>-1.0078694352893749</v>
      </c>
      <c r="R29" s="1">
        <f>(Main_M[[#This Row],[ROA]]-VLOOKUP(Main_M[[#This Row],[Industry]], Mean_ROA_M, 2, FALSE))/(VLOOKUP(Main_M[[#This Row],[Industry]], Mean_ROA_M, 3, FALSE))</f>
        <v>-1.0135745455353233</v>
      </c>
      <c r="S29" s="1">
        <f>(Main_M[[#This Row],[A/E]]-VLOOKUP(Main_M[[#This Row],[Industry]], Mean_AE_M, 2, FALSE))/(VLOOKUP(Main_M[[#This Row],[Industry]], Mean_AE_M, 3, FALSE))</f>
        <v>0.83038920862107413</v>
      </c>
      <c r="T29" s="1">
        <f>(Main_M[[#This Row],[P/E]]-VLOOKUP(Main_M[[#This Row],[Industry]], Mean_PE_M, 2, FALSE))/(VLOOKUP(Main_M[[#This Row],[Industry]], Mean_PE_M, 3, FALSE))</f>
        <v>-0.41973767084096014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109</v>
      </c>
      <c r="B30" t="s">
        <v>140</v>
      </c>
      <c r="C30" s="2">
        <v>4804</v>
      </c>
      <c r="D30">
        <f>RTD("tos.rtd", , "LAST", Main_M[[#This Row],[Symbol]])</f>
        <v>23.18</v>
      </c>
      <c r="E30">
        <v>1.5</v>
      </c>
      <c r="F30">
        <v>10.09</v>
      </c>
      <c r="G30">
        <v>1.59</v>
      </c>
      <c r="H30" s="1">
        <f>IF(ISNUMBER(Main_M[[#This Row],[Free CF]]),IF(Main_M[[#This Row],[Free CF]]&lt;&gt;0,Main_M[[#This Row],[Current Price]]/Main_M[[#This Row],[Free CF]],""),"")</f>
        <v>15.453333333333333</v>
      </c>
      <c r="I30" s="1">
        <f>IF(ISNUMBER(Main_M[[#This Row],[BVPS]]),IF(Main_M[[#This Row],[BVPS]]&lt;&gt;0,Main_M[[#This Row],[Current Price]]/Main_M[[#This Row],[BVPS]],""),"")</f>
        <v>2.2973240832507433</v>
      </c>
      <c r="J30">
        <v>16.25</v>
      </c>
      <c r="K30">
        <v>7.01</v>
      </c>
      <c r="L30">
        <v>2.2799999999999998</v>
      </c>
      <c r="M30" s="1">
        <f>IF(ISNUMBER(Main_M[[#This Row],[EPS]]),IF(Main_M[[#This Row],[EPS]]&lt;&gt;0,Main_M[[#This Row],[Current Price]]/Main_M[[#This Row],[EPS]],""),"")</f>
        <v>14.578616352201257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-0.45502872786684739</v>
      </c>
      <c r="P30" s="1">
        <f>(Main_M[[#This Row],[P/B]]-VLOOKUP(Main_M[[#This Row],[Industry]], Mean_PB_M, 2, FALSE))/(VLOOKUP(Main_M[[#This Row],[Industry]], Mean_PB_M, 3, FALSE))</f>
        <v>-0.63897938191047388</v>
      </c>
      <c r="Q30" s="1">
        <f>(Main_M[[#This Row],[ROE]]-VLOOKUP(Main_M[[#This Row],[Industry]], Mean_ROE_M, 2, FALSE))/(VLOOKUP(Main_M[[#This Row],[Industry]], Mean_ROE_M, 3, FALSE))</f>
        <v>-0.35522149693861388</v>
      </c>
      <c r="R30" s="1">
        <f>(Main_M[[#This Row],[ROA]]-VLOOKUP(Main_M[[#This Row],[Industry]], Mean_ROA_M, 2, FALSE))/(VLOOKUP(Main_M[[#This Row],[Industry]], Mean_ROA_M, 3, FALSE))</f>
        <v>-0.3473204373498307</v>
      </c>
      <c r="S30" s="1">
        <f>(Main_M[[#This Row],[A/E]]-VLOOKUP(Main_M[[#This Row],[Industry]], Mean_AE_M, 2, FALSE))/(VLOOKUP(Main_M[[#This Row],[Industry]], Mean_AE_M, 3, FALSE))</f>
        <v>0.57618843047176471</v>
      </c>
      <c r="T30" s="1">
        <f>(Main_M[[#This Row],[P/E]]-VLOOKUP(Main_M[[#This Row],[Industry]], Mean_PE_M, 2, FALSE))/(VLOOKUP(Main_M[[#This Row],[Industry]], Mean_PE_M, 3, FALSE))</f>
        <v>-0.95968886548946408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109</v>
      </c>
      <c r="B31" t="s">
        <v>141</v>
      </c>
      <c r="C31" s="2">
        <v>3155</v>
      </c>
      <c r="D31">
        <f>RTD("tos.rtd", , "LAST", Main_M[[#This Row],[Symbol]])</f>
        <v>239.56</v>
      </c>
      <c r="E31">
        <v>4.8600000000000003</v>
      </c>
      <c r="F31">
        <v>17.87</v>
      </c>
      <c r="G31">
        <v>6.27</v>
      </c>
      <c r="H31" s="1">
        <f>IF(ISNUMBER(Main_M[[#This Row],[Free CF]]),IF(Main_M[[#This Row],[Free CF]]&lt;&gt;0,Main_M[[#This Row],[Current Price]]/Main_M[[#This Row],[Free CF]],""),"")</f>
        <v>49.292181069958843</v>
      </c>
      <c r="I31" s="1">
        <f>IF(ISNUMBER(Main_M[[#This Row],[BVPS]]),IF(Main_M[[#This Row],[BVPS]]&lt;&gt;0,Main_M[[#This Row],[Current Price]]/Main_M[[#This Row],[BVPS]],""),"")</f>
        <v>13.40570789031897</v>
      </c>
      <c r="J31">
        <v>37.26</v>
      </c>
      <c r="K31">
        <v>13.83</v>
      </c>
      <c r="L31">
        <v>1.89</v>
      </c>
      <c r="M31" s="1">
        <f>IF(ISNUMBER(Main_M[[#This Row],[EPS]]),IF(Main_M[[#This Row],[EPS]]&lt;&gt;0,Main_M[[#This Row],[Current Price]]/Main_M[[#This Row],[EPS]],""),"")</f>
        <v>38.207336523126003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1.3871313880460867</v>
      </c>
      <c r="P31" s="1">
        <f>(Main_M[[#This Row],[P/B]]-VLOOKUP(Main_M[[#This Row],[Industry]], Mean_PB_M, 2, FALSE))/(VLOOKUP(Main_M[[#This Row],[Industry]], Mean_PB_M, 3, FALSE))</f>
        <v>1.412091636825727</v>
      </c>
      <c r="Q31" s="1">
        <f>(Main_M[[#This Row],[ROE]]-VLOOKUP(Main_M[[#This Row],[Industry]], Mean_ROE_M, 2, FALSE))/(VLOOKUP(Main_M[[#This Row],[Industry]], Mean_ROE_M, 3, FALSE))</f>
        <v>1.3630909322279885</v>
      </c>
      <c r="R31" s="1">
        <f>(Main_M[[#This Row],[ROA]]-VLOOKUP(Main_M[[#This Row],[Industry]], Mean_ROA_M, 2, FALSE))/(VLOOKUP(Main_M[[#This Row],[Industry]], Mean_ROA_M, 3, FALSE))</f>
        <v>1.360894982885154</v>
      </c>
      <c r="S31" s="1">
        <f>(Main_M[[#This Row],[A/E]]-VLOOKUP(Main_M[[#This Row],[Industry]], Mean_AE_M, 2, FALSE))/(VLOOKUP(Main_M[[#This Row],[Industry]], Mean_AE_M, 3, FALSE))</f>
        <v>-1.4065776390928377</v>
      </c>
      <c r="T31" s="1">
        <f>(Main_M[[#This Row],[P/E]]-VLOOKUP(Main_M[[#This Row],[Industry]], Mean_PE_M, 2, FALSE))/(VLOOKUP(Main_M[[#This Row],[Industry]], Mean_PE_M, 3, FALSE))</f>
        <v>1.3794265363304241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t="s">
        <v>110</v>
      </c>
      <c r="B32" t="s">
        <v>142</v>
      </c>
      <c r="C32" s="2">
        <v>8047</v>
      </c>
      <c r="D32">
        <f>RTD("tos.rtd", , "LAST", Main_M[[#This Row],[Symbol]])</f>
        <v>63.64</v>
      </c>
      <c r="E32">
        <v>1.23</v>
      </c>
      <c r="F32">
        <v>-1.98</v>
      </c>
      <c r="G32">
        <v>2.14</v>
      </c>
      <c r="H32" s="1">
        <f>IF(ISNUMBER(Main_M[[#This Row],[Free CF]]),IF(Main_M[[#This Row],[Free CF]]&lt;&gt;0,Main_M[[#This Row],[Current Price]]/Main_M[[#This Row],[Free CF]],""),"")</f>
        <v>51.739837398373986</v>
      </c>
      <c r="I32" s="1">
        <f>IF(ISNUMBER(Main_M[[#This Row],[BVPS]]),IF(Main_M[[#This Row],[BVPS]]&lt;&gt;0,Main_M[[#This Row],[Current Price]]/Main_M[[#This Row],[BVPS]],""),"")</f>
        <v>-32.141414141414145</v>
      </c>
      <c r="J32">
        <v>-112</v>
      </c>
      <c r="K32">
        <v>32.96</v>
      </c>
      <c r="L32">
        <v>-3.73</v>
      </c>
      <c r="M32" s="1">
        <f>IF(ISNUMBER(Main_M[[#This Row],[EPS]]),IF(Main_M[[#This Row],[EPS]]&lt;&gt;0,Main_M[[#This Row],[Current Price]]/Main_M[[#This Row],[EPS]],""),"")</f>
        <v>29.738317757009344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1.3793271862588121</v>
      </c>
      <c r="P32" s="1">
        <f>(Main_M[[#This Row],[P/B]]-VLOOKUP(Main_M[[#This Row],[Industry]], Mean_PB_M, 2, FALSE))/(VLOOKUP(Main_M[[#This Row],[Industry]], Mean_PB_M, 3, FALSE))</f>
        <v>-17.906199687483831</v>
      </c>
      <c r="Q32" s="1">
        <f>(Main_M[[#This Row],[ROE]]-VLOOKUP(Main_M[[#This Row],[Industry]], Mean_ROE_M, 2, FALSE))/(VLOOKUP(Main_M[[#This Row],[Industry]], Mean_ROE_M, 3, FALSE))</f>
        <v>-1.715745148539483</v>
      </c>
      <c r="R32" s="1">
        <f>(Main_M[[#This Row],[ROA]]-VLOOKUP(Main_M[[#This Row],[Industry]], Mean_ROA_M, 2, FALSE))/(VLOOKUP(Main_M[[#This Row],[Industry]], Mean_ROA_M, 3, FALSE))</f>
        <v>6.3832018517382485</v>
      </c>
      <c r="S32" s="1">
        <f>(Main_M[[#This Row],[A/E]]-VLOOKUP(Main_M[[#This Row],[Industry]], Mean_AE_M, 2, FALSE))/(VLOOKUP(Main_M[[#This Row],[Industry]], Mean_AE_M, 3, FALSE))</f>
        <v>-9.1790814671981753</v>
      </c>
      <c r="T32" s="1">
        <f>(Main_M[[#This Row],[P/E]]-VLOOKUP(Main_M[[#This Row],[Industry]], Mean_PE_M, 2, FALSE))/(VLOOKUP(Main_M[[#This Row],[Industry]], Mean_PE_M, 3, FALSE))</f>
        <v>-0.39594229119451563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110</v>
      </c>
      <c r="B33" t="s">
        <v>143</v>
      </c>
      <c r="C33" s="2">
        <v>3985</v>
      </c>
      <c r="D33">
        <f>RTD("tos.rtd", , "LAST", Main_M[[#This Row],[Symbol]])</f>
        <v>5.08</v>
      </c>
      <c r="E33">
        <v>0.32</v>
      </c>
      <c r="F33">
        <v>4.34</v>
      </c>
      <c r="G33">
        <v>0</v>
      </c>
      <c r="H33" s="1">
        <f>IF(ISNUMBER(Main_M[[#This Row],[Free CF]]),IF(Main_M[[#This Row],[Free CF]]&lt;&gt;0,Main_M[[#This Row],[Current Price]]/Main_M[[#This Row],[Free CF]],""),"")</f>
        <v>15.875</v>
      </c>
      <c r="I33" s="1">
        <f>IF(ISNUMBER(Main_M[[#This Row],[BVPS]]),IF(Main_M[[#This Row],[BVPS]]&lt;&gt;0,Main_M[[#This Row],[Current Price]]/Main_M[[#This Row],[BVPS]],""),"")</f>
        <v>1.1705069124423964</v>
      </c>
      <c r="J33">
        <v>0.76</v>
      </c>
      <c r="K33">
        <v>3.17</v>
      </c>
      <c r="L33">
        <v>3.1</v>
      </c>
      <c r="M33" s="1" t="str">
        <f>IF(ISNUMBER(Main_M[[#This Row],[EPS]]),IF(Main_M[[#This Row],[EPS]]&lt;&gt;0,Main_M[[#This Row],[Current Price]]/Main_M[[#This Row],[EPS]],""),"")</f>
        <v/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-0.96001962678782382</v>
      </c>
      <c r="P33" s="1">
        <f>(Main_M[[#This Row],[P/B]]-VLOOKUP(Main_M[[#This Row],[Industry]], Mean_PB_M, 2, FALSE))/(VLOOKUP(Main_M[[#This Row],[Industry]], Mean_PB_M, 3, FALSE))</f>
        <v>-1.4012644142261095</v>
      </c>
      <c r="Q33" s="1">
        <f>(Main_M[[#This Row],[ROE]]-VLOOKUP(Main_M[[#This Row],[Industry]], Mean_ROE_M, 2, FALSE))/(VLOOKUP(Main_M[[#This Row],[Industry]], Mean_ROE_M, 3, FALSE))</f>
        <v>0.36198049125337634</v>
      </c>
      <c r="R33" s="1">
        <f>(Main_M[[#This Row],[ROA]]-VLOOKUP(Main_M[[#This Row],[Industry]], Mean_ROA_M, 2, FALSE))/(VLOOKUP(Main_M[[#This Row],[Industry]], Mean_ROA_M, 3, FALSE))</f>
        <v>-1.1249154092494753</v>
      </c>
      <c r="S33" s="1">
        <f>(Main_M[[#This Row],[A/E]]-VLOOKUP(Main_M[[#This Row],[Industry]], Mean_AE_M, 2, FALSE))/(VLOOKUP(Main_M[[#This Row],[Industry]], Mean_AE_M, 3, FALSE))</f>
        <v>1.4050141581755227</v>
      </c>
      <c r="T33" s="1" t="e">
        <f>(Main_M[[#This Row],[P/E]]-VLOOKUP(Main_M[[#This Row],[Industry]], Mean_PE_M, 2, FALSE))/(VLOOKUP(Main_M[[#This Row],[Industry]], Mean_PE_M, 3, FALSE))</f>
        <v>#VALUE!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4" spans="1:26" x14ac:dyDescent="0.25">
      <c r="A34" t="s">
        <v>110</v>
      </c>
      <c r="B34" t="s">
        <v>144</v>
      </c>
      <c r="C34" s="2">
        <v>3754</v>
      </c>
      <c r="D34">
        <f>RTD("tos.rtd", , "LAST", Main_M[[#This Row],[Symbol]])</f>
        <v>78.209999999999994</v>
      </c>
      <c r="E34">
        <v>0.44</v>
      </c>
      <c r="F34">
        <v>13.61</v>
      </c>
      <c r="G34">
        <v>1.67</v>
      </c>
      <c r="H34" s="1">
        <f>IF(ISNUMBER(Main_M[[#This Row],[Free CF]]),IF(Main_M[[#This Row],[Free CF]]&lt;&gt;0,Main_M[[#This Row],[Current Price]]/Main_M[[#This Row],[Free CF]],""),"")</f>
        <v>177.74999999999997</v>
      </c>
      <c r="I34" s="1">
        <f>IF(ISNUMBER(Main_M[[#This Row],[BVPS]]),IF(Main_M[[#This Row],[BVPS]]&lt;&gt;0,Main_M[[#This Row],[Current Price]]/Main_M[[#This Row],[BVPS]],""),"")</f>
        <v>5.7465099191770754</v>
      </c>
      <c r="J34">
        <v>14.24</v>
      </c>
      <c r="K34">
        <v>6.92</v>
      </c>
      <c r="L34">
        <v>1.65</v>
      </c>
      <c r="M34" s="1">
        <f>IF(ISNUMBER(Main_M[[#This Row],[EPS]]),IF(Main_M[[#This Row],[EPS]]&lt;&gt;0,Main_M[[#This Row],[Current Price]]/Main_M[[#This Row],[EPS]],""),"")</f>
        <v>46.832335329341319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9.5985606660951586</v>
      </c>
      <c r="P34" s="1">
        <f>(Main_M[[#This Row],[P/B]]-VLOOKUP(Main_M[[#This Row],[Industry]], Mean_PB_M, 2, FALSE))/(VLOOKUP(Main_M[[#This Row],[Industry]], Mean_PB_M, 3, FALSE))</f>
        <v>0.86599100206411461</v>
      </c>
      <c r="Q34" s="1">
        <f>(Main_M[[#This Row],[ROE]]-VLOOKUP(Main_M[[#This Row],[Industry]], Mean_ROE_M, 2, FALSE))/(VLOOKUP(Main_M[[#This Row],[Industry]], Mean_ROE_M, 3, FALSE))</f>
        <v>0.61036415234248365</v>
      </c>
      <c r="R34" s="1">
        <f>(Main_M[[#This Row],[ROA]]-VLOOKUP(Main_M[[#This Row],[Industry]], Mean_ROA_M, 2, FALSE))/(VLOOKUP(Main_M[[#This Row],[Industry]], Mean_ROA_M, 3, FALSE))</f>
        <v>-0.17978483762463601</v>
      </c>
      <c r="S34" s="1">
        <f>(Main_M[[#This Row],[A/E]]-VLOOKUP(Main_M[[#This Row],[Industry]], Mean_AE_M, 2, FALSE))/(VLOOKUP(Main_M[[#This Row],[Industry]], Mean_AE_M, 3, FALSE))</f>
        <v>-0.84197539625959639</v>
      </c>
      <c r="T34" s="1">
        <f>(Main_M[[#This Row],[P/E]]-VLOOKUP(Main_M[[#This Row],[Industry]], Mean_PE_M, 2, FALSE))/(VLOOKUP(Main_M[[#This Row],[Industry]], Mean_PE_M, 3, FALSE))</f>
        <v>1.3737356953829405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110</v>
      </c>
      <c r="B35" t="s">
        <v>145</v>
      </c>
      <c r="C35" s="2">
        <v>3846</v>
      </c>
      <c r="D35">
        <f>RTD("tos.rtd", , "LAST", Main_M[[#This Row],[Symbol]])</f>
        <v>124.69</v>
      </c>
      <c r="E35">
        <v>5.16</v>
      </c>
      <c r="F35">
        <v>24.55</v>
      </c>
      <c r="G35">
        <v>5.17</v>
      </c>
      <c r="H35" s="1">
        <f>IF(ISNUMBER(Main_M[[#This Row],[Free CF]]),IF(Main_M[[#This Row],[Free CF]]&lt;&gt;0,Main_M[[#This Row],[Current Price]]/Main_M[[#This Row],[Free CF]],""),"")</f>
        <v>24.164728682170541</v>
      </c>
      <c r="I35" s="1">
        <f>IF(ISNUMBER(Main_M[[#This Row],[BVPS]]),IF(Main_M[[#This Row],[BVPS]]&lt;&gt;0,Main_M[[#This Row],[Current Price]]/Main_M[[#This Row],[BVPS]],""),"")</f>
        <v>5.0790224032586559</v>
      </c>
      <c r="J35">
        <v>21.46</v>
      </c>
      <c r="K35">
        <v>12.81</v>
      </c>
      <c r="L35">
        <v>1.83</v>
      </c>
      <c r="M35" s="1">
        <f>IF(ISNUMBER(Main_M[[#This Row],[EPS]]),IF(Main_M[[#This Row],[EPS]]&lt;&gt;0,Main_M[[#This Row],[Current Price]]/Main_M[[#This Row],[EPS]],""),"")</f>
        <v>24.117988394584138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-0.41930755947098858</v>
      </c>
      <c r="P35" s="1">
        <f>(Main_M[[#This Row],[P/B]]-VLOOKUP(Main_M[[#This Row],[Industry]], Mean_PB_M, 2, FALSE))/(VLOOKUP(Main_M[[#This Row],[Industry]], Mean_PB_M, 3, FALSE))</f>
        <v>0.53527341216199542</v>
      </c>
      <c r="Q35" s="1">
        <f>(Main_M[[#This Row],[ROE]]-VLOOKUP(Main_M[[#This Row],[Industry]], Mean_ROE_M, 2, FALSE))/(VLOOKUP(Main_M[[#This Row],[Industry]], Mean_ROE_M, 3, FALSE))</f>
        <v>0.74340050494362275</v>
      </c>
      <c r="R35" s="1">
        <f>(Main_M[[#This Row],[ROA]]-VLOOKUP(Main_M[[#This Row],[Industry]], Mean_ROA_M, 2, FALSE))/(VLOOKUP(Main_M[[#This Row],[Industry]], Mean_ROA_M, 3, FALSE))</f>
        <v>1.3047002468741118</v>
      </c>
      <c r="S35" s="1">
        <f>(Main_M[[#This Row],[A/E]]-VLOOKUP(Main_M[[#This Row],[Industry]], Mean_AE_M, 2, FALSE))/(VLOOKUP(Main_M[[#This Row],[Industry]], Mean_AE_M, 3, FALSE))</f>
        <v>-0.56303876191592628</v>
      </c>
      <c r="T35" s="1">
        <f>(Main_M[[#This Row],[P/E]]-VLOOKUP(Main_M[[#This Row],[Industry]], Mean_PE_M, 2, FALSE))/(VLOOKUP(Main_M[[#This Row],[Industry]], Mean_PE_M, 3, FALSE))</f>
        <v>-0.97779340418842453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108</v>
      </c>
      <c r="B36" t="s">
        <v>138</v>
      </c>
      <c r="C36" s="2">
        <v>2205</v>
      </c>
      <c r="D36">
        <f>RTD("tos.rtd", , "LAST", Main_M[[#This Row],[Symbol]])</f>
        <v>1.9</v>
      </c>
      <c r="E36">
        <v>0.09</v>
      </c>
      <c r="F36">
        <v>1.8</v>
      </c>
      <c r="G36">
        <v>0.06</v>
      </c>
      <c r="H36" s="1">
        <f>IF(ISNUMBER(Main_M[[#This Row],[Free CF]]),IF(Main_M[[#This Row],[Free CF]]&lt;&gt;0,Main_M[[#This Row],[Current Price]]/Main_M[[#This Row],[Free CF]],""),"")</f>
        <v>21.111111111111111</v>
      </c>
      <c r="I36" s="1">
        <f>IF(ISNUMBER(Main_M[[#This Row],[BVPS]]),IF(Main_M[[#This Row],[BVPS]]&lt;&gt;0,Main_M[[#This Row],[Current Price]]/Main_M[[#This Row],[BVPS]],""),"")</f>
        <v>1.0555555555555556</v>
      </c>
      <c r="J36">
        <v>3.57</v>
      </c>
      <c r="K36">
        <v>-0.4</v>
      </c>
      <c r="L36">
        <v>1.06</v>
      </c>
      <c r="M36" s="1">
        <f>IF(ISNUMBER(Main_M[[#This Row],[EPS]]),IF(Main_M[[#This Row],[EPS]]&lt;&gt;0,Main_M[[#This Row],[Current Price]]/Main_M[[#This Row],[EPS]],""),"")</f>
        <v>31.666666666666668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 t="e">
        <f>(Main_M[[#This Row],[P/FCF]]-VLOOKUP(Main_M[[#This Row],[Industry]], Mean_PFCF_M, 2, FALSE))/(VLOOKUP(Main_M[[#This Row],[Industry]], Mean_PFCF_M, 3, FALSE))</f>
        <v>#DIV/0!</v>
      </c>
      <c r="P36" s="1" t="e">
        <f>(Main_M[[#This Row],[P/B]]-VLOOKUP(Main_M[[#This Row],[Industry]], Mean_PB_M, 2, FALSE))/(VLOOKUP(Main_M[[#This Row],[Industry]], Mean_PB_M, 3, FALSE))</f>
        <v>#DIV/0!</v>
      </c>
      <c r="Q36" s="1" t="e">
        <f>(Main_M[[#This Row],[ROE]]-VLOOKUP(Main_M[[#This Row],[Industry]], Mean_ROE_M, 2, FALSE))/(VLOOKUP(Main_M[[#This Row],[Industry]], Mean_ROE_M, 3, FALSE))</f>
        <v>#DIV/0!</v>
      </c>
      <c r="R36" s="1" t="e">
        <f>(Main_M[[#This Row],[ROA]]-VLOOKUP(Main_M[[#This Row],[Industry]], Mean_ROA_M, 2, FALSE))/(VLOOKUP(Main_M[[#This Row],[Industry]], Mean_ROA_M, 3, FALSE))</f>
        <v>#DIV/0!</v>
      </c>
      <c r="S36" s="1" t="e">
        <f>(Main_M[[#This Row],[A/E]]-VLOOKUP(Main_M[[#This Row],[Industry]], Mean_AE_M, 2, FALSE))/(VLOOKUP(Main_M[[#This Row],[Industry]], Mean_AE_M, 3, FALSE))</f>
        <v>#DIV/0!</v>
      </c>
      <c r="T36" s="1" t="e">
        <f>(Main_M[[#This Row],[P/E]]-VLOOKUP(Main_M[[#This Row],[Industry]], Mean_PE_M, 2, FALSE))/(VLOOKUP(Main_M[[#This Row],[Industry]], Mean_PE_M, 3, FALSE))</f>
        <v>#DIV/0!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49"/>
  <sheetViews>
    <sheetView workbookViewId="0">
      <selection activeCell="B24" sqref="B24"/>
    </sheetView>
  </sheetViews>
  <sheetFormatPr defaultRowHeight="15" x14ac:dyDescent="0.25"/>
  <cols>
    <col min="1" max="1" width="35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106</v>
      </c>
      <c r="B2" t="s">
        <v>210</v>
      </c>
      <c r="C2" s="2">
        <v>672</v>
      </c>
      <c r="D2">
        <f>RTD("tos.rtd", , "LAST", Main_S[[#This Row],[Symbol]])</f>
        <v>32.89</v>
      </c>
      <c r="E2">
        <v>2.67</v>
      </c>
      <c r="F2">
        <v>38.94</v>
      </c>
      <c r="G2">
        <v>0.5</v>
      </c>
      <c r="H2" s="1">
        <f>IF(ISNUMBER(Main_S[[#This Row],[Free CF]]),IF(Main_S[[#This Row],[Free CF]]&lt;&gt;0,Main_S[[#This Row],[Current Price]]/Main_S[[#This Row],[Free CF]],""),"")</f>
        <v>12.318352059925093</v>
      </c>
      <c r="I2" s="1">
        <f>IF(ISNUMBER(Main_S[[#This Row],[BVPS]]),IF(Main_S[[#This Row],[BVPS]]&lt;&gt;0,Main_S[[#This Row],[Current Price]]/Main_S[[#This Row],[BVPS]],""),"")</f>
        <v>0.84463276836158196</v>
      </c>
      <c r="J2">
        <v>1.28</v>
      </c>
      <c r="K2">
        <v>6.56</v>
      </c>
      <c r="L2">
        <v>1.66</v>
      </c>
      <c r="M2" s="1">
        <f>IF(ISNUMBER(Main_S[[#This Row],[EPS]]),IF(Main_S[[#This Row],[EPS]]&lt;&gt;0,Main_S[[#This Row],[Current Price]]/Main_S[[#This Row],[EPS]],""),"")</f>
        <v>65.78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 t="e">
        <f>(Main_S[[#This Row],[P/FCF]]-VLOOKUP(Main_S[[#This Row],[Industry]], Mean_PFCF_S, 2, FALSE))/(VLOOKUP(Main_S[[#This Row],[Industry]], Mean_PFCF_S, 3, FALSE))</f>
        <v>#DIV/0!</v>
      </c>
      <c r="P2" s="1" t="e">
        <f>(Main_S[[#This Row],[P/B]]-VLOOKUP(Main_S[[#This Row],[Industry]], Mean_PB_S, 2, FALSE))/(VLOOKUP(Main_S[[#This Row],[Industry]], Mean_PB_S, 3, FALSE))</f>
        <v>#DIV/0!</v>
      </c>
      <c r="Q2" s="1" t="e">
        <f>(Main_S[[#This Row],[ROE]]-VLOOKUP(Main_S[[#This Row],[Industry]], Mean_ROE_S, 2, FALSE))/(VLOOKUP(Main_S[[#This Row],[Industry]], Mean_ROE_S, 3, FALSE))</f>
        <v>#DIV/0!</v>
      </c>
      <c r="R2" s="1" t="e">
        <f>(Main_S[[#This Row],[ROA]]-VLOOKUP(Main_S[[#This Row],[Industry]], Mean_ROA_S, 2, FALSE))/(VLOOKUP(Main_S[[#This Row],[Industry]], Mean_ROA_S, 3, FALSE))</f>
        <v>#DIV/0!</v>
      </c>
      <c r="S2" s="1" t="e">
        <f>(Main_S[[#This Row],[A/E]]-VLOOKUP(Main_S[[#This Row],[Industry]], Mean_AE_S, 2, FALSE))/(VLOOKUP(Main_S[[#This Row],[Industry]], Mean_AE_S, 3, FALSE))</f>
        <v>#DIV/0!</v>
      </c>
      <c r="T2" s="1" t="e">
        <f>(Main_S[[#This Row],[P/E]]-VLOOKUP(Main_S[[#This Row],[Industry]], Mean_PE_S, 2, FALSE))/(VLOOKUP(Main_S[[#This Row],[Industry]], Mean_PE_S, 3, FALSE))</f>
        <v>#DIV/0!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t="s">
        <v>105</v>
      </c>
      <c r="B3" t="s">
        <v>200</v>
      </c>
      <c r="C3" s="2">
        <v>1635</v>
      </c>
      <c r="D3">
        <f>RTD("tos.rtd", , "LAST", Main_S[[#This Row],[Symbol]])</f>
        <v>24.64</v>
      </c>
      <c r="E3">
        <v>0.67</v>
      </c>
      <c r="F3">
        <v>2.25</v>
      </c>
      <c r="G3">
        <v>-1.77</v>
      </c>
      <c r="H3" s="1">
        <f>IF(ISNUMBER(Main_S[[#This Row],[Free CF]]),IF(Main_S[[#This Row],[Free CF]]&lt;&gt;0,Main_S[[#This Row],[Current Price]]/Main_S[[#This Row],[Free CF]],""),"")</f>
        <v>36.776119402985074</v>
      </c>
      <c r="I3" s="1">
        <f>IF(ISNUMBER(Main_S[[#This Row],[BVPS]]),IF(Main_S[[#This Row],[BVPS]]&lt;&gt;0,Main_S[[#This Row],[Current Price]]/Main_S[[#This Row],[BVPS]],""),"")</f>
        <v>10.951111111111111</v>
      </c>
      <c r="J3">
        <v>-67.7</v>
      </c>
      <c r="K3">
        <v>-12.35</v>
      </c>
      <c r="L3">
        <v>2.25</v>
      </c>
      <c r="M3" s="1">
        <f>IF(ISNUMBER(Main_S[[#This Row],[EPS]]),IF(Main_S[[#This Row],[EPS]]&lt;&gt;0,Main_S[[#This Row],[Current Price]]/Main_S[[#This Row],[EPS]],""),"")</f>
        <v>-13.92090395480226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0.80314612356973458</v>
      </c>
      <c r="P3" s="1">
        <f>(Main_S[[#This Row],[P/B]]-VLOOKUP(Main_S[[#This Row],[Industry]], Mean_PB_S, 2, FALSE))/(VLOOKUP(Main_S[[#This Row],[Industry]], Mean_PB_S, 3, FALSE))</f>
        <v>4.6842771452307987</v>
      </c>
      <c r="Q3" s="1">
        <f>(Main_S[[#This Row],[ROE]]-VLOOKUP(Main_S[[#This Row],[Industry]], Mean_ROE_S, 2, FALSE))/(VLOOKUP(Main_S[[#This Row],[Industry]], Mean_ROE_S, 3, FALSE))</f>
        <v>-9.2450198328908755</v>
      </c>
      <c r="R3" s="1">
        <f>(Main_S[[#This Row],[ROA]]-VLOOKUP(Main_S[[#This Row],[Industry]], Mean_ROA_S, 2, FALSE))/(VLOOKUP(Main_S[[#This Row],[Industry]], Mean_ROA_S, 3, FALSE))</f>
        <v>-13.446255313236675</v>
      </c>
      <c r="S3" s="1">
        <f>(Main_S[[#This Row],[A/E]]-VLOOKUP(Main_S[[#This Row],[Industry]], Mean_AE_S, 2, FALSE))/(VLOOKUP(Main_S[[#This Row],[Industry]], Mean_AE_S, 3, FALSE))</f>
        <v>-0.51848322244807665</v>
      </c>
      <c r="T3" s="1">
        <f>(Main_S[[#This Row],[P/E]]-VLOOKUP(Main_S[[#This Row],[Industry]], Mean_PE_S, 2, FALSE))/(VLOOKUP(Main_S[[#This Row],[Industry]], Mean_PE_S, 3, FALSE))</f>
        <v>-1.2936051568609057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t="s">
        <v>105</v>
      </c>
      <c r="B4" t="s">
        <v>201</v>
      </c>
      <c r="C4" s="2">
        <v>1077</v>
      </c>
      <c r="D4">
        <f>RTD("tos.rtd", , "LAST", Main_S[[#This Row],[Symbol]])</f>
        <v>36.36</v>
      </c>
      <c r="E4">
        <v>5.36</v>
      </c>
      <c r="F4">
        <v>40.46</v>
      </c>
      <c r="G4">
        <v>3.32</v>
      </c>
      <c r="H4" s="1">
        <f>IF(ISNUMBER(Main_S[[#This Row],[Free CF]]),IF(Main_S[[#This Row],[Free CF]]&lt;&gt;0,Main_S[[#This Row],[Current Price]]/Main_S[[#This Row],[Free CF]],""),"")</f>
        <v>6.7835820895522385</v>
      </c>
      <c r="I4" s="1">
        <f>IF(ISNUMBER(Main_S[[#This Row],[BVPS]]),IF(Main_S[[#This Row],[BVPS]]&lt;&gt;0,Main_S[[#This Row],[Current Price]]/Main_S[[#This Row],[BVPS]],""),"")</f>
        <v>0.89866534849233803</v>
      </c>
      <c r="J4">
        <v>10.96</v>
      </c>
      <c r="K4">
        <v>3.02</v>
      </c>
      <c r="L4">
        <v>3.02</v>
      </c>
      <c r="M4" s="1">
        <f>IF(ISNUMBER(Main_S[[#This Row],[EPS]]),IF(Main_S[[#This Row],[EPS]]&lt;&gt;0,Main_S[[#This Row],[Current Price]]/Main_S[[#This Row],[EPS]],""),"")</f>
        <v>10.951807228915664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-0.46913832069785039</v>
      </c>
      <c r="P4" s="1">
        <f>(Main_S[[#This Row],[P/B]]-VLOOKUP(Main_S[[#This Row],[Industry]], Mean_PB_S, 2, FALSE))/(VLOOKUP(Main_S[[#This Row],[Industry]], Mean_PB_S, 3, FALSE))</f>
        <v>-0.56529345399680775</v>
      </c>
      <c r="Q4" s="1">
        <f>(Main_S[[#This Row],[ROE]]-VLOOKUP(Main_S[[#This Row],[Industry]], Mean_ROE_S, 2, FALSE))/(VLOOKUP(Main_S[[#This Row],[Industry]], Mean_ROE_S, 3, FALSE))</f>
        <v>0.50520104930639687</v>
      </c>
      <c r="R4" s="1">
        <f>(Main_S[[#This Row],[ROA]]-VLOOKUP(Main_S[[#This Row],[Industry]], Mean_ROA_S, 2, FALSE))/(VLOOKUP(Main_S[[#This Row],[Industry]], Mean_ROA_S, 3, FALSE))</f>
        <v>-4.7944508410244356E-2</v>
      </c>
      <c r="S4" s="1">
        <f>(Main_S[[#This Row],[A/E]]-VLOOKUP(Main_S[[#This Row],[Industry]], Mean_AE_S, 2, FALSE))/(VLOOKUP(Main_S[[#This Row],[Industry]], Mean_AE_S, 3, FALSE))</f>
        <v>0.25091479287637075</v>
      </c>
      <c r="T4" s="1">
        <f>(Main_S[[#This Row],[P/E]]-VLOOKUP(Main_S[[#This Row],[Industry]], Mean_PE_S, 2, FALSE))/(VLOOKUP(Main_S[[#This Row],[Industry]], Mean_PE_S, 3, FALSE))</f>
        <v>0.12690639686976832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t="s">
        <v>105</v>
      </c>
      <c r="B5" t="s">
        <v>202</v>
      </c>
      <c r="C5" s="2">
        <v>633</v>
      </c>
      <c r="D5">
        <f>RTD("tos.rtd", , "LAST", Main_S[[#This Row],[Symbol]])</f>
        <v>19.02</v>
      </c>
      <c r="E5">
        <v>2.17</v>
      </c>
      <c r="F5">
        <v>22.03</v>
      </c>
      <c r="G5">
        <v>0.01</v>
      </c>
      <c r="H5" s="1">
        <f>IF(ISNUMBER(Main_S[[#This Row],[Free CF]]),IF(Main_S[[#This Row],[Free CF]]&lt;&gt;0,Main_S[[#This Row],[Current Price]]/Main_S[[#This Row],[Free CF]],""),"")</f>
        <v>8.7649769585253452</v>
      </c>
      <c r="I5" s="1">
        <f>IF(ISNUMBER(Main_S[[#This Row],[BVPS]]),IF(Main_S[[#This Row],[BVPS]]&lt;&gt;0,Main_S[[#This Row],[Current Price]]/Main_S[[#This Row],[BVPS]],""),"")</f>
        <v>0.86336813436223325</v>
      </c>
      <c r="J5">
        <v>0.04</v>
      </c>
      <c r="K5">
        <v>3.31</v>
      </c>
      <c r="L5">
        <v>3.5</v>
      </c>
      <c r="M5" s="1">
        <f>IF(ISNUMBER(Main_S[[#This Row],[EPS]]),IF(Main_S[[#This Row],[EPS]]&lt;&gt;0,Main_S[[#This Row],[Current Price]]/Main_S[[#This Row],[EPS]],""),"")</f>
        <v>1902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-0.3850874835378662</v>
      </c>
      <c r="P5" s="1">
        <f>(Main_S[[#This Row],[P/B]]-VLOOKUP(Main_S[[#This Row],[Industry]], Mean_PB_S, 2, FALSE))/(VLOOKUP(Main_S[[#This Row],[Industry]], Mean_PB_S, 3, FALSE))</f>
        <v>-0.58372630326629416</v>
      </c>
      <c r="Q5" s="1">
        <f>(Main_S[[#This Row],[ROE]]-VLOOKUP(Main_S[[#This Row],[Industry]], Mean_ROE_S, 2, FALSE))/(VLOOKUP(Main_S[[#This Row],[Industry]], Mean_ROE_S, 3, FALSE))</f>
        <v>-0.84837652549139386</v>
      </c>
      <c r="R5" s="1">
        <f>(Main_S[[#This Row],[ROA]]-VLOOKUP(Main_S[[#This Row],[Industry]], Mean_ROA_S, 2, FALSE))/(VLOOKUP(Main_S[[#This Row],[Industry]], Mean_ROA_S, 3, FALSE))</f>
        <v>0.20485380866195246</v>
      </c>
      <c r="S5" s="1">
        <f>(Main_S[[#This Row],[A/E]]-VLOOKUP(Main_S[[#This Row],[Industry]], Mean_AE_S, 2, FALSE))/(VLOOKUP(Main_S[[#This Row],[Industry]], Mean_AE_S, 3, FALSE))</f>
        <v>0.7305395297020002</v>
      </c>
      <c r="T5" s="1">
        <f>(Main_S[[#This Row],[P/E]]-VLOOKUP(Main_S[[#This Row],[Industry]], Mean_PE_S, 2, FALSE))/(VLOOKUP(Main_S[[#This Row],[Industry]], Mean_PE_S, 3, FALSE))</f>
        <v>108.1270269567588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" spans="1:26" x14ac:dyDescent="0.25">
      <c r="A6" t="s">
        <v>105</v>
      </c>
      <c r="B6" t="s">
        <v>203</v>
      </c>
      <c r="C6" s="2">
        <v>1604</v>
      </c>
      <c r="D6">
        <f>RTD("tos.rtd", , "LAST", Main_S[[#This Row],[Symbol]])</f>
        <v>28.48</v>
      </c>
      <c r="E6">
        <v>2.58</v>
      </c>
      <c r="F6">
        <v>26.86</v>
      </c>
      <c r="G6">
        <v>-1.37</v>
      </c>
      <c r="H6" s="1">
        <f>IF(ISNUMBER(Main_S[[#This Row],[Free CF]]),IF(Main_S[[#This Row],[Free CF]]&lt;&gt;0,Main_S[[#This Row],[Current Price]]/Main_S[[#This Row],[Free CF]],""),"")</f>
        <v>11.038759689922481</v>
      </c>
      <c r="I6" s="1">
        <f>IF(ISNUMBER(Main_S[[#This Row],[BVPS]]),IF(Main_S[[#This Row],[BVPS]]&lt;&gt;0,Main_S[[#This Row],[Current Price]]/Main_S[[#This Row],[BVPS]],""),"")</f>
        <v>1.060312732688012</v>
      </c>
      <c r="J6">
        <v>-4.76</v>
      </c>
      <c r="K6">
        <v>1.45</v>
      </c>
      <c r="L6">
        <v>4.76</v>
      </c>
      <c r="M6" s="1">
        <f>IF(ISNUMBER(Main_S[[#This Row],[EPS]]),IF(Main_S[[#This Row],[EPS]]&lt;&gt;0,Main_S[[#This Row],[Current Price]]/Main_S[[#This Row],[EPS]],""),"")</f>
        <v>-20.788321167883211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-0.28863354339372288</v>
      </c>
      <c r="P6" s="1">
        <f>(Main_S[[#This Row],[P/B]]-VLOOKUP(Main_S[[#This Row],[Industry]], Mean_PB_S, 2, FALSE))/(VLOOKUP(Main_S[[#This Row],[Industry]], Mean_PB_S, 3, FALSE))</f>
        <v>-0.48087824047024458</v>
      </c>
      <c r="Q6" s="1">
        <f>(Main_S[[#This Row],[ROE]]-VLOOKUP(Main_S[[#This Row],[Industry]], Mean_ROE_S, 2, FALSE))/(VLOOKUP(Main_S[[#This Row],[Industry]], Mean_ROE_S, 3, FALSE))</f>
        <v>-1.4433556792486646</v>
      </c>
      <c r="R6" s="1">
        <f>(Main_S[[#This Row],[ROA]]-VLOOKUP(Main_S[[#This Row],[Industry]], Mean_ROA_S, 2, FALSE))/(VLOOKUP(Main_S[[#This Row],[Industry]], Mean_ROA_S, 3, FALSE))</f>
        <v>-1.416542293939034</v>
      </c>
      <c r="S6" s="1">
        <f>(Main_S[[#This Row],[A/E]]-VLOOKUP(Main_S[[#This Row],[Industry]], Mean_AE_S, 2, FALSE))/(VLOOKUP(Main_S[[#This Row],[Industry]], Mean_AE_S, 3, FALSE))</f>
        <v>1.9895544638692775</v>
      </c>
      <c r="T6" s="1">
        <f>(Main_S[[#This Row],[P/E]]-VLOOKUP(Main_S[[#This Row],[Industry]], Mean_PE_S, 2, FALSE))/(VLOOKUP(Main_S[[#This Row],[Industry]], Mean_PE_S, 3, FALSE))</f>
        <v>-1.6858119180545279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t="s">
        <v>105</v>
      </c>
      <c r="B7" t="s">
        <v>204</v>
      </c>
      <c r="C7" s="2">
        <v>540</v>
      </c>
      <c r="D7">
        <f>RTD("tos.rtd", , "LAST", Main_S[[#This Row],[Symbol]])</f>
        <v>2.37</v>
      </c>
      <c r="E7">
        <v>0.53</v>
      </c>
      <c r="F7">
        <v>0.51</v>
      </c>
      <c r="G7">
        <v>0.18</v>
      </c>
      <c r="H7" s="1">
        <f>IF(ISNUMBER(Main_S[[#This Row],[Free CF]]),IF(Main_S[[#This Row],[Free CF]]&lt;&gt;0,Main_S[[#This Row],[Current Price]]/Main_S[[#This Row],[Free CF]],""),"")</f>
        <v>4.4716981132075473</v>
      </c>
      <c r="I7" s="1">
        <f>IF(ISNUMBER(Main_S[[#This Row],[BVPS]]),IF(Main_S[[#This Row],[BVPS]]&lt;&gt;0,Main_S[[#This Row],[Current Price]]/Main_S[[#This Row],[BVPS]],""),"")</f>
        <v>4.6470588235294121</v>
      </c>
      <c r="J7">
        <v>42.79</v>
      </c>
      <c r="K7">
        <v>1.88</v>
      </c>
      <c r="L7">
        <v>8.91</v>
      </c>
      <c r="M7" s="1">
        <f>IF(ISNUMBER(Main_S[[#This Row],[EPS]]),IF(Main_S[[#This Row],[EPS]]&lt;&gt;0,Main_S[[#This Row],[Current Price]]/Main_S[[#This Row],[EPS]],""),"")</f>
        <v>13.166666666666668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-0.56720851693754892</v>
      </c>
      <c r="P7" s="1">
        <f>(Main_S[[#This Row],[P/B]]-VLOOKUP(Main_S[[#This Row],[Industry]], Mean_PB_S, 2, FALSE))/(VLOOKUP(Main_S[[#This Row],[Industry]], Mean_PB_S, 3, FALSE))</f>
        <v>1.3921860137426958</v>
      </c>
      <c r="Q7" s="1">
        <f>(Main_S[[#This Row],[ROE]]-VLOOKUP(Main_S[[#This Row],[Industry]], Mean_ROE_S, 2, FALSE))/(VLOOKUP(Main_S[[#This Row],[Industry]], Mean_ROE_S, 3, FALSE))</f>
        <v>4.4506565626592973</v>
      </c>
      <c r="R7" s="1">
        <f>(Main_S[[#This Row],[ROA]]-VLOOKUP(Main_S[[#This Row],[Industry]], Mean_ROA_S, 2, FALSE))/(VLOOKUP(Main_S[[#This Row],[Industry]], Mean_ROA_S, 3, FALSE))</f>
        <v>-1.0417034100043974</v>
      </c>
      <c r="S7" s="1">
        <f>(Main_S[[#This Row],[A/E]]-VLOOKUP(Main_S[[#This Row],[Industry]], Mean_AE_S, 2, FALSE))/(VLOOKUP(Main_S[[#This Row],[Industry]], Mean_AE_S, 3, FALSE))</f>
        <v>6.1363100010075335</v>
      </c>
      <c r="T7" s="1">
        <f>(Main_S[[#This Row],[P/E]]-VLOOKUP(Main_S[[#This Row],[Industry]], Mean_PE_S, 2, FALSE))/(VLOOKUP(Main_S[[#This Row],[Industry]], Mean_PE_S, 3, FALSE))</f>
        <v>0.25339978144596603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t="s">
        <v>105</v>
      </c>
      <c r="B8" t="s">
        <v>205</v>
      </c>
      <c r="C8" s="2">
        <v>1502</v>
      </c>
      <c r="D8">
        <f>RTD("tos.rtd", , "LAST", Main_S[[#This Row],[Symbol]])</f>
        <v>13.71</v>
      </c>
      <c r="E8">
        <v>-0.96</v>
      </c>
      <c r="F8">
        <v>12.31</v>
      </c>
      <c r="G8">
        <v>0.4</v>
      </c>
      <c r="H8" s="1">
        <f>IF(ISNUMBER(Main_S[[#This Row],[Free CF]]),IF(Main_S[[#This Row],[Free CF]]&lt;&gt;0,Main_S[[#This Row],[Current Price]]/Main_S[[#This Row],[Free CF]],""),"")</f>
        <v>-14.281250000000002</v>
      </c>
      <c r="I8" s="1">
        <f>IF(ISNUMBER(Main_S[[#This Row],[BVPS]]),IF(Main_S[[#This Row],[BVPS]]&lt;&gt;0,Main_S[[#This Row],[Current Price]]/Main_S[[#This Row],[BVPS]],""),"")</f>
        <v>1.1137286758732738</v>
      </c>
      <c r="J8">
        <v>3.27</v>
      </c>
      <c r="K8">
        <v>2.09</v>
      </c>
      <c r="L8">
        <v>2.65</v>
      </c>
      <c r="M8" s="1">
        <f>IF(ISNUMBER(Main_S[[#This Row],[EPS]]),IF(Main_S[[#This Row],[EPS]]&lt;&gt;0,Main_S[[#This Row],[Current Price]]/Main_S[[#This Row],[EPS]],""),"")</f>
        <v>34.274999999999999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-1.3627092083013734</v>
      </c>
      <c r="P8" s="1">
        <f>(Main_S[[#This Row],[P/B]]-VLOOKUP(Main_S[[#This Row],[Industry]], Mean_PB_S, 2, FALSE))/(VLOOKUP(Main_S[[#This Row],[Industry]], Mean_PB_S, 3, FALSE))</f>
        <v>-0.45298346028469966</v>
      </c>
      <c r="Q8" s="1">
        <f>(Main_S[[#This Row],[ROE]]-VLOOKUP(Main_S[[#This Row],[Industry]], Mean_ROE_S, 2, FALSE))/(VLOOKUP(Main_S[[#This Row],[Industry]], Mean_ROE_S, 3, FALSE))</f>
        <v>-0.44800513660889724</v>
      </c>
      <c r="R8" s="1">
        <f>(Main_S[[#This Row],[ROA]]-VLOOKUP(Main_S[[#This Row],[Industry]], Mean_ROA_S, 2, FALSE))/(VLOOKUP(Main_S[[#This Row],[Industry]], Mean_ROA_S, 3, FALSE))</f>
        <v>-0.85864255971073766</v>
      </c>
      <c r="S8" s="1">
        <f>(Main_S[[#This Row],[A/E]]-VLOOKUP(Main_S[[#This Row],[Industry]], Mean_AE_S, 2, FALSE))/(VLOOKUP(Main_S[[#This Row],[Industry]], Mean_AE_S, 3, FALSE))</f>
        <v>-0.11879594176005213</v>
      </c>
      <c r="T8" s="1">
        <f>(Main_S[[#This Row],[P/E]]-VLOOKUP(Main_S[[#This Row],[Industry]], Mean_PE_S, 2, FALSE))/(VLOOKUP(Main_S[[#This Row],[Industry]], Mean_PE_S, 3, FALSE))</f>
        <v>1.4589230216959768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t="s">
        <v>105</v>
      </c>
      <c r="B9" t="s">
        <v>206</v>
      </c>
      <c r="C9" s="2">
        <v>1159</v>
      </c>
      <c r="D9">
        <f>RTD("tos.rtd", , "LAST", Main_S[[#This Row],[Symbol]])</f>
        <v>61.69</v>
      </c>
      <c r="E9">
        <v>0.94</v>
      </c>
      <c r="F9">
        <v>82.21</v>
      </c>
      <c r="G9">
        <v>4.1500000000000004</v>
      </c>
      <c r="H9" s="1">
        <f>IF(ISNUMBER(Main_S[[#This Row],[Free CF]]),IF(Main_S[[#This Row],[Free CF]]&lt;&gt;0,Main_S[[#This Row],[Current Price]]/Main_S[[#This Row],[Free CF]],""),"")</f>
        <v>65.627659574468083</v>
      </c>
      <c r="I9" s="1">
        <f>IF(ISNUMBER(Main_S[[#This Row],[BVPS]]),IF(Main_S[[#This Row],[BVPS]]&lt;&gt;0,Main_S[[#This Row],[Current Price]]/Main_S[[#This Row],[BVPS]],""),"")</f>
        <v>0.75039532903539719</v>
      </c>
      <c r="J9">
        <v>5.15</v>
      </c>
      <c r="K9">
        <v>3.5</v>
      </c>
      <c r="L9">
        <v>1.6</v>
      </c>
      <c r="M9" s="1">
        <f>IF(ISNUMBER(Main_S[[#This Row],[EPS]]),IF(Main_S[[#This Row],[EPS]]&lt;&gt;0,Main_S[[#This Row],[Current Price]]/Main_S[[#This Row],[EPS]],""),"")</f>
        <v>14.865060240963853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2.0270294305982111</v>
      </c>
      <c r="P9" s="1">
        <f>(Main_S[[#This Row],[P/B]]-VLOOKUP(Main_S[[#This Row],[Industry]], Mean_PB_S, 2, FALSE))/(VLOOKUP(Main_S[[#This Row],[Industry]], Mean_PB_S, 3, FALSE))</f>
        <v>-0.64272276356667035</v>
      </c>
      <c r="Q9" s="1">
        <f>(Main_S[[#This Row],[ROE]]-VLOOKUP(Main_S[[#This Row],[Industry]], Mean_ROE_S, 2, FALSE))/(VLOOKUP(Main_S[[#This Row],[Industry]], Mean_ROE_S, 3, FALSE))</f>
        <v>-0.21497163472063285</v>
      </c>
      <c r="R9" s="1">
        <f>(Main_S[[#This Row],[ROA]]-VLOOKUP(Main_S[[#This Row],[Industry]], Mean_ROA_S, 2, FALSE))/(VLOOKUP(Main_S[[#This Row],[Industry]], Mean_ROA_S, 3, FALSE))</f>
        <v>0.37048029226097789</v>
      </c>
      <c r="S9" s="1">
        <f>(Main_S[[#This Row],[A/E]]-VLOOKUP(Main_S[[#This Row],[Industry]], Mean_AE_S, 2, FALSE))/(VLOOKUP(Main_S[[#This Row],[Industry]], Mean_AE_S, 3, FALSE))</f>
        <v>-1.1679750535661166</v>
      </c>
      <c r="T9" s="1">
        <f>(Main_S[[#This Row],[P/E]]-VLOOKUP(Main_S[[#This Row],[Industry]], Mean_PE_S, 2, FALSE))/(VLOOKUP(Main_S[[#This Row],[Industry]], Mean_PE_S, 3, FALSE))</f>
        <v>0.35039715649088699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t="s">
        <v>105</v>
      </c>
      <c r="B10" t="s">
        <v>207</v>
      </c>
      <c r="C10" s="2">
        <v>1131</v>
      </c>
      <c r="D10">
        <f>RTD("tos.rtd", , "LAST", Main_S[[#This Row],[Symbol]])</f>
        <v>50.07</v>
      </c>
      <c r="E10">
        <v>1.02</v>
      </c>
      <c r="F10">
        <v>7.93</v>
      </c>
      <c r="G10">
        <v>1.56</v>
      </c>
      <c r="H10" s="1">
        <f>IF(ISNUMBER(Main_S[[#This Row],[Free CF]]),IF(Main_S[[#This Row],[Free CF]]&lt;&gt;0,Main_S[[#This Row],[Current Price]]/Main_S[[#This Row],[Free CF]],""),"")</f>
        <v>49.088235294117645</v>
      </c>
      <c r="I10" s="1">
        <f>IF(ISNUMBER(Main_S[[#This Row],[BVPS]]),IF(Main_S[[#This Row],[BVPS]]&lt;&gt;0,Main_S[[#This Row],[Current Price]]/Main_S[[#This Row],[BVPS]],""),"")</f>
        <v>6.3139974779319044</v>
      </c>
      <c r="J10">
        <v>21.52</v>
      </c>
      <c r="K10">
        <v>4.93</v>
      </c>
      <c r="L10">
        <v>3.57</v>
      </c>
      <c r="M10" s="1">
        <f>IF(ISNUMBER(Main_S[[#This Row],[EPS]]),IF(Main_S[[#This Row],[EPS]]&lt;&gt;0,Main_S[[#This Row],[Current Price]]/Main_S[[#This Row],[EPS]],""),"")</f>
        <v>32.096153846153847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1.3254264948703647</v>
      </c>
      <c r="P10" s="1">
        <f>(Main_S[[#This Row],[P/B]]-VLOOKUP(Main_S[[#This Row],[Industry]], Mean_PB_S, 2, FALSE))/(VLOOKUP(Main_S[[#This Row],[Industry]], Mean_PB_S, 3, FALSE))</f>
        <v>2.2626917948738834</v>
      </c>
      <c r="Q10" s="1">
        <f>(Main_S[[#This Row],[ROE]]-VLOOKUP(Main_S[[#This Row],[Industry]], Mean_ROE_S, 2, FALSE))/(VLOOKUP(Main_S[[#This Row],[Industry]], Mean_ROE_S, 3, FALSE))</f>
        <v>1.814155187572392</v>
      </c>
      <c r="R10" s="1">
        <f>(Main_S[[#This Row],[ROA]]-VLOOKUP(Main_S[[#This Row],[Industry]], Mean_ROA_S, 2, FALSE))/(VLOOKUP(Main_S[[#This Row],[Industry]], Mean_ROA_S, 3, FALSE))</f>
        <v>1.6170375109273274</v>
      </c>
      <c r="S10" s="1">
        <f>(Main_S[[#This Row],[A/E]]-VLOOKUP(Main_S[[#This Row],[Industry]], Mean_AE_S, 2, FALSE))/(VLOOKUP(Main_S[[#This Row],[Industry]], Mean_AE_S, 3, FALSE))</f>
        <v>0.80048480382240439</v>
      </c>
      <c r="T10" s="1">
        <f>(Main_S[[#This Row],[P/E]]-VLOOKUP(Main_S[[#This Row],[Industry]], Mean_PE_S, 2, FALSE))/(VLOOKUP(Main_S[[#This Row],[Industry]], Mean_PE_S, 3, FALSE))</f>
        <v>1.334486400674695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t="s">
        <v>105</v>
      </c>
      <c r="B11" t="s">
        <v>208</v>
      </c>
      <c r="C11" s="2">
        <v>542</v>
      </c>
      <c r="D11">
        <f>RTD("tos.rtd", , "LAST", Main_S[[#This Row],[Symbol]])</f>
        <v>35.840000000000003</v>
      </c>
      <c r="E11">
        <v>2.6</v>
      </c>
      <c r="F11">
        <v>32</v>
      </c>
      <c r="G11">
        <v>3.65</v>
      </c>
      <c r="H11" s="1">
        <f>IF(ISNUMBER(Main_S[[#This Row],[Free CF]]),IF(Main_S[[#This Row],[Free CF]]&lt;&gt;0,Main_S[[#This Row],[Current Price]]/Main_S[[#This Row],[Free CF]],""),"")</f>
        <v>13.784615384615385</v>
      </c>
      <c r="I11" s="1">
        <f>IF(ISNUMBER(Main_S[[#This Row],[BVPS]]),IF(Main_S[[#This Row],[BVPS]]&lt;&gt;0,Main_S[[#This Row],[Current Price]]/Main_S[[#This Row],[BVPS]],""),"")</f>
        <v>1.1200000000000001</v>
      </c>
      <c r="J11">
        <v>12.01</v>
      </c>
      <c r="K11">
        <v>4.42</v>
      </c>
      <c r="L11">
        <v>2.12</v>
      </c>
      <c r="M11" s="1">
        <f>IF(ISNUMBER(Main_S[[#This Row],[EPS]]),IF(Main_S[[#This Row],[EPS]]&lt;&gt;0,Main_S[[#This Row],[Current Price]]/Main_S[[#This Row],[EPS]],""),"")</f>
        <v>9.8191780821917813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-0.17215425222695993</v>
      </c>
      <c r="P11" s="1">
        <f>(Main_S[[#This Row],[P/B]]-VLOOKUP(Main_S[[#This Row],[Industry]], Mean_PB_S, 2, FALSE))/(VLOOKUP(Main_S[[#This Row],[Industry]], Mean_PB_S, 3, FALSE))</f>
        <v>-0.44970846039598478</v>
      </c>
      <c r="Q11" s="1">
        <f>(Main_S[[#This Row],[ROE]]-VLOOKUP(Main_S[[#This Row],[Industry]], Mean_ROE_S, 2, FALSE))/(VLOOKUP(Main_S[[#This Row],[Industry]], Mean_ROE_S, 3, FALSE))</f>
        <v>0.6353527391907996</v>
      </c>
      <c r="R11" s="1">
        <f>(Main_S[[#This Row],[ROA]]-VLOOKUP(Main_S[[#This Row],[Industry]], Mean_ROA_S, 2, FALSE))/(VLOOKUP(Main_S[[#This Row],[Industry]], Mean_ROA_S, 3, FALSE))</f>
        <v>1.1724611602141539</v>
      </c>
      <c r="S11" s="1">
        <f>(Main_S[[#This Row],[A/E]]-VLOOKUP(Main_S[[#This Row],[Industry]], Mean_AE_S, 2, FALSE))/(VLOOKUP(Main_S[[#This Row],[Industry]], Mean_AE_S, 3, FALSE))</f>
        <v>-0.64838158867168461</v>
      </c>
      <c r="T11" s="1">
        <f>(Main_S[[#This Row],[P/E]]-VLOOKUP(Main_S[[#This Row],[Industry]], Mean_PE_S, 2, FALSE))/(VLOOKUP(Main_S[[#This Row],[Industry]], Mean_PE_S, 3, FALSE))</f>
        <v>6.2220533831781125E-2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t="s">
        <v>105</v>
      </c>
      <c r="B12" t="s">
        <v>209</v>
      </c>
      <c r="C12" s="2">
        <v>509</v>
      </c>
      <c r="D12">
        <f>RTD("tos.rtd", , "LAST", Main_S[[#This Row],[Symbol]])</f>
        <v>2.0299999999999998</v>
      </c>
      <c r="E12">
        <v>-0.56000000000000005</v>
      </c>
      <c r="F12">
        <v>1.91</v>
      </c>
      <c r="G12">
        <v>-1.07</v>
      </c>
      <c r="H12" s="1">
        <f>IF(ISNUMBER(Main_S[[#This Row],[Free CF]]),IF(Main_S[[#This Row],[Free CF]]&lt;&gt;0,Main_S[[#This Row],[Current Price]]/Main_S[[#This Row],[Free CF]],""),"")</f>
        <v>-3.6249999999999991</v>
      </c>
      <c r="I12" s="1">
        <f>IF(ISNUMBER(Main_S[[#This Row],[BVPS]]),IF(Main_S[[#This Row],[BVPS]]&lt;&gt;0,Main_S[[#This Row],[Current Price]]/Main_S[[#This Row],[BVPS]],""),"")</f>
        <v>1.0628272251308899</v>
      </c>
      <c r="J12">
        <v>-44.49</v>
      </c>
      <c r="K12">
        <v>-10.76</v>
      </c>
      <c r="L12">
        <v>1.45</v>
      </c>
      <c r="M12" s="1">
        <f>IF(ISNUMBER(Main_S[[#This Row],[EPS]]),IF(Main_S[[#This Row],[EPS]]&lt;&gt;0,Main_S[[#This Row],[Current Price]]/Main_S[[#This Row],[EPS]],""),"")</f>
        <v>-1.8971962616822426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-0.91067072394298954</v>
      </c>
      <c r="P12" s="1">
        <f>(Main_S[[#This Row],[P/B]]-VLOOKUP(Main_S[[#This Row],[Industry]], Mean_PB_S, 2, FALSE))/(VLOOKUP(Main_S[[#This Row],[Industry]], Mean_PB_S, 3, FALSE))</f>
        <v>-0.47956512663587825</v>
      </c>
      <c r="Q12" s="1">
        <f>(Main_S[[#This Row],[ROE]]-VLOOKUP(Main_S[[#This Row],[Industry]], Mean_ROE_S, 2, FALSE))/(VLOOKUP(Main_S[[#This Row],[Industry]], Mean_ROE_S, 3, FALSE))</f>
        <v>-6.3680477164937406</v>
      </c>
      <c r="R12" s="1">
        <f>(Main_S[[#This Row],[ROA]]-VLOOKUP(Main_S[[#This Row],[Industry]], Mean_ROA_S, 2, FALSE))/(VLOOKUP(Main_S[[#This Row],[Industry]], Mean_ROA_S, 3, FALSE))</f>
        <v>-12.060223161013251</v>
      </c>
      <c r="S12" s="1">
        <f>(Main_S[[#This Row],[A/E]]-VLOOKUP(Main_S[[#This Row],[Industry]], Mean_AE_S, 2, FALSE))/(VLOOKUP(Main_S[[#This Row],[Industry]], Mean_AE_S, 3, FALSE))</f>
        <v>-1.3178577838241259</v>
      </c>
      <c r="T12" s="1">
        <f>(Main_S[[#This Row],[P/E]]-VLOOKUP(Main_S[[#This Row],[Industry]], Mean_PE_S, 2, FALSE))/(VLOOKUP(Main_S[[#This Row],[Industry]], Mean_PE_S, 3, FALSE))</f>
        <v>-0.60691621609364044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t="s">
        <v>107</v>
      </c>
      <c r="B13" t="s">
        <v>211</v>
      </c>
      <c r="C13" s="2">
        <v>372</v>
      </c>
      <c r="D13">
        <f>RTD("tos.rtd", , "LAST", Main_S[[#This Row],[Symbol]])</f>
        <v>10.48</v>
      </c>
      <c r="F13">
        <v>-0.36</v>
      </c>
      <c r="H13" s="1" t="str">
        <f>IF(ISNUMBER(Main_S[[#This Row],[Free CF]]),IF(Main_S[[#This Row],[Free CF]]&lt;&gt;0,Main_S[[#This Row],[Current Price]]/Main_S[[#This Row],[Free CF]],""),"")</f>
        <v/>
      </c>
      <c r="I13" s="1">
        <f>IF(ISNUMBER(Main_S[[#This Row],[BVPS]]),IF(Main_S[[#This Row],[BVPS]]&lt;&gt;0,Main_S[[#This Row],[Current Price]]/Main_S[[#This Row],[BVPS]],""),"")</f>
        <v>-29.111111111111114</v>
      </c>
      <c r="L13">
        <v>-22.89</v>
      </c>
      <c r="M13" s="1" t="str">
        <f>IF(ISNUMBER(Main_S[[#This Row],[EPS]]),IF(Main_S[[#This Row],[EPS]]&lt;&gt;0,Main_S[[#This Row],[Current Price]]/Main_S[[#This Row],[EPS]],""),"")</f>
        <v/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 t="e">
        <f>(Main_S[[#This Row],[P/FCF]]-VLOOKUP(Main_S[[#This Row],[Industry]], Mean_PFCF_S, 2, FALSE))/(VLOOKUP(Main_S[[#This Row],[Industry]], Mean_PFCF_S, 3, FALSE))</f>
        <v>#VALUE!</v>
      </c>
      <c r="P13" s="1">
        <f>(Main_S[[#This Row],[P/B]]-VLOOKUP(Main_S[[#This Row],[Industry]], Mean_PB_S, 2, FALSE))/(VLOOKUP(Main_S[[#This Row],[Industry]], Mean_PB_S, 3, FALSE))</f>
        <v>-12.945989313890349</v>
      </c>
      <c r="Q13" s="1">
        <f>(Main_S[[#This Row],[ROE]]-VLOOKUP(Main_S[[#This Row],[Industry]], Mean_ROE_S, 2, FALSE))/(VLOOKUP(Main_S[[#This Row],[Industry]], Mean_ROE_S, 3, FALSE))</f>
        <v>-0.79744591142150434</v>
      </c>
      <c r="R13" s="1">
        <f>(Main_S[[#This Row],[ROA]]-VLOOKUP(Main_S[[#This Row],[Industry]], Mean_ROA_S, 2, FALSE))/(VLOOKUP(Main_S[[#This Row],[Industry]], Mean_ROA_S, 3, FALSE))</f>
        <v>-1.4072494855887734</v>
      </c>
      <c r="S13" s="1">
        <f>(Main_S[[#This Row],[A/E]]-VLOOKUP(Main_S[[#This Row],[Industry]], Mean_AE_S, 2, FALSE))/(VLOOKUP(Main_S[[#This Row],[Industry]], Mean_AE_S, 3, FALSE))</f>
        <v>-14.532767670076717</v>
      </c>
      <c r="T13" s="1" t="e">
        <f>(Main_S[[#This Row],[P/E]]-VLOOKUP(Main_S[[#This Row],[Industry]], Mean_PE_S, 2, FALSE))/(VLOOKUP(Main_S[[#This Row],[Industry]], Mean_PE_S, 3, FALSE))</f>
        <v>#VALUE!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t="s">
        <v>107</v>
      </c>
      <c r="B14" t="s">
        <v>212</v>
      </c>
      <c r="C14" s="2">
        <v>648</v>
      </c>
      <c r="D14">
        <f>RTD("tos.rtd", , "LAST", Main_S[[#This Row],[Symbol]])</f>
        <v>11.74</v>
      </c>
      <c r="E14">
        <v>-0.15</v>
      </c>
      <c r="F14">
        <v>1.2</v>
      </c>
      <c r="G14">
        <v>-0.15</v>
      </c>
      <c r="H14" s="1">
        <f>IF(ISNUMBER(Main_S[[#This Row],[Free CF]]),IF(Main_S[[#This Row],[Free CF]]&lt;&gt;0,Main_S[[#This Row],[Current Price]]/Main_S[[#This Row],[Free CF]],""),"")</f>
        <v>-78.266666666666666</v>
      </c>
      <c r="I14" s="1">
        <f>IF(ISNUMBER(Main_S[[#This Row],[BVPS]]),IF(Main_S[[#This Row],[BVPS]]&lt;&gt;0,Main_S[[#This Row],[Current Price]]/Main_S[[#This Row],[BVPS]],""),"")</f>
        <v>9.7833333333333332</v>
      </c>
      <c r="J14">
        <v>-16.88</v>
      </c>
      <c r="K14">
        <v>1.51</v>
      </c>
      <c r="L14">
        <v>5.35</v>
      </c>
      <c r="M14" s="1">
        <f>IF(ISNUMBER(Main_S[[#This Row],[EPS]]),IF(Main_S[[#This Row],[EPS]]&lt;&gt;0,Main_S[[#This Row],[Current Price]]/Main_S[[#This Row],[EPS]],""),"")</f>
        <v>-78.266666666666666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-3.3113066628645194</v>
      </c>
      <c r="P14" s="1">
        <f>(Main_S[[#This Row],[P/B]]-VLOOKUP(Main_S[[#This Row],[Industry]], Mean_PB_S, 2, FALSE))/(VLOOKUP(Main_S[[#This Row],[Industry]], Mean_PB_S, 3, FALSE))</f>
        <v>2.7978645090031096</v>
      </c>
      <c r="Q14" s="1">
        <f>(Main_S[[#This Row],[ROE]]-VLOOKUP(Main_S[[#This Row],[Industry]], Mean_ROE_S, 2, FALSE))/(VLOOKUP(Main_S[[#This Row],[Industry]], Mean_ROE_S, 3, FALSE))</f>
        <v>-2.567519230894856</v>
      </c>
      <c r="R14" s="1">
        <f>(Main_S[[#This Row],[ROA]]-VLOOKUP(Main_S[[#This Row],[Industry]], Mean_ROA_S, 2, FALSE))/(VLOOKUP(Main_S[[#This Row],[Industry]], Mean_ROA_S, 3, FALSE))</f>
        <v>-0.80986079210334572</v>
      </c>
      <c r="S14" s="1">
        <f>(Main_S[[#This Row],[A/E]]-VLOOKUP(Main_S[[#This Row],[Industry]], Mean_AE_S, 2, FALSE))/(VLOOKUP(Main_S[[#This Row],[Industry]], Mean_AE_S, 3, FALSE))</f>
        <v>1.3400935868063253</v>
      </c>
      <c r="T14" s="1">
        <f>(Main_S[[#This Row],[P/E]]-VLOOKUP(Main_S[[#This Row],[Industry]], Mean_PE_S, 2, FALSE))/(VLOOKUP(Main_S[[#This Row],[Industry]], Mean_PE_S, 3, FALSE))</f>
        <v>-5.9348614443952314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" spans="1:26" x14ac:dyDescent="0.25">
      <c r="A15" t="s">
        <v>107</v>
      </c>
      <c r="B15" t="s">
        <v>213</v>
      </c>
      <c r="C15" s="2">
        <v>1582</v>
      </c>
      <c r="D15">
        <f>RTD("tos.rtd", , "LAST", Main_S[[#This Row],[Symbol]])</f>
        <v>32.770000000000003</v>
      </c>
      <c r="E15">
        <v>3.36</v>
      </c>
      <c r="F15">
        <v>41.86</v>
      </c>
      <c r="G15">
        <v>3.05</v>
      </c>
      <c r="H15" s="1">
        <f>IF(ISNUMBER(Main_S[[#This Row],[Free CF]]),IF(Main_S[[#This Row],[Free CF]]&lt;&gt;0,Main_S[[#This Row],[Current Price]]/Main_S[[#This Row],[Free CF]],""),"")</f>
        <v>9.7529761904761916</v>
      </c>
      <c r="I15" s="1">
        <f>IF(ISNUMBER(Main_S[[#This Row],[BVPS]]),IF(Main_S[[#This Row],[BVPS]]&lt;&gt;0,Main_S[[#This Row],[Current Price]]/Main_S[[#This Row],[BVPS]],""),"")</f>
        <v>0.78284758719541336</v>
      </c>
      <c r="J15">
        <v>7.46</v>
      </c>
      <c r="K15">
        <v>3.37</v>
      </c>
      <c r="L15">
        <v>1.57</v>
      </c>
      <c r="M15" s="1">
        <f>IF(ISNUMBER(Main_S[[#This Row],[EPS]]),IF(Main_S[[#This Row],[EPS]]&lt;&gt;0,Main_S[[#This Row],[Current Price]]/Main_S[[#This Row],[EPS]],""),"")</f>
        <v>10.744262295081969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4.1115579618451567E-2</v>
      </c>
      <c r="P15" s="1">
        <f>(Main_S[[#This Row],[P/B]]-VLOOKUP(Main_S[[#This Row],[Industry]], Mean_PB_S, 2, FALSE))/(VLOOKUP(Main_S[[#This Row],[Industry]], Mean_PB_S, 3, FALSE))</f>
        <v>-0.84538927559933019</v>
      </c>
      <c r="Q15" s="1">
        <f>(Main_S[[#This Row],[ROE]]-VLOOKUP(Main_S[[#This Row],[Industry]], Mean_ROE_S, 2, FALSE))/(VLOOKUP(Main_S[[#This Row],[Industry]], Mean_ROE_S, 3, FALSE))</f>
        <v>-1.5174171891219822E-2</v>
      </c>
      <c r="R15" s="1">
        <f>(Main_S[[#This Row],[ROA]]-VLOOKUP(Main_S[[#This Row],[Industry]], Mean_ROA_S, 2, FALSE))/(VLOOKUP(Main_S[[#This Row],[Industry]], Mean_ROA_S, 3, FALSE))</f>
        <v>-7.4004520657719342E-2</v>
      </c>
      <c r="S15" s="1">
        <f>(Main_S[[#This Row],[A/E]]-VLOOKUP(Main_S[[#This Row],[Industry]], Mean_AE_S, 2, FALSE))/(VLOOKUP(Main_S[[#This Row],[Industry]], Mean_AE_S, 3, FALSE))</f>
        <v>-0.78453160975946423</v>
      </c>
      <c r="T15" s="1">
        <f>(Main_S[[#This Row],[P/E]]-VLOOKUP(Main_S[[#This Row],[Industry]], Mean_PE_S, 2, FALSE))/(VLOOKUP(Main_S[[#This Row],[Industry]], Mean_PE_S, 3, FALSE))</f>
        <v>-0.57895475819681108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t="s">
        <v>107</v>
      </c>
      <c r="B16" t="s">
        <v>214</v>
      </c>
      <c r="C16" s="2">
        <v>271</v>
      </c>
      <c r="D16">
        <f>RTD("tos.rtd", , "LAST", Main_S[[#This Row],[Symbol]])</f>
        <v>15.81</v>
      </c>
      <c r="E16">
        <v>0.23</v>
      </c>
      <c r="F16">
        <v>9.76</v>
      </c>
      <c r="G16">
        <v>0.43</v>
      </c>
      <c r="H16" s="1">
        <f>IF(ISNUMBER(Main_S[[#This Row],[Free CF]]),IF(Main_S[[#This Row],[Free CF]]&lt;&gt;0,Main_S[[#This Row],[Current Price]]/Main_S[[#This Row],[Free CF]],""),"")</f>
        <v>68.739130434782609</v>
      </c>
      <c r="I16" s="1">
        <f>IF(ISNUMBER(Main_S[[#This Row],[BVPS]]),IF(Main_S[[#This Row],[BVPS]]&lt;&gt;0,Main_S[[#This Row],[Current Price]]/Main_S[[#This Row],[BVPS]],""),"")</f>
        <v>1.619877049180328</v>
      </c>
      <c r="J16">
        <v>3.97</v>
      </c>
      <c r="K16">
        <v>-0.79</v>
      </c>
      <c r="L16">
        <v>1.71</v>
      </c>
      <c r="M16" s="1">
        <f>IF(ISNUMBER(Main_S[[#This Row],[EPS]]),IF(Main_S[[#This Row],[EPS]]&lt;&gt;0,Main_S[[#This Row],[Current Price]]/Main_S[[#This Row],[EPS]],""),"")</f>
        <v>36.767441860465119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2.2877333693326127</v>
      </c>
      <c r="P16" s="1">
        <f>(Main_S[[#This Row],[P/B]]-VLOOKUP(Main_S[[#This Row],[Industry]], Mean_PB_S, 2, FALSE))/(VLOOKUP(Main_S[[#This Row],[Industry]], Mean_PB_S, 3, FALSE))</f>
        <v>-0.5065730337638471</v>
      </c>
      <c r="Q16" s="1">
        <f>(Main_S[[#This Row],[ROE]]-VLOOKUP(Main_S[[#This Row],[Industry]], Mean_ROE_S, 2, FALSE))/(VLOOKUP(Main_S[[#This Row],[Industry]], Mean_ROE_S, 3, FALSE))</f>
        <v>-0.38114312242214377</v>
      </c>
      <c r="R16" s="1">
        <f>(Main_S[[#This Row],[ROA]]-VLOOKUP(Main_S[[#This Row],[Industry]], Mean_ROA_S, 2, FALSE))/(VLOOKUP(Main_S[[#This Row],[Industry]], Mean_ROA_S, 3, FALSE))</f>
        <v>-1.7197905901275072</v>
      </c>
      <c r="S16" s="1">
        <f>(Main_S[[#This Row],[A/E]]-VLOOKUP(Main_S[[#This Row],[Industry]], Mean_AE_S, 2, FALSE))/(VLOOKUP(Main_S[[#This Row],[Industry]], Mean_AE_S, 3, FALSE))</f>
        <v>-0.70584178766443506</v>
      </c>
      <c r="T16" s="1">
        <f>(Main_S[[#This Row],[P/E]]-VLOOKUP(Main_S[[#This Row],[Industry]], Mean_PE_S, 2, FALSE))/(VLOOKUP(Main_S[[#This Row],[Industry]], Mean_PE_S, 3, FALSE))</f>
        <v>0.98689477349691623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t="s">
        <v>107</v>
      </c>
      <c r="B17" t="s">
        <v>215</v>
      </c>
      <c r="C17" s="2">
        <v>362</v>
      </c>
      <c r="D17">
        <f>RTD("tos.rtd", , "LAST", Main_S[[#This Row],[Symbol]])</f>
        <v>3.69</v>
      </c>
      <c r="E17">
        <v>0.3</v>
      </c>
      <c r="F17">
        <v>3.58</v>
      </c>
      <c r="G17">
        <v>0.45</v>
      </c>
      <c r="H17" s="1">
        <f>IF(ISNUMBER(Main_S[[#This Row],[Free CF]]),IF(Main_S[[#This Row],[Free CF]]&lt;&gt;0,Main_S[[#This Row],[Current Price]]/Main_S[[#This Row],[Free CF]],""),"")</f>
        <v>12.3</v>
      </c>
      <c r="I17" s="1">
        <f>IF(ISNUMBER(Main_S[[#This Row],[BVPS]]),IF(Main_S[[#This Row],[BVPS]]&lt;&gt;0,Main_S[[#This Row],[Current Price]]/Main_S[[#This Row],[BVPS]],""),"")</f>
        <v>1.0307262569832403</v>
      </c>
      <c r="J17">
        <v>13.43</v>
      </c>
      <c r="K17">
        <v>5.28</v>
      </c>
      <c r="L17">
        <v>1.79</v>
      </c>
      <c r="M17" s="1">
        <f>IF(ISNUMBER(Main_S[[#This Row],[EPS]]),IF(Main_S[[#This Row],[EPS]]&lt;&gt;0,Main_S[[#This Row],[Current Price]]/Main_S[[#This Row],[EPS]],""),"")</f>
        <v>8.1999999999999993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0.13812459935555454</v>
      </c>
      <c r="P17" s="1">
        <f>(Main_S[[#This Row],[P/B]]-VLOOKUP(Main_S[[#This Row],[Industry]], Mean_PB_S, 2, FALSE))/(VLOOKUP(Main_S[[#This Row],[Industry]], Mean_PB_S, 3, FALSE))</f>
        <v>-0.74505192411646948</v>
      </c>
      <c r="Q17" s="1">
        <f>(Main_S[[#This Row],[ROE]]-VLOOKUP(Main_S[[#This Row],[Industry]], Mean_ROE_S, 2, FALSE))/(VLOOKUP(Main_S[[#This Row],[Industry]], Mean_ROE_S, 3, FALSE))</f>
        <v>0.6108529440599596</v>
      </c>
      <c r="R17" s="1">
        <f>(Main_S[[#This Row],[ROA]]-VLOOKUP(Main_S[[#This Row],[Industry]], Mean_ROA_S, 2, FALSE))/(VLOOKUP(Main_S[[#This Row],[Industry]], Mean_ROA_S, 3, FALSE))</f>
        <v>0.68163283335364966</v>
      </c>
      <c r="S17" s="1">
        <f>(Main_S[[#This Row],[A/E]]-VLOOKUP(Main_S[[#This Row],[Industry]], Mean_AE_S, 2, FALSE))/(VLOOKUP(Main_S[[#This Row],[Industry]], Mean_AE_S, 3, FALSE))</f>
        <v>-0.66087617503870399</v>
      </c>
      <c r="T17" s="1">
        <f>(Main_S[[#This Row],[P/E]]-VLOOKUP(Main_S[[#This Row],[Industry]], Mean_PE_S, 2, FALSE))/(VLOOKUP(Main_S[[#This Row],[Industry]], Mean_PE_S, 3, FALSE))</f>
        <v>-0.73204642454182833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t="s">
        <v>107</v>
      </c>
      <c r="B18" t="s">
        <v>216</v>
      </c>
      <c r="C18" s="2">
        <v>861</v>
      </c>
      <c r="D18">
        <f>RTD("tos.rtd", , "LAST", Main_S[[#This Row],[Symbol]])</f>
        <v>8.9499999999999993</v>
      </c>
      <c r="E18">
        <v>0.63</v>
      </c>
      <c r="F18">
        <v>13.68</v>
      </c>
      <c r="G18">
        <v>0.9</v>
      </c>
      <c r="H18" s="1">
        <f>IF(ISNUMBER(Main_S[[#This Row],[Free CF]]),IF(Main_S[[#This Row],[Free CF]]&lt;&gt;0,Main_S[[#This Row],[Current Price]]/Main_S[[#This Row],[Free CF]],""),"")</f>
        <v>14.206349206349206</v>
      </c>
      <c r="I18" s="1">
        <f>IF(ISNUMBER(Main_S[[#This Row],[BVPS]]),IF(Main_S[[#This Row],[BVPS]]&lt;&gt;0,Main_S[[#This Row],[Current Price]]/Main_S[[#This Row],[BVPS]],""),"")</f>
        <v>0.65423976608187129</v>
      </c>
      <c r="J18">
        <v>6.89</v>
      </c>
      <c r="K18">
        <v>4.0199999999999996</v>
      </c>
      <c r="L18">
        <v>2.2799999999999998</v>
      </c>
      <c r="M18" s="1">
        <f>IF(ISNUMBER(Main_S[[#This Row],[EPS]]),IF(Main_S[[#This Row],[EPS]]&lt;&gt;0,Main_S[[#This Row],[Current Price]]/Main_S[[#This Row],[EPS]],""),"")</f>
        <v>9.9444444444444429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0.21073211369956676</v>
      </c>
      <c r="P18" s="1">
        <f>(Main_S[[#This Row],[P/B]]-VLOOKUP(Main_S[[#This Row],[Industry]], Mean_PB_S, 2, FALSE))/(VLOOKUP(Main_S[[#This Row],[Industry]], Mean_PB_S, 3, FALSE))</f>
        <v>-0.8974476804695829</v>
      </c>
      <c r="Q18" s="1">
        <f>(Main_S[[#This Row],[ROE]]-VLOOKUP(Main_S[[#This Row],[Industry]], Mean_ROE_S, 2, FALSE))/(VLOOKUP(Main_S[[#This Row],[Industry]], Mean_ROE_S, 3, FALSE))</f>
        <v>-7.4945605072488236E-2</v>
      </c>
      <c r="R18" s="1">
        <f>(Main_S[[#This Row],[ROA]]-VLOOKUP(Main_S[[#This Row],[Industry]], Mean_ROA_S, 2, FALSE))/(VLOOKUP(Main_S[[#This Row],[Industry]], Mean_ROA_S, 3, FALSE))</f>
        <v>0.18314955269693478</v>
      </c>
      <c r="S18" s="1">
        <f>(Main_S[[#This Row],[A/E]]-VLOOKUP(Main_S[[#This Row],[Industry]], Mean_AE_S, 2, FALSE))/(VLOOKUP(Main_S[[#This Row],[Industry]], Mean_AE_S, 3, FALSE))</f>
        <v>-0.38546179770610178</v>
      </c>
      <c r="T18" s="1">
        <f>(Main_S[[#This Row],[P/E]]-VLOOKUP(Main_S[[#This Row],[Industry]], Mean_PE_S, 2, FALSE))/(VLOOKUP(Main_S[[#This Row],[Industry]], Mean_PE_S, 3, FALSE))</f>
        <v>-0.62708086837156574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t="s">
        <v>107</v>
      </c>
      <c r="B19" t="s">
        <v>217</v>
      </c>
      <c r="C19" s="2">
        <v>728</v>
      </c>
      <c r="D19">
        <f>RTD("tos.rtd", , "LAST", Main_S[[#This Row],[Symbol]])</f>
        <v>10.58</v>
      </c>
      <c r="E19">
        <v>0.64</v>
      </c>
      <c r="F19">
        <v>7.75</v>
      </c>
      <c r="G19">
        <v>0.56999999999999995</v>
      </c>
      <c r="H19" s="1">
        <f>IF(ISNUMBER(Main_S[[#This Row],[Free CF]]),IF(Main_S[[#This Row],[Free CF]]&lt;&gt;0,Main_S[[#This Row],[Current Price]]/Main_S[[#This Row],[Free CF]],""),"")</f>
        <v>16.53125</v>
      </c>
      <c r="I19" s="1">
        <f>IF(ISNUMBER(Main_S[[#This Row],[BVPS]]),IF(Main_S[[#This Row],[BVPS]]&lt;&gt;0,Main_S[[#This Row],[Current Price]]/Main_S[[#This Row],[BVPS]],""),"")</f>
        <v>1.3651612903225807</v>
      </c>
      <c r="J19">
        <v>8.25</v>
      </c>
      <c r="K19">
        <v>4.3600000000000003</v>
      </c>
      <c r="L19">
        <v>1.81</v>
      </c>
      <c r="M19" s="1">
        <f>IF(ISNUMBER(Main_S[[#This Row],[EPS]]),IF(Main_S[[#This Row],[EPS]]&lt;&gt;0,Main_S[[#This Row],[Current Price]]/Main_S[[#This Row],[EPS]],""),"")</f>
        <v>18.561403508771932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0.2992810884420693</v>
      </c>
      <c r="P19" s="1">
        <f>(Main_S[[#This Row],[P/B]]-VLOOKUP(Main_S[[#This Row],[Industry]], Mean_PB_S, 2, FALSE))/(VLOOKUP(Main_S[[#This Row],[Industry]], Mean_PB_S, 3, FALSE))</f>
        <v>-0.60967793039173968</v>
      </c>
      <c r="Q19" s="1">
        <f>(Main_S[[#This Row],[ROE]]-VLOOKUP(Main_S[[#This Row],[Industry]], Mean_ROE_S, 2, FALSE))/(VLOOKUP(Main_S[[#This Row],[Industry]], Mean_ROE_S, 3, FALSE))</f>
        <v>6.7666937254748649E-2</v>
      </c>
      <c r="R19" s="1">
        <f>(Main_S[[#This Row],[ROA]]-VLOOKUP(Main_S[[#This Row],[Industry]], Mean_ROA_S, 2, FALSE))/(VLOOKUP(Main_S[[#This Row],[Industry]], Mean_ROA_S, 3, FALSE))</f>
        <v>0.31766091414398506</v>
      </c>
      <c r="S19" s="1">
        <f>(Main_S[[#This Row],[A/E]]-VLOOKUP(Main_S[[#This Row],[Industry]], Mean_AE_S, 2, FALSE))/(VLOOKUP(Main_S[[#This Row],[Industry]], Mean_AE_S, 3, FALSE))</f>
        <v>-0.64963477188227126</v>
      </c>
      <c r="T19" s="1">
        <f>(Main_S[[#This Row],[P/E]]-VLOOKUP(Main_S[[#This Row],[Industry]], Mean_PE_S, 2, FALSE))/(VLOOKUP(Main_S[[#This Row],[Industry]], Mean_PE_S, 3, FALSE))</f>
        <v>-0.10858691256572546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t="s">
        <v>107</v>
      </c>
      <c r="B20" t="s">
        <v>218</v>
      </c>
      <c r="C20" s="2">
        <v>374</v>
      </c>
      <c r="D20">
        <f>RTD("tos.rtd", , "LAST", Main_S[[#This Row],[Symbol]])</f>
        <v>4.3</v>
      </c>
      <c r="E20">
        <v>1.31</v>
      </c>
      <c r="F20">
        <v>6.63</v>
      </c>
      <c r="G20">
        <v>-3.18</v>
      </c>
      <c r="H20" s="1">
        <f>IF(ISNUMBER(Main_S[[#This Row],[Free CF]]),IF(Main_S[[#This Row],[Free CF]]&lt;&gt;0,Main_S[[#This Row],[Current Price]]/Main_S[[#This Row],[Free CF]],""),"")</f>
        <v>3.282442748091603</v>
      </c>
      <c r="I20" s="1">
        <f>IF(ISNUMBER(Main_S[[#This Row],[BVPS]]),IF(Main_S[[#This Row],[BVPS]]&lt;&gt;0,Main_S[[#This Row],[Current Price]]/Main_S[[#This Row],[BVPS]],""),"")</f>
        <v>0.64856711915535448</v>
      </c>
      <c r="J20">
        <v>-36.94</v>
      </c>
      <c r="K20">
        <v>4.22</v>
      </c>
      <c r="L20">
        <v>5.71</v>
      </c>
      <c r="M20" s="1">
        <f>IF(ISNUMBER(Main_S[[#This Row],[EPS]]),IF(Main_S[[#This Row],[EPS]]&lt;&gt;0,Main_S[[#This Row],[Current Price]]/Main_S[[#This Row],[EPS]],""),"")</f>
        <v>-1.3522012578616351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-0.2053289585420402</v>
      </c>
      <c r="P20" s="1">
        <f>(Main_S[[#This Row],[P/B]]-VLOOKUP(Main_S[[#This Row],[Industry]], Mean_PB_S, 2, FALSE))/(VLOOKUP(Main_S[[#This Row],[Industry]], Mean_PB_S, 3, FALSE))</f>
        <v>-0.89974387791566124</v>
      </c>
      <c r="Q20" s="1">
        <f>(Main_S[[#This Row],[ROE]]-VLOOKUP(Main_S[[#This Row],[Industry]], Mean_ROE_S, 2, FALSE))/(VLOOKUP(Main_S[[#This Row],[Industry]], Mean_ROE_S, 3, FALSE))</f>
        <v>-4.6710542302215989</v>
      </c>
      <c r="R20" s="1">
        <f>(Main_S[[#This Row],[ROA]]-VLOOKUP(Main_S[[#This Row],[Industry]], Mean_ROA_S, 2, FALSE))/(VLOOKUP(Main_S[[#This Row],[Industry]], Mean_ROA_S, 3, FALSE))</f>
        <v>0.26227388295990545</v>
      </c>
      <c r="S20" s="1">
        <f>(Main_S[[#This Row],[A/E]]-VLOOKUP(Main_S[[#This Row],[Industry]], Mean_AE_S, 2, FALSE))/(VLOOKUP(Main_S[[#This Row],[Industry]], Mean_AE_S, 3, FALSE))</f>
        <v>1.5424388436221148</v>
      </c>
      <c r="T20" s="1">
        <f>(Main_S[[#This Row],[P/E]]-VLOOKUP(Main_S[[#This Row],[Industry]], Mean_PE_S, 2, FALSE))/(VLOOKUP(Main_S[[#This Row],[Industry]], Mean_PE_S, 3, FALSE))</f>
        <v>-1.3068151544230746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t="s">
        <v>107</v>
      </c>
      <c r="B21" t="s">
        <v>219</v>
      </c>
      <c r="C21" s="2">
        <v>464</v>
      </c>
      <c r="D21">
        <f>RTD("tos.rtd", , "LAST", Main_S[[#This Row],[Symbol]])</f>
        <v>26.03</v>
      </c>
      <c r="E21">
        <v>1</v>
      </c>
      <c r="F21">
        <v>11.29</v>
      </c>
      <c r="G21">
        <v>0.77</v>
      </c>
      <c r="H21" s="1">
        <f>IF(ISNUMBER(Main_S[[#This Row],[Free CF]]),IF(Main_S[[#This Row],[Free CF]]&lt;&gt;0,Main_S[[#This Row],[Current Price]]/Main_S[[#This Row],[Free CF]],""),"")</f>
        <v>26.03</v>
      </c>
      <c r="I21" s="1">
        <f>IF(ISNUMBER(Main_S[[#This Row],[BVPS]]),IF(Main_S[[#This Row],[BVPS]]&lt;&gt;0,Main_S[[#This Row],[Current Price]]/Main_S[[#This Row],[BVPS]],""),"")</f>
        <v>2.3055801594331271</v>
      </c>
      <c r="J21">
        <v>6.84</v>
      </c>
      <c r="K21">
        <v>4.4800000000000004</v>
      </c>
      <c r="L21">
        <v>1.48</v>
      </c>
      <c r="M21" s="1">
        <f>IF(ISNUMBER(Main_S[[#This Row],[EPS]]),IF(Main_S[[#This Row],[EPS]]&lt;&gt;0,Main_S[[#This Row],[Current Price]]/Main_S[[#This Row],[EPS]],""),"")</f>
        <v>33.805194805194809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0.66106193351398246</v>
      </c>
      <c r="P21" s="1">
        <f>(Main_S[[#This Row],[P/B]]-VLOOKUP(Main_S[[#This Row],[Industry]], Mean_PB_S, 2, FALSE))/(VLOOKUP(Main_S[[#This Row],[Industry]], Mean_PB_S, 3, FALSE))</f>
        <v>-0.22901129743043427</v>
      </c>
      <c r="Q21" s="1">
        <f>(Main_S[[#This Row],[ROE]]-VLOOKUP(Main_S[[#This Row],[Industry]], Mean_ROE_S, 2, FALSE))/(VLOOKUP(Main_S[[#This Row],[Industry]], Mean_ROE_S, 3, FALSE))</f>
        <v>-8.0188713246283697E-2</v>
      </c>
      <c r="R21" s="1">
        <f>(Main_S[[#This Row],[ROA]]-VLOOKUP(Main_S[[#This Row],[Industry]], Mean_ROA_S, 2, FALSE))/(VLOOKUP(Main_S[[#This Row],[Industry]], Mean_ROA_S, 3, FALSE))</f>
        <v>0.36513551230176744</v>
      </c>
      <c r="S21" s="1">
        <f>(Main_S[[#This Row],[A/E]]-VLOOKUP(Main_S[[#This Row],[Industry]], Mean_AE_S, 2, FALSE))/(VLOOKUP(Main_S[[#This Row],[Industry]], Mean_AE_S, 3, FALSE))</f>
        <v>-0.83511792396341167</v>
      </c>
      <c r="T21" s="1">
        <f>(Main_S[[#This Row],[P/E]]-VLOOKUP(Main_S[[#This Row],[Industry]], Mean_PE_S, 2, FALSE))/(VLOOKUP(Main_S[[#This Row],[Industry]], Mean_PE_S, 3, FALSE))</f>
        <v>0.80865240489618118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t="s">
        <v>107</v>
      </c>
      <c r="B22" t="s">
        <v>220</v>
      </c>
      <c r="C22" s="2">
        <v>1388</v>
      </c>
      <c r="D22">
        <f>RTD("tos.rtd", , "LAST", Main_S[[#This Row],[Symbol]])</f>
        <v>14.11</v>
      </c>
      <c r="E22">
        <v>2</v>
      </c>
      <c r="F22">
        <v>13.61</v>
      </c>
      <c r="G22">
        <v>1.62</v>
      </c>
      <c r="H22" s="1">
        <f>IF(ISNUMBER(Main_S[[#This Row],[Free CF]]),IF(Main_S[[#This Row],[Free CF]]&lt;&gt;0,Main_S[[#This Row],[Current Price]]/Main_S[[#This Row],[Free CF]],""),"")</f>
        <v>7.0549999999999997</v>
      </c>
      <c r="I22" s="1">
        <f>IF(ISNUMBER(Main_S[[#This Row],[BVPS]]),IF(Main_S[[#This Row],[BVPS]]&lt;&gt;0,Main_S[[#This Row],[Current Price]]/Main_S[[#This Row],[BVPS]],""),"")</f>
        <v>1.0367376928728875</v>
      </c>
      <c r="J22">
        <v>12.07</v>
      </c>
      <c r="K22">
        <v>3.39</v>
      </c>
      <c r="L22">
        <v>3.44</v>
      </c>
      <c r="M22" s="1">
        <f>IF(ISNUMBER(Main_S[[#This Row],[EPS]]),IF(Main_S[[#This Row],[EPS]]&lt;&gt;0,Main_S[[#This Row],[Current Price]]/Main_S[[#This Row],[EPS]],""),"")</f>
        <v>8.7098765432098748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-6.1642794501761862E-2</v>
      </c>
      <c r="P22" s="1">
        <f>(Main_S[[#This Row],[P/B]]-VLOOKUP(Main_S[[#This Row],[Industry]], Mean_PB_S, 2, FALSE))/(VLOOKUP(Main_S[[#This Row],[Industry]], Mean_PB_S, 3, FALSE))</f>
        <v>-0.74261859027498767</v>
      </c>
      <c r="Q22" s="1">
        <f>(Main_S[[#This Row],[ROE]]-VLOOKUP(Main_S[[#This Row],[Industry]], Mean_ROE_S, 2, FALSE))/(VLOOKUP(Main_S[[#This Row],[Industry]], Mean_ROE_S, 3, FALSE))</f>
        <v>0.4682404017327228</v>
      </c>
      <c r="R22" s="1">
        <f>(Main_S[[#This Row],[ROA]]-VLOOKUP(Main_S[[#This Row],[Industry]], Mean_ROA_S, 2, FALSE))/(VLOOKUP(Main_S[[#This Row],[Industry]], Mean_ROA_S, 3, FALSE))</f>
        <v>-6.6092087631422269E-2</v>
      </c>
      <c r="S22" s="1">
        <f>(Main_S[[#This Row],[A/E]]-VLOOKUP(Main_S[[#This Row],[Industry]], Mean_AE_S, 2, FALSE))/(VLOOKUP(Main_S[[#This Row],[Industry]], Mean_AE_S, 3, FALSE))</f>
        <v>0.26653958536699779</v>
      </c>
      <c r="T22" s="1">
        <f>(Main_S[[#This Row],[P/E]]-VLOOKUP(Main_S[[#This Row],[Industry]], Mean_PE_S, 2, FALSE))/(VLOOKUP(Main_S[[#This Row],[Industry]], Mean_PE_S, 3, FALSE))</f>
        <v>-0.70136647075674807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t="s">
        <v>107</v>
      </c>
      <c r="B23" t="s">
        <v>221</v>
      </c>
      <c r="C23" s="2">
        <v>686</v>
      </c>
      <c r="D23">
        <f>RTD("tos.rtd", , "LAST", Main_S[[#This Row],[Symbol]])</f>
        <v>62.64</v>
      </c>
      <c r="E23">
        <v>-1.62</v>
      </c>
      <c r="F23">
        <v>29.78</v>
      </c>
      <c r="G23">
        <v>4.72</v>
      </c>
      <c r="H23" s="1">
        <f>IF(ISNUMBER(Main_S[[#This Row],[Free CF]]),IF(Main_S[[#This Row],[Free CF]]&lt;&gt;0,Main_S[[#This Row],[Current Price]]/Main_S[[#This Row],[Free CF]],""),"")</f>
        <v>-38.666666666666664</v>
      </c>
      <c r="I23" s="1">
        <f>IF(ISNUMBER(Main_S[[#This Row],[BVPS]]),IF(Main_S[[#This Row],[BVPS]]&lt;&gt;0,Main_S[[#This Row],[Current Price]]/Main_S[[#This Row],[BVPS]],""),"")</f>
        <v>2.1034251175285426</v>
      </c>
      <c r="J23">
        <v>16.579999999999998</v>
      </c>
      <c r="K23">
        <v>8.8800000000000008</v>
      </c>
      <c r="L23">
        <v>1.7</v>
      </c>
      <c r="M23" s="1">
        <f>IF(ISNUMBER(Main_S[[#This Row],[EPS]]),IF(Main_S[[#This Row],[EPS]]&lt;&gt;0,Main_S[[#This Row],[Current Price]]/Main_S[[#This Row],[EPS]],""),"")</f>
        <v>13.271186440677967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-1.8030533174403571</v>
      </c>
      <c r="P23" s="1">
        <f>(Main_S[[#This Row],[P/B]]-VLOOKUP(Main_S[[#This Row],[Industry]], Mean_PB_S, 2, FALSE))/(VLOOKUP(Main_S[[#This Row],[Industry]], Mean_PB_S, 3, FALSE))</f>
        <v>-0.31084045001937904</v>
      </c>
      <c r="Q23" s="1">
        <f>(Main_S[[#This Row],[ROE]]-VLOOKUP(Main_S[[#This Row],[Industry]], Mean_ROE_S, 2, FALSE))/(VLOOKUP(Main_S[[#This Row],[Industry]], Mean_ROE_S, 3, FALSE))</f>
        <v>0.94116875900907415</v>
      </c>
      <c r="R23" s="1">
        <f>(Main_S[[#This Row],[ROA]]-VLOOKUP(Main_S[[#This Row],[Industry]], Mean_ROA_S, 2, FALSE))/(VLOOKUP(Main_S[[#This Row],[Industry]], Mean_ROA_S, 3, FALSE))</f>
        <v>2.10587077808712</v>
      </c>
      <c r="S23" s="1">
        <f>(Main_S[[#This Row],[A/E]]-VLOOKUP(Main_S[[#This Row],[Industry]], Mean_AE_S, 2, FALSE))/(VLOOKUP(Main_S[[#This Row],[Industry]], Mean_AE_S, 3, FALSE))</f>
        <v>-0.71146248924265143</v>
      </c>
      <c r="T23" s="1">
        <f>(Main_S[[#This Row],[P/E]]-VLOOKUP(Main_S[[#This Row],[Industry]], Mean_PE_S, 2, FALSE))/(VLOOKUP(Main_S[[#This Row],[Industry]], Mean_PE_S, 3, FALSE))</f>
        <v>-0.4269063515036296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t="s">
        <v>107</v>
      </c>
      <c r="B24" t="s">
        <v>222</v>
      </c>
      <c r="C24" s="2">
        <v>1485</v>
      </c>
      <c r="D24">
        <f>RTD("tos.rtd", , "LAST", Main_S[[#This Row],[Symbol]])</f>
        <v>17.73</v>
      </c>
      <c r="E24">
        <v>-0.33</v>
      </c>
      <c r="F24">
        <v>3.68</v>
      </c>
      <c r="G24">
        <v>0.82</v>
      </c>
      <c r="H24" s="1">
        <f>IF(ISNUMBER(Main_S[[#This Row],[Free CF]]),IF(Main_S[[#This Row],[Free CF]]&lt;&gt;0,Main_S[[#This Row],[Current Price]]/Main_S[[#This Row],[Free CF]],""),"")</f>
        <v>-53.727272727272727</v>
      </c>
      <c r="I24" s="1">
        <f>IF(ISNUMBER(Main_S[[#This Row],[BVPS]]),IF(Main_S[[#This Row],[BVPS]]&lt;&gt;0,Main_S[[#This Row],[Current Price]]/Main_S[[#This Row],[BVPS]],""),"")</f>
        <v>4.8179347826086953</v>
      </c>
      <c r="J24">
        <v>23.34</v>
      </c>
      <c r="K24">
        <v>7.27</v>
      </c>
      <c r="L24">
        <v>6.19</v>
      </c>
      <c r="M24" s="1">
        <f>IF(ISNUMBER(Main_S[[#This Row],[EPS]]),IF(Main_S[[#This Row],[EPS]]&lt;&gt;0,Main_S[[#This Row],[Current Price]]/Main_S[[#This Row],[EPS]],""),"")</f>
        <v>21.621951219512198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-2.3766697183248144</v>
      </c>
      <c r="P24" s="1">
        <f>(Main_S[[#This Row],[P/B]]-VLOOKUP(Main_S[[#This Row],[Industry]], Mean_PB_S, 2, FALSE))/(VLOOKUP(Main_S[[#This Row],[Industry]], Mean_PB_S, 3, FALSE))</f>
        <v>0.78794998080673329</v>
      </c>
      <c r="Q24" s="1">
        <f>(Main_S[[#This Row],[ROE]]-VLOOKUP(Main_S[[#This Row],[Industry]], Mean_ROE_S, 2, FALSE))/(VLOOKUP(Main_S[[#This Row],[Industry]], Mean_ROE_S, 3, FALSE))</f>
        <v>1.6500369841062221</v>
      </c>
      <c r="R24" s="1">
        <f>(Main_S[[#This Row],[ROA]]-VLOOKUP(Main_S[[#This Row],[Industry]], Mean_ROA_S, 2, FALSE))/(VLOOKUP(Main_S[[#This Row],[Industry]], Mean_ROA_S, 3, FALSE))</f>
        <v>1.4689199194702065</v>
      </c>
      <c r="S24" s="1">
        <f>(Main_S[[#This Row],[A/E]]-VLOOKUP(Main_S[[#This Row],[Industry]], Mean_AE_S, 2, FALSE))/(VLOOKUP(Main_S[[#This Row],[Industry]], Mean_AE_S, 3, FALSE))</f>
        <v>1.8122325193765012</v>
      </c>
      <c r="T24" s="1">
        <f>(Main_S[[#This Row],[P/E]]-VLOOKUP(Main_S[[#This Row],[Industry]], Mean_PE_S, 2, FALSE))/(VLOOKUP(Main_S[[#This Row],[Industry]], Mean_PE_S, 3, FALSE))</f>
        <v>7.5570337994229131E-2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t="s">
        <v>107</v>
      </c>
      <c r="B25" t="s">
        <v>223</v>
      </c>
      <c r="C25" s="2">
        <v>367</v>
      </c>
      <c r="D25">
        <f>RTD("tos.rtd", , "LAST", Main_S[[#This Row],[Symbol]])</f>
        <v>22.42</v>
      </c>
      <c r="E25">
        <v>0.42</v>
      </c>
      <c r="F25">
        <v>4.76</v>
      </c>
      <c r="G25">
        <v>0.6</v>
      </c>
      <c r="H25" s="1">
        <f>IF(ISNUMBER(Main_S[[#This Row],[Free CF]]),IF(Main_S[[#This Row],[Free CF]]&lt;&gt;0,Main_S[[#This Row],[Current Price]]/Main_S[[#This Row],[Free CF]],""),"")</f>
        <v>53.380952380952387</v>
      </c>
      <c r="I25" s="1">
        <f>IF(ISNUMBER(Main_S[[#This Row],[BVPS]]),IF(Main_S[[#This Row],[BVPS]]&lt;&gt;0,Main_S[[#This Row],[Current Price]]/Main_S[[#This Row],[BVPS]],""),"")</f>
        <v>4.7100840336134455</v>
      </c>
      <c r="J25">
        <v>13.64</v>
      </c>
      <c r="K25">
        <v>10.06</v>
      </c>
      <c r="L25">
        <v>1.26</v>
      </c>
      <c r="M25" s="1">
        <f>IF(ISNUMBER(Main_S[[#This Row],[EPS]]),IF(Main_S[[#This Row],[EPS]]&lt;&gt;0,Main_S[[#This Row],[Current Price]]/Main_S[[#This Row],[EPS]],""),"")</f>
        <v>37.366666666666674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1.7027832827338909</v>
      </c>
      <c r="P25" s="1">
        <f>(Main_S[[#This Row],[P/B]]-VLOOKUP(Main_S[[#This Row],[Industry]], Mean_PB_S, 2, FALSE))/(VLOOKUP(Main_S[[#This Row],[Industry]], Mean_PB_S, 3, FALSE))</f>
        <v>0.74429370929741434</v>
      </c>
      <c r="Q25" s="1">
        <f>(Main_S[[#This Row],[ROE]]-VLOOKUP(Main_S[[#This Row],[Industry]], Mean_ROE_S, 2, FALSE))/(VLOOKUP(Main_S[[#This Row],[Industry]], Mean_ROE_S, 3, FALSE))</f>
        <v>0.63287399838990066</v>
      </c>
      <c r="R25" s="1">
        <f>(Main_S[[#This Row],[ROA]]-VLOOKUP(Main_S[[#This Row],[Industry]], Mean_ROA_S, 2, FALSE))/(VLOOKUP(Main_S[[#This Row],[Industry]], Mean_ROA_S, 3, FALSE))</f>
        <v>2.5727043266386462</v>
      </c>
      <c r="S25" s="1">
        <f>(Main_S[[#This Row],[A/E]]-VLOOKUP(Main_S[[#This Row],[Industry]], Mean_AE_S, 2, FALSE))/(VLOOKUP(Main_S[[#This Row],[Industry]], Mean_AE_S, 3, FALSE))</f>
        <v>-0.95877335868417191</v>
      </c>
      <c r="T25" s="1">
        <f>(Main_S[[#This Row],[P/E]]-VLOOKUP(Main_S[[#This Row],[Industry]], Mean_PE_S, 2, FALSE))/(VLOOKUP(Main_S[[#This Row],[Industry]], Mean_PE_S, 3, FALSE))</f>
        <v>1.0229509318081058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t="s">
        <v>107</v>
      </c>
      <c r="B26" t="s">
        <v>224</v>
      </c>
      <c r="C26" s="2">
        <v>322</v>
      </c>
      <c r="D26">
        <f>RTD("tos.rtd", , "LAST", Main_S[[#This Row],[Symbol]])</f>
        <v>9.82</v>
      </c>
      <c r="E26">
        <v>-4.38</v>
      </c>
      <c r="F26">
        <v>4.03</v>
      </c>
      <c r="G26">
        <v>-6.17</v>
      </c>
      <c r="H26" s="1">
        <f>IF(ISNUMBER(Main_S[[#This Row],[Free CF]]),IF(Main_S[[#This Row],[Free CF]]&lt;&gt;0,Main_S[[#This Row],[Current Price]]/Main_S[[#This Row],[Free CF]],""),"")</f>
        <v>-2.2420091324200913</v>
      </c>
      <c r="I26" s="1">
        <f>IF(ISNUMBER(Main_S[[#This Row],[BVPS]]),IF(Main_S[[#This Row],[BVPS]]&lt;&gt;0,Main_S[[#This Row],[Current Price]]/Main_S[[#This Row],[BVPS]],""),"")</f>
        <v>2.4367245657568239</v>
      </c>
      <c r="J26">
        <v>-85.5</v>
      </c>
      <c r="K26">
        <v>-7.34</v>
      </c>
      <c r="L26">
        <v>6.58</v>
      </c>
      <c r="M26" s="1">
        <f>IF(ISNUMBER(Main_S[[#This Row],[EPS]]),IF(Main_S[[#This Row],[EPS]]&lt;&gt;0,Main_S[[#This Row],[Current Price]]/Main_S[[#This Row],[EPS]],""),"")</f>
        <v>-1.5915721231766613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-0.41573989365356961</v>
      </c>
      <c r="P26" s="1">
        <f>(Main_S[[#This Row],[P/B]]-VLOOKUP(Main_S[[#This Row],[Industry]], Mean_PB_S, 2, FALSE))/(VLOOKUP(Main_S[[#This Row],[Industry]], Mean_PB_S, 3, FALSE))</f>
        <v>-0.1759261231248955</v>
      </c>
      <c r="Q26" s="1">
        <f>(Main_S[[#This Row],[ROE]]-VLOOKUP(Main_S[[#This Row],[Industry]], Mean_ROE_S, 2, FALSE))/(VLOOKUP(Main_S[[#This Row],[Industry]], Mean_ROE_S, 3, FALSE))</f>
        <v>-9.7631608886117629</v>
      </c>
      <c r="R26" s="1">
        <f>(Main_S[[#This Row],[ROA]]-VLOOKUP(Main_S[[#This Row],[Industry]], Mean_ROA_S, 2, FALSE))/(VLOOKUP(Main_S[[#This Row],[Industry]], Mean_ROA_S, 3, FALSE))</f>
        <v>-4.3111124062397934</v>
      </c>
      <c r="S26" s="1">
        <f>(Main_S[[#This Row],[A/E]]-VLOOKUP(Main_S[[#This Row],[Industry]], Mean_AE_S, 2, FALSE))/(VLOOKUP(Main_S[[#This Row],[Industry]], Mean_AE_S, 3, FALSE))</f>
        <v>2.0314398809269396</v>
      </c>
      <c r="T26" s="1">
        <f>(Main_S[[#This Row],[P/E]]-VLOOKUP(Main_S[[#This Row],[Industry]], Mean_PE_S, 2, FALSE))/(VLOOKUP(Main_S[[#This Row],[Industry]], Mean_PE_S, 3, FALSE))</f>
        <v>-1.3212184196510197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t="s">
        <v>107</v>
      </c>
      <c r="B27" t="s">
        <v>225</v>
      </c>
      <c r="C27" s="2">
        <v>616</v>
      </c>
      <c r="D27">
        <f>RTD("tos.rtd", , "LAST", Main_S[[#This Row],[Symbol]])</f>
        <v>87.3</v>
      </c>
      <c r="E27">
        <v>36.93</v>
      </c>
      <c r="F27">
        <v>89.03</v>
      </c>
      <c r="G27">
        <v>5.45</v>
      </c>
      <c r="H27" s="1">
        <f>IF(ISNUMBER(Main_S[[#This Row],[Free CF]]),IF(Main_S[[#This Row],[Free CF]]&lt;&gt;0,Main_S[[#This Row],[Current Price]]/Main_S[[#This Row],[Free CF]],""),"")</f>
        <v>2.363931762794476</v>
      </c>
      <c r="I27" s="1">
        <f>IF(ISNUMBER(Main_S[[#This Row],[BVPS]]),IF(Main_S[[#This Row],[BVPS]]&lt;&gt;0,Main_S[[#This Row],[Current Price]]/Main_S[[#This Row],[BVPS]],""),"")</f>
        <v>0.9805683477479501</v>
      </c>
      <c r="J27">
        <v>6.36</v>
      </c>
      <c r="K27">
        <v>3.91</v>
      </c>
      <c r="L27">
        <v>2</v>
      </c>
      <c r="M27" s="1">
        <f>IF(ISNUMBER(Main_S[[#This Row],[EPS]]),IF(Main_S[[#This Row],[EPS]]&lt;&gt;0,Main_S[[#This Row],[Current Price]]/Main_S[[#This Row],[EPS]],""),"")</f>
        <v>16.01834862385321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-0.24031247536989966</v>
      </c>
      <c r="P27" s="1">
        <f>(Main_S[[#This Row],[P/B]]-VLOOKUP(Main_S[[#This Row],[Industry]], Mean_PB_S, 2, FALSE))/(VLOOKUP(Main_S[[#This Row],[Industry]], Mean_PB_S, 3, FALSE))</f>
        <v>-0.76535504972584334</v>
      </c>
      <c r="Q27" s="1">
        <f>(Main_S[[#This Row],[ROE]]-VLOOKUP(Main_S[[#This Row],[Industry]], Mean_ROE_S, 2, FALSE))/(VLOOKUP(Main_S[[#This Row],[Industry]], Mean_ROE_S, 3, FALSE))</f>
        <v>-0.13052255171472019</v>
      </c>
      <c r="R27" s="1">
        <f>(Main_S[[#This Row],[ROA]]-VLOOKUP(Main_S[[#This Row],[Industry]], Mean_ROA_S, 2, FALSE))/(VLOOKUP(Main_S[[#This Row],[Industry]], Mean_ROA_S, 3, FALSE))</f>
        <v>0.13963117105230122</v>
      </c>
      <c r="S27" s="1">
        <f>(Main_S[[#This Row],[A/E]]-VLOOKUP(Main_S[[#This Row],[Industry]], Mean_AE_S, 2, FALSE))/(VLOOKUP(Main_S[[#This Row],[Industry]], Mean_AE_S, 3, FALSE))</f>
        <v>-0.54284144189616013</v>
      </c>
      <c r="T27" s="1">
        <f>(Main_S[[#This Row],[P/E]]-VLOOKUP(Main_S[[#This Row],[Industry]], Mean_PE_S, 2, FALSE))/(VLOOKUP(Main_S[[#This Row],[Industry]], Mean_PE_S, 3, FALSE))</f>
        <v>-0.26160592742578742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t="s">
        <v>107</v>
      </c>
      <c r="B28" t="s">
        <v>226</v>
      </c>
      <c r="C28" s="2">
        <v>531</v>
      </c>
      <c r="D28">
        <f>RTD("tos.rtd", , "LAST", Main_S[[#This Row],[Symbol]])</f>
        <v>6.31</v>
      </c>
      <c r="E28">
        <v>0.15</v>
      </c>
      <c r="F28">
        <v>1.27</v>
      </c>
      <c r="G28">
        <v>-0.1</v>
      </c>
      <c r="H28" s="1">
        <f>IF(ISNUMBER(Main_S[[#This Row],[Free CF]]),IF(Main_S[[#This Row],[Free CF]]&lt;&gt;0,Main_S[[#This Row],[Current Price]]/Main_S[[#This Row],[Free CF]],""),"")</f>
        <v>42.066666666666663</v>
      </c>
      <c r="I28" s="1">
        <f>IF(ISNUMBER(Main_S[[#This Row],[BVPS]]),IF(Main_S[[#This Row],[BVPS]]&lt;&gt;0,Main_S[[#This Row],[Current Price]]/Main_S[[#This Row],[BVPS]],""),"")</f>
        <v>4.9685039370078741</v>
      </c>
      <c r="J28">
        <v>-6.86</v>
      </c>
      <c r="K28">
        <v>3.82</v>
      </c>
      <c r="L28">
        <v>4.5</v>
      </c>
      <c r="M28" s="1">
        <f>IF(ISNUMBER(Main_S[[#This Row],[EPS]]),IF(Main_S[[#This Row],[EPS]]&lt;&gt;0,Main_S[[#This Row],[Current Price]]/Main_S[[#This Row],[EPS]],""),"")</f>
        <v>-63.099999999999994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1.2718537554698444</v>
      </c>
      <c r="P28" s="1">
        <f>(Main_S[[#This Row],[P/B]]-VLOOKUP(Main_S[[#This Row],[Industry]], Mean_PB_S, 2, FALSE))/(VLOOKUP(Main_S[[#This Row],[Industry]], Mean_PB_S, 3, FALSE))</f>
        <v>0.84889798484580226</v>
      </c>
      <c r="Q28" s="1">
        <f>(Main_S[[#This Row],[ROE]]-VLOOKUP(Main_S[[#This Row],[Industry]], Mean_ROE_S, 2, FALSE))/(VLOOKUP(Main_S[[#This Row],[Industry]], Mean_ROE_S, 3, FALSE))</f>
        <v>-1.5168003528662433</v>
      </c>
      <c r="R28" s="1">
        <f>(Main_S[[#This Row],[ROA]]-VLOOKUP(Main_S[[#This Row],[Industry]], Mean_ROA_S, 2, FALSE))/(VLOOKUP(Main_S[[#This Row],[Industry]], Mean_ROA_S, 3, FALSE))</f>
        <v>0.10402522243396434</v>
      </c>
      <c r="S28" s="1">
        <f>(Main_S[[#This Row],[A/E]]-VLOOKUP(Main_S[[#This Row],[Industry]], Mean_AE_S, 2, FALSE))/(VLOOKUP(Main_S[[#This Row],[Industry]], Mean_AE_S, 3, FALSE))</f>
        <v>0.86233395265793356</v>
      </c>
      <c r="T28" s="1">
        <f>(Main_S[[#This Row],[P/E]]-VLOOKUP(Main_S[[#This Row],[Industry]], Mean_PE_S, 2, FALSE))/(VLOOKUP(Main_S[[#This Row],[Industry]], Mean_PE_S, 3, FALSE))</f>
        <v>-5.0222628190932666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9" spans="1:26" x14ac:dyDescent="0.25">
      <c r="A29" t="s">
        <v>107</v>
      </c>
      <c r="B29" t="s">
        <v>227</v>
      </c>
      <c r="C29" s="2">
        <v>1078</v>
      </c>
      <c r="D29">
        <f>RTD("tos.rtd", , "LAST", Main_S[[#This Row],[Symbol]])</f>
        <v>23.38</v>
      </c>
      <c r="E29">
        <v>2.42</v>
      </c>
      <c r="F29">
        <v>30.85</v>
      </c>
      <c r="G29">
        <v>0.51</v>
      </c>
      <c r="H29" s="1">
        <f>IF(ISNUMBER(Main_S[[#This Row],[Free CF]]),IF(Main_S[[#This Row],[Free CF]]&lt;&gt;0,Main_S[[#This Row],[Current Price]]/Main_S[[#This Row],[Free CF]],""),"")</f>
        <v>9.661157024793388</v>
      </c>
      <c r="I29" s="1">
        <f>IF(ISNUMBER(Main_S[[#This Row],[BVPS]]),IF(Main_S[[#This Row],[BVPS]]&lt;&gt;0,Main_S[[#This Row],[Current Price]]/Main_S[[#This Row],[BVPS]],""),"")</f>
        <v>0.75786061588330622</v>
      </c>
      <c r="J29">
        <v>1.67</v>
      </c>
      <c r="K29">
        <v>2.4700000000000002</v>
      </c>
      <c r="L29">
        <v>2.57</v>
      </c>
      <c r="M29" s="1">
        <f>IF(ISNUMBER(Main_S[[#This Row],[EPS]]),IF(Main_S[[#This Row],[EPS]]&lt;&gt;0,Main_S[[#This Row],[Current Price]]/Main_S[[#This Row],[EPS]],""),"")</f>
        <v>45.843137254901961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3.7618444168574197E-2</v>
      </c>
      <c r="P29" s="1">
        <f>(Main_S[[#This Row],[P/B]]-VLOOKUP(Main_S[[#This Row],[Industry]], Mean_PB_S, 2, FALSE))/(VLOOKUP(Main_S[[#This Row],[Industry]], Mean_PB_S, 3, FALSE))</f>
        <v>-0.85550360502178946</v>
      </c>
      <c r="Q29" s="1">
        <f>(Main_S[[#This Row],[ROE]]-VLOOKUP(Main_S[[#This Row],[Industry]], Mean_ROE_S, 2, FALSE))/(VLOOKUP(Main_S[[#This Row],[Industry]], Mean_ROE_S, 3, FALSE))</f>
        <v>-0.62232609841673558</v>
      </c>
      <c r="R29" s="1">
        <f>(Main_S[[#This Row],[ROA]]-VLOOKUP(Main_S[[#This Row],[Industry]], Mean_ROA_S, 2, FALSE))/(VLOOKUP(Main_S[[#This Row],[Industry]], Mean_ROA_S, 3, FALSE))</f>
        <v>-0.43006400684108687</v>
      </c>
      <c r="S29" s="1">
        <f>(Main_S[[#This Row],[A/E]]-VLOOKUP(Main_S[[#This Row],[Industry]], Mean_AE_S, 2, FALSE))/(VLOOKUP(Main_S[[#This Row],[Industry]], Mean_AE_S, 3, FALSE))</f>
        <v>-0.2224614519378269</v>
      </c>
      <c r="T29" s="1">
        <f>(Main_S[[#This Row],[P/E]]-VLOOKUP(Main_S[[#This Row],[Industry]], Mean_PE_S, 2, FALSE))/(VLOOKUP(Main_S[[#This Row],[Industry]], Mean_PE_S, 3, FALSE))</f>
        <v>1.5329915080434509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t="s">
        <v>107</v>
      </c>
      <c r="B30" t="s">
        <v>228</v>
      </c>
      <c r="C30" s="2">
        <v>1042</v>
      </c>
      <c r="D30">
        <f>RTD("tos.rtd", , "LAST", Main_S[[#This Row],[Symbol]])</f>
        <v>12.61</v>
      </c>
      <c r="E30">
        <v>-0.16</v>
      </c>
      <c r="F30">
        <v>8.43</v>
      </c>
      <c r="G30">
        <v>0.32</v>
      </c>
      <c r="H30" s="1">
        <f>IF(ISNUMBER(Main_S[[#This Row],[Free CF]]),IF(Main_S[[#This Row],[Free CF]]&lt;&gt;0,Main_S[[#This Row],[Current Price]]/Main_S[[#This Row],[Free CF]],""),"")</f>
        <v>-78.8125</v>
      </c>
      <c r="I30" s="1">
        <f>IF(ISNUMBER(Main_S[[#This Row],[BVPS]]),IF(Main_S[[#This Row],[BVPS]]&lt;&gt;0,Main_S[[#This Row],[Current Price]]/Main_S[[#This Row],[BVPS]],""),"")</f>
        <v>1.4958481613285883</v>
      </c>
      <c r="J30">
        <v>2.46</v>
      </c>
      <c r="K30">
        <v>1.25</v>
      </c>
      <c r="L30">
        <v>3.83</v>
      </c>
      <c r="M30" s="1">
        <f>IF(ISNUMBER(Main_S[[#This Row],[EPS]]),IF(Main_S[[#This Row],[EPS]]&lt;&gt;0,Main_S[[#This Row],[Current Price]]/Main_S[[#This Row],[EPS]],""),"")</f>
        <v>39.40625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-3.3320959293050247</v>
      </c>
      <c r="P30" s="1">
        <f>(Main_S[[#This Row],[P/B]]-VLOOKUP(Main_S[[#This Row],[Industry]], Mean_PB_S, 2, FALSE))/(VLOOKUP(Main_S[[#This Row],[Industry]], Mean_PB_S, 3, FALSE))</f>
        <v>-0.55677795912132333</v>
      </c>
      <c r="Q30" s="1">
        <f>(Main_S[[#This Row],[ROE]]-VLOOKUP(Main_S[[#This Row],[Industry]], Mean_ROE_S, 2, FALSE))/(VLOOKUP(Main_S[[#This Row],[Industry]], Mean_ROE_S, 3, FALSE))</f>
        <v>-0.53948498927076705</v>
      </c>
      <c r="R30" s="1">
        <f>(Main_S[[#This Row],[ROA]]-VLOOKUP(Main_S[[#This Row],[Industry]], Mean_ROA_S, 2, FALSE))/(VLOOKUP(Main_S[[#This Row],[Industry]], Mean_ROA_S, 3, FALSE))</f>
        <v>-0.91272242144520743</v>
      </c>
      <c r="S30" s="1">
        <f>(Main_S[[#This Row],[A/E]]-VLOOKUP(Main_S[[#This Row],[Industry]], Mean_AE_S, 2, FALSE))/(VLOOKUP(Main_S[[#This Row],[Industry]], Mean_AE_S, 3, FALSE))</f>
        <v>0.48574694691743647</v>
      </c>
      <c r="T30" s="1">
        <f>(Main_S[[#This Row],[P/E]]-VLOOKUP(Main_S[[#This Row],[Industry]], Mean_PE_S, 2, FALSE))/(VLOOKUP(Main_S[[#This Row],[Industry]], Mean_PE_S, 3, FALSE))</f>
        <v>1.1456753897985756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t="s">
        <v>107</v>
      </c>
      <c r="B31" t="s">
        <v>229</v>
      </c>
      <c r="C31" s="2">
        <v>1600</v>
      </c>
      <c r="D31">
        <f>RTD("tos.rtd", , "LAST", Main_S[[#This Row],[Symbol]])</f>
        <v>34.159999999999997</v>
      </c>
      <c r="E31">
        <v>0.84</v>
      </c>
      <c r="F31">
        <v>6.11</v>
      </c>
      <c r="G31">
        <v>1.18</v>
      </c>
      <c r="H31" s="1">
        <f>IF(ISNUMBER(Main_S[[#This Row],[Free CF]]),IF(Main_S[[#This Row],[Free CF]]&lt;&gt;0,Main_S[[#This Row],[Current Price]]/Main_S[[#This Row],[Free CF]],""),"")</f>
        <v>40.666666666666664</v>
      </c>
      <c r="I31" s="1">
        <f>IF(ISNUMBER(Main_S[[#This Row],[BVPS]]),IF(Main_S[[#This Row],[BVPS]]&lt;&gt;0,Main_S[[#This Row],[Current Price]]/Main_S[[#This Row],[BVPS]],""),"")</f>
        <v>5.5908346972176748</v>
      </c>
      <c r="J31">
        <v>23.11</v>
      </c>
      <c r="K31">
        <v>12.52</v>
      </c>
      <c r="L31">
        <v>1.33</v>
      </c>
      <c r="M31" s="1">
        <f>IF(ISNUMBER(Main_S[[#This Row],[EPS]]),IF(Main_S[[#This Row],[EPS]]&lt;&gt;0,Main_S[[#This Row],[Current Price]]/Main_S[[#This Row],[EPS]],""),"")</f>
        <v>28.949152542372879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1.2185316675003033</v>
      </c>
      <c r="P31" s="1">
        <f>(Main_S[[#This Row],[P/B]]-VLOOKUP(Main_S[[#This Row],[Industry]], Mean_PB_S, 2, FALSE))/(VLOOKUP(Main_S[[#This Row],[Industry]], Mean_PB_S, 3, FALSE))</f>
        <v>1.100807599655399</v>
      </c>
      <c r="Q31" s="1">
        <f>(Main_S[[#This Row],[ROE]]-VLOOKUP(Main_S[[#This Row],[Industry]], Mean_ROE_S, 2, FALSE))/(VLOOKUP(Main_S[[#This Row],[Industry]], Mean_ROE_S, 3, FALSE))</f>
        <v>1.625918686506763</v>
      </c>
      <c r="R31" s="1">
        <f>(Main_S[[#This Row],[ROA]]-VLOOKUP(Main_S[[#This Row],[Industry]], Mean_ROA_S, 2, FALSE))/(VLOOKUP(Main_S[[#This Row],[Industry]], Mean_ROA_S, 3, FALSE))</f>
        <v>3.5459335888731838</v>
      </c>
      <c r="S31" s="1">
        <f>(Main_S[[#This Row],[A/E]]-VLOOKUP(Main_S[[#This Row],[Industry]], Mean_AE_S, 2, FALSE))/(VLOOKUP(Main_S[[#This Row],[Industry]], Mean_AE_S, 3, FALSE))</f>
        <v>-0.91942844763665721</v>
      </c>
      <c r="T31" s="1">
        <f>(Main_S[[#This Row],[P/E]]-VLOOKUP(Main_S[[#This Row],[Industry]], Mean_PE_S, 2, FALSE))/(VLOOKUP(Main_S[[#This Row],[Industry]], Mean_PE_S, 3, FALSE))</f>
        <v>0.51645784488785995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t="s">
        <v>107</v>
      </c>
      <c r="B32" t="s">
        <v>230</v>
      </c>
      <c r="C32" s="2">
        <v>577</v>
      </c>
      <c r="D32">
        <f>RTD("tos.rtd", , "LAST", Main_S[[#This Row],[Symbol]])</f>
        <v>7.5</v>
      </c>
      <c r="E32">
        <v>-1.93</v>
      </c>
      <c r="F32">
        <v>1.03</v>
      </c>
      <c r="G32">
        <v>-0.89</v>
      </c>
      <c r="H32" s="1">
        <f>IF(ISNUMBER(Main_S[[#This Row],[Free CF]]),IF(Main_S[[#This Row],[Free CF]]&lt;&gt;0,Main_S[[#This Row],[Current Price]]/Main_S[[#This Row],[Free CF]],""),"")</f>
        <v>-3.8860103626943006</v>
      </c>
      <c r="I32" s="1">
        <f>IF(ISNUMBER(Main_S[[#This Row],[BVPS]]),IF(Main_S[[#This Row],[BVPS]]&lt;&gt;0,Main_S[[#This Row],[Current Price]]/Main_S[[#This Row],[BVPS]],""),"")</f>
        <v>7.2815533980582519</v>
      </c>
      <c r="J32">
        <v>-21.15</v>
      </c>
      <c r="K32">
        <v>-1.89</v>
      </c>
      <c r="L32">
        <v>11.3</v>
      </c>
      <c r="M32" s="1">
        <f>IF(ISNUMBER(Main_S[[#This Row],[EPS]]),IF(Main_S[[#This Row],[EPS]]&lt;&gt;0,Main_S[[#This Row],[Current Price]]/Main_S[[#This Row],[EPS]],""),"")</f>
        <v>-8.4269662921348321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-0.47835530666979464</v>
      </c>
      <c r="P32" s="1">
        <f>(Main_S[[#This Row],[P/B]]-VLOOKUP(Main_S[[#This Row],[Industry]], Mean_PB_S, 2, FALSE))/(VLOOKUP(Main_S[[#This Row],[Industry]], Mean_PB_S, 3, FALSE))</f>
        <v>1.7851836965986854</v>
      </c>
      <c r="Q32" s="1">
        <f>(Main_S[[#This Row],[ROE]]-VLOOKUP(Main_S[[#This Row],[Industry]], Mean_ROE_S, 2, FALSE))/(VLOOKUP(Main_S[[#This Row],[Industry]], Mean_ROE_S, 3, FALSE))</f>
        <v>-3.0152806689369891</v>
      </c>
      <c r="R32" s="1">
        <f>(Main_S[[#This Row],[ROA]]-VLOOKUP(Main_S[[#This Row],[Industry]], Mean_ROA_S, 2, FALSE))/(VLOOKUP(Main_S[[#This Row],[Industry]], Mean_ROA_S, 3, FALSE))</f>
        <v>-2.154974406573845</v>
      </c>
      <c r="S32" s="1">
        <f>(Main_S[[#This Row],[A/E]]-VLOOKUP(Main_S[[#This Row],[Industry]], Mean_AE_S, 2, FALSE))/(VLOOKUP(Main_S[[#This Row],[Industry]], Mean_AE_S, 3, FALSE))</f>
        <v>4.6844110258450682</v>
      </c>
      <c r="T32" s="1">
        <f>(Main_S[[#This Row],[P/E]]-VLOOKUP(Main_S[[#This Row],[Industry]], Mean_PE_S, 2, FALSE))/(VLOOKUP(Main_S[[#This Row],[Industry]], Mean_PE_S, 3, FALSE))</f>
        <v>-1.7325132320898085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t="s">
        <v>107</v>
      </c>
      <c r="B33" t="s">
        <v>231</v>
      </c>
      <c r="C33" s="2">
        <v>421</v>
      </c>
      <c r="D33">
        <f>RTD("tos.rtd", , "LAST", Main_S[[#This Row],[Symbol]])</f>
        <v>9.75</v>
      </c>
      <c r="E33">
        <v>-0.09</v>
      </c>
      <c r="F33">
        <v>3.19</v>
      </c>
      <c r="G33">
        <v>0.2</v>
      </c>
      <c r="H33" s="1">
        <f>IF(ISNUMBER(Main_S[[#This Row],[Free CF]]),IF(Main_S[[#This Row],[Free CF]]&lt;&gt;0,Main_S[[#This Row],[Current Price]]/Main_S[[#This Row],[Free CF]],""),"")</f>
        <v>-108.33333333333334</v>
      </c>
      <c r="I33" s="1">
        <f>IF(ISNUMBER(Main_S[[#This Row],[BVPS]]),IF(Main_S[[#This Row],[BVPS]]&lt;&gt;0,Main_S[[#This Row],[Current Price]]/Main_S[[#This Row],[BVPS]],""),"")</f>
        <v>3.0564263322884013</v>
      </c>
      <c r="J33">
        <v>6.95</v>
      </c>
      <c r="K33">
        <v>4.92</v>
      </c>
      <c r="L33">
        <v>1.25</v>
      </c>
      <c r="M33" s="1">
        <f>IF(ISNUMBER(Main_S[[#This Row],[EPS]]),IF(Main_S[[#This Row],[EPS]]&lt;&gt;0,Main_S[[#This Row],[Current Price]]/Main_S[[#This Row],[EPS]],""),"")</f>
        <v>48.75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-4.4564619806865684</v>
      </c>
      <c r="P33" s="1">
        <f>(Main_S[[#This Row],[P/B]]-VLOOKUP(Main_S[[#This Row],[Industry]], Mean_PB_S, 2, FALSE))/(VLOOKUP(Main_S[[#This Row],[Industry]], Mean_PB_S, 3, FALSE))</f>
        <v>7.4919316768142716E-2</v>
      </c>
      <c r="Q33" s="1">
        <f>(Main_S[[#This Row],[ROE]]-VLOOKUP(Main_S[[#This Row],[Industry]], Mean_ROE_S, 2, FALSE))/(VLOOKUP(Main_S[[#This Row],[Industry]], Mean_ROE_S, 3, FALSE))</f>
        <v>-6.8653875263933614E-2</v>
      </c>
      <c r="R33" s="1">
        <f>(Main_S[[#This Row],[ROA]]-VLOOKUP(Main_S[[#This Row],[Industry]], Mean_ROA_S, 2, FALSE))/(VLOOKUP(Main_S[[#This Row],[Industry]], Mean_ROA_S, 3, FALSE))</f>
        <v>0.53920903888030247</v>
      </c>
      <c r="S33" s="1">
        <f>(Main_S[[#This Row],[A/E]]-VLOOKUP(Main_S[[#This Row],[Industry]], Mean_AE_S, 2, FALSE))/(VLOOKUP(Main_S[[#This Row],[Industry]], Mean_AE_S, 3, FALSE))</f>
        <v>-0.96439406026238828</v>
      </c>
      <c r="T33" s="1">
        <f>(Main_S[[#This Row],[P/E]]-VLOOKUP(Main_S[[#This Row],[Industry]], Mean_PE_S, 2, FALSE))/(VLOOKUP(Main_S[[#This Row],[Industry]], Mean_PE_S, 3, FALSE))</f>
        <v>1.7079013286006794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t="s">
        <v>109</v>
      </c>
      <c r="B34" t="s">
        <v>234</v>
      </c>
      <c r="C34" s="2">
        <v>1979</v>
      </c>
      <c r="D34">
        <f>RTD("tos.rtd", , "LAST", Main_S[[#This Row],[Symbol]])</f>
        <v>32.1</v>
      </c>
      <c r="E34">
        <v>5.45</v>
      </c>
      <c r="F34">
        <v>23.21</v>
      </c>
      <c r="G34">
        <v>1.82</v>
      </c>
      <c r="H34" s="1">
        <f>IF(ISNUMBER(Main_S[[#This Row],[Free CF]]),IF(Main_S[[#This Row],[Free CF]]&lt;&gt;0,Main_S[[#This Row],[Current Price]]/Main_S[[#This Row],[Free CF]],""),"")</f>
        <v>5.8899082568807337</v>
      </c>
      <c r="I34" s="1">
        <f>IF(ISNUMBER(Main_S[[#This Row],[BVPS]]),IF(Main_S[[#This Row],[BVPS]]&lt;&gt;0,Main_S[[#This Row],[Current Price]]/Main_S[[#This Row],[BVPS]],""),"")</f>
        <v>1.3830245583800087</v>
      </c>
      <c r="J34">
        <v>8.27</v>
      </c>
      <c r="K34">
        <v>4.3499999999999996</v>
      </c>
      <c r="L34">
        <v>2.33</v>
      </c>
      <c r="M34" s="1">
        <f>IF(ISNUMBER(Main_S[[#This Row],[EPS]]),IF(Main_S[[#This Row],[EPS]]&lt;&gt;0,Main_S[[#This Row],[Current Price]]/Main_S[[#This Row],[EPS]],""),"")</f>
        <v>17.637362637362639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-0.86705995380384127</v>
      </c>
      <c r="P34" s="1">
        <f>(Main_S[[#This Row],[P/B]]-VLOOKUP(Main_S[[#This Row],[Industry]], Mean_PB_S, 2, FALSE))/(VLOOKUP(Main_S[[#This Row],[Industry]], Mean_PB_S, 3, FALSE))</f>
        <v>-0.40715674094732107</v>
      </c>
      <c r="Q34" s="1">
        <f>(Main_S[[#This Row],[ROE]]-VLOOKUP(Main_S[[#This Row],[Industry]], Mean_ROE_S, 2, FALSE))/(VLOOKUP(Main_S[[#This Row],[Industry]], Mean_ROE_S, 3, FALSE))</f>
        <v>-0.75558308398908591</v>
      </c>
      <c r="R34" s="1">
        <f>(Main_S[[#This Row],[ROA]]-VLOOKUP(Main_S[[#This Row],[Industry]], Mean_ROA_S, 2, FALSE))/(VLOOKUP(Main_S[[#This Row],[Industry]], Mean_ROA_S, 3, FALSE))</f>
        <v>-0.62506376872974878</v>
      </c>
      <c r="S34" s="1">
        <f>(Main_S[[#This Row],[A/E]]-VLOOKUP(Main_S[[#This Row],[Industry]], Mean_AE_S, 2, FALSE))/(VLOOKUP(Main_S[[#This Row],[Industry]], Mean_AE_S, 3, FALSE))</f>
        <v>1.3342210542668396</v>
      </c>
      <c r="T34" s="1">
        <f>(Main_S[[#This Row],[P/E]]-VLOOKUP(Main_S[[#This Row],[Industry]], Mean_PE_S, 2, FALSE))/(VLOOKUP(Main_S[[#This Row],[Industry]], Mean_PE_S, 3, FALSE))</f>
        <v>0.46789445889799297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t="s">
        <v>109</v>
      </c>
      <c r="B35" t="s">
        <v>235</v>
      </c>
      <c r="C35" s="2">
        <v>1582</v>
      </c>
      <c r="D35">
        <f>RTD("tos.rtd", , "LAST", Main_S[[#This Row],[Symbol]])</f>
        <v>22.85</v>
      </c>
      <c r="E35">
        <v>3.08</v>
      </c>
      <c r="F35">
        <v>1.95</v>
      </c>
      <c r="G35">
        <v>0.79</v>
      </c>
      <c r="H35" s="1">
        <f>IF(ISNUMBER(Main_S[[#This Row],[Free CF]]),IF(Main_S[[#This Row],[Free CF]]&lt;&gt;0,Main_S[[#This Row],[Current Price]]/Main_S[[#This Row],[Free CF]],""),"")</f>
        <v>7.4188311688311694</v>
      </c>
      <c r="I35" s="1">
        <f>IF(ISNUMBER(Main_S[[#This Row],[BVPS]]),IF(Main_S[[#This Row],[BVPS]]&lt;&gt;0,Main_S[[#This Row],[Current Price]]/Main_S[[#This Row],[BVPS]],""),"")</f>
        <v>11.717948717948719</v>
      </c>
      <c r="J35">
        <v>37.6</v>
      </c>
      <c r="K35">
        <v>6.65</v>
      </c>
      <c r="L35">
        <v>30.09</v>
      </c>
      <c r="M35" s="1">
        <f>IF(ISNUMBER(Main_S[[#This Row],[EPS]]),IF(Main_S[[#This Row],[EPS]]&lt;&gt;0,Main_S[[#This Row],[Current Price]]/Main_S[[#This Row],[EPS]],""),"")</f>
        <v>28.924050632911392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-0.74154279135938694</v>
      </c>
      <c r="P35" s="1">
        <f>(Main_S[[#This Row],[P/B]]-VLOOKUP(Main_S[[#This Row],[Industry]], Mean_PB_S, 2, FALSE))/(VLOOKUP(Main_S[[#This Row],[Industry]], Mean_PB_S, 3, FALSE))</f>
        <v>11.691625320210616</v>
      </c>
      <c r="Q35" s="1">
        <f>(Main_S[[#This Row],[ROE]]-VLOOKUP(Main_S[[#This Row],[Industry]], Mean_ROE_S, 2, FALSE))/(VLOOKUP(Main_S[[#This Row],[Industry]], Mean_ROE_S, 3, FALSE))</f>
        <v>1.5279049998233702</v>
      </c>
      <c r="R35" s="1">
        <f>(Main_S[[#This Row],[ROA]]-VLOOKUP(Main_S[[#This Row],[Industry]], Mean_ROA_S, 2, FALSE))/(VLOOKUP(Main_S[[#This Row],[Industry]], Mean_ROA_S, 3, FALSE))</f>
        <v>4.9096450767752951E-2</v>
      </c>
      <c r="S35" s="1">
        <f>(Main_S[[#This Row],[A/E]]-VLOOKUP(Main_S[[#This Row],[Industry]], Mean_AE_S, 2, FALSE))/(VLOOKUP(Main_S[[#This Row],[Industry]], Mean_AE_S, 3, FALSE))</f>
        <v>81.851561198717846</v>
      </c>
      <c r="T35" s="1">
        <f>(Main_S[[#This Row],[P/E]]-VLOOKUP(Main_S[[#This Row],[Industry]], Mean_PE_S, 2, FALSE))/(VLOOKUP(Main_S[[#This Row],[Industry]], Mean_PE_S, 3, FALSE))</f>
        <v>8.466058296211056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6" spans="1:26" x14ac:dyDescent="0.25">
      <c r="A36" t="s">
        <v>109</v>
      </c>
      <c r="B36" t="s">
        <v>236</v>
      </c>
      <c r="C36" s="2">
        <v>654</v>
      </c>
      <c r="D36">
        <f>RTD("tos.rtd", , "LAST", Main_S[[#This Row],[Symbol]])</f>
        <v>47</v>
      </c>
      <c r="E36">
        <v>2.93</v>
      </c>
      <c r="F36">
        <v>16.170000000000002</v>
      </c>
      <c r="G36">
        <v>3.13</v>
      </c>
      <c r="H36" s="1">
        <f>IF(ISNUMBER(Main_S[[#This Row],[Free CF]]),IF(Main_S[[#This Row],[Free CF]]&lt;&gt;0,Main_S[[#This Row],[Current Price]]/Main_S[[#This Row],[Free CF]],""),"")</f>
        <v>16.040955631399317</v>
      </c>
      <c r="I36" s="1">
        <f>IF(ISNUMBER(Main_S[[#This Row],[BVPS]]),IF(Main_S[[#This Row],[BVPS]]&lt;&gt;0,Main_S[[#This Row],[Current Price]]/Main_S[[#This Row],[BVPS]],""),"")</f>
        <v>2.9066171923314776</v>
      </c>
      <c r="J36">
        <v>21.12</v>
      </c>
      <c r="K36">
        <v>11.94</v>
      </c>
      <c r="L36">
        <v>1.5</v>
      </c>
      <c r="M36" s="1">
        <f>IF(ISNUMBER(Main_S[[#This Row],[EPS]]),IF(Main_S[[#This Row],[EPS]]&lt;&gt;0,Main_S[[#This Row],[Current Price]]/Main_S[[#This Row],[EPS]],""),"")</f>
        <v>15.015974440894569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-3.3708152787658985E-2</v>
      </c>
      <c r="P36" s="1">
        <f>(Main_S[[#This Row],[P/B]]-VLOOKUP(Main_S[[#This Row],[Industry]], Mean_PB_S, 2, FALSE))/(VLOOKUP(Main_S[[#This Row],[Industry]], Mean_PB_S, 3, FALSE))</f>
        <v>1.3764669164258612</v>
      </c>
      <c r="Q36" s="1">
        <f>(Main_S[[#This Row],[ROE]]-VLOOKUP(Main_S[[#This Row],[Industry]], Mean_ROE_S, 2, FALSE))/(VLOOKUP(Main_S[[#This Row],[Industry]], Mean_ROE_S, 3, FALSE))</f>
        <v>0.24485407513092988</v>
      </c>
      <c r="R36" s="1">
        <f>(Main_S[[#This Row],[ROA]]-VLOOKUP(Main_S[[#This Row],[Industry]], Mean_ROA_S, 2, FALSE))/(VLOOKUP(Main_S[[#This Row],[Industry]], Mean_ROA_S, 3, FALSE))</f>
        <v>1.5996649556120062</v>
      </c>
      <c r="S36" s="1">
        <f>(Main_S[[#This Row],[A/E]]-VLOOKUP(Main_S[[#This Row],[Industry]], Mean_AE_S, 2, FALSE))/(VLOOKUP(Main_S[[#This Row],[Industry]], Mean_AE_S, 3, FALSE))</f>
        <v>-1.0731778045189799</v>
      </c>
      <c r="T36" s="1">
        <f>(Main_S[[#This Row],[P/E]]-VLOOKUP(Main_S[[#This Row],[Industry]], Mean_PE_S, 2, FALSE))/(VLOOKUP(Main_S[[#This Row],[Industry]], Mean_PE_S, 3, FALSE))</f>
        <v>-1.3897180032183445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t="s">
        <v>109</v>
      </c>
      <c r="B37" t="s">
        <v>237</v>
      </c>
      <c r="C37" s="2">
        <v>1628</v>
      </c>
      <c r="D37">
        <f>RTD("tos.rtd", , "LAST", Main_S[[#This Row],[Symbol]])</f>
        <v>67.08</v>
      </c>
      <c r="E37">
        <v>1.84</v>
      </c>
      <c r="F37">
        <v>74.3</v>
      </c>
      <c r="G37">
        <v>3.67</v>
      </c>
      <c r="H37" s="1">
        <f>IF(ISNUMBER(Main_S[[#This Row],[Free CF]]),IF(Main_S[[#This Row],[Free CF]]&lt;&gt;0,Main_S[[#This Row],[Current Price]]/Main_S[[#This Row],[Free CF]],""),"")</f>
        <v>36.45652173913043</v>
      </c>
      <c r="I37" s="1">
        <f>IF(ISNUMBER(Main_S[[#This Row],[BVPS]]),IF(Main_S[[#This Row],[BVPS]]&lt;&gt;0,Main_S[[#This Row],[Current Price]]/Main_S[[#This Row],[BVPS]],""),"")</f>
        <v>0.90282637954239575</v>
      </c>
      <c r="J37">
        <v>4.91</v>
      </c>
      <c r="K37">
        <v>2.99</v>
      </c>
      <c r="L37">
        <v>1.78</v>
      </c>
      <c r="M37" s="1">
        <f>IF(ISNUMBER(Main_S[[#This Row],[EPS]]),IF(Main_S[[#This Row],[EPS]]&lt;&gt;0,Main_S[[#This Row],[Current Price]]/Main_S[[#This Row],[EPS]],""),"")</f>
        <v>18.277929155313352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1.6423108979508878</v>
      </c>
      <c r="P37" s="1">
        <f>(Main_S[[#This Row],[P/B]]-VLOOKUP(Main_S[[#This Row],[Industry]], Mean_PB_S, 2, FALSE))/(VLOOKUP(Main_S[[#This Row],[Industry]], Mean_PB_S, 3, FALSE))</f>
        <v>-0.96931017547854015</v>
      </c>
      <c r="Q37" s="1">
        <f>(Main_S[[#This Row],[ROE]]-VLOOKUP(Main_S[[#This Row],[Industry]], Mean_ROE_S, 2, FALSE))/(VLOOKUP(Main_S[[#This Row],[Industry]], Mean_ROE_S, 3, FALSE))</f>
        <v>-1.0171759909652145</v>
      </c>
      <c r="R37" s="1">
        <f>(Main_S[[#This Row],[ROA]]-VLOOKUP(Main_S[[#This Row],[Industry]], Mean_ROA_S, 2, FALSE))/(VLOOKUP(Main_S[[#This Row],[Industry]], Mean_ROA_S, 3, FALSE))</f>
        <v>-1.0236976376500104</v>
      </c>
      <c r="S37" s="1">
        <f>(Main_S[[#This Row],[A/E]]-VLOOKUP(Main_S[[#This Row],[Industry]], Mean_AE_S, 2, FALSE))/(VLOOKUP(Main_S[[#This Row],[Industry]], Mean_AE_S, 3, FALSE))</f>
        <v>-0.26104324974786014</v>
      </c>
      <c r="T37" s="1">
        <f>(Main_S[[#This Row],[P/E]]-VLOOKUP(Main_S[[#This Row],[Industry]], Mean_PE_S, 2, FALSE))/(VLOOKUP(Main_S[[#This Row],[Industry]], Mean_PE_S, 3, FALSE))</f>
        <v>0.92182354432035019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t="s">
        <v>110</v>
      </c>
      <c r="B38" t="s">
        <v>238</v>
      </c>
      <c r="C38" s="2">
        <v>1303</v>
      </c>
      <c r="D38">
        <f>RTD("tos.rtd", , "LAST", Main_S[[#This Row],[Symbol]])</f>
        <v>28.44</v>
      </c>
      <c r="E38">
        <v>2.46</v>
      </c>
      <c r="F38">
        <v>31</v>
      </c>
      <c r="G38">
        <v>1.86</v>
      </c>
      <c r="H38" s="1">
        <f>IF(ISNUMBER(Main_S[[#This Row],[Free CF]]),IF(Main_S[[#This Row],[Free CF]]&lt;&gt;0,Main_S[[#This Row],[Current Price]]/Main_S[[#This Row],[Free CF]],""),"")</f>
        <v>11.560975609756099</v>
      </c>
      <c r="I38" s="1">
        <f>IF(ISNUMBER(Main_S[[#This Row],[BVPS]]),IF(Main_S[[#This Row],[BVPS]]&lt;&gt;0,Main_S[[#This Row],[Current Price]]/Main_S[[#This Row],[BVPS]],""),"")</f>
        <v>0.91741935483870973</v>
      </c>
      <c r="J38">
        <v>6.02</v>
      </c>
      <c r="K38">
        <v>4.13</v>
      </c>
      <c r="L38">
        <v>2.4700000000000002</v>
      </c>
      <c r="M38" s="1">
        <f>IF(ISNUMBER(Main_S[[#This Row],[EPS]]),IF(Main_S[[#This Row],[EPS]]&lt;&gt;0,Main_S[[#This Row],[Current Price]]/Main_S[[#This Row],[EPS]],""),"")</f>
        <v>15.290322580645162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1.0052382768479839</v>
      </c>
      <c r="P38" s="1">
        <f>(Main_S[[#This Row],[P/B]]-VLOOKUP(Main_S[[#This Row],[Industry]], Mean_PB_S, 2, FALSE))/(VLOOKUP(Main_S[[#This Row],[Industry]], Mean_PB_S, 3, FALSE))</f>
        <v>0.29795783112402824</v>
      </c>
      <c r="Q38" s="1">
        <f>(Main_S[[#This Row],[ROE]]-VLOOKUP(Main_S[[#This Row],[Industry]], Mean_ROE_S, 2, FALSE))/(VLOOKUP(Main_S[[#This Row],[Industry]], Mean_ROE_S, 3, FALSE))</f>
        <v>1.1038983515602059</v>
      </c>
      <c r="R38" s="1">
        <f>(Main_S[[#This Row],[ROA]]-VLOOKUP(Main_S[[#This Row],[Industry]], Mean_ROA_S, 2, FALSE))/(VLOOKUP(Main_S[[#This Row],[Industry]], Mean_ROA_S, 3, FALSE))</f>
        <v>0.39333374466236326</v>
      </c>
      <c r="S38" s="1">
        <f>(Main_S[[#This Row],[A/E]]-VLOOKUP(Main_S[[#This Row],[Industry]], Mean_AE_S, 2, FALSE))/(VLOOKUP(Main_S[[#This Row],[Industry]], Mean_AE_S, 3, FALSE))</f>
        <v>1.6128998865652018</v>
      </c>
      <c r="T38" s="1">
        <f>(Main_S[[#This Row],[P/E]]-VLOOKUP(Main_S[[#This Row],[Industry]], Mean_PE_S, 2, FALSE))/(VLOOKUP(Main_S[[#This Row],[Industry]], Mean_PE_S, 3, FALSE))</f>
        <v>0.49124873930865698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t="s">
        <v>110</v>
      </c>
      <c r="B39" t="s">
        <v>239</v>
      </c>
      <c r="C39" s="2">
        <v>692</v>
      </c>
      <c r="D39">
        <f>RTD("tos.rtd", , "LAST", Main_S[[#This Row],[Symbol]])</f>
        <v>6.81</v>
      </c>
      <c r="E39">
        <v>1.63</v>
      </c>
      <c r="F39">
        <v>-7.24</v>
      </c>
      <c r="G39">
        <v>2.74</v>
      </c>
      <c r="H39" s="1">
        <f>IF(ISNUMBER(Main_S[[#This Row],[Free CF]]),IF(Main_S[[#This Row],[Free CF]]&lt;&gt;0,Main_S[[#This Row],[Current Price]]/Main_S[[#This Row],[Free CF]],""),"")</f>
        <v>4.1779141104294482</v>
      </c>
      <c r="I39" s="1">
        <f>IF(ISNUMBER(Main_S[[#This Row],[BVPS]]),IF(Main_S[[#This Row],[BVPS]]&lt;&gt;0,Main_S[[#This Row],[Current Price]]/Main_S[[#This Row],[BVPS]],""),"")</f>
        <v>-0.94060773480662974</v>
      </c>
      <c r="J39">
        <v>-31.64</v>
      </c>
      <c r="K39">
        <v>12.17</v>
      </c>
      <c r="L39">
        <v>-3.65</v>
      </c>
      <c r="M39" s="1">
        <f>IF(ISNUMBER(Main_S[[#This Row],[EPS]]),IF(Main_S[[#This Row],[EPS]]&lt;&gt;0,Main_S[[#This Row],[Current Price]]/Main_S[[#This Row],[EPS]],""),"")</f>
        <v>2.4854014598540144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0.49064929923669975</v>
      </c>
      <c r="P39" s="1">
        <f>(Main_S[[#This Row],[P/B]]-VLOOKUP(Main_S[[#This Row],[Industry]], Mean_PB_S, 2, FALSE))/(VLOOKUP(Main_S[[#This Row],[Industry]], Mean_PB_S, 3, FALSE))</f>
        <v>-7.9307363979250161</v>
      </c>
      <c r="Q39" s="1">
        <f>(Main_S[[#This Row],[ROE]]-VLOOKUP(Main_S[[#This Row],[Industry]], Mean_ROE_S, 2, FALSE))/(VLOOKUP(Main_S[[#This Row],[Industry]], Mean_ROE_S, 3, FALSE))</f>
        <v>-1.7858617957858611</v>
      </c>
      <c r="R39" s="1">
        <f>(Main_S[[#This Row],[ROA]]-VLOOKUP(Main_S[[#This Row],[Industry]], Mean_ROA_S, 2, FALSE))/(VLOOKUP(Main_S[[#This Row],[Industry]], Mean_ROA_S, 3, FALSE))</f>
        <v>1.9100739399071598</v>
      </c>
      <c r="S39" s="1">
        <f>(Main_S[[#This Row],[A/E]]-VLOOKUP(Main_S[[#This Row],[Industry]], Mean_AE_S, 2, FALSE))/(VLOOKUP(Main_S[[#This Row],[Industry]], Mean_AE_S, 3, FALSE))</f>
        <v>-12.346015495344542</v>
      </c>
      <c r="T39" s="1">
        <f>(Main_S[[#This Row],[P/E]]-VLOOKUP(Main_S[[#This Row],[Industry]], Mean_PE_S, 2, FALSE))/(VLOOKUP(Main_S[[#This Row],[Industry]], Mean_PE_S, 3, FALSE))</f>
        <v>-0.32658907875966137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t="s">
        <v>110</v>
      </c>
      <c r="B40" t="s">
        <v>240</v>
      </c>
      <c r="C40" s="2">
        <v>529</v>
      </c>
      <c r="D40">
        <f>RTD("tos.rtd", , "LAST", Main_S[[#This Row],[Symbol]])</f>
        <v>5.13</v>
      </c>
      <c r="E40">
        <v>0.01</v>
      </c>
      <c r="F40">
        <v>1.6</v>
      </c>
      <c r="G40">
        <v>-0.06</v>
      </c>
      <c r="H40" s="1">
        <f>IF(ISNUMBER(Main_S[[#This Row],[Free CF]]),IF(Main_S[[#This Row],[Free CF]]&lt;&gt;0,Main_S[[#This Row],[Current Price]]/Main_S[[#This Row],[Free CF]],""),"")</f>
        <v>513</v>
      </c>
      <c r="I40" s="1">
        <f>IF(ISNUMBER(Main_S[[#This Row],[BVPS]]),IF(Main_S[[#This Row],[BVPS]]&lt;&gt;0,Main_S[[#This Row],[Current Price]]/Main_S[[#This Row],[BVPS]],""),"")</f>
        <v>3.2062499999999998</v>
      </c>
      <c r="J40">
        <v>-4.12</v>
      </c>
      <c r="K40">
        <v>-1.76</v>
      </c>
      <c r="L40">
        <v>1.42</v>
      </c>
      <c r="M40" s="1">
        <f>IF(ISNUMBER(Main_S[[#This Row],[EPS]]),IF(Main_S[[#This Row],[EPS]]&lt;&gt;0,Main_S[[#This Row],[Current Price]]/Main_S[[#This Row],[EPS]],""),"")</f>
        <v>-85.5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35.954831331017807</v>
      </c>
      <c r="P40" s="1">
        <f>(Main_S[[#This Row],[P/B]]-VLOOKUP(Main_S[[#This Row],[Industry]], Mean_PB_S, 2, FALSE))/(VLOOKUP(Main_S[[#This Row],[Industry]], Mean_PB_S, 3, FALSE))</f>
        <v>10.434563280027554</v>
      </c>
      <c r="Q40" s="1">
        <f>(Main_S[[#This Row],[ROE]]-VLOOKUP(Main_S[[#This Row],[Industry]], Mean_ROE_S, 2, FALSE))/(VLOOKUP(Main_S[[#This Row],[Industry]], Mean_ROE_S, 3, FALSE))</f>
        <v>0.32582697890781293</v>
      </c>
      <c r="R40" s="1">
        <f>(Main_S[[#This Row],[ROA]]-VLOOKUP(Main_S[[#This Row],[Industry]], Mean_ROA_S, 2, FALSE))/(VLOOKUP(Main_S[[#This Row],[Industry]], Mean_ROA_S, 3, FALSE))</f>
        <v>-0.71781050284906101</v>
      </c>
      <c r="S40" s="1">
        <f>(Main_S[[#This Row],[A/E]]-VLOOKUP(Main_S[[#This Row],[Industry]], Mean_AE_S, 2, FALSE))/(VLOOKUP(Main_S[[#This Row],[Industry]], Mean_AE_S, 3, FALSE))</f>
        <v>-0.78201206621343133</v>
      </c>
      <c r="T40" s="1">
        <f>(Main_S[[#This Row],[P/E]]-VLOOKUP(Main_S[[#This Row],[Industry]], Mean_PE_S, 2, FALSE))/(VLOOKUP(Main_S[[#This Row],[Industry]], Mean_PE_S, 3, FALSE))</f>
        <v>-5.9461308215787803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1" spans="1:26" x14ac:dyDescent="0.25">
      <c r="A41" t="s">
        <v>110</v>
      </c>
      <c r="B41" t="s">
        <v>241</v>
      </c>
      <c r="C41" s="2">
        <v>946</v>
      </c>
      <c r="D41">
        <f>RTD("tos.rtd", , "LAST", Main_S[[#This Row],[Symbol]])</f>
        <v>24.69</v>
      </c>
      <c r="H41" s="1" t="str">
        <f>IF(ISNUMBER(Main_S[[#This Row],[Free CF]]),IF(Main_S[[#This Row],[Free CF]]&lt;&gt;0,Main_S[[#This Row],[Current Price]]/Main_S[[#This Row],[Free CF]],""),"")</f>
        <v/>
      </c>
      <c r="I41" s="1" t="str">
        <f>IF(ISNUMBER(Main_S[[#This Row],[BVPS]]),IF(Main_S[[#This Row],[BVPS]]&lt;&gt;0,Main_S[[#This Row],[Current Price]]/Main_S[[#This Row],[BVPS]],""),"")</f>
        <v/>
      </c>
      <c r="M41" s="1" t="str">
        <f>IF(ISNUMBER(Main_S[[#This Row],[EPS]]),IF(Main_S[[#This Row],[EPS]]&lt;&gt;0,Main_S[[#This Row],[Current Price]]/Main_S[[#This Row],[EPS]],""),"")</f>
        <v/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 t="e">
        <f>(Main_S[[#This Row],[P/FCF]]-VLOOKUP(Main_S[[#This Row],[Industry]], Mean_PFCF_S, 2, FALSE))/(VLOOKUP(Main_S[[#This Row],[Industry]], Mean_PFCF_S, 3, FALSE))</f>
        <v>#VALUE!</v>
      </c>
      <c r="P41" s="1" t="e">
        <f>(Main_S[[#This Row],[P/B]]-VLOOKUP(Main_S[[#This Row],[Industry]], Mean_PB_S, 2, FALSE))/(VLOOKUP(Main_S[[#This Row],[Industry]], Mean_PB_S, 3, FALSE))</f>
        <v>#VALUE!</v>
      </c>
      <c r="Q41" s="1">
        <f>(Main_S[[#This Row],[ROE]]-VLOOKUP(Main_S[[#This Row],[Industry]], Mean_ROE_S, 2, FALSE))/(VLOOKUP(Main_S[[#This Row],[Industry]], Mean_ROE_S, 3, FALSE))</f>
        <v>0.64196643209596471</v>
      </c>
      <c r="R41" s="1">
        <f>(Main_S[[#This Row],[ROA]]-VLOOKUP(Main_S[[#This Row],[Industry]], Mean_ROA_S, 2, FALSE))/(VLOOKUP(Main_S[[#This Row],[Industry]], Mean_ROA_S, 3, FALSE))</f>
        <v>-0.38578777354174237</v>
      </c>
      <c r="S41" s="1">
        <f>(Main_S[[#This Row],[A/E]]-VLOOKUP(Main_S[[#This Row],[Industry]], Mean_AE_S, 2, FALSE))/(VLOOKUP(Main_S[[#This Row],[Industry]], Mean_AE_S, 3, FALSE))</f>
        <v>-4.020845373780725</v>
      </c>
      <c r="T41" s="1" t="e">
        <f>(Main_S[[#This Row],[P/E]]-VLOOKUP(Main_S[[#This Row],[Industry]], Mean_PE_S, 2, FALSE))/(VLOOKUP(Main_S[[#This Row],[Industry]], Mean_PE_S, 3, FALSE))</f>
        <v>#VALUE!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2" spans="1:26" x14ac:dyDescent="0.25">
      <c r="A42" t="s">
        <v>110</v>
      </c>
      <c r="B42" t="s">
        <v>242</v>
      </c>
      <c r="C42" s="2">
        <v>284</v>
      </c>
      <c r="D42">
        <f>RTD("tos.rtd", , "LAST", Main_S[[#This Row],[Symbol]])</f>
        <v>7.43</v>
      </c>
      <c r="E42">
        <v>1.41</v>
      </c>
      <c r="F42">
        <v>13.08</v>
      </c>
      <c r="G42">
        <v>-2.95</v>
      </c>
      <c r="H42" s="1">
        <f>IF(ISNUMBER(Main_S[[#This Row],[Free CF]]),IF(Main_S[[#This Row],[Free CF]]&lt;&gt;0,Main_S[[#This Row],[Current Price]]/Main_S[[#This Row],[Free CF]],""),"")</f>
        <v>5.2695035460992905</v>
      </c>
      <c r="I42" s="1">
        <f>IF(ISNUMBER(Main_S[[#This Row],[BVPS]]),IF(Main_S[[#This Row],[BVPS]]&lt;&gt;0,Main_S[[#This Row],[Current Price]]/Main_S[[#This Row],[BVPS]],""),"")</f>
        <v>0.56804281345565744</v>
      </c>
      <c r="J42">
        <v>-19.899999999999999</v>
      </c>
      <c r="K42">
        <v>3.42</v>
      </c>
      <c r="L42">
        <v>2.25</v>
      </c>
      <c r="M42" s="1">
        <f>IF(ISNUMBER(Main_S[[#This Row],[EPS]]),IF(Main_S[[#This Row],[EPS]]&lt;&gt;0,Main_S[[#This Row],[Current Price]]/Main_S[[#This Row],[EPS]],""),"")</f>
        <v>-2.5186440677966098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0.56673154394289005</v>
      </c>
      <c r="P42" s="1">
        <f>(Main_S[[#This Row],[P/B]]-VLOOKUP(Main_S[[#This Row],[Industry]], Mean_PB_S, 2, FALSE))/(VLOOKUP(Main_S[[#This Row],[Industry]], Mean_PB_S, 3, FALSE))</f>
        <v>-1.2493353950434121</v>
      </c>
      <c r="Q42" s="1">
        <f>(Main_S[[#This Row],[ROE]]-VLOOKUP(Main_S[[#This Row],[Industry]], Mean_ROE_S, 2, FALSE))/(VLOOKUP(Main_S[[#This Row],[Industry]], Mean_ROE_S, 3, FALSE))</f>
        <v>-0.88501781995360329</v>
      </c>
      <c r="R42" s="1">
        <f>(Main_S[[#This Row],[ROA]]-VLOOKUP(Main_S[[#This Row],[Industry]], Mean_ROA_S, 2, FALSE))/(VLOOKUP(Main_S[[#This Row],[Industry]], Mean_ROA_S, 3, FALSE))</f>
        <v>0.2593927572713427</v>
      </c>
      <c r="S42" s="1">
        <f>(Main_S[[#This Row],[A/E]]-VLOOKUP(Main_S[[#This Row],[Industry]], Mean_AE_S, 2, FALSE))/(VLOOKUP(Main_S[[#This Row],[Industry]], Mean_AE_S, 3, FALSE))</f>
        <v>1.1111088107449165</v>
      </c>
      <c r="T42" s="1">
        <f>(Main_S[[#This Row],[P/E]]-VLOOKUP(Main_S[[#This Row],[Industry]], Mean_PE_S, 2, FALSE))/(VLOOKUP(Main_S[[#This Row],[Industry]], Mean_PE_S, 3, FALSE))</f>
        <v>-0.64619258410288349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t="s">
        <v>110</v>
      </c>
      <c r="B43" t="s">
        <v>243</v>
      </c>
      <c r="C43" s="2">
        <v>885</v>
      </c>
      <c r="D43">
        <f>RTD("tos.rtd", , "LAST", Main_S[[#This Row],[Symbol]])</f>
        <v>1.28</v>
      </c>
      <c r="E43">
        <v>0.21</v>
      </c>
      <c r="F43">
        <v>1.32</v>
      </c>
      <c r="G43">
        <v>0.03</v>
      </c>
      <c r="H43" s="1">
        <f>IF(ISNUMBER(Main_S[[#This Row],[Free CF]]),IF(Main_S[[#This Row],[Free CF]]&lt;&gt;0,Main_S[[#This Row],[Current Price]]/Main_S[[#This Row],[Free CF]],""),"")</f>
        <v>6.0952380952380958</v>
      </c>
      <c r="I43" s="1">
        <f>IF(ISNUMBER(Main_S[[#This Row],[BVPS]]),IF(Main_S[[#This Row],[BVPS]]&lt;&gt;0,Main_S[[#This Row],[Current Price]]/Main_S[[#This Row],[BVPS]],""),"")</f>
        <v>0.96969696969696972</v>
      </c>
      <c r="J43">
        <v>2.27</v>
      </c>
      <c r="K43">
        <v>2.38</v>
      </c>
      <c r="L43">
        <v>2.02</v>
      </c>
      <c r="M43" s="1">
        <f>IF(ISNUMBER(Main_S[[#This Row],[EPS]]),IF(Main_S[[#This Row],[EPS]]&lt;&gt;0,Main_S[[#This Row],[Current Price]]/Main_S[[#This Row],[EPS]],""),"")</f>
        <v>42.666666666666671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0.62428407786914897</v>
      </c>
      <c r="P43" s="1">
        <f>(Main_S[[#This Row],[P/B]]-VLOOKUP(Main_S[[#This Row],[Industry]], Mean_PB_S, 2, FALSE))/(VLOOKUP(Main_S[[#This Row],[Industry]], Mean_PB_S, 3, FALSE))</f>
        <v>0.52948110120440406</v>
      </c>
      <c r="Q43" s="1">
        <f>(Main_S[[#This Row],[ROE]]-VLOOKUP(Main_S[[#This Row],[Industry]], Mean_ROE_S, 2, FALSE))/(VLOOKUP(Main_S[[#This Row],[Industry]], Mean_ROE_S, 3, FALSE))</f>
        <v>0.81615006285739788</v>
      </c>
      <c r="R43" s="1">
        <f>(Main_S[[#This Row],[ROA]]-VLOOKUP(Main_S[[#This Row],[Industry]], Mean_ROA_S, 2, FALSE))/(VLOOKUP(Main_S[[#This Row],[Industry]], Mean_ROA_S, 3, FALSE))</f>
        <v>6.3197508135199851E-2</v>
      </c>
      <c r="S43" s="1">
        <f>(Main_S[[#This Row],[A/E]]-VLOOKUP(Main_S[[#This Row],[Industry]], Mean_AE_S, 2, FALSE))/(VLOOKUP(Main_S[[#This Row],[Industry]], Mean_AE_S, 3, FALSE))</f>
        <v>0.58650904966007322</v>
      </c>
      <c r="T43" s="1">
        <f>(Main_S[[#This Row],[P/E]]-VLOOKUP(Main_S[[#This Row],[Industry]], Mean_PE_S, 2, FALSE))/(VLOOKUP(Main_S[[#This Row],[Industry]], Mean_PE_S, 3, FALSE))</f>
        <v>2.2397491246523833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t="s">
        <v>110</v>
      </c>
      <c r="B44" t="s">
        <v>244</v>
      </c>
      <c r="C44" s="2">
        <v>428</v>
      </c>
      <c r="D44">
        <f>RTD("tos.rtd", , "LAST", Main_S[[#This Row],[Symbol]])</f>
        <v>10.01</v>
      </c>
      <c r="E44">
        <v>-0.46</v>
      </c>
      <c r="F44">
        <v>3.6</v>
      </c>
      <c r="G44">
        <v>-22.34</v>
      </c>
      <c r="H44" s="1">
        <f>IF(ISNUMBER(Main_S[[#This Row],[Free CF]]),IF(Main_S[[#This Row],[Free CF]]&lt;&gt;0,Main_S[[#This Row],[Current Price]]/Main_S[[#This Row],[Free CF]],""),"")</f>
        <v>-21.760869565217391</v>
      </c>
      <c r="I44" s="1">
        <f>IF(ISNUMBER(Main_S[[#This Row],[BVPS]]),IF(Main_S[[#This Row],[BVPS]]&lt;&gt;0,Main_S[[#This Row],[Current Price]]/Main_S[[#This Row],[BVPS]],""),"")</f>
        <v>2.7805555555555554</v>
      </c>
      <c r="J44">
        <v>-159.49</v>
      </c>
      <c r="K44">
        <v>-31.23</v>
      </c>
      <c r="L44">
        <v>4.66</v>
      </c>
      <c r="M44" s="1">
        <f>IF(ISNUMBER(Main_S[[#This Row],[EPS]]),IF(Main_S[[#This Row],[EPS]]&lt;&gt;0,Main_S[[#This Row],[Current Price]]/Main_S[[#This Row],[EPS]],""),"")</f>
        <v>-0.44807520143240825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-1.31724735357443</v>
      </c>
      <c r="P44" s="1">
        <f>(Main_S[[#This Row],[P/B]]-VLOOKUP(Main_S[[#This Row],[Industry]], Mean_PB_S, 2, FALSE))/(VLOOKUP(Main_S[[#This Row],[Industry]], Mean_PB_S, 3, FALSE))</f>
        <v>8.5492789169201924</v>
      </c>
      <c r="Q44" s="1">
        <f>(Main_S[[#This Row],[ROE]]-VLOOKUP(Main_S[[#This Row],[Industry]], Mean_ROE_S, 2, FALSE))/(VLOOKUP(Main_S[[#This Row],[Industry]], Mean_ROE_S, 3, FALSE))</f>
        <v>-11.596160118626932</v>
      </c>
      <c r="R44" s="1">
        <f>(Main_S[[#This Row],[ROA]]-VLOOKUP(Main_S[[#This Row],[Industry]], Mean_ROA_S, 2, FALSE))/(VLOOKUP(Main_S[[#This Row],[Industry]], Mean_ROA_S, 3, FALSE))</f>
        <v>-6.2773047259664922</v>
      </c>
      <c r="S44" s="1">
        <f>(Main_S[[#This Row],[A/E]]-VLOOKUP(Main_S[[#This Row],[Industry]], Mean_AE_S, 2, FALSE))/(VLOOKUP(Main_S[[#This Row],[Industry]], Mean_AE_S, 3, FALSE))</f>
        <v>6.6080019595034925</v>
      </c>
      <c r="T44" s="1">
        <f>(Main_S[[#This Row],[P/E]]-VLOOKUP(Main_S[[#This Row],[Industry]], Mean_PE_S, 2, FALSE))/(VLOOKUP(Main_S[[#This Row],[Industry]], Mean_PE_S, 3, FALSE))</f>
        <v>-0.51394737088732068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t="s">
        <v>110</v>
      </c>
      <c r="B45" t="s">
        <v>245</v>
      </c>
      <c r="C45" s="2">
        <v>535</v>
      </c>
      <c r="D45">
        <f>RTD("tos.rtd", , "LAST", Main_S[[#This Row],[Symbol]])</f>
        <v>29.74</v>
      </c>
      <c r="E45">
        <v>2.67</v>
      </c>
      <c r="F45">
        <v>27.81</v>
      </c>
      <c r="G45">
        <v>1.82</v>
      </c>
      <c r="H45" s="1">
        <f>IF(ISNUMBER(Main_S[[#This Row],[Free CF]]),IF(Main_S[[#This Row],[Free CF]]&lt;&gt;0,Main_S[[#This Row],[Current Price]]/Main_S[[#This Row],[Free CF]],""),"")</f>
        <v>11.138576779026216</v>
      </c>
      <c r="I45" s="1">
        <f>IF(ISNUMBER(Main_S[[#This Row],[BVPS]]),IF(Main_S[[#This Row],[BVPS]]&lt;&gt;0,Main_S[[#This Row],[Current Price]]/Main_S[[#This Row],[BVPS]],""),"")</f>
        <v>1.0693994965839626</v>
      </c>
      <c r="J45">
        <v>6.42</v>
      </c>
      <c r="K45">
        <v>5.21</v>
      </c>
      <c r="L45">
        <v>1.41</v>
      </c>
      <c r="M45" s="1">
        <f>IF(ISNUMBER(Main_S[[#This Row],[EPS]]),IF(Main_S[[#This Row],[EPS]]&lt;&gt;0,Main_S[[#This Row],[Current Price]]/Main_S[[#This Row],[EPS]],""),"")</f>
        <v>16.340659340659339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0.97579767385838179</v>
      </c>
      <c r="P45" s="1">
        <f>(Main_S[[#This Row],[P/B]]-VLOOKUP(Main_S[[#This Row],[Industry]], Mean_PB_S, 2, FALSE))/(VLOOKUP(Main_S[[#This Row],[Industry]], Mean_PB_S, 3, FALSE))</f>
        <v>0.97103634665198668</v>
      </c>
      <c r="Q45" s="1">
        <f>(Main_S[[#This Row],[ROE]]-VLOOKUP(Main_S[[#This Row],[Industry]], Mean_ROE_S, 2, FALSE))/(VLOOKUP(Main_S[[#This Row],[Industry]], Mean_ROE_S, 3, FALSE))</f>
        <v>1.134591502355172</v>
      </c>
      <c r="R45" s="1">
        <f>(Main_S[[#This Row],[ROA]]-VLOOKUP(Main_S[[#This Row],[Industry]], Mean_ROA_S, 2, FALSE))/(VLOOKUP(Main_S[[#This Row],[Industry]], Mean_ROA_S, 3, FALSE))</f>
        <v>0.59707496491912704</v>
      </c>
      <c r="S45" s="1">
        <f>(Main_S[[#This Row],[A/E]]-VLOOKUP(Main_S[[#This Row],[Industry]], Mean_AE_S, 2, FALSE))/(VLOOKUP(Main_S[[#This Row],[Industry]], Mean_AE_S, 3, FALSE))</f>
        <v>-0.8048207514779897</v>
      </c>
      <c r="T45" s="1">
        <f>(Main_S[[#This Row],[P/E]]-VLOOKUP(Main_S[[#This Row],[Industry]], Mean_PE_S, 2, FALSE))/(VLOOKUP(Main_S[[#This Row],[Industry]], Mean_PE_S, 3, FALSE))</f>
        <v>0.5583327233444656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t="s">
        <v>110</v>
      </c>
      <c r="B46" t="s">
        <v>246</v>
      </c>
      <c r="C46" s="2">
        <v>344</v>
      </c>
      <c r="D46">
        <f>RTD("tos.rtd", , "LAST", Main_S[[#This Row],[Symbol]])</f>
        <v>3.03</v>
      </c>
      <c r="E46">
        <v>-0.11</v>
      </c>
      <c r="F46">
        <v>5.91</v>
      </c>
      <c r="G46">
        <v>-0.38</v>
      </c>
      <c r="H46" s="1">
        <f>IF(ISNUMBER(Main_S[[#This Row],[Free CF]]),IF(Main_S[[#This Row],[Free CF]]&lt;&gt;0,Main_S[[#This Row],[Current Price]]/Main_S[[#This Row],[Free CF]],""),"")</f>
        <v>-27.545454545454543</v>
      </c>
      <c r="I46" s="1">
        <f>IF(ISNUMBER(Main_S[[#This Row],[BVPS]]),IF(Main_S[[#This Row],[BVPS]]&lt;&gt;0,Main_S[[#This Row],[Current Price]]/Main_S[[#This Row],[BVPS]],""),"")</f>
        <v>0.51269035532994922</v>
      </c>
      <c r="J46">
        <v>-6.49</v>
      </c>
      <c r="K46">
        <v>-3.32</v>
      </c>
      <c r="L46">
        <v>1.47</v>
      </c>
      <c r="M46" s="1">
        <f>IF(ISNUMBER(Main_S[[#This Row],[EPS]]),IF(Main_S[[#This Row],[EPS]]&lt;&gt;0,Main_S[[#This Row],[Current Price]]/Main_S[[#This Row],[EPS]],""),"")</f>
        <v>-7.973684210526315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-1.7204247713918634</v>
      </c>
      <c r="P46" s="1">
        <f>(Main_S[[#This Row],[P/B]]-VLOOKUP(Main_S[[#This Row],[Industry]], Mean_PB_S, 2, FALSE))/(VLOOKUP(Main_S[[#This Row],[Industry]], Mean_PB_S, 3, FALSE))</f>
        <v>-1.4944763056797772</v>
      </c>
      <c r="Q46" s="1">
        <f>(Main_S[[#This Row],[ROE]]-VLOOKUP(Main_S[[#This Row],[Industry]], Mean_ROE_S, 2, FALSE))/(VLOOKUP(Main_S[[#This Row],[Industry]], Mean_ROE_S, 3, FALSE))</f>
        <v>0.14397006044763822</v>
      </c>
      <c r="R46" s="1">
        <f>(Main_S[[#This Row],[ROA]]-VLOOKUP(Main_S[[#This Row],[Industry]], Mean_ROA_S, 2, FALSE))/(VLOOKUP(Main_S[[#This Row],[Industry]], Mean_ROA_S, 3, FALSE))</f>
        <v>-1.0121033765532752</v>
      </c>
      <c r="S46" s="1">
        <f>(Main_S[[#This Row],[A/E]]-VLOOKUP(Main_S[[#This Row],[Industry]], Mean_AE_S, 2, FALSE))/(VLOOKUP(Main_S[[#This Row],[Industry]], Mean_AE_S, 3, FALSE))</f>
        <v>-0.66796863989063915</v>
      </c>
      <c r="T46" s="1">
        <f>(Main_S[[#This Row],[P/E]]-VLOOKUP(Main_S[[#This Row],[Industry]], Mean_PE_S, 2, FALSE))/(VLOOKUP(Main_S[[#This Row],[Industry]], Mean_PE_S, 3, FALSE))</f>
        <v>-0.99460067547029896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t="s">
        <v>110</v>
      </c>
      <c r="B47" t="s">
        <v>247</v>
      </c>
      <c r="C47" s="2">
        <v>395</v>
      </c>
      <c r="D47">
        <f>RTD("tos.rtd", , "LAST", Main_S[[#This Row],[Symbol]])</f>
        <v>4.8499999999999996</v>
      </c>
      <c r="E47">
        <v>-0.41</v>
      </c>
      <c r="F47">
        <v>4.5599999999999996</v>
      </c>
      <c r="G47">
        <v>-0.96</v>
      </c>
      <c r="H47" s="1">
        <f>IF(ISNUMBER(Main_S[[#This Row],[Free CF]]),IF(Main_S[[#This Row],[Free CF]]&lt;&gt;0,Main_S[[#This Row],[Current Price]]/Main_S[[#This Row],[Free CF]],""),"")</f>
        <v>-11.829268292682926</v>
      </c>
      <c r="I47" s="1">
        <f>IF(ISNUMBER(Main_S[[#This Row],[BVPS]]),IF(Main_S[[#This Row],[BVPS]]&lt;&gt;0,Main_S[[#This Row],[Current Price]]/Main_S[[#This Row],[BVPS]],""),"")</f>
        <v>1.0635964912280702</v>
      </c>
      <c r="J47">
        <v>-19.489999999999998</v>
      </c>
      <c r="K47">
        <v>-5.87</v>
      </c>
      <c r="L47">
        <v>1.3</v>
      </c>
      <c r="M47" s="1">
        <f>IF(ISNUMBER(Main_S[[#This Row],[EPS]]),IF(Main_S[[#This Row],[EPS]]&lt;&gt;0,Main_S[[#This Row],[Current Price]]/Main_S[[#This Row],[EPS]],""),"")</f>
        <v>-5.052083333333333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-0.62502874678881093</v>
      </c>
      <c r="P47" s="1">
        <f>(Main_S[[#This Row],[P/B]]-VLOOKUP(Main_S[[#This Row],[Industry]], Mean_PB_S, 2, FALSE))/(VLOOKUP(Main_S[[#This Row],[Industry]], Mean_PB_S, 3, FALSE))</f>
        <v>0.94533642174277177</v>
      </c>
      <c r="Q47" s="1">
        <f>(Main_S[[#This Row],[ROE]]-VLOOKUP(Main_S[[#This Row],[Industry]], Mean_ROE_S, 2, FALSE))/(VLOOKUP(Main_S[[#This Row],[Industry]], Mean_ROE_S, 3, FALSE))</f>
        <v>-0.85355734038876296</v>
      </c>
      <c r="R47" s="1">
        <f>(Main_S[[#This Row],[ROA]]-VLOOKUP(Main_S[[#This Row],[Industry]], Mean_ROA_S, 2, FALSE))/(VLOOKUP(Main_S[[#This Row],[Industry]], Mean_ROA_S, 3, FALSE))</f>
        <v>-1.4931590354928563</v>
      </c>
      <c r="S47" s="1">
        <f>(Main_S[[#This Row],[A/E]]-VLOOKUP(Main_S[[#This Row],[Industry]], Mean_AE_S, 2, FALSE))/(VLOOKUP(Main_S[[#This Row],[Industry]], Mean_AE_S, 3, FALSE))</f>
        <v>-1.055716289388132</v>
      </c>
      <c r="T47" s="1">
        <f>(Main_S[[#This Row],[P/E]]-VLOOKUP(Main_S[[#This Row],[Industry]], Mean_PE_S, 2, FALSE))/(VLOOKUP(Main_S[[#This Row],[Industry]], Mean_PE_S, 3, FALSE))</f>
        <v>-0.80800087808534138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8" spans="1:26" x14ac:dyDescent="0.25">
      <c r="A48" t="s">
        <v>108</v>
      </c>
      <c r="B48" t="s">
        <v>232</v>
      </c>
      <c r="C48" s="2">
        <v>1439</v>
      </c>
      <c r="D48">
        <f>RTD("tos.rtd", , "LAST", Main_S[[#This Row],[Symbol]])</f>
        <v>70.09</v>
      </c>
      <c r="E48">
        <v>3.52</v>
      </c>
      <c r="F48">
        <v>10.6</v>
      </c>
      <c r="G48">
        <v>0</v>
      </c>
      <c r="H48" s="1">
        <f>IF(ISNUMBER(Main_S[[#This Row],[Free CF]]),IF(Main_S[[#This Row],[Free CF]]&lt;&gt;0,Main_S[[#This Row],[Current Price]]/Main_S[[#This Row],[Free CF]],""),"")</f>
        <v>19.91193181818182</v>
      </c>
      <c r="I48" s="1">
        <f>IF(ISNUMBER(Main_S[[#This Row],[BVPS]]),IF(Main_S[[#This Row],[BVPS]]&lt;&gt;0,Main_S[[#This Row],[Current Price]]/Main_S[[#This Row],[BVPS]],""),"")</f>
        <v>6.612264150943397</v>
      </c>
      <c r="J48">
        <v>28.05</v>
      </c>
      <c r="K48">
        <v>10.4</v>
      </c>
      <c r="L48">
        <v>2.62</v>
      </c>
      <c r="M48" s="1" t="str">
        <f>IF(ISNUMBER(Main_S[[#This Row],[EPS]]),IF(Main_S[[#This Row],[EPS]]&lt;&gt;0,Main_S[[#This Row],[Current Price]]/Main_S[[#This Row],[EPS]],""),"")</f>
        <v/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-1.0000000000001006</v>
      </c>
      <c r="P48" s="1">
        <f>(Main_S[[#This Row],[P/B]]-VLOOKUP(Main_S[[#This Row],[Industry]], Mean_PB_S, 2, FALSE))/(VLOOKUP(Main_S[[#This Row],[Industry]], Mean_PB_S, 3, FALSE))</f>
        <v>1</v>
      </c>
      <c r="Q48" s="1">
        <f>(Main_S[[#This Row],[ROE]]-VLOOKUP(Main_S[[#This Row],[Industry]], Mean_ROE_S, 2, FALSE))/(VLOOKUP(Main_S[[#This Row],[Industry]], Mean_ROE_S, 3, FALSE))</f>
        <v>1</v>
      </c>
      <c r="R48" s="1">
        <f>(Main_S[[#This Row],[ROA]]-VLOOKUP(Main_S[[#This Row],[Industry]], Mean_ROA_S, 2, FALSE))/(VLOOKUP(Main_S[[#This Row],[Industry]], Mean_ROA_S, 3, FALSE))</f>
        <v>1.0000000000000013</v>
      </c>
      <c r="S48" s="1">
        <f>(Main_S[[#This Row],[A/E]]-VLOOKUP(Main_S[[#This Row],[Industry]], Mean_AE_S, 2, FALSE))/(VLOOKUP(Main_S[[#This Row],[Industry]], Mean_AE_S, 3, FALSE))</f>
        <v>1.0000000000000084</v>
      </c>
      <c r="T48" s="1" t="e">
        <f>(Main_S[[#This Row],[P/E]]-VLOOKUP(Main_S[[#This Row],[Industry]], Mean_PE_S, 2, FALSE))/(VLOOKUP(Main_S[[#This Row],[Industry]], Mean_PE_S, 3, FALSE))</f>
        <v>#VALUE!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9" spans="1:26" x14ac:dyDescent="0.25">
      <c r="A49" t="s">
        <v>108</v>
      </c>
      <c r="B49" t="s">
        <v>233</v>
      </c>
      <c r="C49" s="2">
        <v>1458</v>
      </c>
      <c r="D49">
        <f>RTD("tos.rtd", , "LAST", Main_S[[#This Row],[Symbol]])</f>
        <v>56.19</v>
      </c>
      <c r="E49">
        <v>2.7</v>
      </c>
      <c r="F49">
        <v>58.69</v>
      </c>
      <c r="G49">
        <v>5.0199999999999996</v>
      </c>
      <c r="H49" s="1">
        <f>IF(ISNUMBER(Main_S[[#This Row],[Free CF]]),IF(Main_S[[#This Row],[Free CF]]&lt;&gt;0,Main_S[[#This Row],[Current Price]]/Main_S[[#This Row],[Free CF]],""),"")</f>
        <v>20.81111111111111</v>
      </c>
      <c r="I49" s="1">
        <f>IF(ISNUMBER(Main_S[[#This Row],[BVPS]]),IF(Main_S[[#This Row],[BVPS]]&lt;&gt;0,Main_S[[#This Row],[Current Price]]/Main_S[[#This Row],[BVPS]],""),"")</f>
        <v>0.95740330550349295</v>
      </c>
      <c r="J49">
        <v>9.83</v>
      </c>
      <c r="K49">
        <v>5.72</v>
      </c>
      <c r="L49">
        <v>2.1</v>
      </c>
      <c r="M49" s="1">
        <f>IF(ISNUMBER(Main_S[[#This Row],[EPS]]),IF(Main_S[[#This Row],[EPS]]&lt;&gt;0,Main_S[[#This Row],[Current Price]]/Main_S[[#This Row],[EPS]],""),"")</f>
        <v>11.193227091633467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1.0000000000001006</v>
      </c>
      <c r="P49" s="1">
        <f>(Main_S[[#This Row],[P/B]]-VLOOKUP(Main_S[[#This Row],[Industry]], Mean_PB_S, 2, FALSE))/(VLOOKUP(Main_S[[#This Row],[Industry]], Mean_PB_S, 3, FALSE))</f>
        <v>-1</v>
      </c>
      <c r="Q49" s="1">
        <f>(Main_S[[#This Row],[ROE]]-VLOOKUP(Main_S[[#This Row],[Industry]], Mean_ROE_S, 2, FALSE))/(VLOOKUP(Main_S[[#This Row],[Industry]], Mean_ROE_S, 3, FALSE))</f>
        <v>-1.0000000000000002</v>
      </c>
      <c r="R49" s="1">
        <f>(Main_S[[#This Row],[ROA]]-VLOOKUP(Main_S[[#This Row],[Industry]], Mean_ROA_S, 2, FALSE))/(VLOOKUP(Main_S[[#This Row],[Industry]], Mean_ROA_S, 3, FALSE))</f>
        <v>-1.0000000000000018</v>
      </c>
      <c r="S49" s="1">
        <f>(Main_S[[#This Row],[A/E]]-VLOOKUP(Main_S[[#This Row],[Industry]], Mean_AE_S, 2, FALSE))/(VLOOKUP(Main_S[[#This Row],[Industry]], Mean_AE_S, 3, FALSE))</f>
        <v>-1.00000000000001</v>
      </c>
      <c r="T49" s="1" t="e">
        <f>(Main_S[[#This Row],[P/E]]-VLOOKUP(Main_S[[#This Row],[Industry]], Mean_PE_S, 2, FALSE))/(VLOOKUP(Main_S[[#This Row],[Industry]], Mean_PE_S, 3, FALSE))</f>
        <v>#DIV/0!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35.7109375" bestFit="1" customWidth="1"/>
    <col min="2" max="3" width="61.5703125" bestFit="1" customWidth="1"/>
    <col min="4" max="4" width="45.140625" bestFit="1" customWidth="1"/>
    <col min="5" max="5" width="45.42578125" bestFit="1" customWidth="1"/>
    <col min="6" max="7" width="59.5703125" bestFit="1" customWidth="1"/>
    <col min="8" max="8" width="39" bestFit="1" customWidth="1"/>
    <col min="9" max="9" width="39.28515625" bestFit="1" customWidth="1"/>
    <col min="10" max="11" width="60.140625" bestFit="1" customWidth="1"/>
    <col min="12" max="12" width="40.7109375" bestFit="1" customWidth="1"/>
    <col min="13" max="13" width="41" bestFit="1" customWidth="1"/>
    <col min="14" max="15" width="60.28515625" bestFit="1" customWidth="1"/>
    <col min="16" max="16" width="41.140625" bestFit="1" customWidth="1"/>
    <col min="17" max="17" width="41.42578125" bestFit="1" customWidth="1"/>
    <col min="18" max="19" width="59.42578125" bestFit="1" customWidth="1"/>
    <col min="20" max="20" width="38.5703125" bestFit="1" customWidth="1"/>
    <col min="21" max="21" width="38.85546875" bestFit="1" customWidth="1"/>
    <col min="22" max="23" width="59.4257812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15.437172320012088</v>
      </c>
      <c r="C3" s="1" cm="1">
        <f t="array" ref="C3">_xlfn.QUARTILE.INC(IF(Quartile_L[[#This Row],[Industry]]=Main_L[Industry],Main_L[P/FCF]),3)</f>
        <v>31.595799570708099</v>
      </c>
      <c r="D3" s="1">
        <f>Quartile_L[[#This Row],[P/FCF Q1]]-1.5*(Quartile_L[[#This Row],[P/FCF Q3]]-Quartile_L[[#This Row],[P/FCF Q1]])</f>
        <v>-8.800768556031926</v>
      </c>
      <c r="E3" s="1">
        <f>Quartile_L[[#This Row],[P/FCF Q3]]+1.5*(Quartile_L[[#This Row],[P/FCF Q3]]-Quartile_L[[#This Row],[P/FCF Q1]])</f>
        <v>55.833740446752117</v>
      </c>
      <c r="F3" s="1" cm="1">
        <f t="array" ref="F3">_xlfn.QUARTILE.INC(IF(Quartile_L[[#This Row],[Industry]]=Main_L[Industry],Main_L[P/B]),1)</f>
        <v>3.6779305110473945</v>
      </c>
      <c r="G3" s="1" cm="1">
        <f t="array" ref="G3">_xlfn.QUARTILE.INC(IF(Quartile_L[[#This Row],[Industry]]=Main_L[Industry],Main_L[P/B]),3)</f>
        <v>8.071062764220283</v>
      </c>
      <c r="H3" s="1">
        <f>Quartile_L[[#This Row],[P/B Q1]]-1.5*(Quartile_L[[#This Row],[P/B Q3]]-Quartile_L[[#This Row],[P/B Q1]])</f>
        <v>-2.9117678687119382</v>
      </c>
      <c r="I3" s="1">
        <f>Quartile_L[[#This Row],[P/B Q3]]+1.5*(Quartile_L[[#This Row],[P/B Q3]]-Quartile_L[[#This Row],[P/B Q1]])</f>
        <v>14.660761143979617</v>
      </c>
      <c r="J3" s="1" cm="1">
        <f t="array" ref="J3">_xlfn.QUARTILE.INC(IF(Quartile_L[[#This Row],[Industry]]=Main_L[Industry],Main_L[ROE]),1)</f>
        <v>16.355</v>
      </c>
      <c r="K3" s="1" cm="1">
        <f t="array" ref="K3">_xlfn.QUARTILE.INC(IF(Quartile_L[[#This Row],[Industry]]=Main_L[Industry],Main_L[ROE]),3)</f>
        <v>31.795000000000002</v>
      </c>
      <c r="L3" s="1">
        <f>Quartile_L[[#This Row],[ROE Q1]]-1.5*(Quartile_L[[#This Row],[ROE Q3]]-Quartile_L[[#This Row],[ROE Q1]])</f>
        <v>-6.8050000000000033</v>
      </c>
      <c r="M3" s="1">
        <f>Quartile_L[[#This Row],[ROE Q3]]+1.5*(Quartile_L[[#This Row],[ROE Q3]]-Quartile_L[[#This Row],[ROE Q1]])</f>
        <v>54.955000000000005</v>
      </c>
      <c r="N3" s="1" cm="1">
        <f t="array" ref="N3">_xlfn.QUARTILE.INC(IF(Quartile_L[[#This Row],[Industry]]=Main_L[Industry],Main_L[ROA]),1)</f>
        <v>5.01</v>
      </c>
      <c r="O3" s="1" cm="1">
        <f t="array" ref="O3">_xlfn.QUARTILE.INC(IF(Quartile_L[[#This Row],[Industry]]=Main_L[Industry],Main_L[ROA]),3)</f>
        <v>7.1099999999999994</v>
      </c>
      <c r="P3" s="1">
        <f>Quartile_L[[#This Row],[ROA Q1]]-1.5*(Quartile_L[[#This Row],[ROA Q3]]-Quartile_L[[#This Row],[ROA Q1]])</f>
        <v>1.8600000000000003</v>
      </c>
      <c r="Q3" s="1">
        <f>Quartile_L[[#This Row],[ROA Q3]]+1.5*(Quartile_L[[#This Row],[ROA Q3]]-Quartile_L[[#This Row],[ROA Q1]])</f>
        <v>10.259999999999998</v>
      </c>
      <c r="R3" s="1" cm="1">
        <f t="array" ref="R3">_xlfn.QUARTILE.INC(IF(Quartile_L[[#This Row],[Industry]]=Main_L[Industry],Main_L[P/E]),1)</f>
        <v>17.996382147659602</v>
      </c>
      <c r="S3" s="1" cm="1">
        <f t="array" ref="S3">_xlfn.QUARTILE.INC(IF(Quartile_L[[#This Row],[Industry]]=Main_L[Industry],Main_L[P/E]),3)</f>
        <v>35.515036772737204</v>
      </c>
      <c r="T3" s="1">
        <f>Quartile_L[[#This Row],[P/E Q1]]-1.5*(Quartile_L[[#This Row],[P/E Q3]]-Quartile_L[[#This Row],[P/E Q1]])</f>
        <v>-8.2815997899568004</v>
      </c>
      <c r="U3" s="1">
        <f>Quartile_L[[#This Row],[P/E Q3]]+1.5*(Quartile_L[[#This Row],[P/E Q3]]-Quartile_L[[#This Row],[P/E Q1]])</f>
        <v>61.793018710353607</v>
      </c>
      <c r="V3" s="1" cm="1">
        <f t="array" ref="V3">_xlfn.QUARTILE.INC(IF(Quartile_L[[#This Row],[Industry]]=Main_L[Industry],Main_L[A/E]),1)</f>
        <v>2.8849999999999998</v>
      </c>
      <c r="W3" s="1" cm="1">
        <f t="array" ref="W3">_xlfn.QUARTILE.INC(IF(Quartile_L[[#This Row],[Industry]]=Main_L[Industry],Main_L[A/E]),3)</f>
        <v>4.4450000000000003</v>
      </c>
      <c r="X3" s="1">
        <f>Quartile_L[[#This Row],[A/E Q1]]-1.5*(Quartile_L[[#This Row],[A/E Q3]]-Quartile_L[[#This Row],[A/E Q1]])</f>
        <v>0.54499999999999904</v>
      </c>
      <c r="Y3" s="1">
        <f>Quartile_L[[#This Row],[A/E Q3]]+1.5*(Quartile_L[[#This Row],[A/E Q3]]-Quartile_L[[#This Row],[A/E Q1]])</f>
        <v>6.785000000000001</v>
      </c>
    </row>
    <row r="4" spans="1:25" x14ac:dyDescent="0.25">
      <c r="A4" t="s">
        <v>106</v>
      </c>
      <c r="B4" s="1" cm="1">
        <f t="array" ref="B4">_xlfn.QUARTILE.INC(IF(Quartile_L[[#This Row],[Industry]]=Main_L[Industry],Main_L[P/FCF]),1)</f>
        <v>13.236047600383241</v>
      </c>
      <c r="C4" s="1" cm="1">
        <f t="array" ref="C4">_xlfn.QUARTILE.INC(IF(Quartile_L[[#This Row],[Industry]]=Main_L[Industry],Main_L[P/FCF]),3)</f>
        <v>35.118856924920998</v>
      </c>
      <c r="D4" s="1">
        <f>Quartile_L[[#This Row],[P/FCF Q1]]-1.5*(Quartile_L[[#This Row],[P/FCF Q3]]-Quartile_L[[#This Row],[P/FCF Q1]])</f>
        <v>-19.588166386423392</v>
      </c>
      <c r="E4" s="1">
        <f>Quartile_L[[#This Row],[P/FCF Q3]]+1.5*(Quartile_L[[#This Row],[P/FCF Q3]]-Quartile_L[[#This Row],[P/FCF Q1]])</f>
        <v>67.943070911727631</v>
      </c>
      <c r="F4" s="1" cm="1">
        <f t="array" ref="F4">_xlfn.QUARTILE.INC(IF(Quartile_L[[#This Row],[Industry]]=Main_L[Industry],Main_L[P/B]),1)</f>
        <v>2.5217973327945038</v>
      </c>
      <c r="G4" s="1" cm="1">
        <f t="array" ref="G4">_xlfn.QUARTILE.INC(IF(Quartile_L[[#This Row],[Industry]]=Main_L[Industry],Main_L[P/B]),3)</f>
        <v>9.8140998184187787</v>
      </c>
      <c r="H4" s="1">
        <f>Quartile_L[[#This Row],[P/B Q1]]-1.5*(Quartile_L[[#This Row],[P/B Q3]]-Quartile_L[[#This Row],[P/B Q1]])</f>
        <v>-8.4166563956419065</v>
      </c>
      <c r="I4" s="1">
        <f>Quartile_L[[#This Row],[P/B Q3]]+1.5*(Quartile_L[[#This Row],[P/B Q3]]-Quartile_L[[#This Row],[P/B Q1]])</f>
        <v>20.752553546855189</v>
      </c>
      <c r="J4" s="1" cm="1">
        <f t="array" ref="J4">_xlfn.QUARTILE.INC(IF(Quartile_L[[#This Row],[Industry]]=Main_L[Industry],Main_L[ROE]),1)</f>
        <v>8.2874999999999996</v>
      </c>
      <c r="K4" s="1" cm="1">
        <f t="array" ref="K4">_xlfn.QUARTILE.INC(IF(Quartile_L[[#This Row],[Industry]]=Main_L[Industry],Main_L[ROE]),3)</f>
        <v>29.557500000000001</v>
      </c>
      <c r="L4" s="1">
        <f>Quartile_L[[#This Row],[ROE Q1]]-1.5*(Quartile_L[[#This Row],[ROE Q3]]-Quartile_L[[#This Row],[ROE Q1]])</f>
        <v>-23.617500000000007</v>
      </c>
      <c r="M4" s="1">
        <f>Quartile_L[[#This Row],[ROE Q3]]+1.5*(Quartile_L[[#This Row],[ROE Q3]]-Quartile_L[[#This Row],[ROE Q1]])</f>
        <v>61.462500000000006</v>
      </c>
      <c r="N4" s="1" cm="1">
        <f t="array" ref="N4">_xlfn.QUARTILE.INC(IF(Quartile_L[[#This Row],[Industry]]=Main_L[Industry],Main_L[ROA]),1)</f>
        <v>4.5749999999999993</v>
      </c>
      <c r="O4" s="1" cm="1">
        <f t="array" ref="O4">_xlfn.QUARTILE.INC(IF(Quartile_L[[#This Row],[Industry]]=Main_L[Industry],Main_L[ROA]),3)</f>
        <v>9.1024999999999991</v>
      </c>
      <c r="P4" s="1">
        <f>Quartile_L[[#This Row],[ROA Q1]]-1.5*(Quartile_L[[#This Row],[ROA Q3]]-Quartile_L[[#This Row],[ROA Q1]])</f>
        <v>-2.2162500000000005</v>
      </c>
      <c r="Q4" s="1">
        <f>Quartile_L[[#This Row],[ROA Q3]]+1.5*(Quartile_L[[#This Row],[ROA Q3]]-Quartile_L[[#This Row],[ROA Q1]])</f>
        <v>15.893749999999999</v>
      </c>
      <c r="R4" s="1" cm="1">
        <f t="array" ref="R4">_xlfn.QUARTILE.INC(IF(Quartile_L[[#This Row],[Industry]]=Main_L[Industry],Main_L[P/E]),1)</f>
        <v>16.605405405405406</v>
      </c>
      <c r="S4" s="1" cm="1">
        <f t="array" ref="S4">_xlfn.QUARTILE.INC(IF(Quartile_L[[#This Row],[Industry]]=Main_L[Industry],Main_L[P/E]),3)</f>
        <v>29.478240233661914</v>
      </c>
      <c r="T4" s="1">
        <f>Quartile_L[[#This Row],[P/E Q1]]-1.5*(Quartile_L[[#This Row],[P/E Q3]]-Quartile_L[[#This Row],[P/E Q1]])</f>
        <v>-2.7038468369793556</v>
      </c>
      <c r="U4" s="1">
        <f>Quartile_L[[#This Row],[P/E Q3]]+1.5*(Quartile_L[[#This Row],[P/E Q3]]-Quartile_L[[#This Row],[P/E Q1]])</f>
        <v>48.78749247604668</v>
      </c>
      <c r="V4" s="1" cm="1">
        <f t="array" ref="V4">_xlfn.QUARTILE.INC(IF(Quartile_L[[#This Row],[Industry]]=Main_L[Industry],Main_L[A/E]),1)</f>
        <v>2.0950000000000002</v>
      </c>
      <c r="W4" s="1" cm="1">
        <f t="array" ref="W4">_xlfn.QUARTILE.INC(IF(Quartile_L[[#This Row],[Industry]]=Main_L[Industry],Main_L[A/E]),3)</f>
        <v>3.645</v>
      </c>
      <c r="X4" s="1">
        <f>Quartile_L[[#This Row],[A/E Q1]]-1.5*(Quartile_L[[#This Row],[A/E Q3]]-Quartile_L[[#This Row],[A/E Q1]])</f>
        <v>-0.22999999999999954</v>
      </c>
      <c r="Y4" s="1">
        <f>Quartile_L[[#This Row],[A/E Q3]]+1.5*(Quartile_L[[#This Row],[A/E Q3]]-Quartile_L[[#This Row],[A/E Q1]])</f>
        <v>5.97</v>
      </c>
    </row>
    <row r="5" spans="1:25" x14ac:dyDescent="0.25">
      <c r="A5" t="s">
        <v>107</v>
      </c>
      <c r="B5" s="1" cm="1">
        <f t="array" ref="B5">_xlfn.QUARTILE.INC(IF(Quartile_L[[#This Row],[Industry]]=Main_L[Industry],Main_L[P/FCF]),1)</f>
        <v>12.499026033450413</v>
      </c>
      <c r="C5" s="1" cm="1">
        <f t="array" ref="C5">_xlfn.QUARTILE.INC(IF(Quartile_L[[#This Row],[Industry]]=Main_L[Industry],Main_L[P/FCF]),3)</f>
        <v>21.760268957869009</v>
      </c>
      <c r="D5" s="1">
        <f>Quartile_L[[#This Row],[P/FCF Q1]]-1.5*(Quartile_L[[#This Row],[P/FCF Q3]]-Quartile_L[[#This Row],[P/FCF Q1]])</f>
        <v>-1.3928383531774813</v>
      </c>
      <c r="E5" s="1">
        <f>Quartile_L[[#This Row],[P/FCF Q3]]+1.5*(Quartile_L[[#This Row],[P/FCF Q3]]-Quartile_L[[#This Row],[P/FCF Q1]])</f>
        <v>35.652133344496903</v>
      </c>
      <c r="F5" s="1" cm="1">
        <f t="array" ref="F5">_xlfn.QUARTILE.INC(IF(Quartile_L[[#This Row],[Industry]]=Main_L[Industry],Main_L[P/B]),1)</f>
        <v>1.1506629447555221</v>
      </c>
      <c r="G5" s="1" cm="1">
        <f t="array" ref="G5">_xlfn.QUARTILE.INC(IF(Quartile_L[[#This Row],[Industry]]=Main_L[Industry],Main_L[P/B]),3)</f>
        <v>3.454806002009041</v>
      </c>
      <c r="H5" s="1">
        <f>Quartile_L[[#This Row],[P/B Q1]]-1.5*(Quartile_L[[#This Row],[P/B Q3]]-Quartile_L[[#This Row],[P/B Q1]])</f>
        <v>-2.3055516411247563</v>
      </c>
      <c r="I5" s="1">
        <f>Quartile_L[[#This Row],[P/B Q3]]+1.5*(Quartile_L[[#This Row],[P/B Q3]]-Quartile_L[[#This Row],[P/B Q1]])</f>
        <v>6.9110205878893201</v>
      </c>
      <c r="J5" s="1" cm="1">
        <f t="array" ref="J5">_xlfn.QUARTILE.INC(IF(Quartile_L[[#This Row],[Industry]]=Main_L[Industry],Main_L[ROE]),1)</f>
        <v>5.91</v>
      </c>
      <c r="K5" s="1" cm="1">
        <f t="array" ref="K5">_xlfn.QUARTILE.INC(IF(Quartile_L[[#This Row],[Industry]]=Main_L[Industry],Main_L[ROE]),3)</f>
        <v>23.787499999999998</v>
      </c>
      <c r="L5" s="1">
        <f>Quartile_L[[#This Row],[ROE Q1]]-1.5*(Quartile_L[[#This Row],[ROE Q3]]-Quartile_L[[#This Row],[ROE Q1]])</f>
        <v>-20.906249999999996</v>
      </c>
      <c r="M5" s="1">
        <f>Quartile_L[[#This Row],[ROE Q3]]+1.5*(Quartile_L[[#This Row],[ROE Q3]]-Quartile_L[[#This Row],[ROE Q1]])</f>
        <v>50.603749999999991</v>
      </c>
      <c r="N5" s="1" cm="1">
        <f t="array" ref="N5">_xlfn.QUARTILE.INC(IF(Quartile_L[[#This Row],[Industry]]=Main_L[Industry],Main_L[ROA]),1)</f>
        <v>3.7850000000000001</v>
      </c>
      <c r="O5" s="1" cm="1">
        <f t="array" ref="O5">_xlfn.QUARTILE.INC(IF(Quartile_L[[#This Row],[Industry]]=Main_L[Industry],Main_L[ROA]),3)</f>
        <v>7.0250000000000004</v>
      </c>
      <c r="P5" s="1">
        <f>Quartile_L[[#This Row],[ROA Q1]]-1.5*(Quartile_L[[#This Row],[ROA Q3]]-Quartile_L[[#This Row],[ROA Q1]])</f>
        <v>-1.0750000000000002</v>
      </c>
      <c r="Q5" s="1">
        <f>Quartile_L[[#This Row],[ROA Q3]]+1.5*(Quartile_L[[#This Row],[ROA Q3]]-Quartile_L[[#This Row],[ROA Q1]])</f>
        <v>11.885000000000002</v>
      </c>
      <c r="R5" s="1" cm="1">
        <f t="array" ref="R5">_xlfn.QUARTILE.INC(IF(Quartile_L[[#This Row],[Industry]]=Main_L[Industry],Main_L[P/E]),1)</f>
        <v>12.032252630096757</v>
      </c>
      <c r="S5" s="1" cm="1">
        <f t="array" ref="S5">_xlfn.QUARTILE.INC(IF(Quartile_L[[#This Row],[Industry]]=Main_L[Industry],Main_L[P/E]),3)</f>
        <v>21.458178255230365</v>
      </c>
      <c r="T5" s="1">
        <f>Quartile_L[[#This Row],[P/E Q1]]-1.5*(Quartile_L[[#This Row],[P/E Q3]]-Quartile_L[[#This Row],[P/E Q1]])</f>
        <v>-2.1066358076036558</v>
      </c>
      <c r="U5" s="1">
        <f>Quartile_L[[#This Row],[P/E Q3]]+1.5*(Quartile_L[[#This Row],[P/E Q3]]-Quartile_L[[#This Row],[P/E Q1]])</f>
        <v>35.597066692930781</v>
      </c>
      <c r="V5" s="1" cm="1">
        <f t="array" ref="V5">_xlfn.QUARTILE.INC(IF(Quartile_L[[#This Row],[Industry]]=Main_L[Industry],Main_L[A/E]),1)</f>
        <v>2.3649999999999998</v>
      </c>
      <c r="W5" s="1" cm="1">
        <f t="array" ref="W5">_xlfn.QUARTILE.INC(IF(Quartile_L[[#This Row],[Industry]]=Main_L[Industry],Main_L[A/E]),3)</f>
        <v>3.37</v>
      </c>
      <c r="X5" s="1">
        <f>Quartile_L[[#This Row],[A/E Q1]]-1.5*(Quartile_L[[#This Row],[A/E Q3]]-Quartile_L[[#This Row],[A/E Q1]])</f>
        <v>0.85749999999999926</v>
      </c>
      <c r="Y5" s="1">
        <f>Quartile_L[[#This Row],[A/E Q3]]+1.5*(Quartile_L[[#This Row],[A/E Q3]]-Quartile_L[[#This Row],[A/E Q1]])</f>
        <v>4.8775000000000004</v>
      </c>
    </row>
    <row r="6" spans="1:25" x14ac:dyDescent="0.25">
      <c r="A6" t="s">
        <v>108</v>
      </c>
      <c r="B6" s="1" cm="1">
        <f t="array" ref="B6">_xlfn.QUARTILE.INC(IF(Quartile_L[[#This Row],[Industry]]=Main_L[Industry],Main_L[P/FCF]),1)</f>
        <v>9.4486791117072801</v>
      </c>
      <c r="C6" s="1" cm="1">
        <f t="array" ref="C6">_xlfn.QUARTILE.INC(IF(Quartile_L[[#This Row],[Industry]]=Main_L[Industry],Main_L[P/FCF]),3)</f>
        <v>18.167367006919566</v>
      </c>
      <c r="D6" s="1">
        <f>Quartile_L[[#This Row],[P/FCF Q1]]-1.5*(Quartile_L[[#This Row],[P/FCF Q3]]-Quartile_L[[#This Row],[P/FCF Q1]])</f>
        <v>-3.6293527311111493</v>
      </c>
      <c r="E6" s="1">
        <f>Quartile_L[[#This Row],[P/FCF Q3]]+1.5*(Quartile_L[[#This Row],[P/FCF Q3]]-Quartile_L[[#This Row],[P/FCF Q1]])</f>
        <v>31.245398849737995</v>
      </c>
      <c r="F6" s="1" cm="1">
        <f t="array" ref="F6">_xlfn.QUARTILE.INC(IF(Quartile_L[[#This Row],[Industry]]=Main_L[Industry],Main_L[P/B]),1)</f>
        <v>-25.275947802197798</v>
      </c>
      <c r="G6" s="1" cm="1">
        <f t="array" ref="G6">_xlfn.QUARTILE.INC(IF(Quartile_L[[#This Row],[Industry]]=Main_L[Industry],Main_L[P/B]),3)</f>
        <v>-10.95509695000524</v>
      </c>
      <c r="H6" s="1">
        <f>Quartile_L[[#This Row],[P/B Q1]]-1.5*(Quartile_L[[#This Row],[P/B Q3]]-Quartile_L[[#This Row],[P/B Q1]])</f>
        <v>-46.757224080486637</v>
      </c>
      <c r="I6" s="1">
        <f>Quartile_L[[#This Row],[P/B Q3]]+1.5*(Quartile_L[[#This Row],[P/B Q3]]-Quartile_L[[#This Row],[P/B Q1]])</f>
        <v>10.526179328283598</v>
      </c>
      <c r="J6" s="1" cm="1">
        <f t="array" ref="J6">_xlfn.QUARTILE.INC(IF(Quartile_L[[#This Row],[Industry]]=Main_L[Industry],Main_L[ROE]),1)</f>
        <v>-166.08500000000001</v>
      </c>
      <c r="K6" s="1" cm="1">
        <f t="array" ref="K6">_xlfn.QUARTILE.INC(IF(Quartile_L[[#This Row],[Industry]]=Main_L[Industry],Main_L[ROE]),3)</f>
        <v>-43.19</v>
      </c>
      <c r="L6" s="1">
        <f>Quartile_L[[#This Row],[ROE Q1]]-1.5*(Quartile_L[[#This Row],[ROE Q3]]-Quartile_L[[#This Row],[ROE Q1]])</f>
        <v>-350.42750000000001</v>
      </c>
      <c r="M6" s="1">
        <f>Quartile_L[[#This Row],[ROE Q3]]+1.5*(Quartile_L[[#This Row],[ROE Q3]]-Quartile_L[[#This Row],[ROE Q1]])</f>
        <v>141.15250000000003</v>
      </c>
      <c r="N6" s="1" cm="1">
        <f t="array" ref="N6">_xlfn.QUARTILE.INC(IF(Quartile_L[[#This Row],[Industry]]=Main_L[Industry],Main_L[ROA]),1)</f>
        <v>9.4499999999999993</v>
      </c>
      <c r="O6" s="1" cm="1">
        <f t="array" ref="O6">_xlfn.QUARTILE.INC(IF(Quartile_L[[#This Row],[Industry]]=Main_L[Industry],Main_L[ROA]),3)</f>
        <v>17.335000000000001</v>
      </c>
      <c r="P6" s="1">
        <f>Quartile_L[[#This Row],[ROA Q1]]-1.5*(Quartile_L[[#This Row],[ROA Q3]]-Quartile_L[[#This Row],[ROA Q1]])</f>
        <v>-2.3775000000000031</v>
      </c>
      <c r="Q6" s="1">
        <f>Quartile_L[[#This Row],[ROA Q3]]+1.5*(Quartile_L[[#This Row],[ROA Q3]]-Quartile_L[[#This Row],[ROA Q1]])</f>
        <v>29.162500000000001</v>
      </c>
      <c r="R6" s="1" cm="1">
        <f t="array" ref="R6">_xlfn.QUARTILE.INC(IF(Quartile_L[[#This Row],[Industry]]=Main_L[Industry],Main_L[P/E]),1)</f>
        <v>16.681336541294314</v>
      </c>
      <c r="S6" s="1" cm="1">
        <f t="array" ref="S6">_xlfn.QUARTILE.INC(IF(Quartile_L[[#This Row],[Industry]]=Main_L[Industry],Main_L[P/E]),3)</f>
        <v>28.821556523844102</v>
      </c>
      <c r="T6" s="1">
        <f>Quartile_L[[#This Row],[P/E Q1]]-1.5*(Quartile_L[[#This Row],[P/E Q3]]-Quartile_L[[#This Row],[P/E Q1]])</f>
        <v>-1.5289934325303669</v>
      </c>
      <c r="U6" s="1">
        <f>Quartile_L[[#This Row],[P/E Q3]]+1.5*(Quartile_L[[#This Row],[P/E Q3]]-Quartile_L[[#This Row],[P/E Q1]])</f>
        <v>47.031886497668779</v>
      </c>
      <c r="V6" s="1" cm="1">
        <f t="array" ref="V6">_xlfn.QUARTILE.INC(IF(Quartile_L[[#This Row],[Industry]]=Main_L[Industry],Main_L[A/E]),1)</f>
        <v>-8.08</v>
      </c>
      <c r="W6" s="1" cm="1">
        <f t="array" ref="W6">_xlfn.QUARTILE.INC(IF(Quartile_L[[#This Row],[Industry]]=Main_L[Industry],Main_L[A/E]),3)</f>
        <v>-1.7850000000000001</v>
      </c>
      <c r="X6" s="1">
        <f>Quartile_L[[#This Row],[A/E Q1]]-1.5*(Quartile_L[[#This Row],[A/E Q3]]-Quartile_L[[#This Row],[A/E Q1]])</f>
        <v>-17.522500000000001</v>
      </c>
      <c r="Y6" s="1">
        <f>Quartile_L[[#This Row],[A/E Q3]]+1.5*(Quartile_L[[#This Row],[A/E Q3]]-Quartile_L[[#This Row],[A/E Q1]])</f>
        <v>7.6574999999999989</v>
      </c>
    </row>
    <row r="7" spans="1:25" x14ac:dyDescent="0.25">
      <c r="A7" t="s">
        <v>109</v>
      </c>
      <c r="B7" s="1" cm="1">
        <f t="array" ref="B7">_xlfn.QUARTILE.INC(IF(Quartile_L[[#This Row],[Industry]]=Main_L[Industry],Main_L[P/FCF]),1)</f>
        <v>20.677647058823528</v>
      </c>
      <c r="C7" s="1" cm="1">
        <f t="array" ref="C7">_xlfn.QUARTILE.INC(IF(Quartile_L[[#This Row],[Industry]]=Main_L[Industry],Main_L[P/FCF]),3)</f>
        <v>24.828496042216358</v>
      </c>
      <c r="D7" s="1">
        <f>Quartile_L[[#This Row],[P/FCF Q1]]-1.5*(Quartile_L[[#This Row],[P/FCF Q3]]-Quartile_L[[#This Row],[P/FCF Q1]])</f>
        <v>14.451373583734282</v>
      </c>
      <c r="E7" s="1">
        <f>Quartile_L[[#This Row],[P/FCF Q3]]+1.5*(Quartile_L[[#This Row],[P/FCF Q3]]-Quartile_L[[#This Row],[P/FCF Q1]])</f>
        <v>31.054769517305601</v>
      </c>
      <c r="F7" s="1" cm="1">
        <f t="array" ref="F7">_xlfn.QUARTILE.INC(IF(Quartile_L[[#This Row],[Industry]]=Main_L[Industry],Main_L[P/B]),1)</f>
        <v>7.2281420765027313</v>
      </c>
      <c r="G7" s="1" cm="1">
        <f t="array" ref="G7">_xlfn.QUARTILE.INC(IF(Quartile_L[[#This Row],[Industry]]=Main_L[Industry],Main_L[P/B]),3)</f>
        <v>195.28888888888886</v>
      </c>
      <c r="H7" s="1">
        <f>Quartile_L[[#This Row],[P/B Q1]]-1.5*(Quartile_L[[#This Row],[P/B Q3]]-Quartile_L[[#This Row],[P/B Q1]])</f>
        <v>-274.86297814207649</v>
      </c>
      <c r="I7" s="1">
        <f>Quartile_L[[#This Row],[P/B Q3]]+1.5*(Quartile_L[[#This Row],[P/B Q3]]-Quartile_L[[#This Row],[P/B Q1]])</f>
        <v>477.38000910746803</v>
      </c>
      <c r="J7" s="1" cm="1">
        <f t="array" ref="J7">_xlfn.QUARTILE.INC(IF(Quartile_L[[#This Row],[Industry]]=Main_L[Industry],Main_L[ROE]),1)</f>
        <v>30.29</v>
      </c>
      <c r="K7" s="1" cm="1">
        <f t="array" ref="K7">_xlfn.QUARTILE.INC(IF(Quartile_L[[#This Row],[Industry]]=Main_L[Industry],Main_L[ROE]),3)</f>
        <v>318.64999999999998</v>
      </c>
      <c r="L7" s="1">
        <f>Quartile_L[[#This Row],[ROE Q1]]-1.5*(Quartile_L[[#This Row],[ROE Q3]]-Quartile_L[[#This Row],[ROE Q1]])</f>
        <v>-402.24999999999994</v>
      </c>
      <c r="M7" s="1">
        <f>Quartile_L[[#This Row],[ROE Q3]]+1.5*(Quartile_L[[#This Row],[ROE Q3]]-Quartile_L[[#This Row],[ROE Q1]])</f>
        <v>751.18999999999994</v>
      </c>
      <c r="N7" s="1" cm="1">
        <f t="array" ref="N7">_xlfn.QUARTILE.INC(IF(Quartile_L[[#This Row],[Industry]]=Main_L[Industry],Main_L[ROA]),1)</f>
        <v>10.98</v>
      </c>
      <c r="O7" s="1" cm="1">
        <f t="array" ref="O7">_xlfn.QUARTILE.INC(IF(Quartile_L[[#This Row],[Industry]]=Main_L[Industry],Main_L[ROA]),3)</f>
        <v>12.92</v>
      </c>
      <c r="P7" s="1">
        <f>Quartile_L[[#This Row],[ROA Q1]]-1.5*(Quartile_L[[#This Row],[ROA Q3]]-Quartile_L[[#This Row],[ROA Q1]])</f>
        <v>8.07</v>
      </c>
      <c r="Q7" s="1">
        <f>Quartile_L[[#This Row],[ROA Q3]]+1.5*(Quartile_L[[#This Row],[ROA Q3]]-Quartile_L[[#This Row],[ROA Q1]])</f>
        <v>15.829999999999998</v>
      </c>
      <c r="R7" s="1" cm="1">
        <f t="array" ref="R7">_xlfn.QUARTILE.INC(IF(Quartile_L[[#This Row],[Industry]]=Main_L[Industry],Main_L[P/E]),1)</f>
        <v>24.475763016157991</v>
      </c>
      <c r="S7" s="1" cm="1">
        <f t="array" ref="S7">_xlfn.QUARTILE.INC(IF(Quartile_L[[#This Row],[Industry]]=Main_L[Industry],Main_L[P/E]),3)</f>
        <v>25.195238095238093</v>
      </c>
      <c r="T7" s="1">
        <f>Quartile_L[[#This Row],[P/E Q1]]-1.5*(Quartile_L[[#This Row],[P/E Q3]]-Quartile_L[[#This Row],[P/E Q1]])</f>
        <v>23.396550397537837</v>
      </c>
      <c r="U7" s="1">
        <f>Quartile_L[[#This Row],[P/E Q3]]+1.5*(Quartile_L[[#This Row],[P/E Q3]]-Quartile_L[[#This Row],[P/E Q1]])</f>
        <v>26.274450713858243</v>
      </c>
      <c r="V7" s="1" cm="1">
        <f t="array" ref="V7">_xlfn.QUARTILE.INC(IF(Quartile_L[[#This Row],[Industry]]=Main_L[Industry],Main_L[A/E]),1)</f>
        <v>2.39</v>
      </c>
      <c r="W7" s="1" cm="1">
        <f t="array" ref="W7">_xlfn.QUARTILE.INC(IF(Quartile_L[[#This Row],[Industry]]=Main_L[Industry],Main_L[A/E]),3)</f>
        <v>45.86</v>
      </c>
      <c r="X7" s="1">
        <f>Quartile_L[[#This Row],[A/E Q1]]-1.5*(Quartile_L[[#This Row],[A/E Q3]]-Quartile_L[[#This Row],[A/E Q1]])</f>
        <v>-62.814999999999998</v>
      </c>
      <c r="Y7" s="1">
        <f>Quartile_L[[#This Row],[A/E Q3]]+1.5*(Quartile_L[[#This Row],[A/E Q3]]-Quartile_L[[#This Row],[A/E Q1]])</f>
        <v>111.065</v>
      </c>
    </row>
    <row r="8" spans="1:25" x14ac:dyDescent="0.25">
      <c r="A8" t="s">
        <v>110</v>
      </c>
      <c r="B8" s="1" cm="1">
        <f t="array" ref="B8">_xlfn.QUARTILE.INC(IF(Quartile_L[[#This Row],[Industry]]=Main_L[Industry],Main_L[P/FCF]),1)</f>
        <v>22.125420793877602</v>
      </c>
      <c r="C8" s="1" cm="1">
        <f t="array" ref="C8">_xlfn.QUARTILE.INC(IF(Quartile_L[[#This Row],[Industry]]=Main_L[Industry],Main_L[P/FCF]),3)</f>
        <v>29.593596737752801</v>
      </c>
      <c r="D8" s="1">
        <f>Quartile_L[[#This Row],[P/FCF Q1]]-1.5*(Quartile_L[[#This Row],[P/FCF Q3]]-Quartile_L[[#This Row],[P/FCF Q1]])</f>
        <v>10.923156878064804</v>
      </c>
      <c r="E8" s="1">
        <f>Quartile_L[[#This Row],[P/FCF Q3]]+1.5*(Quartile_L[[#This Row],[P/FCF Q3]]-Quartile_L[[#This Row],[P/FCF Q1]])</f>
        <v>40.795860653565597</v>
      </c>
      <c r="F8" s="1" cm="1">
        <f t="array" ref="F8">_xlfn.QUARTILE.INC(IF(Quartile_L[[#This Row],[Industry]]=Main_L[Industry],Main_L[P/B]),1)</f>
        <v>5.0528391580879948</v>
      </c>
      <c r="G8" s="1" cm="1">
        <f t="array" ref="G8">_xlfn.QUARTILE.INC(IF(Quartile_L[[#This Row],[Industry]]=Main_L[Industry],Main_L[P/B]),3)</f>
        <v>6.3404919018569954</v>
      </c>
      <c r="H8" s="1">
        <f>Quartile_L[[#This Row],[P/B Q1]]-1.5*(Quartile_L[[#This Row],[P/B Q3]]-Quartile_L[[#This Row],[P/B Q1]])</f>
        <v>3.1213600424344938</v>
      </c>
      <c r="I8" s="1">
        <f>Quartile_L[[#This Row],[P/B Q3]]+1.5*(Quartile_L[[#This Row],[P/B Q3]]-Quartile_L[[#This Row],[P/B Q1]])</f>
        <v>8.2719710175104968</v>
      </c>
      <c r="J8" s="1" cm="1">
        <f t="array" ref="J8">_xlfn.QUARTILE.INC(IF(Quartile_L[[#This Row],[Industry]]=Main_L[Industry],Main_L[ROE]),1)</f>
        <v>-3.0549999999999997</v>
      </c>
      <c r="K8" s="1" cm="1">
        <f t="array" ref="K8">_xlfn.QUARTILE.INC(IF(Quartile_L[[#This Row],[Industry]]=Main_L[Industry],Main_L[ROE]),3)</f>
        <v>19.634999999999998</v>
      </c>
      <c r="L8" s="1">
        <f>Quartile_L[[#This Row],[ROE Q1]]-1.5*(Quartile_L[[#This Row],[ROE Q3]]-Quartile_L[[#This Row],[ROE Q1]])</f>
        <v>-37.089999999999996</v>
      </c>
      <c r="M8" s="1">
        <f>Quartile_L[[#This Row],[ROE Q3]]+1.5*(Quartile_L[[#This Row],[ROE Q3]]-Quartile_L[[#This Row],[ROE Q1]])</f>
        <v>53.669999999999995</v>
      </c>
      <c r="N8" s="1" cm="1">
        <f t="array" ref="N8">_xlfn.QUARTILE.INC(IF(Quartile_L[[#This Row],[Industry]]=Main_L[Industry],Main_L[ROA]),1)</f>
        <v>5.38</v>
      </c>
      <c r="O8" s="1" cm="1">
        <f t="array" ref="O8">_xlfn.QUARTILE.INC(IF(Quartile_L[[#This Row],[Industry]]=Main_L[Industry],Main_L[ROA]),3)</f>
        <v>7.9749999999999996</v>
      </c>
      <c r="P8" s="1">
        <f>Quartile_L[[#This Row],[ROA Q1]]-1.5*(Quartile_L[[#This Row],[ROA Q3]]-Quartile_L[[#This Row],[ROA Q1]])</f>
        <v>1.4875000000000003</v>
      </c>
      <c r="Q8" s="1">
        <f>Quartile_L[[#This Row],[ROA Q3]]+1.5*(Quartile_L[[#This Row],[ROA Q3]]-Quartile_L[[#This Row],[ROA Q1]])</f>
        <v>11.8675</v>
      </c>
      <c r="R8" s="1" cm="1">
        <f t="array" ref="R8">_xlfn.QUARTILE.INC(IF(Quartile_L[[#This Row],[Industry]]=Main_L[Industry],Main_L[P/E]),1)</f>
        <v>-0.70825051434947994</v>
      </c>
      <c r="S8" s="1" cm="1">
        <f t="array" ref="S8">_xlfn.QUARTILE.INC(IF(Quartile_L[[#This Row],[Industry]]=Main_L[Industry],Main_L[P/E]),3)</f>
        <v>34.728082512892641</v>
      </c>
      <c r="T8" s="1">
        <f>Quartile_L[[#This Row],[P/E Q1]]-1.5*(Quartile_L[[#This Row],[P/E Q3]]-Quartile_L[[#This Row],[P/E Q1]])</f>
        <v>-53.862750055212665</v>
      </c>
      <c r="U8" s="1">
        <f>Quartile_L[[#This Row],[P/E Q3]]+1.5*(Quartile_L[[#This Row],[P/E Q3]]-Quartile_L[[#This Row],[P/E Q1]])</f>
        <v>87.882582053755826</v>
      </c>
      <c r="V8" s="1" cm="1">
        <f t="array" ref="V8">_xlfn.QUARTILE.INC(IF(Quartile_L[[#This Row],[Industry]]=Main_L[Industry],Main_L[A/E]),1)</f>
        <v>3.3200000000000003</v>
      </c>
      <c r="W8" s="1" cm="1">
        <f t="array" ref="W8">_xlfn.QUARTILE.INC(IF(Quartile_L[[#This Row],[Industry]]=Main_L[Industry],Main_L[A/E]),3)</f>
        <v>4.2850000000000001</v>
      </c>
      <c r="X8" s="1">
        <f>Quartile_L[[#This Row],[A/E Q1]]-1.5*(Quartile_L[[#This Row],[A/E Q3]]-Quartile_L[[#This Row],[A/E Q1]])</f>
        <v>1.8725000000000005</v>
      </c>
      <c r="Y8" s="1">
        <f>Quartile_L[[#This Row],[A/E Q3]]+1.5*(Quartile_L[[#This Row],[A/E Q3]]-Quartile_L[[#This Row],[A/E Q1]])</f>
        <v>5.7324999999999999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105</v>
      </c>
      <c r="B13" s="1" cm="1">
        <f t="array" ref="B13">_xlfn.QUARTILE.INC(IF(Quartile_M[[#This Row],[Industry]]=Main_M[Industry],Main_M[P/FCF]),1)</f>
        <v>18.402402402402402</v>
      </c>
      <c r="C13" s="1" cm="1">
        <f t="array" ref="C13">_xlfn.QUARTILE.INC(IF(Quartile_M[[#This Row],[Industry]]=Main_M[Industry],Main_M[P/FCF]),3)</f>
        <v>49.465517241379317</v>
      </c>
      <c r="D13" s="1">
        <f>Quartile_M[[#This Row],[P/FCF Q1]]-1.5*(Quartile_M[[#This Row],[P/FCF Q3]]-Quartile_M[[#This Row],[P/FCF Q1]])</f>
        <v>-28.192269856062971</v>
      </c>
      <c r="E13" s="1">
        <f>Quartile_M[[#This Row],[P/FCF Q3]]+1.5*(Quartile_M[[#This Row],[P/FCF Q3]]-Quartile_M[[#This Row],[P/FCF Q1]])</f>
        <v>96.060189499844682</v>
      </c>
      <c r="F13" s="1" cm="1">
        <f t="array" ref="F13">_xlfn.QUARTILE.INC(IF(Quartile_M[[#This Row],[Industry]]=Main_M[Industry],Main_M[P/B]),1)</f>
        <v>1.3978794642857144</v>
      </c>
      <c r="G13" s="1" cm="1">
        <f t="array" ref="G13">_xlfn.QUARTILE.INC(IF(Quartile_M[[#This Row],[Industry]]=Main_M[Industry],Main_M[P/B]),3)</f>
        <v>4.6006006006006004</v>
      </c>
      <c r="H13" s="1">
        <f>Quartile_M[[#This Row],[P/B Q1]]-1.5*(Quartile_M[[#This Row],[P/B Q3]]-Quartile_M[[#This Row],[P/B Q1]])</f>
        <v>-3.406202240186615</v>
      </c>
      <c r="I13" s="1">
        <f>Quartile_M[[#This Row],[P/B Q3]]+1.5*(Quartile_M[[#This Row],[P/B Q3]]-Quartile_M[[#This Row],[P/B Q1]])</f>
        <v>9.4046823050729298</v>
      </c>
      <c r="J13" s="1" cm="1">
        <f t="array" ref="J13">_xlfn.QUARTILE.INC(IF(Quartile_M[[#This Row],[Industry]]=Main_M[Industry],Main_M[ROE]),1)</f>
        <v>-66.209999999999994</v>
      </c>
      <c r="K13" s="1" cm="1">
        <f t="array" ref="K13">_xlfn.QUARTILE.INC(IF(Quartile_M[[#This Row],[Industry]]=Main_M[Industry],Main_M[ROE]),3)</f>
        <v>12.6</v>
      </c>
      <c r="L13" s="1">
        <f>Quartile_M[[#This Row],[ROE Q1]]-1.5*(Quartile_M[[#This Row],[ROE Q3]]-Quartile_M[[#This Row],[ROE Q1]])</f>
        <v>-184.42499999999995</v>
      </c>
      <c r="M13" s="1">
        <f>Quartile_M[[#This Row],[ROE Q3]]+1.5*(Quartile_M[[#This Row],[ROE Q3]]-Quartile_M[[#This Row],[ROE Q1]])</f>
        <v>130.81499999999997</v>
      </c>
      <c r="N13" s="1" cm="1">
        <f t="array" ref="N13">_xlfn.QUARTILE.INC(IF(Quartile_M[[#This Row],[Industry]]=Main_M[Industry],Main_M[ROA]),1)</f>
        <v>3.97</v>
      </c>
      <c r="O13" s="1" cm="1">
        <f t="array" ref="O13">_xlfn.QUARTILE.INC(IF(Quartile_M[[#This Row],[Industry]]=Main_M[Industry],Main_M[ROA]),3)</f>
        <v>4.79</v>
      </c>
      <c r="P13" s="1">
        <f>Quartile_M[[#This Row],[ROA Q1]]-1.5*(Quartile_M[[#This Row],[ROA Q3]]-Quartile_M[[#This Row],[ROA Q1]])</f>
        <v>2.74</v>
      </c>
      <c r="Q13" s="1">
        <f>Quartile_M[[#This Row],[ROA Q3]]+1.5*(Quartile_M[[#This Row],[ROA Q3]]-Quartile_M[[#This Row],[ROA Q1]])</f>
        <v>6.02</v>
      </c>
      <c r="R13" s="1" cm="1">
        <f t="array" ref="R13">_xlfn.QUARTILE.INC(IF(Quartile_M[[#This Row],[Industry]]=Main_M[Industry],Main_M[P/E]),1)</f>
        <v>18.374083129584353</v>
      </c>
      <c r="S13" s="1" cm="1">
        <f t="array" ref="S13">_xlfn.QUARTILE.INC(IF(Quartile_M[[#This Row],[Industry]]=Main_M[Industry],Main_M[P/E]),3)</f>
        <v>41.687074829931973</v>
      </c>
      <c r="T13" s="1">
        <f>Quartile_M[[#This Row],[P/E Q1]]-1.5*(Quartile_M[[#This Row],[P/E Q3]]-Quartile_M[[#This Row],[P/E Q1]])</f>
        <v>-16.595404420937076</v>
      </c>
      <c r="U13" s="1">
        <f>Quartile_M[[#This Row],[P/E Q3]]+1.5*(Quartile_M[[#This Row],[P/E Q3]]-Quartile_M[[#This Row],[P/E Q1]])</f>
        <v>76.656562380453408</v>
      </c>
      <c r="V13" s="1" cm="1">
        <f t="array" ref="V13">_xlfn.QUARTILE.INC(IF(Quartile_M[[#This Row],[Industry]]=Main_M[Industry],Main_M[A/E]),1)</f>
        <v>1.78</v>
      </c>
      <c r="W13" s="1" cm="1">
        <f t="array" ref="W13">_xlfn.QUARTILE.INC(IF(Quartile_M[[#This Row],[Industry]]=Main_M[Industry],Main_M[A/E]),3)</f>
        <v>5.65</v>
      </c>
      <c r="X13" s="1">
        <f>Quartile_M[[#This Row],[A/E Q1]]-1.5*(Quartile_M[[#This Row],[A/E Q3]]-Quartile_M[[#This Row],[A/E Q1]])</f>
        <v>-4.0249999999999995</v>
      </c>
      <c r="Y13" s="1">
        <f>Quartile_M[[#This Row],[A/E Q3]]+1.5*(Quartile_M[[#This Row],[A/E Q3]]-Quartile_M[[#This Row],[A/E Q1]])</f>
        <v>11.455</v>
      </c>
    </row>
    <row r="14" spans="1:25" x14ac:dyDescent="0.25">
      <c r="A14" t="s">
        <v>106</v>
      </c>
      <c r="B14" s="1" cm="1">
        <f t="array" ref="B14">_xlfn.QUARTILE.INC(IF(Quartile_M[[#This Row],[Industry]]=Main_M[Industry],Main_M[P/FCF]),1)</f>
        <v>23.288770053475933</v>
      </c>
      <c r="C14" s="1" cm="1">
        <f t="array" ref="C14">_xlfn.QUARTILE.INC(IF(Quartile_M[[#This Row],[Industry]]=Main_M[Industry],Main_M[P/FCF]),3)</f>
        <v>42.142857142857146</v>
      </c>
      <c r="D14" s="1">
        <f>Quartile_M[[#This Row],[P/FCF Q1]]-1.5*(Quartile_M[[#This Row],[P/FCF Q3]]-Quartile_M[[#This Row],[P/FCF Q1]])</f>
        <v>-4.9923605805958893</v>
      </c>
      <c r="E14" s="1">
        <f>Quartile_M[[#This Row],[P/FCF Q3]]+1.5*(Quartile_M[[#This Row],[P/FCF Q3]]-Quartile_M[[#This Row],[P/FCF Q1]])</f>
        <v>70.423987776928968</v>
      </c>
      <c r="F14" s="1" cm="1">
        <f t="array" ref="F14">_xlfn.QUARTILE.INC(IF(Quartile_M[[#This Row],[Industry]]=Main_M[Industry],Main_M[P/B]),1)</f>
        <v>3.5542168674698793</v>
      </c>
      <c r="G14" s="1" cm="1">
        <f t="array" ref="G14">_xlfn.QUARTILE.INC(IF(Quartile_M[[#This Row],[Industry]]=Main_M[Industry],Main_M[P/B]),3)</f>
        <v>10.057736720554272</v>
      </c>
      <c r="H14" s="1">
        <f>Quartile_M[[#This Row],[P/B Q1]]-1.5*(Quartile_M[[#This Row],[P/B Q3]]-Quartile_M[[#This Row],[P/B Q1]])</f>
        <v>-6.2010629121567113</v>
      </c>
      <c r="I14" s="1">
        <f>Quartile_M[[#This Row],[P/B Q3]]+1.5*(Quartile_M[[#This Row],[P/B Q3]]-Quartile_M[[#This Row],[P/B Q1]])</f>
        <v>19.813016500180865</v>
      </c>
      <c r="J14" s="1" cm="1">
        <f t="array" ref="J14">_xlfn.QUARTILE.INC(IF(Quartile_M[[#This Row],[Industry]]=Main_M[Industry],Main_M[ROE]),1)</f>
        <v>8.4525000000000006</v>
      </c>
      <c r="K14" s="1" cm="1">
        <f t="array" ref="K14">_xlfn.QUARTILE.INC(IF(Quartile_M[[#This Row],[Industry]]=Main_M[Industry],Main_M[ROE]),3)</f>
        <v>21.78</v>
      </c>
      <c r="L14" s="1">
        <f>Quartile_M[[#This Row],[ROE Q1]]-1.5*(Quartile_M[[#This Row],[ROE Q3]]-Quartile_M[[#This Row],[ROE Q1]])</f>
        <v>-11.53875</v>
      </c>
      <c r="M14" s="1">
        <f>Quartile_M[[#This Row],[ROE Q3]]+1.5*(Quartile_M[[#This Row],[ROE Q3]]-Quartile_M[[#This Row],[ROE Q1]])</f>
        <v>41.771250000000002</v>
      </c>
      <c r="N14" s="1" cm="1">
        <f t="array" ref="N14">_xlfn.QUARTILE.INC(IF(Quartile_M[[#This Row],[Industry]]=Main_M[Industry],Main_M[ROA]),1)</f>
        <v>4.4824999999999999</v>
      </c>
      <c r="O14" s="1" cm="1">
        <f t="array" ref="O14">_xlfn.QUARTILE.INC(IF(Quartile_M[[#This Row],[Industry]]=Main_M[Industry],Main_M[ROA]),3)</f>
        <v>12.35</v>
      </c>
      <c r="P14" s="1">
        <f>Quartile_M[[#This Row],[ROA Q1]]-1.5*(Quartile_M[[#This Row],[ROA Q3]]-Quartile_M[[#This Row],[ROA Q1]])</f>
        <v>-7.3187499999999996</v>
      </c>
      <c r="Q14" s="1">
        <f>Quartile_M[[#This Row],[ROA Q3]]+1.5*(Quartile_M[[#This Row],[ROA Q3]]-Quartile_M[[#This Row],[ROA Q1]])</f>
        <v>24.151249999999997</v>
      </c>
      <c r="R14" s="1" cm="1">
        <f t="array" ref="R14">_xlfn.QUARTILE.INC(IF(Quartile_M[[#This Row],[Industry]]=Main_M[Industry],Main_M[P/E]),1)</f>
        <v>32.821782178217823</v>
      </c>
      <c r="S14" s="1" cm="1">
        <f t="array" ref="S14">_xlfn.QUARTILE.INC(IF(Quartile_M[[#This Row],[Industry]]=Main_M[Industry],Main_M[P/E]),3)</f>
        <v>39.003246753246749</v>
      </c>
      <c r="T14" s="1">
        <f>Quartile_M[[#This Row],[P/E Q1]]-1.5*(Quartile_M[[#This Row],[P/E Q3]]-Quartile_M[[#This Row],[P/E Q1]])</f>
        <v>23.549585315674435</v>
      </c>
      <c r="U14" s="1">
        <f>Quartile_M[[#This Row],[P/E Q3]]+1.5*(Quartile_M[[#This Row],[P/E Q3]]-Quartile_M[[#This Row],[P/E Q1]])</f>
        <v>48.275443615790138</v>
      </c>
      <c r="V14" s="1" cm="1">
        <f t="array" ref="V14">_xlfn.QUARTILE.INC(IF(Quartile_M[[#This Row],[Industry]]=Main_M[Industry],Main_M[A/E]),1)</f>
        <v>1.38</v>
      </c>
      <c r="W14" s="1" cm="1">
        <f t="array" ref="W14">_xlfn.QUARTILE.INC(IF(Quartile_M[[#This Row],[Industry]]=Main_M[Industry],Main_M[A/E]),3)</f>
        <v>2.3325</v>
      </c>
      <c r="X14" s="1">
        <f>Quartile_M[[#This Row],[A/E Q1]]-1.5*(Quartile_M[[#This Row],[A/E Q3]]-Quartile_M[[#This Row],[A/E Q1]])</f>
        <v>-4.8750000000000293E-2</v>
      </c>
      <c r="Y14" s="1">
        <f>Quartile_M[[#This Row],[A/E Q3]]+1.5*(Quartile_M[[#This Row],[A/E Q3]]-Quartile_M[[#This Row],[A/E Q1]])</f>
        <v>3.7612500000000004</v>
      </c>
    </row>
    <row r="15" spans="1:25" x14ac:dyDescent="0.25">
      <c r="A15" t="s">
        <v>107</v>
      </c>
      <c r="B15" s="1" cm="1">
        <f t="array" ref="B15">_xlfn.QUARTILE.INC(IF(Quartile_M[[#This Row],[Industry]]=Main_M[Industry],Main_M[P/FCF]),1)</f>
        <v>7.2922127764709055</v>
      </c>
      <c r="C15" s="1" cm="1">
        <f t="array" ref="C15">_xlfn.QUARTILE.INC(IF(Quartile_M[[#This Row],[Industry]]=Main_M[Industry],Main_M[P/FCF]),3)</f>
        <v>19.664355418592709</v>
      </c>
      <c r="D15" s="1">
        <f>Quartile_M[[#This Row],[P/FCF Q1]]-1.5*(Quartile_M[[#This Row],[P/FCF Q3]]-Quartile_M[[#This Row],[P/FCF Q1]])</f>
        <v>-11.266001186711804</v>
      </c>
      <c r="E15" s="1">
        <f>Quartile_M[[#This Row],[P/FCF Q3]]+1.5*(Quartile_M[[#This Row],[P/FCF Q3]]-Quartile_M[[#This Row],[P/FCF Q1]])</f>
        <v>38.222569381775415</v>
      </c>
      <c r="F15" s="1" cm="1">
        <f t="array" ref="F15">_xlfn.QUARTILE.INC(IF(Quartile_M[[#This Row],[Industry]]=Main_M[Industry],Main_M[P/B]),1)</f>
        <v>1.5419953953220082</v>
      </c>
      <c r="G15" s="1" cm="1">
        <f t="array" ref="G15">_xlfn.QUARTILE.INC(IF(Quartile_M[[#This Row],[Industry]]=Main_M[Industry],Main_M[P/B]),3)</f>
        <v>2.6148483025677658</v>
      </c>
      <c r="H15" s="1">
        <f>Quartile_M[[#This Row],[P/B Q1]]-1.5*(Quartile_M[[#This Row],[P/B Q3]]-Quartile_M[[#This Row],[P/B Q1]])</f>
        <v>-6.7283965546627966E-2</v>
      </c>
      <c r="I15" s="1">
        <f>Quartile_M[[#This Row],[P/B Q3]]+1.5*(Quartile_M[[#This Row],[P/B Q3]]-Quartile_M[[#This Row],[P/B Q1]])</f>
        <v>4.224127663436402</v>
      </c>
      <c r="J15" s="1" cm="1">
        <f t="array" ref="J15">_xlfn.QUARTILE.INC(IF(Quartile_M[[#This Row],[Industry]]=Main_M[Industry],Main_M[ROE]),1)</f>
        <v>7.86</v>
      </c>
      <c r="K15" s="1" cm="1">
        <f t="array" ref="K15">_xlfn.QUARTILE.INC(IF(Quartile_M[[#This Row],[Industry]]=Main_M[Industry],Main_M[ROE]),3)</f>
        <v>17.82</v>
      </c>
      <c r="L15" s="1">
        <f>Quartile_M[[#This Row],[ROE Q1]]-1.5*(Quartile_M[[#This Row],[ROE Q3]]-Quartile_M[[#This Row],[ROE Q1]])</f>
        <v>-7.080000000000001</v>
      </c>
      <c r="M15" s="1">
        <f>Quartile_M[[#This Row],[ROE Q3]]+1.5*(Quartile_M[[#This Row],[ROE Q3]]-Quartile_M[[#This Row],[ROE Q1]])</f>
        <v>32.760000000000005</v>
      </c>
      <c r="N15" s="1" cm="1">
        <f t="array" ref="N15">_xlfn.QUARTILE.INC(IF(Quartile_M[[#This Row],[Industry]]=Main_M[Industry],Main_M[ROA]),1)</f>
        <v>4.2074999999999996</v>
      </c>
      <c r="O15" s="1" cm="1">
        <f t="array" ref="O15">_xlfn.QUARTILE.INC(IF(Quartile_M[[#This Row],[Industry]]=Main_M[Industry],Main_M[ROA]),3)</f>
        <v>7.1074999999999999</v>
      </c>
      <c r="P15" s="1">
        <f>Quartile_M[[#This Row],[ROA Q1]]-1.5*(Quartile_M[[#This Row],[ROA Q3]]-Quartile_M[[#This Row],[ROA Q1]])</f>
        <v>-0.14250000000000096</v>
      </c>
      <c r="Q15" s="1">
        <f>Quartile_M[[#This Row],[ROA Q3]]+1.5*(Quartile_M[[#This Row],[ROA Q3]]-Quartile_M[[#This Row],[ROA Q1]])</f>
        <v>11.4575</v>
      </c>
      <c r="R15" s="1" cm="1">
        <f t="array" ref="R15">_xlfn.QUARTILE.INC(IF(Quartile_M[[#This Row],[Industry]]=Main_M[Industry],Main_M[P/E]),1)</f>
        <v>12.404338153503893</v>
      </c>
      <c r="S15" s="1" cm="1">
        <f t="array" ref="S15">_xlfn.QUARTILE.INC(IF(Quartile_M[[#This Row],[Industry]]=Main_M[Industry],Main_M[P/E]),3)</f>
        <v>27.035222457627118</v>
      </c>
      <c r="T15" s="1">
        <f>Quartile_M[[#This Row],[P/E Q1]]-1.5*(Quartile_M[[#This Row],[P/E Q3]]-Quartile_M[[#This Row],[P/E Q1]])</f>
        <v>-9.5419883026809416</v>
      </c>
      <c r="U15" s="1">
        <f>Quartile_M[[#This Row],[P/E Q3]]+1.5*(Quartile_M[[#This Row],[P/E Q3]]-Quartile_M[[#This Row],[P/E Q1]])</f>
        <v>48.981548913811949</v>
      </c>
      <c r="V15" s="1" cm="1">
        <f t="array" ref="V15">_xlfn.QUARTILE.INC(IF(Quartile_M[[#This Row],[Industry]]=Main_M[Industry],Main_M[A/E]),1)</f>
        <v>1.4</v>
      </c>
      <c r="W15" s="1" cm="1">
        <f t="array" ref="W15">_xlfn.QUARTILE.INC(IF(Quartile_M[[#This Row],[Industry]]=Main_M[Industry],Main_M[A/E]),3)</f>
        <v>2.4125000000000001</v>
      </c>
      <c r="X15" s="1">
        <f>Quartile_M[[#This Row],[A/E Q1]]-1.5*(Quartile_M[[#This Row],[A/E Q3]]-Quartile_M[[#This Row],[A/E Q1]])</f>
        <v>-0.11875000000000036</v>
      </c>
      <c r="Y15" s="1">
        <f>Quartile_M[[#This Row],[A/E Q3]]+1.5*(Quartile_M[[#This Row],[A/E Q3]]-Quartile_M[[#This Row],[A/E Q1]])</f>
        <v>3.9312500000000004</v>
      </c>
    </row>
    <row r="16" spans="1:25" x14ac:dyDescent="0.25">
      <c r="A16" t="s">
        <v>108</v>
      </c>
      <c r="B16" s="1" cm="1">
        <f t="array" ref="B16">_xlfn.QUARTILE.INC(IF(Quartile_M[[#This Row],[Industry]]=Main_M[Industry],Main_M[P/FCF]),1)</f>
        <v>21.111111111111111</v>
      </c>
      <c r="C16" s="1" cm="1">
        <f t="array" ref="C16">_xlfn.QUARTILE.INC(IF(Quartile_M[[#This Row],[Industry]]=Main_M[Industry],Main_M[P/FCF]),3)</f>
        <v>21.111111111111111</v>
      </c>
      <c r="D16" s="1">
        <f>Quartile_M[[#This Row],[P/FCF Q1]]-1.5*(Quartile_M[[#This Row],[P/FCF Q3]]-Quartile_M[[#This Row],[P/FCF Q1]])</f>
        <v>21.111111111111111</v>
      </c>
      <c r="E16" s="1">
        <f>Quartile_M[[#This Row],[P/FCF Q3]]+1.5*(Quartile_M[[#This Row],[P/FCF Q3]]-Quartile_M[[#This Row],[P/FCF Q1]])</f>
        <v>21.111111111111111</v>
      </c>
      <c r="F16" s="1" cm="1">
        <f t="array" ref="F16">_xlfn.QUARTILE.INC(IF(Quartile_M[[#This Row],[Industry]]=Main_M[Industry],Main_M[P/B]),1)</f>
        <v>1.0555555555555556</v>
      </c>
      <c r="G16" s="1" cm="1">
        <f t="array" ref="G16">_xlfn.QUARTILE.INC(IF(Quartile_M[[#This Row],[Industry]]=Main_M[Industry],Main_M[P/B]),3)</f>
        <v>1.0555555555555556</v>
      </c>
      <c r="H16" s="1">
        <f>Quartile_M[[#This Row],[P/B Q1]]-1.5*(Quartile_M[[#This Row],[P/B Q3]]-Quartile_M[[#This Row],[P/B Q1]])</f>
        <v>1.0555555555555556</v>
      </c>
      <c r="I16" s="1">
        <f>Quartile_M[[#This Row],[P/B Q3]]+1.5*(Quartile_M[[#This Row],[P/B Q3]]-Quartile_M[[#This Row],[P/B Q1]])</f>
        <v>1.0555555555555556</v>
      </c>
      <c r="J16" s="1" cm="1">
        <f t="array" ref="J16">_xlfn.QUARTILE.INC(IF(Quartile_M[[#This Row],[Industry]]=Main_M[Industry],Main_M[ROE]),1)</f>
        <v>3.57</v>
      </c>
      <c r="K16" s="1" cm="1">
        <f t="array" ref="K16">_xlfn.QUARTILE.INC(IF(Quartile_M[[#This Row],[Industry]]=Main_M[Industry],Main_M[ROE]),3)</f>
        <v>3.57</v>
      </c>
      <c r="L16" s="1">
        <f>Quartile_M[[#This Row],[ROE Q1]]-1.5*(Quartile_M[[#This Row],[ROE Q3]]-Quartile_M[[#This Row],[ROE Q1]])</f>
        <v>3.57</v>
      </c>
      <c r="M16" s="1">
        <f>Quartile_M[[#This Row],[ROE Q3]]+1.5*(Quartile_M[[#This Row],[ROE Q3]]-Quartile_M[[#This Row],[ROE Q1]])</f>
        <v>3.57</v>
      </c>
      <c r="N16" s="1" cm="1">
        <f t="array" ref="N16">_xlfn.QUARTILE.INC(IF(Quartile_M[[#This Row],[Industry]]=Main_M[Industry],Main_M[ROA]),1)</f>
        <v>-0.4</v>
      </c>
      <c r="O16" s="1" cm="1">
        <f t="array" ref="O16">_xlfn.QUARTILE.INC(IF(Quartile_M[[#This Row],[Industry]]=Main_M[Industry],Main_M[ROA]),3)</f>
        <v>-0.4</v>
      </c>
      <c r="P16" s="1">
        <f>Quartile_M[[#This Row],[ROA Q1]]-1.5*(Quartile_M[[#This Row],[ROA Q3]]-Quartile_M[[#This Row],[ROA Q1]])</f>
        <v>-0.4</v>
      </c>
      <c r="Q16" s="1">
        <f>Quartile_M[[#This Row],[ROA Q3]]+1.5*(Quartile_M[[#This Row],[ROA Q3]]-Quartile_M[[#This Row],[ROA Q1]])</f>
        <v>-0.4</v>
      </c>
      <c r="R16" s="1" cm="1">
        <f t="array" ref="R16">_xlfn.QUARTILE.INC(IF(Quartile_M[[#This Row],[Industry]]=Main_M[Industry],Main_M[P/E]),1)</f>
        <v>31.666666666666668</v>
      </c>
      <c r="S16" s="1" cm="1">
        <f t="array" ref="S16">_xlfn.QUARTILE.INC(IF(Quartile_M[[#This Row],[Industry]]=Main_M[Industry],Main_M[P/E]),3)</f>
        <v>31.666666666666668</v>
      </c>
      <c r="T16" s="1">
        <f>Quartile_M[[#This Row],[P/E Q1]]-1.5*(Quartile_M[[#This Row],[P/E Q3]]-Quartile_M[[#This Row],[P/E Q1]])</f>
        <v>31.666666666666668</v>
      </c>
      <c r="U16" s="1">
        <f>Quartile_M[[#This Row],[P/E Q3]]+1.5*(Quartile_M[[#This Row],[P/E Q3]]-Quartile_M[[#This Row],[P/E Q1]])</f>
        <v>31.666666666666668</v>
      </c>
      <c r="V16" s="1" cm="1">
        <f t="array" ref="V16">_xlfn.QUARTILE.INC(IF(Quartile_M[[#This Row],[Industry]]=Main_M[Industry],Main_M[A/E]),1)</f>
        <v>1.06</v>
      </c>
      <c r="W16" s="1" cm="1">
        <f t="array" ref="W16">_xlfn.QUARTILE.INC(IF(Quartile_M[[#This Row],[Industry]]=Main_M[Industry],Main_M[A/E]),3)</f>
        <v>1.06</v>
      </c>
      <c r="X16" s="1">
        <f>Quartile_M[[#This Row],[A/E Q1]]-1.5*(Quartile_M[[#This Row],[A/E Q3]]-Quartile_M[[#This Row],[A/E Q1]])</f>
        <v>1.06</v>
      </c>
      <c r="Y16" s="1">
        <f>Quartile_M[[#This Row],[A/E Q3]]+1.5*(Quartile_M[[#This Row],[A/E Q3]]-Quartile_M[[#This Row],[A/E Q1]])</f>
        <v>1.06</v>
      </c>
    </row>
    <row r="17" spans="1:25" x14ac:dyDescent="0.25">
      <c r="A17" t="s">
        <v>109</v>
      </c>
      <c r="B17" s="1" cm="1">
        <f t="array" ref="B17">_xlfn.QUARTILE.INC(IF(Quartile_M[[#This Row],[Industry]]=Main_M[Industry],Main_M[P/FCF]),1)</f>
        <v>11.071620795107034</v>
      </c>
      <c r="C17" s="1" cm="1">
        <f t="array" ref="C17">_xlfn.QUARTILE.INC(IF(Quartile_M[[#This Row],[Industry]]=Main_M[Industry],Main_M[P/FCF]),3)</f>
        <v>32.372757201646088</v>
      </c>
      <c r="D17" s="1">
        <f>Quartile_M[[#This Row],[P/FCF Q1]]-1.5*(Quartile_M[[#This Row],[P/FCF Q3]]-Quartile_M[[#This Row],[P/FCF Q1]])</f>
        <v>-20.880083814701546</v>
      </c>
      <c r="E17" s="1">
        <f>Quartile_M[[#This Row],[P/FCF Q3]]+1.5*(Quartile_M[[#This Row],[P/FCF Q3]]-Quartile_M[[#This Row],[P/FCF Q1]])</f>
        <v>64.324461811454668</v>
      </c>
      <c r="F17" s="1" cm="1">
        <f t="array" ref="F17">_xlfn.QUARTILE.INC(IF(Quartile_M[[#This Row],[Industry]]=Main_M[Industry],Main_M[P/B]),1)</f>
        <v>1.9340993531290338</v>
      </c>
      <c r="G17" s="1" cm="1">
        <f t="array" ref="G17">_xlfn.QUARTILE.INC(IF(Quartile_M[[#This Row],[Industry]]=Main_M[Industry],Main_M[P/B]),3)</f>
        <v>7.8515159867848574</v>
      </c>
      <c r="H17" s="1">
        <f>Quartile_M[[#This Row],[P/B Q1]]-1.5*(Quartile_M[[#This Row],[P/B Q3]]-Quartile_M[[#This Row],[P/B Q1]])</f>
        <v>-6.9420255973547018</v>
      </c>
      <c r="I17" s="1">
        <f>Quartile_M[[#This Row],[P/B Q3]]+1.5*(Quartile_M[[#This Row],[P/B Q3]]-Quartile_M[[#This Row],[P/B Q1]])</f>
        <v>16.727640937268593</v>
      </c>
      <c r="J17" s="1" cm="1">
        <f t="array" ref="J17">_xlfn.QUARTILE.INC(IF(Quartile_M[[#This Row],[Industry]]=Main_M[Industry],Main_M[ROE]),1)</f>
        <v>12.26</v>
      </c>
      <c r="K17" s="1" cm="1">
        <f t="array" ref="K17">_xlfn.QUARTILE.INC(IF(Quartile_M[[#This Row],[Industry]]=Main_M[Industry],Main_M[ROE]),3)</f>
        <v>26.754999999999999</v>
      </c>
      <c r="L17" s="1">
        <f>Quartile_M[[#This Row],[ROE Q1]]-1.5*(Quartile_M[[#This Row],[ROE Q3]]-Quartile_M[[#This Row],[ROE Q1]])</f>
        <v>-9.4824999999999999</v>
      </c>
      <c r="M17" s="1">
        <f>Quartile_M[[#This Row],[ROE Q3]]+1.5*(Quartile_M[[#This Row],[ROE Q3]]-Quartile_M[[#This Row],[ROE Q1]])</f>
        <v>48.497500000000002</v>
      </c>
      <c r="N17" s="1" cm="1">
        <f t="array" ref="N17">_xlfn.QUARTILE.INC(IF(Quartile_M[[#This Row],[Industry]]=Main_M[Industry],Main_M[ROA]),1)</f>
        <v>5.68</v>
      </c>
      <c r="O17" s="1" cm="1">
        <f t="array" ref="O17">_xlfn.QUARTILE.INC(IF(Quartile_M[[#This Row],[Industry]]=Main_M[Industry],Main_M[ROA]),3)</f>
        <v>10.42</v>
      </c>
      <c r="P17" s="1">
        <f>Quartile_M[[#This Row],[ROA Q1]]-1.5*(Quartile_M[[#This Row],[ROA Q3]]-Quartile_M[[#This Row],[ROA Q1]])</f>
        <v>-1.4300000000000006</v>
      </c>
      <c r="Q17" s="1">
        <f>Quartile_M[[#This Row],[ROA Q3]]+1.5*(Quartile_M[[#This Row],[ROA Q3]]-Quartile_M[[#This Row],[ROA Q1]])</f>
        <v>17.53</v>
      </c>
      <c r="R17" s="1" cm="1">
        <f t="array" ref="R17">_xlfn.QUARTILE.INC(IF(Quartile_M[[#This Row],[Industry]]=Main_M[Industry],Main_M[P/E]),1)</f>
        <v>17.305791692584144</v>
      </c>
      <c r="S17" s="1" cm="1">
        <f t="array" ref="S17">_xlfn.QUARTILE.INC(IF(Quartile_M[[#This Row],[Industry]]=Main_M[Industry],Main_M[P/E]),3)</f>
        <v>29.12015177804652</v>
      </c>
      <c r="T17" s="1">
        <f>Quartile_M[[#This Row],[P/E Q1]]-1.5*(Quartile_M[[#This Row],[P/E Q3]]-Quartile_M[[#This Row],[P/E Q1]])</f>
        <v>-0.41574843560941943</v>
      </c>
      <c r="U17" s="1">
        <f>Quartile_M[[#This Row],[P/E Q3]]+1.5*(Quartile_M[[#This Row],[P/E Q3]]-Quartile_M[[#This Row],[P/E Q1]])</f>
        <v>46.841691906240086</v>
      </c>
      <c r="V17" s="1" cm="1">
        <f t="array" ref="V17">_xlfn.QUARTILE.INC(IF(Quartile_M[[#This Row],[Industry]]=Main_M[Industry],Main_M[A/E]),1)</f>
        <v>2.085</v>
      </c>
      <c r="W17" s="1" cm="1">
        <f t="array" ref="W17">_xlfn.QUARTILE.INC(IF(Quartile_M[[#This Row],[Industry]]=Main_M[Industry],Main_M[A/E]),3)</f>
        <v>2.3049999999999997</v>
      </c>
      <c r="X17" s="1">
        <f>Quartile_M[[#This Row],[A/E Q1]]-1.5*(Quartile_M[[#This Row],[A/E Q3]]-Quartile_M[[#This Row],[A/E Q1]])</f>
        <v>1.7550000000000003</v>
      </c>
      <c r="Y17" s="1">
        <f>Quartile_M[[#This Row],[A/E Q3]]+1.5*(Quartile_M[[#This Row],[A/E Q3]]-Quartile_M[[#This Row],[A/E Q1]])</f>
        <v>2.6349999999999993</v>
      </c>
    </row>
    <row r="18" spans="1:25" x14ac:dyDescent="0.25">
      <c r="A18" t="s">
        <v>110</v>
      </c>
      <c r="B18" s="1" cm="1">
        <f t="array" ref="B18">_xlfn.QUARTILE.INC(IF(Quartile_M[[#This Row],[Industry]]=Main_M[Industry],Main_M[P/FCF]),1)</f>
        <v>22.092296511627907</v>
      </c>
      <c r="C18" s="1" cm="1">
        <f t="array" ref="C18">_xlfn.QUARTILE.INC(IF(Quartile_M[[#This Row],[Industry]]=Main_M[Industry],Main_M[P/FCF]),3)</f>
        <v>83.242378048780481</v>
      </c>
      <c r="D18" s="1">
        <f>Quartile_M[[#This Row],[P/FCF Q1]]-1.5*(Quartile_M[[#This Row],[P/FCF Q3]]-Quartile_M[[#This Row],[P/FCF Q1]])</f>
        <v>-69.632825794100953</v>
      </c>
      <c r="E18" s="1">
        <f>Quartile_M[[#This Row],[P/FCF Q3]]+1.5*(Quartile_M[[#This Row],[P/FCF Q3]]-Quartile_M[[#This Row],[P/FCF Q1]])</f>
        <v>174.96750035450935</v>
      </c>
      <c r="F18" s="1" cm="1">
        <f t="array" ref="F18">_xlfn.QUARTILE.INC(IF(Quartile_M[[#This Row],[Industry]]=Main_M[Industry],Main_M[P/B]),1)</f>
        <v>-7.1574733510217357</v>
      </c>
      <c r="G18" s="1" cm="1">
        <f t="array" ref="G18">_xlfn.QUARTILE.INC(IF(Quartile_M[[#This Row],[Industry]]=Main_M[Industry],Main_M[P/B]),3)</f>
        <v>5.245894282238261</v>
      </c>
      <c r="H18" s="1">
        <f>Quartile_M[[#This Row],[P/B Q1]]-1.5*(Quartile_M[[#This Row],[P/B Q3]]-Quartile_M[[#This Row],[P/B Q1]])</f>
        <v>-25.762524800911731</v>
      </c>
      <c r="I18" s="1">
        <f>Quartile_M[[#This Row],[P/B Q3]]+1.5*(Quartile_M[[#This Row],[P/B Q3]]-Quartile_M[[#This Row],[P/B Q1]])</f>
        <v>23.850945732128256</v>
      </c>
      <c r="J18" s="1" cm="1">
        <f t="array" ref="J18">_xlfn.QUARTILE.INC(IF(Quartile_M[[#This Row],[Industry]]=Main_M[Industry],Main_M[ROE]),1)</f>
        <v>-27.429999999999993</v>
      </c>
      <c r="K18" s="1" cm="1">
        <f t="array" ref="K18">_xlfn.QUARTILE.INC(IF(Quartile_M[[#This Row],[Industry]]=Main_M[Industry],Main_M[ROE]),3)</f>
        <v>16.045000000000002</v>
      </c>
      <c r="L18" s="1">
        <f>Quartile_M[[#This Row],[ROE Q1]]-1.5*(Quartile_M[[#This Row],[ROE Q3]]-Quartile_M[[#This Row],[ROE Q1]])</f>
        <v>-92.642499999999984</v>
      </c>
      <c r="M18" s="1">
        <f>Quartile_M[[#This Row],[ROE Q3]]+1.5*(Quartile_M[[#This Row],[ROE Q3]]-Quartile_M[[#This Row],[ROE Q1]])</f>
        <v>81.257499999999993</v>
      </c>
      <c r="N18" s="1" cm="1">
        <f t="array" ref="N18">_xlfn.QUARTILE.INC(IF(Quartile_M[[#This Row],[Industry]]=Main_M[Industry],Main_M[ROA]),1)</f>
        <v>5.9824999999999999</v>
      </c>
      <c r="O18" s="1" cm="1">
        <f t="array" ref="O18">_xlfn.QUARTILE.INC(IF(Quartile_M[[#This Row],[Industry]]=Main_M[Industry],Main_M[ROA]),3)</f>
        <v>17.8475</v>
      </c>
      <c r="P18" s="1">
        <f>Quartile_M[[#This Row],[ROA Q1]]-1.5*(Quartile_M[[#This Row],[ROA Q3]]-Quartile_M[[#This Row],[ROA Q1]])</f>
        <v>-11.815</v>
      </c>
      <c r="Q18" s="1">
        <f>Quartile_M[[#This Row],[ROA Q3]]+1.5*(Quartile_M[[#This Row],[ROA Q3]]-Quartile_M[[#This Row],[ROA Q1]])</f>
        <v>35.644999999999996</v>
      </c>
      <c r="R18" s="1" cm="1">
        <f t="array" ref="R18">_xlfn.QUARTILE.INC(IF(Quartile_M[[#This Row],[Industry]]=Main_M[Industry],Main_M[P/E]),1)</f>
        <v>26.928153075796743</v>
      </c>
      <c r="S18" s="1" cm="1">
        <f t="array" ref="S18">_xlfn.QUARTILE.INC(IF(Quartile_M[[#This Row],[Industry]]=Main_M[Industry],Main_M[P/E]),3)</f>
        <v>38.28532654317533</v>
      </c>
      <c r="T18" s="1">
        <f>Quartile_M[[#This Row],[P/E Q1]]-1.5*(Quartile_M[[#This Row],[P/E Q3]]-Quartile_M[[#This Row],[P/E Q1]])</f>
        <v>9.8923928747288628</v>
      </c>
      <c r="U18" s="1">
        <f>Quartile_M[[#This Row],[P/E Q3]]+1.5*(Quartile_M[[#This Row],[P/E Q3]]-Quartile_M[[#This Row],[P/E Q1]])</f>
        <v>55.32108674424321</v>
      </c>
      <c r="V18" s="1" cm="1">
        <f t="array" ref="V18">_xlfn.QUARTILE.INC(IF(Quartile_M[[#This Row],[Industry]]=Main_M[Industry],Main_M[A/E]),1)</f>
        <v>0.30500000000000016</v>
      </c>
      <c r="W18" s="1" cm="1">
        <f t="array" ref="W18">_xlfn.QUARTILE.INC(IF(Quartile_M[[#This Row],[Industry]]=Main_M[Industry],Main_M[A/E]),3)</f>
        <v>2.1475</v>
      </c>
      <c r="X18" s="1">
        <f>Quartile_M[[#This Row],[A/E Q1]]-1.5*(Quartile_M[[#This Row],[A/E Q3]]-Quartile_M[[#This Row],[A/E Q1]])</f>
        <v>-2.4587499999999998</v>
      </c>
      <c r="Y18" s="1">
        <f>Quartile_M[[#This Row],[A/E Q3]]+1.5*(Quartile_M[[#This Row],[A/E Q3]]-Quartile_M[[#This Row],[A/E Q1]])</f>
        <v>4.9112499999999999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105</v>
      </c>
      <c r="B23" s="1" cm="1">
        <f t="array" ref="B23">_xlfn.QUARTILE.INC(IF(Quartile_S[[#This Row],[Industry]]=Main_S[Industry],Main_S[P/FCF]),1)</f>
        <v>5.0496691072937203</v>
      </c>
      <c r="C23" s="1" cm="1">
        <f t="array" ref="C23">_xlfn.QUARTILE.INC(IF(Quartile_S[[#This Row],[Industry]]=Main_S[Industry],Main_S[P/FCF]),3)</f>
        <v>31.028243398392654</v>
      </c>
      <c r="D23" s="1">
        <f>Quartile_S[[#This Row],[P/FCF Q1]]-1.5*(Quartile_S[[#This Row],[P/FCF Q3]]-Quartile_S[[#This Row],[P/FCF Q1]])</f>
        <v>-33.918192329354682</v>
      </c>
      <c r="E23" s="1">
        <f>Quartile_S[[#This Row],[P/FCF Q3]]+1.5*(Quartile_S[[#This Row],[P/FCF Q3]]-Quartile_S[[#This Row],[P/FCF Q1]])</f>
        <v>69.996104835041052</v>
      </c>
      <c r="F23" s="1" cm="1">
        <f t="array" ref="F23">_xlfn.QUARTILE.INC(IF(Quartile_S[[#This Row],[Industry]]=Main_S[Industry],Main_S[P/B]),1)</f>
        <v>0.93907719454125649</v>
      </c>
      <c r="G23" s="1" cm="1">
        <f t="array" ref="G23">_xlfn.QUARTILE.INC(IF(Quartile_S[[#This Row],[Industry]]=Main_S[Industry],Main_S[P/B]),3)</f>
        <v>3.7652941176470591</v>
      </c>
      <c r="H23" s="1">
        <f>Quartile_S[[#This Row],[P/B Q1]]-1.5*(Quartile_S[[#This Row],[P/B Q3]]-Quartile_S[[#This Row],[P/B Q1]])</f>
        <v>-3.3002481901174474</v>
      </c>
      <c r="I23" s="1">
        <f>Quartile_S[[#This Row],[P/B Q3]]+1.5*(Quartile_S[[#This Row],[P/B Q3]]-Quartile_S[[#This Row],[P/B Q1]])</f>
        <v>8.0046195023057631</v>
      </c>
      <c r="J23" s="1" cm="1">
        <f t="array" ref="J23">_xlfn.QUARTILE.INC(IF(Quartile_S[[#This Row],[Industry]]=Main_S[Industry],Main_S[ROE]),1)</f>
        <v>-3.5599999999999996</v>
      </c>
      <c r="K23" s="1" cm="1">
        <f t="array" ref="K23">_xlfn.QUARTILE.INC(IF(Quartile_S[[#This Row],[Industry]]=Main_S[Industry],Main_S[ROE]),3)</f>
        <v>11.7475</v>
      </c>
      <c r="L23" s="1">
        <f>Quartile_S[[#This Row],[ROE Q1]]-1.5*(Quartile_S[[#This Row],[ROE Q3]]-Quartile_S[[#This Row],[ROE Q1]])</f>
        <v>-26.521249999999998</v>
      </c>
      <c r="M23" s="1">
        <f>Quartile_S[[#This Row],[ROE Q3]]+1.5*(Quartile_S[[#This Row],[ROE Q3]]-Quartile_S[[#This Row],[ROE Q1]])</f>
        <v>34.708750000000002</v>
      </c>
      <c r="N23" s="1" cm="1">
        <f t="array" ref="N23">_xlfn.QUARTILE.INC(IF(Quartile_S[[#This Row],[Industry]]=Main_S[Industry],Main_S[ROA]),1)</f>
        <v>1.5574999999999999</v>
      </c>
      <c r="O23" s="1" cm="1">
        <f t="array" ref="O23">_xlfn.QUARTILE.INC(IF(Quartile_S[[#This Row],[Industry]]=Main_S[Industry],Main_S[ROA]),3)</f>
        <v>3.4525000000000001</v>
      </c>
      <c r="P23" s="1">
        <f>Quartile_S[[#This Row],[ROA Q1]]-1.5*(Quartile_S[[#This Row],[ROA Q3]]-Quartile_S[[#This Row],[ROA Q1]])</f>
        <v>-1.2850000000000004</v>
      </c>
      <c r="Q23" s="1">
        <f>Quartile_S[[#This Row],[ROA Q3]]+1.5*(Quartile_S[[#This Row],[ROA Q3]]-Quartile_S[[#This Row],[ROA Q1]])</f>
        <v>6.2949999999999999</v>
      </c>
      <c r="R23" s="1" cm="1">
        <f t="array" ref="R23">_xlfn.QUARTILE.INC(IF(Quartile_S[[#This Row],[Industry]]=Main_S[Industry],Main_S[P/E]),1)</f>
        <v>1.0318973242862635</v>
      </c>
      <c r="S23" s="1" cm="1">
        <f t="array" ref="S23">_xlfn.QUARTILE.INC(IF(Quartile_S[[#This Row],[Industry]]=Main_S[Industry],Main_S[P/E]),3)</f>
        <v>27.788380444856347</v>
      </c>
      <c r="T23" s="1">
        <f>Quartile_S[[#This Row],[P/E Q1]]-1.5*(Quartile_S[[#This Row],[P/E Q3]]-Quartile_S[[#This Row],[P/E Q1]])</f>
        <v>-39.102827356568866</v>
      </c>
      <c r="U23" s="1">
        <f>Quartile_S[[#This Row],[P/E Q3]]+1.5*(Quartile_S[[#This Row],[P/E Q3]]-Quartile_S[[#This Row],[P/E Q1]])</f>
        <v>67.923105125711473</v>
      </c>
      <c r="V23" s="1" cm="1">
        <f t="array" ref="V23">_xlfn.QUARTILE.INC(IF(Quartile_S[[#This Row],[Industry]]=Main_S[Industry],Main_S[A/E]),1)</f>
        <v>2.1524999999999999</v>
      </c>
      <c r="W23" s="1" cm="1">
        <f t="array" ref="W23">_xlfn.QUARTILE.INC(IF(Quartile_S[[#This Row],[Industry]]=Main_S[Industry],Main_S[A/E]),3)</f>
        <v>3.5524999999999998</v>
      </c>
      <c r="X23" s="1">
        <f>Quartile_S[[#This Row],[A/E Q1]]-1.5*(Quartile_S[[#This Row],[A/E Q3]]-Quartile_S[[#This Row],[A/E Q1]])</f>
        <v>5.2500000000000213E-2</v>
      </c>
      <c r="Y23" s="1">
        <f>Quartile_S[[#This Row],[A/E Q3]]+1.5*(Quartile_S[[#This Row],[A/E Q3]]-Quartile_S[[#This Row],[A/E Q1]])</f>
        <v>5.6524999999999999</v>
      </c>
    </row>
    <row r="24" spans="1:25" x14ac:dyDescent="0.25">
      <c r="A24" t="s">
        <v>106</v>
      </c>
      <c r="B24" s="1" cm="1">
        <f t="array" ref="B24">_xlfn.QUARTILE.INC(IF(Quartile_S[[#This Row],[Industry]]=Main_S[Industry],Main_S[P/FCF]),1)</f>
        <v>12.318352059925093</v>
      </c>
      <c r="C24" s="1" cm="1">
        <f t="array" ref="C24">_xlfn.QUARTILE.INC(IF(Quartile_S[[#This Row],[Industry]]=Main_S[Industry],Main_S[P/FCF]),3)</f>
        <v>12.318352059925093</v>
      </c>
      <c r="D24" s="1">
        <f>Quartile_S[[#This Row],[P/FCF Q1]]-1.5*(Quartile_S[[#This Row],[P/FCF Q3]]-Quartile_S[[#This Row],[P/FCF Q1]])</f>
        <v>12.318352059925093</v>
      </c>
      <c r="E24" s="1">
        <f>Quartile_S[[#This Row],[P/FCF Q3]]+1.5*(Quartile_S[[#This Row],[P/FCF Q3]]-Quartile_S[[#This Row],[P/FCF Q1]])</f>
        <v>12.318352059925093</v>
      </c>
      <c r="F24" s="1" cm="1">
        <f t="array" ref="F24">_xlfn.QUARTILE.INC(IF(Quartile_S[[#This Row],[Industry]]=Main_S[Industry],Main_S[P/B]),1)</f>
        <v>0.84463276836158196</v>
      </c>
      <c r="G24" s="1" cm="1">
        <f t="array" ref="G24">_xlfn.QUARTILE.INC(IF(Quartile_S[[#This Row],[Industry]]=Main_S[Industry],Main_S[P/B]),3)</f>
        <v>0.84463276836158196</v>
      </c>
      <c r="H24" s="1">
        <f>Quartile_S[[#This Row],[P/B Q1]]-1.5*(Quartile_S[[#This Row],[P/B Q3]]-Quartile_S[[#This Row],[P/B Q1]])</f>
        <v>0.84463276836158196</v>
      </c>
      <c r="I24" s="1">
        <f>Quartile_S[[#This Row],[P/B Q3]]+1.5*(Quartile_S[[#This Row],[P/B Q3]]-Quartile_S[[#This Row],[P/B Q1]])</f>
        <v>0.84463276836158196</v>
      </c>
      <c r="J24" s="1" cm="1">
        <f t="array" ref="J24">_xlfn.QUARTILE.INC(IF(Quartile_S[[#This Row],[Industry]]=Main_S[Industry],Main_S[ROE]),1)</f>
        <v>1.28</v>
      </c>
      <c r="K24" s="1" cm="1">
        <f t="array" ref="K24">_xlfn.QUARTILE.INC(IF(Quartile_S[[#This Row],[Industry]]=Main_S[Industry],Main_S[ROE]),3)</f>
        <v>1.28</v>
      </c>
      <c r="L24" s="1">
        <f>Quartile_S[[#This Row],[ROE Q1]]-1.5*(Quartile_S[[#This Row],[ROE Q3]]-Quartile_S[[#This Row],[ROE Q1]])</f>
        <v>1.28</v>
      </c>
      <c r="M24" s="1">
        <f>Quartile_S[[#This Row],[ROE Q3]]+1.5*(Quartile_S[[#This Row],[ROE Q3]]-Quartile_S[[#This Row],[ROE Q1]])</f>
        <v>1.28</v>
      </c>
      <c r="N24" s="1" cm="1">
        <f t="array" ref="N24">_xlfn.QUARTILE.INC(IF(Quartile_S[[#This Row],[Industry]]=Main_S[Industry],Main_S[ROA]),1)</f>
        <v>6.56</v>
      </c>
      <c r="O24" s="1" cm="1">
        <f t="array" ref="O24">_xlfn.QUARTILE.INC(IF(Quartile_S[[#This Row],[Industry]]=Main_S[Industry],Main_S[ROA]),3)</f>
        <v>6.56</v>
      </c>
      <c r="P24" s="1">
        <f>Quartile_S[[#This Row],[ROA Q1]]-1.5*(Quartile_S[[#This Row],[ROA Q3]]-Quartile_S[[#This Row],[ROA Q1]])</f>
        <v>6.56</v>
      </c>
      <c r="Q24" s="1">
        <f>Quartile_S[[#This Row],[ROA Q3]]+1.5*(Quartile_S[[#This Row],[ROA Q3]]-Quartile_S[[#This Row],[ROA Q1]])</f>
        <v>6.56</v>
      </c>
      <c r="R24" s="1" cm="1">
        <f t="array" ref="R24">_xlfn.QUARTILE.INC(IF(Quartile_S[[#This Row],[Industry]]=Main_S[Industry],Main_S[P/E]),1)</f>
        <v>65.78</v>
      </c>
      <c r="S24" s="1" cm="1">
        <f t="array" ref="S24">_xlfn.QUARTILE.INC(IF(Quartile_S[[#This Row],[Industry]]=Main_S[Industry],Main_S[P/E]),3)</f>
        <v>65.78</v>
      </c>
      <c r="T24" s="1">
        <f>Quartile_S[[#This Row],[P/E Q1]]-1.5*(Quartile_S[[#This Row],[P/E Q3]]-Quartile_S[[#This Row],[P/E Q1]])</f>
        <v>65.78</v>
      </c>
      <c r="U24" s="1">
        <f>Quartile_S[[#This Row],[P/E Q3]]+1.5*(Quartile_S[[#This Row],[P/E Q3]]-Quartile_S[[#This Row],[P/E Q1]])</f>
        <v>65.78</v>
      </c>
      <c r="V24" s="1" cm="1">
        <f t="array" ref="V24">_xlfn.QUARTILE.INC(IF(Quartile_S[[#This Row],[Industry]]=Main_S[Industry],Main_S[A/E]),1)</f>
        <v>1.66</v>
      </c>
      <c r="W24" s="1" cm="1">
        <f t="array" ref="W24">_xlfn.QUARTILE.INC(IF(Quartile_S[[#This Row],[Industry]]=Main_S[Industry],Main_S[A/E]),3)</f>
        <v>1.66</v>
      </c>
      <c r="X24" s="1">
        <f>Quartile_S[[#This Row],[A/E Q1]]-1.5*(Quartile_S[[#This Row],[A/E Q3]]-Quartile_S[[#This Row],[A/E Q1]])</f>
        <v>1.66</v>
      </c>
      <c r="Y24" s="1">
        <f>Quartile_S[[#This Row],[A/E Q3]]+1.5*(Quartile_S[[#This Row],[A/E Q3]]-Quartile_S[[#This Row],[A/E Q1]])</f>
        <v>1.66</v>
      </c>
    </row>
    <row r="25" spans="1:25" x14ac:dyDescent="0.25">
      <c r="A25" t="s">
        <v>107</v>
      </c>
      <c r="B25" s="1" cm="1">
        <f t="array" ref="B25">_xlfn.QUARTILE.INC(IF(Quartile_S[[#This Row],[Industry]]=Main_S[Industry],Main_S[P/FCF]),1)</f>
        <v>-12.581174438687391</v>
      </c>
      <c r="C25" s="1" cm="1">
        <f t="array" ref="C25">_xlfn.QUARTILE.INC(IF(Quartile_S[[#This Row],[Industry]]=Main_S[Industry],Main_S[P/FCF]),3)</f>
        <v>18.9059375</v>
      </c>
      <c r="D25" s="1">
        <f>Quartile_S[[#This Row],[P/FCF Q1]]-1.5*(Quartile_S[[#This Row],[P/FCF Q3]]-Quartile_S[[#This Row],[P/FCF Q1]])</f>
        <v>-59.811842346718478</v>
      </c>
      <c r="E25" s="1">
        <f>Quartile_S[[#This Row],[P/FCF Q3]]+1.5*(Quartile_S[[#This Row],[P/FCF Q3]]-Quartile_S[[#This Row],[P/FCF Q1]])</f>
        <v>66.136605408031087</v>
      </c>
      <c r="F25" s="1" cm="1">
        <f t="array" ref="F25">_xlfn.QUARTILE.INC(IF(Quartile_S[[#This Row],[Industry]]=Main_S[Industry],Main_S[P/B]),1)</f>
        <v>0.9805683477479501</v>
      </c>
      <c r="G25" s="1" cm="1">
        <f t="array" ref="G25">_xlfn.QUARTILE.INC(IF(Quartile_S[[#This Row],[Industry]]=Main_S[Industry],Main_S[P/B]),3)</f>
        <v>4.7100840336134455</v>
      </c>
      <c r="H25" s="1">
        <f>Quartile_S[[#This Row],[P/B Q1]]-1.5*(Quartile_S[[#This Row],[P/B Q3]]-Quartile_S[[#This Row],[P/B Q1]])</f>
        <v>-4.6137051810502925</v>
      </c>
      <c r="I25" s="1">
        <f>Quartile_S[[#This Row],[P/B Q3]]+1.5*(Quartile_S[[#This Row],[P/B Q3]]-Quartile_S[[#This Row],[P/B Q1]])</f>
        <v>10.304357562411688</v>
      </c>
      <c r="J25" s="1" cm="1">
        <f t="array" ref="J25">_xlfn.QUARTILE.INC(IF(Quartile_S[[#This Row],[Industry]]=Main_S[Industry],Main_S[ROE]),1)</f>
        <v>0</v>
      </c>
      <c r="K25" s="1" cm="1">
        <f t="array" ref="K25">_xlfn.QUARTILE.INC(IF(Quartile_S[[#This Row],[Industry]]=Main_S[Industry],Main_S[ROE]),3)</f>
        <v>12.07</v>
      </c>
      <c r="L25" s="1">
        <f>Quartile_S[[#This Row],[ROE Q1]]-1.5*(Quartile_S[[#This Row],[ROE Q3]]-Quartile_S[[#This Row],[ROE Q1]])</f>
        <v>-18.105</v>
      </c>
      <c r="M25" s="1">
        <f>Quartile_S[[#This Row],[ROE Q3]]+1.5*(Quartile_S[[#This Row],[ROE Q3]]-Quartile_S[[#This Row],[ROE Q1]])</f>
        <v>30.175000000000001</v>
      </c>
      <c r="N25" s="1" cm="1">
        <f t="array" ref="N25">_xlfn.QUARTILE.INC(IF(Quartile_S[[#This Row],[Industry]]=Main_S[Industry],Main_S[ROA]),1)</f>
        <v>1.51</v>
      </c>
      <c r="O25" s="1" cm="1">
        <f t="array" ref="O25">_xlfn.QUARTILE.INC(IF(Quartile_S[[#This Row],[Industry]]=Main_S[Industry],Main_S[ROA]),3)</f>
        <v>4.92</v>
      </c>
      <c r="P25" s="1">
        <f>Quartile_S[[#This Row],[ROA Q1]]-1.5*(Quartile_S[[#This Row],[ROA Q3]]-Quartile_S[[#This Row],[ROA Q1]])</f>
        <v>-3.6050000000000004</v>
      </c>
      <c r="Q25" s="1">
        <f>Quartile_S[[#This Row],[ROA Q3]]+1.5*(Quartile_S[[#This Row],[ROA Q3]]-Quartile_S[[#This Row],[ROA Q1]])</f>
        <v>10.035</v>
      </c>
      <c r="R25" s="1" cm="1">
        <f t="array" ref="R25">_xlfn.QUARTILE.INC(IF(Quartile_S[[#This Row],[Industry]]=Main_S[Industry],Main_S[P/E]),1)</f>
        <v>5.8119496855345911</v>
      </c>
      <c r="S25" s="1" cm="1">
        <f t="array" ref="S25">_xlfn.QUARTILE.INC(IF(Quartile_S[[#This Row],[Industry]]=Main_S[Industry],Main_S[P/E]),3)</f>
        <v>34.545756569012383</v>
      </c>
      <c r="T25" s="1">
        <f>Quartile_S[[#This Row],[P/E Q1]]-1.5*(Quartile_S[[#This Row],[P/E Q3]]-Quartile_S[[#This Row],[P/E Q1]])</f>
        <v>-37.288760639682089</v>
      </c>
      <c r="U25" s="1">
        <f>Quartile_S[[#This Row],[P/E Q3]]+1.5*(Quartile_S[[#This Row],[P/E Q3]]-Quartile_S[[#This Row],[P/E Q1]])</f>
        <v>77.646466894229064</v>
      </c>
      <c r="V25" s="1" cm="1">
        <f t="array" ref="V25">_xlfn.QUARTILE.INC(IF(Quartile_S[[#This Row],[Industry]]=Main_S[Industry],Main_S[A/E]),1)</f>
        <v>1.57</v>
      </c>
      <c r="W25" s="1" cm="1">
        <f t="array" ref="W25">_xlfn.QUARTILE.INC(IF(Quartile_S[[#This Row],[Industry]]=Main_S[Industry],Main_S[A/E]),3)</f>
        <v>4.5</v>
      </c>
      <c r="X25" s="1">
        <f>Quartile_S[[#This Row],[A/E Q1]]-1.5*(Quartile_S[[#This Row],[A/E Q3]]-Quartile_S[[#This Row],[A/E Q1]])</f>
        <v>-2.8249999999999993</v>
      </c>
      <c r="Y25" s="1">
        <f>Quartile_S[[#This Row],[A/E Q3]]+1.5*(Quartile_S[[#This Row],[A/E Q3]]-Quartile_S[[#This Row],[A/E Q1]])</f>
        <v>8.8949999999999996</v>
      </c>
    </row>
    <row r="26" spans="1:25" x14ac:dyDescent="0.25">
      <c r="A26" t="s">
        <v>108</v>
      </c>
      <c r="B26" s="1" cm="1">
        <f t="array" ref="B26">_xlfn.QUARTILE.INC(IF(Quartile_S[[#This Row],[Industry]]=Main_S[Industry],Main_S[P/FCF]),1)</f>
        <v>20.136726641414143</v>
      </c>
      <c r="C26" s="1" cm="1">
        <f t="array" ref="C26">_xlfn.QUARTILE.INC(IF(Quartile_S[[#This Row],[Industry]]=Main_S[Industry],Main_S[P/FCF]),3)</f>
        <v>20.586316287878788</v>
      </c>
      <c r="D26" s="1">
        <f>Quartile_S[[#This Row],[P/FCF Q1]]-1.5*(Quartile_S[[#This Row],[P/FCF Q3]]-Quartile_S[[#This Row],[P/FCF Q1]])</f>
        <v>19.462342171717175</v>
      </c>
      <c r="E26" s="1">
        <f>Quartile_S[[#This Row],[P/FCF Q3]]+1.5*(Quartile_S[[#This Row],[P/FCF Q3]]-Quartile_S[[#This Row],[P/FCF Q1]])</f>
        <v>21.260700757575755</v>
      </c>
      <c r="F26" s="1" cm="1">
        <f t="array" ref="F26">_xlfn.QUARTILE.INC(IF(Quartile_S[[#This Row],[Industry]]=Main_S[Industry],Main_S[P/B]),1)</f>
        <v>2.371118516863469</v>
      </c>
      <c r="G26" s="1" cm="1">
        <f t="array" ref="G26">_xlfn.QUARTILE.INC(IF(Quartile_S[[#This Row],[Industry]]=Main_S[Industry],Main_S[P/B]),3)</f>
        <v>5.1985489395834206</v>
      </c>
      <c r="H26" s="1">
        <f>Quartile_S[[#This Row],[P/B Q1]]-1.5*(Quartile_S[[#This Row],[P/B Q3]]-Quartile_S[[#This Row],[P/B Q1]])</f>
        <v>-1.8700271172164586</v>
      </c>
      <c r="I26" s="1">
        <f>Quartile_S[[#This Row],[P/B Q3]]+1.5*(Quartile_S[[#This Row],[P/B Q3]]-Quartile_S[[#This Row],[P/B Q1]])</f>
        <v>9.4396945736633491</v>
      </c>
      <c r="J26" s="1" cm="1">
        <f t="array" ref="J26">_xlfn.QUARTILE.INC(IF(Quartile_S[[#This Row],[Industry]]=Main_S[Industry],Main_S[ROE]),1)</f>
        <v>14.385</v>
      </c>
      <c r="K26" s="1" cm="1">
        <f t="array" ref="K26">_xlfn.QUARTILE.INC(IF(Quartile_S[[#This Row],[Industry]]=Main_S[Industry],Main_S[ROE]),3)</f>
        <v>23.494999999999997</v>
      </c>
      <c r="L26" s="1">
        <f>Quartile_S[[#This Row],[ROE Q1]]-1.5*(Quartile_S[[#This Row],[ROE Q3]]-Quartile_S[[#This Row],[ROE Q1]])</f>
        <v>0.72000000000000419</v>
      </c>
      <c r="M26" s="1">
        <f>Quartile_S[[#This Row],[ROE Q3]]+1.5*(Quartile_S[[#This Row],[ROE Q3]]-Quartile_S[[#This Row],[ROE Q1]])</f>
        <v>37.159999999999997</v>
      </c>
      <c r="N26" s="1" cm="1">
        <f t="array" ref="N26">_xlfn.QUARTILE.INC(IF(Quartile_S[[#This Row],[Industry]]=Main_S[Industry],Main_S[ROA]),1)</f>
        <v>6.89</v>
      </c>
      <c r="O26" s="1" cm="1">
        <f t="array" ref="O26">_xlfn.QUARTILE.INC(IF(Quartile_S[[#This Row],[Industry]]=Main_S[Industry],Main_S[ROA]),3)</f>
        <v>9.23</v>
      </c>
      <c r="P26" s="1">
        <f>Quartile_S[[#This Row],[ROA Q1]]-1.5*(Quartile_S[[#This Row],[ROA Q3]]-Quartile_S[[#This Row],[ROA Q1]])</f>
        <v>3.3799999999999986</v>
      </c>
      <c r="Q26" s="1">
        <f>Quartile_S[[#This Row],[ROA Q3]]+1.5*(Quartile_S[[#This Row],[ROA Q3]]-Quartile_S[[#This Row],[ROA Q1]])</f>
        <v>12.740000000000002</v>
      </c>
      <c r="R26" s="1" cm="1">
        <f t="array" ref="R26">_xlfn.QUARTILE.INC(IF(Quartile_S[[#This Row],[Industry]]=Main_S[Industry],Main_S[P/E]),1)</f>
        <v>11.193227091633467</v>
      </c>
      <c r="S26" s="1" cm="1">
        <f t="array" ref="S26">_xlfn.QUARTILE.INC(IF(Quartile_S[[#This Row],[Industry]]=Main_S[Industry],Main_S[P/E]),3)</f>
        <v>11.193227091633467</v>
      </c>
      <c r="T26" s="1">
        <f>Quartile_S[[#This Row],[P/E Q1]]-1.5*(Quartile_S[[#This Row],[P/E Q3]]-Quartile_S[[#This Row],[P/E Q1]])</f>
        <v>11.193227091633467</v>
      </c>
      <c r="U26" s="1">
        <f>Quartile_S[[#This Row],[P/E Q3]]+1.5*(Quartile_S[[#This Row],[P/E Q3]]-Quartile_S[[#This Row],[P/E Q1]])</f>
        <v>11.193227091633467</v>
      </c>
      <c r="V26" s="1" cm="1">
        <f t="array" ref="V26">_xlfn.QUARTILE.INC(IF(Quartile_S[[#This Row],[Industry]]=Main_S[Industry],Main_S[A/E]),1)</f>
        <v>2.23</v>
      </c>
      <c r="W26" s="1" cm="1">
        <f t="array" ref="W26">_xlfn.QUARTILE.INC(IF(Quartile_S[[#This Row],[Industry]]=Main_S[Industry],Main_S[A/E]),3)</f>
        <v>2.4900000000000002</v>
      </c>
      <c r="X26" s="1">
        <f>Quartile_S[[#This Row],[A/E Q1]]-1.5*(Quartile_S[[#This Row],[A/E Q3]]-Quartile_S[[#This Row],[A/E Q1]])</f>
        <v>1.8399999999999996</v>
      </c>
      <c r="Y26" s="1">
        <f>Quartile_S[[#This Row],[A/E Q3]]+1.5*(Quartile_S[[#This Row],[A/E Q3]]-Quartile_S[[#This Row],[A/E Q1]])</f>
        <v>2.8800000000000008</v>
      </c>
    </row>
    <row r="27" spans="1:25" x14ac:dyDescent="0.25">
      <c r="A27" t="s">
        <v>109</v>
      </c>
      <c r="B27" s="1" cm="1">
        <f t="array" ref="B27">_xlfn.QUARTILE.INC(IF(Quartile_S[[#This Row],[Industry]]=Main_S[Industry],Main_S[P/FCF]),1)</f>
        <v>7.0366004408435607</v>
      </c>
      <c r="C27" s="1" cm="1">
        <f t="array" ref="C27">_xlfn.QUARTILE.INC(IF(Quartile_S[[#This Row],[Industry]]=Main_S[Industry],Main_S[P/FCF]),3)</f>
        <v>21.144847158332094</v>
      </c>
      <c r="D27" s="1">
        <f>Quartile_S[[#This Row],[P/FCF Q1]]-1.5*(Quartile_S[[#This Row],[P/FCF Q3]]-Quartile_S[[#This Row],[P/FCF Q1]])</f>
        <v>-14.12576963538924</v>
      </c>
      <c r="E27" s="1">
        <f>Quartile_S[[#This Row],[P/FCF Q3]]+1.5*(Quartile_S[[#This Row],[P/FCF Q3]]-Quartile_S[[#This Row],[P/FCF Q1]])</f>
        <v>42.307217234564895</v>
      </c>
      <c r="F27" s="1" cm="1">
        <f t="array" ref="F27">_xlfn.QUARTILE.INC(IF(Quartile_S[[#This Row],[Industry]]=Main_S[Industry],Main_S[P/B]),1)</f>
        <v>1.2629750136706055</v>
      </c>
      <c r="G27" s="1" cm="1">
        <f t="array" ref="G27">_xlfn.QUARTILE.INC(IF(Quartile_S[[#This Row],[Industry]]=Main_S[Industry],Main_S[P/B]),3)</f>
        <v>5.109450073735788</v>
      </c>
      <c r="H27" s="1">
        <f>Quartile_S[[#This Row],[P/B Q1]]-1.5*(Quartile_S[[#This Row],[P/B Q3]]-Quartile_S[[#This Row],[P/B Q1]])</f>
        <v>-4.5067375764271684</v>
      </c>
      <c r="I27" s="1">
        <f>Quartile_S[[#This Row],[P/B Q3]]+1.5*(Quartile_S[[#This Row],[P/B Q3]]-Quartile_S[[#This Row],[P/B Q1]])</f>
        <v>10.879162663833561</v>
      </c>
      <c r="J27" s="1" cm="1">
        <f t="array" ref="J27">_xlfn.QUARTILE.INC(IF(Quartile_S[[#This Row],[Industry]]=Main_S[Industry],Main_S[ROE]),1)</f>
        <v>7.43</v>
      </c>
      <c r="K27" s="1" cm="1">
        <f t="array" ref="K27">_xlfn.QUARTILE.INC(IF(Quartile_S[[#This Row],[Industry]]=Main_S[Industry],Main_S[ROE]),3)</f>
        <v>25.240000000000002</v>
      </c>
      <c r="L27" s="1">
        <f>Quartile_S[[#This Row],[ROE Q1]]-1.5*(Quartile_S[[#This Row],[ROE Q3]]-Quartile_S[[#This Row],[ROE Q1]])</f>
        <v>-19.285000000000004</v>
      </c>
      <c r="M27" s="1">
        <f>Quartile_S[[#This Row],[ROE Q3]]+1.5*(Quartile_S[[#This Row],[ROE Q3]]-Quartile_S[[#This Row],[ROE Q1]])</f>
        <v>51.955000000000005</v>
      </c>
      <c r="N27" s="1" cm="1">
        <f t="array" ref="N27">_xlfn.QUARTILE.INC(IF(Quartile_S[[#This Row],[Industry]]=Main_S[Industry],Main_S[ROA]),1)</f>
        <v>4.01</v>
      </c>
      <c r="O27" s="1" cm="1">
        <f t="array" ref="O27">_xlfn.QUARTILE.INC(IF(Quartile_S[[#This Row],[Industry]]=Main_S[Industry],Main_S[ROA]),3)</f>
        <v>7.9725000000000001</v>
      </c>
      <c r="P27" s="1">
        <f>Quartile_S[[#This Row],[ROA Q1]]-1.5*(Quartile_S[[#This Row],[ROA Q3]]-Quartile_S[[#This Row],[ROA Q1]])</f>
        <v>-1.9337500000000007</v>
      </c>
      <c r="Q27" s="1">
        <f>Quartile_S[[#This Row],[ROA Q3]]+1.5*(Quartile_S[[#This Row],[ROA Q3]]-Quartile_S[[#This Row],[ROA Q1]])</f>
        <v>13.916250000000002</v>
      </c>
      <c r="R27" s="1" cm="1">
        <f t="array" ref="R27">_xlfn.QUARTILE.INC(IF(Quartile_S[[#This Row],[Industry]]=Main_S[Industry],Main_S[P/E]),1)</f>
        <v>16.98201558824562</v>
      </c>
      <c r="S27" s="1" cm="1">
        <f t="array" ref="S27">_xlfn.QUARTILE.INC(IF(Quartile_S[[#This Row],[Industry]]=Main_S[Industry],Main_S[P/E]),3)</f>
        <v>20.939459524712863</v>
      </c>
      <c r="T27" s="1">
        <f>Quartile_S[[#This Row],[P/E Q1]]-1.5*(Quartile_S[[#This Row],[P/E Q3]]-Quartile_S[[#This Row],[P/E Q1]])</f>
        <v>11.045849683544755</v>
      </c>
      <c r="U27" s="1">
        <f>Quartile_S[[#This Row],[P/E Q3]]+1.5*(Quartile_S[[#This Row],[P/E Q3]]-Quartile_S[[#This Row],[P/E Q1]])</f>
        <v>26.875625429413727</v>
      </c>
      <c r="V27" s="1" cm="1">
        <f t="array" ref="V27">_xlfn.QUARTILE.INC(IF(Quartile_S[[#This Row],[Industry]]=Main_S[Industry],Main_S[A/E]),1)</f>
        <v>1.71</v>
      </c>
      <c r="W27" s="1" cm="1">
        <f t="array" ref="W27">_xlfn.QUARTILE.INC(IF(Quartile_S[[#This Row],[Industry]]=Main_S[Industry],Main_S[A/E]),3)</f>
        <v>9.27</v>
      </c>
      <c r="X27" s="1">
        <f>Quartile_S[[#This Row],[A/E Q1]]-1.5*(Quartile_S[[#This Row],[A/E Q3]]-Quartile_S[[#This Row],[A/E Q1]])</f>
        <v>-9.629999999999999</v>
      </c>
      <c r="Y27" s="1">
        <f>Quartile_S[[#This Row],[A/E Q3]]+1.5*(Quartile_S[[#This Row],[A/E Q3]]-Quartile_S[[#This Row],[A/E Q1]])</f>
        <v>20.61</v>
      </c>
    </row>
    <row r="28" spans="1:25" x14ac:dyDescent="0.25">
      <c r="A28" t="s">
        <v>110</v>
      </c>
      <c r="B28" s="1" cm="1">
        <f t="array" ref="B28">_xlfn.QUARTILE.INC(IF(Quartile_S[[#This Row],[Industry]]=Main_S[Industry],Main_S[P/FCF]),1)</f>
        <v>-11.829268292682926</v>
      </c>
      <c r="C28" s="1" cm="1">
        <f t="array" ref="C28">_xlfn.QUARTILE.INC(IF(Quartile_S[[#This Row],[Industry]]=Main_S[Industry],Main_S[P/FCF]),3)</f>
        <v>11.138576779026216</v>
      </c>
      <c r="D28" s="1">
        <f>Quartile_S[[#This Row],[P/FCF Q1]]-1.5*(Quartile_S[[#This Row],[P/FCF Q3]]-Quartile_S[[#This Row],[P/FCF Q1]])</f>
        <v>-46.281035900246636</v>
      </c>
      <c r="E28" s="1">
        <f>Quartile_S[[#This Row],[P/FCF Q3]]+1.5*(Quartile_S[[#This Row],[P/FCF Q3]]-Quartile_S[[#This Row],[P/FCF Q1]])</f>
        <v>45.590344386589926</v>
      </c>
      <c r="F28" s="1" cm="1">
        <f t="array" ref="F28">_xlfn.QUARTILE.INC(IF(Quartile_S[[#This Row],[Industry]]=Main_S[Industry],Main_S[P/B]),1)</f>
        <v>0.56804281345565744</v>
      </c>
      <c r="G28" s="1" cm="1">
        <f t="array" ref="G28">_xlfn.QUARTILE.INC(IF(Quartile_S[[#This Row],[Industry]]=Main_S[Industry],Main_S[P/B]),3)</f>
        <v>1.0693994965839626</v>
      </c>
      <c r="H28" s="1">
        <f>Quartile_S[[#This Row],[P/B Q1]]-1.5*(Quartile_S[[#This Row],[P/B Q3]]-Quartile_S[[#This Row],[P/B Q1]])</f>
        <v>-0.18399221123680032</v>
      </c>
      <c r="I28" s="1">
        <f>Quartile_S[[#This Row],[P/B Q3]]+1.5*(Quartile_S[[#This Row],[P/B Q3]]-Quartile_S[[#This Row],[P/B Q1]])</f>
        <v>1.8214345212764202</v>
      </c>
      <c r="J28" s="1" cm="1">
        <f t="array" ref="J28">_xlfn.QUARTILE.INC(IF(Quartile_S[[#This Row],[Industry]]=Main_S[Industry],Main_S[ROE]),1)</f>
        <v>-19.797499999999999</v>
      </c>
      <c r="K28" s="1" cm="1">
        <f t="array" ref="K28">_xlfn.QUARTILE.INC(IF(Quartile_S[[#This Row],[Industry]]=Main_S[Industry],Main_S[ROE]),3)</f>
        <v>1.7025000000000001</v>
      </c>
      <c r="L28" s="1">
        <f>Quartile_S[[#This Row],[ROE Q1]]-1.5*(Quartile_S[[#This Row],[ROE Q3]]-Quartile_S[[#This Row],[ROE Q1]])</f>
        <v>-52.047499999999999</v>
      </c>
      <c r="M28" s="1">
        <f>Quartile_S[[#This Row],[ROE Q3]]+1.5*(Quartile_S[[#This Row],[ROE Q3]]-Quartile_S[[#This Row],[ROE Q1]])</f>
        <v>33.952500000000001</v>
      </c>
      <c r="N28" s="1" cm="1">
        <f t="array" ref="N28">_xlfn.QUARTILE.INC(IF(Quartile_S[[#This Row],[Industry]]=Main_S[Industry],Main_S[ROA]),1)</f>
        <v>-2.9299999999999997</v>
      </c>
      <c r="O28" s="1" cm="1">
        <f t="array" ref="O28">_xlfn.QUARTILE.INC(IF(Quartile_S[[#This Row],[Industry]]=Main_S[Industry],Main_S[ROA]),3)</f>
        <v>3.9524999999999997</v>
      </c>
      <c r="P28" s="1">
        <f>Quartile_S[[#This Row],[ROA Q1]]-1.5*(Quartile_S[[#This Row],[ROA Q3]]-Quartile_S[[#This Row],[ROA Q1]])</f>
        <v>-13.253749999999998</v>
      </c>
      <c r="Q28" s="1">
        <f>Quartile_S[[#This Row],[ROA Q3]]+1.5*(Quartile_S[[#This Row],[ROA Q3]]-Quartile_S[[#This Row],[ROA Q1]])</f>
        <v>14.276249999999997</v>
      </c>
      <c r="R28" s="1" cm="1">
        <f t="array" ref="R28">_xlfn.QUARTILE.INC(IF(Quartile_S[[#This Row],[Industry]]=Main_S[Industry],Main_S[P/E]),1)</f>
        <v>-5.052083333333333</v>
      </c>
      <c r="S28" s="1" cm="1">
        <f t="array" ref="S28">_xlfn.QUARTILE.INC(IF(Quartile_S[[#This Row],[Industry]]=Main_S[Industry],Main_S[P/E]),3)</f>
        <v>15.290322580645162</v>
      </c>
      <c r="T28" s="1">
        <f>Quartile_S[[#This Row],[P/E Q1]]-1.5*(Quartile_S[[#This Row],[P/E Q3]]-Quartile_S[[#This Row],[P/E Q1]])</f>
        <v>-35.565692204301079</v>
      </c>
      <c r="U28" s="1">
        <f>Quartile_S[[#This Row],[P/E Q3]]+1.5*(Quartile_S[[#This Row],[P/E Q3]]-Quartile_S[[#This Row],[P/E Q1]])</f>
        <v>45.803931451612904</v>
      </c>
      <c r="V28" s="1" cm="1">
        <f t="array" ref="V28">_xlfn.QUARTILE.INC(IF(Quartile_S[[#This Row],[Industry]]=Main_S[Industry],Main_S[A/E]),1)</f>
        <v>1.3275000000000001</v>
      </c>
      <c r="W28" s="1" cm="1">
        <f t="array" ref="W28">_xlfn.QUARTILE.INC(IF(Quartile_S[[#This Row],[Industry]]=Main_S[Industry],Main_S[A/E]),3)</f>
        <v>2.1924999999999999</v>
      </c>
      <c r="X28" s="1">
        <f>Quartile_S[[#This Row],[A/E Q1]]-1.5*(Quartile_S[[#This Row],[A/E Q3]]-Quartile_S[[#This Row],[A/E Q1]])</f>
        <v>3.0000000000000471E-2</v>
      </c>
      <c r="Y28" s="1">
        <f>Quartile_S[[#This Row],[A/E Q3]]+1.5*(Quartile_S[[#This Row],[A/E Q3]]-Quartile_S[[#This Row],[A/E Q1]])</f>
        <v>3.4899999999999993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35.7109375" bestFit="1" customWidth="1"/>
    <col min="2" max="2" width="14.85546875" bestFit="1" customWidth="1"/>
    <col min="3" max="3" width="15.42578125" bestFit="1" customWidth="1"/>
    <col min="5" max="5" width="35.7109375" bestFit="1" customWidth="1"/>
    <col min="6" max="6" width="14" bestFit="1" customWidth="1"/>
    <col min="7" max="7" width="14.5703125" bestFit="1" customWidth="1"/>
    <col min="9" max="9" width="35.710937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22.595440044412797</v>
      </c>
      <c r="C5" s="1">
        <v>10.322689610409256</v>
      </c>
      <c r="E5" s="6" t="s">
        <v>106</v>
      </c>
      <c r="F5" s="1">
        <v>5.0029719696395629</v>
      </c>
      <c r="G5" s="1">
        <v>3.431556346565098</v>
      </c>
      <c r="I5" s="6" t="s">
        <v>106</v>
      </c>
      <c r="J5" s="1">
        <v>18.779285714285713</v>
      </c>
      <c r="K5" s="1">
        <v>14.828885645583625</v>
      </c>
    </row>
    <row r="6" spans="1:11" x14ac:dyDescent="0.25">
      <c r="A6" s="6" t="s">
        <v>105</v>
      </c>
      <c r="B6" s="1">
        <v>21.604108186218845</v>
      </c>
      <c r="C6" s="1">
        <v>9.86824008308073</v>
      </c>
      <c r="E6" s="6" t="s">
        <v>105</v>
      </c>
      <c r="F6" s="1">
        <v>5.3007923444972969</v>
      </c>
      <c r="G6" s="1">
        <v>2.5935700296965583</v>
      </c>
      <c r="I6" s="6" t="s">
        <v>105</v>
      </c>
      <c r="J6" s="1">
        <v>22.46857142857143</v>
      </c>
      <c r="K6" s="1">
        <v>8.5188881376644936</v>
      </c>
    </row>
    <row r="7" spans="1:11" x14ac:dyDescent="0.25">
      <c r="A7" s="6" t="s">
        <v>107</v>
      </c>
      <c r="B7" s="1">
        <v>17.877657743145654</v>
      </c>
      <c r="C7" s="1">
        <v>7.5506802680118641</v>
      </c>
      <c r="E7" s="6" t="s">
        <v>107</v>
      </c>
      <c r="F7" s="1">
        <v>2.1021283419982884</v>
      </c>
      <c r="G7" s="1">
        <v>1.0548894352621181</v>
      </c>
      <c r="I7" s="6" t="s">
        <v>107</v>
      </c>
      <c r="J7" s="1">
        <v>15.597142857142858</v>
      </c>
      <c r="K7" s="1">
        <v>13.116050379249858</v>
      </c>
    </row>
    <row r="8" spans="1:11" x14ac:dyDescent="0.25">
      <c r="A8" s="6" t="s">
        <v>109</v>
      </c>
      <c r="B8" s="1">
        <v>22.695110169692974</v>
      </c>
      <c r="C8" s="1">
        <v>2.5184503460224548</v>
      </c>
      <c r="E8" s="6" t="s">
        <v>109</v>
      </c>
      <c r="F8" s="1">
        <v>61.994876058773443</v>
      </c>
      <c r="G8" s="1">
        <v>78.21803135797191</v>
      </c>
      <c r="I8" s="6" t="s">
        <v>109</v>
      </c>
      <c r="J8" s="1">
        <v>204.12399999999997</v>
      </c>
      <c r="K8" s="1">
        <v>167.81548827209008</v>
      </c>
    </row>
    <row r="9" spans="1:11" x14ac:dyDescent="0.25">
      <c r="A9" s="6" t="s">
        <v>110</v>
      </c>
      <c r="B9" s="1">
        <v>26.180232220072991</v>
      </c>
      <c r="C9" s="1">
        <v>6.1648473535040598</v>
      </c>
      <c r="E9" s="6" t="s">
        <v>110</v>
      </c>
      <c r="F9" s="1">
        <v>5.7887107728551586</v>
      </c>
      <c r="G9" s="1">
        <v>1.0831181866517836</v>
      </c>
      <c r="I9" s="6" t="s">
        <v>110</v>
      </c>
      <c r="J9" s="1">
        <v>7.7633333333333328</v>
      </c>
      <c r="K9" s="1">
        <v>18.586099345717727</v>
      </c>
    </row>
    <row r="10" spans="1:11" x14ac:dyDescent="0.25">
      <c r="A10" s="6" t="s">
        <v>108</v>
      </c>
      <c r="B10" s="1">
        <v>14.623306399674773</v>
      </c>
      <c r="C10" s="1">
        <v>7.4829478021686233</v>
      </c>
      <c r="E10" s="6" t="s">
        <v>108</v>
      </c>
      <c r="F10" s="1">
        <v>-16.353077453849647</v>
      </c>
      <c r="G10" s="1">
        <v>12.711184428903584</v>
      </c>
      <c r="I10" s="6" t="s">
        <v>108</v>
      </c>
      <c r="J10" s="1">
        <v>-108.66333333333334</v>
      </c>
      <c r="K10" s="1">
        <v>100.98735575418452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7.5442857142857145</v>
      </c>
      <c r="C25" s="1">
        <v>3.0672200402824377</v>
      </c>
      <c r="E25" s="6" t="s">
        <v>106</v>
      </c>
      <c r="F25" s="1">
        <v>3.0214285714285714</v>
      </c>
      <c r="G25" s="1">
        <v>1.1306689369121103</v>
      </c>
      <c r="I25" s="6" t="s">
        <v>106</v>
      </c>
      <c r="J25" s="1">
        <v>22.93697914555721</v>
      </c>
      <c r="K25" s="1">
        <v>8.2250267532156993</v>
      </c>
    </row>
    <row r="26" spans="1:11" x14ac:dyDescent="0.25">
      <c r="A26" s="6" t="s">
        <v>105</v>
      </c>
      <c r="B26" s="1">
        <v>6.3846666666666669</v>
      </c>
      <c r="C26" s="1">
        <v>1.7980058089141067</v>
      </c>
      <c r="E26" s="6" t="s">
        <v>105</v>
      </c>
      <c r="F26" s="1">
        <v>3.5407692307692304</v>
      </c>
      <c r="G26" s="1">
        <v>1.1719114008153295</v>
      </c>
      <c r="I26" s="6" t="s">
        <v>105</v>
      </c>
      <c r="J26" s="1">
        <v>27.90321072675868</v>
      </c>
      <c r="K26" s="1">
        <v>12.037019448848453</v>
      </c>
    </row>
    <row r="27" spans="1:11" x14ac:dyDescent="0.25">
      <c r="A27" s="6" t="s">
        <v>107</v>
      </c>
      <c r="B27" s="1">
        <v>5.8757142857142854</v>
      </c>
      <c r="C27" s="1">
        <v>2.6342570497355875</v>
      </c>
      <c r="E27" s="6" t="s">
        <v>107</v>
      </c>
      <c r="F27" s="1">
        <v>2.7492857142857141</v>
      </c>
      <c r="G27" s="1">
        <v>0.73237835933654705</v>
      </c>
      <c r="I27" s="6" t="s">
        <v>107</v>
      </c>
      <c r="J27" s="1">
        <v>18.837478339900066</v>
      </c>
      <c r="K27" s="1">
        <v>6.7204524484068306</v>
      </c>
    </row>
    <row r="28" spans="1:11" x14ac:dyDescent="0.25">
      <c r="A28" s="6" t="s">
        <v>109</v>
      </c>
      <c r="B28" s="1">
        <v>10.920000000000002</v>
      </c>
      <c r="C28" s="1">
        <v>1.7007645339669919</v>
      </c>
      <c r="E28" s="6" t="s">
        <v>109</v>
      </c>
      <c r="F28" s="1">
        <v>16.2575</v>
      </c>
      <c r="G28" s="1">
        <v>17.852475143520017</v>
      </c>
      <c r="I28" s="6" t="s">
        <v>109</v>
      </c>
      <c r="J28" s="1">
        <v>24.855395082457807</v>
      </c>
      <c r="K28" s="1">
        <v>0.29506888906309758</v>
      </c>
    </row>
    <row r="29" spans="1:11" x14ac:dyDescent="0.25">
      <c r="A29" s="6" t="s">
        <v>110</v>
      </c>
      <c r="B29" s="1">
        <v>6.6099999999999994</v>
      </c>
      <c r="C29" s="1">
        <v>2.1273927705057218</v>
      </c>
      <c r="E29" s="6" t="s">
        <v>110</v>
      </c>
      <c r="F29" s="1">
        <v>3.74</v>
      </c>
      <c r="G29" s="1">
        <v>0.80750644992263998</v>
      </c>
      <c r="I29" s="6" t="s">
        <v>110</v>
      </c>
      <c r="J29" s="1">
        <v>14.132771262038618</v>
      </c>
      <c r="K29" s="1">
        <v>30.056272118427668</v>
      </c>
    </row>
    <row r="30" spans="1:11" x14ac:dyDescent="0.25">
      <c r="A30" s="6" t="s">
        <v>108</v>
      </c>
      <c r="B30" s="1">
        <v>13.273333333333333</v>
      </c>
      <c r="C30" s="1">
        <v>6.4468924469252835</v>
      </c>
      <c r="E30" s="6" t="s">
        <v>108</v>
      </c>
      <c r="F30" s="1">
        <v>-4.5866666666666669</v>
      </c>
      <c r="G30" s="1">
        <v>5.2320953949849018</v>
      </c>
      <c r="I30" s="6" t="s">
        <v>108</v>
      </c>
      <c r="J30" s="1">
        <v>22.35683067087659</v>
      </c>
      <c r="K30" s="1">
        <v>9.9750890176243274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35.7109375" bestFit="1" customWidth="1"/>
    <col min="2" max="2" width="16.28515625" bestFit="1" customWidth="1"/>
    <col min="3" max="3" width="16.85546875" bestFit="1" customWidth="1"/>
    <col min="5" max="5" width="35.7109375" bestFit="1" customWidth="1"/>
    <col min="6" max="6" width="14" bestFit="1" customWidth="1"/>
    <col min="7" max="7" width="14.5703125" bestFit="1" customWidth="1"/>
    <col min="9" max="9" width="35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36.257635488319799</v>
      </c>
      <c r="C5" s="1">
        <v>15.564193422482148</v>
      </c>
      <c r="E5" s="6" t="s">
        <v>106</v>
      </c>
      <c r="F5" s="1">
        <v>5.8369658870864178</v>
      </c>
      <c r="G5" s="1">
        <v>2.847080154793439</v>
      </c>
      <c r="I5" s="6" t="s">
        <v>106</v>
      </c>
      <c r="J5" s="1">
        <v>19.46</v>
      </c>
      <c r="K5" s="1">
        <v>12.157563900716298</v>
      </c>
    </row>
    <row r="6" spans="1:11" x14ac:dyDescent="0.25">
      <c r="A6" s="6" t="s">
        <v>105</v>
      </c>
      <c r="B6" s="1">
        <v>43.414440773061465</v>
      </c>
      <c r="C6" s="1">
        <v>27.577136801742935</v>
      </c>
      <c r="E6" s="6" t="s">
        <v>105</v>
      </c>
      <c r="F6" s="1">
        <v>2.499578946159787</v>
      </c>
      <c r="G6" s="1">
        <v>1.3122508497386327</v>
      </c>
      <c r="I6" s="6" t="s">
        <v>105</v>
      </c>
      <c r="J6" s="1">
        <v>-30.25333333333333</v>
      </c>
      <c r="K6" s="1">
        <v>57.459519277101116</v>
      </c>
    </row>
    <row r="7" spans="1:11" x14ac:dyDescent="0.25">
      <c r="A7" s="6" t="s">
        <v>107</v>
      </c>
      <c r="B7" s="1">
        <v>14.407455063277695</v>
      </c>
      <c r="C7" s="1">
        <v>7.7725193929196479</v>
      </c>
      <c r="E7" s="6" t="s">
        <v>107</v>
      </c>
      <c r="F7" s="1">
        <v>1.9600240668268012</v>
      </c>
      <c r="G7" s="1">
        <v>0.75489059494939204</v>
      </c>
      <c r="I7" s="6" t="s">
        <v>107</v>
      </c>
      <c r="J7" s="1">
        <v>10.425714285714287</v>
      </c>
      <c r="K7" s="1">
        <v>7.2202470419604596</v>
      </c>
    </row>
    <row r="8" spans="1:11" x14ac:dyDescent="0.25">
      <c r="A8" s="6" t="s">
        <v>109</v>
      </c>
      <c r="B8" s="1">
        <v>23.811807553390974</v>
      </c>
      <c r="C8" s="1">
        <v>18.369113218942818</v>
      </c>
      <c r="E8" s="6" t="s">
        <v>109</v>
      </c>
      <c r="F8" s="1">
        <v>5.7579688655256795</v>
      </c>
      <c r="G8" s="1">
        <v>5.4158942843007107</v>
      </c>
      <c r="I8" s="6" t="s">
        <v>109</v>
      </c>
      <c r="J8" s="1">
        <v>20.593333333333334</v>
      </c>
      <c r="K8" s="1">
        <v>12.227112859906416</v>
      </c>
    </row>
    <row r="9" spans="1:11" x14ac:dyDescent="0.25">
      <c r="A9" s="6" t="s">
        <v>110</v>
      </c>
      <c r="B9" s="1">
        <v>30.593188693514843</v>
      </c>
      <c r="C9" s="1">
        <v>15.33113311731047</v>
      </c>
      <c r="E9" s="6" t="s">
        <v>110</v>
      </c>
      <c r="F9" s="1">
        <v>3.9986797449593756</v>
      </c>
      <c r="G9" s="1">
        <v>2.0183006175026024</v>
      </c>
      <c r="I9" s="6" t="s">
        <v>110</v>
      </c>
      <c r="J9" s="1">
        <v>-18.884999999999998</v>
      </c>
      <c r="K9" s="1">
        <v>54.270880543805447</v>
      </c>
    </row>
    <row r="10" spans="1:11" x14ac:dyDescent="0.25">
      <c r="A10" s="6" t="s">
        <v>108</v>
      </c>
      <c r="B10" s="1">
        <v>21.111111111111111</v>
      </c>
      <c r="C10" s="1">
        <v>0</v>
      </c>
      <c r="E10" s="6" t="s">
        <v>108</v>
      </c>
      <c r="F10" s="1">
        <v>1.0555555555555556</v>
      </c>
      <c r="G10" s="1">
        <v>0</v>
      </c>
      <c r="I10" s="6" t="s">
        <v>108</v>
      </c>
      <c r="J10" s="1">
        <v>3.57</v>
      </c>
      <c r="K10" s="1">
        <v>0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10.747999999999999</v>
      </c>
      <c r="C25" s="1">
        <v>6.496683461582534</v>
      </c>
      <c r="E25" s="6" t="s">
        <v>106</v>
      </c>
      <c r="F25" s="1">
        <v>1.7124999999999999</v>
      </c>
      <c r="G25" s="1">
        <v>0.52523209155572392</v>
      </c>
      <c r="I25" s="6" t="s">
        <v>106</v>
      </c>
      <c r="J25" s="1">
        <v>35.11591873473062</v>
      </c>
      <c r="K25" s="1">
        <v>2.7636112062582154</v>
      </c>
    </row>
    <row r="26" spans="1:11" x14ac:dyDescent="0.25">
      <c r="A26" s="6" t="s">
        <v>105</v>
      </c>
      <c r="B26" s="1">
        <v>3.8800000000000003</v>
      </c>
      <c r="C26" s="1">
        <v>2.4409014728169582</v>
      </c>
      <c r="E26" s="6" t="s">
        <v>105</v>
      </c>
      <c r="F26" s="1">
        <v>4.4320000000000004</v>
      </c>
      <c r="G26" s="1">
        <v>3.1021244333520848</v>
      </c>
      <c r="I26" s="6" t="s">
        <v>105</v>
      </c>
      <c r="J26" s="1">
        <v>20.044026330977879</v>
      </c>
      <c r="K26" s="1">
        <v>15.387722474233366</v>
      </c>
    </row>
    <row r="27" spans="1:11" x14ac:dyDescent="0.25">
      <c r="A27" s="6" t="s">
        <v>107</v>
      </c>
      <c r="B27" s="1">
        <v>5.5073333333333325</v>
      </c>
      <c r="C27" s="1">
        <v>2.723562536254474</v>
      </c>
      <c r="E27" s="6" t="s">
        <v>107</v>
      </c>
      <c r="F27" s="1">
        <v>1.8507142857142855</v>
      </c>
      <c r="G27" s="1">
        <v>0.56868851988857871</v>
      </c>
      <c r="I27" s="6" t="s">
        <v>107</v>
      </c>
      <c r="J27" s="1">
        <v>19.382413387927198</v>
      </c>
      <c r="K27" s="1">
        <v>8.1662963226562368</v>
      </c>
    </row>
    <row r="28" spans="1:11" x14ac:dyDescent="0.25">
      <c r="A28" s="6" t="s">
        <v>109</v>
      </c>
      <c r="B28" s="1">
        <v>8.3966666666666665</v>
      </c>
      <c r="C28" s="1">
        <v>3.9924706914669059</v>
      </c>
      <c r="E28" s="6" t="s">
        <v>109</v>
      </c>
      <c r="F28" s="1">
        <v>2.1666666666666665</v>
      </c>
      <c r="G28" s="1">
        <v>0.19669491322576466</v>
      </c>
      <c r="I28" s="6" t="s">
        <v>109</v>
      </c>
      <c r="J28" s="1">
        <v>24.272973302764765</v>
      </c>
      <c r="K28" s="1">
        <v>10.101562390868374</v>
      </c>
    </row>
    <row r="29" spans="1:11" x14ac:dyDescent="0.25">
      <c r="A29" s="6" t="s">
        <v>110</v>
      </c>
      <c r="B29" s="1">
        <v>7.6333333333333329</v>
      </c>
      <c r="C29" s="1">
        <v>3.9677057462580176</v>
      </c>
      <c r="E29" s="6" t="s">
        <v>110</v>
      </c>
      <c r="F29" s="1">
        <v>2.1933333333333334</v>
      </c>
      <c r="G29" s="1">
        <v>0.64530785073654795</v>
      </c>
      <c r="I29" s="6" t="s">
        <v>110</v>
      </c>
      <c r="J29" s="1">
        <v>33.562880493644933</v>
      </c>
      <c r="K29" s="1">
        <v>9.6593943655205177</v>
      </c>
    </row>
    <row r="30" spans="1:11" x14ac:dyDescent="0.25">
      <c r="A30" s="6" t="s">
        <v>108</v>
      </c>
      <c r="B30" s="1">
        <v>-0.4</v>
      </c>
      <c r="C30" s="1">
        <v>0</v>
      </c>
      <c r="E30" s="6" t="s">
        <v>108</v>
      </c>
      <c r="F30" s="1">
        <v>1.06</v>
      </c>
      <c r="G30" s="1">
        <v>0</v>
      </c>
      <c r="I30" s="6" t="s">
        <v>108</v>
      </c>
      <c r="J30" s="1">
        <v>31.666666666666668</v>
      </c>
      <c r="K30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35.7109375" bestFit="1" customWidth="1"/>
    <col min="2" max="2" width="16.28515625" bestFit="1" customWidth="1"/>
    <col min="3" max="3" width="16.85546875" bestFit="1" customWidth="1"/>
    <col min="5" max="5" width="35.7109375" bestFit="1" customWidth="1"/>
    <col min="6" max="6" width="14" bestFit="1" customWidth="1"/>
    <col min="7" max="7" width="14.5703125" bestFit="1" customWidth="1"/>
    <col min="9" max="9" width="35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12.318352059925093</v>
      </c>
      <c r="C5" s="1">
        <v>0</v>
      </c>
      <c r="E5" s="6" t="s">
        <v>106</v>
      </c>
      <c r="F5" s="1">
        <v>0.84463276836158196</v>
      </c>
      <c r="G5" s="1">
        <v>0</v>
      </c>
      <c r="I5" s="6" t="s">
        <v>106</v>
      </c>
      <c r="J5" s="1">
        <v>1.28</v>
      </c>
      <c r="K5" s="1">
        <v>0</v>
      </c>
    </row>
    <row r="6" spans="1:11" x14ac:dyDescent="0.25">
      <c r="A6" s="6" t="s">
        <v>105</v>
      </c>
      <c r="B6" s="1">
        <v>17.842939650739382</v>
      </c>
      <c r="C6" s="1">
        <v>23.573767209500559</v>
      </c>
      <c r="E6" s="6" t="s">
        <v>105</v>
      </c>
      <c r="F6" s="1">
        <v>1.9811504163381624</v>
      </c>
      <c r="G6" s="1">
        <v>1.9149081953670335</v>
      </c>
      <c r="I6" s="6" t="s">
        <v>105</v>
      </c>
      <c r="J6" s="1">
        <v>6.8842857142857143</v>
      </c>
      <c r="K6" s="1">
        <v>8.0675095416170191</v>
      </c>
    </row>
    <row r="7" spans="1:11" x14ac:dyDescent="0.25">
      <c r="A7" s="6" t="s">
        <v>107</v>
      </c>
      <c r="B7" s="1">
        <v>8.6734646098585504</v>
      </c>
      <c r="C7" s="1">
        <v>26.25553599475916</v>
      </c>
      <c r="E7" s="6" t="s">
        <v>107</v>
      </c>
      <c r="F7" s="1">
        <v>2.8713417121798841</v>
      </c>
      <c r="G7" s="1">
        <v>2.4704525894344398</v>
      </c>
      <c r="I7" s="6" t="s">
        <v>107</v>
      </c>
      <c r="J7" s="1">
        <v>7.604705882352941</v>
      </c>
      <c r="K7" s="1">
        <v>9.5363281364086614</v>
      </c>
    </row>
    <row r="8" spans="1:11" x14ac:dyDescent="0.25">
      <c r="A8" s="6" t="s">
        <v>109</v>
      </c>
      <c r="B8" s="1">
        <v>16.451554199060411</v>
      </c>
      <c r="C8" s="1">
        <v>12.180986903898786</v>
      </c>
      <c r="E8" s="6" t="s">
        <v>109</v>
      </c>
      <c r="F8" s="1">
        <v>1.7308227100846274</v>
      </c>
      <c r="G8" s="1">
        <v>0.85421194524596522</v>
      </c>
      <c r="I8" s="6" t="s">
        <v>109</v>
      </c>
      <c r="J8" s="1">
        <v>17.975000000000001</v>
      </c>
      <c r="K8" s="1">
        <v>12.844384959973755</v>
      </c>
    </row>
    <row r="9" spans="1:11" x14ac:dyDescent="0.25">
      <c r="A9" s="6" t="s">
        <v>110</v>
      </c>
      <c r="B9" s="1">
        <v>-2.8616730328507143</v>
      </c>
      <c r="C9" s="1">
        <v>14.347492504792337</v>
      </c>
      <c r="E9" s="6" t="s">
        <v>110</v>
      </c>
      <c r="F9" s="1">
        <v>0.85014091352221977</v>
      </c>
      <c r="G9" s="1">
        <v>0.22579853351290025</v>
      </c>
      <c r="I9" s="6" t="s">
        <v>110</v>
      </c>
      <c r="J9" s="1">
        <v>-8.3662499999999991</v>
      </c>
      <c r="K9" s="1">
        <v>13.032223464838992</v>
      </c>
    </row>
    <row r="10" spans="1:11" x14ac:dyDescent="0.25">
      <c r="A10" s="6" t="s">
        <v>108</v>
      </c>
      <c r="B10" s="1">
        <v>20.361521464646465</v>
      </c>
      <c r="C10" s="1">
        <v>0.44958964646459976</v>
      </c>
      <c r="E10" s="6" t="s">
        <v>108</v>
      </c>
      <c r="F10" s="1">
        <v>3.784833728223445</v>
      </c>
      <c r="G10" s="1">
        <v>2.827430422719952</v>
      </c>
      <c r="I10" s="6" t="s">
        <v>108</v>
      </c>
      <c r="J10" s="1">
        <v>18.940000000000001</v>
      </c>
      <c r="K10" s="1">
        <v>9.11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6.56</v>
      </c>
      <c r="C25" s="1">
        <v>0</v>
      </c>
      <c r="E25" s="6" t="s">
        <v>106</v>
      </c>
      <c r="F25" s="1">
        <v>1.66</v>
      </c>
      <c r="G25" s="1">
        <v>0</v>
      </c>
      <c r="I25" s="6" t="s">
        <v>106</v>
      </c>
      <c r="J25" s="1">
        <v>65.78</v>
      </c>
      <c r="K25" s="1">
        <v>0</v>
      </c>
    </row>
    <row r="26" spans="1:11" x14ac:dyDescent="0.25">
      <c r="A26" s="6" t="s">
        <v>105</v>
      </c>
      <c r="B26" s="1">
        <v>3.0750000000000002</v>
      </c>
      <c r="C26" s="1">
        <v>1.1471595355485644</v>
      </c>
      <c r="E26" s="6" t="s">
        <v>105</v>
      </c>
      <c r="F26" s="1">
        <v>2.7688888888888892</v>
      </c>
      <c r="G26" s="1">
        <v>1.0007824099667046</v>
      </c>
      <c r="I26" s="6" t="s">
        <v>105</v>
      </c>
      <c r="J26" s="1">
        <v>8.7297160756137888</v>
      </c>
      <c r="K26" s="1">
        <v>17.509685942641575</v>
      </c>
    </row>
    <row r="27" spans="1:11" x14ac:dyDescent="0.25">
      <c r="A27" s="6" t="s">
        <v>107</v>
      </c>
      <c r="B27" s="1">
        <v>3.5570588235294114</v>
      </c>
      <c r="C27" s="1">
        <v>2.527667524455472</v>
      </c>
      <c r="E27" s="6" t="s">
        <v>107</v>
      </c>
      <c r="F27" s="1">
        <v>2.9657894736842101</v>
      </c>
      <c r="G27" s="1">
        <v>1.779137330250028</v>
      </c>
      <c r="I27" s="6" t="s">
        <v>107</v>
      </c>
      <c r="J27" s="1">
        <v>20.366032029554439</v>
      </c>
      <c r="K27" s="1">
        <v>16.619208320249484</v>
      </c>
    </row>
    <row r="28" spans="1:11" x14ac:dyDescent="0.25">
      <c r="A28" s="6" t="s">
        <v>109</v>
      </c>
      <c r="B28" s="1">
        <v>6.4824999999999999</v>
      </c>
      <c r="C28" s="1">
        <v>3.4116519092662423</v>
      </c>
      <c r="E28" s="6" t="s">
        <v>109</v>
      </c>
      <c r="F28" s="1">
        <v>1.87</v>
      </c>
      <c r="G28" s="1">
        <v>0.34477045503735665</v>
      </c>
      <c r="I28" s="6" t="s">
        <v>109</v>
      </c>
      <c r="J28" s="1">
        <v>16.97708874452352</v>
      </c>
      <c r="K28" s="1">
        <v>1.4111598893353565</v>
      </c>
    </row>
    <row r="29" spans="1:11" x14ac:dyDescent="0.25">
      <c r="A29" s="6" t="s">
        <v>110</v>
      </c>
      <c r="B29" s="1">
        <v>2.0449999999999999</v>
      </c>
      <c r="C29" s="1">
        <v>5.3008419142622989</v>
      </c>
      <c r="E29" s="6" t="s">
        <v>110</v>
      </c>
      <c r="F29" s="1">
        <v>1.7628571428571429</v>
      </c>
      <c r="G29" s="1">
        <v>0.43842947912208863</v>
      </c>
      <c r="I29" s="6" t="s">
        <v>110</v>
      </c>
      <c r="J29" s="1">
        <v>7.5988204043420655</v>
      </c>
      <c r="K29" s="1">
        <v>15.657042066158752</v>
      </c>
    </row>
    <row r="30" spans="1:11" x14ac:dyDescent="0.25">
      <c r="A30" s="6" t="s">
        <v>108</v>
      </c>
      <c r="B30" s="1">
        <v>8.06</v>
      </c>
      <c r="C30" s="1">
        <v>2.3399999999999967</v>
      </c>
      <c r="E30" s="6" t="s">
        <v>108</v>
      </c>
      <c r="F30" s="1">
        <v>2.3600000000000003</v>
      </c>
      <c r="G30" s="1">
        <v>0.25999999999999762</v>
      </c>
      <c r="I30" s="6" t="s">
        <v>108</v>
      </c>
      <c r="J30" s="1">
        <v>11.193227091633467</v>
      </c>
      <c r="K30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2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Consumer Staples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4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2">_xlfn._xlws.FILTER(_xlfn._xlws.FILTER(Main_L[], Main_L[Preliminary Criteria]="YES"), COUNTIF($A$8:$S$8,Main_L[#Headers]))</f>
        <v>Beverages</v>
      </c>
      <c r="B9" t="str">
        <v>ABEV</v>
      </c>
      <c r="C9" s="9">
        <v>39118</v>
      </c>
      <c r="D9" s="1">
        <v>2.52</v>
      </c>
      <c r="E9" s="1">
        <v>0.22</v>
      </c>
      <c r="F9" s="1">
        <v>1.01</v>
      </c>
      <c r="G9" s="1">
        <v>0.15</v>
      </c>
      <c r="H9" s="1">
        <v>11.454545454545455</v>
      </c>
      <c r="I9" s="1">
        <v>2.495049504950495</v>
      </c>
      <c r="J9" s="1">
        <v>16.52</v>
      </c>
      <c r="K9" s="1">
        <v>9.18</v>
      </c>
      <c r="L9" s="1">
        <v>1.65</v>
      </c>
      <c r="M9" s="1">
        <v>16.8</v>
      </c>
      <c r="N9" s="1">
        <v>-1.0792627706865292</v>
      </c>
      <c r="O9" s="1">
        <v>-0.73084111446965905</v>
      </c>
      <c r="P9" s="1">
        <v>-0.15235707984291991</v>
      </c>
      <c r="Q9" s="1">
        <v>0.53328886230270733</v>
      </c>
      <c r="R9" s="1">
        <v>-1.2129355699591275</v>
      </c>
      <c r="S9" s="1">
        <v>-0.74613485520370659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4</v>
      </c>
    </row>
    <row r="10" spans="1:20" x14ac:dyDescent="0.25">
      <c r="A10" t="str">
        <v>Consumer Staples Distribution &amp; Retail</v>
      </c>
      <c r="B10" t="str">
        <v>USFD</v>
      </c>
      <c r="C10" s="2">
        <v>15933</v>
      </c>
      <c r="D10" s="1">
        <v>73.84</v>
      </c>
      <c r="E10" s="1">
        <v>3.46</v>
      </c>
      <c r="F10" s="1">
        <v>19.64</v>
      </c>
      <c r="G10" s="1">
        <v>2.02</v>
      </c>
      <c r="H10" s="1">
        <v>21.341040462427745</v>
      </c>
      <c r="I10" s="1">
        <v>3.7596741344195519</v>
      </c>
      <c r="J10" s="1">
        <v>10.65</v>
      </c>
      <c r="K10" s="1">
        <v>5.28</v>
      </c>
      <c r="L10" s="1">
        <v>2.97</v>
      </c>
      <c r="M10" s="1">
        <v>36.554455445544555</v>
      </c>
      <c r="N10" s="1">
        <v>-2.665801820550897E-2</v>
      </c>
      <c r="O10" s="1">
        <v>-0.59420728664806954</v>
      </c>
      <c r="P10" s="1">
        <v>-1.3873373188594966</v>
      </c>
      <c r="Q10" s="1">
        <v>-0.61438437027843784</v>
      </c>
      <c r="R10" s="1">
        <v>-0.48704128176595185</v>
      </c>
      <c r="S10" s="1">
        <v>0.71871984219594454</v>
      </c>
      <c r="T10">
        <f t="shared" si="0"/>
        <v>0</v>
      </c>
    </row>
    <row r="11" spans="1:20" x14ac:dyDescent="0.25">
      <c r="A11" t="str">
        <v>Consumer Staples Distribution &amp; Retail</v>
      </c>
      <c r="B11" t="str">
        <v>CART</v>
      </c>
      <c r="C11" s="2">
        <v>12005</v>
      </c>
      <c r="D11" s="1">
        <v>44.31</v>
      </c>
      <c r="E11" s="1">
        <v>3.1</v>
      </c>
      <c r="F11" s="1">
        <v>12.1</v>
      </c>
      <c r="G11" s="1">
        <v>1.52</v>
      </c>
      <c r="H11" s="1">
        <v>14.293548387096774</v>
      </c>
      <c r="I11" s="1">
        <v>3.6619834710743806</v>
      </c>
      <c r="J11" s="1">
        <v>12.96</v>
      </c>
      <c r="K11" s="1">
        <v>6.81</v>
      </c>
      <c r="L11" s="1">
        <v>1.35</v>
      </c>
      <c r="M11" s="1">
        <v>29.151315789473685</v>
      </c>
      <c r="N11" s="1">
        <v>-0.74081697826303938</v>
      </c>
      <c r="O11" s="1">
        <v>-0.63187377038539161</v>
      </c>
      <c r="P11" s="1">
        <v>-1.1161751715615629</v>
      </c>
      <c r="Q11" s="1">
        <v>0.23655837552060516</v>
      </c>
      <c r="R11" s="1">
        <v>-1.8693983429507168</v>
      </c>
      <c r="S11" s="1">
        <v>0.10368887979444182</v>
      </c>
      <c r="T11">
        <f t="shared" si="0"/>
        <v>2</v>
      </c>
    </row>
    <row r="12" spans="1:20" x14ac:dyDescent="0.25">
      <c r="A12" t="str">
        <v>Household Products</v>
      </c>
      <c r="B12" t="str">
        <v>KMB</v>
      </c>
      <c r="C12" s="2">
        <v>44327</v>
      </c>
      <c r="D12" s="1">
        <v>134.03</v>
      </c>
      <c r="E12" s="1">
        <v>7.15</v>
      </c>
      <c r="F12" s="1">
        <v>3.32</v>
      </c>
      <c r="G12" s="1">
        <v>7.34</v>
      </c>
      <c r="H12" s="1">
        <v>18.745454545454546</v>
      </c>
      <c r="I12" s="1">
        <v>40.370481927710848</v>
      </c>
      <c r="J12" s="1">
        <v>207.06</v>
      </c>
      <c r="K12" s="1">
        <v>11.54</v>
      </c>
      <c r="L12" s="1">
        <v>14.81</v>
      </c>
      <c r="M12" s="1">
        <v>18.260217983651227</v>
      </c>
      <c r="N12" s="1">
        <v>-1.5682880666979855</v>
      </c>
      <c r="O12" s="1">
        <v>-0.27646303231663544</v>
      </c>
      <c r="P12" s="1">
        <v>1.7495405401673707E-2</v>
      </c>
      <c r="Q12" s="1">
        <v>0.3645419384151094</v>
      </c>
      <c r="R12" s="1">
        <v>-8.1081193972445023E-2</v>
      </c>
      <c r="S12" s="1">
        <v>-22.351313009472396</v>
      </c>
      <c r="T12">
        <f t="shared" si="0"/>
        <v>5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10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Consumer Staples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4/5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2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0">_xlfn._xlws.FILTER(_xlfn._xlws.FILTER(Main_M[], Main_M[Preliminary Criteria]="YES"), COUNTIF($A$8:$S$8,Main_M[#Headers]))</f>
        <v>Food Products</v>
      </c>
      <c r="B9" t="str">
        <v>CALM</v>
      </c>
      <c r="C9" s="2">
        <v>4634</v>
      </c>
      <c r="D9" s="1">
        <v>93.95</v>
      </c>
      <c r="E9" s="1">
        <v>17.61</v>
      </c>
      <c r="F9" s="1">
        <v>48.56</v>
      </c>
      <c r="G9" s="1">
        <v>20.239999999999998</v>
      </c>
      <c r="H9" s="1">
        <v>5.3350369108461102</v>
      </c>
      <c r="I9" s="1">
        <v>1.9347199341021417</v>
      </c>
      <c r="J9" s="1">
        <v>48.15</v>
      </c>
      <c r="K9" s="1">
        <v>29.82</v>
      </c>
      <c r="L9" s="1">
        <v>1.29</v>
      </c>
      <c r="M9" s="1">
        <v>4.6417984189723329</v>
      </c>
      <c r="N9" s="1">
        <v>-1.1672429097695241</v>
      </c>
      <c r="O9" s="1">
        <v>-3.352026491515088E-2</v>
      </c>
      <c r="P9" s="1">
        <v>5.2247915473045534</v>
      </c>
      <c r="Q9" s="1">
        <v>8.926788477602642</v>
      </c>
      <c r="R9" s="1">
        <v>-0.98597785273411953</v>
      </c>
      <c r="S9" s="1">
        <v>-1.8050551175885095</v>
      </c>
      <c r="T9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4</v>
      </c>
    </row>
    <row r="10" spans="1:20" x14ac:dyDescent="0.25">
      <c r="A10" t="str">
        <v>Food Products</v>
      </c>
      <c r="B10" t="str">
        <v>SFD</v>
      </c>
      <c r="C10" s="2">
        <v>8841</v>
      </c>
      <c r="D10" s="1">
        <v>22.63</v>
      </c>
      <c r="E10" s="1">
        <v>2.0499999999999998</v>
      </c>
      <c r="F10" s="1">
        <v>15.84</v>
      </c>
      <c r="G10" s="1">
        <v>2.33</v>
      </c>
      <c r="H10" s="1">
        <v>11.039024390243902</v>
      </c>
      <c r="I10" s="1">
        <v>1.4286616161616161</v>
      </c>
      <c r="J10" s="1">
        <v>11.78</v>
      </c>
      <c r="K10" s="1">
        <v>5.24</v>
      </c>
      <c r="L10" s="1">
        <v>1.79</v>
      </c>
      <c r="M10" s="1">
        <v>9.7124463519313302</v>
      </c>
      <c r="N10" s="1">
        <v>-0.4333769403138773</v>
      </c>
      <c r="O10" s="1">
        <v>-0.7038933247019824</v>
      </c>
      <c r="P10" s="1">
        <v>0.18756778077194339</v>
      </c>
      <c r="Q10" s="1">
        <v>-9.815575364058915E-2</v>
      </c>
      <c r="R10" s="1">
        <v>-0.10676193309859859</v>
      </c>
      <c r="S10" s="1">
        <v>-1.1841312945218396</v>
      </c>
      <c r="T10">
        <f t="shared" si="0"/>
        <v>3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Consumer Staples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2025-05-14T02:57:38Z</dcterms:modified>
</cp:coreProperties>
</file>